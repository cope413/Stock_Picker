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<sst xmlns="http://schemas.openxmlformats.org/spreadsheetml/2006/main" count="1433" uniqueCount="604">
  <si>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</si>
  <si>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</si>
  <si>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</si>
  <si>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</si>
  <si>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</si>
  <si>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</si>
  <si>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</si>
  <si>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</si>
  <si>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</si>
  <si>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</si>
  <si>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</si>
  <si>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</si>
  <si>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</si>
  <si>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</si>
  <si>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</si>
  <si>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</si>
  <si>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</si>
  <si>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</si>
  <si>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</si>
  <si>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</si>
  <si>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</si>
  <si>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</si>
  <si>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</si>
  <si>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</si>
  <si>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</si>
  <si>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</si>
  <si>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</si>
  <si>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</si>
  <si>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</si>
  <si>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</si>
  <si>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</si>
  <si>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</si>
  <si>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</si>
  <si>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</si>
  <si>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</si>
  <si>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</si>
  <si>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</si>
  <si>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</si>
  <si>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</si>
  <si>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</si>
  <si>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</si>
  <si>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</si>
  <si>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</si>
  <si>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</si>
  <si>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</si>
  <si>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</si>
  <si>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</si>
  <si>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</si>
  <si>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</si>
  <si>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</si>
  <si>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</si>
  <si>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</si>
  <si>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</si>
  <si>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</si>
  <si>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</si>
  <si>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</si>
  <si>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</si>
  <si>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</si>
  <si>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</si>
  <si>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</si>
  <si>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</si>
  <si>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</si>
  <si>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</si>
  <si>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</si>
  <si>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</si>
  <si>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</si>
  <si>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</si>
  <si>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</si>
  <si>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</si>
  <si>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</si>
  <si>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</si>
  <si>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</si>
  <si>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</si>
  <si>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</si>
  <si>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</si>
  <si>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</si>
  <si>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</si>
  <si>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</si>
  <si>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</si>
  <si>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</si>
  <si>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</si>
  <si>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</si>
  <si>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</si>
  <si>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</si>
  <si>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</si>
  <si>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</si>
  <si>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</si>
  <si>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</si>
  <si>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</si>
  <si>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</si>
  <si>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</si>
  <si>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</si>
  <si>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</si>
  <si>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</si>
  <si>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</si>
  <si>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</si>
  <si>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</si>
  <si>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</si>
  <si>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</si>
  <si>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</si>
  <si>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</si>
  <si>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</si>
  <si>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</si>
  <si>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</si>
  <si>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</si>
  <si>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</si>
  <si>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</si>
  <si>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</si>
  <si>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</si>
  <si>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</si>
  <si>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</si>
  <si>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</si>
  <si>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</si>
  <si>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</si>
  <si>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</si>
  <si>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</si>
  <si>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</si>
  <si>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</si>
  <si>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</si>
  <si>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</si>
  <si>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</si>
  <si>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</si>
  <si>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</si>
  <si>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</si>
  <si>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</si>
  <si>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</si>
  <si>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</si>
  <si>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</si>
  <si>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</si>
  <si>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</si>
  <si>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</si>
  <si>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</si>
  <si>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</si>
  <si>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</si>
  <si>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</si>
  <si>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</si>
  <si>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</si>
  <si>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</si>
  <si>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</si>
  <si>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</si>
  <si>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</si>
  <si>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</si>
  <si>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</si>
  <si>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</si>
  <si>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</si>
  <si>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</si>
  <si>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</si>
  <si>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</si>
  <si>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</si>
  <si>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</si>
  <si>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</si>
  <si>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</si>
  <si>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</si>
  <si>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</si>
  <si>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</si>
  <si>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</si>
  <si>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</si>
  <si>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</si>
  <si>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</si>
  <si>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</si>
  <si>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</si>
  <si>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</si>
  <si>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</si>
  <si>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</si>
  <si>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</si>
  <si>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Of the Self-Directed (Chase) tickers once flagged as unscored, only JEPQ and HELO genuinely still need it -- VRTX/PLD/SFM/ONON/TSLA are already scored, AVUV/SPMO/VFLO are ETF cash-buckets intentionally out of Landry scope, and CALF/VGT are zero-quantity (sold). See Journal, PRE-TRANCHE-SCORING-TODO (8/26/2026).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</si>
  <si>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</si>
  <si>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</si>
  <si>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</si>
  <si>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</si>
  <si>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</si>
  <si>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</si>
  <si>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</si>
  <si>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</si>
  <si>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</si>
  <si>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</si>
  <si>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</si>
  <si>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</si>
  <si>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</si>
  <si>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</si>
  <si>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</si>
  <si>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</si>
  <si>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</si>
  <si>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</si>
  <si>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</si>
  <si>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</si>
  <si>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2026-07-31: Forusz Jillian (SVP &amp; CAO) sold $109,961, 10% of holding</t>
  </si>
  <si>
    <t xml:space="preserve">N</t>
  </si>
  <si>
    <t xml:space="preserve">2026-08-24: Duda Kenneth (President and CTO) sold $773,632, 14% of holding (+109 more in last 30d)</t>
  </si>
  <si>
    <t xml:space="preserve">BUY</t>
  </si>
  <si>
    <t xml:space="preserve">2026-08-25: Kurtz George (PRESIDENT AND CEO) sold $226,560, 0% of holding (+129 more in last 30d)</t>
  </si>
  <si>
    <t xml:space="preserve">2026-08-14: Lorig Brian (EVP, KLA Global Services) sold $12,401,634, 43% of holding (+11 more in last 30d)</t>
  </si>
  <si>
    <t xml:space="preserve">2026-08-25: MEHROTRA SANJAY (President and CEO) sold $138,116, 0% of holding (+64 more in last 30d)</t>
  </si>
  <si>
    <t xml:space="preserve">2026-08-24: Buckley Jeffrey (See Remarks) sold $273,633, 3% of holding (+20 more in last 30d)</t>
  </si>
  <si>
    <t xml:space="preserve">2026-08-20: Yuan Lipen (VP) bought $74,500, 20% of holding (+10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</si>
  <si>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</si>
  <si>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</si>
  <si>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</si>
  <si>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</si>
  <si>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</si>
  <si>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</si>
  <si>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</si>
  <si>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</si>
  <si>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</si>
  <si>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</si>
  <si>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</si>
  <si>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</si>
  <si>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</si>
  <si>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</si>
  <si>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</si>
  <si>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</si>
  <si>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</si>
  <si>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</si>
  <si>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</si>
  <si>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</si>
  <si>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</si>
  <si>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</si>
  <si>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</si>
  <si>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</si>
  <si>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</si>
  <si>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</si>
  <si>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</si>
  <si>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</si>
  <si>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</si>
  <si>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</si>
  <si>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</si>
  <si>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</si>
  <si>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</si>
  <si>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</si>
  <si>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</si>
  <si>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</si>
  <si>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</si>
  <si>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</si>
  <si>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</si>
  <si>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</si>
  <si>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</si>
  <si>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</si>
  <si>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</si>
  <si>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</si>
  <si>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</si>
  <si>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</si>
  <si>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</si>
  <si>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</si>
  <si>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V</t>
  </si>
  <si>
    <t xml:space="preserve">2026-08-24: Taneja Rajat (PRESIDENT, TECHNOLOGY) sold $6,650,860, 7%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</si>
  <si>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</si>
  <si>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</si>
  <si>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</si>
  <si>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</si>
  <si>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</si>
  <si>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</si>
  <si>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</si>
  <si>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</si>
  <si>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</si>
  <si>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</si>
  <si>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</si>
  <si>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</si>
  <si>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</si>
  <si>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</si>
  <si>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</si>
  <si>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</si>
  <si>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</si>
  <si>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</si>
  <si>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</si>
  <si>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</si>
  <si>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</si>
  <si>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</si>
  <si>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</si>
  <si>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</si>
  <si>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</si>
  <si>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</si>
  <si>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</si>
  <si>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</si>
  <si>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</si>
  <si>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</si>
  <si>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</si>
  <si>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</si>
  <si>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</si>
  <si>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</si>
  <si>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</si>
  <si>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</si>
  <si>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</si>
  <si>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</si>
  <si>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</si>
  <si>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</si>
  <si>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</si>
  <si>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</si>
  <si>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</si>
  <si>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</si>
  <si>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</si>
  <si>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</si>
  <si>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</si>
  <si>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</si>
  <si>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</si>
  <si>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</si>
  <si>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</si>
  <si>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</si>
  <si>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</si>
  <si>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</si>
  <si>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</si>
  <si>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</si>
  <si>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</si>
  <si>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</si>
  <si>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</si>
  <si>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</si>
  <si>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</si>
  <si>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</si>
  <si>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</si>
  <si>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</si>
  <si>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</si>
  <si>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</si>
  <si>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</si>
  <si>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</si>
  <si>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</si>
  <si>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</si>
  <si>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</si>
  <si>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</si>
  <si>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</si>
  <si>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</si>
  <si>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</si>
  <si>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</si>
  <si>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</si>
  <si>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</si>
  <si>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</si>
  <si>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</si>
  <si>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</si>
  <si>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</si>
  <si>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</si>
  <si>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</si>
  <si>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</si>
  <si>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</si>
  <si>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</si>
  <si>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</si>
  <si>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</si>
  <si>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</si>
  <si>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</si>
  <si>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</si>
  <si>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</si>
  <si>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</si>
  <si>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</si>
  <si>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</si>
  <si>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</si>
  <si>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</si>
  <si>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</si>
  <si>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</si>
  <si>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</si>
  <si>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</si>
  <si>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</si>
  <si>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</si>
  <si>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</si>
  <si>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</si>
  <si>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</si>
  <si>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</si>
  <si>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</si>
  <si>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</si>
  <si>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</si>
  <si>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</si>
  <si>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</si>
  <si>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</si>
  <si>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</si>
  <si>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</si>
  <si>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</si>
  <si>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</si>
  <si>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</si>
  <si>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</si>
  <si>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</si>
  <si>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</si>
  <si>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</si>
  <si>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</si>
  <si>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</si>
  <si>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</si>
  <si>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</si>
  <si>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</si>
  <si>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</si>
  <si>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</si>
  <si>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</si>
  <si>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</si>
  <si>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</si>
  <si>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</si>
  <si>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</si>
  <si>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</si>
  <si>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</si>
  <si>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</si>
  <si>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</si>
  <si>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</si>
  <si>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</si>
  <si>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</si>
  <si>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</si>
  <si>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</si>
  <si>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</si>
  <si>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</si>
  <si>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</si>
  <si>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manual entry (blue cells). See note below on optional live refresh.</t>
  </si>
  <si>
    <t xml:space="preserve">Price ($)</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</si>
  <si>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</si>
  <si>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</si>
  <si>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</si>
  <si>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</si>
  <si>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</si>
  <si>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</si>
  <si>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</si>
  <si>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</si>
  <si>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</si>
  <si>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</si>
  <si>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</si>
  <si>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</si>
  <si>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</si>
  <si>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</si>
  <si>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</si>
  <si>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</si>
  <si>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</si>
  <si>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</si>
  <si>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</si>
  <si>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</si>
  <si>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</si>
  <si>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</si>
  <si>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</si>
  <si>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</si>
  <si>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</si>
  <si>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</si>
  <si>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</si>
  <si>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</si>
  <si>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</si>
  <si>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</si>
  <si>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</si>
  <si>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</si>
  <si>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</si>
  <si>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</si>
  <si>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</si>
  <si>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</si>
  <si>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</si>
  <si>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</si>
  <si>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</si>
  <si>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</si>
  <si>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</si>
  <si>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</si>
  <si>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</si>
  <si>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</si>
  <si>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</si>
  <si>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</si>
  <si>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</si>
  <si>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</si>
  <si>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</si>
  <si>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</si>
  <si>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</si>
  <si>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</si>
  <si>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</si>
  <si>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</si>
  <si>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</si>
  <si>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</si>
  <si>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</si>
  <si>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</si>
  <si>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</si>
  <si>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</si>
  <si>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</si>
  <si>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</si>
  <si>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</si>
  <si>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</si>
  <si>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</si>
  <si>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</si>
  <si>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</si>
  <si>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</si>
  <si>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</si>
  <si>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</si>
  <si>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</si>
  <si>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</si>
  <si>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</si>
  <si>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</si>
  <si>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</si>
  <si>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</si>
  <si>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</si>
  <si>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</si>
  <si>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</si>
  <si>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</si>
  <si>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</si>
  <si>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</si>
  <si>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</si>
  <si>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</si>
  <si>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</si>
  <si>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</si>
  <si>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</si>
  <si>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</si>
  <si>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</si>
  <si>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</si>
  <si>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</si>
  <si>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</si>
  <si>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</si>
  <si>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</si>
  <si>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</si>
  <si>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</si>
  <si>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</si>
  <si>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</si>
  <si>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</si>
  <si>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</si>
  <si>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</si>
  <si>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</si>
  <si>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</si>
  <si>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</si>
  <si>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</si>
  <si>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</si>
  <si>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</si>
  <si>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</si>
  <si>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</si>
  <si>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</si>
  <si>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</si>
  <si>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</si>
  <si>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</si>
  <si>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</si>
  <si>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</si>
  <si>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</si>
  <si>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</si>
  <si>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</si>
  <si>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</si>
  <si>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</si>
  <si>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</si>
  <si>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</si>
  <si>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</si>
  <si>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</si>
  <si>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</si>
  <si>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</si>
  <si>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</si>
  <si>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</si>
  <si>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</si>
  <si>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</si>
  <si>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</si>
  <si>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</si>
  <si>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</si>
  <si>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</si>
  <si>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</si>
  <si>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</si>
  <si>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</si>
  <si>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</si>
  <si>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</si>
  <si>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</si>
  <si>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</si>
  <si>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</si>
  <si>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</si>
  <si>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</si>
  <si>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</si>
  <si>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</si>
  <si>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</si>
  <si>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</si>
  <si>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</si>
  <si>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</si>
  <si>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</si>
  <si>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</si>
  <si>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</si>
  <si>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</si>
  <si>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</si>
  <si>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</si>
  <si>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</si>
  <si>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</si>
  <si>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</si>
  <si>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</si>
  <si>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</si>
  <si>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</si>
  <si>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</si>
  <si>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</si>
  <si>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</si>
  <si>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</si>
  <si>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</si>
  <si>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</si>
  <si>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</si>
  <si>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</si>
  <si>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</si>
  <si>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</si>
  <si>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</si>
  <si>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</si>
  <si>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</si>
  <si>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</si>
  <si>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</si>
  <si>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A2:Q47 (col N=Analyst Shift Note added 2026-08-26, mirrors K/L; RecheckStatus now P, Notes now Q)</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</si>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</sst>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right" vertical="top" textRotation="0" wrapText="false" indent="0" shrinkToFit="false"/>
      <protection locked="true" hidden="false"/>
    </xf>
    <xf numFmtId="168" fontId="20" fillId="4" borderId="1" xfId="0" applyFont="true" applyBorder="true" applyAlignment="true" applyProtection="false">
      <alignment horizontal="center" vertical="top"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70" fontId="23" fillId="4" borderId="1" xfId="0" applyFont="true" applyBorder="true" applyAlignment="true" applyProtection="false">
      <alignment horizontal="center"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8" fontId="27" fillId="4"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21" fillId="4" borderId="3" xfId="0" applyFont="true" applyBorder="true" applyAlignment="true" applyProtection="false">
      <alignment horizontal="left" vertical="center" textRotation="0" wrapText="false" indent="0" shrinkToFit="false"/>
      <protection locked="true" hidden="false"/>
    </xf>
    <xf numFmtId="164" fontId="22" fillId="4" borderId="3" xfId="0" applyFont="true" applyBorder="true" applyAlignment="true" applyProtection="false">
      <alignment horizontal="center" vertical="center"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71" fontId="23" fillId="4" borderId="3" xfId="0" applyFont="true" applyBorder="true" applyAlignment="true" applyProtection="false">
      <alignment horizontal="center" vertical="center" textRotation="0" wrapText="false" indent="0" shrinkToFit="false"/>
      <protection locked="true" hidden="false"/>
    </xf>
    <xf numFmtId="169" fontId="24" fillId="0" borderId="3" xfId="0" applyFont="true" applyBorder="true" applyAlignment="true" applyProtection="false">
      <alignment horizontal="center" vertical="center" textRotation="0" wrapText="false" indent="0" shrinkToFit="false"/>
      <protection locked="true" hidden="false"/>
    </xf>
    <xf numFmtId="170" fontId="23" fillId="4" borderId="3" xfId="0" applyFont="true" applyBorder="true" applyAlignment="true" applyProtection="false">
      <alignment horizontal="center" vertical="center" textRotation="0" wrapText="false" indent="0" shrinkToFit="false"/>
      <protection locked="true" hidden="false"/>
    </xf>
    <xf numFmtId="169" fontId="23" fillId="4" borderId="3" xfId="0" applyFont="true" applyBorder="true" applyAlignment="true" applyProtection="false">
      <alignment horizontal="center" vertical="center" textRotation="0" wrapText="false" indent="0" shrinkToFit="false"/>
      <protection locked="true" hidden="false"/>
    </xf>
    <xf numFmtId="167" fontId="25" fillId="0" borderId="3"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right" vertical="center" textRotation="0" wrapText="false" indent="0" shrinkToFit="false"/>
      <protection locked="true" hidden="false"/>
    </xf>
    <xf numFmtId="164" fontId="28" fillId="4" borderId="4"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general" vertical="center" textRotation="0" wrapText="false" indent="0" shrinkToFit="false"/>
      <protection locked="true" hidden="false"/>
    </xf>
    <xf numFmtId="164" fontId="20" fillId="4" borderId="4" xfId="0" applyFont="true" applyBorder="true" applyAlignment="true" applyProtection="false">
      <alignment horizontal="general" vertical="center" textRotation="0" wrapText="false" indent="0" shrinkToFit="false"/>
      <protection locked="true" hidden="false"/>
    </xf>
    <xf numFmtId="169" fontId="19" fillId="5" borderId="4" xfId="0" applyFont="true" applyBorder="true" applyAlignment="true" applyProtection="false">
      <alignment horizontal="center" vertical="center" textRotation="0" wrapText="false" indent="0" shrinkToFit="false"/>
      <protection locked="true" hidden="false"/>
    </xf>
    <xf numFmtId="169" fontId="28" fillId="4" borderId="4" xfId="0" applyFont="true" applyBorder="true" applyAlignment="true" applyProtection="false">
      <alignment horizontal="center" vertical="center" textRotation="0" wrapText="false" indent="0" shrinkToFit="false"/>
      <protection locked="true" hidden="false"/>
    </xf>
    <xf numFmtId="167" fontId="29" fillId="0" borderId="4" xfId="0" applyFont="true" applyBorder="true" applyAlignment="true" applyProtection="false">
      <alignment horizontal="center" vertical="center" textRotation="0" wrapText="false" indent="0" shrinkToFit="false"/>
      <protection locked="true" hidden="false"/>
    </xf>
    <xf numFmtId="172" fontId="30" fillId="5" borderId="4" xfId="0" applyFont="true" applyBorder="true" applyAlignment="true" applyProtection="false">
      <alignment horizontal="center" vertical="center" textRotation="0" wrapText="false" indent="0" shrinkToFit="false"/>
      <protection locked="true" hidden="false"/>
    </xf>
    <xf numFmtId="167" fontId="30"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0" fillId="5" borderId="4" xfId="0" applyFont="true" applyBorder="true" applyAlignment="true" applyProtection="false">
      <alignment horizontal="center" vertical="center" textRotation="0" wrapText="false" indent="0" shrinkToFit="false"/>
      <protection locked="true" hidden="false"/>
    </xf>
    <xf numFmtId="164" fontId="3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31" fillId="3" borderId="1" xfId="0" applyFont="true" applyBorder="true" applyAlignment="tru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69" fontId="34" fillId="3"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33" fillId="5" borderId="1" xfId="0" applyFont="true" applyBorder="true" applyAlignment="true" applyProtection="false">
      <alignment horizontal="general" vertical="bottom"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15" fillId="5"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23" fillId="4"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left" vertical="center" textRotation="0" wrapText="false" indent="0" shrinkToFit="false"/>
      <protection locked="true" hidden="false"/>
    </xf>
    <xf numFmtId="173" fontId="40"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69"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center" textRotation="0" wrapText="fals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39" fillId="4" borderId="5" xfId="0" applyFont="true" applyBorder="true" applyAlignment="true" applyProtection="false">
      <alignment horizontal="center" vertical="center" textRotation="0" wrapText="true" indent="0" shrinkToFit="false"/>
      <protection locked="true" hidden="false"/>
    </xf>
    <xf numFmtId="174" fontId="43" fillId="4" borderId="6" xfId="0" applyFont="true" applyBorder="true" applyAlignment="true" applyProtection="false">
      <alignment horizontal="center" vertical="center" textRotation="0" wrapText="false" indent="0" shrinkToFit="false"/>
      <protection locked="true" hidden="false"/>
    </xf>
    <xf numFmtId="170" fontId="43" fillId="4" borderId="6" xfId="0" applyFont="true" applyBorder="true" applyAlignment="true" applyProtection="false">
      <alignment horizontal="center" vertical="center" textRotation="0" wrapText="false" indent="0" shrinkToFit="false"/>
      <protection locked="true" hidden="false"/>
    </xf>
    <xf numFmtId="174" fontId="43" fillId="4" borderId="1" xfId="0" applyFont="true" applyBorder="true" applyAlignment="true" applyProtection="false">
      <alignment horizontal="center" vertical="center" textRotation="0" wrapText="false" indent="0" shrinkToFit="false"/>
      <protection locked="true" hidden="false"/>
    </xf>
    <xf numFmtId="170" fontId="43" fillId="4" borderId="1" xfId="0" applyFont="true" applyBorder="true" applyAlignment="true" applyProtection="false">
      <alignment horizontal="center" vertical="center" textRotation="0" wrapText="fals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4" fontId="44" fillId="3"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left"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34" fillId="6" borderId="1"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general" vertical="bottom"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74" fontId="20" fillId="4"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3" fontId="20"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true" applyAlignment="true" applyProtection="false">
      <alignment horizontal="general" vertical="bottom" textRotation="0" wrapText="false" indent="0" shrinkToFit="false"/>
      <protection locked="true" hidden="false"/>
    </xf>
    <xf numFmtId="169" fontId="20" fillId="4" borderId="1" xfId="0" applyFont="true" applyBorder="true" applyAlignment="true" applyProtection="false">
      <alignment horizontal="center" vertical="center" textRotation="0" wrapText="false" indent="0" shrinkToFit="false"/>
      <protection locked="true" hidden="false"/>
    </xf>
    <xf numFmtId="178" fontId="20" fillId="4" borderId="1" xfId="0" applyFont="true" applyBorder="true" applyAlignment="true" applyProtection="false">
      <alignment horizontal="center" vertical="center" textRotation="0" wrapText="false" indent="0" shrinkToFit="false"/>
      <protection locked="true" hidden="false"/>
    </xf>
    <xf numFmtId="168" fontId="20" fillId="4" borderId="1" xfId="0" applyFont="true" applyBorder="true" applyAlignment="true" applyProtection="false">
      <alignment horizontal="center" vertical="center" textRotation="0" wrapText="false" indent="0" shrinkToFit="false"/>
      <protection locked="true" hidden="false"/>
    </xf>
    <xf numFmtId="175" fontId="20" fillId="4" borderId="1" xfId="0" applyFont="true" applyBorder="true" applyAlignment="true" applyProtection="false">
      <alignment horizontal="center" vertical="center" textRotation="0" wrapText="false" indent="0" shrinkToFit="false"/>
      <protection locked="true" hidden="false"/>
    </xf>
    <xf numFmtId="165" fontId="20" fillId="4"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4"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70" fontId="50"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54" fillId="5"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55" fillId="0" borderId="0" xfId="0" applyFont="true" applyBorder="true" applyAlignment="true" applyProtection="false">
      <alignment horizontal="general" vertical="center" textRotation="0" wrapText="false" indent="0" shrinkToFit="false"/>
      <protection locked="true" hidden="false"/>
    </xf>
    <xf numFmtId="168" fontId="3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true" applyAlignment="true" applyProtection="false">
      <alignment horizontal="left" vertical="center" textRotation="0" wrapText="true" indent="0" shrinkToFit="false"/>
      <protection locked="true" hidden="false"/>
    </xf>
    <xf numFmtId="174" fontId="27" fillId="4"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69" fontId="56" fillId="4" borderId="1" xfId="0" applyFont="true" applyBorder="true" applyAlignment="true" applyProtection="false">
      <alignment horizontal="center" vertical="center" textRotation="0" wrapText="false" indent="0" shrinkToFit="false"/>
      <protection locked="true" hidden="false"/>
    </xf>
    <xf numFmtId="177" fontId="56" fillId="4"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7" fontId="21" fillId="4" borderId="1" xfId="0" applyFont="true" applyBorder="true" applyAlignment="true" applyProtection="false">
      <alignment horizontal="center" vertical="center" textRotation="0" wrapText="false" indent="0" shrinkToFit="false"/>
      <protection locked="true" hidden="false"/>
    </xf>
    <xf numFmtId="164" fontId="58" fillId="4" borderId="1" xfId="0" applyFont="true" applyBorder="true" applyAlignment="true" applyProtection="false">
      <alignment horizontal="center" vertical="center" textRotation="0" wrapText="false" indent="0" shrinkToFit="false"/>
      <protection locked="true" hidden="false"/>
    </xf>
    <xf numFmtId="174" fontId="21" fillId="4"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4"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9" fillId="2" borderId="1" xfId="0" applyFont="true" applyBorder="true" applyAlignment="true" applyProtection="false">
      <alignment horizontal="general" vertical="bottom" textRotation="0" wrapText="false" indent="0" shrinkToFit="false"/>
      <protection locked="true" hidden="false"/>
    </xf>
    <xf numFmtId="164" fontId="60" fillId="3" borderId="1" xfId="0" applyFont="true" applyBorder="true" applyAlignment="true" applyProtection="false">
      <alignment horizontal="center" vertical="center" textRotation="0" wrapText="true" indent="0" shrinkToFit="false"/>
      <protection locked="true" hidden="false"/>
    </xf>
    <xf numFmtId="164" fontId="6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18424699"/>
        <c:axId val="96722743"/>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34412708"/>
        <c:axId val="57299279"/>
      </c:lineChart>
      <c:dateAx>
        <c:axId val="184246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722743"/>
        <c:auto val="1"/>
        <c:lblOffset val="100"/>
        <c:baseTimeUnit val="days"/>
      </c:dateAx>
      <c:valAx>
        <c:axId val="967227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24699"/>
        <c:crosses val="autoZero"/>
        <c:crossBetween val="between"/>
      </c:valAx>
      <c:dateAx>
        <c:axId val="344127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299279"/>
        <c:auto val="1"/>
        <c:lblOffset val="100"/>
        <c:baseTimeUnit val="days"/>
      </c:dateAx>
      <c:valAx>
        <c:axId val="572992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4127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22040104"/>
        <c:axId val="9343583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49692871"/>
        <c:axId val="34106673"/>
      </c:lineChart>
      <c:dateAx>
        <c:axId val="2204010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35836"/>
        <c:auto val="1"/>
        <c:lblOffset val="100"/>
        <c:baseTimeUnit val="days"/>
      </c:dateAx>
      <c:valAx>
        <c:axId val="934358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40104"/>
        <c:crosses val="autoZero"/>
        <c:crossBetween val="between"/>
      </c:valAx>
      <c:dateAx>
        <c:axId val="496928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106673"/>
        <c:auto val="1"/>
        <c:lblOffset val="100"/>
        <c:baseTimeUnit val="days"/>
      </c:dateAx>
      <c:valAx>
        <c:axId val="341066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6928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41709993"/>
        <c:axId val="90798198"/>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56802913"/>
        <c:axId val="48198002"/>
      </c:lineChart>
      <c:dateAx>
        <c:axId val="417099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98198"/>
        <c:auto val="1"/>
        <c:lblOffset val="100"/>
        <c:baseTimeUnit val="days"/>
      </c:dateAx>
      <c:valAx>
        <c:axId val="907981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709993"/>
        <c:crosses val="autoZero"/>
        <c:crossBetween val="between"/>
      </c:valAx>
      <c:dateAx>
        <c:axId val="568029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198002"/>
        <c:auto val="1"/>
        <c:lblOffset val="100"/>
        <c:baseTimeUnit val="days"/>
      </c:dateAx>
      <c:valAx>
        <c:axId val="481980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029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77747087"/>
        <c:axId val="72261218"/>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97441101"/>
        <c:axId val="69958010"/>
      </c:lineChart>
      <c:dateAx>
        <c:axId val="777470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261218"/>
        <c:auto val="1"/>
        <c:lblOffset val="100"/>
        <c:baseTimeUnit val="days"/>
      </c:dateAx>
      <c:valAx>
        <c:axId val="722612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747087"/>
        <c:crosses val="autoZero"/>
        <c:crossBetween val="between"/>
      </c:valAx>
      <c:dateAx>
        <c:axId val="974411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958010"/>
        <c:auto val="1"/>
        <c:lblOffset val="100"/>
        <c:baseTimeUnit val="days"/>
      </c:dateAx>
      <c:valAx>
        <c:axId val="699580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4411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49249538"/>
        <c:axId val="24746809"/>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17008716"/>
        <c:axId val="90406558"/>
      </c:lineChart>
      <c:dateAx>
        <c:axId val="492495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746809"/>
        <c:auto val="1"/>
        <c:lblOffset val="100"/>
        <c:baseTimeUnit val="days"/>
      </c:dateAx>
      <c:valAx>
        <c:axId val="247468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49538"/>
        <c:crosses val="autoZero"/>
        <c:crossBetween val="between"/>
      </c:valAx>
      <c:dateAx>
        <c:axId val="170087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406558"/>
        <c:auto val="1"/>
        <c:lblOffset val="100"/>
        <c:baseTimeUnit val="days"/>
      </c:dateAx>
      <c:valAx>
        <c:axId val="904065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0087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77674485"/>
        <c:axId val="35513616"/>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59555082"/>
        <c:axId val="83292465"/>
      </c:lineChart>
      <c:dateAx>
        <c:axId val="7767448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513616"/>
        <c:auto val="1"/>
        <c:lblOffset val="100"/>
        <c:baseTimeUnit val="days"/>
      </c:dateAx>
      <c:valAx>
        <c:axId val="355136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674485"/>
        <c:crosses val="autoZero"/>
        <c:crossBetween val="between"/>
      </c:valAx>
      <c:dateAx>
        <c:axId val="595550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292465"/>
        <c:auto val="1"/>
        <c:lblOffset val="100"/>
        <c:baseTimeUnit val="days"/>
      </c:dateAx>
      <c:valAx>
        <c:axId val="832924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5550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52076091"/>
        <c:axId val="23042746"/>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37890917"/>
        <c:axId val="85452242"/>
      </c:lineChart>
      <c:dateAx>
        <c:axId val="520760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042746"/>
        <c:auto val="1"/>
        <c:lblOffset val="100"/>
        <c:baseTimeUnit val="days"/>
      </c:dateAx>
      <c:valAx>
        <c:axId val="230427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76091"/>
        <c:crosses val="autoZero"/>
        <c:crossBetween val="between"/>
      </c:valAx>
      <c:dateAx>
        <c:axId val="378909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452242"/>
        <c:auto val="1"/>
        <c:lblOffset val="100"/>
        <c:baseTimeUnit val="days"/>
      </c:dateAx>
      <c:valAx>
        <c:axId val="8545224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8909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3184415"/>
        <c:axId val="8254388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77025922"/>
        <c:axId val="61839245"/>
      </c:lineChart>
      <c:dateAx>
        <c:axId val="31844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543883"/>
        <c:auto val="1"/>
        <c:lblOffset val="100"/>
        <c:baseTimeUnit val="days"/>
      </c:dateAx>
      <c:valAx>
        <c:axId val="825438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84415"/>
        <c:crosses val="autoZero"/>
        <c:crossBetween val="between"/>
      </c:valAx>
      <c:dateAx>
        <c:axId val="770259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839245"/>
        <c:auto val="1"/>
        <c:lblOffset val="100"/>
        <c:baseTimeUnit val="days"/>
      </c:dateAx>
      <c:valAx>
        <c:axId val="6183924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0259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39607227"/>
        <c:axId val="6564964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28887508"/>
        <c:axId val="46096738"/>
      </c:lineChart>
      <c:dateAx>
        <c:axId val="3960722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649644"/>
        <c:auto val="1"/>
        <c:lblOffset val="100"/>
        <c:baseTimeUnit val="days"/>
      </c:dateAx>
      <c:valAx>
        <c:axId val="6564964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607227"/>
        <c:crosses val="autoZero"/>
        <c:crossBetween val="between"/>
      </c:valAx>
      <c:dateAx>
        <c:axId val="2888750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096738"/>
        <c:auto val="1"/>
        <c:lblOffset val="100"/>
        <c:baseTimeUnit val="days"/>
      </c:dateAx>
      <c:valAx>
        <c:axId val="4609673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88750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1873712"/>
        <c:axId val="10748613"/>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37190729"/>
        <c:axId val="71113637"/>
      </c:lineChart>
      <c:dateAx>
        <c:axId val="18737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748613"/>
        <c:auto val="1"/>
        <c:lblOffset val="100"/>
        <c:baseTimeUnit val="days"/>
      </c:dateAx>
      <c:valAx>
        <c:axId val="107486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73712"/>
        <c:crosses val="autoZero"/>
        <c:crossBetween val="between"/>
      </c:valAx>
      <c:dateAx>
        <c:axId val="371907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13637"/>
        <c:auto val="1"/>
        <c:lblOffset val="100"/>
        <c:baseTimeUnit val="days"/>
      </c:dateAx>
      <c:valAx>
        <c:axId val="711136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1907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17836337"/>
        <c:axId val="4975696"/>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71528226"/>
        <c:axId val="72766173"/>
      </c:lineChart>
      <c:dateAx>
        <c:axId val="1783633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75696"/>
        <c:auto val="1"/>
        <c:lblOffset val="100"/>
        <c:baseTimeUnit val="days"/>
      </c:dateAx>
      <c:valAx>
        <c:axId val="49756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836337"/>
        <c:crosses val="autoZero"/>
        <c:crossBetween val="between"/>
      </c:valAx>
      <c:dateAx>
        <c:axId val="7152822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766173"/>
        <c:auto val="1"/>
        <c:lblOffset val="100"/>
        <c:baseTimeUnit val="days"/>
      </c:dateAx>
      <c:valAx>
        <c:axId val="727661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52822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91582044"/>
        <c:axId val="72492775"/>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42833462"/>
        <c:axId val="43214378"/>
      </c:lineChart>
      <c:dateAx>
        <c:axId val="915820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492775"/>
        <c:auto val="1"/>
        <c:lblOffset val="100"/>
        <c:baseTimeUnit val="days"/>
      </c:dateAx>
      <c:valAx>
        <c:axId val="724927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582044"/>
        <c:crosses val="autoZero"/>
        <c:crossBetween val="between"/>
      </c:valAx>
      <c:dateAx>
        <c:axId val="4283346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214378"/>
        <c:auto val="1"/>
        <c:lblOffset val="100"/>
        <c:baseTimeUnit val="days"/>
      </c:dateAx>
      <c:valAx>
        <c:axId val="432143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83346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48371657"/>
        <c:axId val="18639592"/>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15165123"/>
        <c:axId val="10072062"/>
      </c:lineChart>
      <c:dateAx>
        <c:axId val="483716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639592"/>
        <c:auto val="1"/>
        <c:lblOffset val="100"/>
        <c:baseTimeUnit val="days"/>
      </c:dateAx>
      <c:valAx>
        <c:axId val="186395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371657"/>
        <c:crosses val="autoZero"/>
        <c:crossBetween val="between"/>
      </c:valAx>
      <c:dateAx>
        <c:axId val="151651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072062"/>
        <c:auto val="1"/>
        <c:lblOffset val="100"/>
        <c:baseTimeUnit val="days"/>
      </c:dateAx>
      <c:valAx>
        <c:axId val="100720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1651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3759877"/>
        <c:axId val="22598568"/>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88314443"/>
        <c:axId val="13457765"/>
      </c:lineChart>
      <c:dateAx>
        <c:axId val="37598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598568"/>
        <c:auto val="1"/>
        <c:lblOffset val="100"/>
        <c:baseTimeUnit val="days"/>
      </c:dateAx>
      <c:valAx>
        <c:axId val="225985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59877"/>
        <c:crosses val="autoZero"/>
        <c:crossBetween val="between"/>
      </c:valAx>
      <c:dateAx>
        <c:axId val="883144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57765"/>
        <c:auto val="1"/>
        <c:lblOffset val="100"/>
        <c:baseTimeUnit val="days"/>
      </c:dateAx>
      <c:valAx>
        <c:axId val="134577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3144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91233151"/>
        <c:axId val="9436795"/>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49276872"/>
        <c:axId val="45409483"/>
      </c:lineChart>
      <c:dateAx>
        <c:axId val="912331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36795"/>
        <c:auto val="1"/>
        <c:lblOffset val="100"/>
        <c:baseTimeUnit val="days"/>
      </c:dateAx>
      <c:valAx>
        <c:axId val="94367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233151"/>
        <c:crosses val="autoZero"/>
        <c:crossBetween val="between"/>
      </c:valAx>
      <c:dateAx>
        <c:axId val="492768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409483"/>
        <c:auto val="1"/>
        <c:lblOffset val="100"/>
        <c:baseTimeUnit val="days"/>
      </c:dateAx>
      <c:valAx>
        <c:axId val="454094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2768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5500174"/>
        <c:axId val="9117108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2972215"/>
        <c:axId val="48402497"/>
      </c:lineChart>
      <c:dateAx>
        <c:axId val="55001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71087"/>
        <c:auto val="1"/>
        <c:lblOffset val="100"/>
        <c:baseTimeUnit val="days"/>
      </c:dateAx>
      <c:valAx>
        <c:axId val="911710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00174"/>
        <c:crosses val="autoZero"/>
        <c:crossBetween val="between"/>
      </c:valAx>
      <c:dateAx>
        <c:axId val="29722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02497"/>
        <c:auto val="1"/>
        <c:lblOffset val="100"/>
        <c:baseTimeUnit val="days"/>
      </c:dateAx>
      <c:valAx>
        <c:axId val="484024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722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97034874"/>
        <c:axId val="9536630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55215216"/>
        <c:axId val="15706627"/>
      </c:lineChart>
      <c:dateAx>
        <c:axId val="970348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66301"/>
        <c:auto val="1"/>
        <c:lblOffset val="100"/>
        <c:baseTimeUnit val="days"/>
      </c:dateAx>
      <c:valAx>
        <c:axId val="953663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034874"/>
        <c:crosses val="autoZero"/>
        <c:crossBetween val="between"/>
      </c:valAx>
      <c:dateAx>
        <c:axId val="552152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706627"/>
        <c:auto val="1"/>
        <c:lblOffset val="100"/>
        <c:baseTimeUnit val="days"/>
      </c:dateAx>
      <c:valAx>
        <c:axId val="157066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152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44137061"/>
        <c:axId val="5818820"/>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32221818"/>
        <c:axId val="23159113"/>
      </c:lineChart>
      <c:dateAx>
        <c:axId val="441370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8820"/>
        <c:auto val="1"/>
        <c:lblOffset val="100"/>
        <c:baseTimeUnit val="days"/>
      </c:dateAx>
      <c:valAx>
        <c:axId val="581882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137061"/>
        <c:crosses val="autoZero"/>
        <c:crossBetween val="between"/>
      </c:valAx>
      <c:dateAx>
        <c:axId val="322218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159113"/>
        <c:auto val="1"/>
        <c:lblOffset val="100"/>
        <c:baseTimeUnit val="days"/>
      </c:dateAx>
      <c:valAx>
        <c:axId val="2315911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2218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396360</xdr:colOff>
      <xdr:row>175</xdr:row>
      <xdr:rowOff>39600</xdr:rowOff>
    </xdr:to>
    <xdr:graphicFrame>
      <xdr:nvGraphicFramePr>
        <xdr:cNvPr id="1" name="Chart 1"/>
        <xdr:cNvGraphicFramePr/>
      </xdr:nvGraphicFramePr>
      <xdr:xfrm>
        <a:off x="0" y="31204080"/>
        <a:ext cx="2754720" cy="2325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20520</xdr:colOff>
      <xdr:row>175</xdr:row>
      <xdr:rowOff>39600</xdr:rowOff>
    </xdr:to>
    <xdr:graphicFrame>
      <xdr:nvGraphicFramePr>
        <xdr:cNvPr id="2" name="Chart 2"/>
        <xdr:cNvGraphicFramePr/>
      </xdr:nvGraphicFramePr>
      <xdr:xfrm>
        <a:off x="3554640" y="31204080"/>
        <a:ext cx="2413440" cy="2325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183960</xdr:colOff>
      <xdr:row>175</xdr:row>
      <xdr:rowOff>39600</xdr:rowOff>
    </xdr:to>
    <xdr:graphicFrame>
      <xdr:nvGraphicFramePr>
        <xdr:cNvPr id="3" name="Chart 3"/>
        <xdr:cNvGraphicFramePr/>
      </xdr:nvGraphicFramePr>
      <xdr:xfrm>
        <a:off x="6744960" y="31204080"/>
        <a:ext cx="2471400" cy="2325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436320</xdr:colOff>
      <xdr:row>175</xdr:row>
      <xdr:rowOff>39600</xdr:rowOff>
    </xdr:to>
    <xdr:graphicFrame>
      <xdr:nvGraphicFramePr>
        <xdr:cNvPr id="4" name="Chart 4"/>
        <xdr:cNvGraphicFramePr/>
      </xdr:nvGraphicFramePr>
      <xdr:xfrm>
        <a:off x="10464840" y="31204080"/>
        <a:ext cx="4734000" cy="2325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396360</xdr:colOff>
      <xdr:row>191</xdr:row>
      <xdr:rowOff>39600</xdr:rowOff>
    </xdr:to>
    <xdr:graphicFrame>
      <xdr:nvGraphicFramePr>
        <xdr:cNvPr id="5" name="Chart 5"/>
        <xdr:cNvGraphicFramePr/>
      </xdr:nvGraphicFramePr>
      <xdr:xfrm>
        <a:off x="0" y="34251840"/>
        <a:ext cx="2754720" cy="2325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20520</xdr:colOff>
      <xdr:row>191</xdr:row>
      <xdr:rowOff>39600</xdr:rowOff>
    </xdr:to>
    <xdr:graphicFrame>
      <xdr:nvGraphicFramePr>
        <xdr:cNvPr id="6" name="Chart 6"/>
        <xdr:cNvGraphicFramePr/>
      </xdr:nvGraphicFramePr>
      <xdr:xfrm>
        <a:off x="3554640" y="34251840"/>
        <a:ext cx="2413440" cy="2325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183960</xdr:colOff>
      <xdr:row>191</xdr:row>
      <xdr:rowOff>39600</xdr:rowOff>
    </xdr:to>
    <xdr:graphicFrame>
      <xdr:nvGraphicFramePr>
        <xdr:cNvPr id="7" name="Chart 7"/>
        <xdr:cNvGraphicFramePr/>
      </xdr:nvGraphicFramePr>
      <xdr:xfrm>
        <a:off x="6744960" y="34251840"/>
        <a:ext cx="2471400" cy="23256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436320</xdr:colOff>
      <xdr:row>191</xdr:row>
      <xdr:rowOff>39600</xdr:rowOff>
    </xdr:to>
    <xdr:graphicFrame>
      <xdr:nvGraphicFramePr>
        <xdr:cNvPr id="8" name="Chart 8"/>
        <xdr:cNvGraphicFramePr/>
      </xdr:nvGraphicFramePr>
      <xdr:xfrm>
        <a:off x="10464840" y="34251840"/>
        <a:ext cx="4734000" cy="23256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396360</xdr:colOff>
      <xdr:row>207</xdr:row>
      <xdr:rowOff>39600</xdr:rowOff>
    </xdr:to>
    <xdr:graphicFrame>
      <xdr:nvGraphicFramePr>
        <xdr:cNvPr id="9" name="Chart 9"/>
        <xdr:cNvGraphicFramePr/>
      </xdr:nvGraphicFramePr>
      <xdr:xfrm>
        <a:off x="0" y="37299960"/>
        <a:ext cx="2754720" cy="23256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20520</xdr:colOff>
      <xdr:row>207</xdr:row>
      <xdr:rowOff>39600</xdr:rowOff>
    </xdr:to>
    <xdr:graphicFrame>
      <xdr:nvGraphicFramePr>
        <xdr:cNvPr id="10" name="Chart 10"/>
        <xdr:cNvGraphicFramePr/>
      </xdr:nvGraphicFramePr>
      <xdr:xfrm>
        <a:off x="3554640" y="37299960"/>
        <a:ext cx="2413440" cy="23256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183960</xdr:colOff>
      <xdr:row>207</xdr:row>
      <xdr:rowOff>39600</xdr:rowOff>
    </xdr:to>
    <xdr:graphicFrame>
      <xdr:nvGraphicFramePr>
        <xdr:cNvPr id="11" name="Chart 11"/>
        <xdr:cNvGraphicFramePr/>
      </xdr:nvGraphicFramePr>
      <xdr:xfrm>
        <a:off x="6744960" y="37299960"/>
        <a:ext cx="2471400" cy="23256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436320</xdr:colOff>
      <xdr:row>207</xdr:row>
      <xdr:rowOff>39600</xdr:rowOff>
    </xdr:to>
    <xdr:graphicFrame>
      <xdr:nvGraphicFramePr>
        <xdr:cNvPr id="12" name="Chart 12"/>
        <xdr:cNvGraphicFramePr/>
      </xdr:nvGraphicFramePr>
      <xdr:xfrm>
        <a:off x="10464840" y="37299960"/>
        <a:ext cx="4734000" cy="23256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396360</xdr:colOff>
      <xdr:row>223</xdr:row>
      <xdr:rowOff>39600</xdr:rowOff>
    </xdr:to>
    <xdr:graphicFrame>
      <xdr:nvGraphicFramePr>
        <xdr:cNvPr id="13" name="Chart 13"/>
        <xdr:cNvGraphicFramePr/>
      </xdr:nvGraphicFramePr>
      <xdr:xfrm>
        <a:off x="0" y="40348080"/>
        <a:ext cx="2754720" cy="23256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20520</xdr:colOff>
      <xdr:row>223</xdr:row>
      <xdr:rowOff>39600</xdr:rowOff>
    </xdr:to>
    <xdr:graphicFrame>
      <xdr:nvGraphicFramePr>
        <xdr:cNvPr id="14" name="Chart 14"/>
        <xdr:cNvGraphicFramePr/>
      </xdr:nvGraphicFramePr>
      <xdr:xfrm>
        <a:off x="3554640" y="40348080"/>
        <a:ext cx="2413440" cy="23256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183960</xdr:colOff>
      <xdr:row>223</xdr:row>
      <xdr:rowOff>39600</xdr:rowOff>
    </xdr:to>
    <xdr:graphicFrame>
      <xdr:nvGraphicFramePr>
        <xdr:cNvPr id="15" name="Chart 15"/>
        <xdr:cNvGraphicFramePr/>
      </xdr:nvGraphicFramePr>
      <xdr:xfrm>
        <a:off x="6744960" y="40348080"/>
        <a:ext cx="2471400" cy="2325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436320</xdr:colOff>
      <xdr:row>223</xdr:row>
      <xdr:rowOff>39600</xdr:rowOff>
    </xdr:to>
    <xdr:graphicFrame>
      <xdr:nvGraphicFramePr>
        <xdr:cNvPr id="16" name="Chart 16"/>
        <xdr:cNvGraphicFramePr/>
      </xdr:nvGraphicFramePr>
      <xdr:xfrm>
        <a:off x="10464840" y="40348080"/>
        <a:ext cx="4734000" cy="23256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396360</xdr:colOff>
      <xdr:row>239</xdr:row>
      <xdr:rowOff>39600</xdr:rowOff>
    </xdr:to>
    <xdr:graphicFrame>
      <xdr:nvGraphicFramePr>
        <xdr:cNvPr id="17" name="Chart 17"/>
        <xdr:cNvGraphicFramePr/>
      </xdr:nvGraphicFramePr>
      <xdr:xfrm>
        <a:off x="0" y="43395840"/>
        <a:ext cx="2754720" cy="23256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20520</xdr:colOff>
      <xdr:row>239</xdr:row>
      <xdr:rowOff>39600</xdr:rowOff>
    </xdr:to>
    <xdr:graphicFrame>
      <xdr:nvGraphicFramePr>
        <xdr:cNvPr id="18" name="Chart 18"/>
        <xdr:cNvGraphicFramePr/>
      </xdr:nvGraphicFramePr>
      <xdr:xfrm>
        <a:off x="3554640" y="43395840"/>
        <a:ext cx="2413440" cy="23256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46</v>
      </c>
      <c r="B1" s="8"/>
      <c r="C1" s="8"/>
      <c r="D1" s="8"/>
      <c r="E1" s="8"/>
      <c r="F1" s="8"/>
    </row>
    <row r="2" customFormat="false" ht="15" hidden="false" customHeight="true" outlineLevel="0" collapsed="false">
      <c r="A2" s="9" t="s">
        <v>47</v>
      </c>
      <c r="B2" s="9"/>
      <c r="C2" s="9"/>
      <c r="D2" s="9"/>
      <c r="E2" s="9"/>
      <c r="F2" s="9"/>
    </row>
    <row r="4" customFormat="false" ht="15" hidden="false" customHeight="true" outlineLevel="0" collapsed="false">
      <c r="A4" s="10" t="s">
        <v>48</v>
      </c>
      <c r="B4" s="10"/>
      <c r="C4" s="10"/>
      <c r="D4" s="10"/>
      <c r="E4" s="10"/>
      <c r="F4" s="10"/>
    </row>
    <row r="5" customFormat="false" ht="15" hidden="false" customHeight="true" outlineLevel="0" collapsed="false">
      <c r="A5" s="11" t="s">
        <v>49</v>
      </c>
      <c r="B5" s="11"/>
      <c r="C5" s="11"/>
      <c r="D5" s="11"/>
      <c r="E5" s="12" t="n">
        <f aca="false">COUNTIF('Watch List Tracker'!K3:K22,"*SELL WITHIN 30 DAYS*")</f>
        <v>0</v>
      </c>
      <c r="F5" s="12"/>
    </row>
    <row r="6" customFormat="false" ht="15" hidden="false" customHeight="true" outlineLevel="0" collapsed="false">
      <c r="A6" s="11" t="s">
        <v>50</v>
      </c>
      <c r="B6" s="11"/>
      <c r="C6" s="11"/>
      <c r="D6" s="11"/>
      <c r="E6" s="12" t="n">
        <f aca="false">COUNTIF('Watch List Tracker'!K3:K22,"DEADLINE APPROACHING")</f>
        <v>0</v>
      </c>
      <c r="F6" s="12"/>
    </row>
    <row r="7" customFormat="false" ht="15" hidden="false" customHeight="true" outlineLevel="0" collapsed="false">
      <c r="A7" s="11" t="s">
        <v>51</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52</v>
      </c>
      <c r="B9" s="10"/>
      <c r="C9" s="10"/>
      <c r="D9" s="10"/>
      <c r="E9" s="10"/>
      <c r="F9" s="10"/>
    </row>
    <row r="10" customFormat="false" ht="15" hidden="false" customHeight="true" outlineLevel="0" collapsed="false">
      <c r="A10" s="11" t="s">
        <v>53</v>
      </c>
      <c r="B10" s="11"/>
      <c r="C10" s="11"/>
      <c r="D10" s="11"/>
      <c r="E10" s="12" t="n">
        <f aca="false">COUNTIF('Holding Monitor'!AB4:AB23,"*ACTION REQUIRED*")</f>
        <v>0</v>
      </c>
      <c r="F10" s="12"/>
    </row>
    <row r="11" customFormat="false" ht="15" hidden="false" customHeight="true" outlineLevel="0" collapsed="false">
      <c r="A11" s="11" t="s">
        <v>54</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55</v>
      </c>
      <c r="B13" s="10"/>
      <c r="C13" s="10"/>
      <c r="D13" s="10"/>
      <c r="E13" s="10"/>
      <c r="F13" s="10"/>
    </row>
    <row r="14" customFormat="false" ht="15" hidden="false" customHeight="true" outlineLevel="0" collapsed="false">
      <c r="A14" s="11" t="s">
        <v>56</v>
      </c>
      <c r="B14" s="11"/>
      <c r="C14" s="11"/>
      <c r="D14" s="11"/>
      <c r="E14" s="14" t="str">
        <f aca="false">'Correlation Matrix'!B17</f>
        <v/>
      </c>
      <c r="F14" s="14"/>
    </row>
    <row r="15" customFormat="false" ht="15" hidden="false" customHeight="true" outlineLevel="0" collapsed="false">
      <c r="A15" s="11" t="s">
        <v>57</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58</v>
      </c>
      <c r="B17" s="10"/>
      <c r="C17" s="10"/>
      <c r="D17" s="10"/>
      <c r="E17" s="10"/>
      <c r="F17" s="10"/>
    </row>
    <row r="18" customFormat="false" ht="15" hidden="false" customHeight="true" outlineLevel="0" collapsed="false">
      <c r="A18" s="11" t="s">
        <v>59</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60</v>
      </c>
      <c r="B19" s="11"/>
      <c r="C19" s="11"/>
      <c r="D19" s="11"/>
      <c r="E19" s="16" t="n">
        <f aca="false">IFERROR(INDEX('Portfolio Drawdown Log'!D3:D42,COUNT('Portfolio Drawdown Log'!D3:D42)),"")</f>
        <v>0</v>
      </c>
      <c r="F19" s="16"/>
    </row>
    <row r="20" customFormat="false" ht="15" hidden="false" customHeight="true" outlineLevel="0" collapsed="false">
      <c r="A20" s="11" t="s">
        <v>61</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62</v>
      </c>
      <c r="B22" s="10"/>
      <c r="C22" s="10"/>
      <c r="D22" s="10"/>
      <c r="E22" s="10"/>
      <c r="F22" s="10"/>
    </row>
    <row r="23" customFormat="false" ht="15" hidden="false" customHeight="true" outlineLevel="0" collapsed="false">
      <c r="A23" s="11" t="s">
        <v>63</v>
      </c>
      <c r="B23" s="11"/>
      <c r="C23" s="11"/>
      <c r="D23" s="11"/>
      <c r="E23" s="12" t="n">
        <f aca="false">COUNTIF(Scoring!AH3:AH27,"FAIL")</f>
        <v>9</v>
      </c>
      <c r="F23" s="12"/>
    </row>
    <row r="24" customFormat="false" ht="15" hidden="false" customHeight="true" outlineLevel="0" collapsed="false">
      <c r="A24" s="11" t="s">
        <v>64</v>
      </c>
      <c r="B24" s="11"/>
      <c r="C24" s="11"/>
      <c r="D24" s="11"/>
      <c r="E24" s="12" t="n">
        <f aca="false">COUNTIF(Scoring!AJ3:AJ27,"AVOID")</f>
        <v>9</v>
      </c>
      <c r="F24" s="12"/>
    </row>
    <row r="25" customFormat="false" ht="15" hidden="false" customHeight="true" outlineLevel="0" collapsed="false">
      <c r="A25" s="11" t="s">
        <v>65</v>
      </c>
      <c r="B25" s="11"/>
      <c r="C25" s="11"/>
      <c r="D25" s="11"/>
      <c r="E25" s="12" t="n">
        <f aca="false">COUNTIF(Scoring!AI3:AI27,"REVIEW")</f>
        <v>7</v>
      </c>
      <c r="F25" s="12"/>
    </row>
    <row r="26" customFormat="false" ht="15" hidden="false" customHeight="true" outlineLevel="0" collapsed="false">
      <c r="A26" s="11" t="s">
        <v>66</v>
      </c>
      <c r="B26" s="11"/>
      <c r="C26" s="11"/>
      <c r="D26" s="11"/>
      <c r="E26" s="12" t="n">
        <f aca="false">COUNTIF(Scoring!AK3:AK27,"CAP AT BUY")</f>
        <v>0</v>
      </c>
      <c r="F26" s="12"/>
    </row>
    <row r="27" customFormat="false" ht="15" hidden="false" customHeight="true" outlineLevel="0" collapsed="false">
      <c r="A27" s="10" t="s">
        <v>67</v>
      </c>
      <c r="B27" s="10"/>
      <c r="C27" s="10"/>
      <c r="D27" s="10"/>
      <c r="E27" s="10"/>
      <c r="F27" s="10"/>
    </row>
    <row r="28" customFormat="false" ht="15" hidden="false" customHeight="true" outlineLevel="0" collapsed="false">
      <c r="A28" s="11" t="s">
        <v>68</v>
      </c>
      <c r="B28" s="11"/>
      <c r="C28" s="11"/>
      <c r="D28" s="11"/>
      <c r="E28" s="12" t="n">
        <f aca="false">COUNTIF('Entry Checklist'!Q3:Q27,"NO*")</f>
        <v>1</v>
      </c>
      <c r="F28" s="12"/>
    </row>
    <row r="29" customFormat="false" ht="15" hidden="false" customHeight="true" outlineLevel="0" collapsed="false">
      <c r="A29" s="11" t="s">
        <v>69</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70</v>
      </c>
      <c r="B31" s="10"/>
      <c r="C31" s="10"/>
      <c r="D31" s="10"/>
      <c r="E31" s="10"/>
      <c r="F31" s="10"/>
    </row>
    <row r="32" customFormat="false" ht="15" hidden="false" customHeight="true" outlineLevel="0" collapsed="false">
      <c r="A32" s="11" t="s">
        <v>71</v>
      </c>
      <c r="B32" s="11"/>
      <c r="C32" s="11"/>
      <c r="D32" s="11"/>
      <c r="E32" s="12" t="n">
        <f aca="false">COUNTIF(Scoring!AP3:AP60,"LOW CONF")</f>
        <v>0</v>
      </c>
      <c r="F32" s="12"/>
    </row>
    <row r="33" customFormat="false" ht="15" hidden="false" customHeight="true" outlineLevel="0" collapsed="false">
      <c r="A33" s="11" t="s">
        <v>72</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73</v>
      </c>
      <c r="B1" s="18"/>
      <c r="C1" s="18"/>
      <c r="D1" s="18"/>
      <c r="E1" s="18"/>
      <c r="F1" s="18"/>
      <c r="G1" s="18"/>
      <c r="H1" s="18"/>
      <c r="I1" s="18"/>
      <c r="J1" s="18"/>
      <c r="K1" s="18"/>
      <c r="L1" s="18"/>
      <c r="M1" s="18"/>
      <c r="O1" s="19" t="s">
        <v>74</v>
      </c>
      <c r="P1" s="19"/>
    </row>
    <row r="2" s="21" customFormat="true" ht="27.75" hidden="false" customHeight="true" outlineLevel="0" collapsed="false">
      <c r="A2" s="20" t="s">
        <v>75</v>
      </c>
      <c r="B2" s="20" t="s">
        <v>76</v>
      </c>
      <c r="C2" s="20" t="s">
        <v>77</v>
      </c>
      <c r="D2" s="20" t="s">
        <v>78</v>
      </c>
      <c r="E2" s="20" t="s">
        <v>79</v>
      </c>
      <c r="F2" s="20" t="s">
        <v>80</v>
      </c>
      <c r="G2" s="20" t="s">
        <v>81</v>
      </c>
      <c r="H2" s="20" t="s">
        <v>82</v>
      </c>
      <c r="I2" s="20" t="s">
        <v>83</v>
      </c>
      <c r="J2" s="20" t="s">
        <v>84</v>
      </c>
      <c r="K2" s="20" t="s">
        <v>85</v>
      </c>
      <c r="L2" s="20" t="s">
        <v>86</v>
      </c>
      <c r="M2" s="20" t="s">
        <v>87</v>
      </c>
      <c r="O2" s="22" t="s">
        <v>88</v>
      </c>
      <c r="P2" s="23"/>
    </row>
    <row r="3" customFormat="false" ht="15" hidden="false" customHeight="true" outlineLevel="0" collapsed="false">
      <c r="A3" s="24" t="s">
        <v>89</v>
      </c>
      <c r="B3" s="25" t="s">
        <v>90</v>
      </c>
      <c r="C3" s="26" t="s">
        <v>91</v>
      </c>
      <c r="D3" s="27" t="s">
        <v>92</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93</v>
      </c>
      <c r="O3" s="32" t="s">
        <v>94</v>
      </c>
      <c r="P3" s="33"/>
    </row>
    <row r="4" customFormat="false" ht="15" hidden="false" customHeight="true" outlineLevel="0" collapsed="false">
      <c r="A4" s="24" t="s">
        <v>89</v>
      </c>
      <c r="B4" s="25" t="s">
        <v>95</v>
      </c>
      <c r="C4" s="26" t="s">
        <v>96</v>
      </c>
      <c r="D4" s="27" t="s">
        <v>92</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89</v>
      </c>
      <c r="B5" s="25" t="s">
        <v>97</v>
      </c>
      <c r="C5" s="26" t="s">
        <v>98</v>
      </c>
      <c r="D5" s="27" t="s">
        <v>92</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89</v>
      </c>
      <c r="B6" s="25" t="s">
        <v>99</v>
      </c>
      <c r="C6" s="26" t="s">
        <v>100</v>
      </c>
      <c r="D6" s="27" t="s">
        <v>92</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89</v>
      </c>
      <c r="B7" s="25" t="s">
        <v>101</v>
      </c>
      <c r="C7" s="26" t="s">
        <v>102</v>
      </c>
      <c r="D7" s="27" t="s">
        <v>92</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89</v>
      </c>
      <c r="B8" s="25" t="s">
        <v>103</v>
      </c>
      <c r="C8" s="26" t="s">
        <v>104</v>
      </c>
      <c r="D8" s="27" t="s">
        <v>92</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89</v>
      </c>
      <c r="B9" s="25" t="s">
        <v>105</v>
      </c>
      <c r="C9" s="26" t="s">
        <v>106</v>
      </c>
      <c r="D9" s="27" t="s">
        <v>92</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89</v>
      </c>
      <c r="B10" s="25" t="s">
        <v>107</v>
      </c>
      <c r="C10" s="26" t="s">
        <v>108</v>
      </c>
      <c r="D10" s="27" t="s">
        <v>92</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89</v>
      </c>
      <c r="B11" s="25" t="s">
        <v>109</v>
      </c>
      <c r="C11" s="26" t="s">
        <v>110</v>
      </c>
      <c r="D11" s="27" t="s">
        <v>92</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89</v>
      </c>
      <c r="B12" s="25" t="s">
        <v>111</v>
      </c>
      <c r="C12" s="26" t="s">
        <v>112</v>
      </c>
      <c r="D12" s="27" t="s">
        <v>92</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89</v>
      </c>
      <c r="B13" s="25" t="s">
        <v>113</v>
      </c>
      <c r="C13" s="26" t="s">
        <v>114</v>
      </c>
      <c r="D13" s="27" t="s">
        <v>115</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89</v>
      </c>
      <c r="B14" s="36" t="s">
        <v>116</v>
      </c>
      <c r="C14" s="37" t="s">
        <v>117</v>
      </c>
      <c r="D14" s="38" t="s">
        <v>115</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118</v>
      </c>
      <c r="B15" s="45" t="n">
        <f aca="false">SUBTOTAL(103,B3:B14)</f>
        <v>12</v>
      </c>
      <c r="C15" s="46" t="s">
        <v>119</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120</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121</v>
      </c>
      <c r="B18" s="25" t="s">
        <v>122</v>
      </c>
      <c r="C18" s="26" t="s">
        <v>123</v>
      </c>
      <c r="D18" s="27" t="s">
        <v>115</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121</v>
      </c>
      <c r="B19" s="25" t="s">
        <v>124</v>
      </c>
      <c r="C19" s="26" t="s">
        <v>125</v>
      </c>
      <c r="D19" s="27" t="s">
        <v>126</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121</v>
      </c>
      <c r="B20" s="25" t="s">
        <v>127</v>
      </c>
      <c r="C20" s="26" t="s">
        <v>128</v>
      </c>
      <c r="D20" s="27" t="s">
        <v>92</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129</v>
      </c>
    </row>
    <row r="21" customFormat="false" ht="15" hidden="true" customHeight="true" outlineLevel="1" collapsed="false">
      <c r="A21" s="24" t="s">
        <v>121</v>
      </c>
      <c r="B21" s="25" t="s">
        <v>130</v>
      </c>
      <c r="C21" s="26" t="s">
        <v>131</v>
      </c>
      <c r="D21" s="27" t="s">
        <v>92</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132</v>
      </c>
    </row>
    <row r="22" customFormat="false" ht="15" hidden="false" customHeight="true" outlineLevel="0" collapsed="false">
      <c r="A22" s="24" t="s">
        <v>121</v>
      </c>
      <c r="B22" s="25" t="s">
        <v>133</v>
      </c>
      <c r="C22" s="26" t="s">
        <v>134</v>
      </c>
      <c r="D22" s="27" t="s">
        <v>126</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121</v>
      </c>
      <c r="B23" s="25" t="s">
        <v>135</v>
      </c>
      <c r="C23" s="26" t="s">
        <v>136</v>
      </c>
      <c r="D23" s="27" t="s">
        <v>92</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121</v>
      </c>
      <c r="B24" s="25" t="s">
        <v>105</v>
      </c>
      <c r="C24" s="26" t="s">
        <v>106</v>
      </c>
      <c r="D24" s="27" t="s">
        <v>92</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121</v>
      </c>
      <c r="B25" s="25" t="s">
        <v>137</v>
      </c>
      <c r="C25" s="26" t="s">
        <v>138</v>
      </c>
      <c r="D25" s="27" t="s">
        <v>92</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139</v>
      </c>
    </row>
    <row r="26" customFormat="false" ht="15" hidden="false" customHeight="true" outlineLevel="0" collapsed="false">
      <c r="A26" s="24" t="s">
        <v>121</v>
      </c>
      <c r="B26" s="25" t="s">
        <v>140</v>
      </c>
      <c r="C26" s="26" t="s">
        <v>141</v>
      </c>
      <c r="D26" s="27" t="s">
        <v>92</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121</v>
      </c>
      <c r="B27" s="25" t="s">
        <v>142</v>
      </c>
      <c r="C27" s="26" t="s">
        <v>143</v>
      </c>
      <c r="D27" s="27" t="s">
        <v>92</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121</v>
      </c>
      <c r="B28" s="25" t="s">
        <v>95</v>
      </c>
      <c r="C28" s="26" t="s">
        <v>96</v>
      </c>
      <c r="D28" s="27" t="s">
        <v>92</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121</v>
      </c>
      <c r="B29" s="25" t="s">
        <v>99</v>
      </c>
      <c r="C29" s="26" t="s">
        <v>100</v>
      </c>
      <c r="D29" s="27" t="s">
        <v>92</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121</v>
      </c>
      <c r="B30" s="25" t="s">
        <v>144</v>
      </c>
      <c r="C30" s="26" t="s">
        <v>145</v>
      </c>
      <c r="D30" s="27" t="s">
        <v>92</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146</v>
      </c>
    </row>
    <row r="31" customFormat="false" ht="15" hidden="true" customHeight="true" outlineLevel="1" collapsed="false">
      <c r="A31" s="24" t="s">
        <v>121</v>
      </c>
      <c r="B31" s="25" t="s">
        <v>147</v>
      </c>
      <c r="C31" s="26" t="s">
        <v>148</v>
      </c>
      <c r="D31" s="27" t="s">
        <v>92</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149</v>
      </c>
    </row>
    <row r="32" customFormat="false" ht="15" hidden="true" customHeight="true" outlineLevel="1" collapsed="false">
      <c r="A32" s="24" t="s">
        <v>121</v>
      </c>
      <c r="B32" s="25" t="s">
        <v>150</v>
      </c>
      <c r="C32" s="26" t="s">
        <v>151</v>
      </c>
      <c r="D32" s="27" t="s">
        <v>92</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152</v>
      </c>
    </row>
    <row r="33" customFormat="false" ht="15" hidden="true" customHeight="true" outlineLevel="1" collapsed="false">
      <c r="A33" s="24" t="s">
        <v>121</v>
      </c>
      <c r="B33" s="25" t="s">
        <v>153</v>
      </c>
      <c r="C33" s="26" t="s">
        <v>154</v>
      </c>
      <c r="D33" s="27" t="s">
        <v>92</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155</v>
      </c>
    </row>
    <row r="34" customFormat="false" ht="15" hidden="false" customHeight="true" outlineLevel="0" collapsed="false">
      <c r="A34" s="24" t="s">
        <v>121</v>
      </c>
      <c r="B34" s="25" t="s">
        <v>156</v>
      </c>
      <c r="C34" s="26" t="s">
        <v>157</v>
      </c>
      <c r="D34" s="27" t="s">
        <v>115</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121</v>
      </c>
      <c r="B35" s="25" t="s">
        <v>158</v>
      </c>
      <c r="C35" s="26" t="s">
        <v>159</v>
      </c>
      <c r="D35" s="27" t="s">
        <v>92</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160</v>
      </c>
    </row>
    <row r="36" customFormat="false" ht="15" hidden="false" customHeight="true" outlineLevel="0" collapsed="false">
      <c r="A36" s="35" t="s">
        <v>121</v>
      </c>
      <c r="B36" s="36" t="s">
        <v>107</v>
      </c>
      <c r="C36" s="37" t="s">
        <v>108</v>
      </c>
      <c r="D36" s="38" t="s">
        <v>92</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118</v>
      </c>
      <c r="B37" s="55" t="n">
        <f aca="false">SUBTOTAL(103,B18:B36)</f>
        <v>14</v>
      </c>
      <c r="C37" s="56" t="s">
        <v>161</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true" outlineLevel="0" collapsed="false">
      <c r="E38" s="53"/>
      <c r="I38" s="54" t="s">
        <v>120</v>
      </c>
      <c r="J38" s="50" t="n">
        <f aca="false">I37/(H37-H34-H18)</f>
        <v>0.147753065331365</v>
      </c>
    </row>
    <row r="39" customFormat="false" ht="13.5" hidden="false" customHeight="true" outlineLevel="0" collapsed="false">
      <c r="E39" s="53"/>
    </row>
    <row r="40" customFormat="false" ht="15" hidden="false" customHeight="true" outlineLevel="0" collapsed="false">
      <c r="A40" s="58"/>
      <c r="B40" s="59"/>
      <c r="C40" s="60" t="s">
        <v>162</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true" outlineLevel="0" collapsed="false">
      <c r="A41" s="64"/>
      <c r="B41" s="64"/>
      <c r="C41" s="65" t="s">
        <v>163</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164</v>
      </c>
    </row>
    <row r="42" customFormat="false" ht="57.75" hidden="false" customHeight="true" outlineLevel="0" collapsed="false">
      <c r="A42" s="68" t="s">
        <v>165</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70" t="s">
        <v>166</v>
      </c>
      <c r="B1" s="70"/>
      <c r="C1" s="70"/>
      <c r="D1" s="70"/>
      <c r="E1" s="70"/>
      <c r="F1" s="70"/>
      <c r="G1" s="70"/>
      <c r="H1" s="70"/>
      <c r="I1" s="70"/>
      <c r="J1" s="70"/>
      <c r="K1" s="70"/>
      <c r="L1" s="70"/>
      <c r="M1" s="70"/>
      <c r="N1" s="70"/>
      <c r="O1" s="70"/>
      <c r="P1" s="70"/>
      <c r="Q1" s="70"/>
    </row>
    <row r="2" s="71" customFormat="true" ht="42" hidden="false" customHeight="true" outlineLevel="0" collapsed="false">
      <c r="A2" s="20" t="s">
        <v>76</v>
      </c>
      <c r="B2" s="20" t="s">
        <v>167</v>
      </c>
      <c r="C2" s="20" t="s">
        <v>168</v>
      </c>
      <c r="D2" s="20" t="s">
        <v>169</v>
      </c>
      <c r="E2" s="20" t="s">
        <v>170</v>
      </c>
      <c r="F2" s="20" t="s">
        <v>171</v>
      </c>
      <c r="G2" s="20" t="s">
        <v>172</v>
      </c>
      <c r="H2" s="20" t="s">
        <v>173</v>
      </c>
      <c r="I2" s="20" t="s">
        <v>174</v>
      </c>
      <c r="J2" s="20" t="s">
        <v>175</v>
      </c>
      <c r="K2" s="20" t="s">
        <v>176</v>
      </c>
      <c r="L2" s="20" t="s">
        <v>177</v>
      </c>
      <c r="M2" s="20" t="s">
        <v>178</v>
      </c>
      <c r="N2" s="20" t="s">
        <v>179</v>
      </c>
      <c r="O2" s="20" t="s">
        <v>180</v>
      </c>
      <c r="P2" s="20" t="s">
        <v>181</v>
      </c>
      <c r="Q2" s="20" t="s">
        <v>182</v>
      </c>
    </row>
    <row r="3" customFormat="false" ht="15" hidden="false" customHeight="true" outlineLevel="0" collapsed="false">
      <c r="A3" s="72" t="s">
        <v>90</v>
      </c>
      <c r="B3" s="27" t="s">
        <v>183</v>
      </c>
      <c r="C3" s="73" t="n">
        <v>46240</v>
      </c>
      <c r="D3" s="27" t="n">
        <v>85.8</v>
      </c>
      <c r="E3" s="27" t="n">
        <v>4.57</v>
      </c>
      <c r="F3" s="74" t="s">
        <v>184</v>
      </c>
      <c r="G3" s="27" t="n">
        <v>259.32</v>
      </c>
      <c r="H3" s="30" t="str">
        <f aca="false" t="array" ref="H3:H3">IFERROR(INDEX(_xlfn.stockhistory(A3,TODAY()-5,TODAY(),0,0,1),ROWS(_xlfn.stockhistory(A3,TODAY()-5,TODAY(),0,0,1)),1),"")</f>
        <v/>
      </c>
      <c r="I3" s="75" t="str">
        <f aca="false">IF(OR(G3="",H3=""),"",H3/G3-1)</f>
        <v/>
      </c>
      <c r="J3" s="76" t="n">
        <v>46275</v>
      </c>
      <c r="K3" s="27" t="s">
        <v>185</v>
      </c>
      <c r="L3" s="26" t="s">
        <v>186</v>
      </c>
      <c r="M3" s="27" t="s">
        <v>187</v>
      </c>
      <c r="N3" s="26"/>
      <c r="O3" s="77" t="n">
        <f aca="true">IF(C3="","",TODAY()-C3)</f>
        <v>20</v>
      </c>
      <c r="P3" s="78"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26"/>
    </row>
    <row r="4" customFormat="false" ht="15" hidden="false" customHeight="true" outlineLevel="0" collapsed="false">
      <c r="A4" s="72" t="s">
        <v>95</v>
      </c>
      <c r="B4" s="27" t="s">
        <v>183</v>
      </c>
      <c r="C4" s="73" t="n">
        <v>46240</v>
      </c>
      <c r="D4" s="27" t="n">
        <v>85</v>
      </c>
      <c r="E4" s="27" t="n">
        <v>4.57</v>
      </c>
      <c r="F4" s="74" t="s">
        <v>184</v>
      </c>
      <c r="G4" s="27" t="n">
        <v>190.51</v>
      </c>
      <c r="H4" s="30" t="str">
        <f aca="false" t="array" ref="H4:H4">IFERROR(INDEX(_xlfn.stockhistory(A4,TODAY()-5,TODAY(),0,0,1),ROWS(_xlfn.stockhistory(A4,TODAY()-5,TODAY(),0,0,1)),1),"")</f>
        <v/>
      </c>
      <c r="I4" s="75" t="str">
        <f aca="false">IF(OR(G4="",H4=""),"",H4/G4-1)</f>
        <v/>
      </c>
      <c r="J4" s="76" t="n">
        <v>46329</v>
      </c>
      <c r="K4" s="27" t="s">
        <v>185</v>
      </c>
      <c r="L4" s="26" t="s">
        <v>188</v>
      </c>
      <c r="M4" s="27" t="s">
        <v>187</v>
      </c>
      <c r="N4" s="26"/>
      <c r="O4" s="77" t="n">
        <f aca="true">IF(C4="","",TODAY()-C4)</f>
        <v>20</v>
      </c>
      <c r="P4" s="78"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26"/>
    </row>
    <row r="5" customFormat="false" ht="15" hidden="false" customHeight="true" outlineLevel="0" collapsed="false">
      <c r="A5" s="72" t="s">
        <v>97</v>
      </c>
      <c r="B5" s="27" t="s">
        <v>183</v>
      </c>
      <c r="C5" s="73" t="n">
        <v>46240</v>
      </c>
      <c r="D5" s="27" t="n">
        <v>73.2</v>
      </c>
      <c r="E5" s="27" t="n">
        <v>3.57</v>
      </c>
      <c r="F5" s="74" t="s">
        <v>189</v>
      </c>
      <c r="G5" s="27" t="n">
        <v>1678.22</v>
      </c>
      <c r="H5" s="30" t="str">
        <f aca="false" t="array" ref="H5:H5">IFERROR(INDEX(_xlfn.stockhistory(A5,TODAY()-5,TODAY(),0,0,1),ROWS(_xlfn.stockhistory(A5,TODAY()-5,TODAY(),0,0,1)),1),"")</f>
        <v/>
      </c>
      <c r="I5" s="75" t="str">
        <f aca="false">IF(OR(G5="",H5=""),"",H5/G5-1)</f>
        <v/>
      </c>
      <c r="J5" s="76" t="n">
        <v>46309</v>
      </c>
      <c r="K5" s="27" t="s">
        <v>187</v>
      </c>
      <c r="L5" s="26"/>
      <c r="M5" s="27" t="s">
        <v>187</v>
      </c>
      <c r="N5" s="26"/>
      <c r="O5" s="77" t="n">
        <f aca="true">IF(C5="","",TODAY()-C5)</f>
        <v>20</v>
      </c>
      <c r="P5" s="78"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26"/>
    </row>
    <row r="6" customFormat="false" ht="15" hidden="false" customHeight="true" outlineLevel="0" collapsed="false">
      <c r="A6" s="72" t="s">
        <v>99</v>
      </c>
      <c r="B6" s="27" t="s">
        <v>183</v>
      </c>
      <c r="C6" s="73" t="n">
        <v>46240</v>
      </c>
      <c r="D6" s="27" t="n">
        <v>70.4</v>
      </c>
      <c r="E6" s="27" t="n">
        <v>4</v>
      </c>
      <c r="F6" s="74" t="s">
        <v>189</v>
      </c>
      <c r="G6" s="27" t="n">
        <v>211.22</v>
      </c>
      <c r="H6" s="30" t="str">
        <f aca="false" t="array" ref="H6:H6">IFERROR(INDEX(_xlfn.stockhistory(A6,TODAY()-5,TODAY(),0,0,1),ROWS(_xlfn.stockhistory(A6,TODAY()-5,TODAY(),0,0,1)),1),"")</f>
        <v/>
      </c>
      <c r="I6" s="75" t="str">
        <f aca="false">IF(OR(G6="",H6=""),"",H6/G6-1)</f>
        <v/>
      </c>
      <c r="J6" s="76" t="n">
        <v>46260</v>
      </c>
      <c r="K6" s="27" t="s">
        <v>185</v>
      </c>
      <c r="L6" s="26" t="s">
        <v>190</v>
      </c>
      <c r="M6" s="27" t="s">
        <v>187</v>
      </c>
      <c r="N6" s="26"/>
      <c r="O6" s="77" t="n">
        <f aca="true">IF(C6="","",TODAY()-C6)</f>
        <v>20</v>
      </c>
      <c r="P6" s="78"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EARNINGS WINDOW</v>
      </c>
      <c r="Q6" s="26"/>
    </row>
    <row r="7" customFormat="false" ht="15" hidden="false" customHeight="true" outlineLevel="0" collapsed="false">
      <c r="A7" s="72" t="s">
        <v>101</v>
      </c>
      <c r="B7" s="27" t="s">
        <v>183</v>
      </c>
      <c r="C7" s="73" t="n">
        <v>46240</v>
      </c>
      <c r="D7" s="27" t="n">
        <v>68.6</v>
      </c>
      <c r="E7" s="27" t="n">
        <v>3.43</v>
      </c>
      <c r="F7" s="74" t="s">
        <v>189</v>
      </c>
      <c r="G7" s="27" t="n">
        <v>192.8</v>
      </c>
      <c r="H7" s="30" t="str">
        <f aca="false" t="array" ref="H7:H7">IFERROR(INDEX(_xlfn.stockhistory(A7,TODAY()-5,TODAY(),0,0,1),ROWS(_xlfn.stockhistory(A7,TODAY()-5,TODAY(),0,0,1)),1),"")</f>
        <v/>
      </c>
      <c r="I7" s="75" t="str">
        <f aca="false">IF(OR(G7="",H7=""),"",H7/G7-1)</f>
        <v/>
      </c>
      <c r="J7" s="76" t="n">
        <v>46323</v>
      </c>
      <c r="K7" s="27" t="s">
        <v>185</v>
      </c>
      <c r="L7" s="26" t="s">
        <v>191</v>
      </c>
      <c r="M7" s="27" t="s">
        <v>187</v>
      </c>
      <c r="N7" s="26"/>
      <c r="O7" s="77" t="n">
        <f aca="true">IF(C7="","",TODAY()-C7)</f>
        <v>20</v>
      </c>
      <c r="P7" s="78"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26"/>
    </row>
    <row r="8" customFormat="false" ht="15" hidden="false" customHeight="true" outlineLevel="0" collapsed="false">
      <c r="A8" s="72" t="s">
        <v>103</v>
      </c>
      <c r="B8" s="27" t="s">
        <v>183</v>
      </c>
      <c r="C8" s="73" t="n">
        <v>46240</v>
      </c>
      <c r="D8" s="27" t="n">
        <v>71.8</v>
      </c>
      <c r="E8" s="27" t="n">
        <v>3.64</v>
      </c>
      <c r="F8" s="74" t="s">
        <v>189</v>
      </c>
      <c r="G8" s="27" t="n">
        <v>893.19</v>
      </c>
      <c r="H8" s="30" t="str">
        <f aca="false" t="array" ref="H8:H8">IFERROR(INDEX(_xlfn.stockhistory(A8,TODAY()-5,TODAY(),0,0,1),ROWS(_xlfn.stockhistory(A8,TODAY()-5,TODAY(),0,0,1)),1),"")</f>
        <v/>
      </c>
      <c r="I8" s="75" t="str">
        <f aca="false">IF(OR(G8="",H8=""),"",H8/G8-1)</f>
        <v/>
      </c>
      <c r="J8" s="76" t="n">
        <v>46288</v>
      </c>
      <c r="K8" s="27" t="s">
        <v>185</v>
      </c>
      <c r="L8" s="26" t="s">
        <v>192</v>
      </c>
      <c r="M8" s="27" t="s">
        <v>187</v>
      </c>
      <c r="N8" s="26"/>
      <c r="O8" s="77" t="n">
        <f aca="true">IF(C8="","",TODAY()-C8)</f>
        <v>20</v>
      </c>
      <c r="P8" s="78"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26"/>
    </row>
    <row r="9" customFormat="false" ht="15" hidden="false" customHeight="true" outlineLevel="0" collapsed="false">
      <c r="A9" s="72" t="s">
        <v>105</v>
      </c>
      <c r="B9" s="27" t="s">
        <v>183</v>
      </c>
      <c r="C9" s="73" t="n">
        <v>46240</v>
      </c>
      <c r="D9" s="27" t="n">
        <v>93.2</v>
      </c>
      <c r="E9" s="27" t="n">
        <v>4.57</v>
      </c>
      <c r="F9" s="74" t="s">
        <v>184</v>
      </c>
      <c r="G9" s="27" t="n">
        <v>211.87</v>
      </c>
      <c r="H9" s="30" t="str">
        <f aca="false" t="array" ref="H9:H9">IFERROR(INDEX(_xlfn.stockhistory(A9,TODAY()-5,TODAY(),0,0,1),ROWS(_xlfn.stockhistory(A9,TODAY()-5,TODAY(),0,0,1)),1),"")</f>
        <v/>
      </c>
      <c r="I9" s="75" t="str">
        <f aca="false">IF(OR(G9="",H9=""),"",H9/G9-1)</f>
        <v/>
      </c>
      <c r="J9" s="76" t="n">
        <v>46260</v>
      </c>
      <c r="K9" s="27" t="s">
        <v>187</v>
      </c>
      <c r="L9" s="26"/>
      <c r="M9" s="27" t="s">
        <v>187</v>
      </c>
      <c r="N9" s="26"/>
      <c r="O9" s="77" t="n">
        <f aca="true">IF(C9="","",TODAY()-C9)</f>
        <v>20</v>
      </c>
      <c r="P9" s="78"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EARNINGS WINDOW</v>
      </c>
      <c r="Q9" s="26"/>
    </row>
    <row r="10" customFormat="false" ht="15" hidden="false" customHeight="true" outlineLevel="0" collapsed="false">
      <c r="A10" s="72" t="s">
        <v>107</v>
      </c>
      <c r="B10" s="27" t="s">
        <v>183</v>
      </c>
      <c r="C10" s="73" t="n">
        <v>46240</v>
      </c>
      <c r="D10" s="27" t="n">
        <v>75.2</v>
      </c>
      <c r="E10" s="27" t="n">
        <v>4</v>
      </c>
      <c r="F10" s="74" t="s">
        <v>189</v>
      </c>
      <c r="G10" s="27" t="n">
        <v>162.66</v>
      </c>
      <c r="H10" s="30" t="str">
        <f aca="false" t="array" ref="H10:H10">IFERROR(INDEX(_xlfn.stockhistory(A10,TODAY()-5,TODAY(),0,0,1),ROWS(_xlfn.stockhistory(A10,TODAY()-5,TODAY(),0,0,1)),1),"")</f>
        <v/>
      </c>
      <c r="I10" s="75" t="str">
        <f aca="false">IF(OR(G10="",H10=""),"",H10/G10-1)</f>
        <v/>
      </c>
      <c r="J10" s="76" t="n">
        <v>46328</v>
      </c>
      <c r="K10" s="27" t="s">
        <v>185</v>
      </c>
      <c r="L10" s="26" t="s">
        <v>193</v>
      </c>
      <c r="M10" s="27" t="s">
        <v>187</v>
      </c>
      <c r="N10" s="26"/>
      <c r="O10" s="77" t="n">
        <f aca="true">IF(C10="","",TODAY()-C10)</f>
        <v>20</v>
      </c>
      <c r="P10" s="78"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26"/>
    </row>
    <row r="11" customFormat="false" ht="15" hidden="false" customHeight="true" outlineLevel="0" collapsed="false">
      <c r="A11" s="72" t="s">
        <v>109</v>
      </c>
      <c r="B11" s="27" t="s">
        <v>183</v>
      </c>
      <c r="C11" s="73" t="n">
        <v>46240</v>
      </c>
      <c r="D11" s="27" t="n">
        <v>81</v>
      </c>
      <c r="E11" s="27" t="n">
        <v>4</v>
      </c>
      <c r="F11" s="74" t="s">
        <v>184</v>
      </c>
      <c r="G11" s="27" t="n">
        <v>414</v>
      </c>
      <c r="H11" s="30" t="str">
        <f aca="false" t="array" ref="H11:H11">IFERROR(INDEX(_xlfn.stockhistory(A11,TODAY()-5,TODAY(),0,0,1),ROWS(_xlfn.stockhistory(A11,TODAY()-5,TODAY(),0,0,1)),1),"")</f>
        <v/>
      </c>
      <c r="I11" s="75" t="str">
        <f aca="false">IF(OR(G11="",H11=""),"",H11/G11-1)</f>
        <v/>
      </c>
      <c r="J11" s="76" t="n">
        <v>46310</v>
      </c>
      <c r="K11" s="27" t="s">
        <v>185</v>
      </c>
      <c r="L11" s="26" t="s">
        <v>194</v>
      </c>
      <c r="M11" s="27" t="s">
        <v>187</v>
      </c>
      <c r="N11" s="26"/>
      <c r="O11" s="77" t="n">
        <f aca="true">IF(C11="","",TODAY()-C11)</f>
        <v>20</v>
      </c>
      <c r="P11" s="78"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26"/>
    </row>
    <row r="12" customFormat="false" ht="15" hidden="false" customHeight="true" outlineLevel="0" collapsed="false">
      <c r="A12" s="72" t="s">
        <v>111</v>
      </c>
      <c r="B12" s="27" t="s">
        <v>183</v>
      </c>
      <c r="C12" s="73" t="n">
        <v>46240</v>
      </c>
      <c r="D12" s="27" t="n">
        <v>82.8</v>
      </c>
      <c r="E12" s="27" t="n">
        <v>4.36</v>
      </c>
      <c r="F12" s="74" t="s">
        <v>184</v>
      </c>
      <c r="G12" s="27" t="n">
        <v>277.94</v>
      </c>
      <c r="H12" s="30" t="str">
        <f aca="false" t="array" ref="H12:H12">IFERROR(INDEX(_xlfn.stockhistory(A12,TODAY()-5,TODAY(),0,0,1),ROWS(_xlfn.stockhistory(A12,TODAY()-5,TODAY(),0,0,1)),1),"")</f>
        <v/>
      </c>
      <c r="I12" s="75" t="str">
        <f aca="false">IF(OR(G12="",H12=""),"",H12/G12-1)</f>
        <v/>
      </c>
      <c r="J12" s="76" t="n">
        <v>46316</v>
      </c>
      <c r="K12" s="27" t="s">
        <v>187</v>
      </c>
      <c r="L12" s="26"/>
      <c r="M12" s="27" t="s">
        <v>187</v>
      </c>
      <c r="N12" s="26"/>
      <c r="O12" s="77" t="n">
        <f aca="true">IF(C12="","",TODAY()-C12)</f>
        <v>20</v>
      </c>
      <c r="P12" s="78"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26"/>
    </row>
    <row r="13" customFormat="false" ht="15" hidden="false" customHeight="true" outlineLevel="0" collapsed="false">
      <c r="A13" s="72" t="s">
        <v>135</v>
      </c>
      <c r="B13" s="27" t="s">
        <v>183</v>
      </c>
      <c r="C13" s="73" t="n">
        <v>46240</v>
      </c>
      <c r="D13" s="27" t="n">
        <v>80.8</v>
      </c>
      <c r="E13" s="27" t="n">
        <v>4.07</v>
      </c>
      <c r="F13" s="74" t="s">
        <v>184</v>
      </c>
      <c r="G13" s="27" t="n">
        <v>418.16</v>
      </c>
      <c r="H13" s="30" t="str">
        <f aca="false" t="array" ref="H13:H13">IFERROR(INDEX(_xlfn.stockhistory(A13,TODAY()-5,TODAY(),0,0,1),ROWS(_xlfn.stockhistory(A13,TODAY()-5,TODAY(),0,0,1)),1),"")</f>
        <v/>
      </c>
      <c r="I13" s="75" t="str">
        <f aca="false">IF(OR(G13="",H13=""),"",H13/G13-1)</f>
        <v/>
      </c>
      <c r="J13" s="76" t="n">
        <v>46267</v>
      </c>
      <c r="K13" s="27" t="s">
        <v>187</v>
      </c>
      <c r="L13" s="26"/>
      <c r="M13" s="27" t="s">
        <v>187</v>
      </c>
      <c r="N13" s="26"/>
      <c r="O13" s="77" t="n">
        <f aca="true">IF(C13="","",TODAY()-C13)</f>
        <v>20</v>
      </c>
      <c r="P13" s="78"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26"/>
    </row>
    <row r="14" customFormat="false" ht="15" hidden="false" customHeight="true" outlineLevel="0" collapsed="false">
      <c r="A14" s="72" t="s">
        <v>144</v>
      </c>
      <c r="B14" s="27" t="s">
        <v>183</v>
      </c>
      <c r="C14" s="73" t="n">
        <v>46240</v>
      </c>
      <c r="D14" s="27" t="n">
        <v>82</v>
      </c>
      <c r="E14" s="27" t="n">
        <v>4.36</v>
      </c>
      <c r="F14" s="74" t="s">
        <v>184</v>
      </c>
      <c r="G14" s="27" t="n">
        <v>139.06</v>
      </c>
      <c r="H14" s="30" t="str">
        <f aca="false" t="array" ref="H14:H14">IFERROR(INDEX(_xlfn.stockhistory(A14,TODAY()-5,TODAY(),0,0,1),ROWS(_xlfn.stockhistory(A14,TODAY()-5,TODAY(),0,0,1)),1),"")</f>
        <v/>
      </c>
      <c r="I14" s="75" t="str">
        <f aca="false">IF(OR(G14="",H14=""),"",H14/G14-1)</f>
        <v/>
      </c>
      <c r="J14" s="76" t="n">
        <v>46309</v>
      </c>
      <c r="K14" s="27" t="s">
        <v>187</v>
      </c>
      <c r="L14" s="26"/>
      <c r="M14" s="27" t="s">
        <v>187</v>
      </c>
      <c r="N14" s="26"/>
      <c r="O14" s="77" t="n">
        <f aca="true">IF(C14="","",TODAY()-C14)</f>
        <v>20</v>
      </c>
      <c r="P14" s="78"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26"/>
    </row>
    <row r="15" customFormat="false" ht="15" hidden="false" customHeight="true" outlineLevel="0" collapsed="false">
      <c r="A15" s="72" t="s">
        <v>137</v>
      </c>
      <c r="B15" s="27" t="s">
        <v>183</v>
      </c>
      <c r="C15" s="73" t="n">
        <v>46241</v>
      </c>
      <c r="D15" s="27" t="n">
        <v>75.6</v>
      </c>
      <c r="E15" s="27" t="n">
        <v>3.79</v>
      </c>
      <c r="F15" s="74" t="s">
        <v>189</v>
      </c>
      <c r="G15" s="27" t="n">
        <v>478.7</v>
      </c>
      <c r="H15" s="30" t="str">
        <f aca="false" t="array" ref="H15:H15">IFERROR(INDEX(_xlfn.stockhistory(A15,TODAY()-5,TODAY(),0,0,1),ROWS(_xlfn.stockhistory(A15,TODAY()-5,TODAY(),0,0,1)),1),"")</f>
        <v/>
      </c>
      <c r="I15" s="75" t="str">
        <f aca="false">IF(OR(G15="",H15=""),"",H15/G15-1)</f>
        <v/>
      </c>
      <c r="J15" s="76" t="n">
        <v>46328</v>
      </c>
      <c r="K15" s="27" t="s">
        <v>187</v>
      </c>
      <c r="L15" s="26"/>
      <c r="M15" s="27" t="s">
        <v>187</v>
      </c>
      <c r="N15" s="26"/>
      <c r="O15" s="77" t="n">
        <f aca="true">IF(C15="","",TODAY()-C15)</f>
        <v>19</v>
      </c>
      <c r="P15" s="78"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26" t="s">
        <v>195</v>
      </c>
    </row>
    <row r="16" customFormat="false" ht="15" hidden="true" customHeight="true" outlineLevel="1" collapsed="false">
      <c r="A16" s="72" t="s">
        <v>196</v>
      </c>
      <c r="B16" s="26" t="s">
        <v>197</v>
      </c>
      <c r="C16" s="73" t="n">
        <v>46246</v>
      </c>
      <c r="D16" s="27"/>
      <c r="E16" s="27" t="n">
        <v>1.36</v>
      </c>
      <c r="F16" s="74"/>
      <c r="G16" s="27" t="n">
        <v>53.52</v>
      </c>
      <c r="H16" s="30" t="str">
        <f aca="false" t="array" ref="H16:H16">IFERROR(INDEX(_xlfn.stockhistory(A16,TODAY()-5,TODAY(),0,0,1),ROWS(_xlfn.stockhistory(A16,TODAY()-5,TODAY(),0,0,1)),1),"")</f>
        <v/>
      </c>
      <c r="I16" s="75" t="str">
        <f aca="false">IF(OR(G16="",H16=""),"",H16/G16-1)</f>
        <v/>
      </c>
      <c r="J16" s="76" t="n">
        <v>46331</v>
      </c>
      <c r="K16" s="27" t="s">
        <v>187</v>
      </c>
      <c r="L16" s="26"/>
      <c r="M16" s="27" t="s">
        <v>187</v>
      </c>
      <c r="N16" s="26"/>
      <c r="O16" s="77" t="n">
        <f aca="true">IF(C16="","",TODAY()-C16)</f>
        <v>14</v>
      </c>
      <c r="P16" s="78"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26"/>
    </row>
    <row r="17" customFormat="false" ht="15" hidden="true" customHeight="true" outlineLevel="1" collapsed="false">
      <c r="A17" s="72" t="s">
        <v>198</v>
      </c>
      <c r="B17" s="26" t="s">
        <v>197</v>
      </c>
      <c r="C17" s="73" t="n">
        <v>46246</v>
      </c>
      <c r="D17" s="27"/>
      <c r="E17" s="27" t="n">
        <v>2.79</v>
      </c>
      <c r="F17" s="74"/>
      <c r="G17" s="27" t="n">
        <v>125.22</v>
      </c>
      <c r="H17" s="30" t="str">
        <f aca="false" t="array" ref="H17:H17">IFERROR(INDEX(_xlfn.stockhistory(A17,TODAY()-5,TODAY(),0,0,1),ROWS(_xlfn.stockhistory(A17,TODAY()-5,TODAY(),0,0,1)),1),"")</f>
        <v/>
      </c>
      <c r="I17" s="75" t="str">
        <f aca="false">IF(OR(G17="",H17=""),"",H17/G17-1)</f>
        <v/>
      </c>
      <c r="J17" s="76" t="n">
        <v>46350</v>
      </c>
      <c r="K17" s="27" t="s">
        <v>185</v>
      </c>
      <c r="L17" s="26" t="s">
        <v>199</v>
      </c>
      <c r="M17" s="27" t="s">
        <v>187</v>
      </c>
      <c r="N17" s="26"/>
      <c r="O17" s="77" t="n">
        <f aca="true">IF(C17="","",TODAY()-C17)</f>
        <v>14</v>
      </c>
      <c r="P17" s="78"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26"/>
    </row>
    <row r="18" customFormat="false" ht="15" hidden="true" customHeight="true" outlineLevel="1" collapsed="false">
      <c r="A18" s="72" t="s">
        <v>200</v>
      </c>
      <c r="B18" s="26" t="s">
        <v>197</v>
      </c>
      <c r="C18" s="73" t="n">
        <v>46245</v>
      </c>
      <c r="D18" s="27"/>
      <c r="E18" s="27" t="n">
        <v>1.79</v>
      </c>
      <c r="F18" s="74"/>
      <c r="G18" s="27" t="n">
        <v>44.84</v>
      </c>
      <c r="H18" s="30" t="str">
        <f aca="false" t="array" ref="H18:H18">IFERROR(INDEX(_xlfn.stockhistory(A18,TODAY()-5,TODAY(),0,0,1),ROWS(_xlfn.stockhistory(A18,TODAY()-5,TODAY(),0,0,1)),1),"")</f>
        <v/>
      </c>
      <c r="I18" s="75" t="str">
        <f aca="false">IF(OR(G18="",H18=""),"",H18/G18-1)</f>
        <v/>
      </c>
      <c r="J18" s="76" t="n">
        <v>46331</v>
      </c>
      <c r="K18" s="27" t="s">
        <v>187</v>
      </c>
      <c r="L18" s="26"/>
      <c r="M18" s="27" t="s">
        <v>187</v>
      </c>
      <c r="N18" s="26"/>
      <c r="O18" s="77" t="n">
        <f aca="true">IF(C18="","",TODAY()-C18)</f>
        <v>15</v>
      </c>
      <c r="P18" s="78"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26"/>
    </row>
    <row r="19" customFormat="false" ht="15" hidden="true" customHeight="true" outlineLevel="1" collapsed="false">
      <c r="A19" s="72" t="s">
        <v>201</v>
      </c>
      <c r="B19" s="26" t="s">
        <v>197</v>
      </c>
      <c r="C19" s="73" t="n">
        <v>46245</v>
      </c>
      <c r="D19" s="27"/>
      <c r="E19" s="27" t="n">
        <v>1.86</v>
      </c>
      <c r="F19" s="74"/>
      <c r="G19" s="27" t="n">
        <v>12.41</v>
      </c>
      <c r="H19" s="30" t="str">
        <f aca="false" t="array" ref="H19:H19">IFERROR(INDEX(_xlfn.stockhistory(A19,TODAY()-5,TODAY(),0,0,1),ROWS(_xlfn.stockhistory(A19,TODAY()-5,TODAY(),0,0,1)),1),"")</f>
        <v/>
      </c>
      <c r="I19" s="75" t="str">
        <f aca="false">IF(OR(G19="",H19=""),"",H19/G19-1)</f>
        <v/>
      </c>
      <c r="J19" s="76" t="n">
        <v>46314</v>
      </c>
      <c r="K19" s="27" t="s">
        <v>187</v>
      </c>
      <c r="L19" s="26"/>
      <c r="M19" s="27" t="s">
        <v>187</v>
      </c>
      <c r="N19" s="26"/>
      <c r="O19" s="77" t="n">
        <f aca="true">IF(C19="","",TODAY()-C19)</f>
        <v>15</v>
      </c>
      <c r="P19" s="78"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26"/>
    </row>
    <row r="20" customFormat="false" ht="15" hidden="false" customHeight="true" outlineLevel="0" collapsed="false">
      <c r="A20" s="72" t="s">
        <v>202</v>
      </c>
      <c r="B20" s="27" t="s">
        <v>203</v>
      </c>
      <c r="C20" s="73" t="n">
        <v>46245</v>
      </c>
      <c r="D20" s="27"/>
      <c r="E20" s="27" t="n">
        <v>3.71</v>
      </c>
      <c r="F20" s="74"/>
      <c r="G20" s="27" t="n">
        <v>32</v>
      </c>
      <c r="H20" s="30" t="str">
        <f aca="false" t="array" ref="H20:H20">IFERROR(INDEX(_xlfn.stockhistory(A20,TODAY()-5,TODAY(),0,0,1),ROWS(_xlfn.stockhistory(A20,TODAY()-5,TODAY(),0,0,1)),1),"")</f>
        <v/>
      </c>
      <c r="I20" s="75" t="str">
        <f aca="false">IF(OR(G20="",H20=""),"",H20/G20-1)</f>
        <v/>
      </c>
      <c r="J20" s="76" t="n">
        <v>46330</v>
      </c>
      <c r="K20" s="27" t="s">
        <v>187</v>
      </c>
      <c r="L20" s="26"/>
      <c r="M20" s="27" t="s">
        <v>187</v>
      </c>
      <c r="N20" s="26"/>
      <c r="O20" s="77" t="n">
        <f aca="true">IF(C20="","",TODAY()-C20)</f>
        <v>15</v>
      </c>
      <c r="P20" s="78"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26"/>
    </row>
    <row r="21" customFormat="false" ht="15" hidden="false" customHeight="true" outlineLevel="0" collapsed="false">
      <c r="A21" s="72" t="s">
        <v>204</v>
      </c>
      <c r="B21" s="27" t="s">
        <v>203</v>
      </c>
      <c r="C21" s="73" t="n">
        <v>46245</v>
      </c>
      <c r="D21" s="27" t="n">
        <v>77.4</v>
      </c>
      <c r="E21" s="27" t="n">
        <v>4.14</v>
      </c>
      <c r="F21" s="74" t="s">
        <v>189</v>
      </c>
      <c r="G21" s="27" t="n">
        <v>944.32</v>
      </c>
      <c r="H21" s="30" t="str">
        <f aca="false" t="array" ref="H21:H21">IFERROR(INDEX(_xlfn.stockhistory(A21,TODAY()-5,TODAY(),0,0,1),ROWS(_xlfn.stockhistory(A21,TODAY()-5,TODAY(),0,0,1)),1),"")</f>
        <v/>
      </c>
      <c r="I21" s="75" t="str">
        <f aca="false">IF(OR(G21="",H21=""),"",H21/G21-1)</f>
        <v/>
      </c>
      <c r="J21" s="76" t="n">
        <v>46289</v>
      </c>
      <c r="K21" s="27" t="s">
        <v>187</v>
      </c>
      <c r="L21" s="26"/>
      <c r="M21" s="27" t="s">
        <v>187</v>
      </c>
      <c r="N21" s="26"/>
      <c r="O21" s="77" t="n">
        <f aca="true">IF(C21="","",TODAY()-C21)</f>
        <v>15</v>
      </c>
      <c r="P21" s="78"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26"/>
    </row>
    <row r="22" customFormat="false" ht="15" hidden="true" customHeight="true" outlineLevel="1" collapsed="false">
      <c r="A22" s="72" t="s">
        <v>205</v>
      </c>
      <c r="B22" s="26" t="s">
        <v>197</v>
      </c>
      <c r="C22" s="73" t="n">
        <v>46245</v>
      </c>
      <c r="D22" s="27"/>
      <c r="E22" s="27" t="n">
        <v>1.21</v>
      </c>
      <c r="F22" s="74"/>
      <c r="G22" s="27" t="n">
        <v>14.39</v>
      </c>
      <c r="H22" s="30" t="str">
        <f aca="false" t="array" ref="H22:H22">IFERROR(INDEX(_xlfn.stockhistory(A22,TODAY()-5,TODAY(),0,0,1),ROWS(_xlfn.stockhistory(A22,TODAY()-5,TODAY(),0,0,1)),1),"")</f>
        <v/>
      </c>
      <c r="I22" s="75" t="str">
        <f aca="false">IF(OR(G22="",H22=""),"",H22/G22-1)</f>
        <v/>
      </c>
      <c r="J22" s="76" t="n">
        <v>46328</v>
      </c>
      <c r="K22" s="27" t="s">
        <v>187</v>
      </c>
      <c r="L22" s="26"/>
      <c r="M22" s="27" t="s">
        <v>187</v>
      </c>
      <c r="N22" s="26"/>
      <c r="O22" s="77" t="n">
        <f aca="true">IF(C22="","",TODAY()-C22)</f>
        <v>15</v>
      </c>
      <c r="P22" s="78"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26"/>
    </row>
    <row r="23" customFormat="false" ht="15" hidden="true" customHeight="true" outlineLevel="1" collapsed="false">
      <c r="A23" s="72" t="s">
        <v>206</v>
      </c>
      <c r="B23" s="26" t="s">
        <v>197</v>
      </c>
      <c r="C23" s="73" t="n">
        <v>46245</v>
      </c>
      <c r="D23" s="27"/>
      <c r="E23" s="27" t="n">
        <v>2.36</v>
      </c>
      <c r="F23" s="74"/>
      <c r="G23" s="27" t="n">
        <v>94.94</v>
      </c>
      <c r="H23" s="30" t="str">
        <f aca="false" t="array" ref="H23:H23">IFERROR(INDEX(_xlfn.stockhistory(A23,TODAY()-5,TODAY(),0,0,1),ROWS(_xlfn.stockhistory(A23,TODAY()-5,TODAY(),0,0,1)),1),"")</f>
        <v/>
      </c>
      <c r="I23" s="75" t="str">
        <f aca="false">IF(OR(G23="",H23=""),"",H23/G23-1)</f>
        <v/>
      </c>
      <c r="J23" s="76" t="n">
        <v>46240</v>
      </c>
      <c r="K23" s="27" t="s">
        <v>187</v>
      </c>
      <c r="L23" s="26"/>
      <c r="M23" s="27" t="s">
        <v>187</v>
      </c>
      <c r="N23" s="26"/>
      <c r="O23" s="77" t="n">
        <f aca="true">IF(C23="","",TODAY()-C23)</f>
        <v>15</v>
      </c>
      <c r="P23" s="78"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26"/>
    </row>
    <row r="24" customFormat="false" ht="15" hidden="true" customHeight="true" outlineLevel="1" collapsed="false">
      <c r="A24" s="72" t="s">
        <v>207</v>
      </c>
      <c r="B24" s="26" t="s">
        <v>197</v>
      </c>
      <c r="C24" s="73" t="n">
        <v>46258</v>
      </c>
      <c r="D24" s="27"/>
      <c r="E24" s="27" t="n">
        <v>2.93</v>
      </c>
      <c r="F24" s="74"/>
      <c r="G24" s="27" t="n">
        <v>110.61</v>
      </c>
      <c r="H24" s="30" t="str">
        <f aca="false" t="array" ref="H24:H24">IFERROR(INDEX(_xlfn.stockhistory(A24,TODAY()-5,TODAY(),0,0,1),ROWS(_xlfn.stockhistory(A24,TODAY()-5,TODAY(),0,0,1)),1),"")</f>
        <v/>
      </c>
      <c r="I24" s="75" t="str">
        <f aca="false">IF(OR(G24="",H24=""),"",H24/G24-1)</f>
        <v/>
      </c>
      <c r="J24" s="76" t="n">
        <v>46338</v>
      </c>
      <c r="K24" s="27" t="s">
        <v>185</v>
      </c>
      <c r="L24" s="26" t="s">
        <v>208</v>
      </c>
      <c r="M24" s="27" t="s">
        <v>187</v>
      </c>
      <c r="N24" s="26"/>
      <c r="O24" s="77" t="n">
        <f aca="true">IF(C24="","",TODAY()-C24)</f>
        <v>2</v>
      </c>
      <c r="P24" s="78"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26"/>
    </row>
    <row r="25" customFormat="false" ht="15" hidden="false" customHeight="true" outlineLevel="0" collapsed="false">
      <c r="A25" s="72" t="s">
        <v>209</v>
      </c>
      <c r="B25" s="27" t="s">
        <v>203</v>
      </c>
      <c r="C25" s="73" t="n">
        <v>46245</v>
      </c>
      <c r="D25" s="27"/>
      <c r="E25" s="27" t="n">
        <v>4.86</v>
      </c>
      <c r="F25" s="74"/>
      <c r="G25" s="27" t="n">
        <v>357.34</v>
      </c>
      <c r="H25" s="30" t="str">
        <f aca="false" t="array" ref="H25:H25">IFERROR(INDEX(_xlfn.stockhistory(A25,TODAY()-5,TODAY(),0,0,1),ROWS(_xlfn.stockhistory(A25,TODAY()-5,TODAY(),0,0,1)),1),"")</f>
        <v/>
      </c>
      <c r="I25" s="75" t="str">
        <f aca="false">IF(OR(G25="",H25=""),"",H25/G25-1)</f>
        <v/>
      </c>
      <c r="J25" s="76" t="n">
        <v>46308</v>
      </c>
      <c r="K25" s="27" t="s">
        <v>187</v>
      </c>
      <c r="L25" s="26"/>
      <c r="M25" s="27" t="s">
        <v>187</v>
      </c>
      <c r="N25" s="26"/>
      <c r="O25" s="77" t="n">
        <f aca="true">IF(C25="","",TODAY()-C25)</f>
        <v>15</v>
      </c>
      <c r="P25" s="78"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26"/>
    </row>
    <row r="26" customFormat="false" ht="15" hidden="true" customHeight="true" outlineLevel="1" collapsed="false">
      <c r="A26" s="72" t="s">
        <v>210</v>
      </c>
      <c r="B26" s="26" t="s">
        <v>197</v>
      </c>
      <c r="C26" s="73" t="n">
        <v>46245</v>
      </c>
      <c r="D26" s="27"/>
      <c r="E26" s="27" t="n">
        <v>2.14</v>
      </c>
      <c r="F26" s="74"/>
      <c r="G26" s="27" t="n">
        <v>87.78</v>
      </c>
      <c r="H26" s="30" t="str">
        <f aca="false" t="array" ref="H26:H26">IFERROR(INDEX(_xlfn.stockhistory(A26,TODAY()-5,TODAY(),0,0,1),ROWS(_xlfn.stockhistory(A26,TODAY()-5,TODAY(),0,0,1)),1),"")</f>
        <v/>
      </c>
      <c r="I26" s="75" t="str">
        <f aca="false">IF(OR(G26="",H26=""),"",H26/G26-1)</f>
        <v/>
      </c>
      <c r="J26" s="76" t="n">
        <v>46328</v>
      </c>
      <c r="K26" s="27" t="s">
        <v>185</v>
      </c>
      <c r="L26" s="26" t="s">
        <v>211</v>
      </c>
      <c r="M26" s="27" t="s">
        <v>187</v>
      </c>
      <c r="N26" s="26"/>
      <c r="O26" s="77" t="n">
        <f aca="true">IF(C26="","",TODAY()-C26)</f>
        <v>15</v>
      </c>
      <c r="P26" s="78"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26"/>
    </row>
    <row r="27" customFormat="false" ht="15" hidden="false" customHeight="true" outlineLevel="0" collapsed="false">
      <c r="A27" s="72" t="s">
        <v>212</v>
      </c>
      <c r="B27" s="27" t="s">
        <v>203</v>
      </c>
      <c r="C27" s="73" t="n">
        <v>46245</v>
      </c>
      <c r="D27" s="27"/>
      <c r="E27" s="27" t="n">
        <v>4</v>
      </c>
      <c r="F27" s="74"/>
      <c r="G27" s="27" t="n">
        <v>20.78</v>
      </c>
      <c r="H27" s="30" t="str">
        <f aca="false" t="array" ref="H27:H27">IFERROR(INDEX(_xlfn.stockhistory(A27,TODAY()-5,TODAY(),0,0,1),ROWS(_xlfn.stockhistory(A27,TODAY()-5,TODAY(),0,0,1)),1),"")</f>
        <v/>
      </c>
      <c r="I27" s="75" t="str">
        <f aca="false">IF(OR(G27="",H27=""),"",H27/G27-1)</f>
        <v/>
      </c>
      <c r="J27" s="76" t="n">
        <v>46330</v>
      </c>
      <c r="K27" s="27" t="s">
        <v>185</v>
      </c>
      <c r="L27" s="26" t="s">
        <v>213</v>
      </c>
      <c r="M27" s="27" t="s">
        <v>187</v>
      </c>
      <c r="N27" s="26"/>
      <c r="O27" s="77" t="n">
        <f aca="true">IF(C27="","",TODAY()-C27)</f>
        <v>15</v>
      </c>
      <c r="P27" s="78"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26"/>
    </row>
    <row r="28" customFormat="false" ht="15" hidden="false" customHeight="true" outlineLevel="0" collapsed="false">
      <c r="A28" s="72" t="s">
        <v>214</v>
      </c>
      <c r="B28" s="27" t="s">
        <v>203</v>
      </c>
      <c r="C28" s="73" t="n">
        <v>46247</v>
      </c>
      <c r="D28" s="27"/>
      <c r="E28" s="27" t="n">
        <v>3.5</v>
      </c>
      <c r="F28" s="74"/>
      <c r="G28" s="27" t="n">
        <v>453.33</v>
      </c>
      <c r="H28" s="30" t="str">
        <f aca="false" t="array" ref="H28:H28">IFERROR(INDEX(_xlfn.stockhistory(A28,TODAY()-5,TODAY(),0,0,1),ROWS(_xlfn.stockhistory(A28,TODAY()-5,TODAY(),0,0,1)),1),"")</f>
        <v/>
      </c>
      <c r="I28" s="75" t="str">
        <f aca="false">IF(OR(G28="",H28=""),"",H28/G28-1)</f>
        <v/>
      </c>
      <c r="J28" s="76" t="n">
        <v>46329</v>
      </c>
      <c r="K28" s="27" t="s">
        <v>185</v>
      </c>
      <c r="L28" s="26" t="s">
        <v>215</v>
      </c>
      <c r="M28" s="27" t="s">
        <v>187</v>
      </c>
      <c r="N28" s="26"/>
      <c r="O28" s="77" t="n">
        <f aca="true">IF(C28="","",TODAY()-C28)</f>
        <v>13</v>
      </c>
      <c r="P28" s="78"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26"/>
    </row>
    <row r="29" customFormat="false" ht="15" hidden="false" customHeight="true" outlineLevel="0" collapsed="false">
      <c r="A29" s="72" t="s">
        <v>216</v>
      </c>
      <c r="B29" s="27" t="s">
        <v>203</v>
      </c>
      <c r="C29" s="73" t="n">
        <v>46246</v>
      </c>
      <c r="D29" s="27"/>
      <c r="E29" s="27" t="n">
        <v>3.43</v>
      </c>
      <c r="F29" s="74"/>
      <c r="G29" s="27" t="n">
        <v>79.63</v>
      </c>
      <c r="H29" s="30" t="str">
        <f aca="false" t="array" ref="H29:H29">IFERROR(INDEX(_xlfn.stockhistory(A29,TODAY()-5,TODAY(),0,0,1),ROWS(_xlfn.stockhistory(A29,TODAY()-5,TODAY(),0,0,1)),1),"")</f>
        <v/>
      </c>
      <c r="I29" s="75" t="str">
        <f aca="false">IF(OR(G29="",H29=""),"",H29/G29-1)</f>
        <v/>
      </c>
      <c r="J29" s="76" t="n">
        <v>46330</v>
      </c>
      <c r="K29" s="27" t="s">
        <v>185</v>
      </c>
      <c r="L29" s="26" t="s">
        <v>217</v>
      </c>
      <c r="M29" s="27" t="s">
        <v>187</v>
      </c>
      <c r="N29" s="26"/>
      <c r="O29" s="77" t="n">
        <f aca="true">IF(C29="","",TODAY()-C29)</f>
        <v>14</v>
      </c>
      <c r="P29" s="78"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26"/>
    </row>
    <row r="30" customFormat="false" ht="15" hidden="false" customHeight="true" outlineLevel="0" collapsed="false">
      <c r="A30" s="72" t="s">
        <v>218</v>
      </c>
      <c r="B30" s="27" t="s">
        <v>203</v>
      </c>
      <c r="C30" s="73" t="n">
        <v>46247</v>
      </c>
      <c r="D30" s="27"/>
      <c r="E30" s="27" t="n">
        <v>3.86</v>
      </c>
      <c r="F30" s="74"/>
      <c r="G30" s="27" t="n">
        <v>360.64</v>
      </c>
      <c r="H30" s="30" t="str">
        <f aca="false" t="array" ref="H30:H30">IFERROR(INDEX(_xlfn.stockhistory(A30,TODAY()-5,TODAY(),0,0,1),ROWS(_xlfn.stockhistory(A30,TODAY()-5,TODAY(),0,0,1)),1),"")</f>
        <v/>
      </c>
      <c r="I30" s="75" t="str">
        <f aca="false">IF(OR(G30="",H30=""),"",H30/G30-1)</f>
        <v/>
      </c>
      <c r="J30" s="76" t="n">
        <v>46315</v>
      </c>
      <c r="K30" s="27" t="s">
        <v>185</v>
      </c>
      <c r="L30" s="26" t="s">
        <v>219</v>
      </c>
      <c r="M30" s="27" t="s">
        <v>187</v>
      </c>
      <c r="N30" s="26"/>
      <c r="O30" s="77" t="n">
        <f aca="true">IF(C30="","",TODAY()-C30)</f>
        <v>13</v>
      </c>
      <c r="P30" s="78"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26"/>
    </row>
    <row r="31" customFormat="false" ht="15" hidden="true" customHeight="true" outlineLevel="1" collapsed="false">
      <c r="A31" s="72" t="s">
        <v>220</v>
      </c>
      <c r="B31" s="26" t="s">
        <v>197</v>
      </c>
      <c r="C31" s="73" t="n">
        <v>46246</v>
      </c>
      <c r="D31" s="27"/>
      <c r="E31" s="27" t="n">
        <v>2.5</v>
      </c>
      <c r="F31" s="74"/>
      <c r="G31" s="27" t="n">
        <v>8.64</v>
      </c>
      <c r="H31" s="30" t="str">
        <f aca="false" t="array" ref="H31:H31">IFERROR(INDEX(_xlfn.stockhistory(A31,TODAY()-5,TODAY(),0,0,1),ROWS(_xlfn.stockhistory(A31,TODAY()-5,TODAY(),0,0,1)),1),"")</f>
        <v/>
      </c>
      <c r="I31" s="75" t="str">
        <f aca="false">IF(OR(G31="",H31=""),"",H31/G31-1)</f>
        <v/>
      </c>
      <c r="J31" s="76" t="n">
        <v>46331</v>
      </c>
      <c r="K31" s="27" t="s">
        <v>187</v>
      </c>
      <c r="L31" s="26"/>
      <c r="M31" s="27"/>
      <c r="N31" s="26"/>
      <c r="O31" s="77" t="n">
        <f aca="true">IF(C31="","",TODAY()-C31)</f>
        <v>14</v>
      </c>
      <c r="P31" s="78"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26"/>
    </row>
    <row r="32" customFormat="false" ht="15" hidden="true" customHeight="true" outlineLevel="1" collapsed="false">
      <c r="A32" s="72" t="s">
        <v>221</v>
      </c>
      <c r="B32" s="26" t="s">
        <v>197</v>
      </c>
      <c r="C32" s="73" t="n">
        <v>46245</v>
      </c>
      <c r="D32" s="27"/>
      <c r="E32" s="27" t="n">
        <v>1.93</v>
      </c>
      <c r="F32" s="74"/>
      <c r="G32" s="27" t="n">
        <v>24.3</v>
      </c>
      <c r="H32" s="30" t="str">
        <f aca="false" t="array" ref="H32:H32">IFERROR(INDEX(_xlfn.stockhistory(A32,TODAY()-5,TODAY(),0,0,1),ROWS(_xlfn.stockhistory(A32,TODAY()-5,TODAY(),0,0,1)),1),"")</f>
        <v/>
      </c>
      <c r="I32" s="75" t="str">
        <f aca="false">IF(OR(G32="",H32=""),"",H32/G32-1)</f>
        <v/>
      </c>
      <c r="J32" s="76" t="n">
        <v>46261</v>
      </c>
      <c r="K32" s="27" t="s">
        <v>187</v>
      </c>
      <c r="L32" s="26"/>
      <c r="M32" s="27" t="s">
        <v>187</v>
      </c>
      <c r="N32" s="26"/>
      <c r="O32" s="77" t="n">
        <f aca="true">IF(C32="","",TODAY()-C32)</f>
        <v>15</v>
      </c>
      <c r="P32" s="78"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DUE — EARNINGS WINDOW</v>
      </c>
      <c r="Q32" s="26"/>
    </row>
    <row r="33" customFormat="false" ht="15" hidden="true" customHeight="true" outlineLevel="1" collapsed="false">
      <c r="A33" s="72" t="s">
        <v>222</v>
      </c>
      <c r="B33" s="26" t="s">
        <v>197</v>
      </c>
      <c r="C33" s="73" t="n">
        <v>46245</v>
      </c>
      <c r="D33" s="27"/>
      <c r="E33" s="27" t="n">
        <v>2.07</v>
      </c>
      <c r="F33" s="74"/>
      <c r="G33" s="27" t="n">
        <v>21.48</v>
      </c>
      <c r="H33" s="30" t="str">
        <f aca="false" t="array" ref="H33:H33">IFERROR(INDEX(_xlfn.stockhistory(A33,TODAY()-5,TODAY(),0,0,1),ROWS(_xlfn.stockhistory(A33,TODAY()-5,TODAY(),0,0,1)),1),"")</f>
        <v/>
      </c>
      <c r="I33" s="75" t="str">
        <f aca="false">IF(OR(G33="",H33=""),"",H33/G33-1)</f>
        <v/>
      </c>
      <c r="J33" s="76" t="n">
        <v>46309</v>
      </c>
      <c r="K33" s="27" t="s">
        <v>185</v>
      </c>
      <c r="L33" s="26" t="s">
        <v>223</v>
      </c>
      <c r="M33" s="27" t="s">
        <v>187</v>
      </c>
      <c r="N33" s="26"/>
      <c r="O33" s="77" t="n">
        <f aca="true">IF(C33="","",TODAY()-C33)</f>
        <v>15</v>
      </c>
      <c r="P33" s="78"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26"/>
    </row>
    <row r="34" customFormat="false" ht="15" hidden="false" customHeight="true" outlineLevel="0" collapsed="false">
      <c r="A34" s="72" t="s">
        <v>224</v>
      </c>
      <c r="B34" s="27" t="s">
        <v>203</v>
      </c>
      <c r="C34" s="73" t="n">
        <v>46245</v>
      </c>
      <c r="D34" s="27"/>
      <c r="E34" s="27" t="n">
        <v>4.5</v>
      </c>
      <c r="F34" s="74"/>
      <c r="G34" s="27" t="n">
        <v>490.53</v>
      </c>
      <c r="H34" s="30" t="str">
        <f aca="false" t="array" ref="H34:H34">IFERROR(INDEX(_xlfn.stockhistory(A34,TODAY()-5,TODAY(),0,0,1),ROWS(_xlfn.stockhistory(A34,TODAY()-5,TODAY(),0,0,1)),1),"")</f>
        <v/>
      </c>
      <c r="I34" s="75" t="str">
        <f aca="false">IF(OR(G34="",H34=""),"",H34/G34-1)</f>
        <v/>
      </c>
      <c r="J34" s="76" t="n">
        <v>46325</v>
      </c>
      <c r="K34" s="27" t="s">
        <v>185</v>
      </c>
      <c r="L34" s="26" t="s">
        <v>225</v>
      </c>
      <c r="M34" s="27" t="s">
        <v>187</v>
      </c>
      <c r="N34" s="26"/>
      <c r="O34" s="77" t="n">
        <f aca="true">IF(C34="","",TODAY()-C34)</f>
        <v>15</v>
      </c>
      <c r="P34" s="78"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26"/>
    </row>
    <row r="35" customFormat="false" ht="15" hidden="true" customHeight="true" outlineLevel="1" collapsed="false">
      <c r="A35" s="72" t="s">
        <v>226</v>
      </c>
      <c r="B35" s="26" t="s">
        <v>197</v>
      </c>
      <c r="C35" s="73" t="n">
        <v>46245</v>
      </c>
      <c r="D35" s="27"/>
      <c r="E35" s="27" t="n">
        <v>2.5</v>
      </c>
      <c r="F35" s="74"/>
      <c r="G35" s="27" t="n">
        <v>85.74</v>
      </c>
      <c r="H35" s="30" t="str">
        <f aca="false" t="array" ref="H35:H35">IFERROR(INDEX(_xlfn.stockhistory(A35,TODAY()-5,TODAY(),0,0,1),ROWS(_xlfn.stockhistory(A35,TODAY()-5,TODAY(),0,0,1)),1),"")</f>
        <v/>
      </c>
      <c r="I35" s="75" t="str">
        <f aca="false">IF(OR(G35="",H35=""),"",H35/G35-1)</f>
        <v/>
      </c>
      <c r="J35" s="76" t="n">
        <v>46322</v>
      </c>
      <c r="K35" s="27" t="s">
        <v>187</v>
      </c>
      <c r="L35" s="26"/>
      <c r="M35" s="27" t="s">
        <v>187</v>
      </c>
      <c r="N35" s="26"/>
      <c r="O35" s="77" t="n">
        <f aca="true">IF(C35="","",TODAY()-C35)</f>
        <v>15</v>
      </c>
      <c r="P35" s="78"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26"/>
    </row>
    <row r="36" customFormat="false" ht="15" hidden="false" customHeight="true" outlineLevel="0" collapsed="false">
      <c r="A36" s="72" t="s">
        <v>227</v>
      </c>
      <c r="B36" s="27" t="s">
        <v>203</v>
      </c>
      <c r="C36" s="73" t="n">
        <v>46258</v>
      </c>
      <c r="D36" s="27"/>
      <c r="E36" s="27" t="n">
        <v>4.21</v>
      </c>
      <c r="F36" s="74"/>
      <c r="G36" s="27" t="n">
        <v>80.01</v>
      </c>
      <c r="H36" s="30" t="str">
        <f aca="false" t="array" ref="H36:H36">IFERROR(INDEX(_xlfn.stockhistory(A36,TODAY()-5,TODAY(),0,0,1),ROWS(_xlfn.stockhistory(A36,TODAY()-5,TODAY(),0,0,1)),1),"")</f>
        <v/>
      </c>
      <c r="I36" s="75" t="str">
        <f aca="false">IF(OR(G36="",H36=""),"",H36/G36-1)</f>
        <v/>
      </c>
      <c r="J36" s="76" t="n">
        <v>46315</v>
      </c>
      <c r="K36" s="27" t="s">
        <v>185</v>
      </c>
      <c r="L36" s="26" t="s">
        <v>228</v>
      </c>
      <c r="M36" s="27" t="s">
        <v>187</v>
      </c>
      <c r="N36" s="26"/>
      <c r="O36" s="77" t="n">
        <f aca="true">IF(C36="","",TODAY()-C36)</f>
        <v>2</v>
      </c>
      <c r="P36" s="78"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26"/>
    </row>
    <row r="37" customFormat="false" ht="15" hidden="true" customHeight="true" outlineLevel="1" collapsed="false">
      <c r="A37" s="72" t="s">
        <v>229</v>
      </c>
      <c r="B37" s="26" t="s">
        <v>197</v>
      </c>
      <c r="C37" s="73" t="n">
        <v>46246</v>
      </c>
      <c r="D37" s="27"/>
      <c r="E37" s="27" t="n">
        <v>1.57</v>
      </c>
      <c r="F37" s="74"/>
      <c r="G37" s="27" t="n">
        <v>40.51</v>
      </c>
      <c r="H37" s="30" t="str">
        <f aca="false" t="array" ref="H37:H37">IFERROR(INDEX(_xlfn.stockhistory(A37,TODAY()-5,TODAY(),0,0,1),ROWS(_xlfn.stockhistory(A37,TODAY()-5,TODAY(),0,0,1)),1),"")</f>
        <v/>
      </c>
      <c r="I37" s="75" t="str">
        <f aca="false">IF(OR(G37="",H37=""),"",H37/G37-1)</f>
        <v/>
      </c>
      <c r="J37" s="76" t="n">
        <v>46294</v>
      </c>
      <c r="K37" s="27" t="s">
        <v>185</v>
      </c>
      <c r="L37" s="26" t="s">
        <v>230</v>
      </c>
      <c r="M37" s="27" t="s">
        <v>185</v>
      </c>
      <c r="N37" s="26" t="s">
        <v>231</v>
      </c>
      <c r="O37" s="77" t="n">
        <f aca="true">IF(C37="","",TODAY()-C37)</f>
        <v>14</v>
      </c>
      <c r="P37" s="78"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26"/>
    </row>
    <row r="38" customFormat="false" ht="15" hidden="true" customHeight="true" outlineLevel="1" collapsed="false">
      <c r="A38" s="72" t="s">
        <v>232</v>
      </c>
      <c r="B38" s="26" t="s">
        <v>197</v>
      </c>
      <c r="C38" s="73" t="n">
        <v>46245</v>
      </c>
      <c r="D38" s="27"/>
      <c r="E38" s="27" t="n">
        <v>2.64</v>
      </c>
      <c r="F38" s="74"/>
      <c r="G38" s="27" t="n">
        <v>21.02</v>
      </c>
      <c r="H38" s="30" t="str">
        <f aca="false" t="array" ref="H38:H38">IFERROR(INDEX(_xlfn.stockhistory(A38,TODAY()-5,TODAY(),0,0,1),ROWS(_xlfn.stockhistory(A38,TODAY()-5,TODAY(),0,0,1)),1),"")</f>
        <v/>
      </c>
      <c r="I38" s="75" t="str">
        <f aca="false">IF(OR(G38="",H38=""),"",H38/G38-1)</f>
        <v/>
      </c>
      <c r="J38" s="76" t="n">
        <v>46321</v>
      </c>
      <c r="K38" s="27" t="s">
        <v>185</v>
      </c>
      <c r="L38" s="26" t="s">
        <v>233</v>
      </c>
      <c r="M38" s="27" t="s">
        <v>185</v>
      </c>
      <c r="N38" s="26" t="s">
        <v>234</v>
      </c>
      <c r="O38" s="77" t="n">
        <f aca="true">IF(C38="","",TODAY()-C38)</f>
        <v>15</v>
      </c>
      <c r="P38" s="78"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26"/>
    </row>
    <row r="39" customFormat="false" ht="15" hidden="true" customHeight="true" outlineLevel="1" collapsed="false">
      <c r="A39" s="72" t="s">
        <v>158</v>
      </c>
      <c r="B39" s="26" t="s">
        <v>197</v>
      </c>
      <c r="C39" s="73" t="n">
        <v>46240</v>
      </c>
      <c r="D39" s="27"/>
      <c r="E39" s="27" t="n">
        <v>2.64</v>
      </c>
      <c r="F39" s="74"/>
      <c r="G39" s="27" t="n">
        <v>37.34</v>
      </c>
      <c r="H39" s="30" t="str">
        <f aca="false" t="array" ref="H39:H39">IFERROR(INDEX(_xlfn.stockhistory(A39,TODAY()-5,TODAY(),0,0,1),ROWS(_xlfn.stockhistory(A39,TODAY()-5,TODAY(),0,0,1)),1),"")</f>
        <v/>
      </c>
      <c r="I39" s="75" t="str">
        <f aca="false">IF(OR(G39="",H39=""),"",H39/G39-1)</f>
        <v/>
      </c>
      <c r="J39" s="76" t="n">
        <v>46337</v>
      </c>
      <c r="K39" s="27" t="s">
        <v>185</v>
      </c>
      <c r="L39" s="26" t="s">
        <v>235</v>
      </c>
      <c r="M39" s="27" t="s">
        <v>187</v>
      </c>
      <c r="N39" s="26"/>
      <c r="O39" s="77" t="n">
        <f aca="true">IF(C39="","",TODAY()-C39)</f>
        <v>20</v>
      </c>
      <c r="P39" s="78"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26"/>
    </row>
    <row r="40" customFormat="false" ht="15" hidden="false" customHeight="true" outlineLevel="0" collapsed="false">
      <c r="A40" s="72" t="s">
        <v>236</v>
      </c>
      <c r="B40" s="27" t="s">
        <v>203</v>
      </c>
      <c r="C40" s="73" t="n">
        <v>46245</v>
      </c>
      <c r="D40" s="27"/>
      <c r="E40" s="27" t="n">
        <v>4.21</v>
      </c>
      <c r="F40" s="74"/>
      <c r="G40" s="27" t="n">
        <v>145.21</v>
      </c>
      <c r="H40" s="30" t="str">
        <f aca="false" t="array" ref="H40:H40">IFERROR(INDEX(_xlfn.stockhistory(A40,TODAY()-5,TODAY(),0,0,1),ROWS(_xlfn.stockhistory(A40,TODAY()-5,TODAY(),0,0,1)),1),"")</f>
        <v/>
      </c>
      <c r="I40" s="75" t="str">
        <f aca="false">IF(OR(G40="",H40=""),"",H40/G40-1)</f>
        <v/>
      </c>
      <c r="J40" s="76" t="n">
        <v>46317</v>
      </c>
      <c r="K40" s="27" t="s">
        <v>185</v>
      </c>
      <c r="L40" s="26" t="s">
        <v>237</v>
      </c>
      <c r="M40" s="27" t="s">
        <v>187</v>
      </c>
      <c r="N40" s="26"/>
      <c r="O40" s="77" t="n">
        <f aca="true">IF(C40="","",TODAY()-C40)</f>
        <v>15</v>
      </c>
      <c r="P40" s="78"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26"/>
    </row>
    <row r="41" customFormat="false" ht="15" hidden="false" customHeight="true" outlineLevel="0" collapsed="false">
      <c r="A41" s="72" t="s">
        <v>238</v>
      </c>
      <c r="B41" s="27" t="s">
        <v>203</v>
      </c>
      <c r="C41" s="73" t="n">
        <v>46247</v>
      </c>
      <c r="D41" s="27"/>
      <c r="E41" s="27" t="n">
        <v>3.29</v>
      </c>
      <c r="F41" s="74"/>
      <c r="G41" s="27" t="n">
        <v>1058.87</v>
      </c>
      <c r="H41" s="30" t="str">
        <f aca="false" t="array" ref="H41:H41">IFERROR(INDEX(_xlfn.stockhistory(A41,TODAY()-5,TODAY(),0,0,1),ROWS(_xlfn.stockhistory(A41,TODAY()-5,TODAY(),0,0,1)),1),"")</f>
        <v/>
      </c>
      <c r="I41" s="75" t="str">
        <f aca="false">IF(OR(G41="",H41=""),"",H41/G41-1)</f>
        <v/>
      </c>
      <c r="J41" s="76" t="n">
        <v>46331</v>
      </c>
      <c r="K41" s="27" t="s">
        <v>185</v>
      </c>
      <c r="L41" s="26" t="s">
        <v>239</v>
      </c>
      <c r="M41" s="27" t="s">
        <v>187</v>
      </c>
      <c r="N41" s="26"/>
      <c r="O41" s="77" t="n">
        <f aca="true">IF(C41="","",TODAY()-C41)</f>
        <v>13</v>
      </c>
      <c r="P41" s="78"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26"/>
    </row>
    <row r="42" customFormat="false" ht="15" hidden="true" customHeight="true" outlineLevel="1" collapsed="false">
      <c r="A42" s="72" t="s">
        <v>240</v>
      </c>
      <c r="B42" s="26" t="s">
        <v>197</v>
      </c>
      <c r="C42" s="73" t="n">
        <v>46245</v>
      </c>
      <c r="D42" s="27"/>
      <c r="E42" s="27" t="n">
        <v>1.36</v>
      </c>
      <c r="F42" s="74"/>
      <c r="G42" s="27" t="n">
        <v>24.32</v>
      </c>
      <c r="H42" s="30" t="str">
        <f aca="false" t="array" ref="H42:H42">IFERROR(INDEX(_xlfn.stockhistory(A42,TODAY()-5,TODAY(),0,0,1),ROWS(_xlfn.stockhistory(A42,TODAY()-5,TODAY(),0,0,1)),1),"")</f>
        <v/>
      </c>
      <c r="I42" s="75" t="str">
        <f aca="false">IF(OR(G42="",H42=""),"",H42/G42-1)</f>
        <v/>
      </c>
      <c r="J42" s="76" t="n">
        <v>46331</v>
      </c>
      <c r="K42" s="27" t="s">
        <v>187</v>
      </c>
      <c r="L42" s="26"/>
      <c r="M42" s="27" t="s">
        <v>185</v>
      </c>
      <c r="N42" s="26" t="s">
        <v>241</v>
      </c>
      <c r="O42" s="77" t="n">
        <f aca="true">IF(C42="","",TODAY()-C42)</f>
        <v>15</v>
      </c>
      <c r="P42" s="78"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26"/>
    </row>
    <row r="43" customFormat="false" ht="15" hidden="true" customHeight="true" outlineLevel="1" collapsed="false">
      <c r="A43" s="79" t="s">
        <v>147</v>
      </c>
      <c r="B43" s="80" t="s">
        <v>197</v>
      </c>
      <c r="C43" s="81" t="n">
        <v>46240</v>
      </c>
      <c r="D43" s="82"/>
      <c r="E43" s="82" t="n">
        <v>1.86</v>
      </c>
      <c r="F43" s="74"/>
      <c r="G43" s="82" t="n">
        <v>87.2</v>
      </c>
      <c r="H43" s="83" t="str">
        <f aca="false" t="array" ref="H43:H43">IFERROR(INDEX(_xlfn.stockhistory(A43,TODAY()-5,TODAY(),0,0,1),ROWS(_xlfn.stockhistory(A43,TODAY()-5,TODAY(),0,0,1)),1),"")</f>
        <v/>
      </c>
      <c r="I43" s="16" t="str">
        <f aca="false">IF(OR(G43="",H43=""),"",H43/G43-1)</f>
        <v/>
      </c>
      <c r="J43" s="84" t="n">
        <v>46323</v>
      </c>
      <c r="K43" s="82" t="s">
        <v>185</v>
      </c>
      <c r="L43" s="80" t="s">
        <v>242</v>
      </c>
      <c r="M43" s="82" t="s">
        <v>187</v>
      </c>
      <c r="N43" s="80"/>
      <c r="O43" s="85" t="n">
        <f aca="true">IF(C43="","",TODAY()-C43)</f>
        <v>20</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80"/>
    </row>
    <row r="44" customFormat="false" ht="15" hidden="true" customHeight="true" outlineLevel="1" collapsed="false">
      <c r="A44" s="79" t="s">
        <v>150</v>
      </c>
      <c r="B44" s="80" t="s">
        <v>197</v>
      </c>
      <c r="C44" s="81" t="n">
        <v>46240</v>
      </c>
      <c r="D44" s="82"/>
      <c r="E44" s="82" t="n">
        <v>1.93</v>
      </c>
      <c r="F44" s="74"/>
      <c r="G44" s="82" t="n">
        <v>319.53</v>
      </c>
      <c r="H44" s="83" t="str">
        <f aca="false" t="array" ref="H44:H44">IFERROR(INDEX(_xlfn.stockhistory(A44,TODAY()-5,TODAY(),0,0,1),ROWS(_xlfn.stockhistory(A44,TODAY()-5,TODAY(),0,0,1)),1),"")</f>
        <v/>
      </c>
      <c r="I44" s="16" t="str">
        <f aca="false">IF(OR(G44="",H44=""),"",H44/G44-1)</f>
        <v/>
      </c>
      <c r="J44" s="84" t="n">
        <v>46316</v>
      </c>
      <c r="K44" s="82" t="s">
        <v>187</v>
      </c>
      <c r="L44" s="80"/>
      <c r="M44" s="82" t="s">
        <v>187</v>
      </c>
      <c r="N44" s="80"/>
      <c r="O44" s="85" t="n">
        <f aca="true">IF(C44="","",TODAY()-C44)</f>
        <v>20</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80"/>
    </row>
    <row r="45" customFormat="false" ht="15" hidden="false" customHeight="true" outlineLevel="0" collapsed="false">
      <c r="A45" s="79" t="s">
        <v>243</v>
      </c>
      <c r="B45" s="82" t="s">
        <v>203</v>
      </c>
      <c r="C45" s="81" t="n">
        <v>46245</v>
      </c>
      <c r="D45" s="82" t="n">
        <v>86.4</v>
      </c>
      <c r="E45" s="82" t="n">
        <v>4.57</v>
      </c>
      <c r="F45" s="74" t="s">
        <v>184</v>
      </c>
      <c r="G45" s="82" t="n">
        <v>362.82</v>
      </c>
      <c r="H45" s="83" t="str">
        <f aca="false" t="array" ref="H45:H45">IFERROR(INDEX(_xlfn.stockhistory(A45,TODAY()-5,TODAY(),0,0,1),ROWS(_xlfn.stockhistory(A45,TODAY()-5,TODAY(),0,0,1)),1),"")</f>
        <v/>
      </c>
      <c r="I45" s="16" t="str">
        <f aca="false">IF(OR(G45="",H45=""),"",H45/G45-1)</f>
        <v/>
      </c>
      <c r="J45" s="84" t="n">
        <v>46322</v>
      </c>
      <c r="K45" s="82" t="s">
        <v>185</v>
      </c>
      <c r="L45" s="80" t="s">
        <v>244</v>
      </c>
      <c r="M45" s="82" t="s">
        <v>187</v>
      </c>
      <c r="N45" s="80"/>
      <c r="O45" s="85" t="n">
        <f aca="true">IF(C45="","",TODAY()-C45)</f>
        <v>15</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80"/>
    </row>
    <row r="46" customFormat="false" ht="15" hidden="true" customHeight="true" outlineLevel="1" collapsed="false">
      <c r="A46" s="79" t="s">
        <v>245</v>
      </c>
      <c r="B46" s="80" t="s">
        <v>197</v>
      </c>
      <c r="C46" s="81" t="n">
        <v>46246</v>
      </c>
      <c r="D46" s="82"/>
      <c r="E46" s="82" t="n">
        <v>2.86</v>
      </c>
      <c r="F46" s="74"/>
      <c r="G46" s="82" t="n">
        <v>14.57</v>
      </c>
      <c r="H46" s="83" t="str">
        <f aca="false" t="array" ref="H46:H46">IFERROR(INDEX(_xlfn.stockhistory(A46,TODAY()-5,TODAY(),0,0,1),ROWS(_xlfn.stockhistory(A46,TODAY()-5,TODAY(),0,0,1)),1),"")</f>
        <v/>
      </c>
      <c r="I46" s="16" t="str">
        <f aca="false">IF(OR(G46="",H46=""),"",H46/G46-1)</f>
        <v/>
      </c>
      <c r="J46" s="84" t="n">
        <v>46321</v>
      </c>
      <c r="K46" s="82" t="s">
        <v>185</v>
      </c>
      <c r="L46" s="80" t="s">
        <v>246</v>
      </c>
      <c r="M46" s="82" t="s">
        <v>187</v>
      </c>
      <c r="N46" s="80"/>
      <c r="O46" s="85" t="n">
        <f aca="true">IF(C46="","",TODAY()-C46)</f>
        <v>14</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80"/>
    </row>
    <row r="47" customFormat="false" ht="15" hidden="false" customHeight="true" outlineLevel="0" collapsed="false">
      <c r="A47" s="79" t="s">
        <v>247</v>
      </c>
      <c r="B47" s="82" t="s">
        <v>203</v>
      </c>
      <c r="C47" s="81" t="n">
        <v>46245</v>
      </c>
      <c r="D47" s="82"/>
      <c r="E47" s="82" t="n">
        <v>4.29</v>
      </c>
      <c r="F47" s="74"/>
      <c r="G47" s="82" t="n">
        <v>144.75</v>
      </c>
      <c r="H47" s="83" t="str">
        <f aca="false" t="array" ref="H47:H47">IFERROR(INDEX(_xlfn.stockhistory(A47,TODAY()-5,TODAY(),0,0,1),ROWS(_xlfn.stockhistory(A47,TODAY()-5,TODAY(),0,0,1)),1),"")</f>
        <v/>
      </c>
      <c r="I47" s="16" t="str">
        <f aca="false">IF(OR(G47="",H47=""),"",H47/G47-1)</f>
        <v/>
      </c>
      <c r="J47" s="84" t="n">
        <v>46329</v>
      </c>
      <c r="K47" s="82" t="s">
        <v>185</v>
      </c>
      <c r="L47" s="80" t="s">
        <v>248</v>
      </c>
      <c r="M47" s="82" t="s">
        <v>187</v>
      </c>
      <c r="N47" s="80"/>
      <c r="O47" s="85" t="n">
        <f aca="true">IF(C47="","",TODAY()-C47)</f>
        <v>15</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80"/>
    </row>
  </sheetData>
  <mergeCells count="1">
    <mergeCell ref="A1:Q1"/>
  </mergeCells>
  <conditionalFormatting sqref="F3:F47">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20">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1">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249</v>
      </c>
      <c r="B1" s="86"/>
      <c r="C1" s="86"/>
      <c r="D1" s="86"/>
      <c r="E1" s="86"/>
      <c r="F1" s="86"/>
      <c r="G1" s="86"/>
      <c r="H1" s="86"/>
      <c r="I1" s="86"/>
      <c r="J1" s="86"/>
      <c r="K1" s="86"/>
      <c r="L1" s="86"/>
      <c r="M1" s="86"/>
      <c r="N1" s="86"/>
      <c r="O1" s="86"/>
      <c r="P1" s="86"/>
      <c r="Q1" s="86"/>
    </row>
    <row r="2" customFormat="false" ht="15" hidden="false" customHeight="true" outlineLevel="0" collapsed="false">
      <c r="A2" s="87" t="s">
        <v>250</v>
      </c>
      <c r="B2" s="88" t="s">
        <v>90</v>
      </c>
      <c r="C2" s="88" t="s">
        <v>95</v>
      </c>
      <c r="D2" s="88" t="s">
        <v>97</v>
      </c>
      <c r="E2" s="88" t="s">
        <v>135</v>
      </c>
      <c r="F2" s="88" t="s">
        <v>99</v>
      </c>
      <c r="G2" s="88" t="s">
        <v>101</v>
      </c>
      <c r="H2" s="88" t="s">
        <v>103</v>
      </c>
      <c r="I2" s="88" t="s">
        <v>105</v>
      </c>
      <c r="J2" s="88" t="s">
        <v>144</v>
      </c>
      <c r="K2" s="88" t="s">
        <v>107</v>
      </c>
      <c r="L2" s="88" t="s">
        <v>109</v>
      </c>
      <c r="M2" s="88" t="s">
        <v>111</v>
      </c>
      <c r="N2" s="88" t="s">
        <v>137</v>
      </c>
      <c r="O2" s="88" t="s">
        <v>127</v>
      </c>
      <c r="P2" s="88"/>
      <c r="Q2" s="88" t="s">
        <v>133</v>
      </c>
      <c r="R2" s="88" t="s">
        <v>124</v>
      </c>
      <c r="S2" s="88" t="s">
        <v>140</v>
      </c>
      <c r="T2" s="88" t="s">
        <v>142</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c r="B159" s="92"/>
      <c r="C159" s="92"/>
      <c r="D159" s="92"/>
      <c r="E159" s="92"/>
      <c r="F159" s="92"/>
      <c r="G159" s="92"/>
      <c r="H159" s="92"/>
      <c r="I159" s="92"/>
      <c r="J159" s="92"/>
      <c r="K159" s="92"/>
      <c r="L159" s="92"/>
      <c r="M159" s="92"/>
      <c r="N159" s="92"/>
      <c r="O159" s="92"/>
      <c r="P159" s="92"/>
      <c r="Q159" s="92"/>
      <c r="R159" s="92"/>
      <c r="S159" s="92"/>
      <c r="T159" s="92"/>
      <c r="U159" s="92"/>
    </row>
    <row r="160" customFormat="false" ht="15" hidden="false" customHeight="true" outlineLevel="0" collapsed="false">
      <c r="A160" s="91"/>
      <c r="B160" s="92"/>
      <c r="C160" s="92"/>
      <c r="D160" s="92"/>
      <c r="E160" s="92"/>
      <c r="F160" s="92"/>
      <c r="G160" s="92"/>
      <c r="H160" s="92"/>
      <c r="I160" s="92"/>
      <c r="J160" s="92"/>
      <c r="K160" s="92"/>
      <c r="L160" s="92"/>
      <c r="M160" s="92"/>
      <c r="N160" s="92"/>
      <c r="O160" s="92"/>
      <c r="P160" s="92"/>
      <c r="Q160" s="92"/>
      <c r="R160" s="92"/>
      <c r="S160" s="92"/>
      <c r="T160" s="92"/>
      <c r="U160" s="92"/>
    </row>
    <row r="161" customFormat="false" ht="15" hidden="false" customHeight="true" outlineLevel="0" collapsed="false">
      <c r="A161" s="91"/>
      <c r="B161" s="92"/>
      <c r="C161" s="92"/>
      <c r="D161" s="92"/>
      <c r="E161" s="92"/>
      <c r="F161" s="92"/>
      <c r="G161" s="92"/>
      <c r="H161" s="92"/>
      <c r="I161" s="92"/>
      <c r="J161" s="92"/>
      <c r="K161" s="92"/>
      <c r="L161" s="92"/>
      <c r="M161" s="92"/>
      <c r="N161" s="92"/>
      <c r="O161" s="92"/>
      <c r="P161" s="92"/>
      <c r="Q161" s="92"/>
      <c r="R161" s="92"/>
      <c r="S161" s="92"/>
      <c r="T161" s="92"/>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3" t="s">
        <v>76</v>
      </c>
      <c r="B1" s="93" t="s">
        <v>251</v>
      </c>
      <c r="C1" s="93" t="s">
        <v>252</v>
      </c>
      <c r="D1" s="94" t="s">
        <v>253</v>
      </c>
      <c r="E1" s="94" t="s">
        <v>254</v>
      </c>
      <c r="F1" s="93" t="s">
        <v>255</v>
      </c>
      <c r="G1" s="93" t="s">
        <v>256</v>
      </c>
      <c r="H1" s="93" t="s">
        <v>257</v>
      </c>
      <c r="I1" s="93" t="s">
        <v>258</v>
      </c>
      <c r="J1" s="93" t="s">
        <v>259</v>
      </c>
    </row>
    <row r="2" customFormat="false" ht="15" hidden="false" customHeight="true" outlineLevel="0" collapsed="false">
      <c r="A2" s="95" t="str">
        <f aca="false">IF(Scoring!A3="","",Scoring!A3)</f>
        <v>MU</v>
      </c>
      <c r="B2" s="96" t="str">
        <f aca="false">IF(Scoring!B3="","",Scoring!B3)</f>
        <v>Micron Technology</v>
      </c>
      <c r="C2" s="97" t="n">
        <f aca="false">IF(Scoring!C3="","",Scoring!C3)</f>
        <v>46240</v>
      </c>
      <c r="D2" s="98" t="n">
        <f aca="false">IF(Scoring!N3="","",Scoring!N3)</f>
        <v>3.64285714285714</v>
      </c>
      <c r="E2" s="99" t="n">
        <f aca="false">IF(Scoring!AF3="","",Scoring!AF3)</f>
        <v>71.8</v>
      </c>
      <c r="F2" s="74" t="str">
        <f aca="false">IF(Scoring!AG3&lt;&gt;"",Scoring!AG3,IF(Scoring!AH3="OK","PENDING",""))</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5" t="str">
        <f aca="false">IF(Scoring!A4="","",Scoring!A4)</f>
        <v>AVGO</v>
      </c>
      <c r="B3" s="96" t="str">
        <f aca="false">IF(Scoring!B4="","",Scoring!B4)</f>
        <v>Broadcom Inc.</v>
      </c>
      <c r="C3" s="97" t="n">
        <f aca="false">IF(Scoring!C4="","",Scoring!C4)</f>
        <v>46240</v>
      </c>
      <c r="D3" s="98" t="n">
        <f aca="false">IF(Scoring!N4="","",Scoring!N4)</f>
        <v>4.07142857142857</v>
      </c>
      <c r="E3" s="99" t="n">
        <f aca="false">IF(Scoring!AF4="","",Scoring!AF4)</f>
        <v>80.8</v>
      </c>
      <c r="F3" s="74" t="str">
        <f aca="false">IF(Scoring!AG4&lt;&gt;"",Scoring!AG4,IF(Scoring!AH4="OK","PENDING",""))</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5" t="str">
        <f aca="false">IF(Scoring!A5="","",Scoring!A5)</f>
        <v>PLTR</v>
      </c>
      <c r="B4" s="96" t="str">
        <f aca="false">IF(Scoring!B5="","",Scoring!B5)</f>
        <v>Palantir Technologies</v>
      </c>
      <c r="C4" s="97" t="n">
        <f aca="false">IF(Scoring!C5="","",Scoring!C5)</f>
        <v>46240</v>
      </c>
      <c r="D4" s="98" t="n">
        <f aca="false">IF(Scoring!N5="","",Scoring!N5)</f>
        <v>4</v>
      </c>
      <c r="E4" s="99" t="n">
        <f aca="false">IF(Scoring!AF5="","",Scoring!AF5)</f>
        <v>75.2</v>
      </c>
      <c r="F4" s="74" t="str">
        <f aca="false">IF(Scoring!AG5&lt;&gt;"",Scoring!AG5,IF(Scoring!AH5="OK","PENDING",""))</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5" t="str">
        <f aca="false">IF(Scoring!A6="","",Scoring!A6)</f>
        <v>NVDA</v>
      </c>
      <c r="B5" s="96" t="str">
        <f aca="false">IF(Scoring!B6="","",Scoring!B6)</f>
        <v>NVIDIA Corporation</v>
      </c>
      <c r="C5" s="97" t="n">
        <f aca="false">IF(Scoring!C6="","",Scoring!C6)</f>
        <v>46240</v>
      </c>
      <c r="D5" s="98" t="n">
        <f aca="false">IF(Scoring!N6="","",Scoring!N6)</f>
        <v>4.57142857142857</v>
      </c>
      <c r="E5" s="99" t="n">
        <f aca="false">IF(Scoring!AF6="","",Scoring!AF6)</f>
        <v>93.2</v>
      </c>
      <c r="F5" s="74" t="str">
        <f aca="false">IF(Scoring!AG6&lt;&gt;"",Scoring!AG6,IF(Scoring!AH6="OK","PENDING",""))</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5" t="str">
        <f aca="false">IF(Scoring!A7="","",Scoring!A7)</f>
        <v>VRTX</v>
      </c>
      <c r="B6" s="96" t="str">
        <f aca="false">IF(Scoring!B7="","",Scoring!B7)</f>
        <v>Vertex Pharmaceuticals</v>
      </c>
      <c r="C6" s="97" t="n">
        <f aca="false">IF(Scoring!C7="","",Scoring!C7)</f>
        <v>46241</v>
      </c>
      <c r="D6" s="98" t="n">
        <f aca="false">IF(Scoring!N7="","",Scoring!N7)</f>
        <v>3.78571428571429</v>
      </c>
      <c r="E6" s="99" t="n">
        <f aca="false">IF(Scoring!AF7="","",Scoring!AF7)</f>
        <v>75.6</v>
      </c>
      <c r="F6" s="74" t="str">
        <f aca="false">IF(Scoring!AG7&lt;&gt;"",Scoring!AG7,IF(Scoring!AH7="OK","PENDING",""))</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5" t="str">
        <f aca="false">IF(Scoring!A8="","",Scoring!A8)</f>
        <v>PLD</v>
      </c>
      <c r="B7" s="96" t="str">
        <f aca="false">IF(Scoring!B8="","",Scoring!B8)</f>
        <v>Prologis Inc. (REIT-adapted)</v>
      </c>
      <c r="C7" s="97" t="n">
        <f aca="false">IF(Scoring!C8="","",Scoring!C8)</f>
        <v>46240</v>
      </c>
      <c r="D7" s="98" t="n">
        <f aca="false">IF(Scoring!N8="","",Scoring!N8)</f>
        <v>4.35714285714286</v>
      </c>
      <c r="E7" s="99" t="n">
        <f aca="false">IF(Scoring!AF8="","",Scoring!AF8)</f>
        <v>82</v>
      </c>
      <c r="F7" s="74" t="str">
        <f aca="false">IF(Scoring!AG8&lt;&gt;"",Scoring!AG8,IF(Scoring!AH8="OK","PENDING",""))</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5" t="str">
        <f aca="false">IF(Scoring!A9="","",Scoring!A9)</f>
        <v>SFM</v>
      </c>
      <c r="B8" s="96" t="str">
        <f aca="false">IF(Scoring!B9="","",Scoring!B9)</f>
        <v>Sprouts Farmers Market</v>
      </c>
      <c r="C8" s="97" t="n">
        <f aca="false">IF(Scoring!C9="","",Scoring!C9)</f>
        <v>46240</v>
      </c>
      <c r="D8" s="98" t="n">
        <f aca="false">IF(Scoring!N9="","",Scoring!N9)</f>
        <v>1.85714285714286</v>
      </c>
      <c r="E8" s="99" t="str">
        <f aca="false">IF(Scoring!AF9="","",Scoring!AF9)</f>
        <v/>
      </c>
      <c r="F8" s="74" t="str">
        <f aca="false">IF(Scoring!AG9&lt;&gt;"",Scoring!AG9,IF(Scoring!AH9="OK","PENDING",""))</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5" t="str">
        <f aca="false">IF(Scoring!A10="","",Scoring!A10)</f>
        <v>ONON</v>
      </c>
      <c r="B9" s="96" t="str">
        <f aca="false">IF(Scoring!B10="","",Scoring!B10)</f>
        <v>On Holding AG</v>
      </c>
      <c r="C9" s="97" t="n">
        <f aca="false">IF(Scoring!C10="","",Scoring!C10)</f>
        <v>46240</v>
      </c>
      <c r="D9" s="98" t="n">
        <f aca="false">IF(Scoring!N10="","",Scoring!N10)</f>
        <v>2.64285714285714</v>
      </c>
      <c r="E9" s="99" t="str">
        <f aca="false">IF(Scoring!AF10="","",Scoring!AF10)</f>
        <v/>
      </c>
      <c r="F9" s="74" t="str">
        <f aca="false">IF(Scoring!AG10&lt;&gt;"",Scoring!AG10,IF(Scoring!AH10="OK","PENDING",""))</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5" t="str">
        <f aca="false">IF(Scoring!A11="","",Scoring!A11)</f>
        <v>TSLA</v>
      </c>
      <c r="B10" s="96" t="str">
        <f aca="false">IF(Scoring!B11="","",Scoring!B11)</f>
        <v>Tesla Inc.</v>
      </c>
      <c r="C10" s="97" t="n">
        <f aca="false">IF(Scoring!C11="","",Scoring!C11)</f>
        <v>46240</v>
      </c>
      <c r="D10" s="98" t="n">
        <f aca="false">IF(Scoring!N11="","",Scoring!N11)</f>
        <v>1.92857142857143</v>
      </c>
      <c r="E10" s="99" t="str">
        <f aca="false">IF(Scoring!AF11="","",Scoring!AF11)</f>
        <v/>
      </c>
      <c r="F10" s="74" t="str">
        <f aca="false">IF(Scoring!AG11&lt;&gt;"",Scoring!AG11,IF(Scoring!AH11="OK","PENDING",""))</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5" t="str">
        <f aca="false">IF(Scoring!A12="","",Scoring!A12)</f>
        <v>ADBE</v>
      </c>
      <c r="B11" s="96" t="str">
        <f aca="false">IF(Scoring!B12="","",Scoring!B12)</f>
        <v>Adobe Inc.</v>
      </c>
      <c r="C11" s="97" t="n">
        <f aca="false">IF(Scoring!C12="","",Scoring!C12)</f>
        <v>46240</v>
      </c>
      <c r="D11" s="98" t="n">
        <f aca="false">IF(Scoring!N12="","",Scoring!N12)</f>
        <v>4.57142857142857</v>
      </c>
      <c r="E11" s="99" t="n">
        <f aca="false">IF(Scoring!AF12="","",Scoring!AF12)</f>
        <v>85.8</v>
      </c>
      <c r="F11" s="74" t="str">
        <f aca="false">IF(Scoring!AG12&lt;&gt;"",Scoring!AG12,IF(Scoring!AH12="OK","PENDING",""))</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5" t="str">
        <f aca="false">IF(Scoring!A13="","",Scoring!A13)</f>
        <v>ANET</v>
      </c>
      <c r="B12" s="96" t="str">
        <f aca="false">IF(Scoring!B13="","",Scoring!B13)</f>
        <v>Arista Networks</v>
      </c>
      <c r="C12" s="97" t="n">
        <f aca="false">IF(Scoring!C13="","",Scoring!C13)</f>
        <v>46240</v>
      </c>
      <c r="D12" s="98" t="n">
        <f aca="false">IF(Scoring!N13="","",Scoring!N13)</f>
        <v>4.57142857142857</v>
      </c>
      <c r="E12" s="99" t="n">
        <f aca="false">IF(Scoring!AF13="","",Scoring!AF13)</f>
        <v>85</v>
      </c>
      <c r="F12" s="74" t="str">
        <f aca="false">IF(Scoring!AG13&lt;&gt;"",Scoring!AG13,IF(Scoring!AH13="OK","PENDING",""))</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5" t="str">
        <f aca="false">IF(Scoring!A14="","",Scoring!A14)</f>
        <v>ASML</v>
      </c>
      <c r="B13" s="96" t="str">
        <f aca="false">IF(Scoring!B14="","",Scoring!B14)</f>
        <v>ASML Holding</v>
      </c>
      <c r="C13" s="97" t="n">
        <f aca="false">IF(Scoring!C14="","",Scoring!C14)</f>
        <v>46240</v>
      </c>
      <c r="D13" s="98" t="n">
        <f aca="false">IF(Scoring!N14="","",Scoring!N14)</f>
        <v>3.57142857142857</v>
      </c>
      <c r="E13" s="99" t="n">
        <f aca="false">IF(Scoring!AF14="","",Scoring!AF14)</f>
        <v>73.2</v>
      </c>
      <c r="F13" s="74" t="str">
        <f aca="false">IF(Scoring!AG14&lt;&gt;"",Scoring!AG14,IF(Scoring!AH14="OK","PENDING",""))</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5" t="str">
        <f aca="false">IF(Scoring!A15="","",Scoring!A15)</f>
        <v>CRWD</v>
      </c>
      <c r="B14" s="96" t="str">
        <f aca="false">IF(Scoring!B15="","",Scoring!B15)</f>
        <v>CrowdStrike Holdings</v>
      </c>
      <c r="C14" s="97" t="n">
        <f aca="false">IF(Scoring!C15="","",Scoring!C15)</f>
        <v>46240</v>
      </c>
      <c r="D14" s="98" t="n">
        <f aca="false">IF(Scoring!N15="","",Scoring!N15)</f>
        <v>4</v>
      </c>
      <c r="E14" s="99" t="n">
        <f aca="false">IF(Scoring!AF15="","",Scoring!AF15)</f>
        <v>70.4</v>
      </c>
      <c r="F14" s="74" t="str">
        <f aca="false">IF(Scoring!AG15&lt;&gt;"",Scoring!AG15,IF(Scoring!AH15="OK","PENDING",""))</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5" t="str">
        <f aca="false">IF(Scoring!A16="","",Scoring!A16)</f>
        <v>KLAC</v>
      </c>
      <c r="B15" s="96" t="str">
        <f aca="false">IF(Scoring!B16="","",Scoring!B16)</f>
        <v>KLA Corporation</v>
      </c>
      <c r="C15" s="97" t="n">
        <f aca="false">IF(Scoring!C16="","",Scoring!C16)</f>
        <v>46240</v>
      </c>
      <c r="D15" s="98" t="n">
        <f aca="false">IF(Scoring!N16="","",Scoring!N16)</f>
        <v>3.42857142857143</v>
      </c>
      <c r="E15" s="99" t="n">
        <f aca="false">IF(Scoring!AF16="","",Scoring!AF16)</f>
        <v>68.6</v>
      </c>
      <c r="F15" s="74" t="str">
        <f aca="false">IF(Scoring!AG16&lt;&gt;"",Scoring!AG16,IF(Scoring!AH16="OK","PENDING",""))</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5" t="str">
        <f aca="false">IF(Scoring!A17="","",Scoring!A17)</f>
        <v>TSM</v>
      </c>
      <c r="B16" s="96" t="str">
        <f aca="false">IF(Scoring!B17="","",Scoring!B17)</f>
        <v>Taiwan Semiconductor Mfg.</v>
      </c>
      <c r="C16" s="97" t="n">
        <f aca="false">IF(Scoring!C17="","",Scoring!C17)</f>
        <v>46240</v>
      </c>
      <c r="D16" s="98" t="n">
        <f aca="false">IF(Scoring!N17="","",Scoring!N17)</f>
        <v>4</v>
      </c>
      <c r="E16" s="99" t="n">
        <f aca="false">IF(Scoring!AF17="","",Scoring!AF17)</f>
        <v>81</v>
      </c>
      <c r="F16" s="74" t="str">
        <f aca="false">IF(Scoring!AG17&lt;&gt;"",Scoring!AG17,IF(Scoring!AH17="OK","PENDING",""))</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5" t="str">
        <f aca="false">IF(Scoring!A18="","",Scoring!A18)</f>
        <v>VRT</v>
      </c>
      <c r="B17" s="96" t="str">
        <f aca="false">IF(Scoring!B18="","",Scoring!B18)</f>
        <v>Vertiv Holdings</v>
      </c>
      <c r="C17" s="97" t="n">
        <f aca="false">IF(Scoring!C18="","",Scoring!C18)</f>
        <v>46240</v>
      </c>
      <c r="D17" s="98" t="n">
        <f aca="false">IF(Scoring!N18="","",Scoring!N18)</f>
        <v>4.35714285714286</v>
      </c>
      <c r="E17" s="99" t="n">
        <f aca="false">IF(Scoring!AF18="","",Scoring!AF18)</f>
        <v>82.8</v>
      </c>
      <c r="F17" s="74" t="str">
        <f aca="false">IF(Scoring!AG18&lt;&gt;"",Scoring!AG18,IF(Scoring!AH18="OK","PENDING",""))</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5" t="str">
        <f aca="false">IF(Scoring!A19="","",Scoring!A19)</f>
        <v>COST</v>
      </c>
      <c r="B18" s="96" t="str">
        <f aca="false">IF(Scoring!B19="","",Scoring!B19)</f>
        <v>Costco Wholesale Corp.</v>
      </c>
      <c r="C18" s="97" t="n">
        <f aca="false">IF(Scoring!C19="","",Scoring!C19)</f>
        <v>46245</v>
      </c>
      <c r="D18" s="98" t="n">
        <f aca="false">IF(Scoring!N19="","",Scoring!N19)</f>
        <v>4.14285714285714</v>
      </c>
      <c r="E18" s="99" t="n">
        <f aca="false">IF(Scoring!AF19="","",Scoring!AF19)</f>
        <v>77.4</v>
      </c>
      <c r="F18" s="74" t="str">
        <f aca="false">IF(Scoring!AG19&lt;&gt;"",Scoring!AG19,IF(Scoring!AH19="OK","PENDING",""))</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5" t="str">
        <f aca="false">IF(Scoring!A20="","",Scoring!A20)</f>
        <v>V</v>
      </c>
      <c r="B19" s="96" t="str">
        <f aca="false">IF(Scoring!B20="","",Scoring!B20)</f>
        <v>Visa Inc.</v>
      </c>
      <c r="C19" s="97" t="n">
        <f aca="false">IF(Scoring!C20="","",Scoring!C20)</f>
        <v>46245</v>
      </c>
      <c r="D19" s="98" t="n">
        <f aca="false">IF(Scoring!N20="","",Scoring!N20)</f>
        <v>4.57142857142857</v>
      </c>
      <c r="E19" s="99" t="n">
        <f aca="false">IF(Scoring!AF20="","",Scoring!AF20)</f>
        <v>86.4</v>
      </c>
      <c r="F19" s="74" t="str">
        <f aca="false">IF(Scoring!AG20&lt;&gt;"",Scoring!AG20,IF(Scoring!AH20="OK","PENDING",""))</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5" t="str">
        <f aca="false">IF(Scoring!A21="","",Scoring!A21)</f>
        <v>NEE</v>
      </c>
      <c r="B20" s="96" t="str">
        <f aca="false">IF(Scoring!B21="","",Scoring!B21)</f>
        <v>NextEra Energy Inc.</v>
      </c>
      <c r="C20" s="97" t="n">
        <f aca="false">IF(Scoring!C21="","",Scoring!C21)</f>
        <v>46245</v>
      </c>
      <c r="D20" s="98" t="n">
        <f aca="false">IF(Scoring!N21="","",Scoring!N21)</f>
        <v>2.5</v>
      </c>
      <c r="E20" s="99" t="str">
        <f aca="false">IF(Scoring!AF21="","",Scoring!AF21)</f>
        <v/>
      </c>
      <c r="F20" s="74" t="str">
        <f aca="false">IF(Scoring!AG21&lt;&gt;"",Scoring!AG21,IF(Scoring!AH21="OK","PENDING",""))</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5" t="str">
        <f aca="false">IF(Scoring!A22="","",Scoring!A22)</f>
        <v>CRK</v>
      </c>
      <c r="B21" s="96" t="str">
        <f aca="false">IF(Scoring!B22="","",Scoring!B22)</f>
        <v>Comstock Resources Inc.</v>
      </c>
      <c r="C21" s="97" t="n">
        <f aca="false">IF(Scoring!C22="","",Scoring!C22)</f>
        <v>46245</v>
      </c>
      <c r="D21" s="98" t="n">
        <f aca="false">IF(Scoring!N22="","",Scoring!N22)</f>
        <v>1.21428571428571</v>
      </c>
      <c r="E21" s="99" t="str">
        <f aca="false">IF(Scoring!AF22="","",Scoring!AF22)</f>
        <v/>
      </c>
      <c r="F21" s="74" t="str">
        <f aca="false">IF(Scoring!AG22&lt;&gt;"",Scoring!AG22,IF(Scoring!AH22="OK","PENDING",""))</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5" t="str">
        <f aca="false">IF(Scoring!A23="","",Scoring!A23)</f>
        <v>ET</v>
      </c>
      <c r="B22" s="96" t="str">
        <f aca="false">IF(Scoring!B23="","",Scoring!B23)</f>
        <v>Energy Transfer LP</v>
      </c>
      <c r="C22" s="97" t="n">
        <f aca="false">IF(Scoring!C23="","",Scoring!C23)</f>
        <v>46245</v>
      </c>
      <c r="D22" s="98" t="n">
        <f aca="false">IF(Scoring!N23="","",Scoring!N23)</f>
        <v>4</v>
      </c>
      <c r="E22" s="99" t="str">
        <f aca="false">IF(Scoring!AF23="","",Scoring!AF23)</f>
        <v/>
      </c>
      <c r="F22" s="74" t="str">
        <f aca="false">IF(Scoring!AG23&lt;&gt;"",Scoring!AG23,IF(Scoring!AH23="OK","PENDING",""))</f>
        <v>PENDING</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5" t="str">
        <f aca="false">IF(Scoring!A24="","",Scoring!A24)</f>
        <v>LBRT</v>
      </c>
      <c r="B23" s="96" t="str">
        <f aca="false">IF(Scoring!B24="","",Scoring!B24)</f>
        <v>Liberty Energy Inc.</v>
      </c>
      <c r="C23" s="97" t="n">
        <f aca="false">IF(Scoring!C24="","",Scoring!C24)</f>
        <v>46245</v>
      </c>
      <c r="D23" s="98" t="n">
        <f aca="false">IF(Scoring!N24="","",Scoring!N24)</f>
        <v>2.07142857142857</v>
      </c>
      <c r="E23" s="99" t="str">
        <f aca="false">IF(Scoring!AF24="","",Scoring!AF24)</f>
        <v/>
      </c>
      <c r="F23" s="74" t="str">
        <f aca="false">IF(Scoring!AG24&lt;&gt;"",Scoring!AG24,IF(Scoring!AH24="OK","PENDING",""))</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5" t="str">
        <f aca="false">IF(Scoring!A25="","",Scoring!A25)</f>
        <v>NOV</v>
      </c>
      <c r="B24" s="96" t="str">
        <f aca="false">IF(Scoring!B25="","",Scoring!B25)</f>
        <v>NOV Inc.</v>
      </c>
      <c r="C24" s="97" t="n">
        <f aca="false">IF(Scoring!C25="","",Scoring!C25)</f>
        <v>46245</v>
      </c>
      <c r="D24" s="98" t="n">
        <f aca="false">IF(Scoring!N25="","",Scoring!N25)</f>
        <v>2.64285714285714</v>
      </c>
      <c r="E24" s="99" t="str">
        <f aca="false">IF(Scoring!AF25="","",Scoring!AF25)</f>
        <v/>
      </c>
      <c r="F24" s="74" t="str">
        <f aca="false">IF(Scoring!AG25&lt;&gt;"",Scoring!AG25,IF(Scoring!AH25="OK","PENDING",""))</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5" t="str">
        <f aca="false">IF(Scoring!A26="","",Scoring!A26)</f>
        <v>CE</v>
      </c>
      <c r="B25" s="96" t="str">
        <f aca="false">IF(Scoring!B26="","",Scoring!B26)</f>
        <v>Celanese Corp.</v>
      </c>
      <c r="C25" s="97" t="n">
        <f aca="false">IF(Scoring!C26="","",Scoring!C26)</f>
        <v>46245</v>
      </c>
      <c r="D25" s="98" t="n">
        <f aca="false">IF(Scoring!N26="","",Scoring!N26)</f>
        <v>1.78571428571429</v>
      </c>
      <c r="E25" s="99" t="str">
        <f aca="false">IF(Scoring!AF26="","",Scoring!AF26)</f>
        <v/>
      </c>
      <c r="F25" s="74" t="str">
        <f aca="false">IF(Scoring!AG26&lt;&gt;"",Scoring!AG26,IF(Scoring!AH26="OK","PENDING",""))</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5" t="str">
        <f aca="false">IF(Scoring!A27="","",Scoring!A27)</f>
        <v>CLF</v>
      </c>
      <c r="B26" s="96" t="str">
        <f aca="false">IF(Scoring!B27="","",Scoring!B27)</f>
        <v>Cleveland-Cliffs Inc.</v>
      </c>
      <c r="C26" s="97" t="n">
        <f aca="false">IF(Scoring!C27="","",Scoring!C27)</f>
        <v>46245</v>
      </c>
      <c r="D26" s="98" t="n">
        <f aca="false">IF(Scoring!N27="","",Scoring!N27)</f>
        <v>1.85714285714286</v>
      </c>
      <c r="E26" s="99" t="str">
        <f aca="false">IF(Scoring!AF27="","",Scoring!AF27)</f>
        <v/>
      </c>
      <c r="F26" s="74" t="str">
        <f aca="false">IF(Scoring!AG27&lt;&gt;"",Scoring!AG27,IF(Scoring!AH27="OK","PENDING",""))</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5" t="str">
        <f aca="false">IF(Scoring!A28="","",Scoring!A28)</f>
        <v>LIN</v>
      </c>
      <c r="B27" s="96" t="str">
        <f aca="false">IF(Scoring!B28="","",Scoring!B28)</f>
        <v>Linde plc</v>
      </c>
      <c r="C27" s="97" t="n">
        <f aca="false">IF(Scoring!C28="","",Scoring!C28)</f>
        <v>46245</v>
      </c>
      <c r="D27" s="98" t="n">
        <f aca="false">IF(Scoring!N28="","",Scoring!N28)</f>
        <v>4.5</v>
      </c>
      <c r="E27" s="99" t="str">
        <f aca="false">IF(Scoring!AF28="","",Scoring!AF28)</f>
        <v/>
      </c>
      <c r="F27" s="74" t="str">
        <f aca="false">IF(Scoring!AG28&lt;&gt;"",Scoring!AG28,IF(Scoring!AH28="OK","PENDING",""))</f>
        <v>PENDING</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5" t="str">
        <f aca="false">IF(Scoring!A29="","",Scoring!A29)</f>
        <v>DEO</v>
      </c>
      <c r="B28" s="96" t="str">
        <f aca="false">IF(Scoring!B29="","",Scoring!B29)</f>
        <v>Diageo plc</v>
      </c>
      <c r="C28" s="97" t="n">
        <f aca="false">IF(Scoring!C29="","",Scoring!C29)</f>
        <v>46245</v>
      </c>
      <c r="D28" s="98" t="n">
        <f aca="false">IF(Scoring!N29="","",Scoring!N29)</f>
        <v>2.35714285714286</v>
      </c>
      <c r="E28" s="99" t="str">
        <f aca="false">IF(Scoring!AF29="","",Scoring!AF29)</f>
        <v/>
      </c>
      <c r="F28" s="74" t="str">
        <f aca="false">IF(Scoring!AG29&lt;&gt;"",Scoring!AG29,IF(Scoring!AH29="OK","PENDING",""))</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5" t="str">
        <f aca="false">IF(Scoring!A30="","",Scoring!A30)</f>
        <v>EL</v>
      </c>
      <c r="B29" s="96" t="str">
        <f aca="false">IF(Scoring!B30="","",Scoring!B30)</f>
        <v>Estee Lauder Companies</v>
      </c>
      <c r="C29" s="97" t="n">
        <f aca="false">IF(Scoring!C30="","",Scoring!C30)</f>
        <v>46245</v>
      </c>
      <c r="D29" s="98" t="n">
        <f aca="false">IF(Scoring!N30="","",Scoring!N30)</f>
        <v>2.14285714285714</v>
      </c>
      <c r="E29" s="99" t="str">
        <f aca="false">IF(Scoring!AF30="","",Scoring!AF30)</f>
        <v/>
      </c>
      <c r="F29" s="74" t="str">
        <f aca="false">IF(Scoring!AG30&lt;&gt;"",Scoring!AG30,IF(Scoring!AH30="OK","PENDING",""))</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5" t="str">
        <f aca="false">IF(Scoring!A31="","",Scoring!A31)</f>
        <v>HRL</v>
      </c>
      <c r="B30" s="96" t="str">
        <f aca="false">IF(Scoring!B31="","",Scoring!B31)</f>
        <v>Hormel Foods Corp.</v>
      </c>
      <c r="C30" s="97" t="n">
        <f aca="false">IF(Scoring!C31="","",Scoring!C31)</f>
        <v>46245</v>
      </c>
      <c r="D30" s="98" t="n">
        <f aca="false">IF(Scoring!N31="","",Scoring!N31)</f>
        <v>1.92857142857143</v>
      </c>
      <c r="E30" s="99" t="str">
        <f aca="false">IF(Scoring!AF31="","",Scoring!AF31)</f>
        <v/>
      </c>
      <c r="F30" s="74" t="str">
        <f aca="false">IF(Scoring!AG31&lt;&gt;"",Scoring!AG31,IF(Scoring!AH31="OK","PENDING",""))</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5" t="str">
        <f aca="false">IF(Scoring!A32="","",Scoring!A32)</f>
        <v>PG</v>
      </c>
      <c r="B31" s="96" t="str">
        <f aca="false">IF(Scoring!B32="","",Scoring!B32)</f>
        <v>Procter &amp; Gamble Co.</v>
      </c>
      <c r="C31" s="97" t="n">
        <f aca="false">IF(Scoring!C32="","",Scoring!C32)</f>
        <v>46245</v>
      </c>
      <c r="D31" s="98" t="n">
        <f aca="false">IF(Scoring!N32="","",Scoring!N32)</f>
        <v>4.21428571428571</v>
      </c>
      <c r="E31" s="99" t="str">
        <f aca="false">IF(Scoring!AF32="","",Scoring!AF32)</f>
        <v/>
      </c>
      <c r="F31" s="74" t="str">
        <f aca="false">IF(Scoring!AG32&lt;&gt;"",Scoring!AG32,IF(Scoring!AH32="OK","PENDING",""))</f>
        <v>PENDING</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5" t="str">
        <f aca="false">IF(Scoring!A33="","",Scoring!A33)</f>
        <v>CMG</v>
      </c>
      <c r="B32" s="96" t="str">
        <f aca="false">IF(Scoring!B33="","",Scoring!B33)</f>
        <v>Chipotle Mexican Grill</v>
      </c>
      <c r="C32" s="97" t="n">
        <f aca="false">IF(Scoring!C33="","",Scoring!C33)</f>
        <v>46245</v>
      </c>
      <c r="D32" s="98" t="n">
        <f aca="false">IF(Scoring!N33="","",Scoring!N33)</f>
        <v>3.71428571428571</v>
      </c>
      <c r="E32" s="99" t="str">
        <f aca="false">IF(Scoring!AF33="","",Scoring!AF33)</f>
        <v/>
      </c>
      <c r="F32" s="74" t="str">
        <f aca="false">IF(Scoring!AG33&lt;&gt;"",Scoring!AG33,IF(Scoring!AH33="OK","PENDING",""))</f>
        <v>PENDING</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5" t="str">
        <f aca="false">IF(Scoring!A34="","",Scoring!A34)</f>
        <v>DPZ</v>
      </c>
      <c r="B33" s="96" t="str">
        <f aca="false">IF(Scoring!B34="","",Scoring!B34)</f>
        <v>Domino's Pizza Inc.</v>
      </c>
      <c r="C33" s="97" t="n">
        <f aca="false">IF(Scoring!C34="","",Scoring!C34)</f>
        <v>46245</v>
      </c>
      <c r="D33" s="98" t="n">
        <f aca="false">IF(Scoring!N34="","",Scoring!N34)</f>
        <v>4.85714285714286</v>
      </c>
      <c r="E33" s="99" t="str">
        <f aca="false">IF(Scoring!AF34="","",Scoring!AF34)</f>
        <v/>
      </c>
      <c r="F33" s="74" t="str">
        <f aca="false">IF(Scoring!AG34&lt;&gt;"",Scoring!AG34,IF(Scoring!AH34="OK","PENDING",""))</f>
        <v>PENDING</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5" t="str">
        <f aca="false">IF(Scoring!A35="","",Scoring!A35)</f>
        <v>PZZA</v>
      </c>
      <c r="B34" s="96" t="str">
        <f aca="false">IF(Scoring!B35="","",Scoring!B35)</f>
        <v>Papa John's Intl.</v>
      </c>
      <c r="C34" s="97" t="n">
        <f aca="false">IF(Scoring!C35="","",Scoring!C35)</f>
        <v>46245</v>
      </c>
      <c r="D34" s="98" t="n">
        <f aca="false">IF(Scoring!N35="","",Scoring!N35)</f>
        <v>1.35714285714286</v>
      </c>
      <c r="E34" s="99" t="str">
        <f aca="false">IF(Scoring!AF35="","",Scoring!AF35)</f>
        <v/>
      </c>
      <c r="F34" s="74" t="str">
        <f aca="false">IF(Scoring!AG35&lt;&gt;"",Scoring!AG35,IF(Scoring!AH35="OK","PENDING",""))</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5" t="str">
        <f aca="false">IF(Scoring!A36="","",Scoring!A36)</f>
        <v>YUM</v>
      </c>
      <c r="B35" s="96" t="str">
        <f aca="false">IF(Scoring!B36="","",Scoring!B36)</f>
        <v>Yum! Brands Inc.</v>
      </c>
      <c r="C35" s="97" t="n">
        <f aca="false">IF(Scoring!C36="","",Scoring!C36)</f>
        <v>46245</v>
      </c>
      <c r="D35" s="98" t="n">
        <f aca="false">IF(Scoring!N36="","",Scoring!N36)</f>
        <v>4.28571428571429</v>
      </c>
      <c r="E35" s="99" t="str">
        <f aca="false">IF(Scoring!AF36="","",Scoring!AF36)</f>
        <v/>
      </c>
      <c r="F35" s="74" t="str">
        <f aca="false">IF(Scoring!AG36&lt;&gt;"",Scoring!AG36,IF(Scoring!AH36="OK","PENDING",""))</f>
        <v>PENDING</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5" t="str">
        <f aca="false">IF(Scoring!A37="","",Scoring!A37)</f>
        <v>NKE</v>
      </c>
      <c r="B36" s="96" t="str">
        <f aca="false">IF(Scoring!B37="","",Scoring!B37)</f>
        <v>Nike Inc.</v>
      </c>
      <c r="C36" s="97" t="n">
        <f aca="false">IF(Scoring!C37="","",Scoring!C37)</f>
        <v>46246</v>
      </c>
      <c r="D36" s="98" t="n">
        <f aca="false">IF(Scoring!N37="","",Scoring!N37)</f>
        <v>1.57142857142857</v>
      </c>
      <c r="E36" s="99" t="str">
        <f aca="false">IF(Scoring!AF37="","",Scoring!AF37)</f>
        <v/>
      </c>
      <c r="F36" s="74" t="str">
        <f aca="false">IF(Scoring!AG37&lt;&gt;"",Scoring!AG37,IF(Scoring!AH37="OK","PENDING",""))</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5" t="str">
        <f aca="false">IF(Scoring!A38="","",Scoring!A38)</f>
        <v>VFC</v>
      </c>
      <c r="B37" s="96" t="str">
        <f aca="false">IF(Scoring!B38="","",Scoring!B38)</f>
        <v>V.F. Corporation</v>
      </c>
      <c r="C37" s="97" t="n">
        <f aca="false">IF(Scoring!C38="","",Scoring!C38)</f>
        <v>46246</v>
      </c>
      <c r="D37" s="98" t="n">
        <f aca="false">IF(Scoring!N38="","",Scoring!N38)</f>
        <v>2.85714285714286</v>
      </c>
      <c r="E37" s="99" t="str">
        <f aca="false">IF(Scoring!AF38="","",Scoring!AF38)</f>
        <v/>
      </c>
      <c r="F37" s="74" t="str">
        <f aca="false">IF(Scoring!AG38&lt;&gt;"",Scoring!AG38,IF(Scoring!AH38="OK","PENDING",""))</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5" t="str">
        <f aca="false">IF(Scoring!A39="","",Scoring!A39)</f>
        <v>GOOS</v>
      </c>
      <c r="B38" s="96" t="str">
        <f aca="false">IF(Scoring!B39="","",Scoring!B39)</f>
        <v>Canada Goose Holdings</v>
      </c>
      <c r="C38" s="97" t="n">
        <f aca="false">IF(Scoring!C39="","",Scoring!C39)</f>
        <v>46246</v>
      </c>
      <c r="D38" s="98" t="n">
        <f aca="false">IF(Scoring!N39="","",Scoring!N39)</f>
        <v>2.5</v>
      </c>
      <c r="E38" s="99" t="str">
        <f aca="false">IF(Scoring!AF39="","",Scoring!AF39)</f>
        <v/>
      </c>
      <c r="F38" s="74" t="str">
        <f aca="false">IF(Scoring!AG39&lt;&gt;"",Scoring!AG39,IF(Scoring!AH39="OK","PENDING",""))</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5" t="str">
        <f aca="false">IF(Scoring!A40="","",Scoring!A40)</f>
        <v>AAP</v>
      </c>
      <c r="B39" s="96" t="str">
        <f aca="false">IF(Scoring!B40="","",Scoring!B40)</f>
        <v>Advance Auto Parts Inc.</v>
      </c>
      <c r="C39" s="97" t="n">
        <f aca="false">IF(Scoring!C40="","",Scoring!C40)</f>
        <v>46246</v>
      </c>
      <c r="D39" s="98" t="n">
        <f aca="false">IF(Scoring!N40="","",Scoring!N40)</f>
        <v>1.35714285714286</v>
      </c>
      <c r="E39" s="99" t="str">
        <f aca="false">IF(Scoring!AF40="","",Scoring!AF40)</f>
        <v/>
      </c>
      <c r="F39" s="74" t="str">
        <f aca="false">IF(Scoring!AG40&lt;&gt;"",Scoring!AG40,IF(Scoring!AH40="OK","PENDING",""))</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5" t="str">
        <f aca="false">IF(Scoring!A41="","",Scoring!A41)</f>
        <v>BABA</v>
      </c>
      <c r="B40" s="96" t="str">
        <f aca="false">IF(Scoring!B41="","",Scoring!B41)</f>
        <v>Alibaba Group Holding Ltd.</v>
      </c>
      <c r="C40" s="97" t="n">
        <f aca="false">IF(Scoring!C41="","",Scoring!C41)</f>
        <v>46246</v>
      </c>
      <c r="D40" s="98" t="n">
        <f aca="false">IF(Scoring!N41="","",Scoring!N41)</f>
        <v>2.78571428571429</v>
      </c>
      <c r="E40" s="99" t="str">
        <f aca="false">IF(Scoring!AF41="","",Scoring!AF41)</f>
        <v/>
      </c>
      <c r="F40" s="74" t="str">
        <f aca="false">IF(Scoring!AG41&lt;&gt;"",Scoring!AG41,IF(Scoring!AH41="OK","PENDING",""))</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5" t="str">
        <f aca="false">IF(Scoring!A42="","",Scoring!A42)</f>
        <v>ETSY</v>
      </c>
      <c r="B41" s="96" t="str">
        <f aca="false">IF(Scoring!B42="","",Scoring!B42)</f>
        <v>Etsy Inc.</v>
      </c>
      <c r="C41" s="97" t="n">
        <f aca="false">IF(Scoring!C42="","",Scoring!C42)</f>
        <v>46246</v>
      </c>
      <c r="D41" s="98" t="n">
        <f aca="false">IF(Scoring!N42="","",Scoring!N42)</f>
        <v>3.42857142857143</v>
      </c>
      <c r="E41" s="99" t="str">
        <f aca="false">IF(Scoring!AF42="","",Scoring!AF42)</f>
        <v/>
      </c>
      <c r="F41" s="74" t="str">
        <f aca="false">IF(Scoring!AG42&lt;&gt;"",Scoring!AG42,IF(Scoring!AH42="OK","PENDING",""))</f>
        <v>PENDING</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5" t="str">
        <f aca="false">IF(Scoring!A43="","",Scoring!A43)</f>
        <v>GE</v>
      </c>
      <c r="B42" s="96" t="str">
        <f aca="false">IF(Scoring!B43="","",Scoring!B43)</f>
        <v>GE Aerospace</v>
      </c>
      <c r="C42" s="97" t="n">
        <f aca="false">IF(Scoring!C43="","",Scoring!C43)</f>
        <v>46247</v>
      </c>
      <c r="D42" s="98" t="n">
        <f aca="false">IF(Scoring!N43="","",Scoring!N43)</f>
        <v>3.85714285714286</v>
      </c>
      <c r="E42" s="99" t="str">
        <f aca="false">IF(Scoring!AF43="","",Scoring!AF43)</f>
        <v/>
      </c>
      <c r="F42" s="74" t="str">
        <f aca="false">IF(Scoring!AG43&lt;&gt;"",Scoring!AG43,IF(Scoring!AH43="OK","PENDING",""))</f>
        <v>PENDING</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5" t="str">
        <f aca="false">IF(Scoring!A44="","",Scoring!A44)</f>
        <v>PH</v>
      </c>
      <c r="B43" s="96" t="str">
        <f aca="false">IF(Scoring!B44="","",Scoring!B44)</f>
        <v>Parker-Hannifin Corporation</v>
      </c>
      <c r="C43" s="97" t="n">
        <f aca="false">IF(Scoring!C44="","",Scoring!C44)</f>
        <v>46247</v>
      </c>
      <c r="D43" s="98" t="n">
        <f aca="false">IF(Scoring!N44="","",Scoring!N44)</f>
        <v>3.28571428571429</v>
      </c>
      <c r="E43" s="99" t="str">
        <f aca="false">IF(Scoring!AF44="","",Scoring!AF44)</f>
        <v/>
      </c>
      <c r="F43" s="74" t="str">
        <f aca="false">IF(Scoring!AG44&lt;&gt;"",Scoring!AG44,IF(Scoring!AH44="OK","PENDING",""))</f>
        <v>PENDING</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5" t="str">
        <f aca="false">IF(Scoring!A45="","",Scoring!A45)</f>
        <v>ETN</v>
      </c>
      <c r="B44" s="96" t="str">
        <f aca="false">IF(Scoring!B45="","",Scoring!B45)</f>
        <v>Eaton Corporation plc</v>
      </c>
      <c r="C44" s="97" t="n">
        <f aca="false">IF(Scoring!C45="","",Scoring!C45)</f>
        <v>46247</v>
      </c>
      <c r="D44" s="98" t="n">
        <f aca="false">IF(Scoring!N45="","",Scoring!N45)</f>
        <v>3.5</v>
      </c>
      <c r="E44" s="99" t="str">
        <f aca="false">IF(Scoring!AF45="","",Scoring!AF45)</f>
        <v/>
      </c>
      <c r="F44" s="74" t="str">
        <f aca="false">IF(Scoring!AG45&lt;&gt;"",Scoring!AG45,IF(Scoring!AH45="OK","PENDING",""))</f>
        <v>PENDING</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5" t="str">
        <f aca="false">IF(Scoring!A46="","",Scoring!A46)</f>
        <v>DIS</v>
      </c>
      <c r="B45" s="96" t="str">
        <f aca="false">IF(Scoring!B46="","",Scoring!B46)</f>
        <v>The Walt Disney Company</v>
      </c>
      <c r="C45" s="97" t="n">
        <f aca="false">IF(Scoring!C46="","",Scoring!C46)</f>
        <v>46258</v>
      </c>
      <c r="D45" s="98" t="n">
        <f aca="false">IF(Scoring!N46="","",Scoring!N46)</f>
        <v>2.92857142857143</v>
      </c>
      <c r="E45" s="99" t="str">
        <f aca="false">IF(Scoring!AF46="","",Scoring!AF46)</f>
        <v/>
      </c>
      <c r="F45" s="74" t="str">
        <f aca="false">IF(Scoring!AG46&lt;&gt;"",Scoring!AG46,IF(Scoring!AH46="OK","PENDING",""))</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5" t="str">
        <f aca="false">IF(Scoring!A47="","",Scoring!A47)</f>
        <v>NFLX</v>
      </c>
      <c r="B46" s="96" t="str">
        <f aca="false">IF(Scoring!B47="","",Scoring!B47)</f>
        <v>Netflix, Inc.</v>
      </c>
      <c r="C46" s="97" t="n">
        <f aca="false">IF(Scoring!C47="","",Scoring!C47)</f>
        <v>46258</v>
      </c>
      <c r="D46" s="98" t="n">
        <f aca="false">IF(Scoring!N47="","",Scoring!N47)</f>
        <v>4.21428571428571</v>
      </c>
      <c r="E46" s="99" t="str">
        <f aca="false">IF(Scoring!AF47="","",Scoring!AF47)</f>
        <v/>
      </c>
      <c r="F46" s="74" t="str">
        <f aca="false">IF(Scoring!AG47&lt;&gt;"",Scoring!AG47,IF(Scoring!AH47="OK","PENDING",""))</f>
        <v>PENDING</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true" outlineLevel="0" collapsed="false">
      <c r="A48" s="100" t="s">
        <v>260</v>
      </c>
      <c r="B48" s="100"/>
      <c r="C48" s="100"/>
      <c r="D48" s="100"/>
      <c r="E48" s="100"/>
      <c r="F48" s="100"/>
    </row>
    <row r="49" customFormat="false" ht="15.75" hidden="false" customHeight="true" outlineLevel="0" collapsed="false">
      <c r="A49" s="101" t="n">
        <f aca="false">SUBTOTAL(103,A2:A47)</f>
        <v>26</v>
      </c>
      <c r="B49" s="102" t="s">
        <v>261</v>
      </c>
    </row>
  </sheetData>
  <mergeCells count="1">
    <mergeCell ref="A48:F48"/>
  </mergeCells>
  <conditionalFormatting sqref="F2:F46">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0">
      <formula>"REVIEW"</formula>
    </cfRule>
  </conditionalFormatting>
  <conditionalFormatting sqref="J2:J46">
    <cfRule type="cellIs" priority="10" operator="equal" aboveAverage="0" equalAverage="0" bottom="0" percent="0" rank="0" text="" dxfId="20">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3" t="s">
        <v>262</v>
      </c>
      <c r="E1" s="103"/>
      <c r="F1" s="103"/>
      <c r="G1" s="103"/>
      <c r="H1" s="103"/>
      <c r="I1" s="103"/>
      <c r="J1" s="103"/>
      <c r="K1" s="103"/>
      <c r="L1" s="103"/>
      <c r="M1" s="103"/>
      <c r="N1" s="103"/>
      <c r="O1" s="103"/>
      <c r="P1" s="103" t="s">
        <v>263</v>
      </c>
      <c r="Q1" s="103"/>
      <c r="R1" s="103"/>
      <c r="S1" s="103"/>
      <c r="T1" s="103"/>
      <c r="U1" s="103"/>
      <c r="V1" s="103"/>
      <c r="W1" s="103"/>
      <c r="X1" s="103"/>
      <c r="Y1" s="103" t="s">
        <v>264</v>
      </c>
      <c r="Z1" s="103"/>
      <c r="AA1" s="103"/>
      <c r="AB1" s="103"/>
      <c r="AC1" s="103"/>
      <c r="AD1" s="103"/>
      <c r="AE1" s="103"/>
      <c r="AH1" s="104" t="s">
        <v>265</v>
      </c>
      <c r="AI1" s="104"/>
      <c r="AJ1" s="104"/>
      <c r="AK1" s="104"/>
      <c r="AL1" s="105" t="s">
        <v>266</v>
      </c>
      <c r="AM1" s="105"/>
      <c r="AN1" s="106" t="s">
        <v>267</v>
      </c>
      <c r="AO1" s="106"/>
      <c r="AP1" s="106"/>
      <c r="AQ1" s="106"/>
      <c r="AR1" s="106"/>
      <c r="AS1" s="106"/>
    </row>
    <row r="2" customFormat="false" ht="37.5" hidden="false" customHeight="true" outlineLevel="0" collapsed="false">
      <c r="A2" s="107" t="s">
        <v>76</v>
      </c>
      <c r="B2" s="107" t="s">
        <v>251</v>
      </c>
      <c r="C2" s="107" t="s">
        <v>268</v>
      </c>
      <c r="D2" s="108" t="s">
        <v>269</v>
      </c>
      <c r="E2" s="108" t="s">
        <v>270</v>
      </c>
      <c r="F2" s="108" t="s">
        <v>271</v>
      </c>
      <c r="G2" s="108" t="s">
        <v>270</v>
      </c>
      <c r="H2" s="108" t="s">
        <v>272</v>
      </c>
      <c r="I2" s="108" t="s">
        <v>270</v>
      </c>
      <c r="J2" s="108" t="s">
        <v>273</v>
      </c>
      <c r="K2" s="108" t="s">
        <v>270</v>
      </c>
      <c r="L2" s="108" t="s">
        <v>274</v>
      </c>
      <c r="M2" s="108" t="s">
        <v>275</v>
      </c>
      <c r="N2" s="108" t="s">
        <v>276</v>
      </c>
      <c r="O2" s="108" t="s">
        <v>277</v>
      </c>
      <c r="P2" s="107" t="s">
        <v>278</v>
      </c>
      <c r="Q2" s="107" t="s">
        <v>270</v>
      </c>
      <c r="R2" s="107" t="s">
        <v>279</v>
      </c>
      <c r="S2" s="107" t="s">
        <v>270</v>
      </c>
      <c r="T2" s="107" t="s">
        <v>280</v>
      </c>
      <c r="U2" s="107" t="s">
        <v>270</v>
      </c>
      <c r="V2" s="107" t="s">
        <v>281</v>
      </c>
      <c r="W2" s="107" t="s">
        <v>270</v>
      </c>
      <c r="X2" s="107" t="s">
        <v>282</v>
      </c>
      <c r="Y2" s="107" t="s">
        <v>283</v>
      </c>
      <c r="Z2" s="107" t="s">
        <v>270</v>
      </c>
      <c r="AA2" s="107" t="s">
        <v>284</v>
      </c>
      <c r="AB2" s="107" t="s">
        <v>270</v>
      </c>
      <c r="AC2" s="107" t="s">
        <v>285</v>
      </c>
      <c r="AD2" s="107" t="s">
        <v>270</v>
      </c>
      <c r="AE2" s="107" t="s">
        <v>286</v>
      </c>
      <c r="AF2" s="107" t="s">
        <v>287</v>
      </c>
      <c r="AG2" s="107" t="s">
        <v>255</v>
      </c>
      <c r="AH2" s="104" t="s">
        <v>288</v>
      </c>
      <c r="AI2" s="104" t="s">
        <v>289</v>
      </c>
      <c r="AJ2" s="104" t="s">
        <v>290</v>
      </c>
      <c r="AK2" s="104" t="s">
        <v>291</v>
      </c>
      <c r="AL2" s="109" t="s">
        <v>292</v>
      </c>
      <c r="AM2" s="107" t="s">
        <v>293</v>
      </c>
      <c r="AN2" s="107" t="s">
        <v>294</v>
      </c>
      <c r="AO2" s="107" t="s">
        <v>295</v>
      </c>
      <c r="AP2" s="107" t="s">
        <v>296</v>
      </c>
      <c r="AQ2" s="107" t="s">
        <v>297</v>
      </c>
      <c r="AR2" s="107" t="s">
        <v>298</v>
      </c>
      <c r="AS2" s="109" t="s">
        <v>299</v>
      </c>
    </row>
    <row r="3" customFormat="false" ht="15" hidden="false" customHeight="true" outlineLevel="0" collapsed="false">
      <c r="A3" s="72" t="s">
        <v>103</v>
      </c>
      <c r="B3" s="110" t="s">
        <v>104</v>
      </c>
      <c r="C3" s="111" t="n">
        <v>46240</v>
      </c>
      <c r="D3" s="110" t="n">
        <v>3</v>
      </c>
      <c r="E3" s="110" t="s">
        <v>300</v>
      </c>
      <c r="F3" s="110" t="n">
        <v>3</v>
      </c>
      <c r="G3" s="110" t="s">
        <v>300</v>
      </c>
      <c r="H3" s="110" t="n">
        <v>4</v>
      </c>
      <c r="I3" s="110" t="s">
        <v>301</v>
      </c>
      <c r="J3" s="110" t="n">
        <v>5</v>
      </c>
      <c r="K3" s="110" t="s">
        <v>301</v>
      </c>
      <c r="L3" s="110" t="n">
        <v>4</v>
      </c>
      <c r="M3" s="110" t="s">
        <v>300</v>
      </c>
      <c r="N3" s="112" t="n">
        <f aca="false">IF(COUNT(D3,F3,H3,J3,L3)=0,"",(D3*0.2+F3*0.15+H3*0.15+J3*0.1+L3*0.1)/0.7)</f>
        <v>3.64285714285714</v>
      </c>
      <c r="O3" s="113" t="n">
        <f aca="false">IF(COUNT(D3,F3,H3,J3,L3)=0,"",D3*0.2+F3*0.15+H3*0.15+J3*0.1+L3*0.1)</f>
        <v>2.55</v>
      </c>
      <c r="P3" s="110" t="n">
        <v>4</v>
      </c>
      <c r="Q3" s="110" t="s">
        <v>300</v>
      </c>
      <c r="R3" s="110" t="n">
        <v>5</v>
      </c>
      <c r="S3" s="110" t="s">
        <v>300</v>
      </c>
      <c r="T3" s="110" t="n">
        <v>5</v>
      </c>
      <c r="U3" s="110" t="s">
        <v>301</v>
      </c>
      <c r="V3" s="110" t="n">
        <v>1</v>
      </c>
      <c r="W3" s="110" t="s">
        <v>301</v>
      </c>
      <c r="X3" s="113" t="n">
        <f aca="false">IF(COUNT(P3,R3,T3,V3)=0,"",P3*0.08+R3*0.06+T3*0.03+V3*0.08)</f>
        <v>0.85</v>
      </c>
      <c r="Y3" s="110" t="n">
        <v>5</v>
      </c>
      <c r="Z3" s="110" t="s">
        <v>301</v>
      </c>
      <c r="AA3" s="110" t="n">
        <v>3</v>
      </c>
      <c r="AB3" s="110" t="s">
        <v>300</v>
      </c>
      <c r="AC3" s="110" t="n">
        <v>3</v>
      </c>
      <c r="AD3" s="110" t="s">
        <v>302</v>
      </c>
      <c r="AE3" s="113" t="n">
        <f aca="false">IF(COUNT(Y3,AA3,AC3)=0,"",Y3*0.02+AA3*0.02+AC3*0.01)</f>
        <v>0.19</v>
      </c>
      <c r="AF3" s="99" t="n">
        <f aca="false">IF(OR(O3="",X3="",AE3=""),"",(O3+X3+AE3)*20)</f>
        <v>71.8</v>
      </c>
      <c r="AG3" s="95" t="str">
        <f aca="false">IF(AF3="","",IF(AF3&gt;=80,"STRONG BUY",IF(AF3&gt;=65,"BUY",IF(AF3&gt;=50,"WATCH LIST",IF(AF3&gt;=35,"AVOID","PASS")))))</f>
        <v>BUY</v>
      </c>
      <c r="AH3" s="95" t="str">
        <f aca="false">IF(N3="","",IF(N3&lt;3,"FAIL","OK"))</f>
        <v>OK</v>
      </c>
      <c r="AI3" s="95" t="str">
        <f aca="false">IF(COUNT(D3:L3)=0,"",IF(COUNTIF(D3:L3,1)&gt;0,"REVIEW","OK"))</f>
        <v>OK</v>
      </c>
      <c r="AJ3" s="95" t="str">
        <f aca="false">IF(COUNT(D3:L3)=0,"",IF(COUNTIF(D3:L3,"&lt;=2")&gt;=2,"AVOID","OK"))</f>
        <v>OK</v>
      </c>
      <c r="AK3" s="95" t="str">
        <f aca="false">IF(COUNTA(E3:M3)=0,"",IF(COUNTIF(E3:M3,"L")&gt;=2,"CAP AT BUY","OK"))</f>
        <v>OK</v>
      </c>
      <c r="AL3" s="114" t="s">
        <v>303</v>
      </c>
      <c r="AM3" s="110" t="s">
        <v>304</v>
      </c>
      <c r="AN3" s="110"/>
      <c r="AO3" s="95"/>
      <c r="AP3" s="110" t="str">
        <f aca="false">IF(OR(AN3="",AO3=""),"",IF(AN3&gt;AO3,"OK","LOW CONF"))</f>
        <v/>
      </c>
      <c r="AQ3" s="110"/>
      <c r="AR3" s="95"/>
      <c r="AS3" s="115" t="str">
        <f aca="false">IF(OR(AQ3="",AR3=""),"",IF(AQ3&lt;AR3,"Decreased",IF(AQ3&gt;AR3,"Increased","Flat")))</f>
        <v/>
      </c>
    </row>
    <row r="4" customFormat="false" ht="15" hidden="false" customHeight="true" outlineLevel="0" collapsed="false">
      <c r="A4" s="72" t="s">
        <v>135</v>
      </c>
      <c r="B4" s="110" t="s">
        <v>136</v>
      </c>
      <c r="C4" s="111" t="n">
        <v>46240</v>
      </c>
      <c r="D4" s="110" t="n">
        <v>3</v>
      </c>
      <c r="E4" s="110" t="s">
        <v>300</v>
      </c>
      <c r="F4" s="110" t="n">
        <v>4</v>
      </c>
      <c r="G4" s="110" t="s">
        <v>301</v>
      </c>
      <c r="H4" s="110" t="n">
        <v>5</v>
      </c>
      <c r="I4" s="110" t="s">
        <v>301</v>
      </c>
      <c r="J4" s="110" t="n">
        <v>4</v>
      </c>
      <c r="K4" s="110" t="s">
        <v>300</v>
      </c>
      <c r="L4" s="110" t="n">
        <v>5</v>
      </c>
      <c r="M4" s="110" t="s">
        <v>301</v>
      </c>
      <c r="N4" s="112" t="n">
        <f aca="false">IF(COUNT(D4,F4,H4,J4,L4)=0,"",(D4*0.2+F4*0.15+H4*0.15+J4*0.1+L4*0.1)/0.7)</f>
        <v>4.07142857142857</v>
      </c>
      <c r="O4" s="113" t="n">
        <f aca="false">IF(COUNT(D4,F4,H4,J4,L4)=0,"",D4*0.2+F4*0.15+H4*0.15+J4*0.1+L4*0.1)</f>
        <v>2.85</v>
      </c>
      <c r="P4" s="110" t="n">
        <v>4</v>
      </c>
      <c r="Q4" s="110" t="s">
        <v>301</v>
      </c>
      <c r="R4" s="110" t="n">
        <v>4</v>
      </c>
      <c r="S4" s="110" t="s">
        <v>302</v>
      </c>
      <c r="T4" s="110" t="n">
        <v>4</v>
      </c>
      <c r="U4" s="110" t="s">
        <v>300</v>
      </c>
      <c r="V4" s="110" t="n">
        <v>4</v>
      </c>
      <c r="W4" s="110" t="s">
        <v>300</v>
      </c>
      <c r="X4" s="113" t="n">
        <f aca="false">IF(COUNT(P4,R4,T4,V4)=0,"",P4*0.08+R4*0.06+T4*0.03+V4*0.08)</f>
        <v>1</v>
      </c>
      <c r="Y4" s="110" t="n">
        <v>3</v>
      </c>
      <c r="Z4" s="110" t="s">
        <v>300</v>
      </c>
      <c r="AA4" s="110" t="n">
        <v>5</v>
      </c>
      <c r="AB4" s="110" t="s">
        <v>301</v>
      </c>
      <c r="AC4" s="110" t="n">
        <v>3</v>
      </c>
      <c r="AD4" s="110" t="s">
        <v>300</v>
      </c>
      <c r="AE4" s="113" t="n">
        <f aca="false">IF(COUNT(Y4,AA4,AC4)=0,"",Y4*0.02+AA4*0.02+AC4*0.01)</f>
        <v>0.19</v>
      </c>
      <c r="AF4" s="99" t="n">
        <f aca="false">IF(OR(O4="",X4="",AE4=""),"",(O4+X4+AE4)*20)</f>
        <v>80.8</v>
      </c>
      <c r="AG4" s="95" t="str">
        <f aca="false">IF(AF4="","",IF(AF4&gt;=80,"STRONG BUY",IF(AF4&gt;=65,"BUY",IF(AF4&gt;=50,"WATCH LIST",IF(AF4&gt;=35,"AVOID","PASS")))))</f>
        <v>STRONG BUY</v>
      </c>
      <c r="AH4" s="95" t="str">
        <f aca="false">IF(N4="","",IF(N4&lt;3,"FAIL","OK"))</f>
        <v>OK</v>
      </c>
      <c r="AI4" s="95" t="str">
        <f aca="false">IF(COUNT(D4:L4)=0,"",IF(COUNTIF(D4:L4,1)&gt;0,"REVIEW","OK"))</f>
        <v>OK</v>
      </c>
      <c r="AJ4" s="95" t="str">
        <f aca="false">IF(COUNT(D4:L4)=0,"",IF(COUNTIF(D4:L4,"&lt;=2")&gt;=2,"AVOID","OK"))</f>
        <v>OK</v>
      </c>
      <c r="AK4" s="95" t="str">
        <f aca="false">IF(COUNTA(E4:M4)=0,"",IF(COUNTIF(E4:M4,"L")&gt;=2,"CAP AT BUY","OK"))</f>
        <v>OK</v>
      </c>
      <c r="AL4" s="114" t="s">
        <v>303</v>
      </c>
      <c r="AM4" s="110" t="s">
        <v>304</v>
      </c>
      <c r="AN4" s="110"/>
      <c r="AO4" s="95"/>
      <c r="AP4" s="110" t="str">
        <f aca="false">IF(OR(AN4="",AO4=""),"",IF(AN4&gt;AO4,"OK","LOW CONF"))</f>
        <v/>
      </c>
      <c r="AQ4" s="110"/>
      <c r="AR4" s="95"/>
      <c r="AS4" s="115" t="str">
        <f aca="false">IF(OR(AQ4="",AR4=""),"",IF(AQ4&lt;AR4,"Decreased",IF(AQ4&gt;AR4,"Increased","Flat")))</f>
        <v/>
      </c>
    </row>
    <row r="5" customFormat="false" ht="15" hidden="false" customHeight="true" outlineLevel="0" collapsed="false">
      <c r="A5" s="72" t="s">
        <v>107</v>
      </c>
      <c r="B5" s="110" t="s">
        <v>108</v>
      </c>
      <c r="C5" s="111" t="n">
        <v>46240</v>
      </c>
      <c r="D5" s="110" t="n">
        <v>2</v>
      </c>
      <c r="E5" s="110" t="s">
        <v>301</v>
      </c>
      <c r="F5" s="110" t="n">
        <v>5</v>
      </c>
      <c r="G5" s="110" t="s">
        <v>301</v>
      </c>
      <c r="H5" s="110" t="n">
        <v>5</v>
      </c>
      <c r="I5" s="110" t="s">
        <v>300</v>
      </c>
      <c r="J5" s="110" t="n">
        <v>4</v>
      </c>
      <c r="K5" s="110" t="s">
        <v>300</v>
      </c>
      <c r="L5" s="110" t="n">
        <v>5</v>
      </c>
      <c r="M5" s="110" t="s">
        <v>301</v>
      </c>
      <c r="N5" s="112" t="n">
        <f aca="false">IF(COUNT(D5,F5,H5,J5,L5)=0,"",(D5*0.2+F5*0.15+H5*0.15+J5*0.1+L5*0.1)/0.7)</f>
        <v>4</v>
      </c>
      <c r="O5" s="113" t="n">
        <f aca="false">IF(COUNT(D5,F5,H5,J5,L5)=0,"",D5*0.2+F5*0.15+H5*0.15+J5*0.1+L5*0.1)</f>
        <v>2.8</v>
      </c>
      <c r="P5" s="110" t="n">
        <v>3</v>
      </c>
      <c r="Q5" s="110" t="s">
        <v>300</v>
      </c>
      <c r="R5" s="110" t="n">
        <v>5</v>
      </c>
      <c r="S5" s="110" t="s">
        <v>301</v>
      </c>
      <c r="T5" s="110" t="n">
        <v>3</v>
      </c>
      <c r="U5" s="110" t="s">
        <v>300</v>
      </c>
      <c r="V5" s="110" t="n">
        <v>2</v>
      </c>
      <c r="W5" s="110" t="s">
        <v>300</v>
      </c>
      <c r="X5" s="113" t="n">
        <f aca="false">IF(COUNT(P5,R5,T5,V5)=0,"",P5*0.08+R5*0.06+T5*0.03+V5*0.08)</f>
        <v>0.79</v>
      </c>
      <c r="Y5" s="110" t="n">
        <v>3</v>
      </c>
      <c r="Z5" s="110" t="s">
        <v>302</v>
      </c>
      <c r="AA5" s="110" t="n">
        <v>4</v>
      </c>
      <c r="AB5" s="110" t="s">
        <v>300</v>
      </c>
      <c r="AC5" s="110" t="n">
        <v>3</v>
      </c>
      <c r="AD5" s="110" t="s">
        <v>302</v>
      </c>
      <c r="AE5" s="113" t="n">
        <f aca="false">IF(COUNT(Y5,AA5,AC5)=0,"",Y5*0.02+AA5*0.02+AC5*0.01)</f>
        <v>0.17</v>
      </c>
      <c r="AF5" s="99" t="n">
        <f aca="false">IF(OR(O5="",X5="",AE5=""),"",(O5+X5+AE5)*20)</f>
        <v>75.2</v>
      </c>
      <c r="AG5" s="95" t="str">
        <f aca="false">IF(AF5="","",IF(AF5&gt;=80,"STRONG BUY",IF(AF5&gt;=65,"BUY",IF(AF5&gt;=50,"WATCH LIST",IF(AF5&gt;=35,"AVOID","PASS")))))</f>
        <v>BUY</v>
      </c>
      <c r="AH5" s="95" t="str">
        <f aca="false">IF(N5="","",IF(N5&lt;3,"FAIL","OK"))</f>
        <v>OK</v>
      </c>
      <c r="AI5" s="95" t="str">
        <f aca="false">IF(COUNT(D5:L5)=0,"",IF(COUNTIF(D5:L5,1)&gt;0,"REVIEW","OK"))</f>
        <v>OK</v>
      </c>
      <c r="AJ5" s="95" t="str">
        <f aca="false">IF(COUNT(D5:L5)=0,"",IF(COUNTIF(D5:L5,"&lt;=2")&gt;=2,"AVOID","OK"))</f>
        <v>OK</v>
      </c>
      <c r="AK5" s="95" t="str">
        <f aca="false">IF(COUNTA(E5:M5)=0,"",IF(COUNTIF(E5:M5,"L")&gt;=2,"CAP AT BUY","OK"))</f>
        <v>OK</v>
      </c>
      <c r="AL5" s="114" t="s">
        <v>303</v>
      </c>
      <c r="AM5" s="110" t="s">
        <v>305</v>
      </c>
      <c r="AN5" s="110"/>
      <c r="AO5" s="95"/>
      <c r="AP5" s="110" t="str">
        <f aca="false">IF(OR(AN5="",AO5=""),"",IF(AN5&gt;AO5,"OK","LOW CONF"))</f>
        <v/>
      </c>
      <c r="AQ5" s="110"/>
      <c r="AR5" s="95"/>
      <c r="AS5" s="115" t="str">
        <f aca="false">IF(OR(AQ5="",AR5=""),"",IF(AQ5&lt;AR5,"Decreased",IF(AQ5&gt;AR5,"Increased","Flat")))</f>
        <v/>
      </c>
    </row>
    <row r="6" customFormat="false" ht="15" hidden="false" customHeight="true" outlineLevel="0" collapsed="false">
      <c r="A6" s="72" t="s">
        <v>105</v>
      </c>
      <c r="B6" s="110" t="s">
        <v>106</v>
      </c>
      <c r="C6" s="111" t="n">
        <v>46240</v>
      </c>
      <c r="D6" s="110" t="n">
        <v>4</v>
      </c>
      <c r="E6" s="110" t="s">
        <v>301</v>
      </c>
      <c r="F6" s="110" t="n">
        <v>5</v>
      </c>
      <c r="G6" s="110" t="s">
        <v>301</v>
      </c>
      <c r="H6" s="110" t="n">
        <v>5</v>
      </c>
      <c r="I6" s="110" t="s">
        <v>301</v>
      </c>
      <c r="J6" s="110" t="n">
        <v>4</v>
      </c>
      <c r="K6" s="110" t="s">
        <v>301</v>
      </c>
      <c r="L6" s="110" t="n">
        <v>5</v>
      </c>
      <c r="M6" s="110" t="s">
        <v>301</v>
      </c>
      <c r="N6" s="112" t="n">
        <f aca="false">IF(COUNT(D6,F6,H6,J6,L6)=0,"",(D6*0.2+F6*0.15+H6*0.15+J6*0.1+L6*0.1)/0.7)</f>
        <v>4.57142857142857</v>
      </c>
      <c r="O6" s="113" t="n">
        <f aca="false">IF(COUNT(D6,F6,H6,J6,L6)=0,"",D6*0.2+F6*0.15+H6*0.15+J6*0.1+L6*0.1)</f>
        <v>3.2</v>
      </c>
      <c r="P6" s="110" t="n">
        <v>5</v>
      </c>
      <c r="Q6" s="110" t="s">
        <v>301</v>
      </c>
      <c r="R6" s="110" t="n">
        <v>5</v>
      </c>
      <c r="S6" s="110" t="s">
        <v>301</v>
      </c>
      <c r="T6" s="110" t="n">
        <v>5</v>
      </c>
      <c r="U6" s="110" t="s">
        <v>301</v>
      </c>
      <c r="V6" s="110" t="n">
        <v>5</v>
      </c>
      <c r="W6" s="110" t="s">
        <v>300</v>
      </c>
      <c r="X6" s="113" t="n">
        <f aca="false">IF(COUNT(P6,R6,T6,V6)=0,"",P6*0.08+R6*0.06+T6*0.03+V6*0.08)</f>
        <v>1.25</v>
      </c>
      <c r="Y6" s="110" t="n">
        <v>4</v>
      </c>
      <c r="Z6" s="110" t="s">
        <v>300</v>
      </c>
      <c r="AA6" s="110" t="n">
        <v>5</v>
      </c>
      <c r="AB6" s="110" t="s">
        <v>300</v>
      </c>
      <c r="AC6" s="110" t="n">
        <v>3</v>
      </c>
      <c r="AD6" s="110" t="s">
        <v>302</v>
      </c>
      <c r="AE6" s="113" t="n">
        <f aca="false">IF(COUNT(Y6,AA6,AC6)=0,"",Y6*0.02+AA6*0.02+AC6*0.01)</f>
        <v>0.21</v>
      </c>
      <c r="AF6" s="99" t="n">
        <f aca="false">IF(OR(O6="",X6="",AE6=""),"",(O6+X6+AE6)*20)</f>
        <v>93.2</v>
      </c>
      <c r="AG6" s="95" t="str">
        <f aca="false">IF(AF6="","",IF(AF6&gt;=80,"STRONG BUY",IF(AF6&gt;=65,"BUY",IF(AF6&gt;=50,"WATCH LIST",IF(AF6&gt;=35,"AVOID","PASS")))))</f>
        <v>STRONG BUY</v>
      </c>
      <c r="AH6" s="95" t="str">
        <f aca="false">IF(N6="","",IF(N6&lt;3,"FAIL","OK"))</f>
        <v>OK</v>
      </c>
      <c r="AI6" s="95" t="str">
        <f aca="false">IF(COUNT(D6:L6)=0,"",IF(COUNTIF(D6:L6,1)&gt;0,"REVIEW","OK"))</f>
        <v>OK</v>
      </c>
      <c r="AJ6" s="95" t="str">
        <f aca="false">IF(COUNT(D6:L6)=0,"",IF(COUNTIF(D6:L6,"&lt;=2")&gt;=2,"AVOID","OK"))</f>
        <v>OK</v>
      </c>
      <c r="AK6" s="95" t="str">
        <f aca="false">IF(COUNTA(E6:M6)=0,"",IF(COUNTIF(E6:M6,"L")&gt;=2,"CAP AT BUY","OK"))</f>
        <v>OK</v>
      </c>
      <c r="AL6" s="114" t="s">
        <v>303</v>
      </c>
      <c r="AM6" s="110" t="s">
        <v>304</v>
      </c>
      <c r="AN6" s="110"/>
      <c r="AO6" s="95"/>
      <c r="AP6" s="110" t="str">
        <f aca="false">IF(OR(AN6="",AO6=""),"",IF(AN6&gt;AO6,"OK","LOW CONF"))</f>
        <v/>
      </c>
      <c r="AQ6" s="110"/>
      <c r="AR6" s="95"/>
      <c r="AS6" s="115" t="str">
        <f aca="false">IF(OR(AQ6="",AR6=""),"",IF(AQ6&lt;AR6,"Decreased",IF(AQ6&gt;AR6,"Increased","Flat")))</f>
        <v/>
      </c>
    </row>
    <row r="7" customFormat="false" ht="15" hidden="false" customHeight="true" outlineLevel="0" collapsed="false">
      <c r="A7" s="72" t="s">
        <v>137</v>
      </c>
      <c r="B7" s="110" t="s">
        <v>138</v>
      </c>
      <c r="C7" s="111" t="n">
        <v>46241</v>
      </c>
      <c r="D7" s="110" t="n">
        <v>4</v>
      </c>
      <c r="E7" s="110" t="s">
        <v>301</v>
      </c>
      <c r="F7" s="110" t="n">
        <v>3</v>
      </c>
      <c r="G7" s="110" t="s">
        <v>300</v>
      </c>
      <c r="H7" s="110" t="n">
        <v>4</v>
      </c>
      <c r="I7" s="110" t="s">
        <v>300</v>
      </c>
      <c r="J7" s="110" t="n">
        <v>4</v>
      </c>
      <c r="K7" s="110" t="s">
        <v>300</v>
      </c>
      <c r="L7" s="110" t="n">
        <v>4</v>
      </c>
      <c r="M7" s="110" t="s">
        <v>301</v>
      </c>
      <c r="N7" s="112" t="n">
        <f aca="false">IF(COUNT(D7,F7,H7,J7,L7)=0,"",(D7*0.2+F7*0.15+H7*0.15+J7*0.1+L7*0.1)/0.7)</f>
        <v>3.78571428571429</v>
      </c>
      <c r="O7" s="113" t="n">
        <f aca="false">IF(COUNT(D7,F7,H7,J7,L7)=0,"",D7*0.2+F7*0.15+H7*0.15+J7*0.1+L7*0.1)</f>
        <v>2.65</v>
      </c>
      <c r="P7" s="110" t="n">
        <v>3</v>
      </c>
      <c r="Q7" s="110" t="s">
        <v>300</v>
      </c>
      <c r="R7" s="110" t="n">
        <v>4</v>
      </c>
      <c r="S7" s="110" t="s">
        <v>300</v>
      </c>
      <c r="T7" s="110" t="n">
        <v>4</v>
      </c>
      <c r="U7" s="110" t="s">
        <v>300</v>
      </c>
      <c r="V7" s="110" t="n">
        <v>4</v>
      </c>
      <c r="W7" s="110" t="s">
        <v>300</v>
      </c>
      <c r="X7" s="113" t="n">
        <f aca="false">IF(COUNT(P7,R7,T7,V7)=0,"",P7*0.08+R7*0.06+T7*0.03+V7*0.08)</f>
        <v>0.92</v>
      </c>
      <c r="Y7" s="110" t="n">
        <v>4</v>
      </c>
      <c r="Z7" s="110" t="s">
        <v>300</v>
      </c>
      <c r="AA7" s="110" t="n">
        <v>5</v>
      </c>
      <c r="AB7" s="110" t="s">
        <v>301</v>
      </c>
      <c r="AC7" s="110" t="n">
        <v>3</v>
      </c>
      <c r="AD7" s="110" t="s">
        <v>302</v>
      </c>
      <c r="AE7" s="113" t="n">
        <f aca="false">IF(COUNT(Y7,AA7,AC7)=0,"",Y7*0.02+AA7*0.02+AC7*0.01)</f>
        <v>0.21</v>
      </c>
      <c r="AF7" s="99" t="n">
        <f aca="false">IF(OR(O7="",X7="",AE7=""),"",(O7+X7+AE7)*20)</f>
        <v>75.6</v>
      </c>
      <c r="AG7" s="95" t="str">
        <f aca="false">IF(AF7="","",IF(AF7&gt;=80,"STRONG BUY",IF(AF7&gt;=65,"BUY",IF(AF7&gt;=50,"WATCH LIST",IF(AF7&gt;=35,"AVOID","PASS")))))</f>
        <v>BUY</v>
      </c>
      <c r="AH7" s="95" t="str">
        <f aca="false">IF(N7="","",IF(N7&lt;3,"FAIL","OK"))</f>
        <v>OK</v>
      </c>
      <c r="AI7" s="95" t="str">
        <f aca="false">IF(COUNT(D7:L7)=0,"",IF(COUNTIF(D7:L7,1)&gt;0,"REVIEW","OK"))</f>
        <v>OK</v>
      </c>
      <c r="AJ7" s="95" t="str">
        <f aca="false">IF(COUNT(D7:L7)=0,"",IF(COUNTIF(D7:L7,"&lt;=2")&gt;=2,"AVOID","OK"))</f>
        <v>OK</v>
      </c>
      <c r="AK7" s="95" t="str">
        <f aca="false">IF(COUNTA(E7:M7)=0,"",IF(COUNTIF(E7:M7,"L")&gt;=2,"CAP AT BUY","OK"))</f>
        <v>OK</v>
      </c>
      <c r="AL7" s="114" t="s">
        <v>306</v>
      </c>
      <c r="AM7" s="110" t="s">
        <v>307</v>
      </c>
      <c r="AN7" s="110"/>
      <c r="AO7" s="95"/>
      <c r="AP7" s="110" t="str">
        <f aca="false">IF(OR(AN7="",AO7=""),"",IF(AN7&gt;AO7,"OK","LOW CONF"))</f>
        <v/>
      </c>
      <c r="AQ7" s="110"/>
      <c r="AR7" s="95"/>
      <c r="AS7" s="115" t="str">
        <f aca="false">IF(OR(AQ7="",AR7=""),"",IF(AQ7&lt;AR7,"Decreased",IF(AQ7&gt;AR7,"Increased","Flat")))</f>
        <v/>
      </c>
    </row>
    <row r="8" customFormat="false" ht="15" hidden="false" customHeight="true" outlineLevel="0" collapsed="false">
      <c r="A8" s="72" t="s">
        <v>144</v>
      </c>
      <c r="B8" s="110" t="s">
        <v>308</v>
      </c>
      <c r="C8" s="111" t="n">
        <v>46240</v>
      </c>
      <c r="D8" s="110" t="n">
        <v>4</v>
      </c>
      <c r="E8" s="110" t="s">
        <v>300</v>
      </c>
      <c r="F8" s="110" t="n">
        <v>4</v>
      </c>
      <c r="G8" s="110" t="s">
        <v>300</v>
      </c>
      <c r="H8" s="110" t="n">
        <v>5</v>
      </c>
      <c r="I8" s="110" t="s">
        <v>301</v>
      </c>
      <c r="J8" s="110" t="n">
        <v>4</v>
      </c>
      <c r="K8" s="110" t="s">
        <v>300</v>
      </c>
      <c r="L8" s="110" t="n">
        <v>5</v>
      </c>
      <c r="M8" s="110" t="s">
        <v>301</v>
      </c>
      <c r="N8" s="112" t="n">
        <f aca="false">IF(COUNT(D8,F8,H8,J8,L8)=0,"",(D8*0.2+F8*0.15+H8*0.15+J8*0.1+L8*0.1)/0.7)</f>
        <v>4.35714285714286</v>
      </c>
      <c r="O8" s="113" t="n">
        <f aca="false">IF(COUNT(D8,F8,H8,J8,L8)=0,"",D8*0.2+F8*0.15+H8*0.15+J8*0.1+L8*0.1)</f>
        <v>3.05</v>
      </c>
      <c r="P8" s="110" t="n">
        <v>5</v>
      </c>
      <c r="Q8" s="110" t="s">
        <v>301</v>
      </c>
      <c r="R8" s="110" t="n">
        <v>3</v>
      </c>
      <c r="S8" s="110" t="s">
        <v>302</v>
      </c>
      <c r="T8" s="110" t="n">
        <v>4</v>
      </c>
      <c r="U8" s="110" t="s">
        <v>302</v>
      </c>
      <c r="V8" s="110" t="n">
        <v>2</v>
      </c>
      <c r="W8" s="110" t="s">
        <v>301</v>
      </c>
      <c r="X8" s="113" t="n">
        <f aca="false">IF(COUNT(P8,R8,T8,V8)=0,"",P8*0.08+R8*0.06+T8*0.03+V8*0.08)</f>
        <v>0.86</v>
      </c>
      <c r="Y8" s="110" t="n">
        <v>4</v>
      </c>
      <c r="Z8" s="110" t="s">
        <v>302</v>
      </c>
      <c r="AA8" s="110" t="n">
        <v>4</v>
      </c>
      <c r="AB8" s="110" t="s">
        <v>300</v>
      </c>
      <c r="AC8" s="110" t="n">
        <v>3</v>
      </c>
      <c r="AD8" s="110" t="s">
        <v>302</v>
      </c>
      <c r="AE8" s="113" t="n">
        <f aca="false">IF(COUNT(Y8,AA8,AC8)=0,"",Y8*0.02+AA8*0.02+AC8*0.01)</f>
        <v>0.19</v>
      </c>
      <c r="AF8" s="99" t="n">
        <f aca="false">IF(OR(O8="",X8="",AE8=""),"",(O8+X8+AE8)*20)</f>
        <v>82</v>
      </c>
      <c r="AG8" s="95" t="str">
        <f aca="false">IF(AF8="","",IF(AF8&gt;=80,"STRONG BUY",IF(AF8&gt;=65,"BUY",IF(AF8&gt;=50,"WATCH LIST",IF(AF8&gt;=35,"AVOID","PASS")))))</f>
        <v>STRONG BUY</v>
      </c>
      <c r="AH8" s="95" t="str">
        <f aca="false">IF(N8="","",IF(N8&lt;3,"FAIL","OK"))</f>
        <v>OK</v>
      </c>
      <c r="AI8" s="95" t="str">
        <f aca="false">IF(COUNT(D8:L8)=0,"",IF(COUNTIF(D8:L8,1)&gt;0,"REVIEW","OK"))</f>
        <v>OK</v>
      </c>
      <c r="AJ8" s="95" t="str">
        <f aca="false">IF(COUNT(D8:L8)=0,"",IF(COUNTIF(D8:L8,"&lt;=2")&gt;=2,"AVOID","OK"))</f>
        <v>OK</v>
      </c>
      <c r="AK8" s="95" t="str">
        <f aca="false">IF(COUNTA(E8:M8)=0,"",IF(COUNTIF(E8:M8,"L")&gt;=2,"CAP AT BUY","OK"))</f>
        <v>OK</v>
      </c>
      <c r="AL8" s="114" t="s">
        <v>309</v>
      </c>
      <c r="AM8" s="110" t="s">
        <v>310</v>
      </c>
      <c r="AN8" s="110"/>
      <c r="AO8" s="95"/>
      <c r="AP8" s="110" t="str">
        <f aca="false">IF(OR(AN8="",AO8=""),"",IF(AN8&gt;AO8,"OK","LOW CONF"))</f>
        <v/>
      </c>
      <c r="AQ8" s="110"/>
      <c r="AR8" s="95"/>
      <c r="AS8" s="115" t="str">
        <f aca="false">IF(OR(AQ8="",AR8=""),"",IF(AQ8&lt;AR8,"Decreased",IF(AQ8&gt;AR8,"Increased","Flat")))</f>
        <v/>
      </c>
    </row>
    <row r="9" customFormat="false" ht="15" hidden="true" customHeight="true" outlineLevel="1" collapsed="false">
      <c r="A9" s="72" t="s">
        <v>147</v>
      </c>
      <c r="B9" s="110" t="s">
        <v>148</v>
      </c>
      <c r="C9" s="111" t="n">
        <v>46240</v>
      </c>
      <c r="D9" s="110" t="n">
        <v>2</v>
      </c>
      <c r="E9" s="110" t="s">
        <v>300</v>
      </c>
      <c r="F9" s="110" t="n">
        <v>2</v>
      </c>
      <c r="G9" s="110" t="s">
        <v>300</v>
      </c>
      <c r="H9" s="110" t="n">
        <v>2</v>
      </c>
      <c r="I9" s="110" t="s">
        <v>300</v>
      </c>
      <c r="J9" s="110" t="n">
        <v>2</v>
      </c>
      <c r="K9" s="110" t="s">
        <v>300</v>
      </c>
      <c r="L9" s="110" t="n">
        <v>1</v>
      </c>
      <c r="M9" s="110" t="s">
        <v>301</v>
      </c>
      <c r="N9" s="112" t="n">
        <f aca="false">IF(COUNT(D9,F9,H9,J9,L9)=0,"",(D9*0.2+F9*0.15+H9*0.15+J9*0.1+L9*0.1)/0.7)</f>
        <v>1.85714285714286</v>
      </c>
      <c r="O9" s="113" t="n">
        <f aca="false">IF(COUNT(D9,F9,H9,J9,L9)=0,"",D9*0.2+F9*0.15+H9*0.15+J9*0.1+L9*0.1)</f>
        <v>1.3</v>
      </c>
      <c r="P9" s="110"/>
      <c r="Q9" s="110"/>
      <c r="R9" s="110"/>
      <c r="S9" s="110"/>
      <c r="T9" s="110"/>
      <c r="U9" s="110"/>
      <c r="V9" s="110"/>
      <c r="W9" s="110"/>
      <c r="X9" s="113" t="str">
        <f aca="false">IF(COUNT(P9,R9,T9,V9)=0,"",P9*0.08+R9*0.06+T9*0.03+V9*0.08)</f>
        <v/>
      </c>
      <c r="Y9" s="110"/>
      <c r="Z9" s="110"/>
      <c r="AA9" s="110"/>
      <c r="AB9" s="110"/>
      <c r="AC9" s="110"/>
      <c r="AD9" s="110"/>
      <c r="AE9" s="113" t="str">
        <f aca="false">IF(COUNT(Y9,AA9,AC9)=0,"",Y9*0.02+AA9*0.02+AC9*0.01)</f>
        <v/>
      </c>
      <c r="AF9" s="99" t="str">
        <f aca="false">IF(OR(O9="",X9="",AE9=""),"",(O9+X9+AE9)*20)</f>
        <v/>
      </c>
      <c r="AG9" s="95" t="str">
        <f aca="false">IF(AF9="","",IF(AF9&gt;=80,"STRONG BUY",IF(AF9&gt;=65,"BUY",IF(AF9&gt;=50,"WATCH LIST",IF(AF9&gt;=35,"AVOID","PASS")))))</f>
        <v/>
      </c>
      <c r="AH9" s="95" t="str">
        <f aca="false">IF(N9="","",IF(N9&lt;3,"FAIL","OK"))</f>
        <v>FAIL</v>
      </c>
      <c r="AI9" s="95" t="str">
        <f aca="false">IF(COUNT(D9:L9)=0,"",IF(COUNTIF(D9:L9,1)&gt;0,"REVIEW","OK"))</f>
        <v>REVIEW</v>
      </c>
      <c r="AJ9" s="95" t="str">
        <f aca="false">IF(COUNT(D9:L9)=0,"",IF(COUNTIF(D9:L9,"&lt;=2")&gt;=2,"AVOID","OK"))</f>
        <v>AVOID</v>
      </c>
      <c r="AK9" s="95" t="str">
        <f aca="false">IF(COUNTA(E9:M9)=0,"",IF(COUNTIF(E9:M9,"L")&gt;=2,"CAP AT BUY","OK"))</f>
        <v>OK</v>
      </c>
      <c r="AL9" s="114" t="s">
        <v>311</v>
      </c>
      <c r="AM9" s="110" t="s">
        <v>312</v>
      </c>
      <c r="AN9" s="110"/>
      <c r="AO9" s="95"/>
      <c r="AP9" s="110" t="str">
        <f aca="false">IF(OR(AN9="",AO9=""),"",IF(AN9&gt;AO9,"OK","LOW CONF"))</f>
        <v/>
      </c>
      <c r="AQ9" s="110"/>
      <c r="AR9" s="95"/>
      <c r="AS9" s="115" t="str">
        <f aca="false">IF(OR(AQ9="",AR9=""),"",IF(AQ9&lt;AR9,"Decreased",IF(AQ9&gt;AR9,"Increased","Flat")))</f>
        <v/>
      </c>
    </row>
    <row r="10" customFormat="false" ht="15" hidden="true" customHeight="true" outlineLevel="1" collapsed="false">
      <c r="A10" s="72" t="s">
        <v>158</v>
      </c>
      <c r="B10" s="110" t="s">
        <v>159</v>
      </c>
      <c r="C10" s="111" t="n">
        <v>46240</v>
      </c>
      <c r="D10" s="110" t="n">
        <v>2</v>
      </c>
      <c r="E10" s="110" t="s">
        <v>300</v>
      </c>
      <c r="F10" s="110" t="n">
        <v>4</v>
      </c>
      <c r="G10" s="110" t="s">
        <v>301</v>
      </c>
      <c r="H10" s="110" t="n">
        <v>3</v>
      </c>
      <c r="I10" s="110" t="s">
        <v>300</v>
      </c>
      <c r="J10" s="110" t="n">
        <v>2</v>
      </c>
      <c r="K10" s="110" t="s">
        <v>300</v>
      </c>
      <c r="L10" s="110" t="n">
        <v>2</v>
      </c>
      <c r="M10" s="110" t="s">
        <v>301</v>
      </c>
      <c r="N10" s="112" t="n">
        <f aca="false">IF(COUNT(D10,F10,H10,J10,L10)=0,"",(D10*0.2+F10*0.15+H10*0.15+J10*0.1+L10*0.1)/0.7)</f>
        <v>2.64285714285714</v>
      </c>
      <c r="O10" s="113" t="n">
        <f aca="false">IF(COUNT(D10,F10,H10,J10,L10)=0,"",D10*0.2+F10*0.15+H10*0.15+J10*0.1+L10*0.1)</f>
        <v>1.85</v>
      </c>
      <c r="P10" s="110"/>
      <c r="Q10" s="110"/>
      <c r="R10" s="110"/>
      <c r="S10" s="110"/>
      <c r="T10" s="110"/>
      <c r="U10" s="110"/>
      <c r="V10" s="110"/>
      <c r="W10" s="110"/>
      <c r="X10" s="113" t="str">
        <f aca="false">IF(COUNT(P10,R10,T10,V10)=0,"",P10*0.08+R10*0.06+T10*0.03+V10*0.08)</f>
        <v/>
      </c>
      <c r="Y10" s="110"/>
      <c r="Z10" s="110"/>
      <c r="AA10" s="110"/>
      <c r="AB10" s="110"/>
      <c r="AC10" s="110"/>
      <c r="AD10" s="110"/>
      <c r="AE10" s="113" t="str">
        <f aca="false">IF(COUNT(Y10,AA10,AC10)=0,"",Y10*0.02+AA10*0.02+AC10*0.01)</f>
        <v/>
      </c>
      <c r="AF10" s="99" t="str">
        <f aca="false">IF(OR(O10="",X10="",AE10=""),"",(O10+X10+AE10)*20)</f>
        <v/>
      </c>
      <c r="AG10" s="95" t="str">
        <f aca="false">IF(AF10="","",IF(AF10&gt;=80,"STRONG BUY",IF(AF10&gt;=65,"BUY",IF(AF10&gt;=50,"WATCH LIST",IF(AF10&gt;=35,"AVOID","PASS")))))</f>
        <v/>
      </c>
      <c r="AH10" s="95" t="str">
        <f aca="false">IF(N10="","",IF(N10&lt;3,"FAIL","OK"))</f>
        <v>FAIL</v>
      </c>
      <c r="AI10" s="95" t="str">
        <f aca="false">IF(COUNT(D10:L10)=0,"",IF(COUNTIF(D10:L10,1)&gt;0,"REVIEW","OK"))</f>
        <v>OK</v>
      </c>
      <c r="AJ10" s="95" t="str">
        <f aca="false">IF(COUNT(D10:L10)=0,"",IF(COUNTIF(D10:L10,"&lt;=2")&gt;=2,"AVOID","OK"))</f>
        <v>AVOID</v>
      </c>
      <c r="AK10" s="95" t="str">
        <f aca="false">IF(COUNTA(E10:M10)=0,"",IF(COUNTIF(E10:M10,"L")&gt;=2,"CAP AT BUY","OK"))</f>
        <v>OK</v>
      </c>
      <c r="AL10" s="114" t="s">
        <v>313</v>
      </c>
      <c r="AM10" s="110" t="s">
        <v>314</v>
      </c>
      <c r="AN10" s="110"/>
      <c r="AO10" s="95"/>
      <c r="AP10" s="110" t="str">
        <f aca="false">IF(OR(AN10="",AO10=""),"",IF(AN10&gt;AO10,"OK","LOW CONF"))</f>
        <v/>
      </c>
      <c r="AQ10" s="110"/>
      <c r="AR10" s="95"/>
      <c r="AS10" s="115" t="str">
        <f aca="false">IF(OR(AQ10="",AR10=""),"",IF(AQ10&lt;AR10,"Decreased",IF(AQ10&gt;AR10,"Increased","Flat")))</f>
        <v/>
      </c>
    </row>
    <row r="11" customFormat="false" ht="15" hidden="true" customHeight="true" outlineLevel="1" collapsed="false">
      <c r="A11" s="72" t="s">
        <v>150</v>
      </c>
      <c r="B11" s="110" t="s">
        <v>151</v>
      </c>
      <c r="C11" s="111" t="n">
        <v>46240</v>
      </c>
      <c r="D11" s="110" t="n">
        <v>1</v>
      </c>
      <c r="E11" s="110" t="s">
        <v>301</v>
      </c>
      <c r="F11" s="110" t="n">
        <v>2</v>
      </c>
      <c r="G11" s="110" t="s">
        <v>300</v>
      </c>
      <c r="H11" s="110" t="n">
        <v>3</v>
      </c>
      <c r="I11" s="110" t="s">
        <v>300</v>
      </c>
      <c r="J11" s="110" t="n">
        <v>3</v>
      </c>
      <c r="K11" s="110" t="s">
        <v>300</v>
      </c>
      <c r="L11" s="110" t="n">
        <v>1</v>
      </c>
      <c r="M11" s="110" t="s">
        <v>301</v>
      </c>
      <c r="N11" s="112" t="n">
        <f aca="false">IF(COUNT(D11,F11,H11,J11,L11)=0,"",(D11*0.2+F11*0.15+H11*0.15+J11*0.1+L11*0.1)/0.7)</f>
        <v>1.92857142857143</v>
      </c>
      <c r="O11" s="113" t="n">
        <f aca="false">IF(COUNT(D11,F11,H11,J11,L11)=0,"",D11*0.2+F11*0.15+H11*0.15+J11*0.1+L11*0.1)</f>
        <v>1.35</v>
      </c>
      <c r="P11" s="110"/>
      <c r="Q11" s="110"/>
      <c r="R11" s="110"/>
      <c r="S11" s="110"/>
      <c r="T11" s="110"/>
      <c r="U11" s="110"/>
      <c r="V11" s="110"/>
      <c r="W11" s="110"/>
      <c r="X11" s="113" t="str">
        <f aca="false">IF(COUNT(P11,R11,T11,V11)=0,"",P11*0.08+R11*0.06+T11*0.03+V11*0.08)</f>
        <v/>
      </c>
      <c r="Y11" s="110"/>
      <c r="Z11" s="110"/>
      <c r="AA11" s="110"/>
      <c r="AB11" s="110"/>
      <c r="AC11" s="110"/>
      <c r="AD11" s="110"/>
      <c r="AE11" s="113" t="str">
        <f aca="false">IF(COUNT(Y11,AA11,AC11)=0,"",Y11*0.02+AA11*0.02+AC11*0.01)</f>
        <v/>
      </c>
      <c r="AF11" s="99" t="str">
        <f aca="false">IF(OR(O11="",X11="",AE11=""),"",(O11+X11+AE11)*20)</f>
        <v/>
      </c>
      <c r="AG11" s="95" t="str">
        <f aca="false">IF(AF11="","",IF(AF11&gt;=80,"STRONG BUY",IF(AF11&gt;=65,"BUY",IF(AF11&gt;=50,"WATCH LIST",IF(AF11&gt;=35,"AVOID","PASS")))))</f>
        <v/>
      </c>
      <c r="AH11" s="95" t="str">
        <f aca="false">IF(N11="","",IF(N11&lt;3,"FAIL","OK"))</f>
        <v>FAIL</v>
      </c>
      <c r="AI11" s="95" t="str">
        <f aca="false">IF(COUNT(D11:L11)=0,"",IF(COUNTIF(D11:L11,1)&gt;0,"REVIEW","OK"))</f>
        <v>REVIEW</v>
      </c>
      <c r="AJ11" s="95" t="str">
        <f aca="false">IF(COUNT(D11:L11)=0,"",IF(COUNTIF(D11:L11,"&lt;=2")&gt;=2,"AVOID","OK"))</f>
        <v>AVOID</v>
      </c>
      <c r="AK11" s="95" t="str">
        <f aca="false">IF(COUNTA(E11:M11)=0,"",IF(COUNTIF(E11:M11,"L")&gt;=2,"CAP AT BUY","OK"))</f>
        <v>OK</v>
      </c>
      <c r="AL11" s="114" t="s">
        <v>313</v>
      </c>
      <c r="AM11" s="110" t="s">
        <v>315</v>
      </c>
      <c r="AN11" s="110"/>
      <c r="AO11" s="95"/>
      <c r="AP11" s="110" t="str">
        <f aca="false">IF(OR(AN11="",AO11=""),"",IF(AN11&gt;AO11,"OK","LOW CONF"))</f>
        <v/>
      </c>
      <c r="AQ11" s="110"/>
      <c r="AR11" s="95"/>
      <c r="AS11" s="115" t="str">
        <f aca="false">IF(OR(AQ11="",AR11=""),"",IF(AQ11&lt;AR11,"Decreased",IF(AQ11&gt;AR11,"Increased","Flat")))</f>
        <v/>
      </c>
    </row>
    <row r="12" customFormat="false" ht="15" hidden="false" customHeight="true" outlineLevel="0" collapsed="false">
      <c r="A12" s="72" t="s">
        <v>90</v>
      </c>
      <c r="B12" s="110" t="s">
        <v>91</v>
      </c>
      <c r="C12" s="111" t="n">
        <v>46240</v>
      </c>
      <c r="D12" s="110" t="n">
        <v>5</v>
      </c>
      <c r="E12" s="110" t="s">
        <v>301</v>
      </c>
      <c r="F12" s="110" t="n">
        <v>4</v>
      </c>
      <c r="G12" s="110" t="s">
        <v>301</v>
      </c>
      <c r="H12" s="110" t="n">
        <v>4</v>
      </c>
      <c r="I12" s="110" t="s">
        <v>300</v>
      </c>
      <c r="J12" s="110" t="n">
        <v>5</v>
      </c>
      <c r="K12" s="110" t="s">
        <v>301</v>
      </c>
      <c r="L12" s="110" t="n">
        <v>5</v>
      </c>
      <c r="M12" s="110" t="s">
        <v>301</v>
      </c>
      <c r="N12" s="112" t="n">
        <f aca="false">IF(COUNT(D12,F12,H12,J12,L12)=0,"",(D12*0.2+F12*0.15+H12*0.15+J12*0.1+L12*0.1)/0.7)</f>
        <v>4.57142857142857</v>
      </c>
      <c r="O12" s="113" t="n">
        <f aca="false">IF(COUNT(D12,F12,H12,J12,L12)=0,"",D12*0.2+F12*0.15+H12*0.15+J12*0.1+L12*0.1)</f>
        <v>3.2</v>
      </c>
      <c r="P12" s="110" t="n">
        <v>3</v>
      </c>
      <c r="Q12" s="110" t="s">
        <v>300</v>
      </c>
      <c r="R12" s="110" t="n">
        <v>5</v>
      </c>
      <c r="S12" s="110" t="s">
        <v>301</v>
      </c>
      <c r="T12" s="110" t="n">
        <v>1</v>
      </c>
      <c r="U12" s="110" t="s">
        <v>301</v>
      </c>
      <c r="V12" s="110" t="n">
        <v>5</v>
      </c>
      <c r="W12" s="110" t="s">
        <v>301</v>
      </c>
      <c r="X12" s="113" t="n">
        <f aca="false">IF(COUNT(P12,R12,T12,V12)=0,"",P12*0.08+R12*0.06+T12*0.03+V12*0.08)</f>
        <v>0.97</v>
      </c>
      <c r="Y12" s="110" t="n">
        <v>2</v>
      </c>
      <c r="Z12" s="110" t="s">
        <v>300</v>
      </c>
      <c r="AA12" s="110" t="n">
        <v>3</v>
      </c>
      <c r="AB12" s="110" t="s">
        <v>300</v>
      </c>
      <c r="AC12" s="110" t="n">
        <v>2</v>
      </c>
      <c r="AD12" s="110" t="s">
        <v>302</v>
      </c>
      <c r="AE12" s="113" t="n">
        <f aca="false">IF(COUNT(Y12,AA12,AC12)=0,"",Y12*0.02+AA12*0.02+AC12*0.01)</f>
        <v>0.12</v>
      </c>
      <c r="AF12" s="99" t="n">
        <f aca="false">IF(OR(O12="",X12="",AE12=""),"",(O12+X12+AE12)*20)</f>
        <v>85.8</v>
      </c>
      <c r="AG12" s="95" t="str">
        <f aca="false">IF(AF12="","",IF(AF12&gt;=80,"STRONG BUY",IF(AF12&gt;=65,"BUY",IF(AF12&gt;=50,"WATCH LIST",IF(AF12&gt;=35,"AVOID","PASS")))))</f>
        <v>STRONG BUY</v>
      </c>
      <c r="AH12" s="95" t="str">
        <f aca="false">IF(N12="","",IF(N12&lt;3,"FAIL","OK"))</f>
        <v>OK</v>
      </c>
      <c r="AI12" s="95" t="str">
        <f aca="false">IF(COUNT(D12:L12)=0,"",IF(COUNTIF(D12:L12,1)&gt;0,"REVIEW","OK"))</f>
        <v>OK</v>
      </c>
      <c r="AJ12" s="95" t="str">
        <f aca="false">IF(COUNT(D12:L12)=0,"",IF(COUNTIF(D12:L12,"&lt;=2")&gt;=2,"AVOID","OK"))</f>
        <v>OK</v>
      </c>
      <c r="AK12" s="95" t="str">
        <f aca="false">IF(COUNTA(E12:M12)=0,"",IF(COUNTIF(E12:M12,"L")&gt;=2,"CAP AT BUY","OK"))</f>
        <v>OK</v>
      </c>
      <c r="AL12" s="114" t="s">
        <v>303</v>
      </c>
      <c r="AM12" s="110" t="s">
        <v>316</v>
      </c>
      <c r="AN12" s="110"/>
      <c r="AO12" s="95"/>
      <c r="AP12" s="110" t="str">
        <f aca="false">IF(OR(AN12="",AO12=""),"",IF(AN12&gt;AO12,"OK","LOW CONF"))</f>
        <v/>
      </c>
      <c r="AQ12" s="110"/>
      <c r="AR12" s="95"/>
      <c r="AS12" s="115" t="str">
        <f aca="false">IF(OR(AQ12="",AR12=""),"",IF(AQ12&lt;AR12,"Decreased",IF(AQ12&gt;AR12,"Increased","Flat")))</f>
        <v/>
      </c>
    </row>
    <row r="13" customFormat="false" ht="15" hidden="false" customHeight="true" outlineLevel="0" collapsed="false">
      <c r="A13" s="72" t="s">
        <v>95</v>
      </c>
      <c r="B13" s="110" t="s">
        <v>96</v>
      </c>
      <c r="C13" s="111" t="n">
        <v>46240</v>
      </c>
      <c r="D13" s="110" t="n">
        <v>4</v>
      </c>
      <c r="E13" s="110" t="s">
        <v>300</v>
      </c>
      <c r="F13" s="110" t="n">
        <v>5</v>
      </c>
      <c r="G13" s="110" t="s">
        <v>301</v>
      </c>
      <c r="H13" s="110" t="n">
        <v>5</v>
      </c>
      <c r="I13" s="110" t="s">
        <v>301</v>
      </c>
      <c r="J13" s="110" t="n">
        <v>4</v>
      </c>
      <c r="K13" s="110" t="s">
        <v>300</v>
      </c>
      <c r="L13" s="110" t="n">
        <v>5</v>
      </c>
      <c r="M13" s="110" t="s">
        <v>301</v>
      </c>
      <c r="N13" s="112" t="n">
        <f aca="false">IF(COUNT(D13,F13,H13,J13,L13)=0,"",(D13*0.2+F13*0.15+H13*0.15+J13*0.1+L13*0.1)/0.7)</f>
        <v>4.57142857142857</v>
      </c>
      <c r="O13" s="113" t="n">
        <f aca="false">IF(COUNT(D13,F13,H13,J13,L13)=0,"",D13*0.2+F13*0.15+H13*0.15+J13*0.1+L13*0.1)</f>
        <v>3.2</v>
      </c>
      <c r="P13" s="110" t="n">
        <v>4</v>
      </c>
      <c r="Q13" s="110" t="s">
        <v>301</v>
      </c>
      <c r="R13" s="110" t="n">
        <v>5</v>
      </c>
      <c r="S13" s="110" t="s">
        <v>301</v>
      </c>
      <c r="T13" s="110" t="n">
        <v>5</v>
      </c>
      <c r="U13" s="110" t="s">
        <v>300</v>
      </c>
      <c r="V13" s="110" t="n">
        <v>1</v>
      </c>
      <c r="W13" s="110" t="s">
        <v>301</v>
      </c>
      <c r="X13" s="113" t="n">
        <f aca="false">IF(COUNT(P13,R13,T13,V13)=0,"",P13*0.08+R13*0.06+T13*0.03+V13*0.08)</f>
        <v>0.85</v>
      </c>
      <c r="Y13" s="110" t="n">
        <v>4</v>
      </c>
      <c r="Z13" s="110" t="s">
        <v>300</v>
      </c>
      <c r="AA13" s="110" t="n">
        <v>5</v>
      </c>
      <c r="AB13" s="110" t="s">
        <v>301</v>
      </c>
      <c r="AC13" s="110" t="n">
        <v>2</v>
      </c>
      <c r="AD13" s="110" t="s">
        <v>300</v>
      </c>
      <c r="AE13" s="113" t="n">
        <f aca="false">IF(COUNT(Y13,AA13,AC13)=0,"",Y13*0.02+AA13*0.02+AC13*0.01)</f>
        <v>0.2</v>
      </c>
      <c r="AF13" s="99" t="n">
        <f aca="false">IF(OR(O13="",X13="",AE13=""),"",(O13+X13+AE13)*20)</f>
        <v>85</v>
      </c>
      <c r="AG13" s="95" t="str">
        <f aca="false">IF(AF13="","",IF(AF13&gt;=80,"STRONG BUY",IF(AF13&gt;=65,"BUY",IF(AF13&gt;=50,"WATCH LIST",IF(AF13&gt;=35,"AVOID","PASS")))))</f>
        <v>STRONG BUY</v>
      </c>
      <c r="AH13" s="95" t="str">
        <f aca="false">IF(N13="","",IF(N13&lt;3,"FAIL","OK"))</f>
        <v>OK</v>
      </c>
      <c r="AI13" s="95" t="str">
        <f aca="false">IF(COUNT(D13:L13)=0,"",IF(COUNTIF(D13:L13,1)&gt;0,"REVIEW","OK"))</f>
        <v>OK</v>
      </c>
      <c r="AJ13" s="95" t="str">
        <f aca="false">IF(COUNT(D13:L13)=0,"",IF(COUNTIF(D13:L13,"&lt;=2")&gt;=2,"AVOID","OK"))</f>
        <v>OK</v>
      </c>
      <c r="AK13" s="95" t="str">
        <f aca="false">IF(COUNTA(E13:M13)=0,"",IF(COUNTIF(E13:M13,"L")&gt;=2,"CAP AT BUY","OK"))</f>
        <v>OK</v>
      </c>
      <c r="AL13" s="114" t="s">
        <v>303</v>
      </c>
      <c r="AM13" s="110" t="s">
        <v>317</v>
      </c>
      <c r="AN13" s="110"/>
      <c r="AO13" s="95"/>
      <c r="AP13" s="110" t="str">
        <f aca="false">IF(OR(AN13="",AO13=""),"",IF(AN13&gt;AO13,"OK","LOW CONF"))</f>
        <v/>
      </c>
      <c r="AQ13" s="110"/>
      <c r="AR13" s="95"/>
      <c r="AS13" s="115" t="str">
        <f aca="false">IF(OR(AQ13="",AR13=""),"",IF(AQ13&lt;AR13,"Decreased",IF(AQ13&gt;AR13,"Increased","Flat")))</f>
        <v/>
      </c>
    </row>
    <row r="14" customFormat="false" ht="15" hidden="false" customHeight="true" outlineLevel="0" collapsed="false">
      <c r="A14" s="72" t="s">
        <v>97</v>
      </c>
      <c r="B14" s="110" t="s">
        <v>98</v>
      </c>
      <c r="C14" s="111" t="n">
        <v>46240</v>
      </c>
      <c r="D14" s="110" t="n">
        <v>3</v>
      </c>
      <c r="E14" s="110" t="s">
        <v>300</v>
      </c>
      <c r="F14" s="110" t="n">
        <v>3</v>
      </c>
      <c r="G14" s="110" t="s">
        <v>300</v>
      </c>
      <c r="H14" s="110" t="n">
        <v>5</v>
      </c>
      <c r="I14" s="110" t="s">
        <v>301</v>
      </c>
      <c r="J14" s="110" t="n">
        <v>4</v>
      </c>
      <c r="K14" s="110" t="s">
        <v>300</v>
      </c>
      <c r="L14" s="110" t="n">
        <v>3</v>
      </c>
      <c r="M14" s="110" t="s">
        <v>300</v>
      </c>
      <c r="N14" s="112" t="n">
        <f aca="false">IF(COUNT(D14,F14,H14,J14,L14)=0,"",(D14*0.2+F14*0.15+H14*0.15+J14*0.1+L14*0.1)/0.7)</f>
        <v>3.57142857142857</v>
      </c>
      <c r="O14" s="113" t="n">
        <f aca="false">IF(COUNT(D14,F14,H14,J14,L14)=0,"",D14*0.2+F14*0.15+H14*0.15+J14*0.1+L14*0.1)</f>
        <v>2.5</v>
      </c>
      <c r="P14" s="110" t="n">
        <v>4</v>
      </c>
      <c r="Q14" s="110" t="s">
        <v>300</v>
      </c>
      <c r="R14" s="110" t="n">
        <v>5</v>
      </c>
      <c r="S14" s="110" t="s">
        <v>301</v>
      </c>
      <c r="T14" s="110" t="n">
        <v>5</v>
      </c>
      <c r="U14" s="110" t="s">
        <v>301</v>
      </c>
      <c r="V14" s="110" t="n">
        <v>2</v>
      </c>
      <c r="W14" s="110" t="s">
        <v>300</v>
      </c>
      <c r="X14" s="113" t="n">
        <f aca="false">IF(COUNT(P14,R14,T14,V14)=0,"",P14*0.08+R14*0.06+T14*0.03+V14*0.08)</f>
        <v>0.93</v>
      </c>
      <c r="Y14" s="110" t="n">
        <v>5</v>
      </c>
      <c r="Z14" s="110" t="s">
        <v>300</v>
      </c>
      <c r="AA14" s="110" t="n">
        <v>5</v>
      </c>
      <c r="AB14" s="110" t="s">
        <v>301</v>
      </c>
      <c r="AC14" s="110" t="n">
        <v>3</v>
      </c>
      <c r="AD14" s="110" t="s">
        <v>302</v>
      </c>
      <c r="AE14" s="113" t="n">
        <f aca="false">IF(COUNT(Y14,AA14,AC14)=0,"",Y14*0.02+AA14*0.02+AC14*0.01)</f>
        <v>0.23</v>
      </c>
      <c r="AF14" s="99" t="n">
        <f aca="false">IF(OR(O14="",X14="",AE14=""),"",(O14+X14+AE14)*20)</f>
        <v>73.2</v>
      </c>
      <c r="AG14" s="95" t="str">
        <f aca="false">IF(AF14="","",IF(AF14&gt;=80,"STRONG BUY",IF(AF14&gt;=65,"BUY",IF(AF14&gt;=50,"WATCH LIST",IF(AF14&gt;=35,"AVOID","PASS")))))</f>
        <v>BUY</v>
      </c>
      <c r="AH14" s="95" t="str">
        <f aca="false">IF(N14="","",IF(N14&lt;3,"FAIL","OK"))</f>
        <v>OK</v>
      </c>
      <c r="AI14" s="95" t="str">
        <f aca="false">IF(COUNT(D14:L14)=0,"",IF(COUNTIF(D14:L14,1)&gt;0,"REVIEW","OK"))</f>
        <v>OK</v>
      </c>
      <c r="AJ14" s="95" t="str">
        <f aca="false">IF(COUNT(D14:L14)=0,"",IF(COUNTIF(D14:L14,"&lt;=2")&gt;=2,"AVOID","OK"))</f>
        <v>OK</v>
      </c>
      <c r="AK14" s="95" t="str">
        <f aca="false">IF(COUNTA(E14:M14)=0,"",IF(COUNTIF(E14:M14,"L")&gt;=2,"CAP AT BUY","OK"))</f>
        <v>OK</v>
      </c>
      <c r="AL14" s="114" t="s">
        <v>303</v>
      </c>
      <c r="AM14" s="110" t="s">
        <v>318</v>
      </c>
      <c r="AN14" s="110"/>
      <c r="AO14" s="95"/>
      <c r="AP14" s="110" t="str">
        <f aca="false">IF(OR(AN14="",AO14=""),"",IF(AN14&gt;AO14,"OK","LOW CONF"))</f>
        <v/>
      </c>
      <c r="AQ14" s="110"/>
      <c r="AR14" s="95"/>
      <c r="AS14" s="115" t="str">
        <f aca="false">IF(OR(AQ14="",AR14=""),"",IF(AQ14&lt;AR14,"Decreased",IF(AQ14&gt;AR14,"Increased","Flat")))</f>
        <v/>
      </c>
    </row>
    <row r="15" customFormat="false" ht="15" hidden="false" customHeight="true" outlineLevel="0" collapsed="false">
      <c r="A15" s="72" t="s">
        <v>99</v>
      </c>
      <c r="B15" s="110" t="s">
        <v>100</v>
      </c>
      <c r="C15" s="111" t="n">
        <v>46240</v>
      </c>
      <c r="D15" s="110" t="n">
        <v>3</v>
      </c>
      <c r="E15" s="110" t="s">
        <v>300</v>
      </c>
      <c r="F15" s="110" t="n">
        <v>4</v>
      </c>
      <c r="G15" s="110" t="s">
        <v>300</v>
      </c>
      <c r="H15" s="110" t="n">
        <v>4</v>
      </c>
      <c r="I15" s="110" t="s">
        <v>300</v>
      </c>
      <c r="J15" s="110" t="n">
        <v>5</v>
      </c>
      <c r="K15" s="110" t="s">
        <v>301</v>
      </c>
      <c r="L15" s="110" t="n">
        <v>5</v>
      </c>
      <c r="M15" s="110" t="s">
        <v>301</v>
      </c>
      <c r="N15" s="112" t="n">
        <f aca="false">IF(COUNT(D15,F15,H15,J15,L15)=0,"",(D15*0.2+F15*0.15+H15*0.15+J15*0.1+L15*0.1)/0.7)</f>
        <v>4</v>
      </c>
      <c r="O15" s="113" t="n">
        <f aca="false">IF(COUNT(D15,F15,H15,J15,L15)=0,"",D15*0.2+F15*0.15+H15*0.15+J15*0.1+L15*0.1)</f>
        <v>2.8</v>
      </c>
      <c r="P15" s="110" t="n">
        <v>3</v>
      </c>
      <c r="Q15" s="110" t="s">
        <v>300</v>
      </c>
      <c r="R15" s="110" t="n">
        <v>2</v>
      </c>
      <c r="S15" s="110" t="s">
        <v>300</v>
      </c>
      <c r="T15" s="110" t="n">
        <v>4</v>
      </c>
      <c r="U15" s="110" t="s">
        <v>301</v>
      </c>
      <c r="V15" s="110" t="n">
        <v>1</v>
      </c>
      <c r="W15" s="110" t="s">
        <v>301</v>
      </c>
      <c r="X15" s="113" t="n">
        <f aca="false">IF(COUNT(P15,R15,T15,V15)=0,"",P15*0.08+R15*0.06+T15*0.03+V15*0.08)</f>
        <v>0.56</v>
      </c>
      <c r="Y15" s="110" t="n">
        <v>4</v>
      </c>
      <c r="Z15" s="110" t="s">
        <v>300</v>
      </c>
      <c r="AA15" s="110" t="n">
        <v>3</v>
      </c>
      <c r="AB15" s="110" t="s">
        <v>300</v>
      </c>
      <c r="AC15" s="110" t="n">
        <v>2</v>
      </c>
      <c r="AD15" s="110" t="s">
        <v>300</v>
      </c>
      <c r="AE15" s="113" t="n">
        <f aca="false">IF(COUNT(Y15,AA15,AC15)=0,"",Y15*0.02+AA15*0.02+AC15*0.01)</f>
        <v>0.16</v>
      </c>
      <c r="AF15" s="99" t="n">
        <f aca="false">IF(OR(O15="",X15="",AE15=""),"",(O15+X15+AE15)*20)</f>
        <v>70.4</v>
      </c>
      <c r="AG15" s="95" t="str">
        <f aca="false">IF(AF15="","",IF(AF15&gt;=80,"STRONG BUY",IF(AF15&gt;=65,"BUY",IF(AF15&gt;=50,"WATCH LIST",IF(AF15&gt;=35,"AVOID","PASS")))))</f>
        <v>BUY</v>
      </c>
      <c r="AH15" s="95" t="str">
        <f aca="false">IF(N15="","",IF(N15&lt;3,"FAIL","OK"))</f>
        <v>OK</v>
      </c>
      <c r="AI15" s="95" t="str">
        <f aca="false">IF(COUNT(D15:L15)=0,"",IF(COUNTIF(D15:L15,1)&gt;0,"REVIEW","OK"))</f>
        <v>OK</v>
      </c>
      <c r="AJ15" s="95" t="str">
        <f aca="false">IF(COUNT(D15:L15)=0,"",IF(COUNTIF(D15:L15,"&lt;=2")&gt;=2,"AVOID","OK"))</f>
        <v>OK</v>
      </c>
      <c r="AK15" s="95" t="str">
        <f aca="false">IF(COUNTA(E15:M15)=0,"",IF(COUNTIF(E15:M15,"L")&gt;=2,"CAP AT BUY","OK"))</f>
        <v>OK</v>
      </c>
      <c r="AL15" s="114" t="s">
        <v>303</v>
      </c>
      <c r="AM15" s="110" t="s">
        <v>305</v>
      </c>
      <c r="AN15" s="110"/>
      <c r="AO15" s="95"/>
      <c r="AP15" s="110" t="str">
        <f aca="false">IF(OR(AN15="",AO15=""),"",IF(AN15&gt;AO15,"OK","LOW CONF"))</f>
        <v/>
      </c>
      <c r="AQ15" s="110"/>
      <c r="AR15" s="95"/>
      <c r="AS15" s="115" t="str">
        <f aca="false">IF(OR(AQ15="",AR15=""),"",IF(AQ15&lt;AR15,"Decreased",IF(AQ15&gt;AR15,"Increased","Flat")))</f>
        <v/>
      </c>
    </row>
    <row r="16" customFormat="false" ht="15" hidden="false" customHeight="true" outlineLevel="0" collapsed="false">
      <c r="A16" s="72" t="s">
        <v>101</v>
      </c>
      <c r="B16" s="110" t="s">
        <v>102</v>
      </c>
      <c r="C16" s="111" t="n">
        <v>46240</v>
      </c>
      <c r="D16" s="110" t="n">
        <v>2</v>
      </c>
      <c r="E16" s="110" t="s">
        <v>300</v>
      </c>
      <c r="F16" s="110" t="n">
        <v>3</v>
      </c>
      <c r="G16" s="110" t="s">
        <v>300</v>
      </c>
      <c r="H16" s="110" t="n">
        <v>5</v>
      </c>
      <c r="I16" s="110" t="s">
        <v>301</v>
      </c>
      <c r="J16" s="110" t="n">
        <v>3</v>
      </c>
      <c r="K16" s="110" t="s">
        <v>300</v>
      </c>
      <c r="L16" s="110" t="n">
        <v>5</v>
      </c>
      <c r="M16" s="110" t="s">
        <v>301</v>
      </c>
      <c r="N16" s="112" t="n">
        <f aca="false">IF(COUNT(D16,F16,H16,J16,L16)=0,"",(D16*0.2+F16*0.15+H16*0.15+J16*0.1+L16*0.1)/0.7)</f>
        <v>3.42857142857143</v>
      </c>
      <c r="O16" s="113" t="n">
        <f aca="false">IF(COUNT(D16,F16,H16,J16,L16)=0,"",D16*0.2+F16*0.15+H16*0.15+J16*0.1+L16*0.1)</f>
        <v>2.4</v>
      </c>
      <c r="P16" s="110" t="n">
        <v>4</v>
      </c>
      <c r="Q16" s="110" t="s">
        <v>301</v>
      </c>
      <c r="R16" s="110" t="n">
        <v>5</v>
      </c>
      <c r="S16" s="110" t="s">
        <v>301</v>
      </c>
      <c r="T16" s="110" t="n">
        <v>3</v>
      </c>
      <c r="U16" s="110" t="s">
        <v>300</v>
      </c>
      <c r="V16" s="110" t="n">
        <v>2</v>
      </c>
      <c r="W16" s="110" t="s">
        <v>300</v>
      </c>
      <c r="X16" s="113" t="n">
        <f aca="false">IF(COUNT(P16,R16,T16,V16)=0,"",P16*0.08+R16*0.06+T16*0.03+V16*0.08)</f>
        <v>0.87</v>
      </c>
      <c r="Y16" s="110" t="n">
        <v>2</v>
      </c>
      <c r="Z16" s="110" t="s">
        <v>300</v>
      </c>
      <c r="AA16" s="110" t="n">
        <v>5</v>
      </c>
      <c r="AB16" s="110" t="s">
        <v>301</v>
      </c>
      <c r="AC16" s="110" t="n">
        <v>2</v>
      </c>
      <c r="AD16" s="110" t="s">
        <v>302</v>
      </c>
      <c r="AE16" s="113" t="n">
        <f aca="false">IF(COUNT(Y16,AA16,AC16)=0,"",Y16*0.02+AA16*0.02+AC16*0.01)</f>
        <v>0.16</v>
      </c>
      <c r="AF16" s="99" t="n">
        <f aca="false">IF(OR(O16="",X16="",AE16=""),"",(O16+X16+AE16)*20)</f>
        <v>68.6</v>
      </c>
      <c r="AG16" s="95" t="str">
        <f aca="false">IF(AF16="","",IF(AF16&gt;=80,"STRONG BUY",IF(AF16&gt;=65,"BUY",IF(AF16&gt;=50,"WATCH LIST",IF(AF16&gt;=35,"AVOID","PASS")))))</f>
        <v>BUY</v>
      </c>
      <c r="AH16" s="95" t="str">
        <f aca="false">IF(N16="","",IF(N16&lt;3,"FAIL","OK"))</f>
        <v>OK</v>
      </c>
      <c r="AI16" s="95" t="str">
        <f aca="false">IF(COUNT(D16:L16)=0,"",IF(COUNTIF(D16:L16,1)&gt;0,"REVIEW","OK"))</f>
        <v>OK</v>
      </c>
      <c r="AJ16" s="95" t="str">
        <f aca="false">IF(COUNT(D16:L16)=0,"",IF(COUNTIF(D16:L16,"&lt;=2")&gt;=2,"AVOID","OK"))</f>
        <v>OK</v>
      </c>
      <c r="AK16" s="95" t="str">
        <f aca="false">IF(COUNTA(E16:M16)=0,"",IF(COUNTIF(E16:M16,"L")&gt;=2,"CAP AT BUY","OK"))</f>
        <v>OK</v>
      </c>
      <c r="AL16" s="114" t="s">
        <v>303</v>
      </c>
      <c r="AM16" s="110" t="s">
        <v>318</v>
      </c>
      <c r="AN16" s="110"/>
      <c r="AO16" s="95"/>
      <c r="AP16" s="110" t="str">
        <f aca="false">IF(OR(AN16="",AO16=""),"",IF(AN16&gt;AO16,"OK","LOW CONF"))</f>
        <v/>
      </c>
      <c r="AQ16" s="110"/>
      <c r="AR16" s="95"/>
      <c r="AS16" s="115" t="str">
        <f aca="false">IF(OR(AQ16="",AR16=""),"",IF(AQ16&lt;AR16,"Decreased",IF(AQ16&gt;AR16,"Increased","Flat")))</f>
        <v/>
      </c>
    </row>
    <row r="17" customFormat="false" ht="15" hidden="false" customHeight="true" outlineLevel="0" collapsed="false">
      <c r="A17" s="72" t="s">
        <v>109</v>
      </c>
      <c r="B17" s="110" t="s">
        <v>319</v>
      </c>
      <c r="C17" s="111" t="n">
        <v>46240</v>
      </c>
      <c r="D17" s="110" t="n">
        <v>3</v>
      </c>
      <c r="E17" s="110" t="s">
        <v>300</v>
      </c>
      <c r="F17" s="110" t="n">
        <v>5</v>
      </c>
      <c r="G17" s="110" t="s">
        <v>301</v>
      </c>
      <c r="H17" s="110" t="n">
        <v>5</v>
      </c>
      <c r="I17" s="110" t="s">
        <v>301</v>
      </c>
      <c r="J17" s="110" t="n">
        <v>4</v>
      </c>
      <c r="K17" s="110" t="s">
        <v>300</v>
      </c>
      <c r="L17" s="110" t="n">
        <v>3</v>
      </c>
      <c r="M17" s="110" t="s">
        <v>300</v>
      </c>
      <c r="N17" s="112" t="n">
        <f aca="false">IF(COUNT(D17,F17,H17,J17,L17)=0,"",(D17*0.2+F17*0.15+H17*0.15+J17*0.1+L17*0.1)/0.7)</f>
        <v>4</v>
      </c>
      <c r="O17" s="113" t="n">
        <f aca="false">IF(COUNT(D17,F17,H17,J17,L17)=0,"",D17*0.2+F17*0.15+H17*0.15+J17*0.1+L17*0.1)</f>
        <v>2.8</v>
      </c>
      <c r="P17" s="110" t="n">
        <v>4</v>
      </c>
      <c r="Q17" s="110" t="s">
        <v>301</v>
      </c>
      <c r="R17" s="110" t="n">
        <v>5</v>
      </c>
      <c r="S17" s="110" t="s">
        <v>301</v>
      </c>
      <c r="T17" s="110" t="n">
        <v>4</v>
      </c>
      <c r="U17" s="110" t="s">
        <v>300</v>
      </c>
      <c r="V17" s="110" t="n">
        <v>4</v>
      </c>
      <c r="W17" s="110" t="s">
        <v>300</v>
      </c>
      <c r="X17" s="113" t="n">
        <f aca="false">IF(COUNT(P17,R17,T17,V17)=0,"",P17*0.08+R17*0.06+T17*0.03+V17*0.08)</f>
        <v>1.06</v>
      </c>
      <c r="Y17" s="110" t="n">
        <v>3</v>
      </c>
      <c r="Z17" s="110" t="s">
        <v>300</v>
      </c>
      <c r="AA17" s="110" t="n">
        <v>5</v>
      </c>
      <c r="AB17" s="110" t="s">
        <v>301</v>
      </c>
      <c r="AC17" s="110" t="n">
        <v>3</v>
      </c>
      <c r="AD17" s="110" t="s">
        <v>302</v>
      </c>
      <c r="AE17" s="113" t="n">
        <f aca="false">IF(COUNT(Y17,AA17,AC17)=0,"",Y17*0.02+AA17*0.02+AC17*0.01)</f>
        <v>0.19</v>
      </c>
      <c r="AF17" s="99" t="n">
        <f aca="false">IF(OR(O17="",X17="",AE17=""),"",(O17+X17+AE17)*20)</f>
        <v>81</v>
      </c>
      <c r="AG17" s="95" t="str">
        <f aca="false">IF(AF17="","",IF(AF17&gt;=80,"STRONG BUY",IF(AF17&gt;=65,"BUY",IF(AF17&gt;=50,"WATCH LIST",IF(AF17&gt;=35,"AVOID","PASS")))))</f>
        <v>STRONG BUY</v>
      </c>
      <c r="AH17" s="95" t="str">
        <f aca="false">IF(N17="","",IF(N17&lt;3,"FAIL","OK"))</f>
        <v>OK</v>
      </c>
      <c r="AI17" s="95" t="str">
        <f aca="false">IF(COUNT(D17:L17)=0,"",IF(COUNTIF(D17:L17,1)&gt;0,"REVIEW","OK"))</f>
        <v>OK</v>
      </c>
      <c r="AJ17" s="95" t="str">
        <f aca="false">IF(COUNT(D17:L17)=0,"",IF(COUNTIF(D17:L17,"&lt;=2")&gt;=2,"AVOID","OK"))</f>
        <v>OK</v>
      </c>
      <c r="AK17" s="95" t="str">
        <f aca="false">IF(COUNTA(E17:M17)=0,"",IF(COUNTIF(E17:M17,"L")&gt;=2,"CAP AT BUY","OK"))</f>
        <v>OK</v>
      </c>
      <c r="AL17" s="114" t="s">
        <v>303</v>
      </c>
      <c r="AM17" s="110" t="s">
        <v>304</v>
      </c>
      <c r="AN17" s="110"/>
      <c r="AO17" s="95"/>
      <c r="AP17" s="110" t="str">
        <f aca="false">IF(OR(AN17="",AO17=""),"",IF(AN17&gt;AO17,"OK","LOW CONF"))</f>
        <v/>
      </c>
      <c r="AQ17" s="110"/>
      <c r="AR17" s="95"/>
      <c r="AS17" s="115" t="str">
        <f aca="false">IF(OR(AQ17="",AR17=""),"",IF(AQ17&lt;AR17,"Decreased",IF(AQ17&gt;AR17,"Increased","Flat")))</f>
        <v/>
      </c>
    </row>
    <row r="18" customFormat="false" ht="15" hidden="false" customHeight="true" outlineLevel="0" collapsed="false">
      <c r="A18" s="72" t="s">
        <v>111</v>
      </c>
      <c r="B18" s="110" t="s">
        <v>112</v>
      </c>
      <c r="C18" s="111" t="n">
        <v>46240</v>
      </c>
      <c r="D18" s="110" t="n">
        <v>4</v>
      </c>
      <c r="E18" s="110" t="s">
        <v>301</v>
      </c>
      <c r="F18" s="110" t="n">
        <v>5</v>
      </c>
      <c r="G18" s="110" t="s">
        <v>301</v>
      </c>
      <c r="H18" s="110" t="n">
        <v>4</v>
      </c>
      <c r="I18" s="110" t="s">
        <v>300</v>
      </c>
      <c r="J18" s="110" t="n">
        <v>4</v>
      </c>
      <c r="K18" s="110" t="s">
        <v>300</v>
      </c>
      <c r="L18" s="110" t="n">
        <v>5</v>
      </c>
      <c r="M18" s="110" t="s">
        <v>301</v>
      </c>
      <c r="N18" s="112" t="n">
        <f aca="false">IF(COUNT(D18,F18,H18,J18,L18)=0,"",(D18*0.2+F18*0.15+H18*0.15+J18*0.1+L18*0.1)/0.7)</f>
        <v>4.35714285714286</v>
      </c>
      <c r="O18" s="113" t="n">
        <f aca="false">IF(COUNT(D18,F18,H18,J18,L18)=0,"",D18*0.2+F18*0.15+H18*0.15+J18*0.1+L18*0.1)</f>
        <v>3.05</v>
      </c>
      <c r="P18" s="110" t="n">
        <v>4</v>
      </c>
      <c r="Q18" s="110" t="s">
        <v>300</v>
      </c>
      <c r="R18" s="110" t="n">
        <v>5</v>
      </c>
      <c r="S18" s="110" t="s">
        <v>301</v>
      </c>
      <c r="T18" s="110" t="n">
        <v>4</v>
      </c>
      <c r="U18" s="110" t="s">
        <v>300</v>
      </c>
      <c r="V18" s="110" t="n">
        <v>2</v>
      </c>
      <c r="W18" s="110" t="s">
        <v>300</v>
      </c>
      <c r="X18" s="113" t="n">
        <f aca="false">IF(COUNT(P18,R18,T18,V18)=0,"",P18*0.08+R18*0.06+T18*0.03+V18*0.08)</f>
        <v>0.9</v>
      </c>
      <c r="Y18" s="110" t="n">
        <v>4</v>
      </c>
      <c r="Z18" s="110" t="s">
        <v>300</v>
      </c>
      <c r="AA18" s="110" t="n">
        <v>4</v>
      </c>
      <c r="AB18" s="110" t="s">
        <v>300</v>
      </c>
      <c r="AC18" s="110" t="n">
        <v>3</v>
      </c>
      <c r="AD18" s="110" t="s">
        <v>302</v>
      </c>
      <c r="AE18" s="113" t="n">
        <f aca="false">IF(COUNT(Y18,AA18,AC18)=0,"",Y18*0.02+AA18*0.02+AC18*0.01)</f>
        <v>0.19</v>
      </c>
      <c r="AF18" s="99" t="n">
        <f aca="false">IF(OR(O18="",X18="",AE18=""),"",(O18+X18+AE18)*20)</f>
        <v>82.8</v>
      </c>
      <c r="AG18" s="95" t="str">
        <f aca="false">IF(AF18="","",IF(AF18&gt;=80,"STRONG BUY",IF(AF18&gt;=65,"BUY",IF(AF18&gt;=50,"WATCH LIST",IF(AF18&gt;=35,"AVOID","PASS")))))</f>
        <v>STRONG BUY</v>
      </c>
      <c r="AH18" s="95" t="str">
        <f aca="false">IF(N18="","",IF(N18&lt;3,"FAIL","OK"))</f>
        <v>OK</v>
      </c>
      <c r="AI18" s="95" t="str">
        <f aca="false">IF(COUNT(D18:L18)=0,"",IF(COUNTIF(D18:L18,1)&gt;0,"REVIEW","OK"))</f>
        <v>OK</v>
      </c>
      <c r="AJ18" s="95" t="str">
        <f aca="false">IF(COUNT(D18:L18)=0,"",IF(COUNTIF(D18:L18,"&lt;=2")&gt;=2,"AVOID","OK"))</f>
        <v>OK</v>
      </c>
      <c r="AK18" s="95" t="str">
        <f aca="false">IF(COUNTA(E18:M18)=0,"",IF(COUNTIF(E18:M18,"L")&gt;=2,"CAP AT BUY","OK"))</f>
        <v>OK</v>
      </c>
      <c r="AL18" s="114" t="s">
        <v>320</v>
      </c>
      <c r="AM18" s="110" t="s">
        <v>321</v>
      </c>
      <c r="AN18" s="110"/>
      <c r="AO18" s="95"/>
      <c r="AP18" s="110" t="str">
        <f aca="false">IF(OR(AN18="",AO18=""),"",IF(AN18&gt;AO18,"OK","LOW CONF"))</f>
        <v/>
      </c>
      <c r="AQ18" s="110"/>
      <c r="AR18" s="95"/>
      <c r="AS18" s="115" t="str">
        <f aca="false">IF(OR(AQ18="",AR18=""),"",IF(AQ18&lt;AR18,"Decreased",IF(AQ18&gt;AR18,"Increased","Flat")))</f>
        <v/>
      </c>
    </row>
    <row r="19" customFormat="false" ht="15" hidden="false" customHeight="true" outlineLevel="0" collapsed="false">
      <c r="A19" s="72" t="s">
        <v>204</v>
      </c>
      <c r="B19" s="110" t="s">
        <v>322</v>
      </c>
      <c r="C19" s="111" t="n">
        <v>46245</v>
      </c>
      <c r="D19" s="110" t="n">
        <v>3</v>
      </c>
      <c r="E19" s="110" t="s">
        <v>300</v>
      </c>
      <c r="F19" s="110" t="n">
        <v>5</v>
      </c>
      <c r="G19" s="110" t="s">
        <v>301</v>
      </c>
      <c r="H19" s="110" t="n">
        <v>5</v>
      </c>
      <c r="I19" s="110" t="s">
        <v>301</v>
      </c>
      <c r="J19" s="110" t="n">
        <v>4</v>
      </c>
      <c r="K19" s="110" t="s">
        <v>300</v>
      </c>
      <c r="L19" s="110" t="n">
        <v>4</v>
      </c>
      <c r="M19" s="110" t="s">
        <v>301</v>
      </c>
      <c r="N19" s="112" t="n">
        <f aca="false">IF(COUNT(D19,F19,H19,J19,L19)=0,"",(D19*0.2+F19*0.15+H19*0.15+J19*0.1+L19*0.1)/0.7)</f>
        <v>4.14285714285714</v>
      </c>
      <c r="O19" s="113" t="n">
        <f aca="false">IF(COUNT(D19,F19,H19,J19,L19)=0,"",D19*0.2+F19*0.15+H19*0.15+J19*0.1+L19*0.1)</f>
        <v>2.9</v>
      </c>
      <c r="P19" s="110" t="n">
        <v>3</v>
      </c>
      <c r="Q19" s="110" t="s">
        <v>302</v>
      </c>
      <c r="R19" s="110" t="n">
        <v>5</v>
      </c>
      <c r="S19" s="110" t="s">
        <v>301</v>
      </c>
      <c r="T19" s="110" t="n">
        <v>5</v>
      </c>
      <c r="U19" s="110" t="s">
        <v>301</v>
      </c>
      <c r="V19" s="110" t="n">
        <v>1</v>
      </c>
      <c r="W19" s="110" t="s">
        <v>301</v>
      </c>
      <c r="X19" s="113" t="n">
        <f aca="false">IF(COUNT(P19,R19,T19,V19)=0,"",P19*0.08+R19*0.06+T19*0.03+V19*0.08)</f>
        <v>0.77</v>
      </c>
      <c r="Y19" s="110" t="n">
        <v>4</v>
      </c>
      <c r="Z19" s="110" t="s">
        <v>300</v>
      </c>
      <c r="AA19" s="110" t="n">
        <v>4</v>
      </c>
      <c r="AB19" s="110" t="s">
        <v>300</v>
      </c>
      <c r="AC19" s="110" t="n">
        <v>4</v>
      </c>
      <c r="AD19" s="110" t="s">
        <v>300</v>
      </c>
      <c r="AE19" s="113" t="n">
        <f aca="false">IF(COUNT(Y19,AA19,AC19)=0,"",Y19*0.02+AA19*0.02+AC19*0.01)</f>
        <v>0.2</v>
      </c>
      <c r="AF19" s="99" t="n">
        <f aca="false">IF(OR(O19="",X19="",AE19=""),"",(O19+X19+AE19)*20)</f>
        <v>77.4</v>
      </c>
      <c r="AG19" s="95" t="str">
        <f aca="false">IF(AF19="","",IF(AF19&gt;=80,"STRONG BUY",IF(AF19&gt;=65,"BUY",IF(AF19&gt;=50,"WATCH LIST",IF(AF19&gt;=35,"AVOID","PASS")))))</f>
        <v>BUY</v>
      </c>
      <c r="AH19" s="95" t="str">
        <f aca="false">IF(N19="","",IF(N19&lt;3,"FAIL","OK"))</f>
        <v>OK</v>
      </c>
      <c r="AI19" s="95" t="str">
        <f aca="false">IF(COUNT(D19:L19)=0,"",IF(COUNTIF(D19:L19,1)&gt;0,"REVIEW","OK"))</f>
        <v>OK</v>
      </c>
      <c r="AJ19" s="95" t="str">
        <f aca="false">IF(COUNT(D19:L19)=0,"",IF(COUNTIF(D19:L19,"&lt;=2")&gt;=2,"AVOID","OK"))</f>
        <v>OK</v>
      </c>
      <c r="AK19" s="95" t="str">
        <f aca="false">IF(COUNTA(E19:M19)=0,"",IF(COUNTIF(E19:M19,"L")&gt;=2,"CAP AT BUY","OK"))</f>
        <v>OK</v>
      </c>
      <c r="AL19" s="114" t="s">
        <v>311</v>
      </c>
      <c r="AM19" s="110" t="s">
        <v>323</v>
      </c>
      <c r="AN19" s="110"/>
      <c r="AO19" s="95"/>
      <c r="AP19" s="110" t="str">
        <f aca="false">IF(OR(AN19="",AO19=""),"",IF(AN19&gt;AO19,"OK","LOW CONF"))</f>
        <v/>
      </c>
      <c r="AQ19" s="110"/>
      <c r="AR19" s="95"/>
      <c r="AS19" s="115" t="str">
        <f aca="false">IF(OR(AQ19="",AR19=""),"",IF(AQ19&lt;AR19,"Decreased",IF(AQ19&gt;AR19,"Increased","Flat")))</f>
        <v/>
      </c>
    </row>
    <row r="20" customFormat="false" ht="15" hidden="false" customHeight="true" outlineLevel="0" collapsed="false">
      <c r="A20" s="72" t="s">
        <v>243</v>
      </c>
      <c r="B20" s="110" t="s">
        <v>324</v>
      </c>
      <c r="C20" s="111" t="n">
        <v>46245</v>
      </c>
      <c r="D20" s="110" t="n">
        <v>4</v>
      </c>
      <c r="E20" s="110" t="s">
        <v>301</v>
      </c>
      <c r="F20" s="110" t="n">
        <v>5</v>
      </c>
      <c r="G20" s="110" t="s">
        <v>301</v>
      </c>
      <c r="H20" s="110" t="n">
        <v>5</v>
      </c>
      <c r="I20" s="110" t="s">
        <v>301</v>
      </c>
      <c r="J20" s="110" t="n">
        <v>4</v>
      </c>
      <c r="K20" s="110" t="s">
        <v>300</v>
      </c>
      <c r="L20" s="110" t="n">
        <v>5</v>
      </c>
      <c r="M20" s="110" t="s">
        <v>301</v>
      </c>
      <c r="N20" s="112" t="n">
        <f aca="false">IF(COUNT(D20,F20,H20,J20,L20)=0,"",(D20*0.2+F20*0.15+H20*0.15+J20*0.1+L20*0.1)/0.7)</f>
        <v>4.57142857142857</v>
      </c>
      <c r="O20" s="113" t="n">
        <f aca="false">IF(COUNT(D20,F20,H20,J20,L20)=0,"",D20*0.2+F20*0.15+H20*0.15+J20*0.1+L20*0.1)</f>
        <v>3.2</v>
      </c>
      <c r="P20" s="110" t="n">
        <v>4</v>
      </c>
      <c r="Q20" s="110" t="s">
        <v>300</v>
      </c>
      <c r="R20" s="110" t="n">
        <v>5</v>
      </c>
      <c r="S20" s="110" t="s">
        <v>301</v>
      </c>
      <c r="T20" s="110" t="n">
        <v>3</v>
      </c>
      <c r="U20" s="110" t="s">
        <v>300</v>
      </c>
      <c r="V20" s="110" t="n">
        <v>3</v>
      </c>
      <c r="W20" s="110" t="s">
        <v>300</v>
      </c>
      <c r="X20" s="113" t="n">
        <f aca="false">IF(COUNT(P20,R20,T20,V20)=0,"",P20*0.08+R20*0.06+T20*0.03+V20*0.08)</f>
        <v>0.95</v>
      </c>
      <c r="Y20" s="110" t="n">
        <v>3</v>
      </c>
      <c r="Z20" s="110" t="s">
        <v>300</v>
      </c>
      <c r="AA20" s="110" t="n">
        <v>4</v>
      </c>
      <c r="AB20" s="110" t="s">
        <v>300</v>
      </c>
      <c r="AC20" s="110" t="n">
        <v>3</v>
      </c>
      <c r="AD20" s="110" t="s">
        <v>302</v>
      </c>
      <c r="AE20" s="113" t="n">
        <f aca="false">IF(COUNT(Y20,AA20,AC20)=0,"",Y20*0.02+AA20*0.02+AC20*0.01)</f>
        <v>0.17</v>
      </c>
      <c r="AF20" s="99" t="n">
        <f aca="false">IF(OR(O20="",X20="",AE20=""),"",(O20+X20+AE20)*20)</f>
        <v>86.4</v>
      </c>
      <c r="AG20" s="95" t="str">
        <f aca="false">IF(AF20="","",IF(AF20&gt;=80,"STRONG BUY",IF(AF20&gt;=65,"BUY",IF(AF20&gt;=50,"WATCH LIST",IF(AF20&gt;=35,"AVOID","PASS")))))</f>
        <v>STRONG BUY</v>
      </c>
      <c r="AH20" s="95" t="str">
        <f aca="false">IF(N20="","",IF(N20&lt;3,"FAIL","OK"))</f>
        <v>OK</v>
      </c>
      <c r="AI20" s="95" t="str">
        <f aca="false">IF(COUNT(D20:L20)=0,"",IF(COUNTIF(D20:L20,1)&gt;0,"REVIEW","OK"))</f>
        <v>OK</v>
      </c>
      <c r="AJ20" s="95" t="str">
        <f aca="false">IF(COUNT(D20:L20)=0,"",IF(COUNTIF(D20:L20,"&lt;=2")&gt;=2,"AVOID","OK"))</f>
        <v>OK</v>
      </c>
      <c r="AK20" s="95" t="str">
        <f aca="false">IF(COUNTA(E20:M20)=0,"",IF(COUNTIF(E20:M20,"L")&gt;=2,"CAP AT BUY","OK"))</f>
        <v>OK</v>
      </c>
      <c r="AL20" s="114" t="s">
        <v>325</v>
      </c>
      <c r="AM20" s="110" t="s">
        <v>326</v>
      </c>
      <c r="AN20" s="110"/>
      <c r="AO20" s="95"/>
      <c r="AP20" s="110" t="str">
        <f aca="false">IF(OR(AN20="",AO20=""),"",IF(AN20&gt;AO20,"OK","LOW CONF"))</f>
        <v/>
      </c>
      <c r="AQ20" s="110"/>
      <c r="AR20" s="95"/>
      <c r="AS20" s="115" t="str">
        <f aca="false">IF(OR(AQ20="",AR20=""),"",IF(AQ20&lt;AR20,"Decreased",IF(AQ20&gt;AR20,"Increased","Flat")))</f>
        <v/>
      </c>
    </row>
    <row r="21" customFormat="false" ht="15" hidden="true" customHeight="true" outlineLevel="1" collapsed="false">
      <c r="A21" s="72" t="s">
        <v>226</v>
      </c>
      <c r="B21" s="110" t="s">
        <v>327</v>
      </c>
      <c r="C21" s="111" t="n">
        <v>46245</v>
      </c>
      <c r="D21" s="110" t="n">
        <v>1</v>
      </c>
      <c r="E21" s="110" t="s">
        <v>301</v>
      </c>
      <c r="F21" s="110" t="n">
        <v>3</v>
      </c>
      <c r="G21" s="110" t="s">
        <v>300</v>
      </c>
      <c r="H21" s="110" t="n">
        <v>4</v>
      </c>
      <c r="I21" s="110" t="s">
        <v>300</v>
      </c>
      <c r="J21" s="110" t="n">
        <v>4</v>
      </c>
      <c r="K21" s="110" t="s">
        <v>300</v>
      </c>
      <c r="L21" s="110" t="n">
        <v>1</v>
      </c>
      <c r="M21" s="110" t="s">
        <v>301</v>
      </c>
      <c r="N21" s="112" t="n">
        <f aca="false">IF(COUNT(D21,F21,H21,J21,L21)=0,"",(D21*0.2+F21*0.15+H21*0.15+J21*0.1+L21*0.1)/0.7)</f>
        <v>2.5</v>
      </c>
      <c r="O21" s="113" t="n">
        <f aca="false">IF(COUNT(D21,F21,H21,J21,L21)=0,"",D21*0.2+F21*0.15+H21*0.15+J21*0.1+L21*0.1)</f>
        <v>1.75</v>
      </c>
      <c r="P21" s="110"/>
      <c r="Q21" s="110"/>
      <c r="R21" s="110"/>
      <c r="S21" s="110"/>
      <c r="T21" s="110"/>
      <c r="U21" s="110"/>
      <c r="V21" s="110"/>
      <c r="W21" s="110"/>
      <c r="X21" s="113" t="str">
        <f aca="false">IF(COUNT(P21,R21,T21,V21)=0,"",P21*0.08+R21*0.06+T21*0.03+V21*0.08)</f>
        <v/>
      </c>
      <c r="Y21" s="110"/>
      <c r="Z21" s="110"/>
      <c r="AA21" s="110"/>
      <c r="AB21" s="110"/>
      <c r="AC21" s="110"/>
      <c r="AD21" s="110"/>
      <c r="AE21" s="113" t="str">
        <f aca="false">IF(COUNT(Y21,AA21,AC21)=0,"",Y21*0.02+AA21*0.02+AC21*0.01)</f>
        <v/>
      </c>
      <c r="AF21" s="99" t="str">
        <f aca="false">IF(OR(O21="",X21="",AE21=""),"",(O21+X21+AE21)*20)</f>
        <v/>
      </c>
      <c r="AG21" s="95" t="str">
        <f aca="false">IF(AF21="","",IF(AF21&gt;=80,"STRONG BUY",IF(AF21&gt;=65,"BUY",IF(AF21&gt;=50,"WATCH LIST",IF(AF21&gt;=35,"AVOID","PASS")))))</f>
        <v/>
      </c>
      <c r="AH21" s="95" t="str">
        <f aca="false">IF(N21="","",IF(N21&lt;3,"FAIL","OK"))</f>
        <v>FAIL</v>
      </c>
      <c r="AI21" s="95" t="str">
        <f aca="false">IF(COUNT(D21:L21)=0,"",IF(COUNTIF(D21:L21,1)&gt;0,"REVIEW","OK"))</f>
        <v>REVIEW</v>
      </c>
      <c r="AJ21" s="95" t="str">
        <f aca="false">IF(COUNT(D21:L21)=0,"",IF(COUNTIF(D21:L21,"&lt;=2")&gt;=2,"AVOID","OK"))</f>
        <v>AVOID</v>
      </c>
      <c r="AK21" s="95" t="str">
        <f aca="false">IF(COUNTA(E21:M21)=0,"",IF(COUNTIF(E21:M21,"L")&gt;=2,"CAP AT BUY","OK"))</f>
        <v>OK</v>
      </c>
      <c r="AL21" s="114" t="s">
        <v>328</v>
      </c>
      <c r="AM21" s="110" t="s">
        <v>329</v>
      </c>
      <c r="AN21" s="110"/>
      <c r="AO21" s="95"/>
      <c r="AP21" s="110" t="str">
        <f aca="false">IF(OR(AN21="",AO21=""),"",IF(AN21&gt;AO21,"OK","LOW CONF"))</f>
        <v/>
      </c>
      <c r="AQ21" s="110"/>
      <c r="AR21" s="95"/>
      <c r="AS21" s="115" t="str">
        <f aca="false">IF(OR(AQ21="",AR21=""),"",IF(AQ21&lt;AR21,"Decreased",IF(AQ21&gt;AR21,"Increased","Flat")))</f>
        <v/>
      </c>
    </row>
    <row r="22" customFormat="false" ht="15" hidden="true" customHeight="true" outlineLevel="1" collapsed="false">
      <c r="A22" s="72" t="s">
        <v>205</v>
      </c>
      <c r="B22" s="110" t="s">
        <v>330</v>
      </c>
      <c r="C22" s="111" t="n">
        <v>46245</v>
      </c>
      <c r="D22" s="110" t="n">
        <v>1</v>
      </c>
      <c r="E22" s="110" t="s">
        <v>301</v>
      </c>
      <c r="F22" s="110" t="n">
        <v>1</v>
      </c>
      <c r="G22" s="110" t="s">
        <v>301</v>
      </c>
      <c r="H22" s="110" t="n">
        <v>2</v>
      </c>
      <c r="I22" s="110" t="s">
        <v>300</v>
      </c>
      <c r="J22" s="110" t="n">
        <v>1</v>
      </c>
      <c r="K22" s="110" t="s">
        <v>301</v>
      </c>
      <c r="L22" s="110" t="n">
        <v>1</v>
      </c>
      <c r="M22" s="110" t="s">
        <v>301</v>
      </c>
      <c r="N22" s="112" t="n">
        <f aca="false">IF(COUNT(D22,F22,H22,J22,L22)=0,"",(D22*0.2+F22*0.15+H22*0.15+J22*0.1+L22*0.1)/0.7)</f>
        <v>1.21428571428571</v>
      </c>
      <c r="O22" s="113" t="n">
        <f aca="false">IF(COUNT(D22,F22,H22,J22,L22)=0,"",D22*0.2+F22*0.15+H22*0.15+J22*0.1+L22*0.1)</f>
        <v>0.85</v>
      </c>
      <c r="P22" s="110"/>
      <c r="Q22" s="110"/>
      <c r="R22" s="110"/>
      <c r="S22" s="110"/>
      <c r="T22" s="110"/>
      <c r="U22" s="110"/>
      <c r="V22" s="110"/>
      <c r="W22" s="110"/>
      <c r="X22" s="113" t="str">
        <f aca="false">IF(COUNT(P22,R22,T22,V22)=0,"",P22*0.08+R22*0.06+T22*0.03+V22*0.08)</f>
        <v/>
      </c>
      <c r="Y22" s="110"/>
      <c r="Z22" s="110"/>
      <c r="AA22" s="110"/>
      <c r="AB22" s="110"/>
      <c r="AC22" s="110"/>
      <c r="AD22" s="110"/>
      <c r="AE22" s="113" t="str">
        <f aca="false">IF(COUNT(Y22,AA22,AC22)=0,"",Y22*0.02+AA22*0.02+AC22*0.01)</f>
        <v/>
      </c>
      <c r="AF22" s="99" t="str">
        <f aca="false">IF(OR(O22="",X22="",AE22=""),"",(O22+X22+AE22)*20)</f>
        <v/>
      </c>
      <c r="AG22" s="95" t="str">
        <f aca="false">IF(AF22="","",IF(AF22&gt;=80,"STRONG BUY",IF(AF22&gt;=65,"BUY",IF(AF22&gt;=50,"WATCH LIST",IF(AF22&gt;=35,"AVOID","PASS")))))</f>
        <v/>
      </c>
      <c r="AH22" s="95" t="str">
        <f aca="false">IF(N22="","",IF(N22&lt;3,"FAIL","OK"))</f>
        <v>FAIL</v>
      </c>
      <c r="AI22" s="95" t="str">
        <f aca="false">IF(COUNT(D22:L22)=0,"",IF(COUNTIF(D22:L22,1)&gt;0,"REVIEW","OK"))</f>
        <v>REVIEW</v>
      </c>
      <c r="AJ22" s="95" t="str">
        <f aca="false">IF(COUNT(D22:L22)=0,"",IF(COUNTIF(D22:L22,"&lt;=2")&gt;=2,"AVOID","OK"))</f>
        <v>AVOID</v>
      </c>
      <c r="AK22" s="95" t="str">
        <f aca="false">IF(COUNTA(E22:M22)=0,"",IF(COUNTIF(E22:M22,"L")&gt;=2,"CAP AT BUY","OK"))</f>
        <v>OK</v>
      </c>
      <c r="AL22" s="114" t="s">
        <v>331</v>
      </c>
      <c r="AM22" s="110" t="s">
        <v>332</v>
      </c>
      <c r="AN22" s="110"/>
      <c r="AO22" s="95"/>
      <c r="AP22" s="110" t="str">
        <f aca="false">IF(OR(AN22="",AO22=""),"",IF(AN22&gt;AO22,"OK","LOW CONF"))</f>
        <v/>
      </c>
      <c r="AQ22" s="110"/>
      <c r="AR22" s="95"/>
      <c r="AS22" s="115" t="str">
        <f aca="false">IF(OR(AQ22="",AR22=""),"",IF(AQ22&lt;AR22,"Decreased",IF(AQ22&gt;AR22,"Increased","Flat")))</f>
        <v/>
      </c>
    </row>
    <row r="23" customFormat="false" ht="15" hidden="false" customHeight="true" outlineLevel="0" collapsed="false">
      <c r="A23" s="72" t="s">
        <v>212</v>
      </c>
      <c r="B23" s="110" t="s">
        <v>333</v>
      </c>
      <c r="C23" s="111" t="n">
        <v>46245</v>
      </c>
      <c r="D23" s="110" t="n">
        <v>4</v>
      </c>
      <c r="E23" s="110" t="s">
        <v>300</v>
      </c>
      <c r="F23" s="110" t="n">
        <v>4</v>
      </c>
      <c r="G23" s="110" t="s">
        <v>300</v>
      </c>
      <c r="H23" s="110" t="n">
        <v>4</v>
      </c>
      <c r="I23" s="110" t="s">
        <v>300</v>
      </c>
      <c r="J23" s="110" t="n">
        <v>4</v>
      </c>
      <c r="K23" s="110" t="s">
        <v>300</v>
      </c>
      <c r="L23" s="110" t="n">
        <v>4</v>
      </c>
      <c r="M23" s="110" t="s">
        <v>300</v>
      </c>
      <c r="N23" s="112" t="n">
        <f aca="false">IF(COUNT(D23,F23,H23,J23,L23)=0,"",(D23*0.2+F23*0.15+H23*0.15+J23*0.1+L23*0.1)/0.7)</f>
        <v>4</v>
      </c>
      <c r="O23" s="113" t="n">
        <f aca="false">IF(COUNT(D23,F23,H23,J23,L23)=0,"",D23*0.2+F23*0.15+H23*0.15+J23*0.1+L23*0.1)</f>
        <v>2.8</v>
      </c>
      <c r="P23" s="110"/>
      <c r="Q23" s="110"/>
      <c r="R23" s="110"/>
      <c r="S23" s="110"/>
      <c r="T23" s="110"/>
      <c r="U23" s="110"/>
      <c r="V23" s="110"/>
      <c r="W23" s="110"/>
      <c r="X23" s="113" t="str">
        <f aca="false">IF(COUNT(P23,R23,T23,V23)=0,"",P23*0.08+R23*0.06+T23*0.03+V23*0.08)</f>
        <v/>
      </c>
      <c r="Y23" s="110"/>
      <c r="Z23" s="110"/>
      <c r="AA23" s="110"/>
      <c r="AB23" s="110"/>
      <c r="AC23" s="110"/>
      <c r="AD23" s="110"/>
      <c r="AE23" s="113" t="str">
        <f aca="false">IF(COUNT(Y23,AA23,AC23)=0,"",Y23*0.02+AA23*0.02+AC23*0.01)</f>
        <v/>
      </c>
      <c r="AF23" s="99" t="str">
        <f aca="false">IF(OR(O23="",X23="",AE23=""),"",(O23+X23+AE23)*20)</f>
        <v/>
      </c>
      <c r="AG23" s="95" t="str">
        <f aca="false">IF(AF23="","",IF(AF23&gt;=80,"STRONG BUY",IF(AF23&gt;=65,"BUY",IF(AF23&gt;=50,"WATCH LIST",IF(AF23&gt;=35,"AVOID","PASS")))))</f>
        <v/>
      </c>
      <c r="AH23" s="95" t="str">
        <f aca="false">IF(N23="","",IF(N23&lt;3,"FAIL","OK"))</f>
        <v>OK</v>
      </c>
      <c r="AI23" s="95" t="str">
        <f aca="false">IF(COUNT(D23:L23)=0,"",IF(COUNTIF(D23:L23,1)&gt;0,"REVIEW","OK"))</f>
        <v>OK</v>
      </c>
      <c r="AJ23" s="95" t="str">
        <f aca="false">IF(COUNT(D23:L23)=0,"",IF(COUNTIF(D23:L23,"&lt;=2")&gt;=2,"AVOID","OK"))</f>
        <v>OK</v>
      </c>
      <c r="AK23" s="95" t="str">
        <f aca="false">IF(COUNTA(E23:M23)=0,"",IF(COUNTIF(E23:M23,"L")&gt;=2,"CAP AT BUY","OK"))</f>
        <v>OK</v>
      </c>
      <c r="AL23" s="114" t="s">
        <v>331</v>
      </c>
      <c r="AM23" s="110" t="s">
        <v>334</v>
      </c>
      <c r="AN23" s="110"/>
      <c r="AO23" s="95"/>
      <c r="AP23" s="110" t="str">
        <f aca="false">IF(OR(AN23="",AO23=""),"",IF(AN23&gt;AO23,"OK","LOW CONF"))</f>
        <v/>
      </c>
      <c r="AQ23" s="110"/>
      <c r="AR23" s="95"/>
      <c r="AS23" s="115" t="str">
        <f aca="false">IF(OR(AQ23="",AR23=""),"",IF(AQ23&lt;AR23,"Decreased",IF(AQ23&gt;AR23,"Increased","Flat")))</f>
        <v/>
      </c>
    </row>
    <row r="24" customFormat="false" ht="15" hidden="true" customHeight="true" outlineLevel="1" collapsed="false">
      <c r="A24" s="72" t="s">
        <v>222</v>
      </c>
      <c r="B24" s="110" t="s">
        <v>335</v>
      </c>
      <c r="C24" s="111" t="n">
        <v>46245</v>
      </c>
      <c r="D24" s="110" t="n">
        <v>2</v>
      </c>
      <c r="E24" s="110" t="s">
        <v>302</v>
      </c>
      <c r="F24" s="110" t="n">
        <v>2</v>
      </c>
      <c r="G24" s="110" t="s">
        <v>300</v>
      </c>
      <c r="H24" s="110" t="n">
        <v>3</v>
      </c>
      <c r="I24" s="110" t="s">
        <v>300</v>
      </c>
      <c r="J24" s="110" t="n">
        <v>2</v>
      </c>
      <c r="K24" s="110" t="s">
        <v>300</v>
      </c>
      <c r="L24" s="110" t="n">
        <v>1</v>
      </c>
      <c r="M24" s="110" t="s">
        <v>301</v>
      </c>
      <c r="N24" s="112" t="n">
        <f aca="false">IF(COUNT(D24,F24,H24,J24,L24)=0,"",(D24*0.2+F24*0.15+H24*0.15+J24*0.1+L24*0.1)/0.7)</f>
        <v>2.07142857142857</v>
      </c>
      <c r="O24" s="113" t="n">
        <f aca="false">IF(COUNT(D24,F24,H24,J24,L24)=0,"",D24*0.2+F24*0.15+H24*0.15+J24*0.1+L24*0.1)</f>
        <v>1.45</v>
      </c>
      <c r="P24" s="110"/>
      <c r="Q24" s="110"/>
      <c r="R24" s="110"/>
      <c r="S24" s="110"/>
      <c r="T24" s="110"/>
      <c r="U24" s="110"/>
      <c r="V24" s="110"/>
      <c r="W24" s="110"/>
      <c r="X24" s="113" t="str">
        <f aca="false">IF(COUNT(P24,R24,T24,V24)=0,"",P24*0.08+R24*0.06+T24*0.03+V24*0.08)</f>
        <v/>
      </c>
      <c r="Y24" s="110"/>
      <c r="Z24" s="110"/>
      <c r="AA24" s="110"/>
      <c r="AB24" s="110"/>
      <c r="AC24" s="110"/>
      <c r="AD24" s="110"/>
      <c r="AE24" s="113" t="str">
        <f aca="false">IF(COUNT(Y24,AA24,AC24)=0,"",Y24*0.02+AA24*0.02+AC24*0.01)</f>
        <v/>
      </c>
      <c r="AF24" s="99" t="str">
        <f aca="false">IF(OR(O24="",X24="",AE24=""),"",(O24+X24+AE24)*20)</f>
        <v/>
      </c>
      <c r="AG24" s="95" t="str">
        <f aca="false">IF(AF24="","",IF(AF24&gt;=80,"STRONG BUY",IF(AF24&gt;=65,"BUY",IF(AF24&gt;=50,"WATCH LIST",IF(AF24&gt;=35,"AVOID","PASS")))))</f>
        <v/>
      </c>
      <c r="AH24" s="95" t="str">
        <f aca="false">IF(N24="","",IF(N24&lt;3,"FAIL","OK"))</f>
        <v>FAIL</v>
      </c>
      <c r="AI24" s="95" t="str">
        <f aca="false">IF(COUNT(D24:L24)=0,"",IF(COUNTIF(D24:L24,1)&gt;0,"REVIEW","OK"))</f>
        <v>REVIEW</v>
      </c>
      <c r="AJ24" s="95" t="str">
        <f aca="false">IF(COUNT(D24:L24)=0,"",IF(COUNTIF(D24:L24,"&lt;=2")&gt;=2,"AVOID","OK"))</f>
        <v>AVOID</v>
      </c>
      <c r="AK24" s="95" t="str">
        <f aca="false">IF(COUNTA(E24:M24)=0,"",IF(COUNTIF(E24:M24,"L")&gt;=2,"CAP AT BUY","OK"))</f>
        <v>OK</v>
      </c>
      <c r="AL24" s="114" t="s">
        <v>331</v>
      </c>
      <c r="AM24" s="110" t="s">
        <v>336</v>
      </c>
      <c r="AN24" s="110"/>
      <c r="AO24" s="95"/>
      <c r="AP24" s="110" t="str">
        <f aca="false">IF(OR(AN24="",AO24=""),"",IF(AN24&gt;AO24,"OK","LOW CONF"))</f>
        <v/>
      </c>
      <c r="AQ24" s="110"/>
      <c r="AR24" s="95"/>
      <c r="AS24" s="115" t="str">
        <f aca="false">IF(OR(AQ24="",AR24=""),"",IF(AQ24&lt;AR24,"Decreased",IF(AQ24&gt;AR24,"Increased","Flat")))</f>
        <v/>
      </c>
    </row>
    <row r="25" customFormat="false" ht="15" hidden="true" customHeight="true" outlineLevel="1" collapsed="false">
      <c r="A25" s="72" t="s">
        <v>232</v>
      </c>
      <c r="B25" s="110" t="s">
        <v>337</v>
      </c>
      <c r="C25" s="111" t="n">
        <v>46245</v>
      </c>
      <c r="D25" s="110" t="n">
        <v>3</v>
      </c>
      <c r="E25" s="110" t="s">
        <v>300</v>
      </c>
      <c r="F25" s="110" t="n">
        <v>2</v>
      </c>
      <c r="G25" s="110" t="s">
        <v>301</v>
      </c>
      <c r="H25" s="110" t="n">
        <v>3</v>
      </c>
      <c r="I25" s="110" t="s">
        <v>300</v>
      </c>
      <c r="J25" s="110" t="n">
        <v>3</v>
      </c>
      <c r="K25" s="110" t="s">
        <v>300</v>
      </c>
      <c r="L25" s="110" t="n">
        <v>2</v>
      </c>
      <c r="M25" s="110" t="s">
        <v>301</v>
      </c>
      <c r="N25" s="112" t="n">
        <f aca="false">IF(COUNT(D25,F25,H25,J25,L25)=0,"",(D25*0.2+F25*0.15+H25*0.15+J25*0.1+L25*0.1)/0.7)</f>
        <v>2.64285714285714</v>
      </c>
      <c r="O25" s="113" t="n">
        <f aca="false">IF(COUNT(D25,F25,H25,J25,L25)=0,"",D25*0.2+F25*0.15+H25*0.15+J25*0.1+L25*0.1)</f>
        <v>1.85</v>
      </c>
      <c r="P25" s="110"/>
      <c r="Q25" s="110"/>
      <c r="R25" s="110"/>
      <c r="S25" s="110"/>
      <c r="T25" s="110"/>
      <c r="U25" s="110"/>
      <c r="V25" s="110"/>
      <c r="W25" s="110"/>
      <c r="X25" s="113" t="str">
        <f aca="false">IF(COUNT(P25,R25,T25,V25)=0,"",P25*0.08+R25*0.06+T25*0.03+V25*0.08)</f>
        <v/>
      </c>
      <c r="Y25" s="110"/>
      <c r="Z25" s="110"/>
      <c r="AA25" s="110"/>
      <c r="AB25" s="110"/>
      <c r="AC25" s="110"/>
      <c r="AD25" s="110"/>
      <c r="AE25" s="113" t="str">
        <f aca="false">IF(COUNT(Y25,AA25,AC25)=0,"",Y25*0.02+AA25*0.02+AC25*0.01)</f>
        <v/>
      </c>
      <c r="AF25" s="99" t="str">
        <f aca="false">IF(OR(O25="",X25="",AE25=""),"",(O25+X25+AE25)*20)</f>
        <v/>
      </c>
      <c r="AG25" s="95" t="str">
        <f aca="false">IF(AF25="","",IF(AF25&gt;=80,"STRONG BUY",IF(AF25&gt;=65,"BUY",IF(AF25&gt;=50,"WATCH LIST",IF(AF25&gt;=35,"AVOID","PASS")))))</f>
        <v/>
      </c>
      <c r="AH25" s="95" t="str">
        <f aca="false">IF(N25="","",IF(N25&lt;3,"FAIL","OK"))</f>
        <v>FAIL</v>
      </c>
      <c r="AI25" s="95" t="str">
        <f aca="false">IF(COUNT(D25:L25)=0,"",IF(COUNTIF(D25:L25,1)&gt;0,"REVIEW","OK"))</f>
        <v>OK</v>
      </c>
      <c r="AJ25" s="95" t="str">
        <f aca="false">IF(COUNT(D25:L25)=0,"",IF(COUNTIF(D25:L25,"&lt;=2")&gt;=2,"AVOID","OK"))</f>
        <v>AVOID</v>
      </c>
      <c r="AK25" s="95" t="str">
        <f aca="false">IF(COUNTA(E25:M25)=0,"",IF(COUNTIF(E25:M25,"L")&gt;=2,"CAP AT BUY","OK"))</f>
        <v>OK</v>
      </c>
      <c r="AL25" s="114" t="s">
        <v>331</v>
      </c>
      <c r="AM25" s="110" t="s">
        <v>336</v>
      </c>
      <c r="AN25" s="110"/>
      <c r="AO25" s="95"/>
      <c r="AP25" s="110" t="str">
        <f aca="false">IF(OR(AN25="",AO25=""),"",IF(AN25&gt;AO25,"OK","LOW CONF"))</f>
        <v/>
      </c>
      <c r="AQ25" s="110"/>
      <c r="AR25" s="95"/>
      <c r="AS25" s="115" t="str">
        <f aca="false">IF(OR(AQ25="",AR25=""),"",IF(AQ25&lt;AR25,"Decreased",IF(AQ25&gt;AR25,"Increased","Flat")))</f>
        <v/>
      </c>
    </row>
    <row r="26" customFormat="false" ht="15" hidden="true" customHeight="true" outlineLevel="1" collapsed="false">
      <c r="A26" s="72" t="s">
        <v>200</v>
      </c>
      <c r="B26" s="110" t="s">
        <v>338</v>
      </c>
      <c r="C26" s="111" t="n">
        <v>46245</v>
      </c>
      <c r="D26" s="110" t="n">
        <v>2</v>
      </c>
      <c r="E26" s="110" t="s">
        <v>300</v>
      </c>
      <c r="F26" s="110" t="n">
        <v>1</v>
      </c>
      <c r="G26" s="110" t="s">
        <v>301</v>
      </c>
      <c r="H26" s="110" t="n">
        <v>2</v>
      </c>
      <c r="I26" s="110" t="s">
        <v>300</v>
      </c>
      <c r="J26" s="110" t="n">
        <v>2</v>
      </c>
      <c r="K26" s="110" t="s">
        <v>300</v>
      </c>
      <c r="L26" s="110" t="n">
        <v>2</v>
      </c>
      <c r="M26" s="110" t="s">
        <v>300</v>
      </c>
      <c r="N26" s="112" t="n">
        <f aca="false">IF(COUNT(D26,F26,H26,J26,L26)=0,"",(D26*0.2+F26*0.15+H26*0.15+J26*0.1+L26*0.1)/0.7)</f>
        <v>1.78571428571429</v>
      </c>
      <c r="O26" s="113" t="n">
        <f aca="false">IF(COUNT(D26,F26,H26,J26,L26)=0,"",D26*0.2+F26*0.15+H26*0.15+J26*0.1+L26*0.1)</f>
        <v>1.25</v>
      </c>
      <c r="P26" s="110"/>
      <c r="Q26" s="110"/>
      <c r="R26" s="110"/>
      <c r="S26" s="110"/>
      <c r="T26" s="110"/>
      <c r="U26" s="110"/>
      <c r="V26" s="110"/>
      <c r="W26" s="110"/>
      <c r="X26" s="113" t="str">
        <f aca="false">IF(COUNT(P26,R26,T26,V26)=0,"",P26*0.08+R26*0.06+T26*0.03+V26*0.08)</f>
        <v/>
      </c>
      <c r="Y26" s="110"/>
      <c r="Z26" s="110"/>
      <c r="AA26" s="110"/>
      <c r="AB26" s="110"/>
      <c r="AC26" s="110"/>
      <c r="AD26" s="110"/>
      <c r="AE26" s="113" t="str">
        <f aca="false">IF(COUNT(Y26,AA26,AC26)=0,"",Y26*0.02+AA26*0.02+AC26*0.01)</f>
        <v/>
      </c>
      <c r="AF26" s="99" t="str">
        <f aca="false">IF(OR(O26="",X26="",AE26=""),"",(O26+X26+AE26)*20)</f>
        <v/>
      </c>
      <c r="AG26" s="95" t="str">
        <f aca="false">IF(AF26="","",IF(AF26&gt;=80,"STRONG BUY",IF(AF26&gt;=65,"BUY",IF(AF26&gt;=50,"WATCH LIST",IF(AF26&gt;=35,"AVOID","PASS")))))</f>
        <v/>
      </c>
      <c r="AH26" s="95" t="str">
        <f aca="false">IF(N26="","",IF(N26&lt;3,"FAIL","OK"))</f>
        <v>FAIL</v>
      </c>
      <c r="AI26" s="95" t="str">
        <f aca="false">IF(COUNT(D26:L26)=0,"",IF(COUNTIF(D26:L26,1)&gt;0,"REVIEW","OK"))</f>
        <v>REVIEW</v>
      </c>
      <c r="AJ26" s="95" t="str">
        <f aca="false">IF(COUNT(D26:L26)=0,"",IF(COUNTIF(D26:L26,"&lt;=2")&gt;=2,"AVOID","OK"))</f>
        <v>AVOID</v>
      </c>
      <c r="AK26" s="95" t="str">
        <f aca="false">IF(COUNTA(E26:M26)=0,"",IF(COUNTIF(E26:M26,"L")&gt;=2,"CAP AT BUY","OK"))</f>
        <v>OK</v>
      </c>
      <c r="AL26" s="114" t="s">
        <v>339</v>
      </c>
      <c r="AM26" s="110" t="s">
        <v>340</v>
      </c>
      <c r="AN26" s="110"/>
      <c r="AO26" s="95"/>
      <c r="AP26" s="110" t="str">
        <f aca="false">IF(OR(AN26="",AO26=""),"",IF(AN26&gt;AO26,"OK","LOW CONF"))</f>
        <v/>
      </c>
      <c r="AQ26" s="110"/>
      <c r="AR26" s="95"/>
      <c r="AS26" s="115" t="str">
        <f aca="false">IF(OR(AQ26="",AR26=""),"",IF(AQ26&lt;AR26,"Decreased",IF(AQ26&gt;AR26,"Increased","Flat")))</f>
        <v/>
      </c>
    </row>
    <row r="27" customFormat="false" ht="15" hidden="true" customHeight="true" outlineLevel="1" collapsed="false">
      <c r="A27" s="72" t="s">
        <v>201</v>
      </c>
      <c r="B27" s="110" t="s">
        <v>341</v>
      </c>
      <c r="C27" s="111" t="n">
        <v>46245</v>
      </c>
      <c r="D27" s="110" t="n">
        <v>2</v>
      </c>
      <c r="E27" s="110" t="s">
        <v>301</v>
      </c>
      <c r="F27" s="110" t="n">
        <v>2</v>
      </c>
      <c r="G27" s="110" t="s">
        <v>300</v>
      </c>
      <c r="H27" s="110" t="n">
        <v>2</v>
      </c>
      <c r="I27" s="110" t="s">
        <v>300</v>
      </c>
      <c r="J27" s="110" t="n">
        <v>2</v>
      </c>
      <c r="K27" s="110" t="s">
        <v>300</v>
      </c>
      <c r="L27" s="110" t="n">
        <v>1</v>
      </c>
      <c r="M27" s="110" t="s">
        <v>301</v>
      </c>
      <c r="N27" s="112" t="n">
        <f aca="false">IF(COUNT(D27,F27,H27,J27,L27)=0,"",(D27*0.2+F27*0.15+H27*0.15+J27*0.1+L27*0.1)/0.7)</f>
        <v>1.85714285714286</v>
      </c>
      <c r="O27" s="113" t="n">
        <f aca="false">IF(COUNT(D27,F27,H27,J27,L27)=0,"",D27*0.2+F27*0.15+H27*0.15+J27*0.1+L27*0.1)</f>
        <v>1.3</v>
      </c>
      <c r="P27" s="110"/>
      <c r="Q27" s="110"/>
      <c r="R27" s="110"/>
      <c r="S27" s="110"/>
      <c r="T27" s="110"/>
      <c r="U27" s="110"/>
      <c r="V27" s="110"/>
      <c r="W27" s="110"/>
      <c r="X27" s="113" t="str">
        <f aca="false">IF(COUNT(P27,R27,T27,V27)=0,"",P27*0.08+R27*0.06+T27*0.03+V27*0.08)</f>
        <v/>
      </c>
      <c r="Y27" s="110"/>
      <c r="Z27" s="110"/>
      <c r="AA27" s="110"/>
      <c r="AB27" s="110"/>
      <c r="AC27" s="110"/>
      <c r="AD27" s="110"/>
      <c r="AE27" s="113" t="str">
        <f aca="false">IF(COUNT(Y27,AA27,AC27)=0,"",Y27*0.02+AA27*0.02+AC27*0.01)</f>
        <v/>
      </c>
      <c r="AF27" s="99" t="str">
        <f aca="false">IF(OR(O27="",X27="",AE27=""),"",(O27+X27+AE27)*20)</f>
        <v/>
      </c>
      <c r="AG27" s="95" t="str">
        <f aca="false">IF(AF27="","",IF(AF27&gt;=80,"STRONG BUY",IF(AF27&gt;=65,"BUY",IF(AF27&gt;=50,"WATCH LIST",IF(AF27&gt;=35,"AVOID","PASS")))))</f>
        <v/>
      </c>
      <c r="AH27" s="95" t="str">
        <f aca="false">IF(N27="","",IF(N27&lt;3,"FAIL","OK"))</f>
        <v>FAIL</v>
      </c>
      <c r="AI27" s="95" t="str">
        <f aca="false">IF(COUNT(D27:L27)=0,"",IF(COUNTIF(D27:L27,1)&gt;0,"REVIEW","OK"))</f>
        <v>REVIEW</v>
      </c>
      <c r="AJ27" s="95" t="str">
        <f aca="false">IF(COUNT(D27:L27)=0,"",IF(COUNTIF(D27:L27,"&lt;=2")&gt;=2,"AVOID","OK"))</f>
        <v>AVOID</v>
      </c>
      <c r="AK27" s="95" t="str">
        <f aca="false">IF(COUNTA(E27:M27)=0,"",IF(COUNTIF(E27:M27,"L")&gt;=2,"CAP AT BUY","OK"))</f>
        <v>OK</v>
      </c>
      <c r="AL27" s="114" t="s">
        <v>339</v>
      </c>
      <c r="AM27" s="110" t="s">
        <v>342</v>
      </c>
      <c r="AN27" s="110"/>
      <c r="AO27" s="95"/>
      <c r="AP27" s="110" t="str">
        <f aca="false">IF(OR(AN27="",AO27=""),"",IF(AN27&gt;AO27,"OK","LOW CONF"))</f>
        <v/>
      </c>
      <c r="AQ27" s="110"/>
      <c r="AR27" s="95"/>
      <c r="AS27" s="115" t="str">
        <f aca="false">IF(OR(AQ27="",AR27=""),"",IF(AQ27&lt;AR27,"Decreased",IF(AQ27&gt;AR27,"Increased","Flat")))</f>
        <v/>
      </c>
    </row>
    <row r="28" customFormat="false" ht="15" hidden="false" customHeight="true" outlineLevel="0" collapsed="false">
      <c r="A28" s="72" t="s">
        <v>224</v>
      </c>
      <c r="B28" s="110" t="s">
        <v>343</v>
      </c>
      <c r="C28" s="116" t="n">
        <v>46245</v>
      </c>
      <c r="D28" s="110" t="n">
        <v>4</v>
      </c>
      <c r="E28" s="110" t="s">
        <v>301</v>
      </c>
      <c r="F28" s="110" t="n">
        <v>4</v>
      </c>
      <c r="G28" s="110" t="s">
        <v>301</v>
      </c>
      <c r="H28" s="110" t="n">
        <v>5</v>
      </c>
      <c r="I28" s="110" t="s">
        <v>301</v>
      </c>
      <c r="J28" s="110" t="n">
        <v>5</v>
      </c>
      <c r="K28" s="110" t="s">
        <v>301</v>
      </c>
      <c r="L28" s="110" t="n">
        <v>5</v>
      </c>
      <c r="M28" s="110" t="s">
        <v>301</v>
      </c>
      <c r="N28" s="112" t="n">
        <f aca="false">IF(COUNT(D28,F28,H28,J28,L28)=0,"",(D28*0.2+F28*0.15+H28*0.15+J28*0.1+L28*0.1)/0.7)</f>
        <v>4.5</v>
      </c>
      <c r="O28" s="95" t="n">
        <f aca="false">IF(COUNT(D28,F28,H28,J28,L28)=0,"",D28*0.2+F28*0.15+H28*0.15+J28*0.1+L28*0.1)</f>
        <v>3.15</v>
      </c>
      <c r="P28" s="110"/>
      <c r="Q28" s="110"/>
      <c r="R28" s="110"/>
      <c r="S28" s="110"/>
      <c r="T28" s="110"/>
      <c r="U28" s="110"/>
      <c r="V28" s="110"/>
      <c r="W28" s="110"/>
      <c r="X28" s="74" t="str">
        <f aca="false">IF(COUNT(P28,R28,T28,V28)=0,"",P28*0.08+R28*0.06+T28*0.03+V28*0.08)</f>
        <v/>
      </c>
      <c r="Y28" s="110"/>
      <c r="Z28" s="110"/>
      <c r="AA28" s="110"/>
      <c r="AB28" s="110"/>
      <c r="AC28" s="110"/>
      <c r="AD28" s="110"/>
      <c r="AE28" s="74" t="str">
        <f aca="false">IF(COUNT(Y28,AA28,AC28)=0,"",Y28*0.02+AA28*0.02+AC28*0.01)</f>
        <v/>
      </c>
      <c r="AF28" s="95" t="str">
        <f aca="false">IF(OR(O28="",X28="",AE28=""),"",(O28+X28+AE28)*20)</f>
        <v/>
      </c>
      <c r="AG28" s="95" t="str">
        <f aca="false">IF(AF28="","",IF(AF28&gt;=80,"STRONG BUY",IF(AF28&gt;=65,"BUY",IF(AF28&gt;=50,"WATCH LIST",IF(AF28&gt;=35,"AVOID","PASS")))))</f>
        <v/>
      </c>
      <c r="AH28" s="95" t="str">
        <f aca="false">IF(N28="","",IF(N28&lt;3,"FAIL","OK"))</f>
        <v>OK</v>
      </c>
      <c r="AI28" s="95" t="str">
        <f aca="false">IF(COUNT(D28:L28)=0,"",IF(COUNTIF(D28:L28,1)&gt;0,"REVIEW","OK"))</f>
        <v>OK</v>
      </c>
      <c r="AJ28" s="95" t="str">
        <f aca="false">IF(COUNT(D28:L28)=0,"",IF(COUNTIF(D28:L28,"&lt;=2")&gt;=2,"AVOID","OK"))</f>
        <v>OK</v>
      </c>
      <c r="AK28" s="95" t="str">
        <f aca="false">IF(COUNTA(E28:M28)=0,"",IF(COUNTIF(E28:M28,"L")&gt;=2,"CAP AT BUY","OK"))</f>
        <v>OK</v>
      </c>
      <c r="AL28" s="117" t="s">
        <v>339</v>
      </c>
      <c r="AM28" s="110" t="s">
        <v>344</v>
      </c>
      <c r="AN28" s="110"/>
      <c r="AO28" s="95"/>
      <c r="AP28" s="110" t="str">
        <f aca="false">IF(OR(AN28="",AO28=""),"",IF(AN28&gt;AO28,"OK","LOW CONF"))</f>
        <v/>
      </c>
      <c r="AQ28" s="110"/>
      <c r="AR28" s="95"/>
      <c r="AS28" s="118" t="str">
        <f aca="false">IF(OR(AQ28="",AR28=""),"",IF(AQ28&lt;AR28,"Decreased",IF(AQ28&gt;AR28,"Increased","Flat")))</f>
        <v/>
      </c>
    </row>
    <row r="29" customFormat="false" ht="15" hidden="true" customHeight="true" outlineLevel="1" collapsed="false">
      <c r="A29" s="72" t="s">
        <v>206</v>
      </c>
      <c r="B29" s="110" t="s">
        <v>345</v>
      </c>
      <c r="C29" s="116" t="n">
        <v>46245</v>
      </c>
      <c r="D29" s="110" t="n">
        <v>2</v>
      </c>
      <c r="E29" s="110" t="s">
        <v>300</v>
      </c>
      <c r="F29" s="110" t="n">
        <v>2</v>
      </c>
      <c r="G29" s="110" t="s">
        <v>300</v>
      </c>
      <c r="H29" s="110" t="n">
        <v>3</v>
      </c>
      <c r="I29" s="110" t="s">
        <v>300</v>
      </c>
      <c r="J29" s="110" t="n">
        <v>3</v>
      </c>
      <c r="K29" s="110" t="s">
        <v>300</v>
      </c>
      <c r="L29" s="110" t="n">
        <v>2</v>
      </c>
      <c r="M29" s="110" t="s">
        <v>301</v>
      </c>
      <c r="N29" s="112" t="n">
        <f aca="false">IF(COUNT(D29,F29,H29,J29,L29)=0,"",(D29*0.2+F29*0.15+H29*0.15+J29*0.1+L29*0.1)/0.7)</f>
        <v>2.35714285714286</v>
      </c>
      <c r="O29" s="95" t="n">
        <f aca="false">IF(COUNT(D29,F29,H29,J29,L29)=0,"",D29*0.2+F29*0.15+H29*0.15+J29*0.1+L29*0.1)</f>
        <v>1.65</v>
      </c>
      <c r="P29" s="110"/>
      <c r="Q29" s="110"/>
      <c r="R29" s="110"/>
      <c r="S29" s="110"/>
      <c r="T29" s="110"/>
      <c r="U29" s="110"/>
      <c r="V29" s="110"/>
      <c r="W29" s="110"/>
      <c r="X29" s="74" t="str">
        <f aca="false">IF(COUNT(P29,R29,T29,V29)=0,"",P29*0.08+R29*0.06+T29*0.03+V29*0.08)</f>
        <v/>
      </c>
      <c r="Y29" s="110"/>
      <c r="Z29" s="110"/>
      <c r="AA29" s="110"/>
      <c r="AB29" s="110"/>
      <c r="AC29" s="110"/>
      <c r="AD29" s="110"/>
      <c r="AE29" s="74" t="str">
        <f aca="false">IF(COUNT(Y29,AA29,AC29)=0,"",Y29*0.02+AA29*0.02+AC29*0.01)</f>
        <v/>
      </c>
      <c r="AF29" s="95" t="str">
        <f aca="false">IF(OR(O29="",X29="",AE29=""),"",(O29+X29+AE29)*20)</f>
        <v/>
      </c>
      <c r="AG29" s="95" t="str">
        <f aca="false">IF(AF29="","",IF(AF29&gt;=80,"STRONG BUY",IF(AF29&gt;=65,"BUY",IF(AF29&gt;=50,"WATCH LIST",IF(AF29&gt;=35,"AVOID","PASS")))))</f>
        <v/>
      </c>
      <c r="AH29" s="95" t="str">
        <f aca="false">IF(N29="","",IF(N29&lt;3,"FAIL","OK"))</f>
        <v>FAIL</v>
      </c>
      <c r="AI29" s="95" t="str">
        <f aca="false">IF(COUNT(D29:L29)=0,"",IF(COUNTIF(D29:L29,1)&gt;0,"REVIEW","OK"))</f>
        <v>OK</v>
      </c>
      <c r="AJ29" s="95" t="str">
        <f aca="false">IF(COUNT(D29:L29)=0,"",IF(COUNTIF(D29:L29,"&lt;=2")&gt;=2,"AVOID","OK"))</f>
        <v>AVOID</v>
      </c>
      <c r="AK29" s="95" t="str">
        <f aca="false">IF(COUNTA(E29:M29)=0,"",IF(COUNTIF(E29:M29,"L")&gt;=2,"CAP AT BUY","OK"))</f>
        <v>OK</v>
      </c>
      <c r="AL29" s="117" t="s">
        <v>311</v>
      </c>
      <c r="AM29" s="110" t="s">
        <v>346</v>
      </c>
      <c r="AN29" s="110"/>
      <c r="AO29" s="95"/>
      <c r="AP29" s="110" t="str">
        <f aca="false">IF(OR(AN29="",AO29=""),"",IF(AN29&gt;AO29,"OK","LOW CONF"))</f>
        <v/>
      </c>
      <c r="AQ29" s="110"/>
      <c r="AR29" s="95"/>
      <c r="AS29" s="118" t="str">
        <f aca="false">IF(OR(AQ29="",AR29=""),"",IF(AQ29&lt;AR29,"Decreased",IF(AQ29&gt;AR29,"Increased","Flat")))</f>
        <v/>
      </c>
    </row>
    <row r="30" customFormat="false" ht="15" hidden="true" customHeight="true" outlineLevel="1" collapsed="false">
      <c r="A30" s="72" t="s">
        <v>210</v>
      </c>
      <c r="B30" s="110" t="s">
        <v>347</v>
      </c>
      <c r="C30" s="116" t="n">
        <v>46245</v>
      </c>
      <c r="D30" s="110" t="n">
        <v>2</v>
      </c>
      <c r="E30" s="110" t="s">
        <v>300</v>
      </c>
      <c r="F30" s="110" t="n">
        <v>1</v>
      </c>
      <c r="G30" s="110" t="s">
        <v>301</v>
      </c>
      <c r="H30" s="110" t="n">
        <v>3</v>
      </c>
      <c r="I30" s="110" t="s">
        <v>300</v>
      </c>
      <c r="J30" s="110" t="n">
        <v>2</v>
      </c>
      <c r="K30" s="110" t="s">
        <v>300</v>
      </c>
      <c r="L30" s="110" t="n">
        <v>3</v>
      </c>
      <c r="M30" s="110" t="s">
        <v>300</v>
      </c>
      <c r="N30" s="112" t="n">
        <f aca="false">IF(COUNT(D30,F30,H30,J30,L30)=0,"",(D30*0.2+F30*0.15+H30*0.15+J30*0.1+L30*0.1)/0.7)</f>
        <v>2.14285714285714</v>
      </c>
      <c r="O30" s="95" t="n">
        <f aca="false">IF(COUNT(D30,F30,H30,J30,L30)=0,"",D30*0.2+F30*0.15+H30*0.15+J30*0.1+L30*0.1)</f>
        <v>1.5</v>
      </c>
      <c r="P30" s="110"/>
      <c r="Q30" s="110"/>
      <c r="R30" s="110"/>
      <c r="S30" s="110"/>
      <c r="T30" s="110"/>
      <c r="U30" s="110"/>
      <c r="V30" s="110"/>
      <c r="W30" s="110"/>
      <c r="X30" s="74" t="str">
        <f aca="false">IF(COUNT(P30,R30,T30,V30)=0,"",P30*0.08+R30*0.06+T30*0.03+V30*0.08)</f>
        <v/>
      </c>
      <c r="Y30" s="110"/>
      <c r="Z30" s="110"/>
      <c r="AA30" s="110"/>
      <c r="AB30" s="110"/>
      <c r="AC30" s="110"/>
      <c r="AD30" s="110"/>
      <c r="AE30" s="74" t="str">
        <f aca="false">IF(COUNT(Y30,AA30,AC30)=0,"",Y30*0.02+AA30*0.02+AC30*0.01)</f>
        <v/>
      </c>
      <c r="AF30" s="95" t="str">
        <f aca="false">IF(OR(O30="",X30="",AE30=""),"",(O30+X30+AE30)*20)</f>
        <v/>
      </c>
      <c r="AG30" s="95" t="str">
        <f aca="false">IF(AF30="","",IF(AF30&gt;=80,"STRONG BUY",IF(AF30&gt;=65,"BUY",IF(AF30&gt;=50,"WATCH LIST",IF(AF30&gt;=35,"AVOID","PASS")))))</f>
        <v/>
      </c>
      <c r="AH30" s="95" t="str">
        <f aca="false">IF(N30="","",IF(N30&lt;3,"FAIL","OK"))</f>
        <v>FAIL</v>
      </c>
      <c r="AI30" s="95" t="str">
        <f aca="false">IF(COUNT(D30:L30)=0,"",IF(COUNTIF(D30:L30,1)&gt;0,"REVIEW","OK"))</f>
        <v>REVIEW</v>
      </c>
      <c r="AJ30" s="95" t="str">
        <f aca="false">IF(COUNT(D30:L30)=0,"",IF(COUNTIF(D30:L30,"&lt;=2")&gt;=2,"AVOID","OK"))</f>
        <v>AVOID</v>
      </c>
      <c r="AK30" s="95" t="str">
        <f aca="false">IF(COUNTA(E30:M30)=0,"",IF(COUNTIF(E30:M30,"L")&gt;=2,"CAP AT BUY","OK"))</f>
        <v>OK</v>
      </c>
      <c r="AL30" s="117" t="s">
        <v>311</v>
      </c>
      <c r="AM30" s="110" t="s">
        <v>348</v>
      </c>
      <c r="AN30" s="110"/>
      <c r="AO30" s="95"/>
      <c r="AP30" s="110" t="str">
        <f aca="false">IF(OR(AN30="",AO30=""),"",IF(AN30&gt;AO30,"OK","LOW CONF"))</f>
        <v/>
      </c>
      <c r="AQ30" s="110"/>
      <c r="AR30" s="95"/>
      <c r="AS30" s="118" t="str">
        <f aca="false">IF(OR(AQ30="",AR30=""),"",IF(AQ30&lt;AR30,"Decreased",IF(AQ30&gt;AR30,"Increased","Flat")))</f>
        <v/>
      </c>
    </row>
    <row r="31" customFormat="false" ht="15" hidden="true" customHeight="true" outlineLevel="1" collapsed="false">
      <c r="A31" s="72" t="s">
        <v>221</v>
      </c>
      <c r="B31" s="110" t="s">
        <v>349</v>
      </c>
      <c r="C31" s="116" t="n">
        <v>46245</v>
      </c>
      <c r="D31" s="110" t="n">
        <v>1</v>
      </c>
      <c r="E31" s="110" t="s">
        <v>301</v>
      </c>
      <c r="F31" s="110" t="n">
        <v>2</v>
      </c>
      <c r="G31" s="110" t="s">
        <v>300</v>
      </c>
      <c r="H31" s="110" t="n">
        <v>3</v>
      </c>
      <c r="I31" s="110" t="s">
        <v>300</v>
      </c>
      <c r="J31" s="110" t="n">
        <v>3</v>
      </c>
      <c r="K31" s="110" t="s">
        <v>300</v>
      </c>
      <c r="L31" s="110" t="n">
        <v>1</v>
      </c>
      <c r="M31" s="110" t="s">
        <v>301</v>
      </c>
      <c r="N31" s="112" t="n">
        <f aca="false">IF(COUNT(D31,F31,H31,J31,L31)=0,"",(D31*0.2+F31*0.15+H31*0.15+J31*0.1+L31*0.1)/0.7)</f>
        <v>1.92857142857143</v>
      </c>
      <c r="O31" s="95" t="n">
        <f aca="false">IF(COUNT(D31,F31,H31,J31,L31)=0,"",D31*0.2+F31*0.15+H31*0.15+J31*0.1+L31*0.1)</f>
        <v>1.35</v>
      </c>
      <c r="P31" s="110"/>
      <c r="Q31" s="110"/>
      <c r="R31" s="110"/>
      <c r="S31" s="110"/>
      <c r="T31" s="110"/>
      <c r="U31" s="110"/>
      <c r="V31" s="110"/>
      <c r="W31" s="110"/>
      <c r="X31" s="74" t="str">
        <f aca="false">IF(COUNT(P31,R31,T31,V31)=0,"",P31*0.08+R31*0.06+T31*0.03+V31*0.08)</f>
        <v/>
      </c>
      <c r="Y31" s="110"/>
      <c r="Z31" s="110"/>
      <c r="AA31" s="110"/>
      <c r="AB31" s="110"/>
      <c r="AC31" s="110"/>
      <c r="AD31" s="110"/>
      <c r="AE31" s="74" t="str">
        <f aca="false">IF(COUNT(Y31,AA31,AC31)=0,"",Y31*0.02+AA31*0.02+AC31*0.01)</f>
        <v/>
      </c>
      <c r="AF31" s="95" t="str">
        <f aca="false">IF(OR(O31="",X31="",AE31=""),"",(O31+X31+AE31)*20)</f>
        <v/>
      </c>
      <c r="AG31" s="95" t="str">
        <f aca="false">IF(AF31="","",IF(AF31&gt;=80,"STRONG BUY",IF(AF31&gt;=65,"BUY",IF(AF31&gt;=50,"WATCH LIST",IF(AF31&gt;=35,"AVOID","PASS")))))</f>
        <v/>
      </c>
      <c r="AH31" s="95" t="str">
        <f aca="false">IF(N31="","",IF(N31&lt;3,"FAIL","OK"))</f>
        <v>FAIL</v>
      </c>
      <c r="AI31" s="95" t="str">
        <f aca="false">IF(COUNT(D31:L31)=0,"",IF(COUNTIF(D31:L31,1)&gt;0,"REVIEW","OK"))</f>
        <v>REVIEW</v>
      </c>
      <c r="AJ31" s="95" t="str">
        <f aca="false">IF(COUNT(D31:L31)=0,"",IF(COUNTIF(D31:L31,"&lt;=2")&gt;=2,"AVOID","OK"))</f>
        <v>AVOID</v>
      </c>
      <c r="AK31" s="95" t="str">
        <f aca="false">IF(COUNTA(E31:M31)=0,"",IF(COUNTIF(E31:M31,"L")&gt;=2,"CAP AT BUY","OK"))</f>
        <v>OK</v>
      </c>
      <c r="AL31" s="117" t="s">
        <v>311</v>
      </c>
      <c r="AM31" s="110" t="s">
        <v>350</v>
      </c>
      <c r="AN31" s="110"/>
      <c r="AO31" s="95"/>
      <c r="AP31" s="110" t="str">
        <f aca="false">IF(OR(AN31="",AO31=""),"",IF(AN31&gt;AO31,"OK","LOW CONF"))</f>
        <v/>
      </c>
      <c r="AQ31" s="110"/>
      <c r="AR31" s="95"/>
      <c r="AS31" s="118" t="str">
        <f aca="false">IF(OR(AQ31="",AR31=""),"",IF(AQ31&lt;AR31,"Decreased",IF(AQ31&gt;AR31,"Increased","Flat")))</f>
        <v/>
      </c>
    </row>
    <row r="32" customFormat="false" ht="15" hidden="false" customHeight="true" outlineLevel="0" collapsed="false">
      <c r="A32" s="72" t="s">
        <v>236</v>
      </c>
      <c r="B32" s="110" t="s">
        <v>351</v>
      </c>
      <c r="C32" s="116" t="n">
        <v>46245</v>
      </c>
      <c r="D32" s="110" t="n">
        <v>4</v>
      </c>
      <c r="E32" s="110" t="s">
        <v>300</v>
      </c>
      <c r="F32" s="110" t="n">
        <v>4</v>
      </c>
      <c r="G32" s="110" t="s">
        <v>301</v>
      </c>
      <c r="H32" s="110" t="n">
        <v>5</v>
      </c>
      <c r="I32" s="110" t="s">
        <v>301</v>
      </c>
      <c r="J32" s="110" t="n">
        <v>4</v>
      </c>
      <c r="K32" s="110" t="s">
        <v>300</v>
      </c>
      <c r="L32" s="110" t="n">
        <v>4</v>
      </c>
      <c r="M32" s="110" t="s">
        <v>301</v>
      </c>
      <c r="N32" s="112" t="n">
        <f aca="false">IF(COUNT(D32,F32,H32,J32,L32)=0,"",(D32*0.2+F32*0.15+H32*0.15+J32*0.1+L32*0.1)/0.7)</f>
        <v>4.21428571428571</v>
      </c>
      <c r="O32" s="95" t="n">
        <f aca="false">IF(COUNT(D32,F32,H32,J32,L32)=0,"",D32*0.2+F32*0.15+H32*0.15+J32*0.1+L32*0.1)</f>
        <v>2.95</v>
      </c>
      <c r="P32" s="110"/>
      <c r="Q32" s="110"/>
      <c r="R32" s="110"/>
      <c r="S32" s="110"/>
      <c r="T32" s="110"/>
      <c r="U32" s="110"/>
      <c r="V32" s="110"/>
      <c r="W32" s="110"/>
      <c r="X32" s="74" t="str">
        <f aca="false">IF(COUNT(P32,R32,T32,V32)=0,"",P32*0.08+R32*0.06+T32*0.03+V32*0.08)</f>
        <v/>
      </c>
      <c r="Y32" s="110"/>
      <c r="Z32" s="110"/>
      <c r="AA32" s="110"/>
      <c r="AB32" s="110"/>
      <c r="AC32" s="110"/>
      <c r="AD32" s="110"/>
      <c r="AE32" s="74" t="str">
        <f aca="false">IF(COUNT(Y32,AA32,AC32)=0,"",Y32*0.02+AA32*0.02+AC32*0.01)</f>
        <v/>
      </c>
      <c r="AF32" s="95" t="str">
        <f aca="false">IF(OR(O32="",X32="",AE32=""),"",(O32+X32+AE32)*20)</f>
        <v/>
      </c>
      <c r="AG32" s="95" t="str">
        <f aca="false">IF(AF32="","",IF(AF32&gt;=80,"STRONG BUY",IF(AF32&gt;=65,"BUY",IF(AF32&gt;=50,"WATCH LIST",IF(AF32&gt;=35,"AVOID","PASS")))))</f>
        <v/>
      </c>
      <c r="AH32" s="95" t="str">
        <f aca="false">IF(N32="","",IF(N32&lt;3,"FAIL","OK"))</f>
        <v>OK</v>
      </c>
      <c r="AI32" s="95" t="str">
        <f aca="false">IF(COUNT(D32:L32)=0,"",IF(COUNTIF(D32:L32,1)&gt;0,"REVIEW","OK"))</f>
        <v>OK</v>
      </c>
      <c r="AJ32" s="95" t="str">
        <f aca="false">IF(COUNT(D32:L32)=0,"",IF(COUNTIF(D32:L32,"&lt;=2")&gt;=2,"AVOID","OK"))</f>
        <v>OK</v>
      </c>
      <c r="AK32" s="95" t="str">
        <f aca="false">IF(COUNTA(E32:M32)=0,"",IF(COUNTIF(E32:M32,"L")&gt;=2,"CAP AT BUY","OK"))</f>
        <v>OK</v>
      </c>
      <c r="AL32" s="117" t="s">
        <v>311</v>
      </c>
      <c r="AM32" s="110" t="s">
        <v>348</v>
      </c>
      <c r="AN32" s="110"/>
      <c r="AO32" s="95"/>
      <c r="AP32" s="110" t="str">
        <f aca="false">IF(OR(AN32="",AO32=""),"",IF(AN32&gt;AO32,"OK","LOW CONF"))</f>
        <v/>
      </c>
      <c r="AQ32" s="110"/>
      <c r="AR32" s="95"/>
      <c r="AS32" s="118" t="str">
        <f aca="false">IF(OR(AQ32="",AR32=""),"",IF(AQ32&lt;AR32,"Decreased",IF(AQ32&gt;AR32,"Increased","Flat")))</f>
        <v/>
      </c>
    </row>
    <row r="33" customFormat="false" ht="15" hidden="false" customHeight="true" outlineLevel="0" collapsed="false">
      <c r="A33" s="72" t="s">
        <v>202</v>
      </c>
      <c r="B33" s="110" t="s">
        <v>352</v>
      </c>
      <c r="C33" s="116" t="n">
        <v>46245</v>
      </c>
      <c r="D33" s="110" t="n">
        <v>4</v>
      </c>
      <c r="E33" s="110" t="s">
        <v>301</v>
      </c>
      <c r="F33" s="110" t="n">
        <v>4</v>
      </c>
      <c r="G33" s="110" t="s">
        <v>301</v>
      </c>
      <c r="H33" s="110" t="n">
        <v>4</v>
      </c>
      <c r="I33" s="110" t="s">
        <v>301</v>
      </c>
      <c r="J33" s="110" t="n">
        <v>3</v>
      </c>
      <c r="K33" s="110" t="s">
        <v>300</v>
      </c>
      <c r="L33" s="110" t="n">
        <v>3</v>
      </c>
      <c r="M33" s="110" t="s">
        <v>301</v>
      </c>
      <c r="N33" s="112" t="n">
        <f aca="false">IF(COUNT(D33,F33,H33,J33,L33)=0,"",(D33*0.2+F33*0.15+H33*0.15+J33*0.1+L33*0.1)/0.7)</f>
        <v>3.71428571428571</v>
      </c>
      <c r="O33" s="95" t="n">
        <f aca="false">IF(COUNT(D33,F33,H33,J33,L33)=0,"",D33*0.2+F33*0.15+H33*0.15+J33*0.1+L33*0.1)</f>
        <v>2.6</v>
      </c>
      <c r="P33" s="110"/>
      <c r="Q33" s="110"/>
      <c r="R33" s="110"/>
      <c r="S33" s="110"/>
      <c r="T33" s="110"/>
      <c r="U33" s="110"/>
      <c r="V33" s="110"/>
      <c r="W33" s="110"/>
      <c r="X33" s="74" t="str">
        <f aca="false">IF(COUNT(P33,R33,T33,V33)=0,"",P33*0.08+R33*0.06+T33*0.03+V33*0.08)</f>
        <v/>
      </c>
      <c r="Y33" s="110"/>
      <c r="Z33" s="110"/>
      <c r="AA33" s="110"/>
      <c r="AB33" s="110"/>
      <c r="AC33" s="110"/>
      <c r="AD33" s="110"/>
      <c r="AE33" s="74" t="str">
        <f aca="false">IF(COUNT(Y33,AA33,AC33)=0,"",Y33*0.02+AA33*0.02+AC33*0.01)</f>
        <v/>
      </c>
      <c r="AF33" s="95" t="str">
        <f aca="false">IF(OR(O33="",X33="",AE33=""),"",(O33+X33+AE33)*20)</f>
        <v/>
      </c>
      <c r="AG33" s="95" t="str">
        <f aca="false">IF(AF33="","",IF(AF33&gt;=80,"STRONG BUY",IF(AF33&gt;=65,"BUY",IF(AF33&gt;=50,"WATCH LIST",IF(AF33&gt;=35,"AVOID","PASS")))))</f>
        <v/>
      </c>
      <c r="AH33" s="95" t="str">
        <f aca="false">IF(N33="","",IF(N33&lt;3,"FAIL","OK"))</f>
        <v>OK</v>
      </c>
      <c r="AI33" s="95" t="str">
        <f aca="false">IF(COUNT(D33:L33)=0,"",IF(COUNTIF(D33:L33,1)&gt;0,"REVIEW","OK"))</f>
        <v>OK</v>
      </c>
      <c r="AJ33" s="95" t="str">
        <f aca="false">IF(COUNT(D33:L33)=0,"",IF(COUNTIF(D33:L33,"&lt;=2")&gt;=2,"AVOID","OK"))</f>
        <v>OK</v>
      </c>
      <c r="AK33" s="95" t="str">
        <f aca="false">IF(COUNTA(E33:M33)=0,"",IF(COUNTIF(E33:M33,"L")&gt;=2,"CAP AT BUY","OK"))</f>
        <v>OK</v>
      </c>
      <c r="AL33" s="117" t="s">
        <v>313</v>
      </c>
      <c r="AM33" s="110" t="s">
        <v>353</v>
      </c>
      <c r="AN33" s="110"/>
      <c r="AO33" s="95"/>
      <c r="AP33" s="110" t="str">
        <f aca="false">IF(OR(AN33="",AO33=""),"",IF(AN33&gt;AO33,"OK","LOW CONF"))</f>
        <v/>
      </c>
      <c r="AQ33" s="110"/>
      <c r="AR33" s="95"/>
      <c r="AS33" s="118" t="str">
        <f aca="false">IF(OR(AQ33="",AR33=""),"",IF(AQ33&lt;AR33,"Decreased",IF(AQ33&gt;AR33,"Increased","Flat")))</f>
        <v/>
      </c>
    </row>
    <row r="34" customFormat="false" ht="15" hidden="false" customHeight="true" outlineLevel="0" collapsed="false">
      <c r="A34" s="72" t="s">
        <v>209</v>
      </c>
      <c r="B34" s="110" t="s">
        <v>354</v>
      </c>
      <c r="C34" s="116" t="n">
        <v>46245</v>
      </c>
      <c r="D34" s="110" t="n">
        <v>5</v>
      </c>
      <c r="E34" s="110" t="s">
        <v>301</v>
      </c>
      <c r="F34" s="110" t="n">
        <v>5</v>
      </c>
      <c r="G34" s="110" t="s">
        <v>301</v>
      </c>
      <c r="H34" s="110" t="n">
        <v>5</v>
      </c>
      <c r="I34" s="110" t="s">
        <v>301</v>
      </c>
      <c r="J34" s="110" t="n">
        <v>4</v>
      </c>
      <c r="K34" s="110" t="s">
        <v>301</v>
      </c>
      <c r="L34" s="110" t="n">
        <v>5</v>
      </c>
      <c r="M34" s="110" t="s">
        <v>301</v>
      </c>
      <c r="N34" s="112" t="n">
        <f aca="false">IF(COUNT(D34,F34,H34,J34,L34)=0,"",(D34*0.2+F34*0.15+H34*0.15+J34*0.1+L34*0.1)/0.7)</f>
        <v>4.85714285714286</v>
      </c>
      <c r="O34" s="95" t="n">
        <f aca="false">IF(COUNT(D34,F34,H34,J34,L34)=0,"",D34*0.2+F34*0.15+H34*0.15+J34*0.1+L34*0.1)</f>
        <v>3.4</v>
      </c>
      <c r="P34" s="110"/>
      <c r="Q34" s="110"/>
      <c r="R34" s="110"/>
      <c r="S34" s="110"/>
      <c r="T34" s="110"/>
      <c r="U34" s="110"/>
      <c r="V34" s="110"/>
      <c r="W34" s="110"/>
      <c r="X34" s="74" t="str">
        <f aca="false">IF(COUNT(P34,R34,T34,V34)=0,"",P34*0.08+R34*0.06+T34*0.03+V34*0.08)</f>
        <v/>
      </c>
      <c r="Y34" s="110"/>
      <c r="Z34" s="110"/>
      <c r="AA34" s="110"/>
      <c r="AB34" s="110"/>
      <c r="AC34" s="110"/>
      <c r="AD34" s="110"/>
      <c r="AE34" s="74" t="str">
        <f aca="false">IF(COUNT(Y34,AA34,AC34)=0,"",Y34*0.02+AA34*0.02+AC34*0.01)</f>
        <v/>
      </c>
      <c r="AF34" s="95" t="str">
        <f aca="false">IF(OR(O34="",X34="",AE34=""),"",(O34+X34+AE34)*20)</f>
        <v/>
      </c>
      <c r="AG34" s="95" t="str">
        <f aca="false">IF(AF34="","",IF(AF34&gt;=80,"STRONG BUY",IF(AF34&gt;=65,"BUY",IF(AF34&gt;=50,"WATCH LIST",IF(AF34&gt;=35,"AVOID","PASS")))))</f>
        <v/>
      </c>
      <c r="AH34" s="95" t="str">
        <f aca="false">IF(N34="","",IF(N34&lt;3,"FAIL","OK"))</f>
        <v>OK</v>
      </c>
      <c r="AI34" s="95" t="str">
        <f aca="false">IF(COUNT(D34:L34)=0,"",IF(COUNTIF(D34:L34,1)&gt;0,"REVIEW","OK"))</f>
        <v>OK</v>
      </c>
      <c r="AJ34" s="95" t="str">
        <f aca="false">IF(COUNT(D34:L34)=0,"",IF(COUNTIF(D34:L34,"&lt;=2")&gt;=2,"AVOID","OK"))</f>
        <v>OK</v>
      </c>
      <c r="AK34" s="95" t="str">
        <f aca="false">IF(COUNTA(E34:M34)=0,"",IF(COUNTIF(E34:M34,"L")&gt;=2,"CAP AT BUY","OK"))</f>
        <v>OK</v>
      </c>
      <c r="AL34" s="117" t="s">
        <v>313</v>
      </c>
      <c r="AM34" s="110" t="s">
        <v>353</v>
      </c>
      <c r="AN34" s="110"/>
      <c r="AO34" s="95"/>
      <c r="AP34" s="110" t="str">
        <f aca="false">IF(OR(AN34="",AO34=""),"",IF(AN34&gt;AO34,"OK","LOW CONF"))</f>
        <v/>
      </c>
      <c r="AQ34" s="110"/>
      <c r="AR34" s="95"/>
      <c r="AS34" s="118" t="str">
        <f aca="false">IF(OR(AQ34="",AR34=""),"",IF(AQ34&lt;AR34,"Decreased",IF(AQ34&gt;AR34,"Increased","Flat")))</f>
        <v/>
      </c>
    </row>
    <row r="35" customFormat="false" ht="15" hidden="true" customHeight="true" outlineLevel="1" collapsed="false">
      <c r="A35" s="72" t="s">
        <v>240</v>
      </c>
      <c r="B35" s="110" t="s">
        <v>355</v>
      </c>
      <c r="C35" s="116" t="n">
        <v>46245</v>
      </c>
      <c r="D35" s="110" t="n">
        <v>1</v>
      </c>
      <c r="E35" s="110" t="s">
        <v>301</v>
      </c>
      <c r="F35" s="110" t="n">
        <v>1</v>
      </c>
      <c r="G35" s="110" t="s">
        <v>301</v>
      </c>
      <c r="H35" s="110" t="n">
        <v>2</v>
      </c>
      <c r="I35" s="110" t="s">
        <v>300</v>
      </c>
      <c r="J35" s="110" t="n">
        <v>2</v>
      </c>
      <c r="K35" s="110" t="s">
        <v>300</v>
      </c>
      <c r="L35" s="110" t="n">
        <v>1</v>
      </c>
      <c r="M35" s="110" t="s">
        <v>301</v>
      </c>
      <c r="N35" s="112" t="n">
        <f aca="false">IF(COUNT(D35,F35,H35,J35,L35)=0,"",(D35*0.2+F35*0.15+H35*0.15+J35*0.1+L35*0.1)/0.7)</f>
        <v>1.35714285714286</v>
      </c>
      <c r="O35" s="95" t="n">
        <f aca="false">IF(COUNT(D35,F35,H35,J35,L35)=0,"",D35*0.2+F35*0.15+H35*0.15+J35*0.1+L35*0.1)</f>
        <v>0.95</v>
      </c>
      <c r="P35" s="110"/>
      <c r="Q35" s="110"/>
      <c r="R35" s="110"/>
      <c r="S35" s="110"/>
      <c r="T35" s="110"/>
      <c r="U35" s="110"/>
      <c r="V35" s="110"/>
      <c r="W35" s="110"/>
      <c r="X35" s="74" t="str">
        <f aca="false">IF(COUNT(P35,R35,T35,V35)=0,"",P35*0.08+R35*0.06+T35*0.03+V35*0.08)</f>
        <v/>
      </c>
      <c r="Y35" s="110"/>
      <c r="Z35" s="110"/>
      <c r="AA35" s="110"/>
      <c r="AB35" s="110"/>
      <c r="AC35" s="110"/>
      <c r="AD35" s="110"/>
      <c r="AE35" s="74" t="str">
        <f aca="false">IF(COUNT(Y35,AA35,AC35)=0,"",Y35*0.02+AA35*0.02+AC35*0.01)</f>
        <v/>
      </c>
      <c r="AF35" s="95" t="str">
        <f aca="false">IF(OR(O35="",X35="",AE35=""),"",(O35+X35+AE35)*20)</f>
        <v/>
      </c>
      <c r="AG35" s="95" t="str">
        <f aca="false">IF(AF35="","",IF(AF35&gt;=80,"STRONG BUY",IF(AF35&gt;=65,"BUY",IF(AF35&gt;=50,"WATCH LIST",IF(AF35&gt;=35,"AVOID","PASS")))))</f>
        <v/>
      </c>
      <c r="AH35" s="95" t="str">
        <f aca="false">IF(N35="","",IF(N35&lt;3,"FAIL","OK"))</f>
        <v>FAIL</v>
      </c>
      <c r="AI35" s="95" t="str">
        <f aca="false">IF(COUNT(D35:L35)=0,"",IF(COUNTIF(D35:L35,1)&gt;0,"REVIEW","OK"))</f>
        <v>REVIEW</v>
      </c>
      <c r="AJ35" s="95" t="str">
        <f aca="false">IF(COUNT(D35:L35)=0,"",IF(COUNTIF(D35:L35,"&lt;=2")&gt;=2,"AVOID","OK"))</f>
        <v>AVOID</v>
      </c>
      <c r="AK35" s="95" t="str">
        <f aca="false">IF(COUNTA(E35:M35)=0,"",IF(COUNTIF(E35:M35,"L")&gt;=2,"CAP AT BUY","OK"))</f>
        <v>OK</v>
      </c>
      <c r="AL35" s="117" t="s">
        <v>313</v>
      </c>
      <c r="AM35" s="110" t="s">
        <v>353</v>
      </c>
      <c r="AN35" s="110"/>
      <c r="AO35" s="95"/>
      <c r="AP35" s="110" t="str">
        <f aca="false">IF(OR(AN35="",AO35=""),"",IF(AN35&gt;AO35,"OK","LOW CONF"))</f>
        <v/>
      </c>
      <c r="AQ35" s="110"/>
      <c r="AR35" s="95"/>
      <c r="AS35" s="118" t="str">
        <f aca="false">IF(OR(AQ35="",AR35=""),"",IF(AQ35&lt;AR35,"Decreased",IF(AQ35&gt;AR35,"Increased","Flat")))</f>
        <v/>
      </c>
    </row>
    <row r="36" customFormat="false" ht="15" hidden="false" customHeight="true" outlineLevel="0" collapsed="false">
      <c r="A36" s="72" t="s">
        <v>247</v>
      </c>
      <c r="B36" s="110" t="s">
        <v>356</v>
      </c>
      <c r="C36" s="116" t="n">
        <v>46245</v>
      </c>
      <c r="D36" s="110" t="n">
        <v>5</v>
      </c>
      <c r="E36" s="110" t="s">
        <v>301</v>
      </c>
      <c r="F36" s="110" t="n">
        <v>4</v>
      </c>
      <c r="G36" s="110" t="s">
        <v>301</v>
      </c>
      <c r="H36" s="110" t="n">
        <v>4</v>
      </c>
      <c r="I36" s="110" t="s">
        <v>300</v>
      </c>
      <c r="J36" s="110" t="n">
        <v>4</v>
      </c>
      <c r="K36" s="110" t="s">
        <v>301</v>
      </c>
      <c r="L36" s="110" t="n">
        <v>4</v>
      </c>
      <c r="M36" s="110" t="s">
        <v>301</v>
      </c>
      <c r="N36" s="112" t="n">
        <f aca="false">IF(COUNT(D36,F36,H36,J36,L36)=0,"",(D36*0.2+F36*0.15+H36*0.15+J36*0.1+L36*0.1)/0.7)</f>
        <v>4.28571428571429</v>
      </c>
      <c r="O36" s="95" t="n">
        <f aca="false">IF(COUNT(D36,F36,H36,J36,L36)=0,"",D36*0.2+F36*0.15+H36*0.15+J36*0.1+L36*0.1)</f>
        <v>3</v>
      </c>
      <c r="P36" s="110"/>
      <c r="Q36" s="110"/>
      <c r="R36" s="110"/>
      <c r="S36" s="110"/>
      <c r="T36" s="110"/>
      <c r="U36" s="110"/>
      <c r="V36" s="110"/>
      <c r="W36" s="110"/>
      <c r="X36" s="74" t="str">
        <f aca="false">IF(COUNT(P36,R36,T36,V36)=0,"",P36*0.08+R36*0.06+T36*0.03+V36*0.08)</f>
        <v/>
      </c>
      <c r="Y36" s="110"/>
      <c r="Z36" s="110"/>
      <c r="AA36" s="110"/>
      <c r="AB36" s="110"/>
      <c r="AC36" s="110"/>
      <c r="AD36" s="110"/>
      <c r="AE36" s="74" t="str">
        <f aca="false">IF(COUNT(Y36,AA36,AC36)=0,"",Y36*0.02+AA36*0.02+AC36*0.01)</f>
        <v/>
      </c>
      <c r="AF36" s="95" t="str">
        <f aca="false">IF(OR(O36="",X36="",AE36=""),"",(O36+X36+AE36)*20)</f>
        <v/>
      </c>
      <c r="AG36" s="95" t="str">
        <f aca="false">IF(AF36="","",IF(AF36&gt;=80,"STRONG BUY",IF(AF36&gt;=65,"BUY",IF(AF36&gt;=50,"WATCH LIST",IF(AF36&gt;=35,"AVOID","PASS")))))</f>
        <v/>
      </c>
      <c r="AH36" s="95" t="str">
        <f aca="false">IF(N36="","",IF(N36&lt;3,"FAIL","OK"))</f>
        <v>OK</v>
      </c>
      <c r="AI36" s="95" t="str">
        <f aca="false">IF(COUNT(D36:L36)=0,"",IF(COUNTIF(D36:L36,1)&gt;0,"REVIEW","OK"))</f>
        <v>OK</v>
      </c>
      <c r="AJ36" s="95" t="str">
        <f aca="false">IF(COUNT(D36:L36)=0,"",IF(COUNTIF(D36:L36,"&lt;=2")&gt;=2,"AVOID","OK"))</f>
        <v>OK</v>
      </c>
      <c r="AK36" s="95" t="str">
        <f aca="false">IF(COUNTA(E36:M36)=0,"",IF(COUNTIF(E36:M36,"L")&gt;=2,"CAP AT BUY","OK"))</f>
        <v>OK</v>
      </c>
      <c r="AL36" s="117" t="s">
        <v>313</v>
      </c>
      <c r="AM36" s="110" t="s">
        <v>353</v>
      </c>
      <c r="AN36" s="110"/>
      <c r="AO36" s="95"/>
      <c r="AP36" s="110" t="str">
        <f aca="false">IF(OR(AN36="",AO36=""),"",IF(AN36&gt;AO36,"OK","LOW CONF"))</f>
        <v/>
      </c>
      <c r="AQ36" s="110"/>
      <c r="AR36" s="95"/>
      <c r="AS36" s="118" t="str">
        <f aca="false">IF(OR(AQ36="",AR36=""),"",IF(AQ36&lt;AR36,"Decreased",IF(AQ36&gt;AR36,"Increased","Flat")))</f>
        <v/>
      </c>
    </row>
    <row r="37" customFormat="false" ht="15" hidden="true" customHeight="true" outlineLevel="1" collapsed="false">
      <c r="A37" s="72" t="s">
        <v>229</v>
      </c>
      <c r="B37" s="110" t="s">
        <v>357</v>
      </c>
      <c r="C37" s="116" t="n">
        <v>46246</v>
      </c>
      <c r="D37" s="110" t="n">
        <v>1</v>
      </c>
      <c r="E37" s="110" t="s">
        <v>301</v>
      </c>
      <c r="F37" s="110" t="n">
        <v>1</v>
      </c>
      <c r="G37" s="110" t="s">
        <v>301</v>
      </c>
      <c r="H37" s="110" t="n">
        <v>3</v>
      </c>
      <c r="I37" s="110" t="s">
        <v>300</v>
      </c>
      <c r="J37" s="110" t="n">
        <v>2</v>
      </c>
      <c r="K37" s="110" t="s">
        <v>300</v>
      </c>
      <c r="L37" s="110" t="n">
        <v>1</v>
      </c>
      <c r="M37" s="110" t="s">
        <v>301</v>
      </c>
      <c r="N37" s="112" t="n">
        <f aca="false">IF(COUNT(D37,F37,H37,J37,L37)=0,"",(D37*0.2+F37*0.15+H37*0.15+J37*0.1+L37*0.1)/0.7)</f>
        <v>1.57142857142857</v>
      </c>
      <c r="O37" s="95" t="n">
        <f aca="false">IF(COUNT(D37,F37,H37,J37,L37)=0,"",D37*0.2+F37*0.15+H37*0.15+J37*0.1+L37*0.1)</f>
        <v>1.1</v>
      </c>
      <c r="P37" s="110"/>
      <c r="Q37" s="110"/>
      <c r="R37" s="110"/>
      <c r="S37" s="110"/>
      <c r="T37" s="110"/>
      <c r="U37" s="110"/>
      <c r="V37" s="110"/>
      <c r="W37" s="110"/>
      <c r="X37" s="74" t="str">
        <f aca="false">IF(COUNT(P37,R37,T37,V37)=0,"",P37*0.08+R37*0.06+T37*0.03+V37*0.08)</f>
        <v/>
      </c>
      <c r="Y37" s="110"/>
      <c r="Z37" s="110"/>
      <c r="AA37" s="110"/>
      <c r="AB37" s="110"/>
      <c r="AC37" s="110"/>
      <c r="AD37" s="110"/>
      <c r="AE37" s="74" t="str">
        <f aca="false">IF(COUNT(Y37,AA37,AC37)=0,"",Y37*0.02+AA37*0.02+AC37*0.01)</f>
        <v/>
      </c>
      <c r="AF37" s="95" t="str">
        <f aca="false">IF(OR(O37="",X37="",AE37=""),"",(O37+X37+AE37)*20)</f>
        <v/>
      </c>
      <c r="AG37" s="95" t="str">
        <f aca="false">IF(AF37="","",IF(AF37&gt;=80,"STRONG BUY",IF(AF37&gt;=65,"BUY",IF(AF37&gt;=50,"WATCH LIST",IF(AF37&gt;=35,"AVOID","PASS")))))</f>
        <v/>
      </c>
      <c r="AH37" s="95" t="str">
        <f aca="false">IF(N37="","",IF(N37&lt;3,"FAIL","OK"))</f>
        <v>FAIL</v>
      </c>
      <c r="AI37" s="95" t="str">
        <f aca="false">IF(COUNT(D37:L37)=0,"",IF(COUNTIF(D37:L37,1)&gt;0,"REVIEW","OK"))</f>
        <v>REVIEW</v>
      </c>
      <c r="AJ37" s="95" t="str">
        <f aca="false">IF(COUNT(D37:L37)=0,"",IF(COUNTIF(D37:L37,"&lt;=2")&gt;=2,"AVOID","OK"))</f>
        <v>AVOID</v>
      </c>
      <c r="AK37" s="95" t="str">
        <f aca="false">IF(COUNTA(E37:M37)=0,"",IF(COUNTIF(E37:M37,"L")&gt;=2,"CAP AT BUY","OK"))</f>
        <v>OK</v>
      </c>
      <c r="AL37" s="117" t="s">
        <v>313</v>
      </c>
      <c r="AM37" s="110" t="s">
        <v>314</v>
      </c>
      <c r="AN37" s="110"/>
      <c r="AO37" s="95"/>
      <c r="AP37" s="110" t="str">
        <f aca="false">IF(OR(AN37="",AO37=""),"",IF(AN37&gt;AO37,"OK","LOW CONF"))</f>
        <v/>
      </c>
      <c r="AQ37" s="110"/>
      <c r="AR37" s="95"/>
      <c r="AS37" s="118" t="str">
        <f aca="false">IF(OR(AQ37="",AR37=""),"",IF(AQ37&lt;AR37,"Decreased",IF(AQ37&gt;AR37,"Increased","Flat")))</f>
        <v/>
      </c>
    </row>
    <row r="38" customFormat="false" ht="15" hidden="true" customHeight="true" outlineLevel="1" collapsed="false">
      <c r="A38" s="72" t="s">
        <v>245</v>
      </c>
      <c r="B38" s="110" t="s">
        <v>358</v>
      </c>
      <c r="C38" s="116" t="n">
        <v>46246</v>
      </c>
      <c r="D38" s="110" t="n">
        <v>3</v>
      </c>
      <c r="E38" s="110" t="s">
        <v>300</v>
      </c>
      <c r="F38" s="110" t="n">
        <v>3</v>
      </c>
      <c r="G38" s="110" t="s">
        <v>300</v>
      </c>
      <c r="H38" s="110" t="n">
        <v>3</v>
      </c>
      <c r="I38" s="110" t="s">
        <v>300</v>
      </c>
      <c r="J38" s="110" t="n">
        <v>2</v>
      </c>
      <c r="K38" s="110" t="s">
        <v>300</v>
      </c>
      <c r="L38" s="110" t="n">
        <v>3</v>
      </c>
      <c r="M38" s="110" t="s">
        <v>300</v>
      </c>
      <c r="N38" s="112" t="n">
        <f aca="false">IF(COUNT(D38,F38,H38,J38,L38)=0,"",(D38*0.2+F38*0.15+H38*0.15+J38*0.1+L38*0.1)/0.7)</f>
        <v>2.85714285714286</v>
      </c>
      <c r="O38" s="95" t="n">
        <f aca="false">IF(COUNT(D38,F38,H38,J38,L38)=0,"",D38*0.2+F38*0.15+H38*0.15+J38*0.1+L38*0.1)</f>
        <v>2</v>
      </c>
      <c r="P38" s="110"/>
      <c r="Q38" s="110"/>
      <c r="R38" s="110"/>
      <c r="S38" s="110"/>
      <c r="T38" s="110"/>
      <c r="U38" s="110"/>
      <c r="V38" s="110"/>
      <c r="W38" s="110"/>
      <c r="X38" s="74" t="str">
        <f aca="false">IF(COUNT(P38,R38,T38,V38)=0,"",P38*0.08+R38*0.06+T38*0.03+V38*0.08)</f>
        <v/>
      </c>
      <c r="Y38" s="110"/>
      <c r="Z38" s="110"/>
      <c r="AA38" s="110"/>
      <c r="AB38" s="110"/>
      <c r="AC38" s="110"/>
      <c r="AD38" s="110"/>
      <c r="AE38" s="74" t="str">
        <f aca="false">IF(COUNT(Y38,AA38,AC38)=0,"",Y38*0.02+AA38*0.02+AC38*0.01)</f>
        <v/>
      </c>
      <c r="AF38" s="95" t="str">
        <f aca="false">IF(OR(O38="",X38="",AE38=""),"",(O38+X38+AE38)*20)</f>
        <v/>
      </c>
      <c r="AG38" s="95" t="str">
        <f aca="false">IF(AF38="","",IF(AF38&gt;=80,"STRONG BUY",IF(AF38&gt;=65,"BUY",IF(AF38&gt;=50,"WATCH LIST",IF(AF38&gt;=35,"AVOID","PASS")))))</f>
        <v/>
      </c>
      <c r="AH38" s="95" t="str">
        <f aca="false">IF(N38="","",IF(N38&lt;3,"FAIL","OK"))</f>
        <v>FAIL</v>
      </c>
      <c r="AI38" s="95" t="str">
        <f aca="false">IF(COUNT(D38:L38)=0,"",IF(COUNTIF(D38:L38,1)&gt;0,"REVIEW","OK"))</f>
        <v>OK</v>
      </c>
      <c r="AJ38" s="95" t="str">
        <f aca="false">IF(COUNT(D38:L38)=0,"",IF(COUNTIF(D38:L38,"&lt;=2")&gt;=2,"AVOID","OK"))</f>
        <v>OK</v>
      </c>
      <c r="AK38" s="95" t="str">
        <f aca="false">IF(COUNTA(E38:M38)=0,"",IF(COUNTIF(E38:M38,"L")&gt;=2,"CAP AT BUY","OK"))</f>
        <v>OK</v>
      </c>
      <c r="AL38" s="117" t="s">
        <v>313</v>
      </c>
      <c r="AM38" s="110" t="s">
        <v>359</v>
      </c>
      <c r="AN38" s="110"/>
      <c r="AO38" s="95"/>
      <c r="AP38" s="110" t="str">
        <f aca="false">IF(OR(AN38="",AO38=""),"",IF(AN38&gt;AO38,"OK","LOW CONF"))</f>
        <v/>
      </c>
      <c r="AQ38" s="110"/>
      <c r="AR38" s="95"/>
      <c r="AS38" s="118" t="str">
        <f aca="false">IF(OR(AQ38="",AR38=""),"",IF(AQ38&lt;AR38,"Decreased",IF(AQ38&gt;AR38,"Increased","Flat")))</f>
        <v/>
      </c>
    </row>
    <row r="39" customFormat="false" ht="15" hidden="true" customHeight="true" outlineLevel="1" collapsed="false">
      <c r="A39" s="72" t="s">
        <v>220</v>
      </c>
      <c r="B39" s="110" t="s">
        <v>360</v>
      </c>
      <c r="C39" s="116" t="n">
        <v>46246</v>
      </c>
      <c r="D39" s="110" t="n">
        <v>2</v>
      </c>
      <c r="E39" s="110" t="s">
        <v>302</v>
      </c>
      <c r="F39" s="110" t="n">
        <v>4</v>
      </c>
      <c r="G39" s="110" t="s">
        <v>301</v>
      </c>
      <c r="H39" s="110" t="n">
        <v>3</v>
      </c>
      <c r="I39" s="110" t="s">
        <v>300</v>
      </c>
      <c r="J39" s="110" t="n">
        <v>2</v>
      </c>
      <c r="K39" s="110" t="s">
        <v>300</v>
      </c>
      <c r="L39" s="110" t="n">
        <v>1</v>
      </c>
      <c r="M39" s="110" t="s">
        <v>301</v>
      </c>
      <c r="N39" s="112" t="n">
        <f aca="false">IF(COUNT(D39,F39,H39,J39,L39)=0,"",(D39*0.2+F39*0.15+H39*0.15+J39*0.1+L39*0.1)/0.7)</f>
        <v>2.5</v>
      </c>
      <c r="O39" s="95" t="n">
        <f aca="false">IF(COUNT(D39,F39,H39,J39,L39)=0,"",D39*0.2+F39*0.15+H39*0.15+J39*0.1+L39*0.1)</f>
        <v>1.75</v>
      </c>
      <c r="P39" s="110"/>
      <c r="Q39" s="110"/>
      <c r="R39" s="110"/>
      <c r="S39" s="110"/>
      <c r="T39" s="110"/>
      <c r="U39" s="110"/>
      <c r="V39" s="110"/>
      <c r="W39" s="110"/>
      <c r="X39" s="74" t="str">
        <f aca="false">IF(COUNT(P39,R39,T39,V39)=0,"",P39*0.08+R39*0.06+T39*0.03+V39*0.08)</f>
        <v/>
      </c>
      <c r="Y39" s="110"/>
      <c r="Z39" s="110"/>
      <c r="AA39" s="110"/>
      <c r="AB39" s="110"/>
      <c r="AC39" s="110"/>
      <c r="AD39" s="110"/>
      <c r="AE39" s="74" t="str">
        <f aca="false">IF(COUNT(Y39,AA39,AC39)=0,"",Y39*0.02+AA39*0.02+AC39*0.01)</f>
        <v/>
      </c>
      <c r="AF39" s="95" t="str">
        <f aca="false">IF(OR(O39="",X39="",AE39=""),"",(O39+X39+AE39)*20)</f>
        <v/>
      </c>
      <c r="AG39" s="95" t="str">
        <f aca="false">IF(AF39="","",IF(AF39&gt;=80,"STRONG BUY",IF(AF39&gt;=65,"BUY",IF(AF39&gt;=50,"WATCH LIST",IF(AF39&gt;=35,"AVOID","PASS")))))</f>
        <v/>
      </c>
      <c r="AH39" s="95" t="str">
        <f aca="false">IF(N39="","",IF(N39&lt;3,"FAIL","OK"))</f>
        <v>FAIL</v>
      </c>
      <c r="AI39" s="95" t="str">
        <f aca="false">IF(COUNT(D39:L39)=0,"",IF(COUNTIF(D39:L39,1)&gt;0,"REVIEW","OK"))</f>
        <v>REVIEW</v>
      </c>
      <c r="AJ39" s="95" t="str">
        <f aca="false">IF(COUNT(D39:L39)=0,"",IF(COUNTIF(D39:L39,"&lt;=2")&gt;=2,"AVOID","OK"))</f>
        <v>AVOID</v>
      </c>
      <c r="AK39" s="95" t="str">
        <f aca="false">IF(COUNTA(E39:M39)=0,"",IF(COUNTIF(E39:M39,"L")&gt;=2,"CAP AT BUY","OK"))</f>
        <v>OK</v>
      </c>
      <c r="AL39" s="117" t="s">
        <v>313</v>
      </c>
      <c r="AM39" s="110" t="s">
        <v>359</v>
      </c>
      <c r="AN39" s="110"/>
      <c r="AO39" s="95"/>
      <c r="AP39" s="110" t="str">
        <f aca="false">IF(OR(AN39="",AO39=""),"",IF(AN39&gt;AO39,"OK","LOW CONF"))</f>
        <v/>
      </c>
      <c r="AQ39" s="110"/>
      <c r="AR39" s="95"/>
      <c r="AS39" s="118" t="str">
        <f aca="false">IF(OR(AQ39="",AR39=""),"",IF(AQ39&lt;AR39,"Decreased",IF(AQ39&gt;AR39,"Increased","Flat")))</f>
        <v/>
      </c>
    </row>
    <row r="40" customFormat="false" ht="15" hidden="true" customHeight="true" outlineLevel="1" collapsed="false">
      <c r="A40" s="72" t="s">
        <v>196</v>
      </c>
      <c r="B40" s="110" t="s">
        <v>361</v>
      </c>
      <c r="C40" s="116" t="n">
        <v>46246</v>
      </c>
      <c r="D40" s="110" t="n">
        <v>1</v>
      </c>
      <c r="E40" s="110" t="s">
        <v>301</v>
      </c>
      <c r="F40" s="110" t="n">
        <v>1</v>
      </c>
      <c r="G40" s="110" t="s">
        <v>301</v>
      </c>
      <c r="H40" s="110" t="n">
        <v>2</v>
      </c>
      <c r="I40" s="110" t="s">
        <v>300</v>
      </c>
      <c r="J40" s="110" t="n">
        <v>2</v>
      </c>
      <c r="K40" s="110" t="s">
        <v>300</v>
      </c>
      <c r="L40" s="110" t="n">
        <v>1</v>
      </c>
      <c r="M40" s="110" t="s">
        <v>301</v>
      </c>
      <c r="N40" s="112" t="n">
        <f aca="false">IF(COUNT(D40,F40,H40,J40,L40)=0,"",(D40*0.2+F40*0.15+H40*0.15+J40*0.1+L40*0.1)/0.7)</f>
        <v>1.35714285714286</v>
      </c>
      <c r="O40" s="95" t="n">
        <f aca="false">IF(COUNT(D40,F40,H40,J40,L40)=0,"",D40*0.2+F40*0.15+H40*0.15+J40*0.1+L40*0.1)</f>
        <v>0.95</v>
      </c>
      <c r="P40" s="110"/>
      <c r="Q40" s="110"/>
      <c r="R40" s="110"/>
      <c r="S40" s="110"/>
      <c r="T40" s="110"/>
      <c r="U40" s="110"/>
      <c r="V40" s="110"/>
      <c r="W40" s="110"/>
      <c r="X40" s="74" t="str">
        <f aca="false">IF(COUNT(P40,R40,T40,V40)=0,"",P40*0.08+R40*0.06+T40*0.03+V40*0.08)</f>
        <v/>
      </c>
      <c r="Y40" s="110"/>
      <c r="Z40" s="110"/>
      <c r="AA40" s="110"/>
      <c r="AB40" s="110"/>
      <c r="AC40" s="110"/>
      <c r="AD40" s="110"/>
      <c r="AE40" s="74" t="str">
        <f aca="false">IF(COUNT(Y40,AA40,AC40)=0,"",Y40*0.02+AA40*0.02+AC40*0.01)</f>
        <v/>
      </c>
      <c r="AF40" s="95" t="str">
        <f aca="false">IF(OR(O40="",X40="",AE40=""),"",(O40+X40+AE40)*20)</f>
        <v/>
      </c>
      <c r="AG40" s="95" t="str">
        <f aca="false">IF(AF40="","",IF(AF40&gt;=80,"STRONG BUY",IF(AF40&gt;=65,"BUY",IF(AF40&gt;=50,"WATCH LIST",IF(AF40&gt;=35,"AVOID","PASS")))))</f>
        <v/>
      </c>
      <c r="AH40" s="95" t="str">
        <f aca="false">IF(N40="","",IF(N40&lt;3,"FAIL","OK"))</f>
        <v>FAIL</v>
      </c>
      <c r="AI40" s="95" t="str">
        <f aca="false">IF(COUNT(D40:L40)=0,"",IF(COUNTIF(D40:L40,1)&gt;0,"REVIEW","OK"))</f>
        <v>REVIEW</v>
      </c>
      <c r="AJ40" s="95" t="str">
        <f aca="false">IF(COUNT(D40:L40)=0,"",IF(COUNTIF(D40:L40,"&lt;=2")&gt;=2,"AVOID","OK"))</f>
        <v>AVOID</v>
      </c>
      <c r="AK40" s="95" t="str">
        <f aca="false">IF(COUNTA(E40:M40)=0,"",IF(COUNTIF(E40:M40,"L")&gt;=2,"CAP AT BUY","OK"))</f>
        <v>OK</v>
      </c>
      <c r="AL40" s="117" t="s">
        <v>313</v>
      </c>
      <c r="AM40" s="110" t="s">
        <v>362</v>
      </c>
      <c r="AN40" s="110"/>
      <c r="AO40" s="95"/>
      <c r="AP40" s="110" t="str">
        <f aca="false">IF(OR(AN40="",AO40=""),"",IF(AN40&gt;AO40,"OK","LOW CONF"))</f>
        <v/>
      </c>
      <c r="AQ40" s="110"/>
      <c r="AR40" s="95"/>
      <c r="AS40" s="118" t="str">
        <f aca="false">IF(OR(AQ40="",AR40=""),"",IF(AQ40&lt;AR40,"Decreased",IF(AQ40&gt;AR40,"Increased","Flat")))</f>
        <v/>
      </c>
    </row>
    <row r="41" customFormat="false" ht="15" hidden="true" customHeight="true" outlineLevel="1" collapsed="false">
      <c r="A41" s="72" t="s">
        <v>198</v>
      </c>
      <c r="B41" s="110" t="s">
        <v>363</v>
      </c>
      <c r="C41" s="116" t="n">
        <v>46246</v>
      </c>
      <c r="D41" s="110" t="n">
        <v>2</v>
      </c>
      <c r="E41" s="110" t="s">
        <v>300</v>
      </c>
      <c r="F41" s="110" t="n">
        <v>3</v>
      </c>
      <c r="G41" s="110" t="s">
        <v>301</v>
      </c>
      <c r="H41" s="110" t="n">
        <v>4</v>
      </c>
      <c r="I41" s="110" t="s">
        <v>300</v>
      </c>
      <c r="J41" s="110" t="n">
        <v>3</v>
      </c>
      <c r="K41" s="110" t="s">
        <v>300</v>
      </c>
      <c r="L41" s="110" t="n">
        <v>2</v>
      </c>
      <c r="M41" s="110" t="s">
        <v>301</v>
      </c>
      <c r="N41" s="112" t="n">
        <f aca="false">IF(COUNT(D41,F41,H41,J41,L41)=0,"",(D41*0.2+F41*0.15+H41*0.15+J41*0.1+L41*0.1)/0.7)</f>
        <v>2.78571428571429</v>
      </c>
      <c r="O41" s="95" t="n">
        <f aca="false">IF(COUNT(D41,F41,H41,J41,L41)=0,"",D41*0.2+F41*0.15+H41*0.15+J41*0.1+L41*0.1)</f>
        <v>1.95</v>
      </c>
      <c r="P41" s="110"/>
      <c r="Q41" s="110"/>
      <c r="R41" s="110"/>
      <c r="S41" s="110"/>
      <c r="T41" s="110"/>
      <c r="U41" s="110"/>
      <c r="V41" s="110"/>
      <c r="W41" s="110"/>
      <c r="X41" s="74" t="str">
        <f aca="false">IF(COUNT(P41,R41,T41,V41)=0,"",P41*0.08+R41*0.06+T41*0.03+V41*0.08)</f>
        <v/>
      </c>
      <c r="Y41" s="110"/>
      <c r="Z41" s="110"/>
      <c r="AA41" s="110"/>
      <c r="AB41" s="110"/>
      <c r="AC41" s="110"/>
      <c r="AD41" s="110"/>
      <c r="AE41" s="74" t="str">
        <f aca="false">IF(COUNT(Y41,AA41,AC41)=0,"",Y41*0.02+AA41*0.02+AC41*0.01)</f>
        <v/>
      </c>
      <c r="AF41" s="95" t="str">
        <f aca="false">IF(OR(O41="",X41="",AE41=""),"",(O41+X41+AE41)*20)</f>
        <v/>
      </c>
      <c r="AG41" s="95" t="str">
        <f aca="false">IF(AF41="","",IF(AF41&gt;=80,"STRONG BUY",IF(AF41&gt;=65,"BUY",IF(AF41&gt;=50,"WATCH LIST",IF(AF41&gt;=35,"AVOID","PASS")))))</f>
        <v/>
      </c>
      <c r="AH41" s="95" t="str">
        <f aca="false">IF(N41="","",IF(N41&lt;3,"FAIL","OK"))</f>
        <v>FAIL</v>
      </c>
      <c r="AI41" s="95" t="str">
        <f aca="false">IF(COUNT(D41:L41)=0,"",IF(COUNTIF(D41:L41,1)&gt;0,"REVIEW","OK"))</f>
        <v>OK</v>
      </c>
      <c r="AJ41" s="95" t="str">
        <f aca="false">IF(COUNT(D41:L41)=0,"",IF(COUNTIF(D41:L41,"&lt;=2")&gt;=2,"AVOID","OK"))</f>
        <v>AVOID</v>
      </c>
      <c r="AK41" s="95" t="str">
        <f aca="false">IF(COUNTA(E41:M41)=0,"",IF(COUNTIF(E41:M41,"L")&gt;=2,"CAP AT BUY","OK"))</f>
        <v>OK</v>
      </c>
      <c r="AL41" s="117" t="s">
        <v>313</v>
      </c>
      <c r="AM41" s="110" t="s">
        <v>364</v>
      </c>
      <c r="AN41" s="110"/>
      <c r="AO41" s="95"/>
      <c r="AP41" s="110" t="str">
        <f aca="false">IF(OR(AN41="",AO41=""),"",IF(AN41&gt;AO41,"OK","LOW CONF"))</f>
        <v/>
      </c>
      <c r="AQ41" s="110"/>
      <c r="AR41" s="95"/>
      <c r="AS41" s="118" t="str">
        <f aca="false">IF(OR(AQ41="",AR41=""),"",IF(AQ41&lt;AR41,"Decreased",IF(AQ41&gt;AR41,"Increased","Flat")))</f>
        <v/>
      </c>
    </row>
    <row r="42" customFormat="false" ht="15" hidden="false" customHeight="true" outlineLevel="0" collapsed="false">
      <c r="A42" s="72" t="s">
        <v>216</v>
      </c>
      <c r="B42" s="110" t="s">
        <v>365</v>
      </c>
      <c r="C42" s="116" t="n">
        <v>46246</v>
      </c>
      <c r="D42" s="110" t="n">
        <v>4</v>
      </c>
      <c r="E42" s="110" t="s">
        <v>301</v>
      </c>
      <c r="F42" s="110" t="n">
        <v>3</v>
      </c>
      <c r="G42" s="110" t="s">
        <v>301</v>
      </c>
      <c r="H42" s="110" t="n">
        <v>3</v>
      </c>
      <c r="I42" s="110" t="s">
        <v>300</v>
      </c>
      <c r="J42" s="110" t="n">
        <v>3</v>
      </c>
      <c r="K42" s="110" t="s">
        <v>300</v>
      </c>
      <c r="L42" s="110" t="n">
        <v>4</v>
      </c>
      <c r="M42" s="110" t="s">
        <v>301</v>
      </c>
      <c r="N42" s="112" t="n">
        <f aca="false">IF(COUNT(D42,F42,H42,J42,L42)=0,"",(D42*0.2+F42*0.15+H42*0.15+J42*0.1+L42*0.1)/0.7)</f>
        <v>3.42857142857143</v>
      </c>
      <c r="O42" s="95" t="n">
        <f aca="false">IF(COUNT(D42,F42,H42,J42,L42)=0,"",D42*0.2+F42*0.15+H42*0.15+J42*0.1+L42*0.1)</f>
        <v>2.4</v>
      </c>
      <c r="P42" s="110"/>
      <c r="Q42" s="110"/>
      <c r="R42" s="110"/>
      <c r="S42" s="110"/>
      <c r="T42" s="110"/>
      <c r="U42" s="110"/>
      <c r="V42" s="110"/>
      <c r="W42" s="110"/>
      <c r="X42" s="74" t="str">
        <f aca="false">IF(COUNT(P42,R42,T42,V42)=0,"",P42*0.08+R42*0.06+T42*0.03+V42*0.08)</f>
        <v/>
      </c>
      <c r="Y42" s="110"/>
      <c r="Z42" s="110"/>
      <c r="AA42" s="110"/>
      <c r="AB42" s="110"/>
      <c r="AC42" s="110"/>
      <c r="AD42" s="110"/>
      <c r="AE42" s="74" t="str">
        <f aca="false">IF(COUNT(Y42,AA42,AC42)=0,"",Y42*0.02+AA42*0.02+AC42*0.01)</f>
        <v/>
      </c>
      <c r="AF42" s="95" t="str">
        <f aca="false">IF(OR(O42="",X42="",AE42=""),"",(O42+X42+AE42)*20)</f>
        <v/>
      </c>
      <c r="AG42" s="95" t="str">
        <f aca="false">IF(AF42="","",IF(AF42&gt;=80,"STRONG BUY",IF(AF42&gt;=65,"BUY",IF(AF42&gt;=50,"WATCH LIST",IF(AF42&gt;=35,"AVOID","PASS")))))</f>
        <v/>
      </c>
      <c r="AH42" s="95" t="str">
        <f aca="false">IF(N42="","",IF(N42&lt;3,"FAIL","OK"))</f>
        <v>OK</v>
      </c>
      <c r="AI42" s="95" t="str">
        <f aca="false">IF(COUNT(D42:L42)=0,"",IF(COUNTIF(D42:L42,1)&gt;0,"REVIEW","OK"))</f>
        <v>OK</v>
      </c>
      <c r="AJ42" s="95" t="str">
        <f aca="false">IF(COUNT(D42:L42)=0,"",IF(COUNTIF(D42:L42,"&lt;=2")&gt;=2,"AVOID","OK"))</f>
        <v>OK</v>
      </c>
      <c r="AK42" s="95" t="str">
        <f aca="false">IF(COUNTA(E42:M42)=0,"",IF(COUNTIF(E42:M42,"L")&gt;=2,"CAP AT BUY","OK"))</f>
        <v>OK</v>
      </c>
      <c r="AL42" s="117" t="s">
        <v>313</v>
      </c>
      <c r="AM42" s="110" t="s">
        <v>364</v>
      </c>
      <c r="AN42" s="110"/>
      <c r="AO42" s="95"/>
      <c r="AP42" s="110" t="str">
        <f aca="false">IF(OR(AN42="",AO42=""),"",IF(AN42&gt;AO42,"OK","LOW CONF"))</f>
        <v/>
      </c>
      <c r="AQ42" s="110"/>
      <c r="AR42" s="95"/>
      <c r="AS42" s="118" t="str">
        <f aca="false">IF(OR(AQ42="",AR42=""),"",IF(AQ42&lt;AR42,"Decreased",IF(AQ42&gt;AR42,"Increased","Flat")))</f>
        <v/>
      </c>
    </row>
    <row r="43" customFormat="false" ht="15" hidden="false" customHeight="true" outlineLevel="0" collapsed="false">
      <c r="A43" s="72" t="s">
        <v>218</v>
      </c>
      <c r="B43" s="110" t="s">
        <v>366</v>
      </c>
      <c r="C43" s="116" t="n">
        <v>46247</v>
      </c>
      <c r="D43" s="110" t="n">
        <v>3</v>
      </c>
      <c r="E43" s="110" t="s">
        <v>300</v>
      </c>
      <c r="F43" s="110" t="n">
        <v>5</v>
      </c>
      <c r="G43" s="110" t="s">
        <v>300</v>
      </c>
      <c r="H43" s="110" t="n">
        <v>5</v>
      </c>
      <c r="I43" s="110" t="s">
        <v>300</v>
      </c>
      <c r="J43" s="110" t="n">
        <v>4</v>
      </c>
      <c r="K43" s="110" t="s">
        <v>300</v>
      </c>
      <c r="L43" s="110" t="n">
        <v>2</v>
      </c>
      <c r="M43" s="110" t="s">
        <v>300</v>
      </c>
      <c r="N43" s="112" t="n">
        <f aca="false">IF(COUNT(D43,F43,H43,J43,L43)=0,"",(D43*0.2+F43*0.15+H43*0.15+J43*0.1+L43*0.1)/0.7)</f>
        <v>3.85714285714286</v>
      </c>
      <c r="O43" s="95" t="n">
        <f aca="false">IF(COUNT(D43,F43,H43,J43,L43)=0,"",D43*0.2+F43*0.15+H43*0.15+J43*0.1+L43*0.1)</f>
        <v>2.7</v>
      </c>
      <c r="P43" s="110"/>
      <c r="Q43" s="110"/>
      <c r="R43" s="110"/>
      <c r="S43" s="110"/>
      <c r="T43" s="110"/>
      <c r="U43" s="110"/>
      <c r="V43" s="110"/>
      <c r="W43" s="110"/>
      <c r="X43" s="74" t="str">
        <f aca="false">IF(COUNT(P43,R43,T43,V43)=0,"",P43*0.08+R43*0.06+T43*0.03+V43*0.08)</f>
        <v/>
      </c>
      <c r="Y43" s="110"/>
      <c r="Z43" s="110"/>
      <c r="AA43" s="110" t="n">
        <v>4</v>
      </c>
      <c r="AB43" s="110" t="s">
        <v>300</v>
      </c>
      <c r="AC43" s="110"/>
      <c r="AD43" s="110"/>
      <c r="AE43" s="74" t="n">
        <f aca="false">IF(COUNT(Y43,AA43,AC43)=0,"",Y43*0.02+AA43*0.02+AC43*0.01)</f>
        <v>0.08</v>
      </c>
      <c r="AF43" s="95" t="str">
        <f aca="false">IF(OR(O43="",X43="",AE43=""),"",(O43+X43+AE43)*20)</f>
        <v/>
      </c>
      <c r="AG43" s="95" t="str">
        <f aca="false">IF(AF43="","",IF(AF43&gt;=80,"STRONG BUY",IF(AF43&gt;=65,"BUY",IF(AF43&gt;=50,"WATCH LIST",IF(AF43&gt;=35,"AVOID","PASS")))))</f>
        <v/>
      </c>
      <c r="AH43" s="95" t="str">
        <f aca="false">IF(N43="","",IF(N43&lt;3,"FAIL","OK"))</f>
        <v>OK</v>
      </c>
      <c r="AI43" s="95" t="str">
        <f aca="false">IF(COUNT(D43:L43)=0,"",IF(COUNTIF(D43:L43,1)&gt;0,"REVIEW","OK"))</f>
        <v>OK</v>
      </c>
      <c r="AJ43" s="95" t="str">
        <f aca="false">IF(COUNT(D43:L43)=0,"",IF(COUNTIF(D43:L43,"&lt;=2")&gt;=2,"AVOID","OK"))</f>
        <v>OK</v>
      </c>
      <c r="AK43" s="95" t="str">
        <f aca="false">IF(COUNTA(E43:M43)=0,"",IF(COUNTIF(E43:M43,"L")&gt;=2,"CAP AT BUY","OK"))</f>
        <v>OK</v>
      </c>
      <c r="AL43" s="117" t="s">
        <v>320</v>
      </c>
      <c r="AM43" s="110" t="s">
        <v>367</v>
      </c>
      <c r="AN43" s="110"/>
      <c r="AO43" s="95"/>
      <c r="AP43" s="110" t="str">
        <f aca="false">IF(OR(AN43="",AO43=""),"",IF(AN43&gt;AO43,"OK","LOW CONF"))</f>
        <v/>
      </c>
      <c r="AQ43" s="110"/>
      <c r="AR43" s="95"/>
      <c r="AS43" s="118" t="str">
        <f aca="false">IF(OR(AQ43="",AR43=""),"",IF(AQ43&lt;AR43,"Decreased",IF(AQ43&gt;AR43,"Increased","Flat")))</f>
        <v/>
      </c>
    </row>
    <row r="44" customFormat="false" ht="15" hidden="false" customHeight="true" outlineLevel="0" collapsed="false">
      <c r="A44" s="72" t="s">
        <v>238</v>
      </c>
      <c r="B44" s="110" t="s">
        <v>368</v>
      </c>
      <c r="C44" s="116" t="n">
        <v>46247</v>
      </c>
      <c r="D44" s="110" t="n">
        <v>4</v>
      </c>
      <c r="E44" s="110" t="s">
        <v>300</v>
      </c>
      <c r="F44" s="110" t="n">
        <v>3</v>
      </c>
      <c r="G44" s="110" t="s">
        <v>300</v>
      </c>
      <c r="H44" s="110" t="n">
        <v>3</v>
      </c>
      <c r="I44" s="110" t="s">
        <v>300</v>
      </c>
      <c r="J44" s="110" t="n">
        <v>2</v>
      </c>
      <c r="K44" s="110" t="s">
        <v>300</v>
      </c>
      <c r="L44" s="110" t="n">
        <v>4</v>
      </c>
      <c r="M44" s="110" t="s">
        <v>300</v>
      </c>
      <c r="N44" s="112" t="n">
        <f aca="false">IF(COUNT(D44,F44,H44,J44,L44)=0,"",(D44*0.2+F44*0.15+H44*0.15+J44*0.1+L44*0.1)/0.7)</f>
        <v>3.28571428571429</v>
      </c>
      <c r="O44" s="95" t="n">
        <f aca="false">IF(COUNT(D44,F44,H44,J44,L44)=0,"",D44*0.2+F44*0.15+H44*0.15+J44*0.1+L44*0.1)</f>
        <v>2.3</v>
      </c>
      <c r="P44" s="110"/>
      <c r="Q44" s="110"/>
      <c r="R44" s="110"/>
      <c r="S44" s="110"/>
      <c r="T44" s="110"/>
      <c r="U44" s="110"/>
      <c r="V44" s="110"/>
      <c r="W44" s="110"/>
      <c r="X44" s="74" t="str">
        <f aca="false">IF(COUNT(P44,R44,T44,V44)=0,"",P44*0.08+R44*0.06+T44*0.03+V44*0.08)</f>
        <v/>
      </c>
      <c r="Y44" s="110"/>
      <c r="Z44" s="110"/>
      <c r="AA44" s="110" t="n">
        <v>4</v>
      </c>
      <c r="AB44" s="110" t="s">
        <v>300</v>
      </c>
      <c r="AC44" s="110"/>
      <c r="AD44" s="110"/>
      <c r="AE44" s="74" t="n">
        <f aca="false">IF(COUNT(Y44,AA44,AC44)=0,"",Y44*0.02+AA44*0.02+AC44*0.01)</f>
        <v>0.08</v>
      </c>
      <c r="AF44" s="95" t="str">
        <f aca="false">IF(OR(O44="",X44="",AE44=""),"",(O44+X44+AE44)*20)</f>
        <v/>
      </c>
      <c r="AG44" s="95" t="str">
        <f aca="false">IF(AF44="","",IF(AF44&gt;=80,"STRONG BUY",IF(AF44&gt;=65,"BUY",IF(AF44&gt;=50,"WATCH LIST",IF(AF44&gt;=35,"AVOID","PASS")))))</f>
        <v/>
      </c>
      <c r="AH44" s="95" t="str">
        <f aca="false">IF(N44="","",IF(N44&lt;3,"FAIL","OK"))</f>
        <v>OK</v>
      </c>
      <c r="AI44" s="95" t="str">
        <f aca="false">IF(COUNT(D44:L44)=0,"",IF(COUNTIF(D44:L44,1)&gt;0,"REVIEW","OK"))</f>
        <v>OK</v>
      </c>
      <c r="AJ44" s="95" t="str">
        <f aca="false">IF(COUNT(D44:L44)=0,"",IF(COUNTIF(D44:L44,"&lt;=2")&gt;=2,"AVOID","OK"))</f>
        <v>OK</v>
      </c>
      <c r="AK44" s="95" t="str">
        <f aca="false">IF(COUNTA(E44:M44)=0,"",IF(COUNTIF(E44:M44,"L")&gt;=2,"CAP AT BUY","OK"))</f>
        <v>OK</v>
      </c>
      <c r="AL44" s="117" t="s">
        <v>320</v>
      </c>
      <c r="AM44" s="110" t="s">
        <v>369</v>
      </c>
      <c r="AN44" s="110"/>
      <c r="AO44" s="95"/>
      <c r="AP44" s="110" t="str">
        <f aca="false">IF(OR(AN44="",AO44=""),"",IF(AN44&gt;AO44,"OK","LOW CONF"))</f>
        <v/>
      </c>
      <c r="AQ44" s="110"/>
      <c r="AR44" s="95"/>
      <c r="AS44" s="118" t="str">
        <f aca="false">IF(OR(AQ44="",AR44=""),"",IF(AQ44&lt;AR44,"Decreased",IF(AQ44&gt;AR44,"Increased","Flat")))</f>
        <v/>
      </c>
    </row>
    <row r="45" customFormat="false" ht="15" hidden="false" customHeight="true" outlineLevel="0" collapsed="false">
      <c r="A45" s="72" t="s">
        <v>214</v>
      </c>
      <c r="B45" s="110" t="s">
        <v>370</v>
      </c>
      <c r="C45" s="116" t="n">
        <v>46247</v>
      </c>
      <c r="D45" s="110" t="n">
        <v>4</v>
      </c>
      <c r="E45" s="110" t="s">
        <v>300</v>
      </c>
      <c r="F45" s="110" t="n">
        <v>3</v>
      </c>
      <c r="G45" s="110" t="s">
        <v>300</v>
      </c>
      <c r="H45" s="110" t="n">
        <v>4</v>
      </c>
      <c r="I45" s="110" t="s">
        <v>300</v>
      </c>
      <c r="J45" s="110" t="n">
        <v>3</v>
      </c>
      <c r="K45" s="110" t="s">
        <v>300</v>
      </c>
      <c r="L45" s="110" t="n">
        <v>3</v>
      </c>
      <c r="M45" s="110" t="s">
        <v>300</v>
      </c>
      <c r="N45" s="112" t="n">
        <f aca="false">IF(COUNT(D45,F45,H45,J45,L45)=0,"",(D45*0.2+F45*0.15+H45*0.15+J45*0.1+L45*0.1)/0.7)</f>
        <v>3.5</v>
      </c>
      <c r="O45" s="95" t="n">
        <f aca="false">IF(COUNT(D45,F45,H45,J45,L45)=0,"",D45*0.2+F45*0.15+H45*0.15+J45*0.1+L45*0.1)</f>
        <v>2.45</v>
      </c>
      <c r="P45" s="110"/>
      <c r="Q45" s="110"/>
      <c r="R45" s="110"/>
      <c r="S45" s="110"/>
      <c r="T45" s="110"/>
      <c r="U45" s="110"/>
      <c r="V45" s="110"/>
      <c r="W45" s="110"/>
      <c r="X45" s="74" t="str">
        <f aca="false">IF(COUNT(P45,R45,T45,V45)=0,"",P45*0.08+R45*0.06+T45*0.03+V45*0.08)</f>
        <v/>
      </c>
      <c r="Y45" s="110"/>
      <c r="Z45" s="110"/>
      <c r="AA45" s="110" t="n">
        <v>4</v>
      </c>
      <c r="AB45" s="110" t="s">
        <v>300</v>
      </c>
      <c r="AC45" s="110"/>
      <c r="AD45" s="110"/>
      <c r="AE45" s="74" t="n">
        <f aca="false">IF(COUNT(Y45,AA45,AC45)=0,"",Y45*0.02+AA45*0.02+AC45*0.01)</f>
        <v>0.08</v>
      </c>
      <c r="AF45" s="95" t="str">
        <f aca="false">IF(OR(O45="",X45="",AE45=""),"",(O45+X45+AE45)*20)</f>
        <v/>
      </c>
      <c r="AG45" s="95" t="str">
        <f aca="false">IF(AF45="","",IF(AF45&gt;=80,"STRONG BUY",IF(AF45&gt;=65,"BUY",IF(AF45&gt;=50,"WATCH LIST",IF(AF45&gt;=35,"AVOID","PASS")))))</f>
        <v/>
      </c>
      <c r="AH45" s="95" t="str">
        <f aca="false">IF(N45="","",IF(N45&lt;3,"FAIL","OK"))</f>
        <v>OK</v>
      </c>
      <c r="AI45" s="95" t="str">
        <f aca="false">IF(COUNT(D45:L45)=0,"",IF(COUNTIF(D45:L45,1)&gt;0,"REVIEW","OK"))</f>
        <v>OK</v>
      </c>
      <c r="AJ45" s="95" t="str">
        <f aca="false">IF(COUNT(D45:L45)=0,"",IF(COUNTIF(D45:L45,"&lt;=2")&gt;=2,"AVOID","OK"))</f>
        <v>OK</v>
      </c>
      <c r="AK45" s="95" t="str">
        <f aca="false">IF(COUNTA(E45:M45)=0,"",IF(COUNTIF(E45:M45,"L")&gt;=2,"CAP AT BUY","OK"))</f>
        <v>OK</v>
      </c>
      <c r="AL45" s="117" t="s">
        <v>320</v>
      </c>
      <c r="AM45" s="110" t="s">
        <v>369</v>
      </c>
      <c r="AN45" s="110"/>
      <c r="AO45" s="95"/>
      <c r="AP45" s="110" t="str">
        <f aca="false">IF(OR(AN45="",AO45=""),"",IF(AN45&gt;AO45,"OK","LOW CONF"))</f>
        <v/>
      </c>
      <c r="AQ45" s="110"/>
      <c r="AR45" s="95"/>
      <c r="AS45" s="118" t="str">
        <f aca="false">IF(OR(AQ45="",AR45=""),"",IF(AQ45&lt;AR45,"Decreased",IF(AQ45&gt;AR45,"Increased","Flat")))</f>
        <v/>
      </c>
    </row>
    <row r="46" customFormat="false" ht="15" hidden="true" customHeight="true" outlineLevel="1" collapsed="false">
      <c r="A46" s="72" t="s">
        <v>207</v>
      </c>
      <c r="B46" s="110" t="s">
        <v>371</v>
      </c>
      <c r="C46" s="116" t="n">
        <v>46258</v>
      </c>
      <c r="D46" s="110" t="n">
        <v>4</v>
      </c>
      <c r="E46" s="110" t="s">
        <v>300</v>
      </c>
      <c r="F46" s="110" t="n">
        <v>2</v>
      </c>
      <c r="G46" s="110" t="s">
        <v>300</v>
      </c>
      <c r="H46" s="110" t="n">
        <v>3</v>
      </c>
      <c r="I46" s="110" t="s">
        <v>300</v>
      </c>
      <c r="J46" s="110" t="n">
        <v>2</v>
      </c>
      <c r="K46" s="110" t="s">
        <v>300</v>
      </c>
      <c r="L46" s="110" t="n">
        <v>3</v>
      </c>
      <c r="M46" s="110" t="s">
        <v>300</v>
      </c>
      <c r="N46" s="112" t="n">
        <f aca="false">IF(COUNT(D46,F46,H46,J46,L46)=0,"",(D46*0.2+F46*0.15+H46*0.15+J46*0.1+L46*0.1)/0.7)</f>
        <v>2.92857142857143</v>
      </c>
      <c r="O46" s="95" t="n">
        <f aca="false">IF(COUNT(D46,F46,H46,J46,L46)=0,"",D46*0.2+F46*0.15+H46*0.15+J46*0.1+L46*0.1)</f>
        <v>2.05</v>
      </c>
      <c r="P46" s="110"/>
      <c r="Q46" s="110"/>
      <c r="R46" s="110"/>
      <c r="S46" s="110"/>
      <c r="T46" s="110"/>
      <c r="U46" s="110"/>
      <c r="V46" s="110"/>
      <c r="W46" s="110"/>
      <c r="X46" s="74" t="str">
        <f aca="false">IF(COUNT(P46,R46,T46,V46)=0,"",P46*0.08+R46*0.06+T46*0.03+V46*0.08)</f>
        <v/>
      </c>
      <c r="Y46" s="110"/>
      <c r="Z46" s="110"/>
      <c r="AA46" s="110"/>
      <c r="AB46" s="110"/>
      <c r="AC46" s="110"/>
      <c r="AD46" s="110"/>
      <c r="AE46" s="74" t="str">
        <f aca="false">IF(COUNT(Y46,AA46,AC46)=0,"",Y46*0.02+AA46*0.02+AC46*0.01)</f>
        <v/>
      </c>
      <c r="AF46" s="95" t="str">
        <f aca="false">IF(OR(O46="",X46="",AE46=""),"",(O46+X46+AE46)*20)</f>
        <v/>
      </c>
      <c r="AG46" s="95" t="str">
        <f aca="false">IF(AF46="","",IF(AF46&gt;=80,"STRONG BUY",IF(AF46&gt;=65,"BUY",IF(AF46&gt;=50,"WATCH LIST",IF(AF46&gt;=35,"AVOID","PASS")))))</f>
        <v/>
      </c>
      <c r="AH46" s="95" t="str">
        <f aca="false">IF(N46="","",IF(N46&lt;3,"FAIL","OK"))</f>
        <v>FAIL</v>
      </c>
      <c r="AI46" s="95" t="str">
        <f aca="false">IF(COUNT(D46:L46)=0,"",IF(COUNTIF(D46:L46,1)&gt;0,"REVIEW","OK"))</f>
        <v>OK</v>
      </c>
      <c r="AJ46" s="95" t="str">
        <f aca="false">IF(COUNT(D46:L46)=0,"",IF(COUNTIF(D46:L46,"&lt;=2")&gt;=2,"AVOID","OK"))</f>
        <v>AVOID</v>
      </c>
      <c r="AK46" s="95" t="str">
        <f aca="false">IF(COUNTA(E46:M46)=0,"",IF(COUNTIF(E46:M46,"L")&gt;=2,"CAP AT BUY","OK"))</f>
        <v>OK</v>
      </c>
      <c r="AL46" s="117" t="s">
        <v>372</v>
      </c>
      <c r="AM46" s="110" t="s">
        <v>373</v>
      </c>
      <c r="AN46" s="110"/>
      <c r="AO46" s="95"/>
      <c r="AP46" s="110" t="str">
        <f aca="false">IF(OR(AN46="",AO46=""),"",IF(AN46&gt;AO46,"OK","LOW CONF"))</f>
        <v/>
      </c>
      <c r="AQ46" s="110"/>
      <c r="AR46" s="95"/>
      <c r="AS46" s="118" t="str">
        <f aca="false">IF(OR(AQ46="",AR46=""),"",IF(AQ46&lt;AR46,"Decreased",IF(AQ46&gt;AR46,"Increased","Flat")))</f>
        <v/>
      </c>
    </row>
    <row r="47" customFormat="false" ht="15" hidden="false" customHeight="true" outlineLevel="0" collapsed="false">
      <c r="A47" s="72" t="s">
        <v>227</v>
      </c>
      <c r="B47" s="110" t="s">
        <v>374</v>
      </c>
      <c r="C47" s="116" t="n">
        <v>46258</v>
      </c>
      <c r="D47" s="110" t="n">
        <v>4</v>
      </c>
      <c r="E47" s="110" t="s">
        <v>300</v>
      </c>
      <c r="F47" s="110" t="n">
        <v>4</v>
      </c>
      <c r="G47" s="110" t="s">
        <v>300</v>
      </c>
      <c r="H47" s="110" t="n">
        <v>5</v>
      </c>
      <c r="I47" s="110" t="s">
        <v>300</v>
      </c>
      <c r="J47" s="110" t="n">
        <v>4</v>
      </c>
      <c r="K47" s="110" t="s">
        <v>300</v>
      </c>
      <c r="L47" s="110" t="n">
        <v>4</v>
      </c>
      <c r="M47" s="110" t="s">
        <v>300</v>
      </c>
      <c r="N47" s="112" t="n">
        <f aca="false">IF(COUNT(D47,F47,H47,J47,L47)=0,"",(D47*0.2+F47*0.15+H47*0.15+J47*0.1+L47*0.1)/0.7)</f>
        <v>4.21428571428571</v>
      </c>
      <c r="O47" s="95" t="n">
        <f aca="false">IF(COUNT(D47,F47,H47,J47,L47)=0,"",D47*0.2+F47*0.15+H47*0.15+J47*0.1+L47*0.1)</f>
        <v>2.95</v>
      </c>
      <c r="P47" s="110"/>
      <c r="Q47" s="110"/>
      <c r="R47" s="110"/>
      <c r="S47" s="110"/>
      <c r="T47" s="110"/>
      <c r="U47" s="110"/>
      <c r="V47" s="110"/>
      <c r="W47" s="110"/>
      <c r="X47" s="74" t="str">
        <f aca="false">IF(COUNT(P47,R47,T47,V47)=0,"",P47*0.08+R47*0.06+T47*0.03+V47*0.08)</f>
        <v/>
      </c>
      <c r="Y47" s="110"/>
      <c r="Z47" s="110"/>
      <c r="AA47" s="110"/>
      <c r="AB47" s="110"/>
      <c r="AC47" s="110"/>
      <c r="AD47" s="110"/>
      <c r="AE47" s="74" t="str">
        <f aca="false">IF(COUNT(Y47,AA47,AC47)=0,"",Y47*0.02+AA47*0.02+AC47*0.01)</f>
        <v/>
      </c>
      <c r="AF47" s="95" t="str">
        <f aca="false">IF(OR(O47="",X47="",AE47=""),"",(O47+X47+AE47)*20)</f>
        <v/>
      </c>
      <c r="AG47" s="95" t="str">
        <f aca="false">IF(AF47="","",IF(AF47&gt;=80,"STRONG BUY",IF(AF47&gt;=65,"BUY",IF(AF47&gt;=50,"WATCH LIST",IF(AF47&gt;=35,"AVOID","PASS")))))</f>
        <v/>
      </c>
      <c r="AH47" s="95" t="str">
        <f aca="false">IF(N47="","",IF(N47&lt;3,"FAIL","OK"))</f>
        <v>OK</v>
      </c>
      <c r="AI47" s="95" t="str">
        <f aca="false">IF(COUNT(D47:L47)=0,"",IF(COUNTIF(D47:L47,1)&gt;0,"REVIEW","OK"))</f>
        <v>OK</v>
      </c>
      <c r="AJ47" s="95" t="str">
        <f aca="false">IF(COUNT(D47:L47)=0,"",IF(COUNTIF(D47:L47,"&lt;=2")&gt;=2,"AVOID","OK"))</f>
        <v>OK</v>
      </c>
      <c r="AK47" s="95" t="str">
        <f aca="false">IF(COUNTA(E47:M47)=0,"",IF(COUNTIF(E47:M47,"L")&gt;=2,"CAP AT BUY","OK"))</f>
        <v>OK</v>
      </c>
      <c r="AL47" s="117" t="s">
        <v>372</v>
      </c>
      <c r="AM47" s="110" t="s">
        <v>373</v>
      </c>
      <c r="AN47" s="110"/>
      <c r="AO47" s="95"/>
      <c r="AP47" s="110" t="str">
        <f aca="false">IF(OR(AN47="",AO47=""),"",IF(AN47&gt;AO47,"OK","LOW CONF"))</f>
        <v/>
      </c>
      <c r="AQ47" s="110"/>
      <c r="AR47" s="95"/>
      <c r="AS47" s="118" t="str">
        <f aca="false">IF(OR(AQ47="",AR47=""),"",IF(AQ47&lt;AR47,"Decreased",IF(AQ47&gt;AR47,"Increased","Flat")))</f>
        <v/>
      </c>
    </row>
    <row r="48" customFormat="false" ht="15" hidden="false" customHeight="true" outlineLevel="0" collapsed="false">
      <c r="A48" s="72"/>
      <c r="B48" s="110"/>
      <c r="C48" s="110"/>
      <c r="D48" s="110"/>
      <c r="E48" s="110"/>
      <c r="F48" s="110"/>
      <c r="G48" s="110"/>
      <c r="H48" s="110"/>
      <c r="I48" s="110"/>
      <c r="J48" s="110"/>
      <c r="K48" s="110"/>
      <c r="L48" s="110"/>
      <c r="M48" s="110"/>
      <c r="N48" s="112" t="str">
        <f aca="false">IF(COUNT(D48,F48,H48,J48,L48)=0,"",(D48*0.2+F48*0.15+H48*0.15+J48*0.1+L48*0.1)/0.7)</f>
        <v/>
      </c>
      <c r="O48" s="95" t="str">
        <f aca="false">IF(COUNT(D48,F48,H48,J48,L48)=0,"",D48*0.2+F48*0.15+H48*0.15+J48*0.1+L48*0.1)</f>
        <v/>
      </c>
      <c r="P48" s="110"/>
      <c r="Q48" s="110"/>
      <c r="R48" s="110"/>
      <c r="S48" s="110"/>
      <c r="T48" s="110"/>
      <c r="U48" s="110"/>
      <c r="V48" s="110"/>
      <c r="W48" s="110"/>
      <c r="X48" s="74" t="str">
        <f aca="false">IF(COUNT(P48,R48,T48,V48)=0,"",P48*0.08+R48*0.06+T48*0.03+V48*0.08)</f>
        <v/>
      </c>
      <c r="Y48" s="110"/>
      <c r="Z48" s="110"/>
      <c r="AA48" s="110"/>
      <c r="AB48" s="110"/>
      <c r="AC48" s="110"/>
      <c r="AD48" s="110"/>
      <c r="AE48" s="74" t="str">
        <f aca="false">IF(COUNT(Y48,AA48,AC48)=0,"",Y48*0.02+AA48*0.02+AC48*0.01)</f>
        <v/>
      </c>
      <c r="AF48" s="95" t="str">
        <f aca="false">IF(OR(O48="",X48="",AE48=""),"",(O48+X48+AE48)*20)</f>
        <v/>
      </c>
      <c r="AG48" s="95" t="str">
        <f aca="false">IF(AF48="","",IF(AF48&gt;=80,"STRONG BUY",IF(AF48&gt;=65,"BUY",IF(AF48&gt;=50,"WATCH LIST",IF(AF48&gt;=35,"AVOID","PASS")))))</f>
        <v/>
      </c>
      <c r="AH48" s="95" t="str">
        <f aca="false">IF(N48="","",IF(N48&lt;3,"FAIL","OK"))</f>
        <v/>
      </c>
      <c r="AI48" s="95" t="str">
        <f aca="false">IF(COUNT(D48:L48)=0,"",IF(COUNTIF(D48:L48,1)&gt;0,"REVIEW","OK"))</f>
        <v/>
      </c>
      <c r="AJ48" s="95" t="str">
        <f aca="false">IF(COUNT(D48:L48)=0,"",IF(COUNTIF(D48:L48,"&lt;=2")&gt;=2,"AVOID","OK"))</f>
        <v/>
      </c>
      <c r="AK48" s="95" t="str">
        <f aca="false">IF(COUNTA(E48:M48)=0,"",IF(COUNTIF(E48:M48,"L")&gt;=2,"CAP AT BUY","OK"))</f>
        <v/>
      </c>
      <c r="AL48" s="117"/>
      <c r="AM48" s="110"/>
      <c r="AN48" s="110"/>
      <c r="AO48" s="95"/>
      <c r="AP48" s="110" t="str">
        <f aca="false">IF(OR(AN48="",AO48=""),"",IF(AN48&gt;AO48,"OK","LOW CONF"))</f>
        <v/>
      </c>
      <c r="AQ48" s="110"/>
      <c r="AR48" s="95"/>
      <c r="AS48" s="118" t="str">
        <f aca="false">IF(OR(AQ48="",AR48=""),"",IF(AQ48&lt;AR48,"Decreased",IF(AQ48&gt;AR48,"Increased","Flat")))</f>
        <v/>
      </c>
    </row>
    <row r="49" customFormat="false" ht="15" hidden="false" customHeight="true" outlineLevel="0" collapsed="false">
      <c r="A49" s="72"/>
      <c r="B49" s="110"/>
      <c r="C49" s="110"/>
      <c r="D49" s="110"/>
      <c r="E49" s="110"/>
      <c r="F49" s="110"/>
      <c r="G49" s="110"/>
      <c r="H49" s="110"/>
      <c r="I49" s="110"/>
      <c r="J49" s="110"/>
      <c r="K49" s="110"/>
      <c r="L49" s="110"/>
      <c r="M49" s="110"/>
      <c r="N49" s="112" t="str">
        <f aca="false">IF(COUNT(D49,F49,H49,J49,L49)=0,"",(D49*0.2+F49*0.15+H49*0.15+J49*0.1+L49*0.1)/0.7)</f>
        <v/>
      </c>
      <c r="O49" s="95" t="str">
        <f aca="false">IF(COUNT(D49,F49,H49,J49,L49)=0,"",D49*0.2+F49*0.15+H49*0.15+J49*0.1+L49*0.1)</f>
        <v/>
      </c>
      <c r="P49" s="110"/>
      <c r="Q49" s="110"/>
      <c r="R49" s="110"/>
      <c r="S49" s="110"/>
      <c r="T49" s="110"/>
      <c r="U49" s="110"/>
      <c r="V49" s="110"/>
      <c r="W49" s="110"/>
      <c r="X49" s="74" t="str">
        <f aca="false">IF(COUNT(P49,R49,T49,V49)=0,"",P49*0.08+R49*0.06+T49*0.03+V49*0.08)</f>
        <v/>
      </c>
      <c r="Y49" s="110"/>
      <c r="Z49" s="110"/>
      <c r="AA49" s="110"/>
      <c r="AB49" s="110"/>
      <c r="AC49" s="110"/>
      <c r="AD49" s="110"/>
      <c r="AE49" s="74" t="str">
        <f aca="false">IF(COUNT(Y49,AA49,AC49)=0,"",Y49*0.02+AA49*0.02+AC49*0.01)</f>
        <v/>
      </c>
      <c r="AF49" s="95" t="str">
        <f aca="false">IF(OR(O49="",X49="",AE49=""),"",(O49+X49+AE49)*20)</f>
        <v/>
      </c>
      <c r="AG49" s="95" t="str">
        <f aca="false">IF(AF49="","",IF(AF49&gt;=80,"STRONG BUY",IF(AF49&gt;=65,"BUY",IF(AF49&gt;=50,"WATCH LIST",IF(AF49&gt;=35,"AVOID","PASS")))))</f>
        <v/>
      </c>
      <c r="AH49" s="95" t="str">
        <f aca="false">IF(N49="","",IF(N49&lt;3,"FAIL","OK"))</f>
        <v/>
      </c>
      <c r="AI49" s="95" t="str">
        <f aca="false">IF(COUNT(D49:L49)=0,"",IF(COUNTIF(D49:L49,1)&gt;0,"REVIEW","OK"))</f>
        <v/>
      </c>
      <c r="AJ49" s="95" t="str">
        <f aca="false">IF(COUNT(D49:L49)=0,"",IF(COUNTIF(D49:L49,"&lt;=2")&gt;=2,"AVOID","OK"))</f>
        <v/>
      </c>
      <c r="AK49" s="95" t="str">
        <f aca="false">IF(COUNTA(E49:M49)=0,"",IF(COUNTIF(E49:M49,"L")&gt;=2,"CAP AT BUY","OK"))</f>
        <v/>
      </c>
      <c r="AL49" s="117"/>
      <c r="AM49" s="110"/>
      <c r="AN49" s="110"/>
      <c r="AO49" s="95"/>
      <c r="AP49" s="110" t="str">
        <f aca="false">IF(OR(AN49="",AO49=""),"",IF(AN49&gt;AO49,"OK","LOW CONF"))</f>
        <v/>
      </c>
      <c r="AQ49" s="110"/>
      <c r="AR49" s="95"/>
      <c r="AS49" s="118" t="str">
        <f aca="false">IF(OR(AQ49="",AR49=""),"",IF(AQ49&lt;AR49,"Decreased",IF(AQ49&gt;AR49,"Increased","Flat")))</f>
        <v/>
      </c>
    </row>
    <row r="50" customFormat="false" ht="15" hidden="false" customHeight="true" outlineLevel="0" collapsed="false">
      <c r="A50" s="72"/>
      <c r="B50" s="110"/>
      <c r="C50" s="110"/>
      <c r="D50" s="110"/>
      <c r="E50" s="110"/>
      <c r="F50" s="110"/>
      <c r="G50" s="110"/>
      <c r="H50" s="110"/>
      <c r="I50" s="110"/>
      <c r="J50" s="110"/>
      <c r="K50" s="110"/>
      <c r="L50" s="110"/>
      <c r="M50" s="110"/>
      <c r="N50" s="112" t="str">
        <f aca="false">IF(COUNT(D50,F50,H50,J50,L50)=0,"",(D50*0.2+F50*0.15+H50*0.15+J50*0.1+L50*0.1)/0.7)</f>
        <v/>
      </c>
      <c r="O50" s="95" t="str">
        <f aca="false">IF(COUNT(D50,F50,H50,J50,L50)=0,"",D50*0.2+F50*0.15+H50*0.15+J50*0.1+L50*0.1)</f>
        <v/>
      </c>
      <c r="P50" s="110"/>
      <c r="Q50" s="110"/>
      <c r="R50" s="110"/>
      <c r="S50" s="110"/>
      <c r="T50" s="110"/>
      <c r="U50" s="110"/>
      <c r="V50" s="110"/>
      <c r="W50" s="110"/>
      <c r="X50" s="74" t="str">
        <f aca="false">IF(COUNT(P50,R50,T50,V50)=0,"",P50*0.08+R50*0.06+T50*0.03+V50*0.08)</f>
        <v/>
      </c>
      <c r="Y50" s="110"/>
      <c r="Z50" s="110"/>
      <c r="AA50" s="110"/>
      <c r="AB50" s="110"/>
      <c r="AC50" s="110"/>
      <c r="AD50" s="110"/>
      <c r="AE50" s="74" t="str">
        <f aca="false">IF(COUNT(Y50,AA50,AC50)=0,"",Y50*0.02+AA50*0.02+AC50*0.01)</f>
        <v/>
      </c>
      <c r="AF50" s="95" t="str">
        <f aca="false">IF(OR(O50="",X50="",AE50=""),"",(O50+X50+AE50)*20)</f>
        <v/>
      </c>
      <c r="AG50" s="95" t="str">
        <f aca="false">IF(AF50="","",IF(AF50&gt;=80,"STRONG BUY",IF(AF50&gt;=65,"BUY",IF(AF50&gt;=50,"WATCH LIST",IF(AF50&gt;=35,"AVOID","PASS")))))</f>
        <v/>
      </c>
      <c r="AH50" s="95" t="str">
        <f aca="false">IF(N50="","",IF(N50&lt;3,"FAIL","OK"))</f>
        <v/>
      </c>
      <c r="AI50" s="95" t="str">
        <f aca="false">IF(COUNT(D50:L50)=0,"",IF(COUNTIF(D50:L50,1)&gt;0,"REVIEW","OK"))</f>
        <v/>
      </c>
      <c r="AJ50" s="95" t="str">
        <f aca="false">IF(COUNT(D50:L50)=0,"",IF(COUNTIF(D50:L50,"&lt;=2")&gt;=2,"AVOID","OK"))</f>
        <v/>
      </c>
      <c r="AK50" s="95" t="str">
        <f aca="false">IF(COUNTA(E50:M50)=0,"",IF(COUNTIF(E50:M50,"L")&gt;=2,"CAP AT BUY","OK"))</f>
        <v/>
      </c>
      <c r="AL50" s="117"/>
      <c r="AM50" s="110"/>
      <c r="AN50" s="110"/>
      <c r="AO50" s="95"/>
      <c r="AP50" s="110" t="str">
        <f aca="false">IF(OR(AN50="",AO50=""),"",IF(AN50&gt;AO50,"OK","LOW CONF"))</f>
        <v/>
      </c>
      <c r="AQ50" s="110"/>
      <c r="AR50" s="95"/>
      <c r="AS50" s="118" t="str">
        <f aca="false">IF(OR(AQ50="",AR50=""),"",IF(AQ50&lt;AR50,"Decreased",IF(AQ50&gt;AR50,"Increased","Flat")))</f>
        <v/>
      </c>
    </row>
    <row r="51" customFormat="false" ht="15" hidden="false" customHeight="true" outlineLevel="0" collapsed="false">
      <c r="A51" s="72"/>
      <c r="B51" s="110"/>
      <c r="C51" s="110"/>
      <c r="D51" s="110"/>
      <c r="E51" s="110"/>
      <c r="F51" s="110"/>
      <c r="G51" s="110"/>
      <c r="H51" s="110"/>
      <c r="I51" s="110"/>
      <c r="J51" s="110"/>
      <c r="K51" s="110"/>
      <c r="L51" s="110"/>
      <c r="M51" s="110"/>
      <c r="N51" s="112" t="str">
        <f aca="false">IF(COUNT(D51,F51,H51,J51,L51)=0,"",(D51*0.2+F51*0.15+H51*0.15+J51*0.1+L51*0.1)/0.7)</f>
        <v/>
      </c>
      <c r="O51" s="95" t="str">
        <f aca="false">IF(COUNT(D51,F51,H51,J51,L51)=0,"",D51*0.2+F51*0.15+H51*0.15+J51*0.1+L51*0.1)</f>
        <v/>
      </c>
      <c r="P51" s="110"/>
      <c r="Q51" s="110"/>
      <c r="R51" s="110"/>
      <c r="S51" s="110"/>
      <c r="T51" s="110"/>
      <c r="U51" s="110"/>
      <c r="V51" s="110"/>
      <c r="W51" s="110"/>
      <c r="X51" s="74" t="str">
        <f aca="false">IF(COUNT(P51,R51,T51,V51)=0,"",P51*0.08+R51*0.06+T51*0.03+V51*0.08)</f>
        <v/>
      </c>
      <c r="Y51" s="110"/>
      <c r="Z51" s="110"/>
      <c r="AA51" s="110"/>
      <c r="AB51" s="110"/>
      <c r="AC51" s="110"/>
      <c r="AD51" s="110"/>
      <c r="AE51" s="74" t="str">
        <f aca="false">IF(COUNT(Y51,AA51,AC51)=0,"",Y51*0.02+AA51*0.02+AC51*0.01)</f>
        <v/>
      </c>
      <c r="AF51" s="95" t="str">
        <f aca="false">IF(OR(O51="",X51="",AE51=""),"",(O51+X51+AE51)*20)</f>
        <v/>
      </c>
      <c r="AG51" s="95" t="str">
        <f aca="false">IF(AF51="","",IF(AF51&gt;=80,"STRONG BUY",IF(AF51&gt;=65,"BUY",IF(AF51&gt;=50,"WATCH LIST",IF(AF51&gt;=35,"AVOID","PASS")))))</f>
        <v/>
      </c>
      <c r="AH51" s="95" t="str">
        <f aca="false">IF(N51="","",IF(N51&lt;3,"FAIL","OK"))</f>
        <v/>
      </c>
      <c r="AI51" s="95" t="str">
        <f aca="false">IF(COUNT(D51:L51)=0,"",IF(COUNTIF(D51:L51,1)&gt;0,"REVIEW","OK"))</f>
        <v/>
      </c>
      <c r="AJ51" s="95" t="str">
        <f aca="false">IF(COUNT(D51:L51)=0,"",IF(COUNTIF(D51:L51,"&lt;=2")&gt;=2,"AVOID","OK"))</f>
        <v/>
      </c>
      <c r="AK51" s="95" t="str">
        <f aca="false">IF(COUNTA(E51:M51)=0,"",IF(COUNTIF(E51:M51,"L")&gt;=2,"CAP AT BUY","OK"))</f>
        <v/>
      </c>
      <c r="AL51" s="117"/>
      <c r="AM51" s="110"/>
      <c r="AN51" s="110"/>
      <c r="AO51" s="95"/>
      <c r="AP51" s="110" t="str">
        <f aca="false">IF(OR(AN51="",AO51=""),"",IF(AN51&gt;AO51,"OK","LOW CONF"))</f>
        <v/>
      </c>
      <c r="AQ51" s="110"/>
      <c r="AR51" s="95"/>
      <c r="AS51" s="118" t="str">
        <f aca="false">IF(OR(AQ51="",AR51=""),"",IF(AQ51&lt;AR51,"Decreased",IF(AQ51&gt;AR51,"Increased","Flat")))</f>
        <v/>
      </c>
    </row>
    <row r="52" customFormat="false" ht="15" hidden="false" customHeight="true" outlineLevel="0" collapsed="false">
      <c r="A52" s="72"/>
      <c r="B52" s="110"/>
      <c r="C52" s="110"/>
      <c r="D52" s="110"/>
      <c r="E52" s="110"/>
      <c r="F52" s="110"/>
      <c r="G52" s="110"/>
      <c r="H52" s="110"/>
      <c r="I52" s="110"/>
      <c r="J52" s="110"/>
      <c r="K52" s="110"/>
      <c r="L52" s="110"/>
      <c r="M52" s="110"/>
      <c r="N52" s="112" t="str">
        <f aca="false">IF(COUNT(D52,F52,H52,J52,L52)=0,"",(D52*0.2+F52*0.15+H52*0.15+J52*0.1+L52*0.1)/0.7)</f>
        <v/>
      </c>
      <c r="O52" s="95" t="str">
        <f aca="false">IF(COUNT(D52,F52,H52,J52,L52)=0,"",D52*0.2+F52*0.15+H52*0.15+J52*0.1+L52*0.1)</f>
        <v/>
      </c>
      <c r="P52" s="110"/>
      <c r="Q52" s="110"/>
      <c r="R52" s="110"/>
      <c r="S52" s="110"/>
      <c r="T52" s="110"/>
      <c r="U52" s="110"/>
      <c r="V52" s="110"/>
      <c r="W52" s="110"/>
      <c r="X52" s="74" t="str">
        <f aca="false">IF(COUNT(P52,R52,T52,V52)=0,"",P52*0.08+R52*0.06+T52*0.03+V52*0.08)</f>
        <v/>
      </c>
      <c r="Y52" s="110"/>
      <c r="Z52" s="110"/>
      <c r="AA52" s="110"/>
      <c r="AB52" s="110"/>
      <c r="AC52" s="110"/>
      <c r="AD52" s="110"/>
      <c r="AE52" s="74" t="str">
        <f aca="false">IF(COUNT(Y52,AA52,AC52)=0,"",Y52*0.02+AA52*0.02+AC52*0.01)</f>
        <v/>
      </c>
      <c r="AF52" s="95" t="str">
        <f aca="false">IF(OR(O52="",X52="",AE52=""),"",(O52+X52+AE52)*20)</f>
        <v/>
      </c>
      <c r="AG52" s="95" t="str">
        <f aca="false">IF(AF52="","",IF(AF52&gt;=80,"STRONG BUY",IF(AF52&gt;=65,"BUY",IF(AF52&gt;=50,"WATCH LIST",IF(AF52&gt;=35,"AVOID","PASS")))))</f>
        <v/>
      </c>
      <c r="AH52" s="95" t="str">
        <f aca="false">IF(N52="","",IF(N52&lt;3,"FAIL","OK"))</f>
        <v/>
      </c>
      <c r="AI52" s="95" t="str">
        <f aca="false">IF(COUNT(D52:L52)=0,"",IF(COUNTIF(D52:L52,1)&gt;0,"REVIEW","OK"))</f>
        <v/>
      </c>
      <c r="AJ52" s="95" t="str">
        <f aca="false">IF(COUNT(D52:L52)=0,"",IF(COUNTIF(D52:L52,"&lt;=2")&gt;=2,"AVOID","OK"))</f>
        <v/>
      </c>
      <c r="AK52" s="95" t="str">
        <f aca="false">IF(COUNTA(E52:M52)=0,"",IF(COUNTIF(E52:M52,"L")&gt;=2,"CAP AT BUY","OK"))</f>
        <v/>
      </c>
      <c r="AL52" s="117"/>
      <c r="AM52" s="110"/>
      <c r="AN52" s="110"/>
      <c r="AO52" s="95"/>
      <c r="AP52" s="110" t="str">
        <f aca="false">IF(OR(AN52="",AO52=""),"",IF(AN52&gt;AO52,"OK","LOW CONF"))</f>
        <v/>
      </c>
      <c r="AQ52" s="110"/>
      <c r="AR52" s="95"/>
      <c r="AS52" s="118" t="str">
        <f aca="false">IF(OR(AQ52="",AR52=""),"",IF(AQ52&lt;AR52,"Decreased",IF(AQ52&gt;AR52,"Increased","Flat")))</f>
        <v/>
      </c>
    </row>
    <row r="53" customFormat="false" ht="15" hidden="false" customHeight="true" outlineLevel="0" collapsed="false">
      <c r="A53" s="72"/>
      <c r="B53" s="110"/>
      <c r="C53" s="110"/>
      <c r="D53" s="110"/>
      <c r="E53" s="110"/>
      <c r="F53" s="110"/>
      <c r="G53" s="110"/>
      <c r="H53" s="110"/>
      <c r="I53" s="110"/>
      <c r="J53" s="110"/>
      <c r="K53" s="110"/>
      <c r="L53" s="110"/>
      <c r="M53" s="110"/>
      <c r="N53" s="112" t="str">
        <f aca="false">IF(COUNT(D53,F53,H53,J53,L53)=0,"",(D53*0.2+F53*0.15+H53*0.15+J53*0.1+L53*0.1)/0.7)</f>
        <v/>
      </c>
      <c r="O53" s="95" t="str">
        <f aca="false">IF(COUNT(D53,F53,H53,J53,L53)=0,"",D53*0.2+F53*0.15+H53*0.15+J53*0.1+L53*0.1)</f>
        <v/>
      </c>
      <c r="P53" s="110"/>
      <c r="Q53" s="110"/>
      <c r="R53" s="110"/>
      <c r="S53" s="110"/>
      <c r="T53" s="110"/>
      <c r="U53" s="110"/>
      <c r="V53" s="110"/>
      <c r="W53" s="110"/>
      <c r="X53" s="74" t="str">
        <f aca="false">IF(COUNT(P53,R53,T53,V53)=0,"",P53*0.08+R53*0.06+T53*0.03+V53*0.08)</f>
        <v/>
      </c>
      <c r="Y53" s="110"/>
      <c r="Z53" s="110"/>
      <c r="AA53" s="110"/>
      <c r="AB53" s="110"/>
      <c r="AC53" s="110"/>
      <c r="AD53" s="110"/>
      <c r="AE53" s="74" t="str">
        <f aca="false">IF(COUNT(Y53,AA53,AC53)=0,"",Y53*0.02+AA53*0.02+AC53*0.01)</f>
        <v/>
      </c>
      <c r="AF53" s="95" t="str">
        <f aca="false">IF(OR(O53="",X53="",AE53=""),"",(O53+X53+AE53)*20)</f>
        <v/>
      </c>
      <c r="AG53" s="95" t="str">
        <f aca="false">IF(AF53="","",IF(AF53&gt;=80,"STRONG BUY",IF(AF53&gt;=65,"BUY",IF(AF53&gt;=50,"WATCH LIST",IF(AF53&gt;=35,"AVOID","PASS")))))</f>
        <v/>
      </c>
      <c r="AH53" s="95" t="str">
        <f aca="false">IF(N53="","",IF(N53&lt;3,"FAIL","OK"))</f>
        <v/>
      </c>
      <c r="AI53" s="95" t="str">
        <f aca="false">IF(COUNT(D53:L53)=0,"",IF(COUNTIF(D53:L53,1)&gt;0,"REVIEW","OK"))</f>
        <v/>
      </c>
      <c r="AJ53" s="95" t="str">
        <f aca="false">IF(COUNT(D53:L53)=0,"",IF(COUNTIF(D53:L53,"&lt;=2")&gt;=2,"AVOID","OK"))</f>
        <v/>
      </c>
      <c r="AK53" s="95" t="str">
        <f aca="false">IF(COUNTA(E53:M53)=0,"",IF(COUNTIF(E53:M53,"L")&gt;=2,"CAP AT BUY","OK"))</f>
        <v/>
      </c>
      <c r="AL53" s="117"/>
      <c r="AM53" s="110"/>
      <c r="AN53" s="110"/>
      <c r="AO53" s="95"/>
      <c r="AP53" s="110" t="str">
        <f aca="false">IF(OR(AN53="",AO53=""),"",IF(AN53&gt;AO53,"OK","LOW CONF"))</f>
        <v/>
      </c>
      <c r="AQ53" s="110"/>
      <c r="AR53" s="95"/>
      <c r="AS53" s="118" t="str">
        <f aca="false">IF(OR(AQ53="",AR53=""),"",IF(AQ53&lt;AR53,"Decreased",IF(AQ53&gt;AR53,"Increased","Flat")))</f>
        <v/>
      </c>
    </row>
    <row r="54" customFormat="false" ht="15" hidden="false" customHeight="true" outlineLevel="0" collapsed="false">
      <c r="A54" s="72"/>
      <c r="B54" s="110"/>
      <c r="C54" s="110"/>
      <c r="D54" s="110"/>
      <c r="E54" s="110"/>
      <c r="F54" s="110"/>
      <c r="G54" s="110"/>
      <c r="H54" s="110"/>
      <c r="I54" s="110"/>
      <c r="J54" s="110"/>
      <c r="K54" s="110"/>
      <c r="L54" s="110"/>
      <c r="M54" s="110"/>
      <c r="N54" s="112" t="str">
        <f aca="false">IF(COUNT(D54,F54,H54,J54,L54)=0,"",(D54*0.2+F54*0.15+H54*0.15+J54*0.1+L54*0.1)/0.7)</f>
        <v/>
      </c>
      <c r="O54" s="95" t="str">
        <f aca="false">IF(COUNT(D54,F54,H54,J54,L54)=0,"",D54*0.2+F54*0.15+H54*0.15+J54*0.1+L54*0.1)</f>
        <v/>
      </c>
      <c r="P54" s="110"/>
      <c r="Q54" s="110"/>
      <c r="R54" s="110"/>
      <c r="S54" s="110"/>
      <c r="T54" s="110"/>
      <c r="U54" s="110"/>
      <c r="V54" s="110"/>
      <c r="W54" s="110"/>
      <c r="X54" s="74" t="str">
        <f aca="false">IF(COUNT(P54,R54,T54,V54)=0,"",P54*0.08+R54*0.06+T54*0.03+V54*0.08)</f>
        <v/>
      </c>
      <c r="Y54" s="110"/>
      <c r="Z54" s="110"/>
      <c r="AA54" s="110"/>
      <c r="AB54" s="110"/>
      <c r="AC54" s="110"/>
      <c r="AD54" s="110"/>
      <c r="AE54" s="74" t="str">
        <f aca="false">IF(COUNT(Y54,AA54,AC54)=0,"",Y54*0.02+AA54*0.02+AC54*0.01)</f>
        <v/>
      </c>
      <c r="AF54" s="95" t="str">
        <f aca="false">IF(OR(O54="",X54="",AE54=""),"",(O54+X54+AE54)*20)</f>
        <v/>
      </c>
      <c r="AG54" s="95" t="str">
        <f aca="false">IF(AF54="","",IF(AF54&gt;=80,"STRONG BUY",IF(AF54&gt;=65,"BUY",IF(AF54&gt;=50,"WATCH LIST",IF(AF54&gt;=35,"AVOID","PASS")))))</f>
        <v/>
      </c>
      <c r="AH54" s="95" t="str">
        <f aca="false">IF(N54="","",IF(N54&lt;3,"FAIL","OK"))</f>
        <v/>
      </c>
      <c r="AI54" s="95" t="str">
        <f aca="false">IF(COUNT(D54:L54)=0,"",IF(COUNTIF(D54:L54,1)&gt;0,"REVIEW","OK"))</f>
        <v/>
      </c>
      <c r="AJ54" s="95" t="str">
        <f aca="false">IF(COUNT(D54:L54)=0,"",IF(COUNTIF(D54:L54,"&lt;=2")&gt;=2,"AVOID","OK"))</f>
        <v/>
      </c>
      <c r="AK54" s="95" t="str">
        <f aca="false">IF(COUNTA(E54:M54)=0,"",IF(COUNTIF(E54:M54,"L")&gt;=2,"CAP AT BUY","OK"))</f>
        <v/>
      </c>
      <c r="AL54" s="117"/>
      <c r="AM54" s="110"/>
      <c r="AN54" s="110"/>
      <c r="AO54" s="95"/>
      <c r="AP54" s="110" t="str">
        <f aca="false">IF(OR(AN54="",AO54=""),"",IF(AN54&gt;AO54,"OK","LOW CONF"))</f>
        <v/>
      </c>
      <c r="AQ54" s="110"/>
      <c r="AR54" s="95"/>
      <c r="AS54" s="118" t="str">
        <f aca="false">IF(OR(AQ54="",AR54=""),"",IF(AQ54&lt;AR54,"Decreased",IF(AQ54&gt;AR54,"Increased","Flat")))</f>
        <v/>
      </c>
    </row>
    <row r="55" customFormat="false" ht="15" hidden="false" customHeight="true" outlineLevel="0" collapsed="false">
      <c r="A55" s="72"/>
      <c r="B55" s="110"/>
      <c r="C55" s="110"/>
      <c r="D55" s="110"/>
      <c r="E55" s="110"/>
      <c r="F55" s="110"/>
      <c r="G55" s="110"/>
      <c r="H55" s="110"/>
      <c r="I55" s="110"/>
      <c r="J55" s="110"/>
      <c r="K55" s="110"/>
      <c r="L55" s="110"/>
      <c r="M55" s="110"/>
      <c r="N55" s="112" t="str">
        <f aca="false">IF(COUNT(D55,F55,H55,J55,L55)=0,"",(D55*0.2+F55*0.15+H55*0.15+J55*0.1+L55*0.1)/0.7)</f>
        <v/>
      </c>
      <c r="O55" s="95" t="str">
        <f aca="false">IF(COUNT(D55,F55,H55,J55,L55)=0,"",D55*0.2+F55*0.15+H55*0.15+J55*0.1+L55*0.1)</f>
        <v/>
      </c>
      <c r="P55" s="110"/>
      <c r="Q55" s="110"/>
      <c r="R55" s="110"/>
      <c r="S55" s="110"/>
      <c r="T55" s="110"/>
      <c r="U55" s="110"/>
      <c r="V55" s="110"/>
      <c r="W55" s="110"/>
      <c r="X55" s="74" t="str">
        <f aca="false">IF(COUNT(P55,R55,T55,V55)=0,"",P55*0.08+R55*0.06+T55*0.03+V55*0.08)</f>
        <v/>
      </c>
      <c r="Y55" s="110"/>
      <c r="Z55" s="110"/>
      <c r="AA55" s="110"/>
      <c r="AB55" s="110"/>
      <c r="AC55" s="110"/>
      <c r="AD55" s="110"/>
      <c r="AE55" s="74" t="str">
        <f aca="false">IF(COUNT(Y55,AA55,AC55)=0,"",Y55*0.02+AA55*0.02+AC55*0.01)</f>
        <v/>
      </c>
      <c r="AF55" s="95" t="str">
        <f aca="false">IF(OR(O55="",X55="",AE55=""),"",(O55+X55+AE55)*20)</f>
        <v/>
      </c>
      <c r="AG55" s="95" t="str">
        <f aca="false">IF(AF55="","",IF(AF55&gt;=80,"STRONG BUY",IF(AF55&gt;=65,"BUY",IF(AF55&gt;=50,"WATCH LIST",IF(AF55&gt;=35,"AVOID","PASS")))))</f>
        <v/>
      </c>
      <c r="AH55" s="95" t="str">
        <f aca="false">IF(N55="","",IF(N55&lt;3,"FAIL","OK"))</f>
        <v/>
      </c>
      <c r="AI55" s="95" t="str">
        <f aca="false">IF(COUNT(D55:L55)=0,"",IF(COUNTIF(D55:L55,1)&gt;0,"REVIEW","OK"))</f>
        <v/>
      </c>
      <c r="AJ55" s="95" t="str">
        <f aca="false">IF(COUNT(D55:L55)=0,"",IF(COUNTIF(D55:L55,"&lt;=2")&gt;=2,"AVOID","OK"))</f>
        <v/>
      </c>
      <c r="AK55" s="95" t="str">
        <f aca="false">IF(COUNTA(E55:M55)=0,"",IF(COUNTIF(E55:M55,"L")&gt;=2,"CAP AT BUY","OK"))</f>
        <v/>
      </c>
      <c r="AL55" s="117"/>
      <c r="AM55" s="110"/>
      <c r="AN55" s="110"/>
      <c r="AO55" s="95"/>
      <c r="AP55" s="110" t="str">
        <f aca="false">IF(OR(AN55="",AO55=""),"",IF(AN55&gt;AO55,"OK","LOW CONF"))</f>
        <v/>
      </c>
      <c r="AQ55" s="110"/>
      <c r="AR55" s="95"/>
      <c r="AS55" s="118" t="str">
        <f aca="false">IF(OR(AQ55="",AR55=""),"",IF(AQ55&lt;AR55,"Decreased",IF(AQ55&gt;AR55,"Increased","Flat")))</f>
        <v/>
      </c>
    </row>
    <row r="56" customFormat="false" ht="15" hidden="false" customHeight="true" outlineLevel="0" collapsed="false">
      <c r="A56" s="72"/>
      <c r="B56" s="110"/>
      <c r="C56" s="110"/>
      <c r="D56" s="110"/>
      <c r="E56" s="110"/>
      <c r="F56" s="110"/>
      <c r="G56" s="110"/>
      <c r="H56" s="110"/>
      <c r="I56" s="110"/>
      <c r="J56" s="110"/>
      <c r="K56" s="110"/>
      <c r="L56" s="110"/>
      <c r="M56" s="110"/>
      <c r="N56" s="112" t="str">
        <f aca="false">IF(COUNT(D56,F56,H56,J56,L56)=0,"",(D56*0.2+F56*0.15+H56*0.15+J56*0.1+L56*0.1)/0.7)</f>
        <v/>
      </c>
      <c r="O56" s="95" t="str">
        <f aca="false">IF(COUNT(D56,F56,H56,J56,L56)=0,"",D56*0.2+F56*0.15+H56*0.15+J56*0.1+L56*0.1)</f>
        <v/>
      </c>
      <c r="P56" s="110"/>
      <c r="Q56" s="110"/>
      <c r="R56" s="110"/>
      <c r="S56" s="110"/>
      <c r="T56" s="110"/>
      <c r="U56" s="110"/>
      <c r="V56" s="110"/>
      <c r="W56" s="110"/>
      <c r="X56" s="74" t="str">
        <f aca="false">IF(COUNT(P56,R56,T56,V56)=0,"",P56*0.08+R56*0.06+T56*0.03+V56*0.08)</f>
        <v/>
      </c>
      <c r="Y56" s="110"/>
      <c r="Z56" s="110"/>
      <c r="AA56" s="110"/>
      <c r="AB56" s="110"/>
      <c r="AC56" s="110"/>
      <c r="AD56" s="110"/>
      <c r="AE56" s="74" t="str">
        <f aca="false">IF(COUNT(Y56,AA56,AC56)=0,"",Y56*0.02+AA56*0.02+AC56*0.01)</f>
        <v/>
      </c>
      <c r="AF56" s="95" t="str">
        <f aca="false">IF(OR(O56="",X56="",AE56=""),"",(O56+X56+AE56)*20)</f>
        <v/>
      </c>
      <c r="AG56" s="95" t="str">
        <f aca="false">IF(AF56="","",IF(AF56&gt;=80,"STRONG BUY",IF(AF56&gt;=65,"BUY",IF(AF56&gt;=50,"WATCH LIST",IF(AF56&gt;=35,"AVOID","PASS")))))</f>
        <v/>
      </c>
      <c r="AH56" s="95" t="str">
        <f aca="false">IF(N56="","",IF(N56&lt;3,"FAIL","OK"))</f>
        <v/>
      </c>
      <c r="AI56" s="95" t="str">
        <f aca="false">IF(COUNT(D56:L56)=0,"",IF(COUNTIF(D56:L56,1)&gt;0,"REVIEW","OK"))</f>
        <v/>
      </c>
      <c r="AJ56" s="95" t="str">
        <f aca="false">IF(COUNT(D56:L56)=0,"",IF(COUNTIF(D56:L56,"&lt;=2")&gt;=2,"AVOID","OK"))</f>
        <v/>
      </c>
      <c r="AK56" s="95" t="str">
        <f aca="false">IF(COUNTA(E56:M56)=0,"",IF(COUNTIF(E56:M56,"L")&gt;=2,"CAP AT BUY","OK"))</f>
        <v/>
      </c>
      <c r="AL56" s="117"/>
      <c r="AM56" s="110"/>
      <c r="AN56" s="110"/>
      <c r="AO56" s="95"/>
      <c r="AP56" s="110" t="str">
        <f aca="false">IF(OR(AN56="",AO56=""),"",IF(AN56&gt;AO56,"OK","LOW CONF"))</f>
        <v/>
      </c>
      <c r="AQ56" s="110"/>
      <c r="AR56" s="95"/>
      <c r="AS56" s="118" t="str">
        <f aca="false">IF(OR(AQ56="",AR56=""),"",IF(AQ56&lt;AR56,"Decreased",IF(AQ56&gt;AR56,"Increased","Flat")))</f>
        <v/>
      </c>
    </row>
    <row r="57" customFormat="false" ht="15" hidden="false" customHeight="true" outlineLevel="0" collapsed="false">
      <c r="A57" s="72"/>
      <c r="B57" s="110"/>
      <c r="C57" s="110"/>
      <c r="D57" s="110"/>
      <c r="E57" s="110"/>
      <c r="F57" s="110"/>
      <c r="G57" s="110"/>
      <c r="H57" s="110"/>
      <c r="I57" s="110"/>
      <c r="J57" s="110"/>
      <c r="K57" s="110"/>
      <c r="L57" s="110"/>
      <c r="M57" s="110"/>
      <c r="N57" s="112" t="str">
        <f aca="false">IF(COUNT(D57,F57,H57,J57,L57)=0,"",(D57*0.2+F57*0.15+H57*0.15+J57*0.1+L57*0.1)/0.7)</f>
        <v/>
      </c>
      <c r="O57" s="95" t="str">
        <f aca="false">IF(COUNT(D57,F57,H57,J57,L57)=0,"",D57*0.2+F57*0.15+H57*0.15+J57*0.1+L57*0.1)</f>
        <v/>
      </c>
      <c r="P57" s="110"/>
      <c r="Q57" s="110"/>
      <c r="R57" s="110"/>
      <c r="S57" s="110"/>
      <c r="T57" s="110"/>
      <c r="U57" s="110"/>
      <c r="V57" s="110"/>
      <c r="W57" s="110"/>
      <c r="X57" s="74" t="str">
        <f aca="false">IF(COUNT(P57,R57,T57,V57)=0,"",P57*0.08+R57*0.06+T57*0.03+V57*0.08)</f>
        <v/>
      </c>
      <c r="Y57" s="110"/>
      <c r="Z57" s="110"/>
      <c r="AA57" s="110"/>
      <c r="AB57" s="110"/>
      <c r="AC57" s="110"/>
      <c r="AD57" s="110"/>
      <c r="AE57" s="74" t="str">
        <f aca="false">IF(COUNT(Y57,AA57,AC57)=0,"",Y57*0.02+AA57*0.02+AC57*0.01)</f>
        <v/>
      </c>
      <c r="AF57" s="95" t="str">
        <f aca="false">IF(OR(O57="",X57="",AE57=""),"",(O57+X57+AE57)*20)</f>
        <v/>
      </c>
      <c r="AG57" s="95" t="str">
        <f aca="false">IF(AF57="","",IF(AF57&gt;=80,"STRONG BUY",IF(AF57&gt;=65,"BUY",IF(AF57&gt;=50,"WATCH LIST",IF(AF57&gt;=35,"AVOID","PASS")))))</f>
        <v/>
      </c>
      <c r="AH57" s="95" t="str">
        <f aca="false">IF(N57="","",IF(N57&lt;3,"FAIL","OK"))</f>
        <v/>
      </c>
      <c r="AI57" s="95" t="str">
        <f aca="false">IF(COUNT(D57:L57)=0,"",IF(COUNTIF(D57:L57,1)&gt;0,"REVIEW","OK"))</f>
        <v/>
      </c>
      <c r="AJ57" s="95" t="str">
        <f aca="false">IF(COUNT(D57:L57)=0,"",IF(COUNTIF(D57:L57,"&lt;=2")&gt;=2,"AVOID","OK"))</f>
        <v/>
      </c>
      <c r="AK57" s="95" t="str">
        <f aca="false">IF(COUNTA(E57:M57)=0,"",IF(COUNTIF(E57:M57,"L")&gt;=2,"CAP AT BUY","OK"))</f>
        <v/>
      </c>
      <c r="AL57" s="117"/>
      <c r="AM57" s="110"/>
      <c r="AN57" s="110"/>
      <c r="AO57" s="95"/>
      <c r="AP57" s="110" t="str">
        <f aca="false">IF(OR(AN57="",AO57=""),"",IF(AN57&gt;AO57,"OK","LOW CONF"))</f>
        <v/>
      </c>
      <c r="AQ57" s="110"/>
      <c r="AR57" s="95"/>
      <c r="AS57" s="118" t="str">
        <f aca="false">IF(OR(AQ57="",AR57=""),"",IF(AQ57&lt;AR57,"Decreased",IF(AQ57&gt;AR57,"Increased","Flat")))</f>
        <v/>
      </c>
    </row>
    <row r="58" customFormat="false" ht="15" hidden="false" customHeight="true" outlineLevel="0" collapsed="false">
      <c r="A58" s="72"/>
      <c r="B58" s="110"/>
      <c r="C58" s="110"/>
      <c r="D58" s="110"/>
      <c r="E58" s="110"/>
      <c r="F58" s="110"/>
      <c r="G58" s="110"/>
      <c r="H58" s="110"/>
      <c r="I58" s="110"/>
      <c r="J58" s="110"/>
      <c r="K58" s="110"/>
      <c r="L58" s="110"/>
      <c r="M58" s="110"/>
      <c r="N58" s="112" t="str">
        <f aca="false">IF(COUNT(D58,F58,H58,J58,L58)=0,"",(D58*0.2+F58*0.15+H58*0.15+J58*0.1+L58*0.1)/0.7)</f>
        <v/>
      </c>
      <c r="O58" s="95" t="str">
        <f aca="false">IF(COUNT(D58,F58,H58,J58,L58)=0,"",D58*0.2+F58*0.15+H58*0.15+J58*0.1+L58*0.1)</f>
        <v/>
      </c>
      <c r="P58" s="110"/>
      <c r="Q58" s="110"/>
      <c r="R58" s="110"/>
      <c r="S58" s="110"/>
      <c r="T58" s="110"/>
      <c r="U58" s="110"/>
      <c r="V58" s="110"/>
      <c r="W58" s="110"/>
      <c r="X58" s="74" t="str">
        <f aca="false">IF(COUNT(P58,R58,T58,V58)=0,"",P58*0.08+R58*0.06+T58*0.03+V58*0.08)</f>
        <v/>
      </c>
      <c r="Y58" s="110"/>
      <c r="Z58" s="110"/>
      <c r="AA58" s="110"/>
      <c r="AB58" s="110"/>
      <c r="AC58" s="110"/>
      <c r="AD58" s="110"/>
      <c r="AE58" s="74" t="str">
        <f aca="false">IF(COUNT(Y58,AA58,AC58)=0,"",Y58*0.02+AA58*0.02+AC58*0.01)</f>
        <v/>
      </c>
      <c r="AF58" s="95" t="str">
        <f aca="false">IF(OR(O58="",X58="",AE58=""),"",(O58+X58+AE58)*20)</f>
        <v/>
      </c>
      <c r="AG58" s="95" t="str">
        <f aca="false">IF(AF58="","",IF(AF58&gt;=80,"STRONG BUY",IF(AF58&gt;=65,"BUY",IF(AF58&gt;=50,"WATCH LIST",IF(AF58&gt;=35,"AVOID","PASS")))))</f>
        <v/>
      </c>
      <c r="AH58" s="95" t="str">
        <f aca="false">IF(N58="","",IF(N58&lt;3,"FAIL","OK"))</f>
        <v/>
      </c>
      <c r="AI58" s="95" t="str">
        <f aca="false">IF(COUNT(D58:L58)=0,"",IF(COUNTIF(D58:L58,1)&gt;0,"REVIEW","OK"))</f>
        <v/>
      </c>
      <c r="AJ58" s="95" t="str">
        <f aca="false">IF(COUNT(D58:L58)=0,"",IF(COUNTIF(D58:L58,"&lt;=2")&gt;=2,"AVOID","OK"))</f>
        <v/>
      </c>
      <c r="AK58" s="95" t="str">
        <f aca="false">IF(COUNTA(E58:M58)=0,"",IF(COUNTIF(E58:M58,"L")&gt;=2,"CAP AT BUY","OK"))</f>
        <v/>
      </c>
      <c r="AL58" s="117"/>
      <c r="AM58" s="110"/>
      <c r="AN58" s="110"/>
      <c r="AO58" s="95"/>
      <c r="AP58" s="110" t="str">
        <f aca="false">IF(OR(AN58="",AO58=""),"",IF(AN58&gt;AO58,"OK","LOW CONF"))</f>
        <v/>
      </c>
      <c r="AQ58" s="110"/>
      <c r="AR58" s="95"/>
      <c r="AS58" s="118" t="str">
        <f aca="false">IF(OR(AQ58="",AR58=""),"",IF(AQ58&lt;AR58,"Decreased",IF(AQ58&gt;AR58,"Increased","Flat")))</f>
        <v/>
      </c>
    </row>
    <row r="59" customFormat="false" ht="15" hidden="false" customHeight="true" outlineLevel="0" collapsed="false">
      <c r="A59" s="72"/>
      <c r="B59" s="110"/>
      <c r="C59" s="110"/>
      <c r="D59" s="110"/>
      <c r="E59" s="110"/>
      <c r="F59" s="110"/>
      <c r="G59" s="110"/>
      <c r="H59" s="110"/>
      <c r="I59" s="110"/>
      <c r="J59" s="110"/>
      <c r="K59" s="110"/>
      <c r="L59" s="110"/>
      <c r="M59" s="110"/>
      <c r="N59" s="112" t="str">
        <f aca="false">IF(COUNT(D59,F59,H59,J59,L59)=0,"",(D59*0.2+F59*0.15+H59*0.15+J59*0.1+L59*0.1)/0.7)</f>
        <v/>
      </c>
      <c r="O59" s="95" t="str">
        <f aca="false">IF(COUNT(D59,F59,H59,J59,L59)=0,"",D59*0.2+F59*0.15+H59*0.15+J59*0.1+L59*0.1)</f>
        <v/>
      </c>
      <c r="P59" s="110"/>
      <c r="Q59" s="110"/>
      <c r="R59" s="110"/>
      <c r="S59" s="110"/>
      <c r="T59" s="110"/>
      <c r="U59" s="110"/>
      <c r="V59" s="110"/>
      <c r="W59" s="110"/>
      <c r="X59" s="74" t="str">
        <f aca="false">IF(COUNT(P59,R59,T59,V59)=0,"",P59*0.08+R59*0.06+T59*0.03+V59*0.08)</f>
        <v/>
      </c>
      <c r="Y59" s="110"/>
      <c r="Z59" s="110"/>
      <c r="AA59" s="110"/>
      <c r="AB59" s="110"/>
      <c r="AC59" s="110"/>
      <c r="AD59" s="110"/>
      <c r="AE59" s="74" t="str">
        <f aca="false">IF(COUNT(Y59,AA59,AC59)=0,"",Y59*0.02+AA59*0.02+AC59*0.01)</f>
        <v/>
      </c>
      <c r="AF59" s="95" t="str">
        <f aca="false">IF(OR(O59="",X59="",AE59=""),"",(O59+X59+AE59)*20)</f>
        <v/>
      </c>
      <c r="AG59" s="95" t="str">
        <f aca="false">IF(AF59="","",IF(AF59&gt;=80,"STRONG BUY",IF(AF59&gt;=65,"BUY",IF(AF59&gt;=50,"WATCH LIST",IF(AF59&gt;=35,"AVOID","PASS")))))</f>
        <v/>
      </c>
      <c r="AH59" s="95" t="str">
        <f aca="false">IF(N59="","",IF(N59&lt;3,"FAIL","OK"))</f>
        <v/>
      </c>
      <c r="AI59" s="95" t="str">
        <f aca="false">IF(COUNT(D59:L59)=0,"",IF(COUNTIF(D59:L59,1)&gt;0,"REVIEW","OK"))</f>
        <v/>
      </c>
      <c r="AJ59" s="95" t="str">
        <f aca="false">IF(COUNT(D59:L59)=0,"",IF(COUNTIF(D59:L59,"&lt;=2")&gt;=2,"AVOID","OK"))</f>
        <v/>
      </c>
      <c r="AK59" s="95" t="str">
        <f aca="false">IF(COUNTA(E59:M59)=0,"",IF(COUNTIF(E59:M59,"L")&gt;=2,"CAP AT BUY","OK"))</f>
        <v/>
      </c>
      <c r="AL59" s="117"/>
      <c r="AM59" s="110"/>
      <c r="AN59" s="110"/>
      <c r="AO59" s="95"/>
      <c r="AP59" s="110" t="str">
        <f aca="false">IF(OR(AN59="",AO59=""),"",IF(AN59&gt;AO59,"OK","LOW CONF"))</f>
        <v/>
      </c>
      <c r="AQ59" s="110"/>
      <c r="AR59" s="95"/>
      <c r="AS59" s="118" t="str">
        <f aca="false">IF(OR(AQ59="",AR59=""),"",IF(AQ59&lt;AR59,"Decreased",IF(AQ59&gt;AR59,"Increased","Flat")))</f>
        <v/>
      </c>
    </row>
    <row r="60" customFormat="false" ht="15" hidden="false" customHeight="true" outlineLevel="0" collapsed="false">
      <c r="A60" s="72"/>
      <c r="B60" s="110"/>
      <c r="C60" s="110"/>
      <c r="D60" s="110"/>
      <c r="E60" s="110"/>
      <c r="F60" s="110"/>
      <c r="G60" s="110"/>
      <c r="H60" s="110"/>
      <c r="I60" s="110"/>
      <c r="J60" s="110"/>
      <c r="K60" s="110"/>
      <c r="L60" s="110"/>
      <c r="M60" s="110"/>
      <c r="N60" s="112" t="str">
        <f aca="false">IF(COUNT(D60,F60,H60,J60,L60)=0,"",(D60*0.2+F60*0.15+H60*0.15+J60*0.1+L60*0.1)/0.7)</f>
        <v/>
      </c>
      <c r="O60" s="95" t="str">
        <f aca="false">IF(COUNT(D60,F60,H60,J60,L60)=0,"",D60*0.2+F60*0.15+H60*0.15+J60*0.1+L60*0.1)</f>
        <v/>
      </c>
      <c r="P60" s="110"/>
      <c r="Q60" s="110"/>
      <c r="R60" s="110"/>
      <c r="S60" s="110"/>
      <c r="T60" s="110"/>
      <c r="U60" s="110"/>
      <c r="V60" s="110"/>
      <c r="W60" s="110"/>
      <c r="X60" s="74" t="str">
        <f aca="false">IF(COUNT(P60,R60,T60,V60)=0,"",P60*0.08+R60*0.06+T60*0.03+V60*0.08)</f>
        <v/>
      </c>
      <c r="Y60" s="110"/>
      <c r="Z60" s="110"/>
      <c r="AA60" s="110"/>
      <c r="AB60" s="110"/>
      <c r="AC60" s="110"/>
      <c r="AD60" s="110"/>
      <c r="AE60" s="74" t="str">
        <f aca="false">IF(COUNT(Y60,AA60,AC60)=0,"",Y60*0.02+AA60*0.02+AC60*0.01)</f>
        <v/>
      </c>
      <c r="AF60" s="95" t="str">
        <f aca="false">IF(OR(O60="",X60="",AE60=""),"",(O60+X60+AE60)*20)</f>
        <v/>
      </c>
      <c r="AG60" s="95" t="str">
        <f aca="false">IF(AF60="","",IF(AF60&gt;=80,"STRONG BUY",IF(AF60&gt;=65,"BUY",IF(AF60&gt;=50,"WATCH LIST",IF(AF60&gt;=35,"AVOID","PASS")))))</f>
        <v/>
      </c>
      <c r="AH60" s="95" t="str">
        <f aca="false">IF(N60="","",IF(N60&lt;3,"FAIL","OK"))</f>
        <v/>
      </c>
      <c r="AI60" s="95" t="str">
        <f aca="false">IF(COUNT(D60:L60)=0,"",IF(COUNTIF(D60:L60,1)&gt;0,"REVIEW","OK"))</f>
        <v/>
      </c>
      <c r="AJ60" s="95" t="str">
        <f aca="false">IF(COUNT(D60:L60)=0,"",IF(COUNTIF(D60:L60,"&lt;=2")&gt;=2,"AVOID","OK"))</f>
        <v/>
      </c>
      <c r="AK60" s="95" t="str">
        <f aca="false">IF(COUNTA(E60:M60)=0,"",IF(COUNTIF(E60:M60,"L")&gt;=2,"CAP AT BUY","OK"))</f>
        <v/>
      </c>
      <c r="AL60" s="117"/>
      <c r="AM60" s="110"/>
      <c r="AN60" s="110"/>
      <c r="AO60" s="95"/>
      <c r="AP60" s="110" t="str">
        <f aca="false">IF(OR(AN60="",AO60=""),"",IF(AN60&gt;AO60,"OK","LOW CONF"))</f>
        <v/>
      </c>
      <c r="AQ60" s="110"/>
      <c r="AR60" s="95"/>
      <c r="AS60" s="118" t="str">
        <f aca="false">IF(OR(AQ60="",AR60=""),"",IF(AQ60&lt;AR60,"Decreased",IF(AQ60&gt;AR60,"Increased","Flat")))</f>
        <v/>
      </c>
    </row>
    <row r="62" customFormat="false" ht="15.75" hidden="false" customHeight="true" outlineLevel="0" collapsed="false">
      <c r="A62" s="101" t="n">
        <f aca="false">SUBTOTAL(103,A3:A60)</f>
        <v>26</v>
      </c>
      <c r="B62" s="119" t="s">
        <v>261</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0">
      <formula>"REVIEW"</formula>
    </cfRule>
  </conditionalFormatting>
  <conditionalFormatting sqref="AK3:AK60">
    <cfRule type="cellIs" priority="12" operator="equal" aboveAverage="0" equalAverage="0" bottom="0" percent="0" rank="0" text="" dxfId="20">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0">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0">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0" t="s">
        <v>375</v>
      </c>
      <c r="B1" s="120"/>
      <c r="C1" s="120"/>
      <c r="D1" s="120"/>
      <c r="E1" s="120"/>
      <c r="F1" s="120"/>
      <c r="G1" s="120"/>
      <c r="H1" s="120"/>
      <c r="I1" s="120"/>
      <c r="J1" s="120"/>
      <c r="K1" s="120"/>
      <c r="L1" s="120"/>
      <c r="M1" s="120"/>
      <c r="N1" s="120"/>
      <c r="O1" s="120"/>
      <c r="P1" s="120"/>
      <c r="Q1" s="120"/>
      <c r="R1" s="120"/>
    </row>
    <row r="2" customFormat="false" ht="57" hidden="false" customHeight="true" outlineLevel="0" collapsed="false">
      <c r="A2" s="20" t="s">
        <v>76</v>
      </c>
      <c r="B2" s="121" t="s">
        <v>251</v>
      </c>
      <c r="C2" s="121" t="s">
        <v>376</v>
      </c>
      <c r="D2" s="121" t="s">
        <v>377</v>
      </c>
      <c r="E2" s="121" t="s">
        <v>378</v>
      </c>
      <c r="F2" s="121" t="s">
        <v>379</v>
      </c>
      <c r="G2" s="121" t="s">
        <v>380</v>
      </c>
      <c r="H2" s="121" t="s">
        <v>381</v>
      </c>
      <c r="I2" s="121" t="s">
        <v>382</v>
      </c>
      <c r="J2" s="121" t="s">
        <v>383</v>
      </c>
      <c r="K2" s="121" t="s">
        <v>384</v>
      </c>
      <c r="L2" s="121" t="s">
        <v>385</v>
      </c>
      <c r="M2" s="121" t="s">
        <v>386</v>
      </c>
      <c r="N2" s="121" t="s">
        <v>387</v>
      </c>
      <c r="O2" s="121" t="s">
        <v>388</v>
      </c>
      <c r="P2" s="121" t="s">
        <v>389</v>
      </c>
      <c r="Q2" s="121" t="s">
        <v>390</v>
      </c>
      <c r="R2" s="94" t="s">
        <v>391</v>
      </c>
    </row>
    <row r="3" customFormat="false" ht="15" hidden="false" customHeight="true" outlineLevel="0" collapsed="false">
      <c r="A3" s="95" t="str">
        <f aca="false">IF(Scoring!A3="","",Scoring!A3)</f>
        <v>MU</v>
      </c>
      <c r="B3" s="122"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3"/>
      <c r="O3" s="124"/>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5" t="str">
        <f aca="false">IF(Scoring!A4="","",Scoring!A4)</f>
        <v>AVGO</v>
      </c>
      <c r="B4" s="122"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3"/>
      <c r="O4" s="124"/>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5" t="str">
        <f aca="false">IF(Scoring!A5="","",Scoring!A5)</f>
        <v>PLTR</v>
      </c>
      <c r="B5" s="122"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3"/>
      <c r="O5" s="124"/>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5" t="str">
        <f aca="false">IF(Scoring!A6="","",Scoring!A6)</f>
        <v>NVDA</v>
      </c>
      <c r="B6" s="122"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3"/>
      <c r="O6" s="124"/>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5" t="str">
        <f aca="false">IF(Scoring!A7="","",Scoring!A7)</f>
        <v>VRTX</v>
      </c>
      <c r="B7" s="122"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3"/>
      <c r="O7" s="124"/>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5" t="str">
        <f aca="false">IF(Scoring!A8="","",Scoring!A8)</f>
        <v>PLD</v>
      </c>
      <c r="B8" s="122"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3"/>
      <c r="O8" s="124"/>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5" t="str">
        <f aca="false">IF(Scoring!A9="","",Scoring!A9)</f>
        <v>SFM</v>
      </c>
      <c r="B9" s="122"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3"/>
      <c r="O9" s="124"/>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5" t="str">
        <f aca="false">IF(Scoring!A10="","",Scoring!A10)</f>
        <v>ONON</v>
      </c>
      <c r="B10" s="122"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3"/>
      <c r="O10" s="124"/>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5" t="str">
        <f aca="false">IF(Scoring!A11="","",Scoring!A11)</f>
        <v>TSLA</v>
      </c>
      <c r="B11" s="122"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3"/>
      <c r="O11" s="124"/>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5" t="str">
        <f aca="false">IF(Scoring!A12="","",Scoring!A12)</f>
        <v>ADBE</v>
      </c>
      <c r="B12" s="122"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3"/>
      <c r="O12" s="124"/>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5" t="str">
        <f aca="false">IF(Scoring!A13="","",Scoring!A13)</f>
        <v>ANET</v>
      </c>
      <c r="B13" s="122"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3"/>
      <c r="O13" s="124"/>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5" t="str">
        <f aca="false">IF(Scoring!A14="","",Scoring!A14)</f>
        <v>ASML</v>
      </c>
      <c r="B14" s="122"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3"/>
      <c r="O14" s="124"/>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5" t="str">
        <f aca="false">IF(Scoring!A15="","",Scoring!A15)</f>
        <v>CRWD</v>
      </c>
      <c r="B15" s="122"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3"/>
      <c r="O15" s="124"/>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5" t="str">
        <f aca="false">IF(Scoring!A16="","",Scoring!A16)</f>
        <v>KLAC</v>
      </c>
      <c r="B16" s="122"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3"/>
      <c r="O16" s="124"/>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5" t="str">
        <f aca="false">IF(Scoring!A17="","",Scoring!A17)</f>
        <v>TSM</v>
      </c>
      <c r="B17" s="122"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3"/>
      <c r="O17" s="124"/>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5" t="str">
        <f aca="false">IF(Scoring!A18="","",Scoring!A18)</f>
        <v>VRT</v>
      </c>
      <c r="B18" s="122"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3"/>
      <c r="O18" s="124"/>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5" t="str">
        <f aca="false">IF(Scoring!A19="","",Scoring!A19)</f>
        <v>COST</v>
      </c>
      <c r="B19" s="122"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185</v>
      </c>
      <c r="G19" s="27" t="s">
        <v>185</v>
      </c>
      <c r="H19" s="78" t="str">
        <f aca="false">IF(OR(F19="",G19=""),"",IF(AND(F19="Y",G19="Y"),"Standard initial size","50% of normal initial size + 90-day technical review"))</f>
        <v>Standard initial size</v>
      </c>
      <c r="I19" s="27" t="s">
        <v>187</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3" t="n">
        <v>61.48</v>
      </c>
      <c r="O19" s="124"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122"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185</v>
      </c>
      <c r="G20" s="27" t="s">
        <v>185</v>
      </c>
      <c r="H20" s="78" t="str">
        <f aca="false">IF(OR(F20="",G20=""),"",IF(AND(F20="Y",G20="Y"),"Standard initial size","50% of normal initial size + 90-day technical review"))</f>
        <v>Standard initial size</v>
      </c>
      <c r="I20" s="27" t="s">
        <v>185</v>
      </c>
      <c r="J20" s="27" t="s">
        <v>185</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3" t="n">
        <v>34.36</v>
      </c>
      <c r="O20" s="124"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5" t="str">
        <f aca="false">IF(Scoring!A21="","",Scoring!A21)</f>
        <v>NEE</v>
      </c>
      <c r="B21" s="122"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3"/>
      <c r="O21" s="124"/>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5" t="str">
        <f aca="false">IF(Scoring!A22="","",Scoring!A22)</f>
        <v>CRK</v>
      </c>
      <c r="B22" s="122"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3"/>
      <c r="O22" s="124"/>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5" t="str">
        <f aca="false">IF(Scoring!A23="","",Scoring!A23)</f>
        <v>ET</v>
      </c>
      <c r="B23" s="122"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3"/>
      <c r="O23" s="124"/>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5" t="str">
        <f aca="false">IF(Scoring!A24="","",Scoring!A24)</f>
        <v>LBRT</v>
      </c>
      <c r="B24" s="122"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3"/>
      <c r="O24" s="124"/>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5" t="str">
        <f aca="false">IF(Scoring!A25="","",Scoring!A25)</f>
        <v>NOV</v>
      </c>
      <c r="B25" s="122"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3"/>
      <c r="O25" s="124"/>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5" t="str">
        <f aca="false">IF(Scoring!A26="","",Scoring!A26)</f>
        <v>CE</v>
      </c>
      <c r="B26" s="122"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3"/>
      <c r="O26" s="124"/>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5" t="str">
        <f aca="false">IF(Scoring!A27="","",Scoring!A27)</f>
        <v>CLF</v>
      </c>
      <c r="B27" s="122"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3"/>
      <c r="O27" s="124"/>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5" t="str">
        <f aca="false">IF(Scoring!A28="","",Scoring!A28)</f>
        <v>LIN</v>
      </c>
      <c r="B28" s="122"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3"/>
      <c r="O28" s="124"/>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5" t="str">
        <f aca="false">IF(Scoring!A29="","",Scoring!A29)</f>
        <v>DEO</v>
      </c>
      <c r="B29" s="122"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3"/>
      <c r="O29" s="124"/>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5" t="str">
        <f aca="false">IF(Scoring!A30="","",Scoring!A30)</f>
        <v>EL</v>
      </c>
      <c r="B30" s="122" t="str">
        <f aca="false">IF(Scoring!B30="","",Scoring!B30)</f>
        <v>Estee Lauder Companies</v>
      </c>
      <c r="C30" s="78" t="str">
        <f aca="false">IF(Scoring!AG30="","",IF(OR(Scoring!AG30="STRONG BUY",Scoring!AG30="BUY"),"PASS","FAIL"))</f>
        <v/>
      </c>
      <c r="D30" s="78" t="str">
        <f aca="false">IF(Scoring!AH30="","",IF(Scoring!AH30="OK","PASS","FAIL"))</f>
        <v>FAIL</v>
      </c>
      <c r="E30" s="125"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3"/>
      <c r="O30" s="124"/>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5" t="str">
        <f aca="false">IF(Scoring!A31="","",Scoring!A31)</f>
        <v>HRL</v>
      </c>
      <c r="B31" s="122" t="str">
        <f aca="false">IF(Scoring!B31="","",Scoring!B31)</f>
        <v>Hormel Foods Corp.</v>
      </c>
      <c r="C31" s="78" t="str">
        <f aca="false">IF(Scoring!AG31="","",IF(OR(Scoring!AG31="STRONG BUY",Scoring!AG31="BUY"),"PASS","FAIL"))</f>
        <v/>
      </c>
      <c r="D31" s="78" t="str">
        <f aca="false">IF(Scoring!AH31="","",IF(Scoring!AH31="OK","PASS","FAIL"))</f>
        <v>FAIL</v>
      </c>
      <c r="E31" s="125"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3"/>
      <c r="O31" s="124"/>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5" t="str">
        <f aca="false">IF(Scoring!A32="","",Scoring!A32)</f>
        <v>PG</v>
      </c>
      <c r="B32" s="122"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3"/>
      <c r="O32" s="124"/>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5" t="str">
        <f aca="false">IF(Scoring!A33="","",Scoring!A33)</f>
        <v>CMG</v>
      </c>
      <c r="B33" s="122"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3"/>
      <c r="O33" s="124"/>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5" t="str">
        <f aca="false">IF(Scoring!A34="","",Scoring!A34)</f>
        <v>DPZ</v>
      </c>
      <c r="B34" s="122"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3"/>
      <c r="O34" s="124"/>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5" t="str">
        <f aca="false">IF(Scoring!A35="","",Scoring!A35)</f>
        <v>PZZA</v>
      </c>
      <c r="B35" s="122" t="str">
        <f aca="false">IF(Scoring!B35="","",Scoring!B35)</f>
        <v>Papa John's Intl.</v>
      </c>
      <c r="C35" s="78" t="str">
        <f aca="false">IF(Scoring!AG35="","",IF(OR(Scoring!AG35="STRONG BUY",Scoring!AG35="BUY"),"PASS","FAIL"))</f>
        <v/>
      </c>
      <c r="D35" s="78" t="str">
        <f aca="false">IF(Scoring!AH35="","",IF(Scoring!AH35="OK","PASS","FAIL"))</f>
        <v>FAIL</v>
      </c>
      <c r="E35" s="125"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3"/>
      <c r="O35" s="124"/>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5" t="str">
        <f aca="false">IF(Scoring!A36="","",Scoring!A36)</f>
        <v>YUM</v>
      </c>
      <c r="B36" s="122"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3"/>
      <c r="O36" s="124"/>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5" t="str">
        <f aca="false">IF(Scoring!A37="","",Scoring!A37)</f>
        <v>NKE</v>
      </c>
      <c r="B37" s="122" t="str">
        <f aca="false">IF(Scoring!B37="","",Scoring!B37)</f>
        <v>Nike Inc.</v>
      </c>
      <c r="C37" s="78" t="str">
        <f aca="false">IF(Scoring!AG37="","",IF(OR(Scoring!AG37="STRONG BUY",Scoring!AG37="BUY"),"PASS","FAIL"))</f>
        <v/>
      </c>
      <c r="D37" s="78" t="str">
        <f aca="false">IF(Scoring!AH37="","",IF(Scoring!AH37="OK","PASS","FAIL"))</f>
        <v>FAIL</v>
      </c>
      <c r="E37" s="125"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3"/>
      <c r="O37" s="124"/>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5" t="str">
        <f aca="false">IF(Scoring!A38="","",Scoring!A38)</f>
        <v>VFC</v>
      </c>
      <c r="B38" s="122"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3"/>
      <c r="O38" s="124"/>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5" t="str">
        <f aca="false">IF(Scoring!A39="","",Scoring!A39)</f>
        <v>GOOS</v>
      </c>
      <c r="B39" s="122" t="str">
        <f aca="false">IF(Scoring!B39="","",Scoring!B39)</f>
        <v>Canada Goose Holdings</v>
      </c>
      <c r="C39" s="78" t="str">
        <f aca="false">IF(Scoring!AG39="","",IF(OR(Scoring!AG39="STRONG BUY",Scoring!AG39="BUY"),"PASS","FAIL"))</f>
        <v/>
      </c>
      <c r="D39" s="78" t="str">
        <f aca="false">IF(Scoring!AH39="","",IF(Scoring!AH39="OK","PASS","FAIL"))</f>
        <v>FAIL</v>
      </c>
      <c r="E39" s="125"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3"/>
      <c r="O39" s="124"/>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5" t="str">
        <f aca="false">IF(Scoring!A40="","",Scoring!A40)</f>
        <v>AAP</v>
      </c>
      <c r="B40" s="122" t="str">
        <f aca="false">IF(Scoring!B40="","",Scoring!B40)</f>
        <v>Advance Auto Parts Inc.</v>
      </c>
      <c r="C40" s="78" t="str">
        <f aca="false">IF(Scoring!AG40="","",IF(OR(Scoring!AG40="STRONG BUY",Scoring!AG40="BUY"),"PASS","FAIL"))</f>
        <v/>
      </c>
      <c r="D40" s="78" t="str">
        <f aca="false">IF(Scoring!AH40="","",IF(Scoring!AH40="OK","PASS","FAIL"))</f>
        <v>FAIL</v>
      </c>
      <c r="E40" s="125"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3"/>
      <c r="O40" s="124"/>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5" t="str">
        <f aca="false">IF(Scoring!A41="","",Scoring!A41)</f>
        <v>BABA</v>
      </c>
      <c r="B41" s="122"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3"/>
      <c r="O41" s="124"/>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5" t="str">
        <f aca="false">IF(Scoring!A42="","",Scoring!A42)</f>
        <v>ETSY</v>
      </c>
      <c r="B42" s="122"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3"/>
      <c r="O42" s="124"/>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5" t="str">
        <f aca="false">IF(Scoring!A43="","",Scoring!A43)</f>
        <v>GE</v>
      </c>
      <c r="B43" s="122"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3"/>
      <c r="O43" s="124"/>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5" t="str">
        <f aca="false">IF(Scoring!A44="","",Scoring!A44)</f>
        <v>PH</v>
      </c>
      <c r="B44" s="122"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3"/>
      <c r="O44" s="124"/>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5" t="str">
        <f aca="false">IF(Scoring!A45="","",Scoring!A45)</f>
        <v>ETN</v>
      </c>
      <c r="B45" s="122"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3"/>
      <c r="O45" s="124"/>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5" t="str">
        <f aca="false">IF(Scoring!A46="","",Scoring!A46)</f>
        <v>DIS</v>
      </c>
      <c r="B46" s="122"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3"/>
      <c r="O46" s="124"/>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5" t="str">
        <f aca="false">IF(Scoring!A47="","",Scoring!A47)</f>
        <v>NFLX</v>
      </c>
      <c r="B47" s="122"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3"/>
      <c r="O47" s="124"/>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5"/>
      <c r="B48" s="122"/>
      <c r="C48" s="78"/>
      <c r="D48" s="78"/>
      <c r="E48" s="78"/>
      <c r="F48" s="27"/>
      <c r="G48" s="27"/>
      <c r="H48" s="78"/>
      <c r="I48" s="27"/>
      <c r="J48" s="27"/>
      <c r="K48" s="78"/>
      <c r="L48" s="78"/>
      <c r="M48" s="78"/>
      <c r="N48" s="123"/>
      <c r="O48" s="124"/>
      <c r="P48" s="78"/>
      <c r="Q48" s="78"/>
      <c r="R48" s="78"/>
    </row>
    <row r="49" customFormat="false" ht="15" hidden="false" customHeight="true" outlineLevel="0" collapsed="false">
      <c r="A49" s="95"/>
      <c r="B49" s="122"/>
      <c r="C49" s="78"/>
      <c r="D49" s="78"/>
      <c r="E49" s="78"/>
      <c r="F49" s="27"/>
      <c r="G49" s="27"/>
      <c r="H49" s="78"/>
      <c r="I49" s="27"/>
      <c r="J49" s="27"/>
      <c r="K49" s="78"/>
      <c r="L49" s="78"/>
      <c r="M49" s="78"/>
      <c r="N49" s="123"/>
      <c r="O49" s="124"/>
      <c r="P49" s="78"/>
      <c r="Q49" s="78"/>
      <c r="R49" s="78"/>
    </row>
    <row r="51" customFormat="false" ht="15.75" hidden="false" customHeight="true" outlineLevel="0" collapsed="false">
      <c r="A51" s="101" t="n">
        <f aca="false">SUBTOTAL(103,A3:A49)</f>
        <v>26</v>
      </c>
      <c r="B51" s="119" t="s">
        <v>261</v>
      </c>
    </row>
  </sheetData>
  <mergeCells count="1">
    <mergeCell ref="A1:R1"/>
  </mergeCells>
  <conditionalFormatting sqref="C3:D49">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8">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8">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8">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8">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8">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8">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8">
      <formula>"Standard initial size"</formula>
    </cfRule>
    <cfRule type="expression" priority="17" aboveAverage="0" equalAverage="0" bottom="0" percent="0" rank="0" text="" dxfId="20">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392</v>
      </c>
      <c r="B1" s="126"/>
      <c r="C1" s="126"/>
      <c r="D1" s="126"/>
      <c r="E1" s="126"/>
      <c r="F1" s="126"/>
      <c r="G1" s="126"/>
      <c r="H1" s="126"/>
      <c r="I1" s="126"/>
    </row>
    <row r="2" customFormat="false" ht="25.5" hidden="false" customHeight="true" outlineLevel="0" collapsed="false">
      <c r="A2" s="107" t="s">
        <v>76</v>
      </c>
      <c r="B2" s="107" t="s">
        <v>251</v>
      </c>
      <c r="C2" s="107" t="s">
        <v>393</v>
      </c>
      <c r="D2" s="107" t="s">
        <v>394</v>
      </c>
      <c r="E2" s="107" t="s">
        <v>395</v>
      </c>
      <c r="F2" s="107" t="s">
        <v>396</v>
      </c>
      <c r="G2" s="107" t="s">
        <v>397</v>
      </c>
      <c r="H2" s="107" t="s">
        <v>398</v>
      </c>
      <c r="I2" s="107" t="s">
        <v>399</v>
      </c>
    </row>
    <row r="3" customFormat="false" ht="15" hidden="false" customHeight="true" outlineLevel="0" collapsed="false">
      <c r="A3" s="110"/>
      <c r="B3" s="110"/>
      <c r="C3" s="127"/>
      <c r="D3" s="128"/>
      <c r="E3" s="129"/>
      <c r="F3" s="130"/>
      <c r="G3" s="127"/>
      <c r="H3" s="127"/>
      <c r="I3" s="131"/>
    </row>
    <row r="4" customFormat="false" ht="15" hidden="false" customHeight="true" outlineLevel="0" collapsed="false">
      <c r="A4" s="110"/>
      <c r="B4" s="110"/>
      <c r="C4" s="127"/>
      <c r="D4" s="128"/>
      <c r="E4" s="129"/>
      <c r="F4" s="130"/>
      <c r="G4" s="127"/>
      <c r="H4" s="127"/>
      <c r="I4" s="131"/>
    </row>
    <row r="5" customFormat="false" ht="15" hidden="false" customHeight="true" outlineLevel="0" collapsed="false">
      <c r="A5" s="110"/>
      <c r="B5" s="110"/>
      <c r="C5" s="127"/>
      <c r="D5" s="128"/>
      <c r="E5" s="129"/>
      <c r="F5" s="130"/>
      <c r="G5" s="127"/>
      <c r="H5" s="127"/>
      <c r="I5" s="131"/>
    </row>
    <row r="6" customFormat="false" ht="15" hidden="false" customHeight="true" outlineLevel="0" collapsed="false">
      <c r="A6" s="110"/>
      <c r="B6" s="110"/>
      <c r="C6" s="127"/>
      <c r="D6" s="128"/>
      <c r="E6" s="129"/>
      <c r="F6" s="130"/>
      <c r="G6" s="127"/>
      <c r="H6" s="127"/>
      <c r="I6" s="131"/>
    </row>
    <row r="7" customFormat="false" ht="15" hidden="false" customHeight="true" outlineLevel="0" collapsed="false">
      <c r="A7" s="110"/>
      <c r="B7" s="110"/>
      <c r="C7" s="127"/>
      <c r="D7" s="128"/>
      <c r="E7" s="129"/>
      <c r="F7" s="130"/>
      <c r="G7" s="127"/>
      <c r="H7" s="127"/>
      <c r="I7" s="131"/>
    </row>
    <row r="8" customFormat="false" ht="15" hidden="false" customHeight="true" outlineLevel="0" collapsed="false">
      <c r="A8" s="110"/>
      <c r="B8" s="110"/>
      <c r="C8" s="127"/>
      <c r="D8" s="128"/>
      <c r="E8" s="129"/>
      <c r="F8" s="130"/>
      <c r="G8" s="127"/>
      <c r="H8" s="127"/>
      <c r="I8" s="131"/>
    </row>
    <row r="9" customFormat="false" ht="15" hidden="false" customHeight="true" outlineLevel="0" collapsed="false">
      <c r="A9" s="110"/>
      <c r="B9" s="110"/>
      <c r="C9" s="127"/>
      <c r="D9" s="128"/>
      <c r="E9" s="129"/>
      <c r="F9" s="130"/>
      <c r="G9" s="127"/>
      <c r="H9" s="127"/>
      <c r="I9" s="131"/>
    </row>
    <row r="10" customFormat="false" ht="15" hidden="false" customHeight="true" outlineLevel="0" collapsed="false">
      <c r="A10" s="110"/>
      <c r="B10" s="110"/>
      <c r="C10" s="127"/>
      <c r="D10" s="128"/>
      <c r="E10" s="129"/>
      <c r="F10" s="130"/>
      <c r="G10" s="127"/>
      <c r="H10" s="127"/>
      <c r="I10" s="131"/>
    </row>
    <row r="11" customFormat="false" ht="15" hidden="false" customHeight="true" outlineLevel="0" collapsed="false">
      <c r="A11" s="110"/>
      <c r="B11" s="110"/>
      <c r="C11" s="127"/>
      <c r="D11" s="128"/>
      <c r="E11" s="129"/>
      <c r="F11" s="130"/>
      <c r="G11" s="127"/>
      <c r="H11" s="127"/>
      <c r="I11" s="131"/>
    </row>
    <row r="12" customFormat="false" ht="15" hidden="false" customHeight="true" outlineLevel="0" collapsed="false">
      <c r="A12" s="110"/>
      <c r="B12" s="110"/>
      <c r="C12" s="127"/>
      <c r="D12" s="128"/>
      <c r="E12" s="129"/>
      <c r="F12" s="130"/>
      <c r="G12" s="127"/>
      <c r="H12" s="127"/>
      <c r="I12" s="131"/>
    </row>
    <row r="13" customFormat="false" ht="15" hidden="false" customHeight="true" outlineLevel="0" collapsed="false">
      <c r="A13" s="110"/>
      <c r="B13" s="110"/>
      <c r="C13" s="127"/>
      <c r="D13" s="128"/>
      <c r="E13" s="129"/>
      <c r="F13" s="130"/>
      <c r="G13" s="127"/>
      <c r="H13" s="127"/>
      <c r="I13" s="131"/>
    </row>
    <row r="14" customFormat="false" ht="15" hidden="false" customHeight="true" outlineLevel="0" collapsed="false">
      <c r="A14" s="110"/>
      <c r="B14" s="110"/>
      <c r="C14" s="127"/>
      <c r="D14" s="128"/>
      <c r="E14" s="129"/>
      <c r="F14" s="130"/>
      <c r="G14" s="127"/>
      <c r="H14" s="127"/>
      <c r="I14" s="131"/>
    </row>
    <row r="15" customFormat="false" ht="15" hidden="false" customHeight="true" outlineLevel="0" collapsed="false">
      <c r="A15" s="110"/>
      <c r="B15" s="110"/>
      <c r="C15" s="127"/>
      <c r="D15" s="128"/>
      <c r="E15" s="129"/>
      <c r="F15" s="130"/>
      <c r="G15" s="127"/>
      <c r="H15" s="127"/>
      <c r="I15" s="131"/>
    </row>
    <row r="16" customFormat="false" ht="15" hidden="false" customHeight="true" outlineLevel="0" collapsed="false">
      <c r="A16" s="110"/>
      <c r="B16" s="110"/>
      <c r="C16" s="127"/>
      <c r="D16" s="128"/>
      <c r="E16" s="129"/>
      <c r="F16" s="130"/>
      <c r="G16" s="127"/>
      <c r="H16" s="127"/>
      <c r="I16" s="131"/>
    </row>
    <row r="17" customFormat="false" ht="15" hidden="false" customHeight="true" outlineLevel="0" collapsed="false">
      <c r="A17" s="110"/>
      <c r="B17" s="110"/>
      <c r="C17" s="127"/>
      <c r="D17" s="128"/>
      <c r="E17" s="129"/>
      <c r="F17" s="130"/>
      <c r="G17" s="127"/>
      <c r="H17" s="127"/>
      <c r="I17" s="131"/>
    </row>
    <row r="18" customFormat="false" ht="15" hidden="false" customHeight="true" outlineLevel="0" collapsed="false">
      <c r="A18" s="110"/>
      <c r="B18" s="110"/>
      <c r="C18" s="127"/>
      <c r="D18" s="128"/>
      <c r="E18" s="129"/>
      <c r="F18" s="130"/>
      <c r="G18" s="127"/>
      <c r="H18" s="127"/>
      <c r="I18" s="131"/>
    </row>
    <row r="19" customFormat="false" ht="15" hidden="false" customHeight="true" outlineLevel="0" collapsed="false">
      <c r="A19" s="110"/>
      <c r="B19" s="110"/>
      <c r="C19" s="127"/>
      <c r="D19" s="128"/>
      <c r="E19" s="129"/>
      <c r="F19" s="130"/>
      <c r="G19" s="127"/>
      <c r="H19" s="127"/>
      <c r="I19" s="131"/>
    </row>
    <row r="20" customFormat="false" ht="15" hidden="false" customHeight="true" outlineLevel="0" collapsed="false">
      <c r="A20" s="110"/>
      <c r="B20" s="110"/>
      <c r="C20" s="127"/>
      <c r="D20" s="128"/>
      <c r="E20" s="129"/>
      <c r="F20" s="130"/>
      <c r="G20" s="127"/>
      <c r="H20" s="127"/>
      <c r="I20" s="131"/>
    </row>
    <row r="21" customFormat="false" ht="15" hidden="false" customHeight="true" outlineLevel="0" collapsed="false">
      <c r="A21" s="110"/>
      <c r="B21" s="110"/>
      <c r="C21" s="127"/>
      <c r="D21" s="128"/>
      <c r="E21" s="129"/>
      <c r="F21" s="130"/>
      <c r="G21" s="127"/>
      <c r="H21" s="127"/>
      <c r="I21" s="131"/>
    </row>
    <row r="22" customFormat="false" ht="15" hidden="false" customHeight="true" outlineLevel="0" collapsed="false">
      <c r="A22" s="110"/>
      <c r="B22" s="110"/>
      <c r="C22" s="127"/>
      <c r="D22" s="128"/>
      <c r="E22" s="129"/>
      <c r="F22" s="130"/>
      <c r="G22" s="127"/>
      <c r="H22" s="127"/>
      <c r="I22" s="131"/>
    </row>
    <row r="23" customFormat="false" ht="15" hidden="false" customHeight="true" outlineLevel="0" collapsed="false">
      <c r="A23" s="110"/>
      <c r="B23" s="110"/>
      <c r="C23" s="127"/>
      <c r="D23" s="128"/>
      <c r="E23" s="129"/>
      <c r="F23" s="130"/>
      <c r="G23" s="127"/>
      <c r="H23" s="127"/>
      <c r="I23" s="131"/>
    </row>
    <row r="24" customFormat="false" ht="15" hidden="false" customHeight="true" outlineLevel="0" collapsed="false">
      <c r="A24" s="110"/>
      <c r="B24" s="110"/>
      <c r="C24" s="127"/>
      <c r="D24" s="128"/>
      <c r="E24" s="129"/>
      <c r="F24" s="130"/>
      <c r="G24" s="127"/>
      <c r="H24" s="127"/>
      <c r="I24" s="131"/>
    </row>
    <row r="25" customFormat="false" ht="15" hidden="false" customHeight="true" outlineLevel="0" collapsed="false">
      <c r="A25" s="110"/>
      <c r="B25" s="110"/>
      <c r="C25" s="127"/>
      <c r="D25" s="128"/>
      <c r="E25" s="129"/>
      <c r="F25" s="130"/>
      <c r="G25" s="127"/>
      <c r="H25" s="127"/>
      <c r="I25" s="131"/>
    </row>
    <row r="26" customFormat="false" ht="15" hidden="false" customHeight="true" outlineLevel="0" collapsed="false">
      <c r="A26" s="110"/>
      <c r="B26" s="110"/>
      <c r="C26" s="127"/>
      <c r="D26" s="128"/>
      <c r="E26" s="129"/>
      <c r="F26" s="130"/>
      <c r="G26" s="127"/>
      <c r="H26" s="127"/>
      <c r="I26" s="131"/>
    </row>
    <row r="27" customFormat="false" ht="15" hidden="false" customHeight="true" outlineLevel="0" collapsed="false">
      <c r="A27" s="110"/>
      <c r="B27" s="110"/>
      <c r="C27" s="127"/>
      <c r="D27" s="128"/>
      <c r="E27" s="129"/>
      <c r="F27" s="130"/>
      <c r="G27" s="127"/>
      <c r="H27" s="127"/>
      <c r="I27" s="131"/>
    </row>
    <row r="30" customFormat="false" ht="15" hidden="false" customHeight="true" outlineLevel="0" collapsed="false">
      <c r="A30" s="132" t="s">
        <v>400</v>
      </c>
      <c r="B30" s="132"/>
      <c r="C30" s="132"/>
      <c r="D30" s="132"/>
      <c r="E30" s="132"/>
      <c r="F30" s="132"/>
      <c r="G30" s="132"/>
      <c r="H30" s="132"/>
      <c r="I30" s="132"/>
    </row>
    <row r="31" customFormat="false" ht="15" hidden="false" customHeight="true" outlineLevel="0" collapsed="false">
      <c r="A31" s="132" t="s">
        <v>401</v>
      </c>
      <c r="B31" s="132"/>
      <c r="C31" s="132"/>
      <c r="D31" s="132"/>
      <c r="E31" s="132"/>
      <c r="F31" s="132"/>
      <c r="G31" s="132"/>
      <c r="H31" s="132"/>
      <c r="I31" s="132"/>
    </row>
    <row r="32" customFormat="false" ht="15" hidden="false" customHeight="true" outlineLevel="0" collapsed="false">
      <c r="A32" s="132" t="s">
        <v>402</v>
      </c>
      <c r="B32" s="132"/>
      <c r="C32" s="132"/>
      <c r="D32" s="132"/>
      <c r="E32" s="132"/>
      <c r="F32" s="132"/>
      <c r="G32" s="132"/>
      <c r="H32" s="132"/>
      <c r="I32" s="132"/>
    </row>
    <row r="33" customFormat="false" ht="15" hidden="false" customHeight="true" outlineLevel="0" collapsed="false">
      <c r="A33" s="132" t="s">
        <v>403</v>
      </c>
      <c r="B33" s="132"/>
      <c r="C33" s="132"/>
      <c r="D33" s="132"/>
      <c r="E33" s="132"/>
      <c r="F33" s="132"/>
      <c r="G33" s="132"/>
      <c r="H33" s="132"/>
      <c r="I33" s="132"/>
    </row>
    <row r="34" customFormat="false" ht="15" hidden="false" customHeight="true" outlineLevel="0" collapsed="false">
      <c r="A34" s="132" t="s">
        <v>404</v>
      </c>
      <c r="B34" s="132"/>
      <c r="C34" s="132"/>
      <c r="D34" s="132"/>
      <c r="E34" s="132"/>
      <c r="F34" s="132"/>
      <c r="G34" s="132"/>
      <c r="H34" s="132"/>
      <c r="I34" s="132"/>
    </row>
    <row r="35" customFormat="false" ht="15" hidden="false" customHeight="true" outlineLevel="0" collapsed="false">
      <c r="A35" s="132" t="s">
        <v>405</v>
      </c>
      <c r="B35" s="132"/>
      <c r="C35" s="132"/>
      <c r="D35" s="132"/>
      <c r="E35" s="132"/>
      <c r="F35" s="132"/>
      <c r="G35" s="132"/>
      <c r="H35" s="132"/>
      <c r="I35" s="132"/>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3" t="s">
        <v>406</v>
      </c>
      <c r="B1" s="133"/>
      <c r="C1" s="133"/>
      <c r="D1" s="133"/>
      <c r="E1" s="133"/>
      <c r="F1" s="133"/>
      <c r="G1" s="133"/>
      <c r="H1" s="133"/>
      <c r="I1" s="133"/>
      <c r="J1" s="133"/>
      <c r="K1" s="133"/>
      <c r="L1" s="133"/>
      <c r="M1" s="133"/>
      <c r="N1" s="133"/>
      <c r="O1" s="133"/>
      <c r="P1" s="133"/>
      <c r="Q1" s="133"/>
      <c r="R1" s="133"/>
      <c r="S1" s="133"/>
      <c r="T1" s="133"/>
      <c r="U1" s="133"/>
    </row>
    <row r="2" customFormat="false" ht="15" hidden="false" customHeight="true" outlineLevel="0" collapsed="false">
      <c r="A2" s="107" t="s">
        <v>250</v>
      </c>
      <c r="B2" s="107" t="str">
        <f aca="false">'Price History'!B2</f>
        <v>ADBE</v>
      </c>
      <c r="C2" s="107" t="str">
        <f aca="false">'Price History'!C2</f>
        <v>ANET</v>
      </c>
      <c r="D2" s="107" t="str">
        <f aca="false">'Price History'!D2</f>
        <v>ASML</v>
      </c>
      <c r="E2" s="107" t="str">
        <f aca="false">'Price History'!E2</f>
        <v>AVGO</v>
      </c>
      <c r="F2" s="107" t="str">
        <f aca="false">'Price History'!F2</f>
        <v>CRWD</v>
      </c>
      <c r="G2" s="107" t="str">
        <f aca="false">'Price History'!G2</f>
        <v>KLAC</v>
      </c>
      <c r="H2" s="107" t="str">
        <f aca="false">'Price History'!H2</f>
        <v>MU</v>
      </c>
      <c r="I2" s="107" t="str">
        <f aca="false">'Price History'!I2</f>
        <v>NVDA</v>
      </c>
      <c r="J2" s="107" t="str">
        <f aca="false">'Price History'!J2</f>
        <v>PLD</v>
      </c>
      <c r="K2" s="107" t="str">
        <f aca="false">'Price History'!K2</f>
        <v>PLTR</v>
      </c>
      <c r="L2" s="107" t="str">
        <f aca="false">'Price History'!L2</f>
        <v>TSM</v>
      </c>
      <c r="M2" s="107" t="str">
        <f aca="false">'Price History'!M2</f>
        <v>VRT</v>
      </c>
      <c r="N2" s="107" t="str">
        <f aca="false">'Price History'!N2</f>
        <v>VRTX</v>
      </c>
      <c r="O2" s="107" t="str">
        <f aca="false">'Price History'!O2</f>
        <v>AVUV</v>
      </c>
      <c r="P2" s="107" t="n">
        <f aca="false">'Price History'!P2</f>
        <v>0</v>
      </c>
      <c r="Q2" s="107" t="str">
        <f aca="false">'Price History'!Q2</f>
        <v>HELO</v>
      </c>
      <c r="R2" s="107" t="str">
        <f aca="false">'Price History'!R2</f>
        <v>JEPQ</v>
      </c>
      <c r="S2" s="107" t="str">
        <f aca="false">'Price History'!S2</f>
        <v>SPMO</v>
      </c>
      <c r="T2" s="107" t="str">
        <f aca="false">'Price History'!T2</f>
        <v>VFLO</v>
      </c>
      <c r="U2" s="107" t="n">
        <f aca="false">'Price History'!U2</f>
        <v>0</v>
      </c>
      <c r="W2" s="134" t="s">
        <v>407</v>
      </c>
      <c r="X2" s="134" t="s">
        <v>408</v>
      </c>
      <c r="Y2" s="134" t="s">
        <v>409</v>
      </c>
      <c r="Z2" s="134" t="s">
        <v>410</v>
      </c>
      <c r="AA2" s="134" t="s">
        <v>411</v>
      </c>
      <c r="AB2" s="134" t="s">
        <v>412</v>
      </c>
      <c r="AC2" s="134" t="s">
        <v>413</v>
      </c>
      <c r="AD2" s="134" t="s">
        <v>414</v>
      </c>
      <c r="AE2" s="134" t="s">
        <v>415</v>
      </c>
      <c r="AF2" s="134" t="s">
        <v>416</v>
      </c>
      <c r="AG2" s="134" t="s">
        <v>417</v>
      </c>
      <c r="AH2" s="134" t="s">
        <v>418</v>
      </c>
      <c r="AI2" s="134" t="s">
        <v>419</v>
      </c>
      <c r="AJ2" s="134" t="s">
        <v>420</v>
      </c>
      <c r="AK2" s="134" t="s">
        <v>421</v>
      </c>
      <c r="AL2" s="134" t="s">
        <v>422</v>
      </c>
      <c r="AM2" s="134" t="s">
        <v>423</v>
      </c>
      <c r="AN2" s="134" t="s">
        <v>424</v>
      </c>
    </row>
    <row r="3" customFormat="false" ht="15" hidden="false" customHeight="true" outlineLevel="0" collapsed="false">
      <c r="A3" s="135" t="n">
        <f aca="false">IF('Price History'!A4="","",'Price History'!A4)</f>
        <v>45156</v>
      </c>
      <c r="B3" s="136" t="n">
        <f aca="false">IFERROR(IF(OR(NOT(ISNUMBER('Price History'!B4)),NOT(ISNUMBER('Price History'!B3)),'Price History'!B3=0),"",'Price History'!B4/'Price History'!B3-1),"")</f>
        <v>-0.00062936375258138</v>
      </c>
      <c r="C3" s="136" t="n">
        <f aca="false">IFERROR(IF(OR(NOT(ISNUMBER('Price History'!C4)),NOT(ISNUMBER('Price History'!C3)),'Price History'!C3=0),"",'Price History'!C4/'Price History'!C3-1),"")</f>
        <v>0.0320073159579333</v>
      </c>
      <c r="D3" s="136" t="n">
        <f aca="false">IFERROR(IF(OR(NOT(ISNUMBER('Price History'!D4)),NOT(ISNUMBER('Price History'!D3)),'Price History'!D3=0),"",'Price History'!D4/'Price History'!D3-1),"")</f>
        <v>-0.00974644141557612</v>
      </c>
      <c r="E3" s="136" t="n">
        <f aca="false">IFERROR(IF(OR(NOT(ISNUMBER('Price History'!E4)),NOT(ISNUMBER('Price History'!E3)),'Price History'!E3=0),"",'Price History'!E4/'Price History'!E3-1),"")</f>
        <v>-0.0048204386599181</v>
      </c>
      <c r="F3" s="136" t="n">
        <f aca="false">IFERROR(IF(OR(NOT(ISNUMBER('Price History'!F4)),NOT(ISNUMBER('Price History'!F3)),'Price History'!F3=0),"",'Price History'!F4/'Price History'!F3-1),"")</f>
        <v>-0.00971397733405288</v>
      </c>
      <c r="G3" s="136" t="n">
        <f aca="false">IFERROR(IF(OR(NOT(ISNUMBER('Price History'!G4)),NOT(ISNUMBER('Price History'!G3)),'Price History'!G3=0),"",'Price History'!G4/'Price History'!G3-1),"")</f>
        <v>-0.0020876826722338</v>
      </c>
      <c r="H3" s="136" t="n">
        <f aca="false">IFERROR(IF(OR(NOT(ISNUMBER('Price History'!H4)),NOT(ISNUMBER('Price History'!H3)),'Price History'!H3=0),"",'Price History'!H4/'Price History'!H3-1),"")</f>
        <v>-0.0121174460152245</v>
      </c>
      <c r="I3" s="136" t="n">
        <f aca="false">IFERROR(IF(OR(NOT(ISNUMBER('Price History'!I4)),NOT(ISNUMBER('Price History'!I3)),'Price History'!I3=0),"",'Price History'!I4/'Price History'!I3-1),"")</f>
        <v>0.0599755201958383</v>
      </c>
      <c r="J3" s="136" t="n">
        <f aca="false">IFERROR(IF(OR(NOT(ISNUMBER('Price History'!J4)),NOT(ISNUMBER('Price History'!J3)),'Price History'!J3=0),"",'Price History'!J4/'Price History'!J3-1),"")</f>
        <v>-0.0165168812241924</v>
      </c>
      <c r="K3" s="136" t="n">
        <f aca="false">IFERROR(IF(OR(NOT(ISNUMBER('Price History'!K4)),NOT(ISNUMBER('Price History'!K3)),'Price History'!K3=0),"",'Price History'!K4/'Price History'!K3-1),"")</f>
        <v>-0.0655418559377028</v>
      </c>
      <c r="L3" s="136" t="n">
        <f aca="false">IFERROR(IF(OR(NOT(ISNUMBER('Price History'!L4)),NOT(ISNUMBER('Price History'!L3)),'Price History'!L3=0),"",'Price History'!L4/'Price History'!L3-1),"")</f>
        <v>-0.00967496467007289</v>
      </c>
      <c r="M3" s="136" t="n">
        <f aca="false">IFERROR(IF(OR(NOT(ISNUMBER('Price History'!M4)),NOT(ISNUMBER('Price History'!M3)),'Price History'!M3=0),"",'Price History'!M4/'Price History'!M3-1),"")</f>
        <v>0.0137272455983288</v>
      </c>
      <c r="N3" s="136" t="n">
        <f aca="false">IFERROR(IF(OR(NOT(ISNUMBER('Price History'!N4)),NOT(ISNUMBER('Price History'!N3)),'Price History'!N3=0),"",'Price History'!N4/'Price History'!N3-1),"")</f>
        <v>-0.0144057623049221</v>
      </c>
      <c r="O3" s="136" t="n">
        <f aca="false">IFERROR(IF(OR(NOT(ISNUMBER('Price History'!O4)),NOT(ISNUMBER('Price History'!O3)),'Price History'!O3=0),"",'Price History'!O4/'Price History'!O3-1),"")</f>
        <v>-0.0307785153892577</v>
      </c>
      <c r="P3" s="136" t="str">
        <f aca="false">IFERROR(IF(OR(NOT(ISNUMBER('Price History'!P4)),NOT(ISNUMBER('Price History'!P3)),'Price History'!P3=0),"",'Price History'!P4/'Price History'!P3-1),"")</f>
        <v/>
      </c>
      <c r="Q3" s="136" t="n">
        <f aca="false">IFERROR(IF(OR(NOT(ISNUMBER('Price History'!Q4)),NOT(ISNUMBER('Price History'!Q3)),'Price History'!Q3=0),"",'Price History'!Q4/'Price History'!Q3-1),"")</f>
        <v>0.0032102728731942</v>
      </c>
      <c r="R3" s="136" t="n">
        <f aca="false">IFERROR(IF(OR(NOT(ISNUMBER('Price History'!R4)),NOT(ISNUMBER('Price History'!R3)),'Price History'!R3=0),"",'Price History'!R4/'Price History'!R3-1),"")</f>
        <v>-0.0186114596403179</v>
      </c>
      <c r="S3" s="136" t="n">
        <f aca="false">IFERROR(IF(OR(NOT(ISNUMBER('Price History'!S4)),NOT(ISNUMBER('Price History'!S3)),'Price History'!S3=0),"",'Price History'!S4/'Price History'!S3-1),"")</f>
        <v>-0.00837034506320467</v>
      </c>
      <c r="T3" s="136" t="n">
        <f aca="false">IFERROR(IF(OR(NOT(ISNUMBER('Price History'!T4)),NOT(ISNUMBER('Price History'!T3)),'Price History'!T3=0),"",'Price History'!T4/'Price History'!T3-1),"")</f>
        <v>-0.0267558528428093</v>
      </c>
      <c r="U3" s="136" t="str">
        <f aca="false">IFERROR(IF(OR(NOT(ISNUMBER('Price History'!U4)),NOT(ISNUMBER('Price History'!U3)),'Price History'!U3=0),"",'Price History'!U4/'Price History'!U3-1),"")</f>
        <v/>
      </c>
      <c r="W3" s="137" t="n">
        <f aca="false">'Price History'!B3+('Price History'!B158-'Price History'!B3)*0</f>
        <v>508.45</v>
      </c>
      <c r="X3" s="137" t="n">
        <f aca="false">'Price History'!C3+('Price History'!C158-'Price History'!C3)*0</f>
        <v>43.74</v>
      </c>
      <c r="Y3" s="137" t="n">
        <f aca="false">'Price History'!D3+('Price History'!D158-'Price History'!D3)*0</f>
        <v>661.78</v>
      </c>
      <c r="Z3" s="137" t="n">
        <f aca="false">'Price History'!E3+('Price History'!E158-'Price History'!E3)*0</f>
        <v>82.98</v>
      </c>
      <c r="AA3" s="137" t="n">
        <f aca="false">'Price History'!F3+('Price History'!F158-'Price History'!F3)*0</f>
        <v>37.06</v>
      </c>
      <c r="AB3" s="137" t="n">
        <f aca="false">'Price History'!G3+('Price History'!G158-'Price History'!G3)*0</f>
        <v>47.9</v>
      </c>
      <c r="AC3" s="137" t="n">
        <f aca="false">'Price History'!H3+('Price History'!H158-'Price History'!H3)*0</f>
        <v>64.37</v>
      </c>
      <c r="AD3" s="137" t="n">
        <f aca="false">'Price History'!I3+('Price History'!I158-'Price History'!I3)*0</f>
        <v>40.85</v>
      </c>
      <c r="AE3" s="137" t="n">
        <f aca="false">'Price History'!J3+('Price History'!J158-'Price History'!J3)*0</f>
        <v>123.51</v>
      </c>
      <c r="AF3" s="137" t="n">
        <f aca="false">'Price History'!K3+('Price History'!K158-'Price History'!K3)*0</f>
        <v>15.41</v>
      </c>
      <c r="AG3" s="137" t="n">
        <f aca="false">'Price History'!L3+('Price History'!L158-'Price History'!L3)*0</f>
        <v>91.99</v>
      </c>
      <c r="AH3" s="137" t="n">
        <f aca="false">'Price History'!M3+('Price History'!M158-'Price History'!M3)*0</f>
        <v>33.51</v>
      </c>
      <c r="AI3" s="137" t="n">
        <f aca="false">'Price History'!N3+('Price History'!N158-'Price History'!N3)*0</f>
        <v>349.86</v>
      </c>
      <c r="AJ3" s="137" t="n">
        <f aca="false">'Price History'!O3+('Price History'!O158-'Price History'!O3)*0</f>
        <v>82.85</v>
      </c>
      <c r="AK3" s="137" t="n">
        <f aca="false">'Price History'!Q3+('Price History'!Q151-'Price History'!Q3)*0</f>
        <v>49.84</v>
      </c>
      <c r="AL3" s="137" t="n">
        <f aca="false">'Price History'!R3+('Price History'!R158-'Price History'!R3)*0</f>
        <v>47.82</v>
      </c>
      <c r="AM3" s="137" t="n">
        <f aca="false">'Price History'!S3+('Price History'!S158-'Price History'!S3)*0</f>
        <v>58.54</v>
      </c>
      <c r="AN3" s="137" t="n">
        <f aca="false">'Price History'!T3+('Price History'!T158-'Price History'!T3)*0</f>
        <v>26.91</v>
      </c>
    </row>
    <row r="4" customFormat="false" ht="15" hidden="false" customHeight="true" outlineLevel="0" collapsed="false">
      <c r="A4" s="135" t="n">
        <f aca="false">IF('Price History'!A5="","",'Price History'!A5)</f>
        <v>45163</v>
      </c>
      <c r="B4" s="136" t="n">
        <f aca="false">IFERROR(IF(OR(NOT(ISNUMBER('Price History'!B5)),NOT(ISNUMBER('Price History'!B4)),'Price History'!B4=0),"",'Price History'!B5/'Price History'!B4-1),"")</f>
        <v>0.0333182453309191</v>
      </c>
      <c r="C4" s="136" t="n">
        <f aca="false">IFERROR(IF(OR(NOT(ISNUMBER('Price History'!C5)),NOT(ISNUMBER('Price History'!C4)),'Price History'!C4=0),"",'Price History'!C5/'Price History'!C4-1),"")</f>
        <v>0.00199379707576419</v>
      </c>
      <c r="D4" s="136" t="n">
        <f aca="false">IFERROR(IF(OR(NOT(ISNUMBER('Price History'!D5)),NOT(ISNUMBER('Price History'!D4)),'Price History'!D4=0),"",'Price History'!D5/'Price History'!D4-1),"")</f>
        <v>-0.00659209863732779</v>
      </c>
      <c r="E4" s="136" t="n">
        <f aca="false">IFERROR(IF(OR(NOT(ISNUMBER('Price History'!E5)),NOT(ISNUMBER('Price History'!E4)),'Price History'!E4=0),"",'Price History'!E5/'Price History'!E4-1),"")</f>
        <v>0.0314846209736015</v>
      </c>
      <c r="F4" s="136" t="n">
        <f aca="false">IFERROR(IF(OR(NOT(ISNUMBER('Price History'!F5)),NOT(ISNUMBER('Price History'!F4)),'Price History'!F4=0),"",'Price History'!F5/'Price History'!F4-1),"")</f>
        <v>0.0190735694822888</v>
      </c>
      <c r="G4" s="136" t="n">
        <f aca="false">IFERROR(IF(OR(NOT(ISNUMBER('Price History'!G5)),NOT(ISNUMBER('Price History'!G4)),'Price History'!G4=0),"",'Price History'!G5/'Price History'!G4-1),"")</f>
        <v>0.00774058577405867</v>
      </c>
      <c r="H4" s="136" t="n">
        <f aca="false">IFERROR(IF(OR(NOT(ISNUMBER('Price History'!H5)),NOT(ISNUMBER('Price History'!H4)),'Price History'!H4=0),"",'Price History'!H5/'Price History'!H4-1),"")</f>
        <v>0.00204434659537656</v>
      </c>
      <c r="I4" s="136" t="n">
        <f aca="false">IFERROR(IF(OR(NOT(ISNUMBER('Price History'!I5)),NOT(ISNUMBER('Price History'!I4)),'Price History'!I4=0),"",'Price History'!I5/'Price History'!I4-1),"")</f>
        <v>0.0628175519630487</v>
      </c>
      <c r="J4" s="136" t="n">
        <f aca="false">IFERROR(IF(OR(NOT(ISNUMBER('Price History'!J5)),NOT(ISNUMBER('Price History'!J4)),'Price History'!J4=0),"",'Price History'!J5/'Price History'!J4-1),"")</f>
        <v>0.00979665761093274</v>
      </c>
      <c r="K4" s="136" t="n">
        <f aca="false">IFERROR(IF(OR(NOT(ISNUMBER('Price History'!K5)),NOT(ISNUMBER('Price History'!K4)),'Price History'!K4=0),"",'Price History'!K5/'Price History'!K4-1),"")</f>
        <v>0.00902777777777764</v>
      </c>
      <c r="L4" s="136" t="n">
        <f aca="false">IFERROR(IF(OR(NOT(ISNUMBER('Price History'!L5)),NOT(ISNUMBER('Price History'!L4)),'Price History'!L4=0),"",'Price History'!L5/'Price History'!L4-1),"")</f>
        <v>0.021953896816685</v>
      </c>
      <c r="M4" s="136" t="n">
        <f aca="false">IFERROR(IF(OR(NOT(ISNUMBER('Price History'!M5)),NOT(ISNUMBER('Price History'!M4)),'Price History'!M4=0),"",'Price History'!M5/'Price History'!M4-1),"")</f>
        <v>0.103915219311157</v>
      </c>
      <c r="N4" s="136" t="n">
        <f aca="false">IFERROR(IF(OR(NOT(ISNUMBER('Price History'!N5)),NOT(ISNUMBER('Price History'!N4)),'Price History'!N4=0),"",'Price History'!N5/'Price History'!N4-1),"")</f>
        <v>0.0151963343193551</v>
      </c>
      <c r="O4" s="136" t="n">
        <f aca="false">IFERROR(IF(OR(NOT(ISNUMBER('Price History'!O5)),NOT(ISNUMBER('Price History'!O4)),'Price History'!O4=0),"",'Price History'!O5/'Price History'!O4-1),"")</f>
        <v>-0.0161892901618929</v>
      </c>
      <c r="P4" s="136" t="str">
        <f aca="false">IFERROR(IF(OR(NOT(ISNUMBER('Price History'!P5)),NOT(ISNUMBER('Price History'!P4)),'Price History'!P4=0),"",'Price History'!P5/'Price History'!P4-1),"")</f>
        <v/>
      </c>
      <c r="Q4" s="136" t="n">
        <f aca="false">IFERROR(IF(OR(NOT(ISNUMBER('Price History'!Q5)),NOT(ISNUMBER('Price History'!Q4)),'Price History'!Q4=0),"",'Price History'!Q5/'Price History'!Q4-1),"")</f>
        <v>0.00340000000000007</v>
      </c>
      <c r="R4" s="136" t="n">
        <f aca="false">IFERROR(IF(OR(NOT(ISNUMBER('Price History'!R5)),NOT(ISNUMBER('Price History'!R4)),'Price History'!R4=0),"",'Price History'!R5/'Price History'!R4-1),"")</f>
        <v>0.0159812486682294</v>
      </c>
      <c r="S4" s="136" t="n">
        <f aca="false">IFERROR(IF(OR(NOT(ISNUMBER('Price History'!S5)),NOT(ISNUMBER('Price History'!S4)),'Price History'!S4=0),"",'Price History'!S5/'Price History'!S4-1),"")</f>
        <v>-0.00275624461670965</v>
      </c>
      <c r="T4" s="136" t="n">
        <f aca="false">IFERROR(IF(OR(NOT(ISNUMBER('Price History'!T5)),NOT(ISNUMBER('Price History'!T4)),'Price History'!T4=0),"",'Price History'!T5/'Price History'!T4-1),"")</f>
        <v>-0.00801832760595655</v>
      </c>
      <c r="U4" s="136" t="str">
        <f aca="false">IFERROR(IF(OR(NOT(ISNUMBER('Price History'!U5)),NOT(ISNUMBER('Price History'!U4)),'Price History'!U4=0),"",'Price History'!U5/'Price History'!U4-1),"")</f>
        <v/>
      </c>
      <c r="W4" s="137" t="n">
        <f aca="false">'Price History'!B3+('Price History'!B158-'Price History'!B3)*0.00649350649350649</f>
        <v>506.774415584416</v>
      </c>
      <c r="X4" s="137" t="n">
        <f aca="false">'Price History'!C3+('Price History'!C158-'Price History'!C3)*0.00649350649350649</f>
        <v>44.6270779220779</v>
      </c>
      <c r="Y4" s="137" t="n">
        <f aca="false">'Price History'!D3+('Price History'!D158-'Price History'!D3)*0.00649350649350649</f>
        <v>668.060649350649</v>
      </c>
      <c r="Z4" s="137" t="n">
        <f aca="false">'Price History'!E3+('Price History'!E158-'Price History'!E3)*0.00649350649350649</f>
        <v>84.968961038961</v>
      </c>
      <c r="AA4" s="137" t="n">
        <f aca="false">'Price History'!F3+('Price History'!F158-'Price History'!F3)*0.00649350649350649</f>
        <v>38.0587012987013</v>
      </c>
      <c r="AB4" s="137" t="n">
        <f aca="false">'Price History'!G3+('Price History'!G158-'Price History'!G3)*0.00649350649350649</f>
        <v>48.7761038961039</v>
      </c>
      <c r="AC4" s="137" t="n">
        <f aca="false">'Price History'!H3+('Price History'!H158-'Price History'!H3)*0.00649350649350649</f>
        <v>69.2963636363636</v>
      </c>
      <c r="AD4" s="137" t="n">
        <f aca="false">'Price History'!I3+('Price History'!I158-'Price History'!I3)*0.00649350649350649</f>
        <v>41.8883116883117</v>
      </c>
      <c r="AE4" s="137" t="n">
        <f aca="false">'Price History'!J3+('Price History'!J158-'Price History'!J3)*0.00649350649350649</f>
        <v>123.647012987013</v>
      </c>
      <c r="AF4" s="137" t="n">
        <f aca="false">'Price History'!K3+('Price History'!K158-'Price History'!K3)*0.00649350649350649</f>
        <v>16.109025974026</v>
      </c>
      <c r="AG4" s="137" t="n">
        <f aca="false">'Price History'!L3+('Price History'!L158-'Price History'!L3)*0.00649350649350649</f>
        <v>94.0176623376623</v>
      </c>
      <c r="AH4" s="137" t="n">
        <f aca="false">'Price History'!M3+('Price History'!M158-'Price History'!M3)*0.00649350649350649</f>
        <v>34.861038961039</v>
      </c>
      <c r="AI4" s="137" t="n">
        <f aca="false">'Price History'!N3+('Price History'!N158-'Price History'!N3)*0.00649350649350649</f>
        <v>350.686233766234</v>
      </c>
      <c r="AJ4" s="137" t="n">
        <f aca="false">'Price History'!O3+('Price History'!O158-'Price History'!O3)*0.00649350649350649</f>
        <v>83.1255194805195</v>
      </c>
      <c r="AK4" s="137" t="n">
        <f aca="false">'Price History'!Q3+('Price History'!Q151-'Price History'!Q3)*0.00649350649350649</f>
        <v>49.9608441558442</v>
      </c>
      <c r="AL4" s="137" t="n">
        <f aca="false">'Price History'!R3+('Price History'!R158-'Price History'!R3)*0.00649350649350649</f>
        <v>47.8877272727273</v>
      </c>
      <c r="AM4" s="137" t="n">
        <f aca="false">'Price History'!S3+('Price History'!S158-'Price History'!S3)*0.00649350649350649</f>
        <v>59.0938311688312</v>
      </c>
      <c r="AN4" s="137" t="n">
        <f aca="false">'Price History'!T3+('Price History'!T158-'Price History'!T3)*0.00649350649350649</f>
        <v>27.0582467532468</v>
      </c>
    </row>
    <row r="5" customFormat="false" ht="15" hidden="false" customHeight="true" outlineLevel="0" collapsed="false">
      <c r="A5" s="135" t="n">
        <f aca="false">IF('Price History'!A6="","",'Price History'!A6)</f>
        <v>45170</v>
      </c>
      <c r="B5" s="136" t="n">
        <f aca="false">IFERROR(IF(OR(NOT(ISNUMBER('Price History'!B6)),NOT(ISNUMBER('Price History'!B5)),'Price History'!B5=0),"",'Price History'!B6/'Price History'!B5-1),"")</f>
        <v>0.0726583628537694</v>
      </c>
      <c r="C5" s="136" t="n">
        <f aca="false">IFERROR(IF(OR(NOT(ISNUMBER('Price History'!C6)),NOT(ISNUMBER('Price History'!C5)),'Price History'!C5=0),"",'Price History'!C6/'Price History'!C5-1),"")</f>
        <v>0.0908688923281009</v>
      </c>
      <c r="D5" s="136" t="n">
        <f aca="false">IFERROR(IF(OR(NOT(ISNUMBER('Price History'!D6)),NOT(ISNUMBER('Price History'!D5)),'Price History'!D5=0),"",'Price History'!D6/'Price History'!D5-1),"")</f>
        <v>0.0176802199658992</v>
      </c>
      <c r="E5" s="136" t="n">
        <f aca="false">IFERROR(IF(OR(NOT(ISNUMBER('Price History'!E6)),NOT(ISNUMBER('Price History'!E5)),'Price History'!E5=0),"",'Price History'!E6/'Price History'!E5-1),"")</f>
        <v>0.0243014792204741</v>
      </c>
      <c r="F5" s="136" t="n">
        <f aca="false">IFERROR(IF(OR(NOT(ISNUMBER('Price History'!F6)),NOT(ISNUMBER('Price History'!F5)),'Price History'!F5=0),"",'Price History'!F6/'Price History'!F5-1),"")</f>
        <v>0.0778074866310161</v>
      </c>
      <c r="G5" s="136" t="n">
        <f aca="false">IFERROR(IF(OR(NOT(ISNUMBER('Price History'!G6)),NOT(ISNUMBER('Price History'!G5)),'Price History'!G5=0),"",'Price History'!G6/'Price History'!G5-1),"")</f>
        <v>0.0525223167946856</v>
      </c>
      <c r="H5" s="136" t="n">
        <f aca="false">IFERROR(IF(OR(NOT(ISNUMBER('Price History'!H6)),NOT(ISNUMBER('Price History'!H5)),'Price History'!H5=0),"",'Price History'!H6/'Price History'!H5-1),"")</f>
        <v>0.104676710608914</v>
      </c>
      <c r="I5" s="136" t="n">
        <f aca="false">IFERROR(IF(OR(NOT(ISNUMBER('Price History'!I6)),NOT(ISNUMBER('Price History'!I5)),'Price History'!I5=0),"",'Price History'!I6/'Price History'!I5-1),"")</f>
        <v>0.0541069100391134</v>
      </c>
      <c r="J5" s="136" t="n">
        <f aca="false">IFERROR(IF(OR(NOT(ISNUMBER('Price History'!J6)),NOT(ISNUMBER('Price History'!J5)),'Price History'!J5=0),"",'Price History'!J6/'Price History'!J5-1),"")</f>
        <v>0.015734550790804</v>
      </c>
      <c r="K5" s="136" t="n">
        <f aca="false">IFERROR(IF(OR(NOT(ISNUMBER('Price History'!K6)),NOT(ISNUMBER('Price History'!K5)),'Price History'!K5=0),"",'Price History'!K6/'Price History'!K5-1),"")</f>
        <v>0.044735030970406</v>
      </c>
      <c r="L5" s="136" t="n">
        <f aca="false">IFERROR(IF(OR(NOT(ISNUMBER('Price History'!L6)),NOT(ISNUMBER('Price History'!L5)),'Price History'!L5=0),"",'Price History'!L6/'Price History'!L5-1),"")</f>
        <v>0.000966702470461822</v>
      </c>
      <c r="M5" s="136" t="n">
        <f aca="false">IFERROR(IF(OR(NOT(ISNUMBER('Price History'!M6)),NOT(ISNUMBER('Price History'!M5)),'Price History'!M5=0),"",'Price History'!M6/'Price History'!M5-1),"")</f>
        <v>0.0631999999999999</v>
      </c>
      <c r="N5" s="136" t="n">
        <f aca="false">IFERROR(IF(OR(NOT(ISNUMBER('Price History'!N6)),NOT(ISNUMBER('Price History'!N5)),'Price History'!N5=0),"",'Price History'!N6/'Price History'!N5-1),"")</f>
        <v>0.00297091927098214</v>
      </c>
      <c r="O5" s="136" t="n">
        <f aca="false">IFERROR(IF(OR(NOT(ISNUMBER('Price History'!O6)),NOT(ISNUMBER('Price History'!O5)),'Price History'!O5=0),"",'Price History'!O6/'Price History'!O5-1),"")</f>
        <v>0.0467088607594937</v>
      </c>
      <c r="P5" s="136" t="str">
        <f aca="false">IFERROR(IF(OR(NOT(ISNUMBER('Price History'!P6)),NOT(ISNUMBER('Price History'!P5)),'Price History'!P5=0),"",'Price History'!P6/'Price History'!P5-1),"")</f>
        <v/>
      </c>
      <c r="Q5" s="136" t="n">
        <f aca="false">IFERROR(IF(OR(NOT(ISNUMBER('Price History'!Q6)),NOT(ISNUMBER('Price History'!Q5)),'Price History'!Q5=0),"",'Price History'!Q6/'Price History'!Q5-1),"")</f>
        <v>-0.0111620490332869</v>
      </c>
      <c r="R5" s="136" t="n">
        <f aca="false">IFERROR(IF(OR(NOT(ISNUMBER('Price History'!R6)),NOT(ISNUMBER('Price History'!R5)),'Price History'!R5=0),"",'Price History'!R6/'Price History'!R5-1),"")</f>
        <v>0.018246644295302</v>
      </c>
      <c r="S5" s="136" t="n">
        <f aca="false">IFERROR(IF(OR(NOT(ISNUMBER('Price History'!S6)),NOT(ISNUMBER('Price History'!S5)),'Price History'!S5=0),"",'Price History'!S6/'Price History'!S5-1),"")</f>
        <v>0.0160649507686992</v>
      </c>
      <c r="T5" s="136" t="n">
        <f aca="false">IFERROR(IF(OR(NOT(ISNUMBER('Price History'!T6)),NOT(ISNUMBER('Price History'!T5)),'Price History'!T5=0),"",'Price History'!T6/'Price History'!T5-1),"")</f>
        <v>0.0261739799846035</v>
      </c>
      <c r="U5" s="136" t="str">
        <f aca="false">IFERROR(IF(OR(NOT(ISNUMBER('Price History'!U6)),NOT(ISNUMBER('Price History'!U5)),'Price History'!U5=0),"",'Price History'!U6/'Price History'!U5-1),"")</f>
        <v/>
      </c>
      <c r="W5" s="137" t="n">
        <f aca="false">'Price History'!B3+('Price History'!B158-'Price History'!B3)*0.012987012987013</f>
        <v>505.098831168831</v>
      </c>
      <c r="X5" s="137" t="n">
        <f aca="false">'Price History'!C3+('Price History'!C158-'Price History'!C3)*0.012987012987013</f>
        <v>45.5141558441558</v>
      </c>
      <c r="Y5" s="137" t="n">
        <f aca="false">'Price History'!D3+('Price History'!D158-'Price History'!D3)*0.012987012987013</f>
        <v>674.341298701299</v>
      </c>
      <c r="Z5" s="137" t="n">
        <f aca="false">'Price History'!E3+('Price History'!E158-'Price History'!E3)*0.012987012987013</f>
        <v>86.9579220779221</v>
      </c>
      <c r="AA5" s="137" t="n">
        <f aca="false">'Price History'!F3+('Price History'!F158-'Price History'!F3)*0.012987012987013</f>
        <v>39.0574025974026</v>
      </c>
      <c r="AB5" s="137" t="n">
        <f aca="false">'Price History'!G3+('Price History'!G158-'Price History'!G3)*0.012987012987013</f>
        <v>49.6522077922078</v>
      </c>
      <c r="AC5" s="137" t="n">
        <f aca="false">'Price History'!H3+('Price History'!H158-'Price History'!H3)*0.012987012987013</f>
        <v>74.2227272727273</v>
      </c>
      <c r="AD5" s="137" t="n">
        <f aca="false">'Price History'!I3+('Price History'!I158-'Price History'!I3)*0.012987012987013</f>
        <v>42.9266233766234</v>
      </c>
      <c r="AE5" s="137" t="n">
        <f aca="false">'Price History'!J3+('Price History'!J158-'Price History'!J3)*0.012987012987013</f>
        <v>123.784025974026</v>
      </c>
      <c r="AF5" s="137" t="n">
        <f aca="false">'Price History'!K3+('Price History'!K158-'Price History'!K3)*0.012987012987013</f>
        <v>16.808051948052</v>
      </c>
      <c r="AG5" s="137" t="n">
        <f aca="false">'Price History'!L3+('Price History'!L158-'Price History'!L3)*0.012987012987013</f>
        <v>96.0453246753247</v>
      </c>
      <c r="AH5" s="137" t="n">
        <f aca="false">'Price History'!M3+('Price History'!M158-'Price History'!M3)*0.012987012987013</f>
        <v>36.2120779220779</v>
      </c>
      <c r="AI5" s="137" t="n">
        <f aca="false">'Price History'!N3+('Price History'!N158-'Price History'!N3)*0.012987012987013</f>
        <v>351.512467532468</v>
      </c>
      <c r="AJ5" s="137" t="n">
        <f aca="false">'Price History'!O3+('Price History'!O158-'Price History'!O3)*0.012987012987013</f>
        <v>83.401038961039</v>
      </c>
      <c r="AK5" s="137" t="n">
        <f aca="false">'Price History'!Q3+('Price History'!Q151-'Price History'!Q3)*0.012987012987013</f>
        <v>50.0816883116883</v>
      </c>
      <c r="AL5" s="137" t="n">
        <f aca="false">'Price History'!R3+('Price History'!R158-'Price History'!R3)*0.012987012987013</f>
        <v>47.9554545454545</v>
      </c>
      <c r="AM5" s="137" t="n">
        <f aca="false">'Price History'!S3+('Price History'!S158-'Price History'!S3)*0.012987012987013</f>
        <v>59.6476623376623</v>
      </c>
      <c r="AN5" s="137" t="n">
        <f aca="false">'Price History'!T3+('Price History'!T158-'Price History'!T3)*0.012987012987013</f>
        <v>27.2064935064935</v>
      </c>
    </row>
    <row r="6" customFormat="false" ht="15" hidden="false" customHeight="true" outlineLevel="0" collapsed="false">
      <c r="A6" s="135" t="n">
        <f aca="false">IF('Price History'!A7="","",'Price History'!A7)</f>
        <v>45177</v>
      </c>
      <c r="B6" s="136" t="n">
        <f aca="false">IFERROR(IF(OR(NOT(ISNUMBER('Price History'!B7)),NOT(ISNUMBER('Price History'!B6)),'Price History'!B6=0),"",'Price History'!B7/'Price History'!B6-1),"")</f>
        <v>-0.00506027946946974</v>
      </c>
      <c r="C6" s="136" t="n">
        <f aca="false">IFERROR(IF(OR(NOT(ISNUMBER('Price History'!C7)),NOT(ISNUMBER('Price History'!C6)),'Price History'!C6=0),"",'Price History'!C7/'Price History'!C6-1),"")</f>
        <v>-0.00445885691122838</v>
      </c>
      <c r="D6" s="136" t="n">
        <f aca="false">IFERROR(IF(OR(NOT(ISNUMBER('Price History'!D7)),NOT(ISNUMBER('Price History'!D6)),'Price History'!D6=0),"",'Price History'!D7/'Price History'!D6-1),"")</f>
        <v>-0.0523154017991909</v>
      </c>
      <c r="E6" s="136" t="n">
        <f aca="false">IFERROR(IF(OR(NOT(ISNUMBER('Price History'!E7)),NOT(ISNUMBER('Price History'!E6)),'Price History'!E6=0),"",'Price History'!E7/'Price History'!E6-1),"")</f>
        <v>-0.0170773638968481</v>
      </c>
      <c r="F6" s="136" t="n">
        <f aca="false">IFERROR(IF(OR(NOT(ISNUMBER('Price History'!F7)),NOT(ISNUMBER('Price History'!F6)),'Price History'!F6=0),"",'Price History'!F7/'Price History'!F6-1),"")</f>
        <v>0.0424212354254527</v>
      </c>
      <c r="G6" s="136" t="n">
        <f aca="false">IFERROR(IF(OR(NOT(ISNUMBER('Price History'!G7)),NOT(ISNUMBER('Price History'!G6)),'Price History'!G6=0),"",'Price History'!G7/'Price History'!G6-1),"")</f>
        <v>-0.0183431952662722</v>
      </c>
      <c r="H6" s="136" t="n">
        <f aca="false">IFERROR(IF(OR(NOT(ISNUMBER('Price History'!H7)),NOT(ISNUMBER('Price History'!H6)),'Price History'!H6=0),"",'Price History'!H7/'Price History'!H6-1),"")</f>
        <v>-0.0029833783207841</v>
      </c>
      <c r="I6" s="136" t="n">
        <f aca="false">IFERROR(IF(OR(NOT(ISNUMBER('Price History'!I7)),NOT(ISNUMBER('Price History'!I6)),'Price History'!I6=0),"",'Price History'!I7/'Price History'!I6-1),"")</f>
        <v>-0.0606060606060606</v>
      </c>
      <c r="J6" s="136" t="n">
        <f aca="false">IFERROR(IF(OR(NOT(ISNUMBER('Price History'!J7)),NOT(ISNUMBER('Price History'!J6)),'Price History'!J6=0),"",'Price History'!J7/'Price History'!J6-1),"")</f>
        <v>-0.016935548599406</v>
      </c>
      <c r="K6" s="136" t="n">
        <f aca="false">IFERROR(IF(OR(NOT(ISNUMBER('Price History'!K7)),NOT(ISNUMBER('Price History'!K6)),'Price History'!K6=0),"",'Price History'!K7/'Price History'!K6-1),"")</f>
        <v>-0.00329380764163367</v>
      </c>
      <c r="L6" s="136" t="n">
        <f aca="false">IFERROR(IF(OR(NOT(ISNUMBER('Price History'!L7)),NOT(ISNUMBER('Price History'!L6)),'Price History'!L6=0),"",'Price History'!L7/'Price History'!L6-1),"")</f>
        <v>-0.0380942161176091</v>
      </c>
      <c r="M6" s="136" t="n">
        <f aca="false">IFERROR(IF(OR(NOT(ISNUMBER('Price History'!M7)),NOT(ISNUMBER('Price History'!M6)),'Price History'!M6=0),"",'Price History'!M7/'Price History'!M6-1),"")</f>
        <v>-0.0168046149987458</v>
      </c>
      <c r="N6" s="136" t="n">
        <f aca="false">IFERROR(IF(OR(NOT(ISNUMBER('Price History'!N7)),NOT(ISNUMBER('Price History'!N6)),'Price History'!N6=0),"",'Price History'!N7/'Price History'!N6-1),"")</f>
        <v>-0.0229279407576189</v>
      </c>
      <c r="O6" s="136" t="n">
        <f aca="false">IFERROR(IF(OR(NOT(ISNUMBER('Price History'!O7)),NOT(ISNUMBER('Price History'!O6)),'Price History'!O6=0),"",'Price History'!O7/'Price History'!O6-1),"")</f>
        <v>-0.0384568871689441</v>
      </c>
      <c r="P6" s="136" t="str">
        <f aca="false">IFERROR(IF(OR(NOT(ISNUMBER('Price History'!P7)),NOT(ISNUMBER('Price History'!P6)),'Price History'!P6=0),"",'Price History'!P7/'Price History'!P6-1),"")</f>
        <v/>
      </c>
      <c r="Q6" s="136" t="n">
        <f aca="false">IFERROR(IF(OR(NOT(ISNUMBER('Price History'!Q7)),NOT(ISNUMBER('Price History'!Q6)),'Price History'!Q6=0),"",'Price History'!Q7/'Price History'!Q6-1),"")</f>
        <v>-0.0173352146744608</v>
      </c>
      <c r="R6" s="136" t="n">
        <f aca="false">IFERROR(IF(OR(NOT(ISNUMBER('Price History'!R7)),NOT(ISNUMBER('Price History'!R6)),'Price History'!R6=0),"",'Price History'!R7/'Price History'!R6-1),"")</f>
        <v>-0.00659114315139031</v>
      </c>
      <c r="S6" s="136" t="n">
        <f aca="false">IFERROR(IF(OR(NOT(ISNUMBER('Price History'!S7)),NOT(ISNUMBER('Price History'!S6)),'Price History'!S6=0),"",'Price History'!S7/'Price History'!S6-1),"")</f>
        <v>0.00595035702142122</v>
      </c>
      <c r="T6" s="136" t="n">
        <f aca="false">IFERROR(IF(OR(NOT(ISNUMBER('Price History'!T7)),NOT(ISNUMBER('Price History'!T6)),'Price History'!T6=0),"",'Price History'!T7/'Price History'!T6-1),"")</f>
        <v>-0.00712678169542391</v>
      </c>
      <c r="U6" s="136" t="str">
        <f aca="false">IFERROR(IF(OR(NOT(ISNUMBER('Price History'!U7)),NOT(ISNUMBER('Price History'!U6)),'Price History'!U6=0),"",'Price History'!U7/'Price History'!U6-1),"")</f>
        <v/>
      </c>
      <c r="W6" s="137" t="n">
        <f aca="false">'Price History'!B3+('Price History'!B158-'Price History'!B3)*0.0194805194805195</f>
        <v>503.423246753247</v>
      </c>
      <c r="X6" s="137" t="n">
        <f aca="false">'Price History'!C3+('Price History'!C158-'Price History'!C3)*0.0194805194805195</f>
        <v>46.4012337662338</v>
      </c>
      <c r="Y6" s="137" t="n">
        <f aca="false">'Price History'!D3+('Price History'!D158-'Price History'!D3)*0.0194805194805195</f>
        <v>680.621948051948</v>
      </c>
      <c r="Z6" s="137" t="n">
        <f aca="false">'Price History'!E3+('Price History'!E158-'Price History'!E3)*0.0194805194805195</f>
        <v>88.9468831168831</v>
      </c>
      <c r="AA6" s="137" t="n">
        <f aca="false">'Price History'!F3+('Price History'!F158-'Price History'!F3)*0.0194805194805195</f>
        <v>40.0561038961039</v>
      </c>
      <c r="AB6" s="137" t="n">
        <f aca="false">'Price History'!G3+('Price History'!G158-'Price History'!G3)*0.0194805194805195</f>
        <v>50.5283116883117</v>
      </c>
      <c r="AC6" s="137" t="n">
        <f aca="false">'Price History'!H3+('Price History'!H158-'Price History'!H3)*0.0194805194805195</f>
        <v>79.1490909090909</v>
      </c>
      <c r="AD6" s="137" t="n">
        <f aca="false">'Price History'!I3+('Price History'!I158-'Price History'!I3)*0.0194805194805195</f>
        <v>43.9649350649351</v>
      </c>
      <c r="AE6" s="137" t="n">
        <f aca="false">'Price History'!J3+('Price History'!J158-'Price History'!J3)*0.0194805194805195</f>
        <v>123.921038961039</v>
      </c>
      <c r="AF6" s="137" t="n">
        <f aca="false">'Price History'!K3+('Price History'!K158-'Price History'!K3)*0.0194805194805195</f>
        <v>17.5070779220779</v>
      </c>
      <c r="AG6" s="137" t="n">
        <f aca="false">'Price History'!L3+('Price History'!L158-'Price History'!L3)*0.0194805194805195</f>
        <v>98.072987012987</v>
      </c>
      <c r="AH6" s="137" t="n">
        <f aca="false">'Price History'!M3+('Price History'!M158-'Price History'!M3)*0.0194805194805195</f>
        <v>37.5631168831169</v>
      </c>
      <c r="AI6" s="137" t="n">
        <f aca="false">'Price History'!N3+('Price History'!N158-'Price History'!N3)*0.0194805194805195</f>
        <v>352.338701298701</v>
      </c>
      <c r="AJ6" s="137" t="n">
        <f aca="false">'Price History'!O3+('Price History'!O158-'Price History'!O3)*0.0194805194805195</f>
        <v>83.6765584415584</v>
      </c>
      <c r="AK6" s="137" t="n">
        <f aca="false">'Price History'!Q3+('Price History'!Q151-'Price History'!Q3)*0.0194805194805195</f>
        <v>50.2025324675325</v>
      </c>
      <c r="AL6" s="137" t="n">
        <f aca="false">'Price History'!R3+('Price History'!R158-'Price History'!R3)*0.0194805194805195</f>
        <v>48.0231818181818</v>
      </c>
      <c r="AM6" s="137" t="n">
        <f aca="false">'Price History'!S3+('Price History'!S158-'Price History'!S3)*0.0194805194805195</f>
        <v>60.2014935064935</v>
      </c>
      <c r="AN6" s="137" t="n">
        <f aca="false">'Price History'!T3+('Price History'!T158-'Price History'!T3)*0.0194805194805195</f>
        <v>27.3547402597403</v>
      </c>
    </row>
    <row r="7" customFormat="false" ht="15" hidden="false" customHeight="true" outlineLevel="0" collapsed="false">
      <c r="A7" s="135" t="n">
        <f aca="false">IF('Price History'!A8="","",'Price History'!A8)</f>
        <v>45184</v>
      </c>
      <c r="B7" s="136" t="n">
        <f aca="false">IFERROR(IF(OR(NOT(ISNUMBER('Price History'!B8)),NOT(ISNUMBER('Price History'!B7)),'Price History'!B7=0),"",'Price History'!B8/'Price History'!B7-1),"")</f>
        <v>-0.0561603255050325</v>
      </c>
      <c r="C7" s="136" t="n">
        <f aca="false">IFERROR(IF(OR(NOT(ISNUMBER('Price History'!C8)),NOT(ISNUMBER('Price History'!C7)),'Price History'!C7=0),"",'Price History'!C8/'Price History'!C7-1),"")</f>
        <v>-0.0598534201954397</v>
      </c>
      <c r="D7" s="136" t="n">
        <f aca="false">IFERROR(IF(OR(NOT(ISNUMBER('Price History'!D8)),NOT(ISNUMBER('Price History'!D7)),'Price History'!D7=0),"",'Price History'!D8/'Price History'!D7-1),"")</f>
        <v>-0.0496926066320518</v>
      </c>
      <c r="E7" s="136" t="n">
        <f aca="false">IFERROR(IF(OR(NOT(ISNUMBER('Price History'!E8)),NOT(ISNUMBER('Price History'!E7)),'Price History'!E7=0),"",'Price History'!E8/'Price History'!E7-1),"")</f>
        <v>-0.00687966417910457</v>
      </c>
      <c r="F7" s="136" t="n">
        <f aca="false">IFERROR(IF(OR(NOT(ISNUMBER('Price History'!F8)),NOT(ISNUMBER('Price History'!F7)),'Price History'!F7=0),"",'Price History'!F8/'Price History'!F7-1),"")</f>
        <v>-0.0157068062827226</v>
      </c>
      <c r="G7" s="136" t="n">
        <f aca="false">IFERROR(IF(OR(NOT(ISNUMBER('Price History'!G8)),NOT(ISNUMBER('Price History'!G7)),'Price History'!G7=0),"",'Price History'!G8/'Price History'!G7-1),"")</f>
        <v>-0.087402049427366</v>
      </c>
      <c r="H7" s="136" t="n">
        <f aca="false">IFERROR(IF(OR(NOT(ISNUMBER('Price History'!H8)),NOT(ISNUMBER('Price History'!H7)),'Price History'!H7=0),"",'Price History'!H8/'Price History'!H7-1),"")</f>
        <v>-0.00427472214306091</v>
      </c>
      <c r="I7" s="136" t="n">
        <f aca="false">IFERROR(IF(OR(NOT(ISNUMBER('Price History'!I8)),NOT(ISNUMBER('Price History'!I7)),'Price History'!I7=0),"",'Price History'!I8/'Price History'!I7-1),"")</f>
        <v>-0.0366469168312487</v>
      </c>
      <c r="J7" s="136" t="n">
        <f aca="false">IFERROR(IF(OR(NOT(ISNUMBER('Price History'!J8)),NOT(ISNUMBER('Price History'!J7)),'Price History'!J7=0),"",'Price History'!J8/'Price History'!J7-1),"")</f>
        <v>0.0057152188112346</v>
      </c>
      <c r="K7" s="136" t="n">
        <f aca="false">IFERROR(IF(OR(NOT(ISNUMBER('Price History'!K8)),NOT(ISNUMBER('Price History'!K7)),'Price History'!K7=0),"",'Price History'!K8/'Price History'!K7-1),"")</f>
        <v>0.0132187706543292</v>
      </c>
      <c r="L7" s="136" t="n">
        <f aca="false">IFERROR(IF(OR(NOT(ISNUMBER('Price History'!L8)),NOT(ISNUMBER('Price History'!L7)),'Price History'!L7=0),"",'Price History'!L8/'Price History'!L7-1),"")</f>
        <v>-0.00435073627844718</v>
      </c>
      <c r="M7" s="136" t="n">
        <f aca="false">IFERROR(IF(OR(NOT(ISNUMBER('Price History'!M8)),NOT(ISNUMBER('Price History'!M7)),'Price History'!M7=0),"",'Price History'!M8/'Price History'!M7-1),"")</f>
        <v>-0.0262755102040817</v>
      </c>
      <c r="N7" s="136" t="n">
        <f aca="false">IFERROR(IF(OR(NOT(ISNUMBER('Price History'!N8)),NOT(ISNUMBER('Price History'!N7)),'Price History'!N7=0),"",'Price History'!N8/'Price History'!N7-1),"")</f>
        <v>0.0170529077393964</v>
      </c>
      <c r="O7" s="136" t="n">
        <f aca="false">IFERROR(IF(OR(NOT(ISNUMBER('Price History'!O8)),NOT(ISNUMBER('Price History'!O7)),'Price History'!O7=0),"",'Price History'!O8/'Price History'!O7-1),"")</f>
        <v>-0.00188655515029568</v>
      </c>
      <c r="P7" s="136" t="str">
        <f aca="false">IFERROR(IF(OR(NOT(ISNUMBER('Price History'!P8)),NOT(ISNUMBER('Price History'!P7)),'Price History'!P7=0),"",'Price History'!P8/'Price History'!P7-1),"")</f>
        <v/>
      </c>
      <c r="Q7" s="136" t="n">
        <f aca="false">IFERROR(IF(OR(NOT(ISNUMBER('Price History'!Q8)),NOT(ISNUMBER('Price History'!Q7)),'Price History'!Q7=0),"",'Price History'!Q8/'Price History'!Q7-1),"")</f>
        <v>0.0402051282051281</v>
      </c>
      <c r="R7" s="136" t="n">
        <f aca="false">IFERROR(IF(OR(NOT(ISNUMBER('Price History'!R8)),NOT(ISNUMBER('Price History'!R7)),'Price History'!R7=0),"",'Price History'!R8/'Price History'!R7-1),"")</f>
        <v>-0.000414679659962558</v>
      </c>
      <c r="S7" s="136" t="n">
        <f aca="false">IFERROR(IF(OR(NOT(ISNUMBER('Price History'!S8)),NOT(ISNUMBER('Price History'!S7)),'Price History'!S7=0),"",'Price History'!S8/'Price History'!S7-1),"")</f>
        <v>0</v>
      </c>
      <c r="T7" s="136" t="n">
        <f aca="false">IFERROR(IF(OR(NOT(ISNUMBER('Price History'!T8)),NOT(ISNUMBER('Price History'!T7)),'Price History'!T7=0),"",'Price History'!T8/'Price History'!T7-1),"")</f>
        <v>-0.0064223649414431</v>
      </c>
      <c r="U7" s="136" t="str">
        <f aca="false">IFERROR(IF(OR(NOT(ISNUMBER('Price History'!U8)),NOT(ISNUMBER('Price History'!U7)),'Price History'!U7=0),"",'Price History'!U8/'Price History'!U7-1),"")</f>
        <v/>
      </c>
      <c r="W7" s="137" t="n">
        <f aca="false">'Price History'!B3+('Price History'!B158-'Price History'!B3)*0.025974025974026</f>
        <v>501.747662337662</v>
      </c>
      <c r="X7" s="137" t="n">
        <f aca="false">'Price History'!C3+('Price History'!C158-'Price History'!C3)*0.025974025974026</f>
        <v>47.2883116883117</v>
      </c>
      <c r="Y7" s="137" t="n">
        <f aca="false">'Price History'!D3+('Price History'!D158-'Price History'!D3)*0.025974025974026</f>
        <v>686.902597402597</v>
      </c>
      <c r="Z7" s="137" t="n">
        <f aca="false">'Price History'!E3+('Price History'!E158-'Price History'!E3)*0.025974025974026</f>
        <v>90.9358441558442</v>
      </c>
      <c r="AA7" s="137" t="n">
        <f aca="false">'Price History'!F3+('Price History'!F158-'Price History'!F3)*0.025974025974026</f>
        <v>41.0548051948052</v>
      </c>
      <c r="AB7" s="137" t="n">
        <f aca="false">'Price History'!G3+('Price History'!G158-'Price History'!G3)*0.025974025974026</f>
        <v>51.4044155844156</v>
      </c>
      <c r="AC7" s="137" t="n">
        <f aca="false">'Price History'!H3+('Price History'!H158-'Price History'!H3)*0.025974025974026</f>
        <v>84.0754545454546</v>
      </c>
      <c r="AD7" s="137" t="n">
        <f aca="false">'Price History'!I3+('Price History'!I158-'Price History'!I3)*0.025974025974026</f>
        <v>45.0032467532468</v>
      </c>
      <c r="AE7" s="137" t="n">
        <f aca="false">'Price History'!J3+('Price History'!J158-'Price History'!J3)*0.025974025974026</f>
        <v>124.058051948052</v>
      </c>
      <c r="AF7" s="137" t="n">
        <f aca="false">'Price History'!K3+('Price History'!K158-'Price History'!K3)*0.025974025974026</f>
        <v>18.2061038961039</v>
      </c>
      <c r="AG7" s="137" t="n">
        <f aca="false">'Price History'!L3+('Price History'!L158-'Price History'!L3)*0.025974025974026</f>
        <v>100.100649350649</v>
      </c>
      <c r="AH7" s="137" t="n">
        <f aca="false">'Price History'!M3+('Price History'!M158-'Price History'!M3)*0.025974025974026</f>
        <v>38.9141558441559</v>
      </c>
      <c r="AI7" s="137" t="n">
        <f aca="false">'Price History'!N3+('Price History'!N158-'Price History'!N3)*0.025974025974026</f>
        <v>353.164935064935</v>
      </c>
      <c r="AJ7" s="137" t="n">
        <f aca="false">'Price History'!O3+('Price History'!O158-'Price History'!O3)*0.025974025974026</f>
        <v>83.9520779220779</v>
      </c>
      <c r="AK7" s="137" t="n">
        <f aca="false">'Price History'!Q3+('Price History'!Q151-'Price History'!Q3)*0.025974025974026</f>
        <v>50.3233766233766</v>
      </c>
      <c r="AL7" s="137" t="n">
        <f aca="false">'Price History'!R3+('Price History'!R158-'Price History'!R3)*0.025974025974026</f>
        <v>48.0909090909091</v>
      </c>
      <c r="AM7" s="137" t="n">
        <f aca="false">'Price History'!S3+('Price History'!S158-'Price History'!S3)*0.025974025974026</f>
        <v>60.7553246753247</v>
      </c>
      <c r="AN7" s="137" t="n">
        <f aca="false">'Price History'!T3+('Price History'!T158-'Price History'!T3)*0.025974025974026</f>
        <v>27.502987012987</v>
      </c>
    </row>
    <row r="8" customFormat="false" ht="15" hidden="false" customHeight="true" outlineLevel="0" collapsed="false">
      <c r="A8" s="135" t="n">
        <f aca="false">IF('Price History'!A9="","",'Price History'!A9)</f>
        <v>45191</v>
      </c>
      <c r="B8" s="136" t="n">
        <f aca="false">IFERROR(IF(OR(NOT(ISNUMBER('Price History'!B9)),NOT(ISNUMBER('Price History'!B8)),'Price History'!B8=0),"",'Price History'!B9/'Price History'!B8-1),"")</f>
        <v>-0.0302331297623325</v>
      </c>
      <c r="C8" s="136" t="n">
        <f aca="false">IFERROR(IF(OR(NOT(ISNUMBER('Price History'!C9)),NOT(ISNUMBER('Price History'!C8)),'Price History'!C8=0),"",'Price History'!C9/'Price History'!C8-1),"")</f>
        <v>-0.023603291468168</v>
      </c>
      <c r="D8" s="136" t="n">
        <f aca="false">IFERROR(IF(OR(NOT(ISNUMBER('Price History'!D9)),NOT(ISNUMBER('Price History'!D8)),'Price History'!D8=0),"",'Price History'!D9/'Price History'!D8-1),"")</f>
        <v>-0.0160225253913451</v>
      </c>
      <c r="E8" s="136" t="n">
        <f aca="false">IFERROR(IF(OR(NOT(ISNUMBER('Price History'!E9)),NOT(ISNUMBER('Price History'!E8)),'Price History'!E8=0),"",'Price History'!E9/'Price History'!E8-1),"")</f>
        <v>-0.0265351649641893</v>
      </c>
      <c r="F8" s="136" t="n">
        <f aca="false">IFERROR(IF(OR(NOT(ISNUMBER('Price History'!F9)),NOT(ISNUMBER('Price History'!F8)),'Price History'!F8=0),"",'Price History'!F9/'Price History'!F8-1),"")</f>
        <v>-0.0174081237911025</v>
      </c>
      <c r="G8" s="136" t="n">
        <f aca="false">IFERROR(IF(OR(NOT(ISNUMBER('Price History'!G9)),NOT(ISNUMBER('Price History'!G8)),'Price History'!G8=0),"",'Price History'!G9/'Price History'!G8-1),"")</f>
        <v>-0.00528401585204763</v>
      </c>
      <c r="H8" s="136" t="n">
        <f aca="false">IFERROR(IF(OR(NOT(ISNUMBER('Price History'!H9)),NOT(ISNUMBER('Price History'!H8)),'Price History'!H8=0),"",'Price History'!H9/'Price History'!H8-1),"")</f>
        <v>-0.0143102461362336</v>
      </c>
      <c r="I8" s="136" t="n">
        <f aca="false">IFERROR(IF(OR(NOT(ISNUMBER('Price History'!I9)),NOT(ISNUMBER('Price History'!I8)),'Price History'!I8=0),"",'Price History'!I9/'Price History'!I8-1),"")</f>
        <v>-0.0521640091116173</v>
      </c>
      <c r="J8" s="136" t="n">
        <f aca="false">IFERROR(IF(OR(NOT(ISNUMBER('Price History'!J9)),NOT(ISNUMBER('Price History'!J8)),'Price History'!J8=0),"",'Price History'!J9/'Price History'!J8-1),"")</f>
        <v>-0.0739568111706447</v>
      </c>
      <c r="K8" s="136" t="n">
        <f aca="false">IFERROR(IF(OR(NOT(ISNUMBER('Price History'!K9)),NOT(ISNUMBER('Price History'!K8)),'Price History'!K8=0),"",'Price History'!K9/'Price History'!K8-1),"")</f>
        <v>-0.0782778864970646</v>
      </c>
      <c r="L8" s="136" t="n">
        <f aca="false">IFERROR(IF(OR(NOT(ISNUMBER('Price History'!L9)),NOT(ISNUMBER('Price History'!L8)),'Price History'!L8=0),"",'Price History'!L9/'Price History'!L8-1),"")</f>
        <v>-0.0404481792717086</v>
      </c>
      <c r="M8" s="136" t="n">
        <f aca="false">IFERROR(IF(OR(NOT(ISNUMBER('Price History'!M9)),NOT(ISNUMBER('Price History'!M8)),'Price History'!M8=0),"",'Price History'!M9/'Price History'!M8-1),"")</f>
        <v>-0.0450615666753995</v>
      </c>
      <c r="N8" s="136" t="n">
        <f aca="false">IFERROR(IF(OR(NOT(ISNUMBER('Price History'!N9)),NOT(ISNUMBER('Price History'!N8)),'Price History'!N8=0),"",'Price History'!N9/'Price History'!N8-1),"")</f>
        <v>0.00180567497850381</v>
      </c>
      <c r="O8" s="136" t="n">
        <f aca="false">IFERROR(IF(OR(NOT(ISNUMBER('Price History'!O9)),NOT(ISNUMBER('Price History'!O8)),'Price History'!O8=0),"",'Price History'!O9/'Price History'!O8-1),"")</f>
        <v>-0.0336441532258065</v>
      </c>
      <c r="P8" s="136" t="str">
        <f aca="false">IFERROR(IF(OR(NOT(ISNUMBER('Price History'!P9)),NOT(ISNUMBER('Price History'!P8)),'Price History'!P8=0),"",'Price History'!P9/'Price History'!P8-1),"")</f>
        <v/>
      </c>
      <c r="Q8" s="136" t="n">
        <f aca="false">IFERROR(IF(OR(NOT(ISNUMBER('Price History'!Q9)),NOT(ISNUMBER('Price History'!Q8)),'Price History'!Q8=0),"",'Price History'!Q9/'Price History'!Q8-1),"")</f>
        <v>0.0100571879313744</v>
      </c>
      <c r="R8" s="136" t="n">
        <f aca="false">IFERROR(IF(OR(NOT(ISNUMBER('Price History'!R9)),NOT(ISNUMBER('Price History'!R8)),'Price History'!R8=0),"",'Price History'!R9/'Price History'!R8-1),"")</f>
        <v>-0.0269653598838416</v>
      </c>
      <c r="S8" s="136" t="n">
        <f aca="false">IFERROR(IF(OR(NOT(ISNUMBER('Price History'!S9)),NOT(ISNUMBER('Price History'!S8)),'Price History'!S8=0),"",'Price History'!S9/'Price History'!S8-1),"")</f>
        <v>-0.0288997802940679</v>
      </c>
      <c r="T8" s="136" t="n">
        <f aca="false">IFERROR(IF(OR(NOT(ISNUMBER('Price History'!T9)),NOT(ISNUMBER('Price History'!T8)),'Price History'!T8=0),"",'Price History'!T9/'Price History'!T8-1),"")</f>
        <v>-0.0148288973384031</v>
      </c>
      <c r="U8" s="136" t="str">
        <f aca="false">IFERROR(IF(OR(NOT(ISNUMBER('Price History'!U9)),NOT(ISNUMBER('Price History'!U8)),'Price History'!U8=0),"",'Price History'!U9/'Price History'!U8-1),"")</f>
        <v/>
      </c>
      <c r="W8" s="137" t="n">
        <f aca="false">'Price History'!B3+('Price History'!B158-'Price History'!B3)*0.0324675324675325</f>
        <v>500.072077922078</v>
      </c>
      <c r="X8" s="137" t="n">
        <f aca="false">'Price History'!C3+('Price History'!C158-'Price History'!C3)*0.0324675324675325</f>
        <v>48.1753896103896</v>
      </c>
      <c r="Y8" s="137" t="n">
        <f aca="false">'Price History'!D3+('Price History'!D158-'Price History'!D3)*0.0324675324675325</f>
        <v>693.183246753247</v>
      </c>
      <c r="Z8" s="137" t="n">
        <f aca="false">'Price History'!E3+('Price History'!E158-'Price History'!E3)*0.0324675324675325</f>
        <v>92.9248051948052</v>
      </c>
      <c r="AA8" s="137" t="n">
        <f aca="false">'Price History'!F3+('Price History'!F158-'Price History'!F3)*0.0324675324675325</f>
        <v>42.0535064935065</v>
      </c>
      <c r="AB8" s="137" t="n">
        <f aca="false">'Price History'!G3+('Price History'!G158-'Price History'!G3)*0.0324675324675325</f>
        <v>52.2805194805195</v>
      </c>
      <c r="AC8" s="137" t="n">
        <f aca="false">'Price History'!H3+('Price History'!H158-'Price History'!H3)*0.0324675324675325</f>
        <v>89.0018181818182</v>
      </c>
      <c r="AD8" s="137" t="n">
        <f aca="false">'Price History'!I3+('Price History'!I158-'Price History'!I3)*0.0324675324675325</f>
        <v>46.0415584415585</v>
      </c>
      <c r="AE8" s="137" t="n">
        <f aca="false">'Price History'!J3+('Price History'!J158-'Price History'!J3)*0.0324675324675325</f>
        <v>124.195064935065</v>
      </c>
      <c r="AF8" s="137" t="n">
        <f aca="false">'Price History'!K3+('Price History'!K158-'Price History'!K3)*0.0324675324675325</f>
        <v>18.9051298701299</v>
      </c>
      <c r="AG8" s="137" t="n">
        <f aca="false">'Price History'!L3+('Price History'!L158-'Price History'!L3)*0.0324675324675325</f>
        <v>102.128311688312</v>
      </c>
      <c r="AH8" s="137" t="n">
        <f aca="false">'Price History'!M3+('Price History'!M158-'Price History'!M3)*0.0324675324675325</f>
        <v>40.2651948051948</v>
      </c>
      <c r="AI8" s="137" t="n">
        <f aca="false">'Price History'!N3+('Price History'!N158-'Price History'!N3)*0.0324675324675325</f>
        <v>353.991168831169</v>
      </c>
      <c r="AJ8" s="137" t="n">
        <f aca="false">'Price History'!O3+('Price History'!O158-'Price History'!O3)*0.0324675324675325</f>
        <v>84.2275974025974</v>
      </c>
      <c r="AK8" s="137" t="n">
        <f aca="false">'Price History'!Q3+('Price History'!Q151-'Price History'!Q3)*0.0324675324675325</f>
        <v>50.4442207792208</v>
      </c>
      <c r="AL8" s="137" t="n">
        <f aca="false">'Price History'!R3+('Price History'!R158-'Price History'!R3)*0.0324675324675325</f>
        <v>48.1586363636364</v>
      </c>
      <c r="AM8" s="137" t="n">
        <f aca="false">'Price History'!S3+('Price History'!S158-'Price History'!S3)*0.0324675324675325</f>
        <v>61.3091558441558</v>
      </c>
      <c r="AN8" s="137" t="n">
        <f aca="false">'Price History'!T3+('Price History'!T158-'Price History'!T3)*0.0324675324675325</f>
        <v>27.6512337662338</v>
      </c>
    </row>
    <row r="9" customFormat="false" ht="15" hidden="false" customHeight="true" outlineLevel="0" collapsed="false">
      <c r="A9" s="135" t="n">
        <f aca="false">IF('Price History'!A10="","",'Price History'!A10)</f>
        <v>45198</v>
      </c>
      <c r="B9" s="136" t="n">
        <f aca="false">IFERROR(IF(OR(NOT(ISNUMBER('Price History'!B10)),NOT(ISNUMBER('Price History'!B9)),'Price History'!B9=0),"",'Price History'!B10/'Price History'!B9-1),"")</f>
        <v>-0.00584909339052442</v>
      </c>
      <c r="C9" s="136" t="n">
        <f aca="false">IFERROR(IF(OR(NOT(ISNUMBER('Price History'!C10)),NOT(ISNUMBER('Price History'!C9)),'Price History'!C9=0),"",'Price History'!C10/'Price History'!C9-1),"")</f>
        <v>0.0197383011754269</v>
      </c>
      <c r="D9" s="136" t="n">
        <f aca="false">IFERROR(IF(OR(NOT(ISNUMBER('Price History'!D10)),NOT(ISNUMBER('Price History'!D9)),'Price History'!D9=0),"",'Price History'!D10/'Price History'!D9-1),"")</f>
        <v>0.00265712825753695</v>
      </c>
      <c r="E9" s="136" t="n">
        <f aca="false">IFERROR(IF(OR(NOT(ISNUMBER('Price History'!E10)),NOT(ISNUMBER('Price History'!E9)),'Price History'!E9=0),"",'Price History'!E10/'Price History'!E9-1),"")</f>
        <v>0.00180919068869856</v>
      </c>
      <c r="F9" s="136" t="n">
        <f aca="false">IFERROR(IF(OR(NOT(ISNUMBER('Price History'!F10)),NOT(ISNUMBER('Price History'!F9)),'Price History'!F9=0),"",'Price History'!F10/'Price History'!F9-1),"")</f>
        <v>0.0297736220472442</v>
      </c>
      <c r="G9" s="136" t="n">
        <f aca="false">IFERROR(IF(OR(NOT(ISNUMBER('Price History'!G10)),NOT(ISNUMBER('Price History'!G9)),'Price History'!G9=0),"",'Price History'!G10/'Price History'!G9-1),"")</f>
        <v>0.0152722443559097</v>
      </c>
      <c r="H9" s="136" t="n">
        <f aca="false">IFERROR(IF(OR(NOT(ISNUMBER('Price History'!H10)),NOT(ISNUMBER('Price History'!H9)),'Price History'!H9=0),"",'Price History'!H10/'Price History'!H9-1),"")</f>
        <v>-0.0123403019744482</v>
      </c>
      <c r="I9" s="136" t="n">
        <f aca="false">IFERROR(IF(OR(NOT(ISNUMBER('Price History'!I10)),NOT(ISNUMBER('Price History'!I9)),'Price History'!I9=0),"",'Price History'!I10/'Price History'!I9-1),"")</f>
        <v>0.0454217736121125</v>
      </c>
      <c r="J9" s="136" t="n">
        <f aca="false">IFERROR(IF(OR(NOT(ISNUMBER('Price History'!J10)),NOT(ISNUMBER('Price History'!J9)),'Price History'!J9=0),"",'Price History'!J10/'Price History'!J9-1),"")</f>
        <v>-0.0163057771543789</v>
      </c>
      <c r="K9" s="136" t="n">
        <f aca="false">IFERROR(IF(OR(NOT(ISNUMBER('Price History'!K10)),NOT(ISNUMBER('Price History'!K9)),'Price History'!K9=0),"",'Price History'!K10/'Price History'!K9-1),"")</f>
        <v>0.132342533616419</v>
      </c>
      <c r="L9" s="136" t="n">
        <f aca="false">IFERROR(IF(OR(NOT(ISNUMBER('Price History'!L10)),NOT(ISNUMBER('Price History'!L9)),'Price History'!L9=0),"",'Price History'!L10/'Price History'!L9-1),"")</f>
        <v>0.0147127510509109</v>
      </c>
      <c r="M9" s="136" t="n">
        <f aca="false">IFERROR(IF(OR(NOT(ISNUMBER('Price History'!M10)),NOT(ISNUMBER('Price History'!M9)),'Price History'!M9=0),"",'Price History'!M10/'Price History'!M9-1),"")</f>
        <v>0.0205761316872428</v>
      </c>
      <c r="N9" s="136" t="n">
        <f aca="false">IFERROR(IF(OR(NOT(ISNUMBER('Price History'!N10)),NOT(ISNUMBER('Price History'!N9)),'Price History'!N9=0),"",'Price History'!N10/'Price History'!N9-1),"")</f>
        <v>-0.00512116270420271</v>
      </c>
      <c r="O9" s="136" t="n">
        <f aca="false">IFERROR(IF(OR(NOT(ISNUMBER('Price History'!O10)),NOT(ISNUMBER('Price History'!O9)),'Price History'!O9=0),"",'Price History'!O10/'Price History'!O9-1),"")</f>
        <v>0.0164297822401878</v>
      </c>
      <c r="P9" s="136" t="str">
        <f aca="false">IFERROR(IF(OR(NOT(ISNUMBER('Price History'!P10)),NOT(ISNUMBER('Price History'!P9)),'Price History'!P9=0),"",'Price History'!P10/'Price History'!P9-1),"")</f>
        <v/>
      </c>
      <c r="Q9" s="136" t="n">
        <f aca="false">IFERROR(IF(OR(NOT(ISNUMBER('Price History'!Q10)),NOT(ISNUMBER('Price History'!Q9)),'Price History'!Q9=0),"",'Price History'!Q10/'Price History'!Q9-1),"")</f>
        <v>0.0130808278016401</v>
      </c>
      <c r="R9" s="136" t="n">
        <f aca="false">IFERROR(IF(OR(NOT(ISNUMBER('Price History'!R10)),NOT(ISNUMBER('Price History'!R9)),'Price History'!R9=0),"",'Price History'!R10/'Price History'!R9-1),"")</f>
        <v>0.000426348326582948</v>
      </c>
      <c r="S9" s="136" t="n">
        <f aca="false">IFERROR(IF(OR(NOT(ISNUMBER('Price History'!S10)),NOT(ISNUMBER('Price History'!S9)),'Price History'!S9=0),"",'Price History'!S10/'Price History'!S9-1),"")</f>
        <v>-0.00313261399234255</v>
      </c>
      <c r="T9" s="136" t="n">
        <f aca="false">IFERROR(IF(OR(NOT(ISNUMBER('Price History'!T10)),NOT(ISNUMBER('Price History'!T9)),'Price History'!T9=0),"",'Price History'!T10/'Price History'!T9-1),"")</f>
        <v>0.00270165959089153</v>
      </c>
      <c r="U9" s="136" t="str">
        <f aca="false">IFERROR(IF(OR(NOT(ISNUMBER('Price History'!U10)),NOT(ISNUMBER('Price History'!U9)),'Price History'!U9=0),"",'Price History'!U10/'Price History'!U9-1),"")</f>
        <v/>
      </c>
      <c r="W9" s="137" t="n">
        <f aca="false">'Price History'!B3+('Price History'!B158-'Price History'!B3)*0.038961038961039</f>
        <v>498.396493506493</v>
      </c>
      <c r="X9" s="137" t="n">
        <f aca="false">'Price History'!C3+('Price History'!C158-'Price History'!C3)*0.038961038961039</f>
        <v>49.0624675324675</v>
      </c>
      <c r="Y9" s="137" t="n">
        <f aca="false">'Price History'!D3+('Price History'!D158-'Price History'!D3)*0.038961038961039</f>
        <v>699.463896103896</v>
      </c>
      <c r="Z9" s="137" t="n">
        <f aca="false">'Price History'!E3+('Price History'!E158-'Price History'!E3)*0.038961038961039</f>
        <v>94.9137662337663</v>
      </c>
      <c r="AA9" s="137" t="n">
        <f aca="false">'Price History'!F3+('Price History'!F158-'Price History'!F3)*0.038961038961039</f>
        <v>43.0522077922078</v>
      </c>
      <c r="AB9" s="137" t="n">
        <f aca="false">'Price History'!G3+('Price History'!G158-'Price History'!G3)*0.038961038961039</f>
        <v>53.1566233766234</v>
      </c>
      <c r="AC9" s="137" t="n">
        <f aca="false">'Price History'!H3+('Price History'!H158-'Price History'!H3)*0.038961038961039</f>
        <v>93.9281818181819</v>
      </c>
      <c r="AD9" s="137" t="n">
        <f aca="false">'Price History'!I3+('Price History'!I158-'Price History'!I3)*0.038961038961039</f>
        <v>47.0798701298701</v>
      </c>
      <c r="AE9" s="137" t="n">
        <f aca="false">'Price History'!J3+('Price History'!J158-'Price History'!J3)*0.038961038961039</f>
        <v>124.332077922078</v>
      </c>
      <c r="AF9" s="137" t="n">
        <f aca="false">'Price History'!K3+('Price History'!K158-'Price History'!K3)*0.038961038961039</f>
        <v>19.6041558441558</v>
      </c>
      <c r="AG9" s="137" t="n">
        <f aca="false">'Price History'!L3+('Price History'!L158-'Price History'!L3)*0.038961038961039</f>
        <v>104.155974025974</v>
      </c>
      <c r="AH9" s="137" t="n">
        <f aca="false">'Price History'!M3+('Price History'!M158-'Price History'!M3)*0.038961038961039</f>
        <v>41.6162337662338</v>
      </c>
      <c r="AI9" s="137" t="n">
        <f aca="false">'Price History'!N3+('Price History'!N158-'Price History'!N3)*0.038961038961039</f>
        <v>354.817402597403</v>
      </c>
      <c r="AJ9" s="137" t="n">
        <f aca="false">'Price History'!O3+('Price History'!O158-'Price History'!O3)*0.038961038961039</f>
        <v>84.5031168831169</v>
      </c>
      <c r="AK9" s="137" t="n">
        <f aca="false">'Price History'!Q3+('Price History'!Q151-'Price History'!Q3)*0.038961038961039</f>
        <v>50.5650649350649</v>
      </c>
      <c r="AL9" s="137" t="n">
        <f aca="false">'Price History'!R3+('Price History'!R158-'Price History'!R3)*0.038961038961039</f>
        <v>48.2263636363636</v>
      </c>
      <c r="AM9" s="137" t="n">
        <f aca="false">'Price History'!S3+('Price History'!S158-'Price History'!S3)*0.038961038961039</f>
        <v>61.862987012987</v>
      </c>
      <c r="AN9" s="137" t="n">
        <f aca="false">'Price History'!T3+('Price History'!T158-'Price History'!T3)*0.038961038961039</f>
        <v>27.7994805194805</v>
      </c>
    </row>
    <row r="10" customFormat="false" ht="15" hidden="false" customHeight="true" outlineLevel="0" collapsed="false">
      <c r="A10" s="135" t="n">
        <f aca="false">IF('Price History'!A11="","",'Price History'!A11)</f>
        <v>45205</v>
      </c>
      <c r="B10" s="136" t="n">
        <f aca="false">IFERROR(IF(OR(NOT(ISNUMBER('Price History'!B11)),NOT(ISNUMBER('Price History'!B10)),'Price History'!B10=0),"",'Price History'!B11/'Price History'!B10-1),"")</f>
        <v>0.0329084134143949</v>
      </c>
      <c r="C10" s="136" t="n">
        <f aca="false">IFERROR(IF(OR(NOT(ISNUMBER('Price History'!C11)),NOT(ISNUMBER('Price History'!C10)),'Price History'!C10=0),"",'Price History'!C11/'Price History'!C10-1),"")</f>
        <v>0.0550239234449761</v>
      </c>
      <c r="D10" s="136" t="n">
        <f aca="false">IFERROR(IF(OR(NOT(ISNUMBER('Price History'!D11)),NOT(ISNUMBER('Price History'!D10)),'Price History'!D10=0),"",'Price History'!D11/'Price History'!D10-1),"")</f>
        <v>0.014779329324228</v>
      </c>
      <c r="E10" s="136" t="n">
        <f aca="false">IFERROR(IF(OR(NOT(ISNUMBER('Price History'!E11)),NOT(ISNUMBER('Price History'!E10)),'Price History'!E10=0),"",'Price History'!E11/'Price History'!E10-1),"")</f>
        <v>0.0176980496026968</v>
      </c>
      <c r="F10" s="136" t="n">
        <f aca="false">IFERROR(IF(OR(NOT(ISNUMBER('Price History'!F11)),NOT(ISNUMBER('Price History'!F10)),'Price History'!F10=0),"",'Price History'!F11/'Price History'!F10-1),"")</f>
        <v>0.055436081242533</v>
      </c>
      <c r="G10" s="136" t="n">
        <f aca="false">IFERROR(IF(OR(NOT(ISNUMBER('Price History'!G11)),NOT(ISNUMBER('Price History'!G10)),'Price History'!G10=0),"",'Price History'!G11/'Price History'!G10-1),"")</f>
        <v>0.0204926967516896</v>
      </c>
      <c r="H10" s="136" t="n">
        <f aca="false">IFERROR(IF(OR(NOT(ISNUMBER('Price History'!H11)),NOT(ISNUMBER('Price History'!H10)),'Price History'!H10=0),"",'Price History'!H11/'Price History'!H10-1),"")</f>
        <v>0.0283698368366896</v>
      </c>
      <c r="I10" s="136" t="n">
        <f aca="false">IFERROR(IF(OR(NOT(ISNUMBER('Price History'!I11)),NOT(ISNUMBER('Price History'!I10)),'Price History'!I10=0),"",'Price History'!I11/'Price History'!I10-1),"")</f>
        <v>0.0519540229885056</v>
      </c>
      <c r="J10" s="136" t="n">
        <f aca="false">IFERROR(IF(OR(NOT(ISNUMBER('Price History'!J11)),NOT(ISNUMBER('Price History'!J10)),'Price History'!J10=0),"",'Price History'!J11/'Price History'!J10-1),"")</f>
        <v>-0.0294091435700917</v>
      </c>
      <c r="K10" s="136" t="n">
        <f aca="false">IFERROR(IF(OR(NOT(ISNUMBER('Price History'!K11)),NOT(ISNUMBER('Price History'!K10)),'Price History'!K10=0),"",'Price History'!K11/'Price History'!K10-1),"")</f>
        <v>0.038125</v>
      </c>
      <c r="L10" s="136" t="n">
        <f aca="false">IFERROR(IF(OR(NOT(ISNUMBER('Price History'!L11)),NOT(ISNUMBER('Price History'!L10)),'Price History'!L10=0),"",'Price History'!L11/'Price History'!L10-1),"")</f>
        <v>0.0275028768699654</v>
      </c>
      <c r="M10" s="136" t="n">
        <f aca="false">IFERROR(IF(OR(NOT(ISNUMBER('Price History'!M11)),NOT(ISNUMBER('Price History'!M10)),'Price History'!M10=0),"",'Price History'!M11/'Price History'!M10-1),"")</f>
        <v>0.0690860215053764</v>
      </c>
      <c r="N10" s="136" t="n">
        <f aca="false">IFERROR(IF(OR(NOT(ISNUMBER('Price History'!N11)),NOT(ISNUMBER('Price History'!N10)),'Price History'!N10=0),"",'Price History'!N11/'Price History'!N10-1),"")</f>
        <v>0.0370391671938806</v>
      </c>
      <c r="O10" s="136" t="n">
        <f aca="false">IFERROR(IF(OR(NOT(ISNUMBER('Price History'!O11)),NOT(ISNUMBER('Price History'!O10)),'Price History'!O10=0),"",'Price History'!O11/'Price History'!O10-1),"")</f>
        <v>-0.030147530468249</v>
      </c>
      <c r="P10" s="136" t="str">
        <f aca="false">IFERROR(IF(OR(NOT(ISNUMBER('Price History'!P11)),NOT(ISNUMBER('Price History'!P10)),'Price History'!P10=0),"",'Price History'!P11/'Price History'!P10-1),"")</f>
        <v/>
      </c>
      <c r="Q10" s="136" t="n">
        <f aca="false">IFERROR(IF(OR(NOT(ISNUMBER('Price History'!Q11)),NOT(ISNUMBER('Price History'!Q10)),'Price History'!Q10=0),"",'Price History'!Q11/'Price History'!Q10-1),"")</f>
        <v>0.00443245326652519</v>
      </c>
      <c r="R10" s="136" t="n">
        <f aca="false">IFERROR(IF(OR(NOT(ISNUMBER('Price History'!R11)),NOT(ISNUMBER('Price History'!R10)),'Price History'!R10=0),"",'Price History'!R11/'Price History'!R10-1),"")</f>
        <v>0.0042616663115278</v>
      </c>
      <c r="S10" s="136" t="n">
        <f aca="false">IFERROR(IF(OR(NOT(ISNUMBER('Price History'!S11)),NOT(ISNUMBER('Price History'!S10)),'Price History'!S10=0),"",'Price History'!S11/'Price History'!S10-1),"")</f>
        <v>0.011173184357542</v>
      </c>
      <c r="T10" s="136" t="n">
        <f aca="false">IFERROR(IF(OR(NOT(ISNUMBER('Price History'!T11)),NOT(ISNUMBER('Price History'!T10)),'Price History'!T10=0),"",'Price History'!T11/'Price History'!T10-1),"")</f>
        <v>-0.0184757505773672</v>
      </c>
      <c r="U10" s="136" t="str">
        <f aca="false">IFERROR(IF(OR(NOT(ISNUMBER('Price History'!U11)),NOT(ISNUMBER('Price History'!U10)),'Price History'!U10=0),"",'Price History'!U11/'Price History'!U10-1),"")</f>
        <v/>
      </c>
      <c r="W10" s="137" t="n">
        <f aca="false">'Price History'!B3+('Price History'!B158-'Price History'!B3)*0.0454545454545455</f>
        <v>496.720909090909</v>
      </c>
      <c r="X10" s="137" t="n">
        <f aca="false">'Price History'!C3+('Price History'!C158-'Price History'!C3)*0.0454545454545455</f>
        <v>49.9495454545455</v>
      </c>
      <c r="Y10" s="137" t="n">
        <f aca="false">'Price History'!D3+('Price History'!D158-'Price History'!D3)*0.0454545454545455</f>
        <v>705.744545454546</v>
      </c>
      <c r="Z10" s="137" t="n">
        <f aca="false">'Price History'!E3+('Price History'!E158-'Price History'!E3)*0.0454545454545455</f>
        <v>96.9027272727273</v>
      </c>
      <c r="AA10" s="137" t="n">
        <f aca="false">'Price History'!F3+('Price History'!F158-'Price History'!F3)*0.0454545454545455</f>
        <v>44.0509090909091</v>
      </c>
      <c r="AB10" s="137" t="n">
        <f aca="false">'Price History'!G3+('Price History'!G158-'Price History'!G3)*0.0454545454545455</f>
        <v>54.0327272727273</v>
      </c>
      <c r="AC10" s="137" t="n">
        <f aca="false">'Price History'!H3+('Price History'!H158-'Price History'!H3)*0.0454545454545455</f>
        <v>98.8545454545455</v>
      </c>
      <c r="AD10" s="137" t="n">
        <f aca="false">'Price History'!I3+('Price History'!I158-'Price History'!I3)*0.0454545454545455</f>
        <v>48.1181818181818</v>
      </c>
      <c r="AE10" s="137" t="n">
        <f aca="false">'Price History'!J3+('Price History'!J158-'Price History'!J3)*0.0454545454545455</f>
        <v>124.469090909091</v>
      </c>
      <c r="AF10" s="137" t="n">
        <f aca="false">'Price History'!K3+('Price History'!K158-'Price History'!K3)*0.0454545454545455</f>
        <v>20.3031818181818</v>
      </c>
      <c r="AG10" s="137" t="n">
        <f aca="false">'Price History'!L3+('Price History'!L158-'Price History'!L3)*0.0454545454545455</f>
        <v>106.183636363636</v>
      </c>
      <c r="AH10" s="137" t="n">
        <f aca="false">'Price History'!M3+('Price History'!M158-'Price History'!M3)*0.0454545454545455</f>
        <v>42.9672727272727</v>
      </c>
      <c r="AI10" s="137" t="n">
        <f aca="false">'Price History'!N3+('Price History'!N158-'Price History'!N3)*0.0454545454545455</f>
        <v>355.643636363636</v>
      </c>
      <c r="AJ10" s="137" t="n">
        <f aca="false">'Price History'!O3+('Price History'!O158-'Price History'!O3)*0.0454545454545455</f>
        <v>84.7786363636364</v>
      </c>
      <c r="AK10" s="137" t="n">
        <f aca="false">'Price History'!Q3+('Price History'!Q151-'Price History'!Q3)*0.0454545454545455</f>
        <v>50.6859090909091</v>
      </c>
      <c r="AL10" s="137" t="n">
        <f aca="false">'Price History'!R3+('Price History'!R158-'Price History'!R3)*0.0454545454545455</f>
        <v>48.2940909090909</v>
      </c>
      <c r="AM10" s="137" t="n">
        <f aca="false">'Price History'!S3+('Price History'!S158-'Price History'!S3)*0.0454545454545455</f>
        <v>62.4168181818182</v>
      </c>
      <c r="AN10" s="137" t="n">
        <f aca="false">'Price History'!T3+('Price History'!T158-'Price History'!T3)*0.0454545454545455</f>
        <v>27.9477272727273</v>
      </c>
    </row>
    <row r="11" customFormat="false" ht="15" hidden="false" customHeight="true" outlineLevel="0" collapsed="false">
      <c r="A11" s="135" t="n">
        <f aca="false">IF('Price History'!A12="","",'Price History'!A12)</f>
        <v>45212</v>
      </c>
      <c r="B11" s="136" t="n">
        <f aca="false">IFERROR(IF(OR(NOT(ISNUMBER('Price History'!B12)),NOT(ISNUMBER('Price History'!B11)),'Price History'!B11=0),"",'Price History'!B12/'Price History'!B11-1),"")</f>
        <v>0.0419229892914104</v>
      </c>
      <c r="C11" s="136" t="n">
        <f aca="false">IFERROR(IF(OR(NOT(ISNUMBER('Price History'!C12)),NOT(ISNUMBER('Price History'!C11)),'Price History'!C11=0),"",'Price History'!C12/'Price History'!C11-1),"")</f>
        <v>-0.0216450216450216</v>
      </c>
      <c r="D11" s="136" t="n">
        <f aca="false">IFERROR(IF(OR(NOT(ISNUMBER('Price History'!D12)),NOT(ISNUMBER('Price History'!D11)),'Price History'!D11=0),"",'Price History'!D12/'Price History'!D11-1),"")</f>
        <v>0.00400093745814911</v>
      </c>
      <c r="E11" s="136" t="n">
        <f aca="false">IFERROR(IF(OR(NOT(ISNUMBER('Price History'!E12)),NOT(ISNUMBER('Price History'!E11)),'Price History'!E11=0),"",'Price History'!E12/'Price History'!E11-1),"")</f>
        <v>0.0448361528451438</v>
      </c>
      <c r="F11" s="136" t="n">
        <f aca="false">IFERROR(IF(OR(NOT(ISNUMBER('Price History'!F12)),NOT(ISNUMBER('Price History'!F11)),'Price History'!F11=0),"",'Price History'!F12/'Price History'!F11-1),"")</f>
        <v>0.0511659497396422</v>
      </c>
      <c r="G11" s="136" t="n">
        <f aca="false">IFERROR(IF(OR(NOT(ISNUMBER('Price History'!G12)),NOT(ISNUMBER('Price History'!G11)),'Price History'!G11=0),"",'Price History'!G12/'Price History'!G11-1),"")</f>
        <v>0.0399487289040803</v>
      </c>
      <c r="H11" s="136" t="n">
        <f aca="false">IFERROR(IF(OR(NOT(ISNUMBER('Price History'!H12)),NOT(ISNUMBER('Price History'!H11)),'Price History'!H11=0),"",'Price History'!H12/'Price History'!H11-1),"")</f>
        <v>-0.0107204116638079</v>
      </c>
      <c r="I11" s="136" t="n">
        <f aca="false">IFERROR(IF(OR(NOT(ISNUMBER('Price History'!I12)),NOT(ISNUMBER('Price History'!I11)),'Price History'!I11=0),"",'Price History'!I12/'Price History'!I11-1),"")</f>
        <v>-0.00655594405594395</v>
      </c>
      <c r="J11" s="136" t="n">
        <f aca="false">IFERROR(IF(OR(NOT(ISNUMBER('Price History'!J12)),NOT(ISNUMBER('Price History'!J11)),'Price History'!J11=0),"",'Price History'!J12/'Price History'!J11-1),"")</f>
        <v>0.0067946010467359</v>
      </c>
      <c r="K11" s="136" t="n">
        <f aca="false">IFERROR(IF(OR(NOT(ISNUMBER('Price History'!K12)),NOT(ISNUMBER('Price History'!K11)),'Price History'!K11=0),"",'Price History'!K12/'Price History'!K11-1),"")</f>
        <v>0.0451535219747141</v>
      </c>
      <c r="L11" s="136" t="n">
        <f aca="false">IFERROR(IF(OR(NOT(ISNUMBER('Price History'!L12)),NOT(ISNUMBER('Price History'!L11)),'Price History'!L11=0),"",'Price History'!L12/'Price History'!L11-1),"")</f>
        <v>0.01310337103819</v>
      </c>
      <c r="M11" s="136" t="n">
        <f aca="false">IFERROR(IF(OR(NOT(ISNUMBER('Price History'!M12)),NOT(ISNUMBER('Price History'!M11)),'Price History'!M11=0),"",'Price History'!M12/'Price History'!M11-1),"")</f>
        <v>-0.0168468694996229</v>
      </c>
      <c r="N11" s="136" t="n">
        <f aca="false">IFERROR(IF(OR(NOT(ISNUMBER('Price History'!N12)),NOT(ISNUMBER('Price History'!N11)),'Price History'!N11=0),"",'Price History'!N12/'Price History'!N11-1),"")</f>
        <v>0.0287837612999833</v>
      </c>
      <c r="O11" s="136" t="n">
        <f aca="false">IFERROR(IF(OR(NOT(ISNUMBER('Price History'!O12)),NOT(ISNUMBER('Price History'!O11)),'Price History'!O11=0),"",'Price History'!O12/'Price History'!O11-1),"")</f>
        <v>0.00264550264550278</v>
      </c>
      <c r="P11" s="136" t="str">
        <f aca="false">IFERROR(IF(OR(NOT(ISNUMBER('Price History'!P12)),NOT(ISNUMBER('Price History'!P11)),'Price History'!P11=0),"",'Price History'!P12/'Price History'!P11-1),"")</f>
        <v/>
      </c>
      <c r="Q11" s="136" t="n">
        <f aca="false">IFERROR(IF(OR(NOT(ISNUMBER('Price History'!Q12)),NOT(ISNUMBER('Price History'!Q11)),'Price History'!Q11=0),"",'Price History'!Q12/'Price History'!Q11-1),"")</f>
        <v>0.000959324635456671</v>
      </c>
      <c r="R11" s="136" t="n">
        <f aca="false">IFERROR(IF(OR(NOT(ISNUMBER('Price History'!R12)),NOT(ISNUMBER('Price History'!R11)),'Price History'!R11=0),"",'Price History'!R12/'Price History'!R11-1),"")</f>
        <v>0.00275832802885634</v>
      </c>
      <c r="S11" s="136" t="n">
        <f aca="false">IFERROR(IF(OR(NOT(ISNUMBER('Price History'!S12)),NOT(ISNUMBER('Price History'!S11)),'Price History'!S11=0),"",'Price History'!S12/'Price History'!S11-1),"")</f>
        <v>0.00569751381215466</v>
      </c>
      <c r="T11" s="136" t="n">
        <f aca="false">IFERROR(IF(OR(NOT(ISNUMBER('Price History'!T12)),NOT(ISNUMBER('Price History'!T11)),'Price History'!T11=0),"",'Price History'!T12/'Price History'!T11-1),"")</f>
        <v>0.0129411764705882</v>
      </c>
      <c r="U11" s="136" t="str">
        <f aca="false">IFERROR(IF(OR(NOT(ISNUMBER('Price History'!U12)),NOT(ISNUMBER('Price History'!U11)),'Price History'!U11=0),"",'Price History'!U12/'Price History'!U11-1),"")</f>
        <v/>
      </c>
      <c r="W11" s="137" t="n">
        <f aca="false">'Price History'!B3+('Price History'!B158-'Price History'!B3)*0.051948051948052</f>
        <v>495.045324675325</v>
      </c>
      <c r="X11" s="137" t="n">
        <f aca="false">'Price History'!C3+('Price History'!C158-'Price History'!C3)*0.051948051948052</f>
        <v>50.8366233766234</v>
      </c>
      <c r="Y11" s="137" t="n">
        <f aca="false">'Price History'!D3+('Price History'!D158-'Price History'!D3)*0.051948051948052</f>
        <v>712.025194805195</v>
      </c>
      <c r="Z11" s="137" t="n">
        <f aca="false">'Price History'!E3+('Price History'!E158-'Price History'!E3)*0.051948051948052</f>
        <v>98.8916883116883</v>
      </c>
      <c r="AA11" s="137" t="n">
        <f aca="false">'Price History'!F3+('Price History'!F158-'Price History'!F3)*0.051948051948052</f>
        <v>45.0496103896104</v>
      </c>
      <c r="AB11" s="137" t="n">
        <f aca="false">'Price History'!G3+('Price History'!G158-'Price History'!G3)*0.051948051948052</f>
        <v>54.9088311688312</v>
      </c>
      <c r="AC11" s="137" t="n">
        <f aca="false">'Price History'!H3+('Price History'!H158-'Price History'!H3)*0.051948051948052</f>
        <v>103.780909090909</v>
      </c>
      <c r="AD11" s="137" t="n">
        <f aca="false">'Price History'!I3+('Price History'!I158-'Price History'!I3)*0.051948051948052</f>
        <v>49.1564935064935</v>
      </c>
      <c r="AE11" s="137" t="n">
        <f aca="false">'Price History'!J3+('Price History'!J158-'Price History'!J3)*0.051948051948052</f>
        <v>124.606103896104</v>
      </c>
      <c r="AF11" s="137" t="n">
        <f aca="false">'Price History'!K3+('Price History'!K158-'Price History'!K3)*0.051948051948052</f>
        <v>21.0022077922078</v>
      </c>
      <c r="AG11" s="137" t="n">
        <f aca="false">'Price History'!L3+('Price History'!L158-'Price History'!L3)*0.051948051948052</f>
        <v>108.211298701299</v>
      </c>
      <c r="AH11" s="137" t="n">
        <f aca="false">'Price History'!M3+('Price History'!M158-'Price History'!M3)*0.051948051948052</f>
        <v>44.3183116883117</v>
      </c>
      <c r="AI11" s="137" t="n">
        <f aca="false">'Price History'!N3+('Price History'!N158-'Price History'!N3)*0.051948051948052</f>
        <v>356.46987012987</v>
      </c>
      <c r="AJ11" s="137" t="n">
        <f aca="false">'Price History'!O3+('Price History'!O158-'Price History'!O3)*0.051948051948052</f>
        <v>85.0541558441558</v>
      </c>
      <c r="AK11" s="137" t="n">
        <f aca="false">'Price History'!Q3+('Price History'!Q151-'Price History'!Q3)*0.051948051948052</f>
        <v>50.8067532467533</v>
      </c>
      <c r="AL11" s="137" t="n">
        <f aca="false">'Price History'!R3+('Price History'!R158-'Price History'!R3)*0.051948051948052</f>
        <v>48.3618181818182</v>
      </c>
      <c r="AM11" s="137" t="n">
        <f aca="false">'Price History'!S3+('Price History'!S158-'Price History'!S3)*0.051948051948052</f>
        <v>62.9706493506494</v>
      </c>
      <c r="AN11" s="137" t="n">
        <f aca="false">'Price History'!T3+('Price History'!T158-'Price History'!T3)*0.051948051948052</f>
        <v>28.095974025974</v>
      </c>
    </row>
    <row r="12" customFormat="false" ht="15" hidden="false" customHeight="true" outlineLevel="0" collapsed="false">
      <c r="A12" s="135" t="n">
        <f aca="false">IF('Price History'!A13="","",'Price History'!A13)</f>
        <v>45219</v>
      </c>
      <c r="B12" s="136" t="n">
        <f aca="false">IFERROR(IF(OR(NOT(ISNUMBER('Price History'!B13)),NOT(ISNUMBER('Price History'!B12)),'Price History'!B12=0),"",'Price History'!B13/'Price History'!B12-1),"")</f>
        <v>-0.0142138639842553</v>
      </c>
      <c r="C12" s="136" t="n">
        <f aca="false">IFERROR(IF(OR(NOT(ISNUMBER('Price History'!C13)),NOT(ISNUMBER('Price History'!C12)),'Price History'!C12=0),"",'Price History'!C13/'Price History'!C12-1),"")</f>
        <v>-0.0195954487989887</v>
      </c>
      <c r="D12" s="136" t="n">
        <f aca="false">IFERROR(IF(OR(NOT(ISNUMBER('Price History'!D13)),NOT(ISNUMBER('Price History'!D12)),'Price History'!D12=0),"",'Price History'!D13/'Price History'!D12-1),"")</f>
        <v>-0.0327636515214672</v>
      </c>
      <c r="E12" s="136" t="n">
        <f aca="false">IFERROR(IF(OR(NOT(ISNUMBER('Price History'!E13)),NOT(ISNUMBER('Price History'!E12)),'Price History'!E12=0),"",'Price History'!E13/'Price History'!E12-1),"")</f>
        <v>-0.0335144927536232</v>
      </c>
      <c r="F12" s="136" t="n">
        <f aca="false">IFERROR(IF(OR(NOT(ISNUMBER('Price History'!F13)),NOT(ISNUMBER('Price History'!F12)),'Price History'!F12=0),"",'Price History'!F13/'Price History'!F12-1),"")</f>
        <v>-0.0374757699763084</v>
      </c>
      <c r="G12" s="136" t="n">
        <f aca="false">IFERROR(IF(OR(NOT(ISNUMBER('Price History'!G13)),NOT(ISNUMBER('Price History'!G12)),'Price History'!G12=0),"",'Price History'!G13/'Price History'!G12-1),"")</f>
        <v>-0.0501232539030402</v>
      </c>
      <c r="H12" s="136" t="n">
        <f aca="false">IFERROR(IF(OR(NOT(ISNUMBER('Price History'!H13)),NOT(ISNUMBER('Price History'!H12)),'Price History'!H12=0),"",'Price History'!H13/'Price History'!H12-1),"")</f>
        <v>-0.0287530703655541</v>
      </c>
      <c r="I12" s="136" t="n">
        <f aca="false">IFERROR(IF(OR(NOT(ISNUMBER('Price History'!I13)),NOT(ISNUMBER('Price History'!I12)),'Price History'!I12=0),"",'Price History'!I13/'Price History'!I12-1),"")</f>
        <v>-0.0895292564892213</v>
      </c>
      <c r="J12" s="136" t="n">
        <f aca="false">IFERROR(IF(OR(NOT(ISNUMBER('Price History'!J13)),NOT(ISNUMBER('Price History'!J12)),'Price History'!J12=0),"",'Price History'!J13/'Price History'!J12-1),"")</f>
        <v>-0.0658458732330142</v>
      </c>
      <c r="K12" s="136" t="n">
        <f aca="false">IFERROR(IF(OR(NOT(ISNUMBER('Price History'!K13)),NOT(ISNUMBER('Price History'!K12)),'Price History'!K12=0),"",'Price History'!K13/'Price History'!K12-1),"")</f>
        <v>-0.0720046082949308</v>
      </c>
      <c r="L12" s="136" t="n">
        <f aca="false">IFERROR(IF(OR(NOT(ISNUMBER('Price History'!L13)),NOT(ISNUMBER('Price History'!L12)),'Price History'!L12=0),"",'Price History'!L13/'Price History'!L12-1),"")</f>
        <v>0.0093964183064339</v>
      </c>
      <c r="M12" s="136" t="n">
        <f aca="false">IFERROR(IF(OR(NOT(ISNUMBER('Price History'!M13)),NOT(ISNUMBER('Price History'!M12)),'Price History'!M12=0),"",'Price History'!M13/'Price History'!M12-1),"")</f>
        <v>-0.0603580562659847</v>
      </c>
      <c r="N12" s="136" t="n">
        <f aca="false">IFERROR(IF(OR(NOT(ISNUMBER('Price History'!N13)),NOT(ISNUMBER('Price History'!N12)),'Price History'!N12=0),"",'Price History'!N13/'Price History'!N12-1),"")</f>
        <v>-0.0246361185983827</v>
      </c>
      <c r="O12" s="136" t="n">
        <f aca="false">IFERROR(IF(OR(NOT(ISNUMBER('Price History'!O13)),NOT(ISNUMBER('Price History'!O12)),'Price History'!O12=0),"",'Price History'!O13/'Price History'!O12-1),"")</f>
        <v>-0.016754617414248</v>
      </c>
      <c r="P12" s="136" t="str">
        <f aca="false">IFERROR(IF(OR(NOT(ISNUMBER('Price History'!P13)),NOT(ISNUMBER('Price History'!P12)),'Price History'!P12=0),"",'Price History'!P13/'Price History'!P12-1),"")</f>
        <v/>
      </c>
      <c r="Q12" s="136" t="n">
        <f aca="false">IFERROR(IF(OR(NOT(ISNUMBER('Price History'!Q13)),NOT(ISNUMBER('Price History'!Q12)),'Price History'!Q12=0),"",'Price History'!Q13/'Price History'!Q12-1),"")</f>
        <v>0.00364193981215255</v>
      </c>
      <c r="R12" s="136" t="n">
        <f aca="false">IFERROR(IF(OR(NOT(ISNUMBER('Price History'!R13)),NOT(ISNUMBER('Price History'!R12)),'Price History'!R12=0),"",'Price History'!R13/'Price History'!R12-1),"")</f>
        <v>-0.0198899703766399</v>
      </c>
      <c r="S12" s="136" t="n">
        <f aca="false">IFERROR(IF(OR(NOT(ISNUMBER('Price History'!S13)),NOT(ISNUMBER('Price History'!S12)),'Price History'!S12=0),"",'Price History'!S13/'Price History'!S12-1),"")</f>
        <v>-0.0290128755364807</v>
      </c>
      <c r="T12" s="136" t="n">
        <f aca="false">IFERROR(IF(OR(NOT(ISNUMBER('Price History'!T13)),NOT(ISNUMBER('Price History'!T12)),'Price History'!T12=0),"",'Price History'!T13/'Price History'!T12-1),"")</f>
        <v>-0.0127758420441346</v>
      </c>
      <c r="U12" s="136" t="str">
        <f aca="false">IFERROR(IF(OR(NOT(ISNUMBER('Price History'!U13)),NOT(ISNUMBER('Price History'!U12)),'Price History'!U12=0),"",'Price History'!U13/'Price History'!U12-1),"")</f>
        <v/>
      </c>
      <c r="W12" s="137" t="n">
        <f aca="false">'Price History'!B3+('Price History'!B158-'Price History'!B3)*0.0584415584415584</f>
        <v>493.36974025974</v>
      </c>
      <c r="X12" s="137" t="n">
        <f aca="false">'Price History'!C3+('Price History'!C158-'Price History'!C3)*0.0584415584415584</f>
        <v>51.7237012987013</v>
      </c>
      <c r="Y12" s="137" t="n">
        <f aca="false">'Price History'!D3+('Price History'!D158-'Price History'!D3)*0.0584415584415584</f>
        <v>718.305844155844</v>
      </c>
      <c r="Z12" s="137" t="n">
        <f aca="false">'Price History'!E3+('Price History'!E158-'Price History'!E3)*0.0584415584415584</f>
        <v>100.880649350649</v>
      </c>
      <c r="AA12" s="137" t="n">
        <f aca="false">'Price History'!F3+('Price History'!F158-'Price History'!F3)*0.0584415584415584</f>
        <v>46.0483116883117</v>
      </c>
      <c r="AB12" s="137" t="n">
        <f aca="false">'Price History'!G3+('Price History'!G158-'Price History'!G3)*0.0584415584415584</f>
        <v>55.7849350649351</v>
      </c>
      <c r="AC12" s="137" t="n">
        <f aca="false">'Price History'!H3+('Price History'!H158-'Price History'!H3)*0.0584415584415584</f>
        <v>108.707272727273</v>
      </c>
      <c r="AD12" s="137" t="n">
        <f aca="false">'Price History'!I3+('Price History'!I158-'Price History'!I3)*0.0584415584415584</f>
        <v>50.1948051948052</v>
      </c>
      <c r="AE12" s="137" t="n">
        <f aca="false">'Price History'!J3+('Price History'!J158-'Price History'!J3)*0.0584415584415584</f>
        <v>124.743116883117</v>
      </c>
      <c r="AF12" s="137" t="n">
        <f aca="false">'Price History'!K3+('Price History'!K158-'Price History'!K3)*0.0584415584415584</f>
        <v>21.7012337662338</v>
      </c>
      <c r="AG12" s="137" t="n">
        <f aca="false">'Price History'!L3+('Price History'!L158-'Price History'!L3)*0.0584415584415584</f>
        <v>110.238961038961</v>
      </c>
      <c r="AH12" s="137" t="n">
        <f aca="false">'Price History'!M3+('Price History'!M158-'Price History'!M3)*0.0584415584415584</f>
        <v>45.6693506493506</v>
      </c>
      <c r="AI12" s="137" t="n">
        <f aca="false">'Price History'!N3+('Price History'!N158-'Price History'!N3)*0.0584415584415584</f>
        <v>357.296103896104</v>
      </c>
      <c r="AJ12" s="137" t="n">
        <f aca="false">'Price History'!O3+('Price History'!O158-'Price History'!O3)*0.0584415584415584</f>
        <v>85.3296753246753</v>
      </c>
      <c r="AK12" s="137" t="n">
        <f aca="false">'Price History'!Q3+('Price History'!Q151-'Price History'!Q3)*0.0584415584415584</f>
        <v>50.9275974025974</v>
      </c>
      <c r="AL12" s="137" t="n">
        <f aca="false">'Price History'!R3+('Price History'!R158-'Price History'!R3)*0.0584415584415584</f>
        <v>48.4295454545455</v>
      </c>
      <c r="AM12" s="137" t="n">
        <f aca="false">'Price History'!S3+('Price History'!S158-'Price History'!S3)*0.0584415584415584</f>
        <v>63.5244805194805</v>
      </c>
      <c r="AN12" s="137" t="n">
        <f aca="false">'Price History'!T3+('Price History'!T158-'Price History'!T3)*0.0584415584415584</f>
        <v>28.2442207792208</v>
      </c>
    </row>
    <row r="13" customFormat="false" ht="15" hidden="false" customHeight="true" outlineLevel="0" collapsed="false">
      <c r="A13" s="135" t="n">
        <f aca="false">IF('Price History'!A14="","",'Price History'!A14)</f>
        <v>45226</v>
      </c>
      <c r="B13" s="136" t="n">
        <f aca="false">IFERROR(IF(OR(NOT(ISNUMBER('Price History'!B14)),NOT(ISNUMBER('Price History'!B13)),'Price History'!B13=0),"",'Price History'!B14/'Price History'!B13-1),"")</f>
        <v>-0.0607068914522331</v>
      </c>
      <c r="C13" s="136" t="n">
        <f aca="false">IFERROR(IF(OR(NOT(ISNUMBER('Price History'!C14)),NOT(ISNUMBER('Price History'!C13)),'Price History'!C13=0),"",'Price History'!C14/'Price History'!C13-1),"")</f>
        <v>-0.0532989469159683</v>
      </c>
      <c r="D13" s="136" t="n">
        <f aca="false">IFERROR(IF(OR(NOT(ISNUMBER('Price History'!D14)),NOT(ISNUMBER('Price History'!D13)),'Price History'!D13=0),"",'Price History'!D14/'Price History'!D13-1),"")</f>
        <v>0.0170660230994655</v>
      </c>
      <c r="E13" s="136" t="n">
        <f aca="false">IFERROR(IF(OR(NOT(ISNUMBER('Price History'!E14)),NOT(ISNUMBER('Price History'!E13)),'Price History'!E13=0),"",'Price History'!E14/'Price History'!E13-1),"")</f>
        <v>-0.0178069353327085</v>
      </c>
      <c r="F13" s="136" t="n">
        <f aca="false">IFERROR(IF(OR(NOT(ISNUMBER('Price History'!F14)),NOT(ISNUMBER('Price History'!F13)),'Price History'!F13=0),"",'Price History'!F14/'Price History'!F13-1),"")</f>
        <v>-0.0331170284179906</v>
      </c>
      <c r="G13" s="136" t="n">
        <f aca="false">IFERROR(IF(OR(NOT(ISNUMBER('Price History'!G14)),NOT(ISNUMBER('Price History'!G13)),'Price History'!G13=0),"",'Price History'!G14/'Price History'!G13-1),"")</f>
        <v>-0.00973183391003463</v>
      </c>
      <c r="H13" s="136" t="n">
        <f aca="false">IFERROR(IF(OR(NOT(ISNUMBER('Price History'!H14)),NOT(ISNUMBER('Price History'!H13)),'Price History'!H13=0),"",'Price History'!H14/'Price History'!H13-1),"")</f>
        <v>-0.0233561440047604</v>
      </c>
      <c r="I13" s="136" t="n">
        <f aca="false">IFERROR(IF(OR(NOT(ISNUMBER('Price History'!I14)),NOT(ISNUMBER('Price History'!I13)),'Price History'!I13=0),"",'Price History'!I14/'Price History'!I13-1),"")</f>
        <v>-0.0215027784489007</v>
      </c>
      <c r="J13" s="136" t="n">
        <f aca="false">IFERROR(IF(OR(NOT(ISNUMBER('Price History'!J14)),NOT(ISNUMBER('Price History'!J13)),'Price History'!J13=0),"",'Price History'!J14/'Price History'!J13-1),"")</f>
        <v>-0.0498877282046277</v>
      </c>
      <c r="K13" s="136" t="n">
        <f aca="false">IFERROR(IF(OR(NOT(ISNUMBER('Price History'!K14)),NOT(ISNUMBER('Price History'!K13)),'Price History'!K13=0),"",'Price History'!K14/'Price History'!K13-1),"")</f>
        <v>-0.0645561762880198</v>
      </c>
      <c r="L13" s="136" t="n">
        <f aca="false">IFERROR(IF(OR(NOT(ISNUMBER('Price History'!L14)),NOT(ISNUMBER('Price History'!L13)),'Price History'!L13=0),"",'Price History'!L14/'Price History'!L13-1),"")</f>
        <v>-0.0582630599058155</v>
      </c>
      <c r="M13" s="136" t="n">
        <f aca="false">IFERROR(IF(OR(NOT(ISNUMBER('Price History'!M14)),NOT(ISNUMBER('Price History'!M13)),'Price History'!M13=0),"",'Price History'!M14/'Price History'!M13-1),"")</f>
        <v>-0.00870985302123029</v>
      </c>
      <c r="N13" s="136" t="n">
        <f aca="false">IFERROR(IF(OR(NOT(ISNUMBER('Price History'!N14)),NOT(ISNUMBER('Price History'!N13)),'Price History'!N13=0),"",'Price History'!N14/'Price History'!N13-1),"")</f>
        <v>-0.018183827999779</v>
      </c>
      <c r="O13" s="136" t="n">
        <f aca="false">IFERROR(IF(OR(NOT(ISNUMBER('Price History'!O14)),NOT(ISNUMBER('Price History'!O13)),'Price History'!O13=0),"",'Price History'!O14/'Price History'!O13-1),"")</f>
        <v>-0.0154300281765732</v>
      </c>
      <c r="P13" s="136" t="str">
        <f aca="false">IFERROR(IF(OR(NOT(ISNUMBER('Price History'!P14)),NOT(ISNUMBER('Price History'!P13)),'Price History'!P13=0),"",'Price History'!P14/'Price History'!P13-1),"")</f>
        <v/>
      </c>
      <c r="Q13" s="136" t="n">
        <f aca="false">IFERROR(IF(OR(NOT(ISNUMBER('Price History'!Q14)),NOT(ISNUMBER('Price History'!Q13)),'Price History'!Q13=0),"",'Price History'!Q14/'Price History'!Q13-1),"")</f>
        <v>0.0089763177998472</v>
      </c>
      <c r="R13" s="136" t="n">
        <f aca="false">IFERROR(IF(OR(NOT(ISNUMBER('Price History'!R14)),NOT(ISNUMBER('Price History'!R13)),'Price History'!R13=0),"",'Price History'!R14/'Price History'!R13-1),"")</f>
        <v>-0.0207253886010363</v>
      </c>
      <c r="S13" s="136" t="n">
        <f aca="false">IFERROR(IF(OR(NOT(ISNUMBER('Price History'!S14)),NOT(ISNUMBER('Price History'!S13)),'Price History'!S13=0),"",'Price History'!S14/'Price History'!S13-1),"")</f>
        <v>-0.0201555869872702</v>
      </c>
      <c r="T13" s="136" t="n">
        <f aca="false">IFERROR(IF(OR(NOT(ISNUMBER('Price History'!T14)),NOT(ISNUMBER('Price History'!T13)),'Price History'!T13=0),"",'Price History'!T14/'Price History'!T13-1),"")</f>
        <v>-0.0329411764705883</v>
      </c>
      <c r="U13" s="136" t="str">
        <f aca="false">IFERROR(IF(OR(NOT(ISNUMBER('Price History'!U14)),NOT(ISNUMBER('Price History'!U13)),'Price History'!U13=0),"",'Price History'!U14/'Price History'!U13-1),"")</f>
        <v/>
      </c>
      <c r="W13" s="137" t="n">
        <f aca="false">'Price History'!B3+('Price History'!B158-'Price History'!B3)*0.0649350649350649</f>
        <v>491.694155844156</v>
      </c>
      <c r="X13" s="137" t="n">
        <f aca="false">'Price History'!C3+('Price History'!C158-'Price History'!C3)*0.0649350649350649</f>
        <v>52.6107792207792</v>
      </c>
      <c r="Y13" s="137" t="n">
        <f aca="false">'Price History'!D3+('Price History'!D158-'Price History'!D3)*0.0649350649350649</f>
        <v>724.586493506493</v>
      </c>
      <c r="Z13" s="137" t="n">
        <f aca="false">'Price History'!E3+('Price History'!E158-'Price History'!E3)*0.0649350649350649</f>
        <v>102.86961038961</v>
      </c>
      <c r="AA13" s="137" t="n">
        <f aca="false">'Price History'!F3+('Price History'!F158-'Price History'!F3)*0.0649350649350649</f>
        <v>47.047012987013</v>
      </c>
      <c r="AB13" s="137" t="n">
        <f aca="false">'Price History'!G3+('Price History'!G158-'Price History'!G3)*0.0649350649350649</f>
        <v>56.661038961039</v>
      </c>
      <c r="AC13" s="137" t="n">
        <f aca="false">'Price History'!H3+('Price History'!H158-'Price History'!H3)*0.0649350649350649</f>
        <v>113.633636363636</v>
      </c>
      <c r="AD13" s="137" t="n">
        <f aca="false">'Price History'!I3+('Price History'!I158-'Price History'!I3)*0.0649350649350649</f>
        <v>51.2331168831169</v>
      </c>
      <c r="AE13" s="137" t="n">
        <f aca="false">'Price History'!J3+('Price History'!J158-'Price History'!J3)*0.0649350649350649</f>
        <v>124.88012987013</v>
      </c>
      <c r="AF13" s="137" t="n">
        <f aca="false">'Price History'!K3+('Price History'!K158-'Price History'!K3)*0.0649350649350649</f>
        <v>22.4002597402597</v>
      </c>
      <c r="AG13" s="137" t="n">
        <f aca="false">'Price History'!L3+('Price History'!L158-'Price History'!L3)*0.0649350649350649</f>
        <v>112.266623376623</v>
      </c>
      <c r="AH13" s="137" t="n">
        <f aca="false">'Price History'!M3+('Price History'!M158-'Price History'!M3)*0.0649350649350649</f>
        <v>47.0203896103896</v>
      </c>
      <c r="AI13" s="137" t="n">
        <f aca="false">'Price History'!N3+('Price History'!N158-'Price History'!N3)*0.0649350649350649</f>
        <v>358.122337662338</v>
      </c>
      <c r="AJ13" s="137" t="n">
        <f aca="false">'Price History'!O3+('Price History'!O158-'Price History'!O3)*0.0649350649350649</f>
        <v>85.6051948051948</v>
      </c>
      <c r="AK13" s="137" t="n">
        <f aca="false">'Price History'!Q3+('Price History'!Q151-'Price History'!Q3)*0.0649350649350649</f>
        <v>51.0484415584416</v>
      </c>
      <c r="AL13" s="137" t="n">
        <f aca="false">'Price History'!R3+('Price History'!R158-'Price History'!R3)*0.0649350649350649</f>
        <v>48.4972727272727</v>
      </c>
      <c r="AM13" s="137" t="n">
        <f aca="false">'Price History'!S3+('Price History'!S158-'Price History'!S3)*0.0649350649350649</f>
        <v>64.0783116883117</v>
      </c>
      <c r="AN13" s="137" t="n">
        <f aca="false">'Price History'!T3+('Price History'!T158-'Price History'!T3)*0.0649350649350649</f>
        <v>28.3924675324675</v>
      </c>
    </row>
    <row r="14" customFormat="false" ht="15" hidden="false" customHeight="true" outlineLevel="0" collapsed="false">
      <c r="A14" s="135" t="n">
        <f aca="false">IF('Price History'!A15="","",'Price History'!A15)</f>
        <v>45233</v>
      </c>
      <c r="B14" s="136" t="n">
        <f aca="false">IFERROR(IF(OR(NOT(ISNUMBER('Price History'!B15)),NOT(ISNUMBER('Price History'!B14)),'Price History'!B14=0),"",'Price History'!B15/'Price History'!B14-1),"")</f>
        <v>0.10930488860899</v>
      </c>
      <c r="C14" s="136" t="n">
        <f aca="false">IFERROR(IF(OR(NOT(ISNUMBER('Price History'!C15)),NOT(ISNUMBER('Price History'!C14)),'Price History'!C14=0),"",'Price History'!C15/'Price History'!C14-1),"")</f>
        <v>0.205902383654938</v>
      </c>
      <c r="D14" s="136" t="n">
        <f aca="false">IFERROR(IF(OR(NOT(ISNUMBER('Price History'!D15)),NOT(ISNUMBER('Price History'!D14)),'Price History'!D14=0),"",'Price History'!D15/'Price History'!D14-1),"")</f>
        <v>0.0888305084745762</v>
      </c>
      <c r="E14" s="136" t="n">
        <f aca="false">IFERROR(IF(OR(NOT(ISNUMBER('Price History'!E15)),NOT(ISNUMBER('Price History'!E14)),'Price History'!E14=0),"",'Price History'!E15/'Price History'!E14-1),"")</f>
        <v>0.0528387404580153</v>
      </c>
      <c r="F14" s="136" t="n">
        <f aca="false">IFERROR(IF(OR(NOT(ISNUMBER('Price History'!F15)),NOT(ISNUMBER('Price History'!F14)),'Price History'!F14=0),"",'Price History'!F15/'Price History'!F14-1),"")</f>
        <v>0.0890997454292988</v>
      </c>
      <c r="G14" s="136" t="n">
        <f aca="false">IFERROR(IF(OR(NOT(ISNUMBER('Price History'!G15)),NOT(ISNUMBER('Price History'!G14)),'Price History'!G14=0),"",'Price History'!G15/'Price History'!G14-1),"")</f>
        <v>0.0910679187595544</v>
      </c>
      <c r="H14" s="136" t="n">
        <f aca="false">IFERROR(IF(OR(NOT(ISNUMBER('Price History'!H15)),NOT(ISNUMBER('Price History'!H14)),'Price History'!H14=0),"",'Price History'!H15/'Price History'!H14-1),"")</f>
        <v>0.105559786747905</v>
      </c>
      <c r="I14" s="136" t="n">
        <f aca="false">IFERROR(IF(OR(NOT(ISNUMBER('Price History'!I15)),NOT(ISNUMBER('Price History'!I14)),'Price History'!I14=0),"",'Price History'!I15/'Price History'!I14-1),"")</f>
        <v>0.111358024691358</v>
      </c>
      <c r="J14" s="136" t="n">
        <f aca="false">IFERROR(IF(OR(NOT(ISNUMBER('Price History'!J15)),NOT(ISNUMBER('Price History'!J14)),'Price History'!J14=0),"",'Price History'!J15/'Price History'!J14-1),"")</f>
        <v>0.0948417591450885</v>
      </c>
      <c r="K14" s="136" t="n">
        <f aca="false">IFERROR(IF(OR(NOT(ISNUMBER('Price History'!K15)),NOT(ISNUMBER('Price History'!K14)),'Price History'!K14=0),"",'Price History'!K15/'Price History'!K14-1),"")</f>
        <v>0.253483742534838</v>
      </c>
      <c r="L14" s="136" t="n">
        <f aca="false">IFERROR(IF(OR(NOT(ISNUMBER('Price History'!L15)),NOT(ISNUMBER('Price History'!L14)),'Price History'!L14=0),"",'Price History'!L15/'Price History'!L14-1),"")</f>
        <v>0.0674497034538901</v>
      </c>
      <c r="M14" s="136" t="n">
        <f aca="false">IFERROR(IF(OR(NOT(ISNUMBER('Price History'!M15)),NOT(ISNUMBER('Price History'!M14)),'Price History'!M14=0),"",'Price History'!M15/'Price History'!M14-1),"")</f>
        <v>0.110378912685338</v>
      </c>
      <c r="N14" s="136" t="n">
        <f aca="false">IFERROR(IF(OR(NOT(ISNUMBER('Price History'!N15)),NOT(ISNUMBER('Price History'!N14)),'Price History'!N14=0),"",'Price History'!N15/'Price History'!N14-1),"")</f>
        <v>0.0588831344291827</v>
      </c>
      <c r="O14" s="136" t="n">
        <f aca="false">IFERROR(IF(OR(NOT(ISNUMBER('Price History'!O15)),NOT(ISNUMBER('Price History'!O14)),'Price History'!O14=0),"",'Price History'!O15/'Price History'!O14-1),"")</f>
        <v>0.0715453802125921</v>
      </c>
      <c r="P14" s="136" t="str">
        <f aca="false">IFERROR(IF(OR(NOT(ISNUMBER('Price History'!P15)),NOT(ISNUMBER('Price History'!P14)),'Price History'!P14=0),"",'Price History'!P15/'Price History'!P14-1),"")</f>
        <v/>
      </c>
      <c r="Q14" s="136" t="n">
        <f aca="false">IFERROR(IF(OR(NOT(ISNUMBER('Price History'!Q15)),NOT(ISNUMBER('Price History'!Q14)),'Price History'!Q14=0),"",'Price History'!Q15/'Price History'!Q14-1),"")</f>
        <v>-0.000757145561234185</v>
      </c>
      <c r="R14" s="136" t="n">
        <f aca="false">IFERROR(IF(OR(NOT(ISNUMBER('Price History'!R15)),NOT(ISNUMBER('Price History'!R14)),'Price History'!R14=0),"",'Price History'!R15/'Price History'!R14-1),"")</f>
        <v>0.0476190476190477</v>
      </c>
      <c r="S14" s="136" t="n">
        <f aca="false">IFERROR(IF(OR(NOT(ISNUMBER('Price History'!S15)),NOT(ISNUMBER('Price History'!S14)),'Price History'!S14=0),"",'Price History'!S15/'Price History'!S14-1),"")</f>
        <v>0.0582822085889569</v>
      </c>
      <c r="T14" s="136" t="n">
        <f aca="false">IFERROR(IF(OR(NOT(ISNUMBER('Price History'!T15)),NOT(ISNUMBER('Price History'!T14)),'Price History'!T14=0),"",'Price History'!T15/'Price History'!T14-1),"")</f>
        <v>0.0587996755879967</v>
      </c>
      <c r="U14" s="136" t="str">
        <f aca="false">IFERROR(IF(OR(NOT(ISNUMBER('Price History'!U15)),NOT(ISNUMBER('Price History'!U14)),'Price History'!U14=0),"",'Price History'!U15/'Price History'!U14-1),"")</f>
        <v/>
      </c>
      <c r="W14" s="137" t="n">
        <f aca="false">'Price History'!B3+('Price History'!B158-'Price History'!B3)*0.0714285714285714</f>
        <v>490.018571428571</v>
      </c>
      <c r="X14" s="137" t="n">
        <f aca="false">'Price History'!C3+('Price History'!C158-'Price History'!C3)*0.0714285714285714</f>
        <v>53.4978571428571</v>
      </c>
      <c r="Y14" s="137" t="n">
        <f aca="false">'Price History'!D3+('Price History'!D158-'Price History'!D3)*0.0714285714285714</f>
        <v>730.867142857143</v>
      </c>
      <c r="Z14" s="137" t="n">
        <f aca="false">'Price History'!E3+('Price History'!E158-'Price History'!E3)*0.0714285714285714</f>
        <v>104.858571428571</v>
      </c>
      <c r="AA14" s="137" t="n">
        <f aca="false">'Price History'!F3+('Price History'!F158-'Price History'!F3)*0.0714285714285714</f>
        <v>48.0457142857143</v>
      </c>
      <c r="AB14" s="137" t="n">
        <f aca="false">'Price History'!G3+('Price History'!G158-'Price History'!G3)*0.0714285714285714</f>
        <v>57.5371428571429</v>
      </c>
      <c r="AC14" s="137" t="n">
        <f aca="false">'Price History'!H3+('Price History'!H158-'Price History'!H3)*0.0714285714285714</f>
        <v>118.56</v>
      </c>
      <c r="AD14" s="137" t="n">
        <f aca="false">'Price History'!I3+('Price History'!I158-'Price History'!I3)*0.0714285714285714</f>
        <v>52.2714285714286</v>
      </c>
      <c r="AE14" s="137" t="n">
        <f aca="false">'Price History'!J3+('Price History'!J158-'Price History'!J3)*0.0714285714285714</f>
        <v>125.017142857143</v>
      </c>
      <c r="AF14" s="137" t="n">
        <f aca="false">'Price History'!K3+('Price History'!K158-'Price History'!K3)*0.0714285714285714</f>
        <v>23.0992857142857</v>
      </c>
      <c r="AG14" s="137" t="n">
        <f aca="false">'Price History'!L3+('Price History'!L158-'Price History'!L3)*0.0714285714285714</f>
        <v>114.294285714286</v>
      </c>
      <c r="AH14" s="137" t="n">
        <f aca="false">'Price History'!M3+('Price History'!M158-'Price History'!M3)*0.0714285714285714</f>
        <v>48.3714285714286</v>
      </c>
      <c r="AI14" s="137" t="n">
        <f aca="false">'Price History'!N3+('Price History'!N158-'Price History'!N3)*0.0714285714285714</f>
        <v>358.948571428571</v>
      </c>
      <c r="AJ14" s="137" t="n">
        <f aca="false">'Price History'!O3+('Price History'!O158-'Price History'!O3)*0.0714285714285714</f>
        <v>85.8807142857143</v>
      </c>
      <c r="AK14" s="137" t="n">
        <f aca="false">'Price History'!Q3+('Price History'!Q151-'Price History'!Q3)*0.0714285714285714</f>
        <v>51.1692857142857</v>
      </c>
      <c r="AL14" s="137" t="n">
        <f aca="false">'Price History'!R3+('Price History'!R158-'Price History'!R3)*0.0714285714285714</f>
        <v>48.565</v>
      </c>
      <c r="AM14" s="137" t="n">
        <f aca="false">'Price History'!S3+('Price History'!S158-'Price History'!S3)*0.0714285714285714</f>
        <v>64.6321428571429</v>
      </c>
      <c r="AN14" s="137" t="n">
        <f aca="false">'Price History'!T3+('Price History'!T158-'Price History'!T3)*0.0714285714285714</f>
        <v>28.5407142857143</v>
      </c>
    </row>
    <row r="15" customFormat="false" ht="15" hidden="false" customHeight="true" outlineLevel="0" collapsed="false">
      <c r="A15" s="135" t="n">
        <f aca="false">IF('Price History'!A16="","",'Price History'!A16)</f>
        <v>45240</v>
      </c>
      <c r="B15" s="136" t="n">
        <f aca="false">IFERROR(IF(OR(NOT(ISNUMBER('Price History'!B16)),NOT(ISNUMBER('Price History'!B15)),'Price History'!B15=0),"",'Price History'!B16/'Price History'!B15-1),"")</f>
        <v>0.0595394386687012</v>
      </c>
      <c r="C15" s="136" t="n">
        <f aca="false">IFERROR(IF(OR(NOT(ISNUMBER('Price History'!C16)),NOT(ISNUMBER('Price History'!C15)),'Price History'!C15=0),"",'Price History'!C16/'Price History'!C15-1),"")</f>
        <v>-0.0265436746987952</v>
      </c>
      <c r="D15" s="136" t="n">
        <f aca="false">IFERROR(IF(OR(NOT(ISNUMBER('Price History'!D16)),NOT(ISNUMBER('Price History'!D15)),'Price History'!D15=0),"",'Price History'!D16/'Price History'!D15-1),"")</f>
        <v>0.029373764418362</v>
      </c>
      <c r="E15" s="136" t="n">
        <f aca="false">IFERROR(IF(OR(NOT(ISNUMBER('Price History'!E16)),NOT(ISNUMBER('Price History'!E15)),'Price History'!E15=0),"",'Price History'!E16/'Price History'!E15-1),"")</f>
        <v>0.0847400022657756</v>
      </c>
      <c r="F15" s="136" t="n">
        <f aca="false">IFERROR(IF(OR(NOT(ISNUMBER('Price History'!F16)),NOT(ISNUMBER('Price History'!F15)),'Price History'!F15=0),"",'Price History'!F16/'Price History'!F15-1),"")</f>
        <v>0.0429239269018273</v>
      </c>
      <c r="G15" s="136" t="n">
        <f aca="false">IFERROR(IF(OR(NOT(ISNUMBER('Price History'!G16)),NOT(ISNUMBER('Price History'!G15)),'Price History'!G15=0),"",'Price History'!G16/'Price History'!G15-1),"")</f>
        <v>0.0694555644515613</v>
      </c>
      <c r="H15" s="136" t="n">
        <f aca="false">IFERROR(IF(OR(NOT(ISNUMBER('Price History'!H16)),NOT(ISNUMBER('Price History'!H15)),'Price History'!H15=0),"",'Price History'!H16/'Price History'!H15-1),"")</f>
        <v>0.0383025626894462</v>
      </c>
      <c r="I15" s="136" t="n">
        <f aca="false">IFERROR(IF(OR(NOT(ISNUMBER('Price History'!I16)),NOT(ISNUMBER('Price History'!I15)),'Price History'!I15=0),"",'Price History'!I16/'Price History'!I15-1),"")</f>
        <v>0.0739835592090647</v>
      </c>
      <c r="J15" s="136" t="n">
        <f aca="false">IFERROR(IF(OR(NOT(ISNUMBER('Price History'!J16)),NOT(ISNUMBER('Price History'!J15)),'Price History'!J15=0),"",'Price History'!J16/'Price History'!J15-1),"")</f>
        <v>-0.0187705302674801</v>
      </c>
      <c r="K15" s="136" t="n">
        <f aca="false">IFERROR(IF(OR(NOT(ISNUMBER('Price History'!K16)),NOT(ISNUMBER('Price History'!K15)),'Price History'!K15=0),"",'Price History'!K16/'Price History'!K15-1),"")</f>
        <v>0.0412916887241928</v>
      </c>
      <c r="L15" s="136" t="n">
        <f aca="false">IFERROR(IF(OR(NOT(ISNUMBER('Price History'!L16)),NOT(ISNUMBER('Price History'!L15)),'Price History'!L15=0),"",'Price History'!L16/'Price History'!L15-1),"")</f>
        <v>0.0615535461379235</v>
      </c>
      <c r="M15" s="136" t="n">
        <f aca="false">IFERROR(IF(OR(NOT(ISNUMBER('Price History'!M16)),NOT(ISNUMBER('Price History'!M15)),'Price History'!M15=0),"",'Price History'!M16/'Price History'!M15-1),"")</f>
        <v>0.0343719090009891</v>
      </c>
      <c r="N15" s="136" t="n">
        <f aca="false">IFERROR(IF(OR(NOT(ISNUMBER('Price History'!N16)),NOT(ISNUMBER('Price History'!N15)),'Price History'!N15=0),"",'Price History'!N16/'Price History'!N15-1),"")</f>
        <v>-0.00677830940988844</v>
      </c>
      <c r="O15" s="136" t="n">
        <f aca="false">IFERROR(IF(OR(NOT(ISNUMBER('Price History'!O16)),NOT(ISNUMBER('Price History'!O15)),'Price History'!O15=0),"",'Price History'!O16/'Price History'!O15-1),"")</f>
        <v>-0.0340836830726186</v>
      </c>
      <c r="P15" s="136" t="str">
        <f aca="false">IFERROR(IF(OR(NOT(ISNUMBER('Price History'!P16)),NOT(ISNUMBER('Price History'!P15)),'Price History'!P15=0),"",'Price History'!P16/'Price History'!P15-1),"")</f>
        <v/>
      </c>
      <c r="Q15" s="136" t="n">
        <f aca="false">IFERROR(IF(OR(NOT(ISNUMBER('Price History'!Q16)),NOT(ISNUMBER('Price History'!Q15)),'Price History'!Q15=0),"",'Price History'!Q16/'Price History'!Q15-1),"")</f>
        <v>0.0017048683462777</v>
      </c>
      <c r="R15" s="136" t="n">
        <f aca="false">IFERROR(IF(OR(NOT(ISNUMBER('Price History'!R16)),NOT(ISNUMBER('Price History'!R15)),'Price History'!R15=0),"",'Price History'!R16/'Price History'!R15-1),"")</f>
        <v>0.0208333333333333</v>
      </c>
      <c r="S15" s="136" t="n">
        <f aca="false">IFERROR(IF(OR(NOT(ISNUMBER('Price History'!S16)),NOT(ISNUMBER('Price History'!S15)),'Price History'!S15=0),"",'Price History'!S16/'Price History'!S15-1),"")</f>
        <v>0.0294970161977834</v>
      </c>
      <c r="T15" s="136" t="n">
        <f aca="false">IFERROR(IF(OR(NOT(ISNUMBER('Price History'!T16)),NOT(ISNUMBER('Price History'!T15)),'Price History'!T15=0),"",'Price History'!T16/'Price History'!T15-1),"")</f>
        <v>-0.00689391037916509</v>
      </c>
      <c r="U15" s="136" t="str">
        <f aca="false">IFERROR(IF(OR(NOT(ISNUMBER('Price History'!U16)),NOT(ISNUMBER('Price History'!U15)),'Price History'!U15=0),"",'Price History'!U16/'Price History'!U15-1),"")</f>
        <v/>
      </c>
      <c r="W15" s="137" t="n">
        <f aca="false">'Price History'!B3+('Price History'!B158-'Price History'!B3)*0.0779220779220779</f>
        <v>488.342987012987</v>
      </c>
      <c r="X15" s="137" t="n">
        <f aca="false">'Price History'!C3+('Price History'!C158-'Price History'!C3)*0.0779220779220779</f>
        <v>54.3849350649351</v>
      </c>
      <c r="Y15" s="137" t="n">
        <f aca="false">'Price History'!D3+('Price History'!D158-'Price History'!D3)*0.0779220779220779</f>
        <v>737.147792207792</v>
      </c>
      <c r="Z15" s="137" t="n">
        <f aca="false">'Price History'!E3+('Price History'!E158-'Price History'!E3)*0.0779220779220779</f>
        <v>106.847532467532</v>
      </c>
      <c r="AA15" s="137" t="n">
        <f aca="false">'Price History'!F3+('Price History'!F158-'Price History'!F3)*0.0779220779220779</f>
        <v>49.0444155844156</v>
      </c>
      <c r="AB15" s="137" t="n">
        <f aca="false">'Price History'!G3+('Price History'!G158-'Price History'!G3)*0.0779220779220779</f>
        <v>58.4132467532468</v>
      </c>
      <c r="AC15" s="137" t="n">
        <f aca="false">'Price History'!H3+('Price History'!H158-'Price History'!H3)*0.0779220779220779</f>
        <v>123.486363636364</v>
      </c>
      <c r="AD15" s="137" t="n">
        <f aca="false">'Price History'!I3+('Price History'!I158-'Price History'!I3)*0.0779220779220779</f>
        <v>53.3097402597403</v>
      </c>
      <c r="AE15" s="137" t="n">
        <f aca="false">'Price History'!J3+('Price History'!J158-'Price History'!J3)*0.0779220779220779</f>
        <v>125.154155844156</v>
      </c>
      <c r="AF15" s="137" t="n">
        <f aca="false">'Price History'!K3+('Price History'!K158-'Price History'!K3)*0.0779220779220779</f>
        <v>23.7983116883117</v>
      </c>
      <c r="AG15" s="137" t="n">
        <f aca="false">'Price History'!L3+('Price History'!L158-'Price History'!L3)*0.0779220779220779</f>
        <v>116.321948051948</v>
      </c>
      <c r="AH15" s="137" t="n">
        <f aca="false">'Price History'!M3+('Price History'!M158-'Price History'!M3)*0.0779220779220779</f>
        <v>49.7224675324675</v>
      </c>
      <c r="AI15" s="137" t="n">
        <f aca="false">'Price History'!N3+('Price History'!N158-'Price History'!N3)*0.0779220779220779</f>
        <v>359.774805194805</v>
      </c>
      <c r="AJ15" s="137" t="n">
        <f aca="false">'Price History'!O3+('Price History'!O158-'Price History'!O3)*0.0779220779220779</f>
        <v>86.1562337662338</v>
      </c>
      <c r="AK15" s="137" t="n">
        <f aca="false">'Price History'!Q3+('Price History'!Q151-'Price History'!Q3)*0.0779220779220779</f>
        <v>51.2901298701299</v>
      </c>
      <c r="AL15" s="137" t="n">
        <f aca="false">'Price History'!R3+('Price History'!R158-'Price History'!R3)*0.0779220779220779</f>
        <v>48.6327272727273</v>
      </c>
      <c r="AM15" s="137" t="n">
        <f aca="false">'Price History'!S3+('Price History'!S158-'Price History'!S3)*0.0779220779220779</f>
        <v>65.185974025974</v>
      </c>
      <c r="AN15" s="137" t="n">
        <f aca="false">'Price History'!T3+('Price History'!T158-'Price History'!T3)*0.0779220779220779</f>
        <v>28.688961038961</v>
      </c>
    </row>
    <row r="16" customFormat="false" ht="15" hidden="false" customHeight="true" outlineLevel="0" collapsed="false">
      <c r="A16" s="135" t="n">
        <f aca="false">IF('Price History'!A17="","",'Price History'!A17)</f>
        <v>45247</v>
      </c>
      <c r="B16" s="136" t="n">
        <f aca="false">IFERROR(IF(OR(NOT(ISNUMBER('Price History'!B17)),NOT(ISNUMBER('Price History'!B16)),'Price History'!B16=0),"",'Price History'!B17/'Price History'!B16-1),"")</f>
        <v>0.00910887110277603</v>
      </c>
      <c r="C16" s="136" t="n">
        <f aca="false">IFERROR(IF(OR(NOT(ISNUMBER('Price History'!C17)),NOT(ISNUMBER('Price History'!C16)),'Price History'!C16=0),"",'Price History'!C17/'Price History'!C16-1),"")</f>
        <v>0.0377103074840455</v>
      </c>
      <c r="D16" s="136" t="n">
        <f aca="false">IFERROR(IF(OR(NOT(ISNUMBER('Price History'!D17)),NOT(ISNUMBER('Price History'!D16)),'Price History'!D16=0),"",'Price History'!D17/'Price History'!D16-1),"")</f>
        <v>0.0375181466247279</v>
      </c>
      <c r="E16" s="136" t="n">
        <f aca="false">IFERROR(IF(OR(NOT(ISNUMBER('Price History'!E17)),NOT(ISNUMBER('Price History'!E16)),'Price History'!E16=0),"",'Price History'!E17/'Price History'!E16-1),"")</f>
        <v>0.0210966057441253</v>
      </c>
      <c r="F16" s="136" t="n">
        <f aca="false">IFERROR(IF(OR(NOT(ISNUMBER('Price History'!F17)),NOT(ISNUMBER('Price History'!F16)),'Price History'!F16=0),"",'Price History'!F17/'Price History'!F16-1),"")</f>
        <v>0.0548084759576204</v>
      </c>
      <c r="G16" s="136" t="n">
        <f aca="false">IFERROR(IF(OR(NOT(ISNUMBER('Price History'!G17)),NOT(ISNUMBER('Price History'!G16)),'Price History'!G16=0),"",'Price History'!G17/'Price History'!G16-1),"")</f>
        <v>0.0190903986524424</v>
      </c>
      <c r="H16" s="136" t="n">
        <f aca="false">IFERROR(IF(OR(NOT(ISNUMBER('Price History'!H17)),NOT(ISNUMBER('Price History'!H16)),'Price History'!H16=0),"",'Price History'!H17/'Price History'!H16-1),"")</f>
        <v>0.0291932059447984</v>
      </c>
      <c r="I16" s="136" t="n">
        <f aca="false">IFERROR(IF(OR(NOT(ISNUMBER('Price History'!I17)),NOT(ISNUMBER('Price History'!I16)),'Price History'!I16=0),"",'Price History'!I17/'Price History'!I16-1),"")</f>
        <v>0.0198593297476208</v>
      </c>
      <c r="J16" s="136" t="n">
        <f aca="false">IFERROR(IF(OR(NOT(ISNUMBER('Price History'!J17)),NOT(ISNUMBER('Price History'!J16)),'Price History'!J16=0),"",'Price History'!J17/'Price History'!J16-1),"")</f>
        <v>0.0527977044476327</v>
      </c>
      <c r="K16" s="136" t="n">
        <f aca="false">IFERROR(IF(OR(NOT(ISNUMBER('Price History'!K17)),NOT(ISNUMBER('Price History'!K16)),'Price History'!K16=0),"",'Price History'!K17/'Price History'!K16-1),"")</f>
        <v>0.0416878495170308</v>
      </c>
      <c r="L16" s="136" t="n">
        <f aca="false">IFERROR(IF(OR(NOT(ISNUMBER('Price History'!L17)),NOT(ISNUMBER('Price History'!L16)),'Price History'!L16=0),"",'Price History'!L17/'Price History'!L16-1),"")</f>
        <v>0.0219622331691298</v>
      </c>
      <c r="M16" s="136" t="n">
        <f aca="false">IFERROR(IF(OR(NOT(ISNUMBER('Price History'!M17)),NOT(ISNUMBER('Price History'!M16)),'Price History'!M16=0),"",'Price History'!M17/'Price History'!M16-1),"")</f>
        <v>0.034903179536218</v>
      </c>
      <c r="N16" s="136" t="n">
        <f aca="false">IFERROR(IF(OR(NOT(ISNUMBER('Price History'!N17)),NOT(ISNUMBER('Price History'!N16)),'Price History'!N16=0),"",'Price History'!N17/'Price History'!N16-1),"")</f>
        <v>-0.06195637628797</v>
      </c>
      <c r="O16" s="136" t="n">
        <f aca="false">IFERROR(IF(OR(NOT(ISNUMBER('Price History'!O17)),NOT(ISNUMBER('Price History'!O16)),'Price History'!O16=0),"",'Price History'!O17/'Price History'!O16-1),"")</f>
        <v>0.0554312047399603</v>
      </c>
      <c r="P16" s="136" t="str">
        <f aca="false">IFERROR(IF(OR(NOT(ISNUMBER('Price History'!P17)),NOT(ISNUMBER('Price History'!P16)),'Price History'!P16=0),"",'Price History'!P17/'Price History'!P16-1),"")</f>
        <v/>
      </c>
      <c r="Q16" s="136" t="n">
        <f aca="false">IFERROR(IF(OR(NOT(ISNUMBER('Price History'!Q17)),NOT(ISNUMBER('Price History'!Q16)),'Price History'!Q16=0),"",'Price History'!Q17/'Price History'!Q16-1),"")</f>
        <v>-0.00434947049924361</v>
      </c>
      <c r="R16" s="136" t="n">
        <f aca="false">IFERROR(IF(OR(NOT(ISNUMBER('Price History'!R17)),NOT(ISNUMBER('Price History'!R16)),'Price History'!R16=0),"",'Price History'!R17/'Price History'!R16-1),"")</f>
        <v>0.00948258091115228</v>
      </c>
      <c r="S16" s="136" t="n">
        <f aca="false">IFERROR(IF(OR(NOT(ISNUMBER('Price History'!S17)),NOT(ISNUMBER('Price History'!S16)),'Price History'!S16=0),"",'Price History'!S17/'Price History'!S16-1),"")</f>
        <v>0.0216959258032461</v>
      </c>
      <c r="T16" s="136" t="n">
        <f aca="false">IFERROR(IF(OR(NOT(ISNUMBER('Price History'!T17)),NOT(ISNUMBER('Price History'!T16)),'Price History'!T16=0),"",'Price History'!T17/'Price History'!T16-1),"")</f>
        <v>0.0254531430775165</v>
      </c>
      <c r="U16" s="136" t="str">
        <f aca="false">IFERROR(IF(OR(NOT(ISNUMBER('Price History'!U17)),NOT(ISNUMBER('Price History'!U16)),'Price History'!U16=0),"",'Price History'!U17/'Price History'!U16-1),"")</f>
        <v/>
      </c>
      <c r="W16" s="137" t="n">
        <f aca="false">'Price History'!B3+('Price History'!B158-'Price History'!B3)*0.0844155844155844</f>
        <v>486.667402597403</v>
      </c>
      <c r="X16" s="137" t="n">
        <f aca="false">'Price History'!C3+('Price History'!C158-'Price History'!C3)*0.0844155844155844</f>
        <v>55.272012987013</v>
      </c>
      <c r="Y16" s="137" t="n">
        <f aca="false">'Price History'!D3+('Price History'!D158-'Price History'!D3)*0.0844155844155844</f>
        <v>743.428441558442</v>
      </c>
      <c r="Z16" s="137" t="n">
        <f aca="false">'Price History'!E3+('Price History'!E158-'Price History'!E3)*0.0844155844155844</f>
        <v>108.836493506494</v>
      </c>
      <c r="AA16" s="137" t="n">
        <f aca="false">'Price History'!F3+('Price History'!F158-'Price History'!F3)*0.0844155844155844</f>
        <v>50.0431168831169</v>
      </c>
      <c r="AB16" s="137" t="n">
        <f aca="false">'Price History'!G3+('Price History'!G158-'Price History'!G3)*0.0844155844155844</f>
        <v>59.2893506493506</v>
      </c>
      <c r="AC16" s="137" t="n">
        <f aca="false">'Price History'!H3+('Price History'!H158-'Price History'!H3)*0.0844155844155844</f>
        <v>128.412727272727</v>
      </c>
      <c r="AD16" s="137" t="n">
        <f aca="false">'Price History'!I3+('Price History'!I158-'Price History'!I3)*0.0844155844155844</f>
        <v>54.3480519480519</v>
      </c>
      <c r="AE16" s="137" t="n">
        <f aca="false">'Price History'!J3+('Price History'!J158-'Price History'!J3)*0.0844155844155844</f>
        <v>125.291168831169</v>
      </c>
      <c r="AF16" s="137" t="n">
        <f aca="false">'Price History'!K3+('Price History'!K158-'Price History'!K3)*0.0844155844155844</f>
        <v>24.4973376623377</v>
      </c>
      <c r="AG16" s="137" t="n">
        <f aca="false">'Price History'!L3+('Price History'!L158-'Price History'!L3)*0.0844155844155844</f>
        <v>118.34961038961</v>
      </c>
      <c r="AH16" s="137" t="n">
        <f aca="false">'Price History'!M3+('Price History'!M158-'Price History'!M3)*0.0844155844155844</f>
        <v>51.0735064935065</v>
      </c>
      <c r="AI16" s="137" t="n">
        <f aca="false">'Price History'!N3+('Price History'!N158-'Price History'!N3)*0.0844155844155844</f>
        <v>360.601038961039</v>
      </c>
      <c r="AJ16" s="137" t="n">
        <f aca="false">'Price History'!O3+('Price History'!O158-'Price History'!O3)*0.0844155844155844</f>
        <v>86.4317532467533</v>
      </c>
      <c r="AK16" s="137" t="n">
        <f aca="false">'Price History'!Q3+('Price History'!Q151-'Price History'!Q3)*0.0844155844155844</f>
        <v>51.410974025974</v>
      </c>
      <c r="AL16" s="137" t="n">
        <f aca="false">'Price History'!R3+('Price History'!R158-'Price History'!R3)*0.0844155844155844</f>
        <v>48.7004545454546</v>
      </c>
      <c r="AM16" s="137" t="n">
        <f aca="false">'Price History'!S3+('Price History'!S158-'Price History'!S3)*0.0844155844155844</f>
        <v>65.7398051948052</v>
      </c>
      <c r="AN16" s="137" t="n">
        <f aca="false">'Price History'!T3+('Price History'!T158-'Price History'!T3)*0.0844155844155844</f>
        <v>28.8372077922078</v>
      </c>
    </row>
    <row r="17" customFormat="false" ht="15" hidden="false" customHeight="true" outlineLevel="0" collapsed="false">
      <c r="A17" s="135" t="n">
        <f aca="false">IF('Price History'!A18="","",'Price History'!A18)</f>
        <v>45254</v>
      </c>
      <c r="B17" s="136" t="n">
        <f aca="false">IFERROR(IF(OR(NOT(ISNUMBER('Price History'!B18)),NOT(ISNUMBER('Price History'!B17)),'Price History'!B17=0),"",'Price History'!B18/'Price History'!B17-1),"")</f>
        <v>0.02782663525039</v>
      </c>
      <c r="C17" s="136" t="n">
        <f aca="false">IFERROR(IF(OR(NOT(ISNUMBER('Price History'!C18)),NOT(ISNUMBER('Price History'!C17)),'Price History'!C17=0),"",'Price History'!C18/'Price History'!C17-1),"")</f>
        <v>0.0175177040626167</v>
      </c>
      <c r="D17" s="136" t="n">
        <f aca="false">IFERROR(IF(OR(NOT(ISNUMBER('Price History'!D18)),NOT(ISNUMBER('Price History'!D17)),'Price History'!D17=0),"",'Price History'!D18/'Price History'!D17-1),"")</f>
        <v>0.00741885175414292</v>
      </c>
      <c r="E17" s="136" t="n">
        <f aca="false">IFERROR(IF(OR(NOT(ISNUMBER('Price History'!E18)),NOT(ISNUMBER('Price History'!E17)),'Price History'!E17=0),"",'Price History'!E18/'Price History'!E17-1),"")</f>
        <v>0.00122737035900578</v>
      </c>
      <c r="F17" s="136" t="n">
        <f aca="false">IFERROR(IF(OR(NOT(ISNUMBER('Price History'!F18)),NOT(ISNUMBER('Price History'!F17)),'Price History'!F17=0),"",'Price History'!F18/'Price History'!F17-1),"")</f>
        <v>0.0173845856673749</v>
      </c>
      <c r="G17" s="136" t="n">
        <f aca="false">IFERROR(IF(OR(NOT(ISNUMBER('Price History'!G18)),NOT(ISNUMBER('Price History'!G17)),'Price History'!G17=0),"",'Price History'!G18/'Price History'!G17-1),"")</f>
        <v>0.0203856749311295</v>
      </c>
      <c r="H17" s="136" t="n">
        <f aca="false">IFERROR(IF(OR(NOT(ISNUMBER('Price History'!H18)),NOT(ISNUMBER('Price History'!H17)),'Price History'!H17=0),"",'Price History'!H18/'Price History'!H17-1),"")</f>
        <v>-0.00889633831872094</v>
      </c>
      <c r="I17" s="136" t="n">
        <f aca="false">IFERROR(IF(OR(NOT(ISNUMBER('Price History'!I18)),NOT(ISNUMBER('Price History'!I17)),'Price History'!I17=0),"",'Price History'!I18/'Price History'!I17-1),"")</f>
        <v>-0.0308316430020283</v>
      </c>
      <c r="J17" s="136" t="n">
        <f aca="false">IFERROR(IF(OR(NOT(ISNUMBER('Price History'!J18)),NOT(ISNUMBER('Price History'!J17)),'Price History'!J17=0),"",'Price History'!J18/'Price History'!J17-1),"")</f>
        <v>0.0175342963568639</v>
      </c>
      <c r="K17" s="136" t="n">
        <f aca="false">IFERROR(IF(OR(NOT(ISNUMBER('Price History'!K18)),NOT(ISNUMBER('Price History'!K17)),'Price History'!K17=0),"",'Price History'!K18/'Price History'!K17-1),"")</f>
        <v>-0.0629575402635432</v>
      </c>
      <c r="L17" s="136" t="n">
        <f aca="false">IFERROR(IF(OR(NOT(ISNUMBER('Price History'!L18)),NOT(ISNUMBER('Price History'!L17)),'Price History'!L17=0),"",'Price History'!L18/'Price History'!L17-1),"")</f>
        <v>-0.0175738100020084</v>
      </c>
      <c r="M17" s="136" t="n">
        <f aca="false">IFERROR(IF(OR(NOT(ISNUMBER('Price History'!M18)),NOT(ISNUMBER('Price History'!M17)),'Price History'!M17=0),"",'Price History'!M18/'Price History'!M17-1),"")</f>
        <v>-0.0140910140910141</v>
      </c>
      <c r="N17" s="136" t="n">
        <f aca="false">IFERROR(IF(OR(NOT(ISNUMBER('Price History'!N18)),NOT(ISNUMBER('Price History'!N17)),'Price History'!N17=0),"",'Price History'!N18/'Price History'!N17-1),"")</f>
        <v>0.00724679029957209</v>
      </c>
      <c r="O17" s="136" t="n">
        <f aca="false">IFERROR(IF(OR(NOT(ISNUMBER('Price History'!O18)),NOT(ISNUMBER('Price History'!O17)),'Price History'!O17=0),"",'Price History'!O18/'Price History'!O17-1),"")</f>
        <v>0.000124750499002069</v>
      </c>
      <c r="P17" s="136" t="str">
        <f aca="false">IFERROR(IF(OR(NOT(ISNUMBER('Price History'!P18)),NOT(ISNUMBER('Price History'!P17)),'Price History'!P17=0),"",'Price History'!P18/'Price History'!P17-1),"")</f>
        <v/>
      </c>
      <c r="Q17" s="136" t="n">
        <f aca="false">IFERROR(IF(OR(NOT(ISNUMBER('Price History'!Q18)),NOT(ISNUMBER('Price History'!Q17)),'Price History'!Q17=0),"",'Price History'!Q18/'Price History'!Q17-1),"")</f>
        <v>0.00987654320987663</v>
      </c>
      <c r="R17" s="136" t="n">
        <f aca="false">IFERROR(IF(OR(NOT(ISNUMBER('Price History'!R18)),NOT(ISNUMBER('Price History'!R17)),'Price History'!R17=0),"",'Price History'!R18/'Price History'!R17-1),"")</f>
        <v>0.00530937308556245</v>
      </c>
      <c r="S17" s="136" t="n">
        <f aca="false">IFERROR(IF(OR(NOT(ISNUMBER('Price History'!S18)),NOT(ISNUMBER('Price History'!S17)),'Price History'!S17=0),"",'Price History'!S18/'Price History'!S17-1),"")</f>
        <v>0.00551142810828331</v>
      </c>
      <c r="T17" s="136" t="n">
        <f aca="false">IFERROR(IF(OR(NOT(ISNUMBER('Price History'!T18)),NOT(ISNUMBER('Price History'!T17)),'Price History'!T17=0),"",'Price History'!T18/'Price History'!T17-1),"")</f>
        <v>0.00714554343738261</v>
      </c>
      <c r="U17" s="136" t="str">
        <f aca="false">IFERROR(IF(OR(NOT(ISNUMBER('Price History'!U18)),NOT(ISNUMBER('Price History'!U17)),'Price History'!U17=0),"",'Price History'!U18/'Price History'!U17-1),"")</f>
        <v/>
      </c>
      <c r="W17" s="137" t="n">
        <f aca="false">'Price History'!B3+('Price History'!B158-'Price History'!B3)*0.0909090909090909</f>
        <v>484.991818181818</v>
      </c>
      <c r="X17" s="137" t="n">
        <f aca="false">'Price History'!C3+('Price History'!C158-'Price History'!C3)*0.0909090909090909</f>
        <v>56.1590909090909</v>
      </c>
      <c r="Y17" s="137" t="n">
        <f aca="false">'Price History'!D3+('Price History'!D158-'Price History'!D3)*0.0909090909090909</f>
        <v>749.709090909091</v>
      </c>
      <c r="Z17" s="137" t="n">
        <f aca="false">'Price History'!E3+('Price History'!E158-'Price History'!E3)*0.0909090909090909</f>
        <v>110.825454545455</v>
      </c>
      <c r="AA17" s="137" t="n">
        <f aca="false">'Price History'!F3+('Price History'!F158-'Price History'!F3)*0.0909090909090909</f>
        <v>51.0418181818182</v>
      </c>
      <c r="AB17" s="137" t="n">
        <f aca="false">'Price History'!G3+('Price History'!G158-'Price History'!G3)*0.0909090909090909</f>
        <v>60.1654545454545</v>
      </c>
      <c r="AC17" s="137" t="n">
        <f aca="false">'Price History'!H3+('Price History'!H158-'Price History'!H3)*0.0909090909090909</f>
        <v>133.339090909091</v>
      </c>
      <c r="AD17" s="137" t="n">
        <f aca="false">'Price History'!I3+('Price History'!I158-'Price History'!I3)*0.0909090909090909</f>
        <v>55.3863636363636</v>
      </c>
      <c r="AE17" s="137" t="n">
        <f aca="false">'Price History'!J3+('Price History'!J158-'Price History'!J3)*0.0909090909090909</f>
        <v>125.428181818182</v>
      </c>
      <c r="AF17" s="137" t="n">
        <f aca="false">'Price History'!K3+('Price History'!K158-'Price History'!K3)*0.0909090909090909</f>
        <v>25.1963636363636</v>
      </c>
      <c r="AG17" s="137" t="n">
        <f aca="false">'Price History'!L3+('Price History'!L158-'Price History'!L3)*0.0909090909090909</f>
        <v>120.377272727273</v>
      </c>
      <c r="AH17" s="137" t="n">
        <f aca="false">'Price History'!M3+('Price History'!M158-'Price History'!M3)*0.0909090909090909</f>
        <v>52.4245454545455</v>
      </c>
      <c r="AI17" s="137" t="n">
        <f aca="false">'Price History'!N3+('Price History'!N158-'Price History'!N3)*0.0909090909090909</f>
        <v>361.427272727273</v>
      </c>
      <c r="AJ17" s="137" t="n">
        <f aca="false">'Price History'!O3+('Price History'!O158-'Price History'!O3)*0.0909090909090909</f>
        <v>86.7072727272727</v>
      </c>
      <c r="AK17" s="137" t="n">
        <f aca="false">'Price History'!Q3+('Price History'!Q151-'Price History'!Q3)*0.0909090909090909</f>
        <v>51.5318181818182</v>
      </c>
      <c r="AL17" s="137" t="n">
        <f aca="false">'Price History'!R3+('Price History'!R158-'Price History'!R3)*0.0909090909090909</f>
        <v>48.7681818181818</v>
      </c>
      <c r="AM17" s="137" t="n">
        <f aca="false">'Price History'!S3+('Price History'!S158-'Price History'!S3)*0.0909090909090909</f>
        <v>66.2936363636364</v>
      </c>
      <c r="AN17" s="137" t="n">
        <f aca="false">'Price History'!T3+('Price History'!T158-'Price History'!T3)*0.0909090909090909</f>
        <v>28.9854545454545</v>
      </c>
    </row>
    <row r="18" customFormat="false" ht="15" hidden="false" customHeight="true" outlineLevel="0" collapsed="false">
      <c r="A18" s="135" t="n">
        <f aca="false">IF('Price History'!A19="","",'Price History'!A19)</f>
        <v>45261</v>
      </c>
      <c r="B18" s="136" t="n">
        <f aca="false">IFERROR(IF(OR(NOT(ISNUMBER('Price History'!B19)),NOT(ISNUMBER('Price History'!B18)),'Price History'!B18=0),"",'Price History'!B19/'Price History'!B18-1),"")</f>
        <v>-0.0112361364480247</v>
      </c>
      <c r="C18" s="136" t="n">
        <f aca="false">IFERROR(IF(OR(NOT(ISNUMBER('Price History'!C19)),NOT(ISNUMBER('Price History'!C18)),'Price History'!C18=0),"",'Price History'!C19/'Price History'!C18-1),"")</f>
        <v>-0.00805860805860814</v>
      </c>
      <c r="D18" s="136" t="n">
        <f aca="false">IFERROR(IF(OR(NOT(ISNUMBER('Price History'!D19)),NOT(ISNUMBER('Price History'!D18)),'Price History'!D18=0),"",'Price History'!D19/'Price History'!D18-1),"")</f>
        <v>0.00147573714517213</v>
      </c>
      <c r="E18" s="136" t="n">
        <f aca="false">IFERROR(IF(OR(NOT(ISNUMBER('Price History'!E19)),NOT(ISNUMBER('Price History'!E18)),'Price History'!E18=0),"",'Price History'!E19/'Price History'!E18-1),"")</f>
        <v>-0.0499540300337114</v>
      </c>
      <c r="F18" s="136" t="n">
        <f aca="false">IFERROR(IF(OR(NOT(ISNUMBER('Price History'!F19)),NOT(ISNUMBER('Price History'!F18)),'Price History'!F18=0),"",'Price History'!F19/'Price History'!F18-1),"")</f>
        <v>0.115625593316879</v>
      </c>
      <c r="G18" s="136" t="n">
        <f aca="false">IFERROR(IF(OR(NOT(ISNUMBER('Price History'!G19)),NOT(ISNUMBER('Price History'!G18)),'Price History'!G18=0),"",'Price History'!G19/'Price History'!G18-1),"")</f>
        <v>-0.0118790496760259</v>
      </c>
      <c r="H18" s="136" t="n">
        <f aca="false">IFERROR(IF(OR(NOT(ISNUMBER('Price History'!H19)),NOT(ISNUMBER('Price History'!H18)),'Price History'!H18=0),"",'Price History'!H19/'Price History'!H18-1),"")</f>
        <v>-0.0122284376219591</v>
      </c>
      <c r="I18" s="136" t="n">
        <f aca="false">IFERROR(IF(OR(NOT(ISNUMBER('Price History'!I19)),NOT(ISNUMBER('Price History'!I18)),'Price History'!I18=0),"",'Price History'!I19/'Price History'!I18-1),"")</f>
        <v>-0.0211385516952699</v>
      </c>
      <c r="J18" s="136" t="n">
        <f aca="false">IFERROR(IF(OR(NOT(ISNUMBER('Price History'!J19)),NOT(ISNUMBER('Price History'!J18)),'Price History'!J18=0),"",'Price History'!J19/'Price History'!J18-1),"")</f>
        <v>0.0558928571428572</v>
      </c>
      <c r="K18" s="136" t="n">
        <f aca="false">IFERROR(IF(OR(NOT(ISNUMBER('Price History'!K19)),NOT(ISNUMBER('Price History'!K18)),'Price History'!K18=0),"",'Price History'!K19/'Price History'!K18-1),"")</f>
        <v>0.0557291666666666</v>
      </c>
      <c r="L18" s="136" t="n">
        <f aca="false">IFERROR(IF(OR(NOT(ISNUMBER('Price History'!L19)),NOT(ISNUMBER('Price History'!L18)),'Price History'!L18=0),"",'Price History'!L19/'Price History'!L18-1),"")</f>
        <v>0.00735970561177557</v>
      </c>
      <c r="M18" s="136" t="n">
        <f aca="false">IFERROR(IF(OR(NOT(ISNUMBER('Price History'!M19)),NOT(ISNUMBER('Price History'!M18)),'Price History'!M18=0),"",'Price History'!M19/'Price History'!M18-1),"")</f>
        <v>0.0576382380506093</v>
      </c>
      <c r="N18" s="136" t="n">
        <f aca="false">IFERROR(IF(OR(NOT(ISNUMBER('Price History'!N19)),NOT(ISNUMBER('Price History'!N18)),'Price History'!N18=0),"",'Price History'!N19/'Price History'!N18-1),"")</f>
        <v>-0.00532517561749379</v>
      </c>
      <c r="O18" s="136" t="n">
        <f aca="false">IFERROR(IF(OR(NOT(ISNUMBER('Price History'!O19)),NOT(ISNUMBER('Price History'!O18)),'Price History'!O18=0),"",'Price History'!O19/'Price History'!O18-1),"")</f>
        <v>0.0335536983909193</v>
      </c>
      <c r="P18" s="136" t="str">
        <f aca="false">IFERROR(IF(OR(NOT(ISNUMBER('Price History'!P19)),NOT(ISNUMBER('Price History'!P18)),'Price History'!P18=0),"",'Price History'!P19/'Price History'!P18-1),"")</f>
        <v/>
      </c>
      <c r="Q18" s="136" t="n">
        <f aca="false">IFERROR(IF(OR(NOT(ISNUMBER('Price History'!Q19)),NOT(ISNUMBER('Price History'!Q18)),'Price History'!Q18=0),"",'Price History'!Q19/'Price History'!Q18-1),"")</f>
        <v>0.00583035546360722</v>
      </c>
      <c r="R18" s="136" t="n">
        <f aca="false">IFERROR(IF(OR(NOT(ISNUMBER('Price History'!R19)),NOT(ISNUMBER('Price History'!R18)),'Price History'!R18=0),"",'Price History'!R19/'Price History'!R18-1),"")</f>
        <v>-0.00670322973796467</v>
      </c>
      <c r="S18" s="136" t="n">
        <f aca="false">IFERROR(IF(OR(NOT(ISNUMBER('Price History'!S19)),NOT(ISNUMBER('Price History'!S18)),'Price History'!S18=0),"",'Price History'!S19/'Price History'!S18-1),"")</f>
        <v>-0.00225697243269385</v>
      </c>
      <c r="T18" s="136" t="n">
        <f aca="false">IFERROR(IF(OR(NOT(ISNUMBER('Price History'!T19)),NOT(ISNUMBER('Price History'!T18)),'Price History'!T18=0),"",'Price History'!T19/'Price History'!T18-1),"")</f>
        <v>0.0134428678117999</v>
      </c>
      <c r="U18" s="136" t="str">
        <f aca="false">IFERROR(IF(OR(NOT(ISNUMBER('Price History'!U19)),NOT(ISNUMBER('Price History'!U18)),'Price History'!U18=0),"",'Price History'!U19/'Price History'!U18-1),"")</f>
        <v/>
      </c>
      <c r="W18" s="137" t="n">
        <f aca="false">'Price History'!B3+('Price History'!B158-'Price History'!B3)*0.0974025974025974</f>
        <v>483.316233766234</v>
      </c>
      <c r="X18" s="137" t="n">
        <f aca="false">'Price History'!C3+('Price History'!C158-'Price History'!C3)*0.0974025974025974</f>
        <v>57.0461688311688</v>
      </c>
      <c r="Y18" s="137" t="n">
        <f aca="false">'Price History'!D3+('Price History'!D158-'Price History'!D3)*0.0974025974025974</f>
        <v>755.98974025974</v>
      </c>
      <c r="Z18" s="137" t="n">
        <f aca="false">'Price History'!E3+('Price History'!E158-'Price History'!E3)*0.0974025974025974</f>
        <v>112.814415584416</v>
      </c>
      <c r="AA18" s="137" t="n">
        <f aca="false">'Price History'!F3+('Price History'!F158-'Price History'!F3)*0.0974025974025974</f>
        <v>52.0405194805195</v>
      </c>
      <c r="AB18" s="137" t="n">
        <f aca="false">'Price History'!G3+('Price History'!G158-'Price History'!G3)*0.0974025974025974</f>
        <v>61.0415584415584</v>
      </c>
      <c r="AC18" s="137" t="n">
        <f aca="false">'Price History'!H3+('Price History'!H158-'Price History'!H3)*0.0974025974025974</f>
        <v>138.265454545455</v>
      </c>
      <c r="AD18" s="137" t="n">
        <f aca="false">'Price History'!I3+('Price History'!I158-'Price History'!I3)*0.0974025974025974</f>
        <v>56.4246753246753</v>
      </c>
      <c r="AE18" s="137" t="n">
        <f aca="false">'Price History'!J3+('Price History'!J158-'Price History'!J3)*0.0974025974025974</f>
        <v>125.565194805195</v>
      </c>
      <c r="AF18" s="137" t="n">
        <f aca="false">'Price History'!K3+('Price History'!K158-'Price History'!K3)*0.0974025974025974</f>
        <v>25.8953896103896</v>
      </c>
      <c r="AG18" s="137" t="n">
        <f aca="false">'Price History'!L3+('Price History'!L158-'Price History'!L3)*0.0974025974025974</f>
        <v>122.404935064935</v>
      </c>
      <c r="AH18" s="137" t="n">
        <f aca="false">'Price History'!M3+('Price History'!M158-'Price History'!M3)*0.0974025974025974</f>
        <v>53.7755844155844</v>
      </c>
      <c r="AI18" s="137" t="n">
        <f aca="false">'Price History'!N3+('Price History'!N158-'Price History'!N3)*0.0974025974025974</f>
        <v>362.253506493507</v>
      </c>
      <c r="AJ18" s="137" t="n">
        <f aca="false">'Price History'!O3+('Price History'!O158-'Price History'!O3)*0.0974025974025974</f>
        <v>86.9827922077922</v>
      </c>
      <c r="AK18" s="137" t="n">
        <f aca="false">'Price History'!Q3+('Price History'!Q151-'Price History'!Q3)*0.0974025974025974</f>
        <v>51.6526623376623</v>
      </c>
      <c r="AL18" s="137" t="n">
        <f aca="false">'Price History'!R3+('Price History'!R158-'Price History'!R3)*0.0974025974025974</f>
        <v>48.8359090909091</v>
      </c>
      <c r="AM18" s="137" t="n">
        <f aca="false">'Price History'!S3+('Price History'!S158-'Price History'!S3)*0.0974025974025974</f>
        <v>66.8474675324675</v>
      </c>
      <c r="AN18" s="137" t="n">
        <f aca="false">'Price History'!T3+('Price History'!T158-'Price History'!T3)*0.0974025974025974</f>
        <v>29.1337012987013</v>
      </c>
    </row>
    <row r="19" customFormat="false" ht="15" hidden="false" customHeight="true" outlineLevel="0" collapsed="false">
      <c r="A19" s="135" t="n">
        <f aca="false">IF('Price History'!A20="","",'Price History'!A20)</f>
        <v>45268</v>
      </c>
      <c r="B19" s="136" t="n">
        <f aca="false">IFERROR(IF(OR(NOT(ISNUMBER('Price History'!B20)),NOT(ISNUMBER('Price History'!B19)),'Price History'!B19=0),"",'Price History'!B20/'Price History'!B19-1),"")</f>
        <v>-0.00401652325828206</v>
      </c>
      <c r="C19" s="136" t="n">
        <f aca="false">IFERROR(IF(OR(NOT(ISNUMBER('Price History'!C20)),NOT(ISNUMBER('Price History'!C19)),'Price History'!C19=0),"",'Price History'!C20/'Price History'!C19-1),"")</f>
        <v>0.0341580502215657</v>
      </c>
      <c r="D19" s="136" t="n">
        <f aca="false">IFERROR(IF(OR(NOT(ISNUMBER('Price History'!D20)),NOT(ISNUMBER('Price History'!D19)),'Price History'!D19=0),"",'Price History'!D20/'Price History'!D19-1),"")</f>
        <v>0.00611095059231426</v>
      </c>
      <c r="E19" s="136" t="n">
        <f aca="false">IFERROR(IF(OR(NOT(ISNUMBER('Price History'!E20)),NOT(ISNUMBER('Price History'!E19)),'Price History'!E19=0),"",'Price History'!E20/'Price History'!E19-1),"")</f>
        <v>0.0153763440860215</v>
      </c>
      <c r="F19" s="136" t="n">
        <f aca="false">IFERROR(IF(OR(NOT(ISNUMBER('Price History'!F20)),NOT(ISNUMBER('Price History'!F19)),'Price History'!F19=0),"",'Price History'!F20/'Price History'!F19-1),"")</f>
        <v>0.0319945541184479</v>
      </c>
      <c r="G19" s="136" t="n">
        <f aca="false">IFERROR(IF(OR(NOT(ISNUMBER('Price History'!G20)),NOT(ISNUMBER('Price History'!G19)),'Price History'!G19=0),"",'Price History'!G20/'Price History'!G19-1),"")</f>
        <v>-0.0265938069216758</v>
      </c>
      <c r="H19" s="136" t="n">
        <f aca="false">IFERROR(IF(OR(NOT(ISNUMBER('Price History'!H20)),NOT(ISNUMBER('Price History'!H19)),'Price History'!H19=0),"",'Price History'!H20/'Price History'!H19-1),"")</f>
        <v>-0.0127749242723563</v>
      </c>
      <c r="I19" s="136" t="n">
        <f aca="false">IFERROR(IF(OR(NOT(ISNUMBER('Price History'!I20)),NOT(ISNUMBER('Price History'!I19)),'Price History'!I19=0),"",'Price History'!I20/'Price History'!I19-1),"")</f>
        <v>0.01582210818901</v>
      </c>
      <c r="J19" s="136" t="n">
        <f aca="false">IFERROR(IF(OR(NOT(ISNUMBER('Price History'!J20)),NOT(ISNUMBER('Price History'!J19)),'Price History'!J19=0),"",'Price History'!J20/'Price History'!J19-1),"")</f>
        <v>0.0134449518011162</v>
      </c>
      <c r="K19" s="136" t="n">
        <f aca="false">IFERROR(IF(OR(NOT(ISNUMBER('Price History'!K20)),NOT(ISNUMBER('Price History'!K19)),'Price History'!K19=0),"",'Price History'!K20/'Price History'!K19-1),"")</f>
        <v>-0.123334977799704</v>
      </c>
      <c r="L19" s="136" t="n">
        <f aca="false">IFERROR(IF(OR(NOT(ISNUMBER('Price History'!L20)),NOT(ISNUMBER('Price History'!L19)),'Price History'!L19=0),"",'Price History'!L20/'Price History'!L19-1),"")</f>
        <v>0.0182648401826484</v>
      </c>
      <c r="M19" s="136" t="n">
        <f aca="false">IFERROR(IF(OR(NOT(ISNUMBER('Price History'!M20)),NOT(ISNUMBER('Price History'!M19)),'Price History'!M19=0),"",'Price History'!M20/'Price History'!M19-1),"")</f>
        <v>0.0443066016836509</v>
      </c>
      <c r="N19" s="136" t="n">
        <f aca="false">IFERROR(IF(OR(NOT(ISNUMBER('Price History'!N20)),NOT(ISNUMBER('Price History'!N19)),'Price History'!N19=0),"",'Price History'!N20/'Price History'!N19-1),"")</f>
        <v>-0.0028761817974714</v>
      </c>
      <c r="O19" s="136" t="n">
        <f aca="false">IFERROR(IF(OR(NOT(ISNUMBER('Price History'!O20)),NOT(ISNUMBER('Price History'!O19)),'Price History'!O19=0),"",'Price History'!O20/'Price History'!O19-1),"")</f>
        <v>0.00832729905865315</v>
      </c>
      <c r="P19" s="136" t="str">
        <f aca="false">IFERROR(IF(OR(NOT(ISNUMBER('Price History'!P20)),NOT(ISNUMBER('Price History'!P19)),'Price History'!P19=0),"",'Price History'!P20/'Price History'!P19-1),"")</f>
        <v/>
      </c>
      <c r="Q19" s="136" t="n">
        <f aca="false">IFERROR(IF(OR(NOT(ISNUMBER('Price History'!Q20)),NOT(ISNUMBER('Price History'!Q19)),'Price History'!Q19=0),"",'Price History'!Q20/'Price History'!Q19-1),"")</f>
        <v>0.0063575168287211</v>
      </c>
      <c r="R19" s="136" t="n">
        <f aca="false">IFERROR(IF(OR(NOT(ISNUMBER('Price History'!R20)),NOT(ISNUMBER('Price History'!R19)),'Price History'!R19=0),"",'Price History'!R20/'Price History'!R19-1),"")</f>
        <v>0.00736196319018401</v>
      </c>
      <c r="S19" s="136" t="n">
        <f aca="false">IFERROR(IF(OR(NOT(ISNUMBER('Price History'!S20)),NOT(ISNUMBER('Price History'!S19)),'Price History'!S19=0),"",'Price History'!S20/'Price History'!S19-1),"")</f>
        <v>0.0037162708030376</v>
      </c>
      <c r="T19" s="136" t="n">
        <f aca="false">IFERROR(IF(OR(NOT(ISNUMBER('Price History'!T20)),NOT(ISNUMBER('Price History'!T19)),'Price History'!T19=0),"",'Price History'!T20/'Price History'!T19-1),"")</f>
        <v>0.00884303610906412</v>
      </c>
      <c r="U19" s="136" t="str">
        <f aca="false">IFERROR(IF(OR(NOT(ISNUMBER('Price History'!U20)),NOT(ISNUMBER('Price History'!U19)),'Price History'!U19=0),"",'Price History'!U20/'Price History'!U19-1),"")</f>
        <v/>
      </c>
      <c r="W19" s="137" t="n">
        <f aca="false">'Price History'!B3+('Price History'!B158-'Price History'!B3)*0.103896103896104</f>
        <v>481.640649350649</v>
      </c>
      <c r="X19" s="137" t="n">
        <f aca="false">'Price History'!C3+('Price History'!C158-'Price History'!C3)*0.103896103896104</f>
        <v>57.9332467532468</v>
      </c>
      <c r="Y19" s="137" t="n">
        <f aca="false">'Price History'!D3+('Price History'!D158-'Price History'!D3)*0.103896103896104</f>
        <v>762.27038961039</v>
      </c>
      <c r="Z19" s="137" t="n">
        <f aca="false">'Price History'!E3+('Price History'!E158-'Price History'!E3)*0.103896103896104</f>
        <v>114.803376623377</v>
      </c>
      <c r="AA19" s="137" t="n">
        <f aca="false">'Price History'!F3+('Price History'!F158-'Price History'!F3)*0.103896103896104</f>
        <v>53.0392207792208</v>
      </c>
      <c r="AB19" s="137" t="n">
        <f aca="false">'Price History'!G3+('Price History'!G158-'Price History'!G3)*0.103896103896104</f>
        <v>61.9176623376624</v>
      </c>
      <c r="AC19" s="137" t="n">
        <f aca="false">'Price History'!H3+('Price History'!H158-'Price History'!H3)*0.103896103896104</f>
        <v>143.191818181818</v>
      </c>
      <c r="AD19" s="137" t="n">
        <f aca="false">'Price History'!I3+('Price History'!I158-'Price History'!I3)*0.103896103896104</f>
        <v>57.462987012987</v>
      </c>
      <c r="AE19" s="137" t="n">
        <f aca="false">'Price History'!J3+('Price History'!J158-'Price History'!J3)*0.103896103896104</f>
        <v>125.702207792208</v>
      </c>
      <c r="AF19" s="137" t="n">
        <f aca="false">'Price History'!K3+('Price History'!K158-'Price History'!K3)*0.103896103896104</f>
        <v>26.5944155844156</v>
      </c>
      <c r="AG19" s="137" t="n">
        <f aca="false">'Price History'!L3+('Price History'!L158-'Price History'!L3)*0.103896103896104</f>
        <v>124.432597402597</v>
      </c>
      <c r="AH19" s="137" t="n">
        <f aca="false">'Price History'!M3+('Price History'!M158-'Price History'!M3)*0.103896103896104</f>
        <v>55.1266233766234</v>
      </c>
      <c r="AI19" s="137" t="n">
        <f aca="false">'Price History'!N3+('Price History'!N158-'Price History'!N3)*0.103896103896104</f>
        <v>363.07974025974</v>
      </c>
      <c r="AJ19" s="137" t="n">
        <f aca="false">'Price History'!O3+('Price History'!O158-'Price History'!O3)*0.103896103896104</f>
        <v>87.2583116883117</v>
      </c>
      <c r="AK19" s="137" t="n">
        <f aca="false">'Price History'!Q3+('Price History'!Q151-'Price History'!Q3)*0.103896103896104</f>
        <v>51.7735064935065</v>
      </c>
      <c r="AL19" s="137" t="n">
        <f aca="false">'Price History'!R3+('Price History'!R158-'Price History'!R3)*0.103896103896104</f>
        <v>48.9036363636364</v>
      </c>
      <c r="AM19" s="137" t="n">
        <f aca="false">'Price History'!S3+('Price History'!S158-'Price History'!S3)*0.103896103896104</f>
        <v>67.4012987012987</v>
      </c>
      <c r="AN19" s="137" t="n">
        <f aca="false">'Price History'!T3+('Price History'!T158-'Price History'!T3)*0.103896103896104</f>
        <v>29.2819480519481</v>
      </c>
    </row>
    <row r="20" customFormat="false" ht="15" hidden="false" customHeight="true" outlineLevel="0" collapsed="false">
      <c r="A20" s="135" t="n">
        <f aca="false">IF('Price History'!A21="","",'Price History'!A21)</f>
        <v>45275</v>
      </c>
      <c r="B20" s="136" t="n">
        <f aca="false">IFERROR(IF(OR(NOT(ISNUMBER('Price History'!B21)),NOT(ISNUMBER('Price History'!B20)),'Price History'!B20=0),"",'Price History'!B21/'Price History'!B20-1),"")</f>
        <v>-0.0415239094441076</v>
      </c>
      <c r="C20" s="136" t="n">
        <f aca="false">IFERROR(IF(OR(NOT(ISNUMBER('Price History'!C21)),NOT(ISNUMBER('Price History'!C20)),'Price History'!C20=0),"",'Price History'!C21/'Price History'!C20-1),"")</f>
        <v>0.0515979289412605</v>
      </c>
      <c r="D20" s="136" t="n">
        <f aca="false">IFERROR(IF(OR(NOT(ISNUMBER('Price History'!D21)),NOT(ISNUMBER('Price History'!D20)),'Price History'!D20=0),"",'Price History'!D21/'Price History'!D20-1),"")</f>
        <v>0.0811711155464299</v>
      </c>
      <c r="E20" s="136" t="n">
        <f aca="false">IFERROR(IF(OR(NOT(ISNUMBER('Price History'!E21)),NOT(ISNUMBER('Price History'!E20)),'Price History'!E20=0),"",'Price History'!E21/'Price History'!E20-1),"")</f>
        <v>0.19633591019803</v>
      </c>
      <c r="F20" s="136" t="n">
        <f aca="false">IFERROR(IF(OR(NOT(ISNUMBER('Price History'!F21)),NOT(ISNUMBER('Price History'!F20)),'Price History'!F20=0),"",'Price History'!F21/'Price History'!F20-1),"")</f>
        <v>0.0722295514511873</v>
      </c>
      <c r="G20" s="136" t="n">
        <f aca="false">IFERROR(IF(OR(NOT(ISNUMBER('Price History'!G21)),NOT(ISNUMBER('Price History'!G20)),'Price History'!G20=0),"",'Price History'!G21/'Price History'!G20-1),"")</f>
        <v>0.094872754491018</v>
      </c>
      <c r="H20" s="136" t="n">
        <f aca="false">IFERROR(IF(OR(NOT(ISNUMBER('Price History'!H21)),NOT(ISNUMBER('Price History'!H20)),'Price History'!H20=0),"",'Price History'!H21/'Price History'!H20-1),"")</f>
        <v>0.0860458911419424</v>
      </c>
      <c r="I20" s="136" t="n">
        <f aca="false">IFERROR(IF(OR(NOT(ISNUMBER('Price History'!I21)),NOT(ISNUMBER('Price History'!I20)),'Price History'!I20=0),"",'Price History'!I21/'Price History'!I20-1),"")</f>
        <v>0.0290465165228373</v>
      </c>
      <c r="J20" s="136" t="n">
        <f aca="false">IFERROR(IF(OR(NOT(ISNUMBER('Price History'!J21)),NOT(ISNUMBER('Price History'!J20)),'Price History'!J20=0),"",'Price History'!J21/'Price History'!J20-1),"")</f>
        <v>0.12023362536504</v>
      </c>
      <c r="K20" s="136" t="n">
        <f aca="false">IFERROR(IF(OR(NOT(ISNUMBER('Price History'!K21)),NOT(ISNUMBER('Price History'!K20)),'Price History'!K20=0),"",'Price History'!K21/'Price History'!K20-1),"")</f>
        <v>0.024198086662915</v>
      </c>
      <c r="L20" s="136" t="n">
        <f aca="false">IFERROR(IF(OR(NOT(ISNUMBER('Price History'!L21)),NOT(ISNUMBER('Price History'!L20)),'Price History'!L20=0),"",'Price History'!L21/'Price History'!L20-1),"")</f>
        <v>0.0218236173393125</v>
      </c>
      <c r="M20" s="136" t="n">
        <f aca="false">IFERROR(IF(OR(NOT(ISNUMBER('Price History'!M21)),NOT(ISNUMBER('Price History'!M20)),'Price History'!M20=0),"",'Price History'!M21/'Price History'!M20-1),"")</f>
        <v>0.0125159100551548</v>
      </c>
      <c r="N20" s="136" t="n">
        <f aca="false">IFERROR(IF(OR(NOT(ISNUMBER('Price History'!N21)),NOT(ISNUMBER('Price History'!N20)),'Price History'!N20=0),"",'Price History'!N21/'Price History'!N20-1),"")</f>
        <v>0.172868770526917</v>
      </c>
      <c r="O20" s="136" t="n">
        <f aca="false">IFERROR(IF(OR(NOT(ISNUMBER('Price History'!O21)),NOT(ISNUMBER('Price History'!O20)),'Price History'!O20=0),"",'Price History'!O21/'Price History'!O20-1),"")</f>
        <v>0.0548174745661281</v>
      </c>
      <c r="P20" s="136" t="str">
        <f aca="false">IFERROR(IF(OR(NOT(ISNUMBER('Price History'!P21)),NOT(ISNUMBER('Price History'!P20)),'Price History'!P20=0),"",'Price History'!P21/'Price History'!P20-1),"")</f>
        <v/>
      </c>
      <c r="Q20" s="136" t="n">
        <f aca="false">IFERROR(IF(OR(NOT(ISNUMBER('Price History'!Q21)),NOT(ISNUMBER('Price History'!Q20)),'Price History'!Q20=0),"",'Price History'!Q21/'Price History'!Q20-1),"")</f>
        <v>0.0141211445559271</v>
      </c>
      <c r="R20" s="136" t="n">
        <f aca="false">IFERROR(IF(OR(NOT(ISNUMBER('Price History'!R21)),NOT(ISNUMBER('Price History'!R20)),'Price History'!R20=0),"",'Price History'!R21/'Price History'!R20-1),"")</f>
        <v>0.0150223304912709</v>
      </c>
      <c r="S20" s="136" t="n">
        <f aca="false">IFERROR(IF(OR(NOT(ISNUMBER('Price History'!S21)),NOT(ISNUMBER('Price History'!S20)),'Price History'!S20=0),"",'Price History'!S21/'Price History'!S20-1),"")</f>
        <v>0.0341274951706374</v>
      </c>
      <c r="T20" s="136" t="n">
        <f aca="false">IFERROR(IF(OR(NOT(ISNUMBER('Price History'!T21)),NOT(ISNUMBER('Price History'!T20)),'Price History'!T20=0),"",'Price History'!T21/'Price History'!T20-1),"")</f>
        <v>0.0277574872169468</v>
      </c>
      <c r="U20" s="136" t="str">
        <f aca="false">IFERROR(IF(OR(NOT(ISNUMBER('Price History'!U21)),NOT(ISNUMBER('Price History'!U20)),'Price History'!U20=0),"",'Price History'!U21/'Price History'!U20-1),"")</f>
        <v/>
      </c>
      <c r="W20" s="137" t="n">
        <f aca="false">'Price History'!B3+('Price History'!B158-'Price History'!B3)*0.11038961038961</f>
        <v>479.965064935065</v>
      </c>
      <c r="X20" s="137" t="n">
        <f aca="false">'Price History'!C3+('Price History'!C158-'Price History'!C3)*0.11038961038961</f>
        <v>58.8203246753246</v>
      </c>
      <c r="Y20" s="137" t="n">
        <f aca="false">'Price History'!D3+('Price History'!D158-'Price History'!D3)*0.11038961038961</f>
        <v>768.551038961039</v>
      </c>
      <c r="Z20" s="137" t="n">
        <f aca="false">'Price History'!E3+('Price History'!E158-'Price History'!E3)*0.11038961038961</f>
        <v>116.792337662338</v>
      </c>
      <c r="AA20" s="137" t="n">
        <f aca="false">'Price History'!F3+('Price History'!F158-'Price History'!F3)*0.11038961038961</f>
        <v>54.037922077922</v>
      </c>
      <c r="AB20" s="137" t="n">
        <f aca="false">'Price History'!G3+('Price History'!G158-'Price History'!G3)*0.11038961038961</f>
        <v>62.7937662337662</v>
      </c>
      <c r="AC20" s="137" t="n">
        <f aca="false">'Price History'!H3+('Price History'!H158-'Price History'!H3)*0.11038961038961</f>
        <v>148.118181818182</v>
      </c>
      <c r="AD20" s="137" t="n">
        <f aca="false">'Price History'!I3+('Price History'!I158-'Price History'!I3)*0.11038961038961</f>
        <v>58.5012987012986</v>
      </c>
      <c r="AE20" s="137" t="n">
        <f aca="false">'Price History'!J3+('Price History'!J158-'Price History'!J3)*0.11038961038961</f>
        <v>125.839220779221</v>
      </c>
      <c r="AF20" s="137" t="n">
        <f aca="false">'Price History'!K3+('Price History'!K158-'Price History'!K3)*0.11038961038961</f>
        <v>27.2934415584415</v>
      </c>
      <c r="AG20" s="137" t="n">
        <f aca="false">'Price History'!L3+('Price History'!L158-'Price History'!L3)*0.11038961038961</f>
        <v>126.46025974026</v>
      </c>
      <c r="AH20" s="137" t="n">
        <f aca="false">'Price History'!M3+('Price History'!M158-'Price History'!M3)*0.11038961038961</f>
        <v>56.4776623376623</v>
      </c>
      <c r="AI20" s="137" t="n">
        <f aca="false">'Price History'!N3+('Price History'!N158-'Price History'!N3)*0.11038961038961</f>
        <v>363.905974025974</v>
      </c>
      <c r="AJ20" s="137" t="n">
        <f aca="false">'Price History'!O3+('Price History'!O158-'Price History'!O3)*0.11038961038961</f>
        <v>87.5338311688311</v>
      </c>
      <c r="AK20" s="137" t="n">
        <f aca="false">'Price History'!Q3+('Price History'!Q151-'Price History'!Q3)*0.11038961038961</f>
        <v>51.8943506493506</v>
      </c>
      <c r="AL20" s="137" t="n">
        <f aca="false">'Price History'!R3+('Price History'!R158-'Price History'!R3)*0.11038961038961</f>
        <v>48.9713636363636</v>
      </c>
      <c r="AM20" s="137" t="n">
        <f aca="false">'Price History'!S3+('Price History'!S158-'Price History'!S3)*0.11038961038961</f>
        <v>67.9551298701298</v>
      </c>
      <c r="AN20" s="137" t="n">
        <f aca="false">'Price History'!T3+('Price History'!T158-'Price History'!T3)*0.11038961038961</f>
        <v>29.4301948051948</v>
      </c>
    </row>
    <row r="21" customFormat="false" ht="15" hidden="false" customHeight="true" outlineLevel="0" collapsed="false">
      <c r="A21" s="135" t="n">
        <f aca="false">IF('Price History'!A22="","",'Price History'!A22)</f>
        <v>45282</v>
      </c>
      <c r="B21" s="136" t="n">
        <f aca="false">IFERROR(IF(OR(NOT(ISNUMBER('Price History'!B22)),NOT(ISNUMBER('Price History'!B21)),'Price History'!B21=0),"",'Price History'!B22/'Price History'!B21-1),"")</f>
        <v>0.0240644455086545</v>
      </c>
      <c r="C21" s="136" t="n">
        <f aca="false">IFERROR(IF(OR(NOT(ISNUMBER('Price History'!C22)),NOT(ISNUMBER('Price History'!C21)),'Price History'!C21=0),"",'Price History'!C22/'Price History'!C21-1),"")</f>
        <v>0.0113752122241086</v>
      </c>
      <c r="D21" s="136" t="n">
        <f aca="false">IFERROR(IF(OR(NOT(ISNUMBER('Price History'!D22)),NOT(ISNUMBER('Price History'!D21)),'Price History'!D21=0),"",'Price History'!D22/'Price History'!D21-1),"")</f>
        <v>-0.00057107947301327</v>
      </c>
      <c r="E21" s="136" t="n">
        <f aca="false">IFERROR(IF(OR(NOT(ISNUMBER('Price History'!E22)),NOT(ISNUMBER('Price History'!E21)),'Price History'!E21=0),"",'Price History'!E22/'Price History'!E21-1),"")</f>
        <v>-0.00681596884128521</v>
      </c>
      <c r="F21" s="136" t="n">
        <f aca="false">IFERROR(IF(OR(NOT(ISNUMBER('Price History'!F22)),NOT(ISNUMBER('Price History'!F21)),'Price History'!F21=0),"",'Price History'!F22/'Price History'!F21-1),"")</f>
        <v>-0.0170716702553061</v>
      </c>
      <c r="G21" s="136" t="n">
        <f aca="false">IFERROR(IF(OR(NOT(ISNUMBER('Price History'!G22)),NOT(ISNUMBER('Price History'!G21)),'Price History'!G21=0),"",'Price History'!G22/'Price History'!G21-1),"")</f>
        <v>-0.00410186292941372</v>
      </c>
      <c r="H21" s="136" t="n">
        <f aca="false">IFERROR(IF(OR(NOT(ISNUMBER('Price History'!H22)),NOT(ISNUMBER('Price History'!H21)),'Price History'!H21=0),"",'Price History'!H22/'Price History'!H21-1),"")</f>
        <v>0.0624001965360521</v>
      </c>
      <c r="I21" s="136" t="n">
        <f aca="false">IFERROR(IF(OR(NOT(ISNUMBER('Price History'!I22)),NOT(ISNUMBER('Price History'!I21)),'Price History'!I21=0),"",'Price History'!I22/'Price History'!I21-1),"")</f>
        <v>-0.00122724483534464</v>
      </c>
      <c r="J21" s="136" t="n">
        <f aca="false">IFERROR(IF(OR(NOT(ISNUMBER('Price History'!J22)),NOT(ISNUMBER('Price History'!J21)),'Price History'!J21=0),"",'Price History'!J22/'Price History'!J21-1),"")</f>
        <v>-0.0138537166691493</v>
      </c>
      <c r="K21" s="136" t="n">
        <f aca="false">IFERROR(IF(OR(NOT(ISNUMBER('Price History'!K22)),NOT(ISNUMBER('Price History'!K21)),'Price History'!K21=0),"",'Price History'!K22/'Price History'!K21-1),"")</f>
        <v>-0.0434065934065934</v>
      </c>
      <c r="L21" s="136" t="n">
        <f aca="false">IFERROR(IF(OR(NOT(ISNUMBER('Price History'!L22)),NOT(ISNUMBER('Price History'!L21)),'Price History'!L21=0),"",'Price History'!L22/'Price History'!L21-1),"")</f>
        <v>0.00594889799102782</v>
      </c>
      <c r="M21" s="136" t="n">
        <f aca="false">IFERROR(IF(OR(NOT(ISNUMBER('Price History'!M22)),NOT(ISNUMBER('Price History'!M21)),'Price History'!M21=0),"",'Price History'!M22/'Price History'!M21-1),"")</f>
        <v>0.0219987429289756</v>
      </c>
      <c r="N21" s="136" t="n">
        <f aca="false">IFERROR(IF(OR(NOT(ISNUMBER('Price History'!N22)),NOT(ISNUMBER('Price History'!N21)),'Price History'!N21=0),"",'Price History'!N22/'Price History'!N21-1),"")</f>
        <v>-0.0132219733125548</v>
      </c>
      <c r="O21" s="136" t="n">
        <f aca="false">IFERROR(IF(OR(NOT(ISNUMBER('Price History'!O22)),NOT(ISNUMBER('Price History'!O21)),'Price History'!O21=0),"",'Price History'!O22/'Price History'!O21-1),"")</f>
        <v>0.0226937478724611</v>
      </c>
      <c r="P21" s="136" t="str">
        <f aca="false">IFERROR(IF(OR(NOT(ISNUMBER('Price History'!P22)),NOT(ISNUMBER('Price History'!P21)),'Price History'!P21=0),"",'Price History'!P22/'Price History'!P21-1),"")</f>
        <v/>
      </c>
      <c r="Q21" s="136" t="n">
        <f aca="false">IFERROR(IF(OR(NOT(ISNUMBER('Price History'!Q22)),NOT(ISNUMBER('Price History'!Q21)),'Price History'!Q21=0),"",'Price History'!Q22/'Price History'!Q21-1),"")</f>
        <v>0.00439721509710522</v>
      </c>
      <c r="R21" s="136" t="n">
        <f aca="false">IFERROR(IF(OR(NOT(ISNUMBER('Price History'!R22)),NOT(ISNUMBER('Price History'!R21)),'Price History'!R21=0),"",'Price History'!R22/'Price History'!R21-1),"")</f>
        <v>0.00319999999999987</v>
      </c>
      <c r="S21" s="136" t="n">
        <f aca="false">IFERROR(IF(OR(NOT(ISNUMBER('Price History'!S22)),NOT(ISNUMBER('Price History'!S21)),'Price History'!S21=0),"",'Price History'!S22/'Price History'!S21-1),"")</f>
        <v>0.0124533001245333</v>
      </c>
      <c r="T21" s="136" t="n">
        <f aca="false">IFERROR(IF(OR(NOT(ISNUMBER('Price History'!T22)),NOT(ISNUMBER('Price History'!T21)),'Price History'!T21=0),"",'Price History'!T22/'Price History'!T21-1),"")</f>
        <v>0.00959488272921116</v>
      </c>
      <c r="U21" s="136" t="str">
        <f aca="false">IFERROR(IF(OR(NOT(ISNUMBER('Price History'!U22)),NOT(ISNUMBER('Price History'!U21)),'Price History'!U21=0),"",'Price History'!U22/'Price History'!U21-1),"")</f>
        <v/>
      </c>
      <c r="W21" s="137" t="n">
        <f aca="false">'Price History'!B3+('Price History'!B158-'Price History'!B3)*0.116883116883117</f>
        <v>478.289480519481</v>
      </c>
      <c r="X21" s="137" t="n">
        <f aca="false">'Price History'!C3+('Price History'!C158-'Price History'!C3)*0.116883116883117</f>
        <v>59.7074025974026</v>
      </c>
      <c r="Y21" s="137" t="n">
        <f aca="false">'Price History'!D3+('Price History'!D158-'Price History'!D3)*0.116883116883117</f>
        <v>774.831688311688</v>
      </c>
      <c r="Z21" s="137" t="n">
        <f aca="false">'Price History'!E3+('Price History'!E158-'Price History'!E3)*0.116883116883117</f>
        <v>118.781298701299</v>
      </c>
      <c r="AA21" s="137" t="n">
        <f aca="false">'Price History'!F3+('Price History'!F158-'Price History'!F3)*0.116883116883117</f>
        <v>55.0366233766234</v>
      </c>
      <c r="AB21" s="137" t="n">
        <f aca="false">'Price History'!G3+('Price History'!G158-'Price History'!G3)*0.116883116883117</f>
        <v>63.6698701298701</v>
      </c>
      <c r="AC21" s="137" t="n">
        <f aca="false">'Price History'!H3+('Price History'!H158-'Price History'!H3)*0.116883116883117</f>
        <v>153.044545454546</v>
      </c>
      <c r="AD21" s="137" t="n">
        <f aca="false">'Price History'!I3+('Price History'!I158-'Price History'!I3)*0.116883116883117</f>
        <v>59.5396103896104</v>
      </c>
      <c r="AE21" s="137" t="n">
        <f aca="false">'Price History'!J3+('Price History'!J158-'Price History'!J3)*0.116883116883117</f>
        <v>125.976233766234</v>
      </c>
      <c r="AF21" s="137" t="n">
        <f aca="false">'Price History'!K3+('Price History'!K158-'Price History'!K3)*0.116883116883117</f>
        <v>27.9924675324675</v>
      </c>
      <c r="AG21" s="137" t="n">
        <f aca="false">'Price History'!L3+('Price History'!L158-'Price History'!L3)*0.116883116883117</f>
        <v>128.487922077922</v>
      </c>
      <c r="AH21" s="137" t="n">
        <f aca="false">'Price History'!M3+('Price History'!M158-'Price History'!M3)*0.116883116883117</f>
        <v>57.8287012987013</v>
      </c>
      <c r="AI21" s="137" t="n">
        <f aca="false">'Price History'!N3+('Price History'!N158-'Price History'!N3)*0.116883116883117</f>
        <v>364.732207792208</v>
      </c>
      <c r="AJ21" s="137" t="n">
        <f aca="false">'Price History'!O3+('Price History'!O158-'Price History'!O3)*0.116883116883117</f>
        <v>87.8093506493507</v>
      </c>
      <c r="AK21" s="137" t="n">
        <f aca="false">'Price History'!Q3+('Price History'!Q151-'Price History'!Q3)*0.116883116883117</f>
        <v>52.0151948051948</v>
      </c>
      <c r="AL21" s="137" t="n">
        <f aca="false">'Price History'!R3+('Price History'!R158-'Price History'!R3)*0.116883116883117</f>
        <v>49.0390909090909</v>
      </c>
      <c r="AM21" s="137" t="n">
        <f aca="false">'Price History'!S3+('Price History'!S158-'Price History'!S3)*0.116883116883117</f>
        <v>68.5089610389611</v>
      </c>
      <c r="AN21" s="137" t="n">
        <f aca="false">'Price History'!T3+('Price History'!T158-'Price History'!T3)*0.116883116883117</f>
        <v>29.5784415584416</v>
      </c>
    </row>
    <row r="22" customFormat="false" ht="15" hidden="false" customHeight="true" outlineLevel="0" collapsed="false">
      <c r="A22" s="135" t="n">
        <f aca="false">IF('Price History'!A23="","",'Price History'!A23)</f>
        <v>45289</v>
      </c>
      <c r="B22" s="136" t="n">
        <f aca="false">IFERROR(IF(OR(NOT(ISNUMBER('Price History'!B23)),NOT(ISNUMBER('Price History'!B22)),'Price History'!B22=0),"",'Price History'!B23/'Price History'!B22-1),"")</f>
        <v>-0.00359081419624219</v>
      </c>
      <c r="C22" s="136" t="n">
        <f aca="false">IFERROR(IF(OR(NOT(ISNUMBER('Price History'!C23)),NOT(ISNUMBER('Price History'!C22)),'Price History'!C22=0),"",'Price History'!C23/'Price History'!C22-1),"")</f>
        <v>-0.0115830115830116</v>
      </c>
      <c r="D22" s="136" t="n">
        <f aca="false">IFERROR(IF(OR(NOT(ISNUMBER('Price History'!D23)),NOT(ISNUMBER('Price History'!D22)),'Price History'!D22=0),"",'Price History'!D23/'Price History'!D22-1),"")</f>
        <v>0.00583365447224704</v>
      </c>
      <c r="E22" s="136" t="n">
        <f aca="false">IFERROR(IF(OR(NOT(ISNUMBER('Price History'!E23)),NOT(ISNUMBER('Price History'!E22)),'Price History'!E22=0),"",'Price History'!E23/'Price History'!E22-1),"")</f>
        <v>-0.00508021390374336</v>
      </c>
      <c r="F22" s="136" t="n">
        <f aca="false">IFERROR(IF(OR(NOT(ISNUMBER('Price History'!F23)),NOT(ISNUMBER('Price History'!F22)),'Price History'!F22=0),"",'Price History'!F23/'Price History'!F22-1),"")</f>
        <v>-0.00125176028790486</v>
      </c>
      <c r="G22" s="136" t="n">
        <f aca="false">IFERROR(IF(OR(NOT(ISNUMBER('Price History'!G23)),NOT(ISNUMBER('Price History'!G22)),'Price History'!G22=0),"",'Price History'!G23/'Price History'!G22-1),"")</f>
        <v>-0.00240260854642183</v>
      </c>
      <c r="H22" s="136" t="n">
        <f aca="false">IFERROR(IF(OR(NOT(ISNUMBER('Price History'!H23)),NOT(ISNUMBER('Price History'!H22)),'Price History'!H22=0),"",'Price History'!H23/'Price History'!H22-1),"")</f>
        <v>-0.0132963348363971</v>
      </c>
      <c r="I22" s="136" t="n">
        <f aca="false">IFERROR(IF(OR(NOT(ISNUMBER('Price History'!I23)),NOT(ISNUMBER('Price History'!I22)),'Price History'!I22=0),"",'Price History'!I23/'Price History'!I22-1),"")</f>
        <v>0.0141306573827567</v>
      </c>
      <c r="J22" s="136" t="n">
        <f aca="false">IFERROR(IF(OR(NOT(ISNUMBER('Price History'!J23)),NOT(ISNUMBER('Price History'!J22)),'Price History'!J22=0),"",'Price History'!J23/'Price History'!J22-1),"")</f>
        <v>0.00679758308157097</v>
      </c>
      <c r="K22" s="136" t="n">
        <f aca="false">IFERROR(IF(OR(NOT(ISNUMBER('Price History'!K23)),NOT(ISNUMBER('Price History'!K22)),'Price History'!K22=0),"",'Price History'!K23/'Price History'!K22-1),"")</f>
        <v>-0.0137851809304996</v>
      </c>
      <c r="L22" s="136" t="n">
        <f aca="false">IFERROR(IF(OR(NOT(ISNUMBER('Price History'!L23)),NOT(ISNUMBER('Price History'!L22)),'Price History'!L22=0),"",'Price History'!L23/'Price History'!L22-1),"")</f>
        <v>0.00824042656325741</v>
      </c>
      <c r="M22" s="136" t="n">
        <f aca="false">IFERROR(IF(OR(NOT(ISNUMBER('Price History'!M23)),NOT(ISNUMBER('Price History'!M22)),'Price History'!M22=0),"",'Price History'!M23/'Price History'!M22-1),"")</f>
        <v>-0.0153751537515375</v>
      </c>
      <c r="N22" s="136" t="n">
        <f aca="false">IFERROR(IF(OR(NOT(ISNUMBER('Price History'!N23)),NOT(ISNUMBER('Price History'!N22)),'Price History'!N22=0),"",'Price History'!N23/'Price History'!N22-1),"")</f>
        <v>0.00404688463911174</v>
      </c>
      <c r="O22" s="136" t="n">
        <f aca="false">IFERROR(IF(OR(NOT(ISNUMBER('Price History'!O23)),NOT(ISNUMBER('Price History'!O22)),'Price History'!O22=0),"",'Price History'!O23/'Price History'!O22-1),"")</f>
        <v>-0.0036613780095418</v>
      </c>
      <c r="P22" s="136" t="str">
        <f aca="false">IFERROR(IF(OR(NOT(ISNUMBER('Price History'!P23)),NOT(ISNUMBER('Price History'!P22)),'Price History'!P22=0),"",'Price History'!P23/'Price History'!P22-1),"")</f>
        <v/>
      </c>
      <c r="Q22" s="136" t="n">
        <f aca="false">IFERROR(IF(OR(NOT(ISNUMBER('Price History'!Q23)),NOT(ISNUMBER('Price History'!Q22)),'Price History'!Q22=0),"",'Price History'!Q23/'Price History'!Q22-1),"")</f>
        <v>-0.00547245530828155</v>
      </c>
      <c r="R22" s="136" t="n">
        <f aca="false">IFERROR(IF(OR(NOT(ISNUMBER('Price History'!R23)),NOT(ISNUMBER('Price History'!R22)),'Price History'!R22=0),"",'Price History'!R23/'Price History'!R22-1),"")</f>
        <v>-0.00458532695374792</v>
      </c>
      <c r="S22" s="136" t="n">
        <f aca="false">IFERROR(IF(OR(NOT(ISNUMBER('Price History'!S23)),NOT(ISNUMBER('Price History'!S22)),'Price History'!S22=0),"",'Price History'!S23/'Price History'!S22-1),"")</f>
        <v>0.00707257072570711</v>
      </c>
      <c r="T22" s="136" t="n">
        <f aca="false">IFERROR(IF(OR(NOT(ISNUMBER('Price History'!T23)),NOT(ISNUMBER('Price History'!T22)),'Price History'!T22=0),"",'Price History'!T23/'Price History'!T22-1),"")</f>
        <v>-0.0024639211545231</v>
      </c>
      <c r="U22" s="136" t="str">
        <f aca="false">IFERROR(IF(OR(NOT(ISNUMBER('Price History'!U23)),NOT(ISNUMBER('Price History'!U22)),'Price History'!U22=0),"",'Price History'!U23/'Price History'!U22-1),"")</f>
        <v/>
      </c>
      <c r="W22" s="137" t="n">
        <f aca="false">'Price History'!B3+('Price History'!B158-'Price History'!B3)*0.123376623376623</f>
        <v>476.613896103896</v>
      </c>
      <c r="X22" s="137" t="n">
        <f aca="false">'Price History'!C3+('Price History'!C158-'Price History'!C3)*0.123376623376623</f>
        <v>60.5944805194805</v>
      </c>
      <c r="Y22" s="137" t="n">
        <f aca="false">'Price History'!D3+('Price History'!D158-'Price History'!D3)*0.123376623376623</f>
        <v>781.112337662337</v>
      </c>
      <c r="Z22" s="137" t="n">
        <f aca="false">'Price History'!E3+('Price History'!E158-'Price History'!E3)*0.123376623376623</f>
        <v>120.77025974026</v>
      </c>
      <c r="AA22" s="137" t="n">
        <f aca="false">'Price History'!F3+('Price History'!F158-'Price History'!F3)*0.123376623376623</f>
        <v>56.0353246753246</v>
      </c>
      <c r="AB22" s="137" t="n">
        <f aca="false">'Price History'!G3+('Price History'!G158-'Price History'!G3)*0.123376623376623</f>
        <v>64.545974025974</v>
      </c>
      <c r="AC22" s="137" t="n">
        <f aca="false">'Price History'!H3+('Price History'!H158-'Price History'!H3)*0.123376623376623</f>
        <v>157.970909090909</v>
      </c>
      <c r="AD22" s="137" t="n">
        <f aca="false">'Price History'!I3+('Price History'!I158-'Price History'!I3)*0.123376623376623</f>
        <v>60.577922077922</v>
      </c>
      <c r="AE22" s="137" t="n">
        <f aca="false">'Price History'!J3+('Price History'!J158-'Price History'!J3)*0.123376623376623</f>
        <v>126.113246753247</v>
      </c>
      <c r="AF22" s="137" t="n">
        <f aca="false">'Price History'!K3+('Price History'!K158-'Price History'!K3)*0.123376623376623</f>
        <v>28.6914935064935</v>
      </c>
      <c r="AG22" s="137" t="n">
        <f aca="false">'Price History'!L3+('Price History'!L158-'Price History'!L3)*0.123376623376623</f>
        <v>130.515584415584</v>
      </c>
      <c r="AH22" s="137" t="n">
        <f aca="false">'Price History'!M3+('Price History'!M158-'Price History'!M3)*0.123376623376623</f>
        <v>59.1797402597402</v>
      </c>
      <c r="AI22" s="137" t="n">
        <f aca="false">'Price History'!N3+('Price History'!N158-'Price History'!N3)*0.123376623376623</f>
        <v>365.558441558442</v>
      </c>
      <c r="AJ22" s="137" t="n">
        <f aca="false">'Price History'!O3+('Price History'!O158-'Price History'!O3)*0.123376623376623</f>
        <v>88.0848701298701</v>
      </c>
      <c r="AK22" s="137" t="n">
        <f aca="false">'Price History'!Q3+('Price History'!Q151-'Price History'!Q3)*0.123376623376623</f>
        <v>52.136038961039</v>
      </c>
      <c r="AL22" s="137" t="n">
        <f aca="false">'Price History'!R3+('Price History'!R158-'Price History'!R3)*0.123376623376623</f>
        <v>49.1068181818182</v>
      </c>
      <c r="AM22" s="137" t="n">
        <f aca="false">'Price History'!S3+('Price History'!S158-'Price History'!S3)*0.123376623376623</f>
        <v>69.0627922077922</v>
      </c>
      <c r="AN22" s="137" t="n">
        <f aca="false">'Price History'!T3+('Price History'!T158-'Price History'!T3)*0.123376623376623</f>
        <v>29.7266883116883</v>
      </c>
    </row>
    <row r="23" customFormat="false" ht="15" hidden="false" customHeight="true" outlineLevel="0" collapsed="false">
      <c r="A23" s="135" t="n">
        <f aca="false">IF('Price History'!A24="","",'Price History'!A24)</f>
        <v>45296</v>
      </c>
      <c r="B23" s="136" t="n">
        <f aca="false">IFERROR(IF(OR(NOT(ISNUMBER('Price History'!B24)),NOT(ISNUMBER('Price History'!B23)),'Price History'!B23=0),"",'Price History'!B24/'Price History'!B23-1),"")</f>
        <v>-0.0536372779081462</v>
      </c>
      <c r="C23" s="136" t="n">
        <f aca="false">IFERROR(IF(OR(NOT(ISNUMBER('Price History'!C24)),NOT(ISNUMBER('Price History'!C23)),'Price History'!C23=0),"",'Price History'!C24/'Price History'!C23-1),"")</f>
        <v>-0.0195312500000001</v>
      </c>
      <c r="D23" s="136" t="n">
        <f aca="false">IFERROR(IF(OR(NOT(ISNUMBER('Price History'!D24)),NOT(ISNUMBER('Price History'!D23)),'Price History'!D23=0),"",'Price History'!D24/'Price History'!D23-1),"")</f>
        <v>-0.0707868731173703</v>
      </c>
      <c r="E23" s="136" t="n">
        <f aca="false">IFERROR(IF(OR(NOT(ISNUMBER('Price History'!E24)),NOT(ISNUMBER('Price History'!E23)),'Price History'!E23=0),"",'Price History'!E24/'Price History'!E23-1),"")</f>
        <v>-0.060019707963809</v>
      </c>
      <c r="F23" s="136" t="n">
        <f aca="false">IFERROR(IF(OR(NOT(ISNUMBER('Price History'!F24)),NOT(ISNUMBER('Price History'!F23)),'Price History'!F23=0),"",'Price History'!F24/'Price History'!F23-1),"")</f>
        <v>-0.0307065643114524</v>
      </c>
      <c r="G23" s="136" t="n">
        <f aca="false">IFERROR(IF(OR(NOT(ISNUMBER('Price History'!G24)),NOT(ISNUMBER('Price History'!G23)),'Price History'!G23=0),"",'Price History'!G24/'Price History'!G23-1),"")</f>
        <v>-0.0636504386719422</v>
      </c>
      <c r="H23" s="136" t="n">
        <f aca="false">IFERROR(IF(OR(NOT(ISNUMBER('Price History'!H24)),NOT(ISNUMBER('Price History'!H23)),'Price History'!H23=0),"",'Price History'!H24/'Price History'!H23-1),"")</f>
        <v>-0.0221467072884931</v>
      </c>
      <c r="I23" s="136" t="n">
        <f aca="false">IFERROR(IF(OR(NOT(ISNUMBER('Price History'!I24)),NOT(ISNUMBER('Price History'!I23)),'Price History'!I23=0),"",'Price History'!I24/'Price History'!I23-1),"")</f>
        <v>-0.00848142164781907</v>
      </c>
      <c r="J23" s="136" t="n">
        <f aca="false">IFERROR(IF(OR(NOT(ISNUMBER('Price History'!J24)),NOT(ISNUMBER('Price History'!J23)),'Price History'!J23=0),"",'Price History'!J24/'Price History'!J23-1),"")</f>
        <v>-0.0205551387846963</v>
      </c>
      <c r="K23" s="136" t="n">
        <f aca="false">IFERROR(IF(OR(NOT(ISNUMBER('Price History'!K24)),NOT(ISNUMBER('Price History'!K23)),'Price History'!K23=0),"",'Price History'!K24/'Price History'!K23-1),"")</f>
        <v>-0.0693069306930694</v>
      </c>
      <c r="L23" s="136" t="n">
        <f aca="false">IFERROR(IF(OR(NOT(ISNUMBER('Price History'!L24)),NOT(ISNUMBER('Price History'!L23)),'Price History'!L23=0),"",'Price History'!L24/'Price History'!L23-1),"")</f>
        <v>-0.0422115384615385</v>
      </c>
      <c r="M23" s="136" t="n">
        <f aca="false">IFERROR(IF(OR(NOT(ISNUMBER('Price History'!M24)),NOT(ISNUMBER('Price History'!M23)),'Price History'!M23=0),"",'Price History'!M24/'Price History'!M23-1),"")</f>
        <v>-0.0358109514886529</v>
      </c>
      <c r="N23" s="136" t="n">
        <f aca="false">IFERROR(IF(OR(NOT(ISNUMBER('Price History'!N24)),NOT(ISNUMBER('Price History'!N23)),'Price History'!N23=0),"",'Price History'!N24/'Price History'!N23-1),"")</f>
        <v>0.0236181769028485</v>
      </c>
      <c r="O23" s="136" t="n">
        <f aca="false">IFERROR(IF(OR(NOT(ISNUMBER('Price History'!O24)),NOT(ISNUMBER('Price History'!O23)),'Price History'!O23=0),"",'Price History'!O24/'Price History'!O23-1),"")</f>
        <v>-0.025946547884187</v>
      </c>
      <c r="P23" s="136" t="str">
        <f aca="false">IFERROR(IF(OR(NOT(ISNUMBER('Price History'!P24)),NOT(ISNUMBER('Price History'!P23)),'Price History'!P23=0),"",'Price History'!P24/'Price History'!P23-1),"")</f>
        <v/>
      </c>
      <c r="Q23" s="136" t="n">
        <f aca="false">IFERROR(IF(OR(NOT(ISNUMBER('Price History'!Q24)),NOT(ISNUMBER('Price History'!Q23)),'Price History'!Q23=0),"",'Price History'!Q24/'Price History'!Q23-1),"")</f>
        <v>0.0075201760821717</v>
      </c>
      <c r="R23" s="136" t="n">
        <f aca="false">IFERROR(IF(OR(NOT(ISNUMBER('Price History'!R24)),NOT(ISNUMBER('Price History'!R23)),'Price History'!R23=0),"",'Price History'!R24/'Price History'!R23-1),"")</f>
        <v>-0.0156218706188664</v>
      </c>
      <c r="S23" s="136" t="n">
        <f aca="false">IFERROR(IF(OR(NOT(ISNUMBER('Price History'!S24)),NOT(ISNUMBER('Price History'!S23)),'Price History'!S23=0),"",'Price History'!S24/'Price History'!S23-1),"")</f>
        <v>-0.0103816793893131</v>
      </c>
      <c r="T23" s="136" t="n">
        <f aca="false">IFERROR(IF(OR(NOT(ISNUMBER('Price History'!T24)),NOT(ISNUMBER('Price History'!T23)),'Price History'!T23=0),"",'Price History'!T24/'Price History'!T23-1),"")</f>
        <v>0.00105857445307</v>
      </c>
      <c r="U23" s="136" t="str">
        <f aca="false">IFERROR(IF(OR(NOT(ISNUMBER('Price History'!U24)),NOT(ISNUMBER('Price History'!U23)),'Price History'!U23=0),"",'Price History'!U24/'Price History'!U23-1),"")</f>
        <v/>
      </c>
      <c r="W23" s="137" t="n">
        <f aca="false">'Price History'!B3+('Price History'!B158-'Price History'!B3)*0.12987012987013</f>
        <v>474.938311688312</v>
      </c>
      <c r="X23" s="137" t="n">
        <f aca="false">'Price History'!C3+('Price History'!C158-'Price History'!C3)*0.12987012987013</f>
        <v>61.4815584415585</v>
      </c>
      <c r="Y23" s="137" t="n">
        <f aca="false">'Price History'!D3+('Price History'!D158-'Price History'!D3)*0.12987012987013</f>
        <v>787.392987012987</v>
      </c>
      <c r="Z23" s="137" t="n">
        <f aca="false">'Price History'!E3+('Price History'!E158-'Price History'!E3)*0.12987012987013</f>
        <v>122.759220779221</v>
      </c>
      <c r="AA23" s="137" t="n">
        <f aca="false">'Price History'!F3+('Price History'!F158-'Price History'!F3)*0.12987012987013</f>
        <v>57.034025974026</v>
      </c>
      <c r="AB23" s="137" t="n">
        <f aca="false">'Price History'!G3+('Price History'!G158-'Price History'!G3)*0.12987012987013</f>
        <v>65.4220779220779</v>
      </c>
      <c r="AC23" s="137" t="n">
        <f aca="false">'Price History'!H3+('Price History'!H158-'Price History'!H3)*0.12987012987013</f>
        <v>162.897272727273</v>
      </c>
      <c r="AD23" s="137" t="n">
        <f aca="false">'Price History'!I3+('Price History'!I158-'Price History'!I3)*0.12987012987013</f>
        <v>61.6162337662338</v>
      </c>
      <c r="AE23" s="137" t="n">
        <f aca="false">'Price History'!J3+('Price History'!J158-'Price History'!J3)*0.12987012987013</f>
        <v>126.25025974026</v>
      </c>
      <c r="AF23" s="137" t="n">
        <f aca="false">'Price History'!K3+('Price History'!K158-'Price History'!K3)*0.12987012987013</f>
        <v>29.3905194805195</v>
      </c>
      <c r="AG23" s="137" t="n">
        <f aca="false">'Price History'!L3+('Price History'!L158-'Price History'!L3)*0.12987012987013</f>
        <v>132.543246753247</v>
      </c>
      <c r="AH23" s="137" t="n">
        <f aca="false">'Price History'!M3+('Price History'!M158-'Price History'!M3)*0.12987012987013</f>
        <v>60.5307792207792</v>
      </c>
      <c r="AI23" s="137" t="n">
        <f aca="false">'Price History'!N3+('Price History'!N158-'Price History'!N3)*0.12987012987013</f>
        <v>366.384675324675</v>
      </c>
      <c r="AJ23" s="137" t="n">
        <f aca="false">'Price History'!O3+('Price History'!O158-'Price History'!O3)*0.12987012987013</f>
        <v>88.3603896103896</v>
      </c>
      <c r="AK23" s="137" t="n">
        <f aca="false">'Price History'!Q3+('Price History'!Q151-'Price History'!Q3)*0.12987012987013</f>
        <v>52.2568831168831</v>
      </c>
      <c r="AL23" s="137" t="n">
        <f aca="false">'Price History'!R3+('Price History'!R158-'Price History'!R3)*0.12987012987013</f>
        <v>49.1745454545455</v>
      </c>
      <c r="AM23" s="137" t="n">
        <f aca="false">'Price History'!S3+('Price History'!S158-'Price History'!S3)*0.12987012987013</f>
        <v>69.6166233766234</v>
      </c>
      <c r="AN23" s="137" t="n">
        <f aca="false">'Price History'!T3+('Price History'!T158-'Price History'!T3)*0.12987012987013</f>
        <v>29.8749350649351</v>
      </c>
    </row>
    <row r="24" customFormat="false" ht="15" hidden="false" customHeight="true" outlineLevel="0" collapsed="false">
      <c r="A24" s="135" t="n">
        <f aca="false">IF('Price History'!A25="","",'Price History'!A25)</f>
        <v>45303</v>
      </c>
      <c r="B24" s="136" t="n">
        <f aca="false">IFERROR(IF(OR(NOT(ISNUMBER('Price History'!B25)),NOT(ISNUMBER('Price History'!B24)),'Price History'!B24=0),"",'Price History'!B25/'Price History'!B24-1),"")</f>
        <v>0.0565710237336166</v>
      </c>
      <c r="C24" s="136" t="n">
        <f aca="false">IFERROR(IF(OR(NOT(ISNUMBER('Price History'!C25)),NOT(ISNUMBER('Price History'!C24)),'Price History'!C24=0),"",'Price History'!C25/'Price History'!C24-1),"")</f>
        <v>0.0914602459726313</v>
      </c>
      <c r="D24" s="136" t="n">
        <f aca="false">IFERROR(IF(OR(NOT(ISNUMBER('Price History'!D25)),NOT(ISNUMBER('Price History'!D24)),'Price History'!D24=0),"",'Price History'!D25/'Price History'!D24-1),"")</f>
        <v>0.014047260215543</v>
      </c>
      <c r="E24" s="136" t="n">
        <f aca="false">IFERROR(IF(OR(NOT(ISNUMBER('Price History'!E25)),NOT(ISNUMBER('Price History'!E24)),'Price History'!E24=0),"",'Price History'!E25/'Price History'!E24-1),"")</f>
        <v>0.0556561517201943</v>
      </c>
      <c r="F24" s="136" t="n">
        <f aca="false">IFERROR(IF(OR(NOT(ISNUMBER('Price History'!F25)),NOT(ISNUMBER('Price History'!F24)),'Price History'!F24=0),"",'Price History'!F25/'Price History'!F24-1),"")</f>
        <v>0.144981412639405</v>
      </c>
      <c r="G24" s="136" t="n">
        <f aca="false">IFERROR(IF(OR(NOT(ISNUMBER('Price History'!G25)),NOT(ISNUMBER('Price History'!G24)),'Price History'!G24=0),"",'Price History'!G25/'Price History'!G24-1),"")</f>
        <v>0.0299467205585156</v>
      </c>
      <c r="H24" s="136" t="n">
        <f aca="false">IFERROR(IF(OR(NOT(ISNUMBER('Price History'!H25)),NOT(ISNUMBER('Price History'!H24)),'Price History'!H24=0),"",'Price History'!H25/'Price History'!H24-1),"")</f>
        <v>-0.0127022168963451</v>
      </c>
      <c r="I24" s="136" t="n">
        <f aca="false">IFERROR(IF(OR(NOT(ISNUMBER('Price History'!I25)),NOT(ISNUMBER('Price History'!I24)),'Price History'!I24=0),"",'Price History'!I25/'Price History'!I24-1),"")</f>
        <v>0.114256619144603</v>
      </c>
      <c r="J24" s="136" t="n">
        <f aca="false">IFERROR(IF(OR(NOT(ISNUMBER('Price History'!J25)),NOT(ISNUMBER('Price History'!J24)),'Price History'!J24=0),"",'Price History'!J25/'Price History'!J24-1),"")</f>
        <v>0.00758272058823528</v>
      </c>
      <c r="K24" s="136" t="n">
        <f aca="false">IFERROR(IF(OR(NOT(ISNUMBER('Price History'!K25)),NOT(ISNUMBER('Price History'!K24)),'Price History'!K24=0),"",'Price History'!K25/'Price History'!K24-1),"")</f>
        <v>0.0488110137672091</v>
      </c>
      <c r="L24" s="136" t="n">
        <f aca="false">IFERROR(IF(OR(NOT(ISNUMBER('Price History'!L25)),NOT(ISNUMBER('Price History'!L24)),'Price History'!L24=0),"",'Price History'!L25/'Price History'!L24-1),"")</f>
        <v>0.0163638188936854</v>
      </c>
      <c r="M24" s="136" t="n">
        <f aca="false">IFERROR(IF(OR(NOT(ISNUMBER('Price History'!M25)),NOT(ISNUMBER('Price History'!M24)),'Price History'!M24=0),"",'Price History'!M25/'Price History'!M24-1),"")</f>
        <v>0.0693154826171454</v>
      </c>
      <c r="N24" s="136" t="n">
        <f aca="false">IFERROR(IF(OR(NOT(ISNUMBER('Price History'!N25)),NOT(ISNUMBER('Price History'!N24)),'Price History'!N24=0),"",'Price History'!N25/'Price History'!N24-1),"")</f>
        <v>0.0405762304921968</v>
      </c>
      <c r="O24" s="136" t="n">
        <f aca="false">IFERROR(IF(OR(NOT(ISNUMBER('Price History'!O25)),NOT(ISNUMBER('Price History'!O24)),'Price History'!O24=0),"",'Price History'!O25/'Price History'!O24-1),"")</f>
        <v>-0.0113181662284211</v>
      </c>
      <c r="P24" s="136" t="str">
        <f aca="false">IFERROR(IF(OR(NOT(ISNUMBER('Price History'!P25)),NOT(ISNUMBER('Price History'!P24)),'Price History'!P24=0),"",'Price History'!P25/'Price History'!P24-1),"")</f>
        <v/>
      </c>
      <c r="Q24" s="136" t="n">
        <f aca="false">IFERROR(IF(OR(NOT(ISNUMBER('Price History'!Q25)),NOT(ISNUMBER('Price History'!Q24)),'Price History'!Q24=0),"",'Price History'!Q25/'Price History'!Q24-1),"")</f>
        <v>0.00618969597669761</v>
      </c>
      <c r="R24" s="136" t="n">
        <f aca="false">IFERROR(IF(OR(NOT(ISNUMBER('Price History'!R25)),NOT(ISNUMBER('Price History'!R24)),'Price History'!R24=0),"",'Price History'!R25/'Price History'!R24-1),"")</f>
        <v>0.0272634791454731</v>
      </c>
      <c r="S24" s="136" t="n">
        <f aca="false">IFERROR(IF(OR(NOT(ISNUMBER('Price History'!S25)),NOT(ISNUMBER('Price History'!S24)),'Price History'!S24=0),"",'Price History'!S25/'Price History'!S24-1),"")</f>
        <v>0.0311632212280162</v>
      </c>
      <c r="T24" s="136" t="n">
        <f aca="false">IFERROR(IF(OR(NOT(ISNUMBER('Price History'!T25)),NOT(ISNUMBER('Price History'!T24)),'Price History'!T24=0),"",'Price History'!T25/'Price History'!T24-1),"")</f>
        <v>-0.00281988015509349</v>
      </c>
      <c r="U24" s="136" t="str">
        <f aca="false">IFERROR(IF(OR(NOT(ISNUMBER('Price History'!U25)),NOT(ISNUMBER('Price History'!U24)),'Price History'!U24=0),"",'Price History'!U25/'Price History'!U24-1),"")</f>
        <v/>
      </c>
      <c r="W24" s="137" t="n">
        <f aca="false">'Price History'!B3+('Price History'!B158-'Price History'!B3)*0.136363636363636</f>
        <v>473.262727272727</v>
      </c>
      <c r="X24" s="137" t="n">
        <f aca="false">'Price History'!C3+('Price History'!C158-'Price History'!C3)*0.136363636363636</f>
        <v>62.3686363636363</v>
      </c>
      <c r="Y24" s="137" t="n">
        <f aca="false">'Price History'!D3+('Price History'!D158-'Price History'!D3)*0.136363636363636</f>
        <v>793.673636363636</v>
      </c>
      <c r="Z24" s="137" t="n">
        <f aca="false">'Price History'!E3+('Price History'!E158-'Price History'!E3)*0.136363636363636</f>
        <v>124.748181818182</v>
      </c>
      <c r="AA24" s="137" t="n">
        <f aca="false">'Price History'!F3+('Price History'!F158-'Price History'!F3)*0.136363636363636</f>
        <v>58.0327272727272</v>
      </c>
      <c r="AB24" s="137" t="n">
        <f aca="false">'Price History'!G3+('Price History'!G158-'Price History'!G3)*0.136363636363636</f>
        <v>66.2981818181818</v>
      </c>
      <c r="AC24" s="137" t="n">
        <f aca="false">'Price History'!H3+('Price History'!H158-'Price History'!H3)*0.136363636363636</f>
        <v>167.823636363636</v>
      </c>
      <c r="AD24" s="137" t="n">
        <f aca="false">'Price History'!I3+('Price History'!I158-'Price History'!I3)*0.136363636363636</f>
        <v>62.6545454545454</v>
      </c>
      <c r="AE24" s="137" t="n">
        <f aca="false">'Price History'!J3+('Price History'!J158-'Price History'!J3)*0.136363636363636</f>
        <v>126.387272727273</v>
      </c>
      <c r="AF24" s="137" t="n">
        <f aca="false">'Price History'!K3+('Price History'!K158-'Price History'!K3)*0.136363636363636</f>
        <v>30.0895454545454</v>
      </c>
      <c r="AG24" s="137" t="n">
        <f aca="false">'Price History'!L3+('Price History'!L158-'Price History'!L3)*0.136363636363636</f>
        <v>134.570909090909</v>
      </c>
      <c r="AH24" s="137" t="n">
        <f aca="false">'Price History'!M3+('Price History'!M158-'Price History'!M3)*0.136363636363636</f>
        <v>61.8818181818181</v>
      </c>
      <c r="AI24" s="137" t="n">
        <f aca="false">'Price History'!N3+('Price History'!N158-'Price History'!N3)*0.136363636363636</f>
        <v>367.210909090909</v>
      </c>
      <c r="AJ24" s="137" t="n">
        <f aca="false">'Price History'!O3+('Price History'!O158-'Price History'!O3)*0.136363636363636</f>
        <v>88.6359090909091</v>
      </c>
      <c r="AK24" s="137" t="n">
        <f aca="false">'Price History'!Q3+('Price History'!Q151-'Price History'!Q3)*0.136363636363636</f>
        <v>52.3777272727273</v>
      </c>
      <c r="AL24" s="137" t="n">
        <f aca="false">'Price History'!R3+('Price History'!R158-'Price History'!R3)*0.136363636363636</f>
        <v>49.2422727272727</v>
      </c>
      <c r="AM24" s="137" t="n">
        <f aca="false">'Price History'!S3+('Price History'!S158-'Price History'!S3)*0.136363636363636</f>
        <v>70.1704545454545</v>
      </c>
      <c r="AN24" s="137" t="n">
        <f aca="false">'Price History'!T3+('Price History'!T158-'Price History'!T3)*0.136363636363636</f>
        <v>30.0231818181818</v>
      </c>
    </row>
    <row r="25" customFormat="false" ht="15" hidden="false" customHeight="true" outlineLevel="0" collapsed="false">
      <c r="A25" s="135" t="n">
        <f aca="false">IF('Price History'!A26="","",'Price History'!A26)</f>
        <v>45310</v>
      </c>
      <c r="B25" s="136" t="n">
        <f aca="false">IFERROR(IF(OR(NOT(ISNUMBER('Price History'!B26)),NOT(ISNUMBER('Price History'!B25)),'Price History'!B25=0),"",'Price History'!B26/'Price History'!B25-1),"")</f>
        <v>0.0251617661850001</v>
      </c>
      <c r="C25" s="136" t="n">
        <f aca="false">IFERROR(IF(OR(NOT(ISNUMBER('Price History'!C26)),NOT(ISNUMBER('Price History'!C25)),'Price History'!C25=0),"",'Price History'!C26/'Price History'!C25-1),"")</f>
        <v>0.0455483256625933</v>
      </c>
      <c r="D25" s="136" t="n">
        <f aca="false">IFERROR(IF(OR(NOT(ISNUMBER('Price History'!D26)),NOT(ISNUMBER('Price History'!D25)),'Price History'!D25=0),"",'Price History'!D26/'Price History'!D25-1),"")</f>
        <v>0.0625473206023388</v>
      </c>
      <c r="E25" s="136" t="n">
        <f aca="false">IFERROR(IF(OR(NOT(ISNUMBER('Price History'!E26)),NOT(ISNUMBER('Price History'!E25)),'Price History'!E25=0),"",'Price History'!E26/'Price History'!E25-1),"")</f>
        <v>0.0934368511329784</v>
      </c>
      <c r="F25" s="136" t="n">
        <f aca="false">IFERROR(IF(OR(NOT(ISNUMBER('Price History'!F26)),NOT(ISNUMBER('Price History'!F25)),'Price History'!F25=0),"",'Price History'!F26/'Price History'!F25-1),"")</f>
        <v>0.0254093732354601</v>
      </c>
      <c r="G25" s="136" t="n">
        <f aca="false">IFERROR(IF(OR(NOT(ISNUMBER('Price History'!G26)),NOT(ISNUMBER('Price History'!G25)),'Price History'!G25=0),"",'Price History'!G26/'Price History'!G25-1),"")</f>
        <v>0.0934712807706029</v>
      </c>
      <c r="H25" s="136" t="n">
        <f aca="false">IFERROR(IF(OR(NOT(ISNUMBER('Price History'!H26)),NOT(ISNUMBER('Price History'!H25)),'Price History'!H25=0),"",'Price History'!H26/'Price History'!H25-1),"")</f>
        <v>0.0621434640126231</v>
      </c>
      <c r="I25" s="136" t="n">
        <f aca="false">IFERROR(IF(OR(NOT(ISNUMBER('Price History'!I26)),NOT(ISNUMBER('Price History'!I25)),'Price History'!I25=0),"",'Price History'!I26/'Price History'!I25-1),"")</f>
        <v>0.0873697678669347</v>
      </c>
      <c r="J25" s="136" t="n">
        <f aca="false">IFERROR(IF(OR(NOT(ISNUMBER('Price History'!J26)),NOT(ISNUMBER('Price History'!J25)),'Price History'!J25=0),"",'Price History'!J26/'Price History'!J25-1),"")</f>
        <v>-0.0236412010642343</v>
      </c>
      <c r="K25" s="136" t="n">
        <f aca="false">IFERROR(IF(OR(NOT(ISNUMBER('Price History'!K26)),NOT(ISNUMBER('Price History'!K25)),'Price History'!K25=0),"",'Price History'!K26/'Price History'!K25-1),"")</f>
        <v>0.00119331742243434</v>
      </c>
      <c r="L25" s="136" t="n">
        <f aca="false">IFERROR(IF(OR(NOT(ISNUMBER('Price History'!L26)),NOT(ISNUMBER('Price History'!L25)),'Price History'!L25=0),"",'Price History'!L26/'Price History'!L25-1),"")</f>
        <v>0.128012643224022</v>
      </c>
      <c r="M25" s="136" t="n">
        <f aca="false">IFERROR(IF(OR(NOT(ISNUMBER('Price History'!M26)),NOT(ISNUMBER('Price History'!M25)),'Price History'!M25=0),"",'Price History'!M26/'Price History'!M25-1),"")</f>
        <v>0.0838045234248788</v>
      </c>
      <c r="N25" s="136" t="n">
        <f aca="false">IFERROR(IF(OR(NOT(ISNUMBER('Price History'!N26)),NOT(ISNUMBER('Price History'!N25)),'Price History'!N25=0),"",'Price History'!N26/'Price History'!N25-1),"")</f>
        <v>0.00373788647900319</v>
      </c>
      <c r="O25" s="136" t="n">
        <f aca="false">IFERROR(IF(OR(NOT(ISNUMBER('Price History'!O26)),NOT(ISNUMBER('Price History'!O25)),'Price History'!O25=0),"",'Price History'!O26/'Price History'!O25-1),"")</f>
        <v>0.00300647548566135</v>
      </c>
      <c r="P25" s="136" t="str">
        <f aca="false">IFERROR(IF(OR(NOT(ISNUMBER('Price History'!P26)),NOT(ISNUMBER('Price History'!P25)),'Price History'!P25=0),"",'Price History'!P26/'Price History'!P25-1),"")</f>
        <v/>
      </c>
      <c r="Q25" s="136" t="n">
        <f aca="false">IFERROR(IF(OR(NOT(ISNUMBER('Price History'!Q26)),NOT(ISNUMBER('Price History'!Q25)),'Price History'!Q25=0),"",'Price History'!Q26/'Price History'!Q25-1),"")</f>
        <v>0.000723719920390886</v>
      </c>
      <c r="R25" s="136" t="n">
        <f aca="false">IFERROR(IF(OR(NOT(ISNUMBER('Price History'!R26)),NOT(ISNUMBER('Price History'!R25)),'Price History'!R25=0),"",'Price History'!R26/'Price History'!R25-1),"")</f>
        <v>0.017825311942959</v>
      </c>
      <c r="S25" s="136" t="n">
        <f aca="false">IFERROR(IF(OR(NOT(ISNUMBER('Price History'!S26)),NOT(ISNUMBER('Price History'!S25)),'Price History'!S25=0),"",'Price History'!S26/'Price History'!S25-1),"")</f>
        <v>0.0210951526032315</v>
      </c>
      <c r="T25" s="136" t="n">
        <f aca="false">IFERROR(IF(OR(NOT(ISNUMBER('Price History'!T26)),NOT(ISNUMBER('Price History'!T25)),'Price History'!T25=0),"",'Price History'!T26/'Price History'!T25-1),"")</f>
        <v>-0.00954400848356307</v>
      </c>
      <c r="U25" s="136" t="str">
        <f aca="false">IFERROR(IF(OR(NOT(ISNUMBER('Price History'!U26)),NOT(ISNUMBER('Price History'!U25)),'Price History'!U25=0),"",'Price History'!U26/'Price History'!U25-1),"")</f>
        <v/>
      </c>
      <c r="W25" s="137" t="n">
        <f aca="false">'Price History'!B3+('Price History'!B158-'Price History'!B3)*0.142857142857143</f>
        <v>471.587142857143</v>
      </c>
      <c r="X25" s="137" t="n">
        <f aca="false">'Price History'!C3+('Price History'!C158-'Price History'!C3)*0.142857142857143</f>
        <v>63.2557142857143</v>
      </c>
      <c r="Y25" s="137" t="n">
        <f aca="false">'Price History'!D3+('Price History'!D158-'Price History'!D3)*0.142857142857143</f>
        <v>799.954285714286</v>
      </c>
      <c r="Z25" s="137" t="n">
        <f aca="false">'Price History'!E3+('Price History'!E158-'Price History'!E3)*0.142857142857143</f>
        <v>126.737142857143</v>
      </c>
      <c r="AA25" s="137" t="n">
        <f aca="false">'Price History'!F3+('Price History'!F158-'Price History'!F3)*0.142857142857143</f>
        <v>59.0314285714286</v>
      </c>
      <c r="AB25" s="137" t="n">
        <f aca="false">'Price History'!G3+('Price History'!G158-'Price History'!G3)*0.142857142857143</f>
        <v>67.1742857142857</v>
      </c>
      <c r="AC25" s="137" t="n">
        <f aca="false">'Price History'!H3+('Price History'!H158-'Price History'!H3)*0.142857142857143</f>
        <v>172.75</v>
      </c>
      <c r="AD25" s="137" t="n">
        <f aca="false">'Price History'!I3+('Price History'!I158-'Price History'!I3)*0.142857142857143</f>
        <v>63.6928571428572</v>
      </c>
      <c r="AE25" s="137" t="n">
        <f aca="false">'Price History'!J3+('Price History'!J158-'Price History'!J3)*0.142857142857143</f>
        <v>126.524285714286</v>
      </c>
      <c r="AF25" s="137" t="n">
        <f aca="false">'Price History'!K3+('Price History'!K158-'Price History'!K3)*0.142857142857143</f>
        <v>30.7885714285714</v>
      </c>
      <c r="AG25" s="137" t="n">
        <f aca="false">'Price History'!L3+('Price History'!L158-'Price History'!L3)*0.142857142857143</f>
        <v>136.598571428571</v>
      </c>
      <c r="AH25" s="137" t="n">
        <f aca="false">'Price History'!M3+('Price History'!M158-'Price History'!M3)*0.142857142857143</f>
        <v>63.2328571428572</v>
      </c>
      <c r="AI25" s="137" t="n">
        <f aca="false">'Price History'!N3+('Price History'!N158-'Price History'!N3)*0.142857142857143</f>
        <v>368.037142857143</v>
      </c>
      <c r="AJ25" s="137" t="n">
        <f aca="false">'Price History'!O3+('Price History'!O158-'Price History'!O3)*0.142857142857143</f>
        <v>88.9114285714286</v>
      </c>
      <c r="AK25" s="137" t="n">
        <f aca="false">'Price History'!Q3+('Price History'!Q151-'Price History'!Q3)*0.142857142857143</f>
        <v>52.4985714285714</v>
      </c>
      <c r="AL25" s="137" t="n">
        <f aca="false">'Price History'!R3+('Price History'!R158-'Price History'!R3)*0.142857142857143</f>
        <v>49.31</v>
      </c>
      <c r="AM25" s="137" t="n">
        <f aca="false">'Price History'!S3+('Price History'!S158-'Price History'!S3)*0.142857142857143</f>
        <v>70.7242857142857</v>
      </c>
      <c r="AN25" s="137" t="n">
        <f aca="false">'Price History'!T3+('Price History'!T158-'Price History'!T3)*0.142857142857143</f>
        <v>30.1714285714286</v>
      </c>
    </row>
    <row r="26" customFormat="false" ht="15" hidden="false" customHeight="true" outlineLevel="0" collapsed="false">
      <c r="A26" s="135" t="n">
        <f aca="false">IF('Price History'!A27="","",'Price History'!A27)</f>
        <v>45317</v>
      </c>
      <c r="B26" s="136" t="n">
        <f aca="false">IFERROR(IF(OR(NOT(ISNUMBER('Price History'!B27)),NOT(ISNUMBER('Price History'!B26)),'Price History'!B26=0),"",'Price History'!B27/'Price History'!B26-1),"")</f>
        <v>0.00389175047011681</v>
      </c>
      <c r="C26" s="136" t="n">
        <f aca="false">IFERROR(IF(OR(NOT(ISNUMBER('Price History'!C27)),NOT(ISNUMBER('Price History'!C26)),'Price History'!C26=0),"",'Price History'!C27/'Price History'!C26-1),"")</f>
        <v>0.00333940497874918</v>
      </c>
      <c r="D26" s="136" t="n">
        <f aca="false">IFERROR(IF(OR(NOT(ISNUMBER('Price History'!D27)),NOT(ISNUMBER('Price History'!D26)),'Price History'!D26=0),"",'Price History'!D27/'Price History'!D26-1),"")</f>
        <v>0.145045722655477</v>
      </c>
      <c r="E26" s="136" t="n">
        <f aca="false">IFERROR(IF(OR(NOT(ISNUMBER('Price History'!E27)),NOT(ISNUMBER('Price History'!E26)),'Price History'!E26=0),"",'Price History'!E27/'Price History'!E26-1),"")</f>
        <v>-0.00520145310435938</v>
      </c>
      <c r="F26" s="136" t="n">
        <f aca="false">IFERROR(IF(OR(NOT(ISNUMBER('Price History'!F27)),NOT(ISNUMBER('Price History'!F26)),'Price History'!F26=0),"",'Price History'!F27/'Price History'!F26-1),"")</f>
        <v>-0.000825991189427389</v>
      </c>
      <c r="G26" s="136" t="n">
        <f aca="false">IFERROR(IF(OR(NOT(ISNUMBER('Price History'!G27)),NOT(ISNUMBER('Price History'!G26)),'Price History'!G26=0),"",'Price History'!G27/'Price History'!G26-1),"")</f>
        <v>-0.0221859706362153</v>
      </c>
      <c r="H26" s="136" t="n">
        <f aca="false">IFERROR(IF(OR(NOT(ISNUMBER('Price History'!H27)),NOT(ISNUMBER('Price History'!H26)),'Price History'!H26=0),"",'Price History'!H27/'Price History'!H26-1),"")</f>
        <v>0.00617072334590318</v>
      </c>
      <c r="I26" s="136" t="n">
        <f aca="false">IFERROR(IF(OR(NOT(ISNUMBER('Price History'!I27)),NOT(ISNUMBER('Price History'!I26)),'Price History'!I26=0),"",'Price History'!I27/'Price History'!I26-1),"")</f>
        <v>0.0258867036476718</v>
      </c>
      <c r="J26" s="136" t="n">
        <f aca="false">IFERROR(IF(OR(NOT(ISNUMBER('Price History'!J27)),NOT(ISNUMBER('Price History'!J26)),'Price History'!J26=0),"",'Price History'!J27/'Price History'!J26-1),"")</f>
        <v>-0.012223606353161</v>
      </c>
      <c r="K26" s="136" t="n">
        <f aca="false">IFERROR(IF(OR(NOT(ISNUMBER('Price History'!K27)),NOT(ISNUMBER('Price History'!K26)),'Price History'!K26=0),"",'Price History'!K27/'Price History'!K26-1),"")</f>
        <v>-0.0256257449344458</v>
      </c>
      <c r="L26" s="136" t="n">
        <f aca="false">IFERROR(IF(OR(NOT(ISNUMBER('Price History'!L27)),NOT(ISNUMBER('Price History'!L26)),'Price History'!L26=0),"",'Price History'!L27/'Price History'!L26-1),"")</f>
        <v>0.0267950963222416</v>
      </c>
      <c r="M26" s="136" t="n">
        <f aca="false">IFERROR(IF(OR(NOT(ISNUMBER('Price History'!M27)),NOT(ISNUMBER('Price History'!M26)),'Price History'!M26=0),"",'Price History'!M27/'Price History'!M26-1),"")</f>
        <v>-0.00391280044717723</v>
      </c>
      <c r="N26" s="136" t="n">
        <f aca="false">IFERROR(IF(OR(NOT(ISNUMBER('Price History'!N27)),NOT(ISNUMBER('Price History'!N26)),'Price History'!N26=0),"",'Price History'!N27/'Price History'!N26-1),"")</f>
        <v>-0.0111489126936691</v>
      </c>
      <c r="O26" s="136" t="n">
        <f aca="false">IFERROR(IF(OR(NOT(ISNUMBER('Price History'!O27)),NOT(ISNUMBER('Price History'!O26)),'Price History'!O26=0),"",'Price History'!O27/'Price History'!O26-1),"")</f>
        <v>0.0235185612174316</v>
      </c>
      <c r="P26" s="136" t="str">
        <f aca="false">IFERROR(IF(OR(NOT(ISNUMBER('Price History'!P27)),NOT(ISNUMBER('Price History'!P26)),'Price History'!P26=0),"",'Price History'!P27/'Price History'!P26-1),"")</f>
        <v/>
      </c>
      <c r="Q26" s="136" t="n">
        <f aca="false">IFERROR(IF(OR(NOT(ISNUMBER('Price History'!Q27)),NOT(ISNUMBER('Price History'!Q26)),'Price History'!Q26=0),"",'Price History'!Q27/'Price History'!Q26-1),"")</f>
        <v>0.000180799132164067</v>
      </c>
      <c r="R26" s="136" t="n">
        <f aca="false">IFERROR(IF(OR(NOT(ISNUMBER('Price History'!R27)),NOT(ISNUMBER('Price History'!R26)),'Price History'!R26=0),"",'Price History'!R27/'Price History'!R26-1),"")</f>
        <v>0.00778361548939488</v>
      </c>
      <c r="S26" s="136" t="n">
        <f aca="false">IFERROR(IF(OR(NOT(ISNUMBER('Price History'!S27)),NOT(ISNUMBER('Price History'!S26)),'Price History'!S26=0),"",'Price History'!S27/'Price History'!S26-1),"")</f>
        <v>0.0161172161172161</v>
      </c>
      <c r="T26" s="136" t="n">
        <f aca="false">IFERROR(IF(OR(NOT(ISNUMBER('Price History'!T27)),NOT(ISNUMBER('Price History'!T26)),'Price History'!T26=0),"",'Price History'!T27/'Price History'!T26-1),"")</f>
        <v>0.00820842255531762</v>
      </c>
      <c r="U26" s="136" t="str">
        <f aca="false">IFERROR(IF(OR(NOT(ISNUMBER('Price History'!U27)),NOT(ISNUMBER('Price History'!U26)),'Price History'!U26=0),"",'Price History'!U27/'Price History'!U26-1),"")</f>
        <v/>
      </c>
      <c r="W26" s="137" t="n">
        <f aca="false">'Price History'!B3+('Price History'!B158-'Price History'!B3)*0.149350649350649</f>
        <v>469.911558441559</v>
      </c>
      <c r="X26" s="137" t="n">
        <f aca="false">'Price History'!C3+('Price History'!C158-'Price History'!C3)*0.149350649350649</f>
        <v>64.1427922077922</v>
      </c>
      <c r="Y26" s="137" t="n">
        <f aca="false">'Price History'!D3+('Price History'!D158-'Price History'!D3)*0.149350649350649</f>
        <v>806.234935064935</v>
      </c>
      <c r="Z26" s="137" t="n">
        <f aca="false">'Price History'!E3+('Price History'!E158-'Price History'!E3)*0.149350649350649</f>
        <v>128.726103896104</v>
      </c>
      <c r="AA26" s="137" t="n">
        <f aca="false">'Price History'!F3+('Price History'!F158-'Price History'!F3)*0.149350649350649</f>
        <v>60.0301298701298</v>
      </c>
      <c r="AB26" s="137" t="n">
        <f aca="false">'Price History'!G3+('Price History'!G158-'Price History'!G3)*0.149350649350649</f>
        <v>68.0503896103896</v>
      </c>
      <c r="AC26" s="137" t="n">
        <f aca="false">'Price History'!H3+('Price History'!H158-'Price History'!H3)*0.149350649350649</f>
        <v>177.676363636363</v>
      </c>
      <c r="AD26" s="137" t="n">
        <f aca="false">'Price History'!I3+('Price History'!I158-'Price History'!I3)*0.149350649350649</f>
        <v>64.7311688311688</v>
      </c>
      <c r="AE26" s="137" t="n">
        <f aca="false">'Price History'!J3+('Price History'!J158-'Price History'!J3)*0.149350649350649</f>
        <v>126.661298701299</v>
      </c>
      <c r="AF26" s="137" t="n">
        <f aca="false">'Price History'!K3+('Price History'!K158-'Price History'!K3)*0.149350649350649</f>
        <v>31.4875974025974</v>
      </c>
      <c r="AG26" s="137" t="n">
        <f aca="false">'Price History'!L3+('Price History'!L158-'Price History'!L3)*0.149350649350649</f>
        <v>138.626233766234</v>
      </c>
      <c r="AH26" s="137" t="n">
        <f aca="false">'Price History'!M3+('Price History'!M158-'Price History'!M3)*0.149350649350649</f>
        <v>64.583896103896</v>
      </c>
      <c r="AI26" s="137" t="n">
        <f aca="false">'Price History'!N3+('Price History'!N158-'Price History'!N3)*0.149350649350649</f>
        <v>368.863376623377</v>
      </c>
      <c r="AJ26" s="137" t="n">
        <f aca="false">'Price History'!O3+('Price History'!O158-'Price History'!O3)*0.149350649350649</f>
        <v>89.186948051948</v>
      </c>
      <c r="AK26" s="137" t="n">
        <f aca="false">'Price History'!Q3+('Price History'!Q151-'Price History'!Q3)*0.149350649350649</f>
        <v>52.6194155844156</v>
      </c>
      <c r="AL26" s="137" t="n">
        <f aca="false">'Price History'!R3+('Price History'!R158-'Price History'!R3)*0.149350649350649</f>
        <v>49.3777272727273</v>
      </c>
      <c r="AM26" s="137" t="n">
        <f aca="false">'Price History'!S3+('Price History'!S158-'Price History'!S3)*0.149350649350649</f>
        <v>71.2781168831169</v>
      </c>
      <c r="AN26" s="137" t="n">
        <f aca="false">'Price History'!T3+('Price History'!T158-'Price History'!T3)*0.149350649350649</f>
        <v>30.3196753246753</v>
      </c>
    </row>
    <row r="27" customFormat="false" ht="15" hidden="false" customHeight="true" outlineLevel="0" collapsed="false">
      <c r="A27" s="135" t="n">
        <f aca="false">IF('Price History'!A28="","",'Price History'!A28)</f>
        <v>45324</v>
      </c>
      <c r="B27" s="136" t="n">
        <f aca="false">IFERROR(IF(OR(NOT(ISNUMBER('Price History'!B28)),NOT(ISNUMBER('Price History'!B27)),'Price History'!B27=0),"",'Price History'!B28/'Price History'!B27-1),"")</f>
        <v>0.0339289495545096</v>
      </c>
      <c r="C27" s="136" t="n">
        <f aca="false">IFERROR(IF(OR(NOT(ISNUMBER('Price History'!C28)),NOT(ISNUMBER('Price History'!C27)),'Price History'!C27=0),"",'Price History'!C28/'Price History'!C27-1),"")</f>
        <v>0.032980332829047</v>
      </c>
      <c r="D27" s="136" t="n">
        <f aca="false">IFERROR(IF(OR(NOT(ISNUMBER('Price History'!D28)),NOT(ISNUMBER('Price History'!D27)),'Price History'!D27=0),"",'Price History'!D28/'Price History'!D27-1),"")</f>
        <v>0.0264016133679055</v>
      </c>
      <c r="E27" s="136" t="n">
        <f aca="false">IFERROR(IF(OR(NOT(ISNUMBER('Price History'!E28)),NOT(ISNUMBER('Price History'!E27)),'Price History'!E27=0),"",'Price History'!E28/'Price History'!E27-1),"")</f>
        <v>0.0161009212382772</v>
      </c>
      <c r="F27" s="136" t="n">
        <f aca="false">IFERROR(IF(OR(NOT(ISNUMBER('Price History'!F28)),NOT(ISNUMBER('Price History'!F27)),'Price History'!F27=0),"",'Price History'!F28/'Price History'!F27-1),"")</f>
        <v>0.0456048498208874</v>
      </c>
      <c r="G27" s="136" t="n">
        <f aca="false">IFERROR(IF(OR(NOT(ISNUMBER('Price History'!G28)),NOT(ISNUMBER('Price History'!G27)),'Price History'!G27=0),"",'Price History'!G28/'Price History'!G27-1),"")</f>
        <v>0.00817484150817482</v>
      </c>
      <c r="H27" s="136" t="n">
        <f aca="false">IFERROR(IF(OR(NOT(ISNUMBER('Price History'!H28)),NOT(ISNUMBER('Price History'!H27)),'Price History'!H27=0),"",'Price History'!H28/'Price History'!H27-1),"")</f>
        <v>-0.0178307779670641</v>
      </c>
      <c r="I27" s="136" t="n">
        <f aca="false">IFERROR(IF(OR(NOT(ISNUMBER('Price History'!I28)),NOT(ISNUMBER('Price History'!I27)),'Price History'!I27=0),"",'Price History'!I28/'Price History'!I27-1),"")</f>
        <v>0.0840570211371456</v>
      </c>
      <c r="J27" s="136" t="n">
        <f aca="false">IFERROR(IF(OR(NOT(ISNUMBER('Price History'!J28)),NOT(ISNUMBER('Price History'!J27)),'Price History'!J27=0),"",'Price History'!J28/'Price History'!J27-1),"")</f>
        <v>0.0187593599747773</v>
      </c>
      <c r="K27" s="136" t="n">
        <f aca="false">IFERROR(IF(OR(NOT(ISNUMBER('Price History'!K28)),NOT(ISNUMBER('Price History'!K27)),'Price History'!K27=0),"",'Price History'!K28/'Price History'!K27-1),"")</f>
        <v>0.0409785932721711</v>
      </c>
      <c r="L27" s="136" t="n">
        <f aca="false">IFERROR(IF(OR(NOT(ISNUMBER('Price History'!L28)),NOT(ISNUMBER('Price History'!L27)),'Price History'!L27=0),"",'Price History'!L28/'Price History'!L27-1),"")</f>
        <v>-0.0128773665359032</v>
      </c>
      <c r="M27" s="136" t="n">
        <f aca="false">IFERROR(IF(OR(NOT(ISNUMBER('Price History'!M28)),NOT(ISNUMBER('Price History'!M27)),'Price History'!M27=0),"",'Price History'!M28/'Price History'!M27-1),"")</f>
        <v>0.14983164983165</v>
      </c>
      <c r="N27" s="136" t="n">
        <f aca="false">IFERROR(IF(OR(NOT(ISNUMBER('Price History'!N28)),NOT(ISNUMBER('Price History'!N27)),'Price History'!N27=0),"",'Price History'!N28/'Price History'!N27-1),"")</f>
        <v>-0.012762396261943</v>
      </c>
      <c r="O27" s="136" t="n">
        <f aca="false">IFERROR(IF(OR(NOT(ISNUMBER('Price History'!O28)),NOT(ISNUMBER('Price History'!O27)),'Price History'!O27=0),"",'Price History'!O28/'Price History'!O27-1),"")</f>
        <v>-0.0186979049335435</v>
      </c>
      <c r="P27" s="136" t="str">
        <f aca="false">IFERROR(IF(OR(NOT(ISNUMBER('Price History'!P28)),NOT(ISNUMBER('Price History'!P27)),'Price History'!P27=0),"",'Price History'!P28/'Price History'!P27-1),"")</f>
        <v/>
      </c>
      <c r="Q27" s="136" t="n">
        <f aca="false">IFERROR(IF(OR(NOT(ISNUMBER('Price History'!Q28)),NOT(ISNUMBER('Price History'!Q27)),'Price History'!Q27=0),"",'Price History'!Q28/'Price History'!Q27-1),"")</f>
        <v>0.0110267534345625</v>
      </c>
      <c r="R27" s="136" t="n">
        <f aca="false">IFERROR(IF(OR(NOT(ISNUMBER('Price History'!R28)),NOT(ISNUMBER('Price History'!R27)),'Price History'!R27=0),"",'Price History'!R28/'Price History'!R27-1),"")</f>
        <v>0.00289631202934926</v>
      </c>
      <c r="S27" s="136" t="n">
        <f aca="false">IFERROR(IF(OR(NOT(ISNUMBER('Price History'!S28)),NOT(ISNUMBER('Price History'!S27)),'Price History'!S27=0),"",'Price History'!S28/'Price History'!S27-1),"")</f>
        <v>0.0457101658255228</v>
      </c>
      <c r="T27" s="136" t="n">
        <f aca="false">IFERROR(IF(OR(NOT(ISNUMBER('Price History'!T28)),NOT(ISNUMBER('Price History'!T27)),'Price History'!T27=0),"",'Price History'!T28/'Price History'!T27-1),"")</f>
        <v>0.00955752212389371</v>
      </c>
      <c r="U27" s="136" t="str">
        <f aca="false">IFERROR(IF(OR(NOT(ISNUMBER('Price History'!U28)),NOT(ISNUMBER('Price History'!U27)),'Price History'!U27=0),"",'Price History'!U28/'Price History'!U27-1),"")</f>
        <v/>
      </c>
      <c r="W27" s="137" t="n">
        <f aca="false">'Price History'!B3+('Price History'!B158-'Price History'!B3)*0.155844155844156</f>
        <v>468.235974025974</v>
      </c>
      <c r="X27" s="137" t="n">
        <f aca="false">'Price History'!C3+('Price History'!C158-'Price History'!C3)*0.155844155844156</f>
        <v>65.0298701298702</v>
      </c>
      <c r="Y27" s="137" t="n">
        <f aca="false">'Price History'!D3+('Price History'!D158-'Price History'!D3)*0.155844155844156</f>
        <v>812.515584415585</v>
      </c>
      <c r="Z27" s="137" t="n">
        <f aca="false">'Price History'!E3+('Price History'!E158-'Price History'!E3)*0.155844155844156</f>
        <v>130.715064935065</v>
      </c>
      <c r="AA27" s="137" t="n">
        <f aca="false">'Price History'!F3+('Price History'!F158-'Price History'!F3)*0.155844155844156</f>
        <v>61.0288311688312</v>
      </c>
      <c r="AB27" s="137" t="n">
        <f aca="false">'Price History'!G3+('Price History'!G158-'Price History'!G3)*0.155844155844156</f>
        <v>68.9264935064935</v>
      </c>
      <c r="AC27" s="137" t="n">
        <f aca="false">'Price History'!H3+('Price History'!H158-'Price History'!H3)*0.155844155844156</f>
        <v>182.602727272727</v>
      </c>
      <c r="AD27" s="137" t="n">
        <f aca="false">'Price History'!I3+('Price History'!I158-'Price History'!I3)*0.155844155844156</f>
        <v>65.7694805194806</v>
      </c>
      <c r="AE27" s="137" t="n">
        <f aca="false">'Price History'!J3+('Price History'!J158-'Price History'!J3)*0.155844155844156</f>
        <v>126.798311688312</v>
      </c>
      <c r="AF27" s="137" t="n">
        <f aca="false">'Price History'!K3+('Price History'!K158-'Price History'!K3)*0.155844155844156</f>
        <v>32.1866233766234</v>
      </c>
      <c r="AG27" s="137" t="n">
        <f aca="false">'Price History'!L3+('Price History'!L158-'Price History'!L3)*0.155844155844156</f>
        <v>140.653896103896</v>
      </c>
      <c r="AH27" s="137" t="n">
        <f aca="false">'Price History'!M3+('Price History'!M158-'Price History'!M3)*0.155844155844156</f>
        <v>65.9349350649351</v>
      </c>
      <c r="AI27" s="137" t="n">
        <f aca="false">'Price History'!N3+('Price History'!N158-'Price History'!N3)*0.155844155844156</f>
        <v>369.68961038961</v>
      </c>
      <c r="AJ27" s="137" t="n">
        <f aca="false">'Price History'!O3+('Price History'!O158-'Price History'!O3)*0.155844155844156</f>
        <v>89.4624675324675</v>
      </c>
      <c r="AK27" s="137" t="n">
        <f aca="false">'Price History'!Q3+('Price History'!Q151-'Price History'!Q3)*0.155844155844156</f>
        <v>52.7402597402597</v>
      </c>
      <c r="AL27" s="137" t="n">
        <f aca="false">'Price History'!R3+('Price History'!R158-'Price History'!R3)*0.155844155844156</f>
        <v>49.4454545454545</v>
      </c>
      <c r="AM27" s="137" t="n">
        <f aca="false">'Price History'!S3+('Price History'!S158-'Price History'!S3)*0.155844155844156</f>
        <v>71.8319480519481</v>
      </c>
      <c r="AN27" s="137" t="n">
        <f aca="false">'Price History'!T3+('Price History'!T158-'Price History'!T3)*0.155844155844156</f>
        <v>30.4679220779221</v>
      </c>
    </row>
    <row r="28" customFormat="false" ht="15" hidden="false" customHeight="true" outlineLevel="0" collapsed="false">
      <c r="A28" s="135" t="n">
        <f aca="false">IF('Price History'!A29="","",'Price History'!A29)</f>
        <v>45331</v>
      </c>
      <c r="B28" s="136" t="n">
        <f aca="false">IFERROR(IF(OR(NOT(ISNUMBER('Price History'!B29)),NOT(ISNUMBER('Price History'!B28)),'Price History'!B28=0),"",'Price History'!B29/'Price History'!B28-1),"")</f>
        <v>-0.0118942592475896</v>
      </c>
      <c r="C28" s="136" t="n">
        <f aca="false">IFERROR(IF(OR(NOT(ISNUMBER('Price History'!C29)),NOT(ISNUMBER('Price History'!C28)),'Price History'!C28=0),"",'Price History'!C29/'Price History'!C28-1),"")</f>
        <v>0.0341241944932631</v>
      </c>
      <c r="D28" s="136" t="n">
        <f aca="false">IFERROR(IF(OR(NOT(ISNUMBER('Price History'!D29)),NOT(ISNUMBER('Price History'!D28)),'Price History'!D28=0),"",'Price History'!D29/'Price History'!D28-1),"")</f>
        <v>0.0661756450272832</v>
      </c>
      <c r="E28" s="136" t="n">
        <f aca="false">IFERROR(IF(OR(NOT(ISNUMBER('Price History'!E29)),NOT(ISNUMBER('Price History'!E28)),'Price History'!E28=0),"",'Price History'!E29/'Price History'!E28-1),"")</f>
        <v>0.0482724822347465</v>
      </c>
      <c r="F28" s="136" t="n">
        <f aca="false">IFERROR(IF(OR(NOT(ISNUMBER('Price History'!F29)),NOT(ISNUMBER('Price History'!F28)),'Price History'!F28=0),"",'Price History'!F29/'Price History'!F28-1),"")</f>
        <v>0.0849914349716696</v>
      </c>
      <c r="G28" s="136" t="n">
        <f aca="false">IFERROR(IF(OR(NOT(ISNUMBER('Price History'!G29)),NOT(ISNUMBER('Price History'!G28)),'Price History'!G28=0),"",'Price History'!G29/'Price History'!G28-1),"")</f>
        <v>0.0752937282806554</v>
      </c>
      <c r="H28" s="136" t="n">
        <f aca="false">IFERROR(IF(OR(NOT(ISNUMBER('Price History'!H29)),NOT(ISNUMBER('Price History'!H28)),'Price History'!H28=0),"",'Price History'!H29/'Price History'!H28-1),"")</f>
        <v>-0.0106382978723405</v>
      </c>
      <c r="I28" s="136" t="n">
        <f aca="false">IFERROR(IF(OR(NOT(ISNUMBER('Price History'!I29)),NOT(ISNUMBER('Price History'!I28)),'Price History'!I28=0),"",'Price History'!I29/'Price History'!I28-1),"")</f>
        <v>0.0902357920193471</v>
      </c>
      <c r="J28" s="136" t="n">
        <f aca="false">IFERROR(IF(OR(NOT(ISNUMBER('Price History'!J29)),NOT(ISNUMBER('Price History'!J28)),'Price History'!J28=0),"",'Price History'!J29/'Price History'!J28-1),"")</f>
        <v>0.0249903288201159</v>
      </c>
      <c r="K28" s="136" t="n">
        <f aca="false">IFERROR(IF(OR(NOT(ISNUMBER('Price History'!K29)),NOT(ISNUMBER('Price History'!K28)),'Price History'!K28=0),"",'Price History'!K29/'Price History'!K28-1),"")</f>
        <v>0.432432432432432</v>
      </c>
      <c r="L28" s="136" t="n">
        <f aca="false">IFERROR(IF(OR(NOT(ISNUMBER('Price History'!L29)),NOT(ISNUMBER('Price History'!L28)),'Price History'!L28=0),"",'Price History'!L29/'Price History'!L28-1),"")</f>
        <v>0.149978401727862</v>
      </c>
      <c r="M28" s="136" t="n">
        <f aca="false">IFERROR(IF(OR(NOT(ISNUMBER('Price History'!M29)),NOT(ISNUMBER('Price History'!M28)),'Price History'!M28=0),"",'Price History'!M29/'Price History'!M28-1),"")</f>
        <v>0.0333496014315928</v>
      </c>
      <c r="N28" s="136" t="n">
        <f aca="false">IFERROR(IF(OR(NOT(ISNUMBER('Price History'!N29)),NOT(ISNUMBER('Price History'!N28)),'Price History'!N28=0),"",'Price History'!N29/'Price History'!N28-1),"")</f>
        <v>-0.00416784402373549</v>
      </c>
      <c r="O28" s="136" t="n">
        <f aca="false">IFERROR(IF(OR(NOT(ISNUMBER('Price History'!O29)),NOT(ISNUMBER('Price History'!O28)),'Price History'!O28=0),"",'Price History'!O29/'Price History'!O28-1),"")</f>
        <v>0.00906795224977031</v>
      </c>
      <c r="P28" s="136" t="str">
        <f aca="false">IFERROR(IF(OR(NOT(ISNUMBER('Price History'!P29)),NOT(ISNUMBER('Price History'!P28)),'Price History'!P28=0),"",'Price History'!P29/'Price History'!P28-1),"")</f>
        <v/>
      </c>
      <c r="Q28" s="136" t="n">
        <f aca="false">IFERROR(IF(OR(NOT(ISNUMBER('Price History'!Q29)),NOT(ISNUMBER('Price History'!Q28)),'Price History'!Q28=0),"",'Price History'!Q29/'Price History'!Q28-1),"")</f>
        <v>0.000715179688896894</v>
      </c>
      <c r="R28" s="136" t="n">
        <f aca="false">IFERROR(IF(OR(NOT(ISNUMBER('Price History'!R29)),NOT(ISNUMBER('Price History'!R28)),'Price History'!R28=0),"",'Price History'!R29/'Price History'!R28-1),"")</f>
        <v>0.0105891413169041</v>
      </c>
      <c r="S28" s="136" t="n">
        <f aca="false">IFERROR(IF(OR(NOT(ISNUMBER('Price History'!S29)),NOT(ISNUMBER('Price History'!S28)),'Price History'!S28=0),"",'Price History'!S29/'Price History'!S28-1),"")</f>
        <v>0.0238554881412025</v>
      </c>
      <c r="T28" s="136" t="n">
        <f aca="false">IFERROR(IF(OR(NOT(ISNUMBER('Price History'!T29)),NOT(ISNUMBER('Price History'!T28)),'Price History'!T28=0),"",'Price History'!T29/'Price History'!T28-1),"")</f>
        <v>0.0038569424964936</v>
      </c>
      <c r="U28" s="136" t="str">
        <f aca="false">IFERROR(IF(OR(NOT(ISNUMBER('Price History'!U29)),NOT(ISNUMBER('Price History'!U28)),'Price History'!U28=0),"",'Price History'!U29/'Price History'!U28-1),"")</f>
        <v/>
      </c>
      <c r="W28" s="137" t="n">
        <f aca="false">'Price History'!B3+('Price History'!B158-'Price History'!B3)*0.162337662337662</f>
        <v>466.56038961039</v>
      </c>
      <c r="X28" s="137" t="n">
        <f aca="false">'Price History'!C3+('Price History'!C158-'Price History'!C3)*0.162337662337662</f>
        <v>65.916948051948</v>
      </c>
      <c r="Y28" s="137" t="n">
        <f aca="false">'Price History'!D3+('Price History'!D158-'Price History'!D3)*0.162337662337662</f>
        <v>818.796233766233</v>
      </c>
      <c r="Z28" s="137" t="n">
        <f aca="false">'Price History'!E3+('Price History'!E158-'Price History'!E3)*0.162337662337662</f>
        <v>132.704025974026</v>
      </c>
      <c r="AA28" s="137" t="n">
        <f aca="false">'Price History'!F3+('Price History'!F158-'Price History'!F3)*0.162337662337662</f>
        <v>62.0275324675324</v>
      </c>
      <c r="AB28" s="137" t="n">
        <f aca="false">'Price History'!G3+('Price History'!G158-'Price History'!G3)*0.162337662337662</f>
        <v>69.8025974025974</v>
      </c>
      <c r="AC28" s="137" t="n">
        <f aca="false">'Price History'!H3+('Price History'!H158-'Price History'!H3)*0.162337662337662</f>
        <v>187.529090909091</v>
      </c>
      <c r="AD28" s="137" t="n">
        <f aca="false">'Price History'!I3+('Price History'!I158-'Price History'!I3)*0.162337662337662</f>
        <v>66.8077922077922</v>
      </c>
      <c r="AE28" s="137" t="n">
        <f aca="false">'Price History'!J3+('Price History'!J158-'Price History'!J3)*0.162337662337662</f>
        <v>126.935324675325</v>
      </c>
      <c r="AF28" s="137" t="n">
        <f aca="false">'Price History'!K3+('Price History'!K158-'Price History'!K3)*0.162337662337662</f>
        <v>32.8856493506493</v>
      </c>
      <c r="AG28" s="137" t="n">
        <f aca="false">'Price History'!L3+('Price History'!L158-'Price History'!L3)*0.162337662337662</f>
        <v>142.681558441558</v>
      </c>
      <c r="AH28" s="137" t="n">
        <f aca="false">'Price History'!M3+('Price History'!M158-'Price History'!M3)*0.162337662337662</f>
        <v>67.285974025974</v>
      </c>
      <c r="AI28" s="137" t="n">
        <f aca="false">'Price History'!N3+('Price History'!N158-'Price History'!N3)*0.162337662337662</f>
        <v>370.515844155844</v>
      </c>
      <c r="AJ28" s="137" t="n">
        <f aca="false">'Price History'!O3+('Price History'!O158-'Price History'!O3)*0.162337662337662</f>
        <v>89.737987012987</v>
      </c>
      <c r="AK28" s="137" t="n">
        <f aca="false">'Price History'!Q3+('Price History'!Q151-'Price History'!Q3)*0.162337662337662</f>
        <v>52.8611038961039</v>
      </c>
      <c r="AL28" s="137" t="n">
        <f aca="false">'Price History'!R3+('Price History'!R158-'Price History'!R3)*0.162337662337662</f>
        <v>49.5131818181818</v>
      </c>
      <c r="AM28" s="137" t="n">
        <f aca="false">'Price History'!S3+('Price History'!S158-'Price History'!S3)*0.162337662337662</f>
        <v>72.3857792207792</v>
      </c>
      <c r="AN28" s="137" t="n">
        <f aca="false">'Price History'!T3+('Price History'!T158-'Price History'!T3)*0.162337662337662</f>
        <v>30.6161688311688</v>
      </c>
    </row>
    <row r="29" customFormat="false" ht="15" hidden="false" customHeight="true" outlineLevel="0" collapsed="false">
      <c r="A29" s="135" t="n">
        <f aca="false">IF('Price History'!A30="","",'Price History'!A30)</f>
        <v>45338</v>
      </c>
      <c r="B29" s="136" t="n">
        <f aca="false">IFERROR(IF(OR(NOT(ISNUMBER('Price History'!B30)),NOT(ISNUMBER('Price History'!B29)),'Price History'!B29=0),"",'Price History'!B30/'Price History'!B29-1),"")</f>
        <v>-0.128425886066868</v>
      </c>
      <c r="C29" s="136" t="n">
        <f aca="false">IFERROR(IF(OR(NOT(ISNUMBER('Price History'!C30)),NOT(ISNUMBER('Price History'!C29)),'Price History'!C29=0),"",'Price History'!C30/'Price History'!C29-1),"")</f>
        <v>-0.0732190907803427</v>
      </c>
      <c r="D29" s="136" t="n">
        <f aca="false">IFERROR(IF(OR(NOT(ISNUMBER('Price History'!D30)),NOT(ISNUMBER('Price History'!D29)),'Price History'!D29=0),"",'Price History'!D30/'Price History'!D29-1),"")</f>
        <v>-0.0217565290648694</v>
      </c>
      <c r="E29" s="136" t="n">
        <f aca="false">IFERROR(IF(OR(NOT(ISNUMBER('Price History'!E30)),NOT(ISNUMBER('Price History'!E29)),'Price History'!E29=0),"",'Price History'!E30/'Price History'!E29-1),"")</f>
        <v>-0.0295309334580023</v>
      </c>
      <c r="F29" s="136" t="n">
        <f aca="false">IFERROR(IF(OR(NOT(ISNUMBER('Price History'!F30)),NOT(ISNUMBER('Price History'!F29)),'Price History'!F29=0),"",'Price History'!F30/'Price History'!F29-1),"")</f>
        <v>-0.000364342968180775</v>
      </c>
      <c r="G29" s="136" t="n">
        <f aca="false">IFERROR(IF(OR(NOT(ISNUMBER('Price History'!G30)),NOT(ISNUMBER('Price History'!G29)),'Price History'!G29=0),"",'Price History'!G30/'Price History'!G29-1),"")</f>
        <v>0.017851646660511</v>
      </c>
      <c r="H29" s="136" t="n">
        <f aca="false">IFERROR(IF(OR(NOT(ISNUMBER('Price History'!H30)),NOT(ISNUMBER('Price History'!H29)),'Price History'!H29=0),"",'Price History'!H30/'Price History'!H29-1),"")</f>
        <v>-0.070827489481066</v>
      </c>
      <c r="I29" s="136" t="n">
        <f aca="false">IFERROR(IF(OR(NOT(ISNUMBER('Price History'!I30)),NOT(ISNUMBER('Price History'!I29)),'Price History'!I29=0),"",'Price History'!I30/'Price History'!I29-1),"")</f>
        <v>0.00665465132399845</v>
      </c>
      <c r="J29" s="136" t="n">
        <f aca="false">IFERROR(IF(OR(NOT(ISNUMBER('Price History'!J30)),NOT(ISNUMBER('Price History'!J29)),'Price History'!J29=0),"",'Price History'!J30/'Price History'!J29-1),"")</f>
        <v>0.00686896135265691</v>
      </c>
      <c r="K29" s="136" t="n">
        <f aca="false">IFERROR(IF(OR(NOT(ISNUMBER('Price History'!K30)),NOT(ISNUMBER('Price History'!K29)),'Price History'!K29=0),"",'Price History'!K30/'Price History'!K29-1),"")</f>
        <v>0.00246103363412642</v>
      </c>
      <c r="L29" s="136" t="n">
        <f aca="false">IFERROR(IF(OR(NOT(ISNUMBER('Price History'!L30)),NOT(ISNUMBER('Price History'!L29)),'Price History'!L29=0),"",'Price History'!L30/'Price History'!L29-1),"")</f>
        <v>-0.0482307865675007</v>
      </c>
      <c r="M29" s="136" t="n">
        <f aca="false">IFERROR(IF(OR(NOT(ISNUMBER('Price History'!M30)),NOT(ISNUMBER('Price History'!M29)),'Price History'!M29=0),"",'Price History'!M30/'Price History'!M29-1),"")</f>
        <v>-0.00865869017632248</v>
      </c>
      <c r="N29" s="136" t="n">
        <f aca="false">IFERROR(IF(OR(NOT(ISNUMBER('Price History'!N30)),NOT(ISNUMBER('Price History'!N29)),'Price History'!N29=0),"",'Price History'!N30/'Price History'!N29-1),"")</f>
        <v>-0.00167884419852937</v>
      </c>
      <c r="O29" s="136" t="n">
        <f aca="false">IFERROR(IF(OR(NOT(ISNUMBER('Price History'!O30)),NOT(ISNUMBER('Price History'!O29)),'Price History'!O29=0),"",'Price History'!O30/'Price History'!O29-1),"")</f>
        <v>0.00705266750085309</v>
      </c>
      <c r="P29" s="136" t="str">
        <f aca="false">IFERROR(IF(OR(NOT(ISNUMBER('Price History'!P30)),NOT(ISNUMBER('Price History'!P29)),'Price History'!P29=0),"",'Price History'!P30/'Price History'!P29-1),"")</f>
        <v/>
      </c>
      <c r="Q29" s="136" t="n">
        <f aca="false">IFERROR(IF(OR(NOT(ISNUMBER('Price History'!Q30)),NOT(ISNUMBER('Price History'!Q29)),'Price History'!Q29=0),"",'Price History'!Q30/'Price History'!Q29-1),"")</f>
        <v>-0.00375201000536007</v>
      </c>
      <c r="R29" s="136" t="n">
        <f aca="false">IFERROR(IF(OR(NOT(ISNUMBER('Price History'!R30)),NOT(ISNUMBER('Price History'!R29)),'Price History'!R29=0),"",'Price History'!R30/'Price History'!R29-1),"")</f>
        <v>-0.00323871213564497</v>
      </c>
      <c r="S29" s="136" t="n">
        <f aca="false">IFERROR(IF(OR(NOT(ISNUMBER('Price History'!S30)),NOT(ISNUMBER('Price History'!S29)),'Price History'!S29=0),"",'Price History'!S30/'Price History'!S29-1),"")</f>
        <v>0.00835016835016833</v>
      </c>
      <c r="T29" s="136" t="n">
        <f aca="false">IFERROR(IF(OR(NOT(ISNUMBER('Price History'!T30)),NOT(ISNUMBER('Price History'!T29)),'Price History'!T29=0),"",'Price History'!T30/'Price History'!T29-1),"")</f>
        <v>0.00838281522878104</v>
      </c>
      <c r="U29" s="136" t="str">
        <f aca="false">IFERROR(IF(OR(NOT(ISNUMBER('Price History'!U30)),NOT(ISNUMBER('Price History'!U29)),'Price History'!U29=0),"",'Price History'!U30/'Price History'!U29-1),"")</f>
        <v/>
      </c>
      <c r="W29" s="137" t="n">
        <f aca="false">'Price History'!B3+('Price History'!B158-'Price History'!B3)*0.168831168831169</f>
        <v>464.884805194805</v>
      </c>
      <c r="X29" s="137" t="n">
        <f aca="false">'Price History'!C3+('Price History'!C158-'Price History'!C3)*0.168831168831169</f>
        <v>66.804025974026</v>
      </c>
      <c r="Y29" s="137" t="n">
        <f aca="false">'Price History'!D3+('Price History'!D158-'Price History'!D3)*0.168831168831169</f>
        <v>825.076883116883</v>
      </c>
      <c r="Z29" s="137" t="n">
        <f aca="false">'Price History'!E3+('Price History'!E158-'Price History'!E3)*0.168831168831169</f>
        <v>134.692987012987</v>
      </c>
      <c r="AA29" s="137" t="n">
        <f aca="false">'Price History'!F3+('Price History'!F158-'Price History'!F3)*0.168831168831169</f>
        <v>63.0262337662338</v>
      </c>
      <c r="AB29" s="137" t="n">
        <f aca="false">'Price History'!G3+('Price History'!G158-'Price History'!G3)*0.168831168831169</f>
        <v>70.6787012987013</v>
      </c>
      <c r="AC29" s="137" t="n">
        <f aca="false">'Price History'!H3+('Price History'!H158-'Price History'!H3)*0.168831168831169</f>
        <v>192.455454545455</v>
      </c>
      <c r="AD29" s="137" t="n">
        <f aca="false">'Price History'!I3+('Price History'!I158-'Price History'!I3)*0.168831168831169</f>
        <v>67.8461038961039</v>
      </c>
      <c r="AE29" s="137" t="n">
        <f aca="false">'Price History'!J3+('Price History'!J158-'Price History'!J3)*0.168831168831169</f>
        <v>127.072337662338</v>
      </c>
      <c r="AF29" s="137" t="n">
        <f aca="false">'Price History'!K3+('Price History'!K158-'Price History'!K3)*0.168831168831169</f>
        <v>33.5846753246753</v>
      </c>
      <c r="AG29" s="137" t="n">
        <f aca="false">'Price History'!L3+('Price History'!L158-'Price History'!L3)*0.168831168831169</f>
        <v>144.709220779221</v>
      </c>
      <c r="AH29" s="137" t="n">
        <f aca="false">'Price History'!M3+('Price History'!M158-'Price History'!M3)*0.168831168831169</f>
        <v>68.637012987013</v>
      </c>
      <c r="AI29" s="137" t="n">
        <f aca="false">'Price History'!N3+('Price History'!N158-'Price History'!N3)*0.168831168831169</f>
        <v>371.342077922078</v>
      </c>
      <c r="AJ29" s="137" t="n">
        <f aca="false">'Price History'!O3+('Price History'!O158-'Price History'!O3)*0.168831168831169</f>
        <v>90.0135064935065</v>
      </c>
      <c r="AK29" s="137" t="n">
        <f aca="false">'Price History'!Q3+('Price History'!Q151-'Price History'!Q3)*0.168831168831169</f>
        <v>52.9819480519481</v>
      </c>
      <c r="AL29" s="137" t="n">
        <f aca="false">'Price History'!R3+('Price History'!R158-'Price History'!R3)*0.168831168831169</f>
        <v>49.5809090909091</v>
      </c>
      <c r="AM29" s="137" t="n">
        <f aca="false">'Price History'!S3+('Price History'!S158-'Price History'!S3)*0.168831168831169</f>
        <v>72.9396103896104</v>
      </c>
      <c r="AN29" s="137" t="n">
        <f aca="false">'Price History'!T3+('Price History'!T158-'Price History'!T3)*0.168831168831169</f>
        <v>30.7644155844156</v>
      </c>
    </row>
    <row r="30" customFormat="false" ht="15" hidden="false" customHeight="true" outlineLevel="0" collapsed="false">
      <c r="A30" s="135" t="n">
        <f aca="false">IF('Price History'!A31="","",'Price History'!A31)</f>
        <v>45345</v>
      </c>
      <c r="B30" s="136" t="n">
        <f aca="false">IFERROR(IF(OR(NOT(ISNUMBER('Price History'!B31)),NOT(ISNUMBER('Price History'!B30)),'Price History'!B30=0),"",'Price History'!B31/'Price History'!B30-1),"")</f>
        <v>0.0124025902754914</v>
      </c>
      <c r="C30" s="136" t="n">
        <f aca="false">IFERROR(IF(OR(NOT(ISNUMBER('Price History'!C31)),NOT(ISNUMBER('Price History'!C30)),'Price History'!C30=0),"",'Price History'!C31/'Price History'!C30-1),"")</f>
        <v>0.0226161369193154</v>
      </c>
      <c r="D30" s="136" t="n">
        <f aca="false">IFERROR(IF(OR(NOT(ISNUMBER('Price History'!D31)),NOT(ISNUMBER('Price History'!D30)),'Price History'!D30=0),"",'Price History'!D31/'Price History'!D30-1),"")</f>
        <v>0.00463969685878518</v>
      </c>
      <c r="E30" s="136" t="n">
        <f aca="false">IFERROR(IF(OR(NOT(ISNUMBER('Price History'!E31)),NOT(ISNUMBER('Price History'!E30)),'Price History'!E30=0),"",'Price History'!E31/'Price History'!E30-1),"")</f>
        <v>0.0408671216378964</v>
      </c>
      <c r="F30" s="136" t="n">
        <f aca="false">IFERROR(IF(OR(NOT(ISNUMBER('Price History'!F31)),NOT(ISNUMBER('Price History'!F30)),'Price History'!F30=0),"",'Price History'!F31/'Price History'!F30-1),"")</f>
        <v>-0.0539424128295468</v>
      </c>
      <c r="G30" s="136" t="n">
        <f aca="false">IFERROR(IF(OR(NOT(ISNUMBER('Price History'!G31)),NOT(ISNUMBER('Price History'!G30)),'Price History'!G30=0),"",'Price History'!G31/'Price History'!G30-1),"")</f>
        <v>0.0111883882673116</v>
      </c>
      <c r="H30" s="136" t="n">
        <f aca="false">IFERROR(IF(OR(NOT(ISNUMBER('Price History'!H31)),NOT(ISNUMBER('Price History'!H30)),'Price History'!H30=0),"",'Price History'!H31/'Price History'!H30-1),"")</f>
        <v>0.0817610062893082</v>
      </c>
      <c r="I30" s="136" t="n">
        <f aca="false">IFERROR(IF(OR(NOT(ISNUMBER('Price History'!I31)),NOT(ISNUMBER('Price History'!I30)),'Price History'!I30=0),"",'Price History'!I31/'Price History'!I30-1),"")</f>
        <v>0.0855254097231786</v>
      </c>
      <c r="J30" s="136" t="n">
        <f aca="false">IFERROR(IF(OR(NOT(ISNUMBER('Price History'!J31)),NOT(ISNUMBER('Price History'!J30)),'Price History'!J30=0),"",'Price History'!J31/'Price History'!J30-1),"")</f>
        <v>-0.00134942649374004</v>
      </c>
      <c r="K30" s="136" t="n">
        <f aca="false">IFERROR(IF(OR(NOT(ISNUMBER('Price History'!K31)),NOT(ISNUMBER('Price History'!K30)),'Price History'!K30=0),"",'Price History'!K31/'Price History'!K30-1),"")</f>
        <v>-0.0601472995090018</v>
      </c>
      <c r="L30" s="136" t="n">
        <f aca="false">IFERROR(IF(OR(NOT(ISNUMBER('Price History'!L31)),NOT(ISNUMBER('Price History'!L30)),'Price History'!L30=0),"",'Price History'!L31/'Price History'!L30-1),"")</f>
        <v>0.0224169231983582</v>
      </c>
      <c r="M30" s="136" t="n">
        <f aca="false">IFERROR(IF(OR(NOT(ISNUMBER('Price History'!M31)),NOT(ISNUMBER('Price History'!M30)),'Price History'!M30=0),"",'Price History'!M31/'Price History'!M30-1),"")</f>
        <v>-0.00428775607432108</v>
      </c>
      <c r="N30" s="136" t="n">
        <f aca="false">IFERROR(IF(OR(NOT(ISNUMBER('Price History'!N31)),NOT(ISNUMBER('Price History'!N30)),'Price History'!N30=0),"",'Price History'!N31/'Price History'!N30-1),"")</f>
        <v>0.0187351965892941</v>
      </c>
      <c r="O30" s="136" t="n">
        <f aca="false">IFERROR(IF(OR(NOT(ISNUMBER('Price History'!O31)),NOT(ISNUMBER('Price History'!O30)),'Price History'!O30=0),"",'Price History'!O31/'Price History'!O30-1),"")</f>
        <v>-0.0032757257426862</v>
      </c>
      <c r="P30" s="136" t="str">
        <f aca="false">IFERROR(IF(OR(NOT(ISNUMBER('Price History'!P31)),NOT(ISNUMBER('Price History'!P30)),'Price History'!P30=0),"",'Price History'!P31/'Price History'!P30-1),"")</f>
        <v/>
      </c>
      <c r="Q30" s="136" t="n">
        <f aca="false">IFERROR(IF(OR(NOT(ISNUMBER('Price History'!Q31)),NOT(ISNUMBER('Price History'!Q30)),'Price History'!Q30=0),"",'Price History'!Q31/'Price History'!Q30-1),"")</f>
        <v>-0.00627690100430423</v>
      </c>
      <c r="R30" s="136" t="n">
        <f aca="false">IFERROR(IF(OR(NOT(ISNUMBER('Price History'!R31)),NOT(ISNUMBER('Price History'!R30)),'Price History'!R30=0),"",'Price History'!R31/'Price History'!R30-1),"")</f>
        <v>0.0126146788990824</v>
      </c>
      <c r="S30" s="136" t="n">
        <f aca="false">IFERROR(IF(OR(NOT(ISNUMBER('Price History'!S31)),NOT(ISNUMBER('Price History'!S30)),'Price History'!S30=0),"",'Price History'!S31/'Price History'!S30-1),"")</f>
        <v>0.0224388940830773</v>
      </c>
      <c r="T30" s="136" t="n">
        <f aca="false">IFERROR(IF(OR(NOT(ISNUMBER('Price History'!T31)),NOT(ISNUMBER('Price History'!T30)),'Price History'!T30=0),"",'Price History'!T31/'Price History'!T30-1),"")</f>
        <v>0.0218219605126428</v>
      </c>
      <c r="U30" s="136" t="str">
        <f aca="false">IFERROR(IF(OR(NOT(ISNUMBER('Price History'!U31)),NOT(ISNUMBER('Price History'!U30)),'Price History'!U30=0),"",'Price History'!U31/'Price History'!U30-1),"")</f>
        <v/>
      </c>
      <c r="W30" s="137" t="n">
        <f aca="false">'Price History'!B3+('Price History'!B158-'Price History'!B3)*0.175324675324675</f>
        <v>463.209220779221</v>
      </c>
      <c r="X30" s="137" t="n">
        <f aca="false">'Price History'!C3+('Price History'!C158-'Price History'!C3)*0.175324675324675</f>
        <v>67.6911038961039</v>
      </c>
      <c r="Y30" s="137" t="n">
        <f aca="false">'Price History'!D3+('Price History'!D158-'Price History'!D3)*0.175324675324675</f>
        <v>831.357532467532</v>
      </c>
      <c r="Z30" s="137" t="n">
        <f aca="false">'Price History'!E3+('Price History'!E158-'Price History'!E3)*0.175324675324675</f>
        <v>136.681948051948</v>
      </c>
      <c r="AA30" s="137" t="n">
        <f aca="false">'Price History'!F3+('Price History'!F158-'Price History'!F3)*0.175324675324675</f>
        <v>64.024935064935</v>
      </c>
      <c r="AB30" s="137" t="n">
        <f aca="false">'Price History'!G3+('Price History'!G158-'Price History'!G3)*0.175324675324675</f>
        <v>71.5548051948051</v>
      </c>
      <c r="AC30" s="137" t="n">
        <f aca="false">'Price History'!H3+('Price History'!H158-'Price History'!H3)*0.175324675324675</f>
        <v>197.381818181818</v>
      </c>
      <c r="AD30" s="137" t="n">
        <f aca="false">'Price History'!I3+('Price History'!I158-'Price History'!I3)*0.175324675324675</f>
        <v>68.8844155844155</v>
      </c>
      <c r="AE30" s="137" t="n">
        <f aca="false">'Price History'!J3+('Price History'!J158-'Price History'!J3)*0.175324675324675</f>
        <v>127.209350649351</v>
      </c>
      <c r="AF30" s="137" t="n">
        <f aca="false">'Price History'!K3+('Price History'!K158-'Price History'!K3)*0.175324675324675</f>
        <v>34.2837012987013</v>
      </c>
      <c r="AG30" s="137" t="n">
        <f aca="false">'Price History'!L3+('Price History'!L158-'Price History'!L3)*0.175324675324675</f>
        <v>146.736883116883</v>
      </c>
      <c r="AH30" s="137" t="n">
        <f aca="false">'Price History'!M3+('Price History'!M158-'Price History'!M3)*0.175324675324675</f>
        <v>69.9880519480519</v>
      </c>
      <c r="AI30" s="137" t="n">
        <f aca="false">'Price History'!N3+('Price History'!N158-'Price History'!N3)*0.175324675324675</f>
        <v>372.168311688312</v>
      </c>
      <c r="AJ30" s="137" t="n">
        <f aca="false">'Price History'!O3+('Price History'!O158-'Price History'!O3)*0.175324675324675</f>
        <v>90.289025974026</v>
      </c>
      <c r="AK30" s="137" t="n">
        <f aca="false">'Price History'!Q3+('Price History'!Q151-'Price History'!Q3)*0.175324675324675</f>
        <v>53.1027922077922</v>
      </c>
      <c r="AL30" s="137" t="n">
        <f aca="false">'Price History'!R3+('Price History'!R158-'Price History'!R3)*0.175324675324675</f>
        <v>49.6486363636364</v>
      </c>
      <c r="AM30" s="137" t="n">
        <f aca="false">'Price History'!S3+('Price History'!S158-'Price History'!S3)*0.175324675324675</f>
        <v>73.4934415584415</v>
      </c>
      <c r="AN30" s="137" t="n">
        <f aca="false">'Price History'!T3+('Price History'!T158-'Price History'!T3)*0.175324675324675</f>
        <v>30.9126623376623</v>
      </c>
    </row>
    <row r="31" customFormat="false" ht="15" hidden="false" customHeight="true" outlineLevel="0" collapsed="false">
      <c r="A31" s="135" t="n">
        <f aca="false">IF('Price History'!A32="","",'Price History'!A32)</f>
        <v>45352</v>
      </c>
      <c r="B31" s="136" t="n">
        <f aca="false">IFERROR(IF(OR(NOT(ISNUMBER('Price History'!B32)),NOT(ISNUMBER('Price History'!B31)),'Price History'!B31=0),"",'Price History'!B32/'Price History'!B31-1),"")</f>
        <v>0.0316023417172591</v>
      </c>
      <c r="C31" s="136" t="n">
        <f aca="false">IFERROR(IF(OR(NOT(ISNUMBER('Price History'!C32)),NOT(ISNUMBER('Price History'!C31)),'Price History'!C31=0),"",'Price History'!C32/'Price History'!C31-1),"")</f>
        <v>0.0750149432157801</v>
      </c>
      <c r="D31" s="136" t="n">
        <f aca="false">IFERROR(IF(OR(NOT(ISNUMBER('Price History'!D32)),NOT(ISNUMBER('Price History'!D31)),'Price History'!D31=0),"",'Price History'!D32/'Price History'!D31-1),"")</f>
        <v>0.0618162335922852</v>
      </c>
      <c r="E31" s="136" t="n">
        <f aca="false">IFERROR(IF(OR(NOT(ISNUMBER('Price History'!E32)),NOT(ISNUMBER('Price History'!E31)),'Price History'!E31=0),"",'Price History'!E32/'Price History'!E31-1),"")</f>
        <v>0.0792965134217833</v>
      </c>
      <c r="F31" s="136" t="n">
        <f aca="false">IFERROR(IF(OR(NOT(ISNUMBER('Price History'!F32)),NOT(ISNUMBER('Price History'!F31)),'Price History'!F31=0),"",'Price History'!F32/'Price History'!F31-1),"")</f>
        <v>0.010016694490818</v>
      </c>
      <c r="G31" s="136" t="n">
        <f aca="false">IFERROR(IF(OR(NOT(ISNUMBER('Price History'!G32)),NOT(ISNUMBER('Price History'!G31)),'Price History'!G31=0),"",'Price History'!G32/'Price History'!G31-1),"")</f>
        <v>0.0729665071770336</v>
      </c>
      <c r="H31" s="136" t="n">
        <f aca="false">IFERROR(IF(OR(NOT(ISNUMBER('Price History'!H32)),NOT(ISNUMBER('Price History'!H31)),'Price History'!H31=0),"",'Price History'!H32/'Price History'!H31-1),"")</f>
        <v>0.106395348837209</v>
      </c>
      <c r="I31" s="136" t="n">
        <f aca="false">IFERROR(IF(OR(NOT(ISNUMBER('Price History'!I32)),NOT(ISNUMBER('Price History'!I31)),'Price History'!I31=0),"",'Price History'!I32/'Price History'!I31-1),"")</f>
        <v>0.0438974879472216</v>
      </c>
      <c r="J31" s="136" t="n">
        <f aca="false">IFERROR(IF(OR(NOT(ISNUMBER('Price History'!J32)),NOT(ISNUMBER('Price History'!J31)),'Price History'!J31=0),"",'Price History'!J32/'Price History'!J31-1),"")</f>
        <v>0.0104346520531491</v>
      </c>
      <c r="K31" s="136" t="n">
        <f aca="false">IFERROR(IF(OR(NOT(ISNUMBER('Price History'!K32)),NOT(ISNUMBER('Price History'!K31)),'Price History'!K31=0),"",'Price History'!K32/'Price History'!K31-1),"")</f>
        <v>0.0853286895951242</v>
      </c>
      <c r="L31" s="136" t="n">
        <f aca="false">IFERROR(IF(OR(NOT(ISNUMBER('Price History'!L32)),NOT(ISNUMBER('Price History'!L31)),'Price History'!L31=0),"",'Price History'!L32/'Price History'!L31-1),"")</f>
        <v>0.0337373581409712</v>
      </c>
      <c r="M31" s="136" t="n">
        <f aca="false">IFERROR(IF(OR(NOT(ISNUMBER('Price History'!M32)),NOT(ISNUMBER('Price History'!M31)),'Price History'!M31=0),"",'Price History'!M32/'Price History'!M31-1),"")</f>
        <v>0.125518341307815</v>
      </c>
      <c r="N31" s="136" t="n">
        <f aca="false">IFERROR(IF(OR(NOT(ISNUMBER('Price History'!N32)),NOT(ISNUMBER('Price History'!N31)),'Price History'!N31=0),"",'Price History'!N32/'Price History'!N31-1),"")</f>
        <v>0.00616121457301611</v>
      </c>
      <c r="O31" s="136" t="n">
        <f aca="false">IFERROR(IF(OR(NOT(ISNUMBER('Price History'!O32)),NOT(ISNUMBER('Price History'!O31)),'Price History'!O31=0),"",'Price History'!O32/'Price History'!O31-1),"")</f>
        <v>0.0157524932003628</v>
      </c>
      <c r="P31" s="136" t="str">
        <f aca="false">IFERROR(IF(OR(NOT(ISNUMBER('Price History'!P32)),NOT(ISNUMBER('Price History'!P31)),'Price History'!P31=0),"",'Price History'!P32/'Price History'!P31-1),"")</f>
        <v/>
      </c>
      <c r="Q31" s="136" t="n">
        <f aca="false">IFERROR(IF(OR(NOT(ISNUMBER('Price History'!Q32)),NOT(ISNUMBER('Price History'!Q31)),'Price History'!Q31=0),"",'Price History'!Q32/'Price History'!Q31-1),"")</f>
        <v>-0.0194910665944775</v>
      </c>
      <c r="R31" s="136" t="n">
        <f aca="false">IFERROR(IF(OR(NOT(ISNUMBER('Price History'!R32)),NOT(ISNUMBER('Price History'!R31)),'Price History'!R31=0),"",'Price History'!R32/'Price History'!R31-1),"")</f>
        <v>0.00528501321253305</v>
      </c>
      <c r="S31" s="136" t="n">
        <f aca="false">IFERROR(IF(OR(NOT(ISNUMBER('Price History'!S32)),NOT(ISNUMBER('Price History'!S31)),'Price History'!S31=0),"",'Price History'!S32/'Price History'!S31-1),"")</f>
        <v>0.0280862181580668</v>
      </c>
      <c r="T31" s="136" t="n">
        <f aca="false">IFERROR(IF(OR(NOT(ISNUMBER('Price History'!T32)),NOT(ISNUMBER('Price History'!T31)),'Price History'!T31=0),"",'Price History'!T32/'Price History'!T31-1),"")</f>
        <v>0.0220338983050847</v>
      </c>
      <c r="U31" s="136" t="str">
        <f aca="false">IFERROR(IF(OR(NOT(ISNUMBER('Price History'!U32)),NOT(ISNUMBER('Price History'!U31)),'Price History'!U31=0),"",'Price History'!U32/'Price History'!U31-1),"")</f>
        <v/>
      </c>
      <c r="W31" s="137" t="n">
        <f aca="false">'Price History'!B3+('Price History'!B158-'Price History'!B3)*0.181818181818182</f>
        <v>461.533636363636</v>
      </c>
      <c r="X31" s="137" t="n">
        <f aca="false">'Price History'!C3+('Price History'!C158-'Price History'!C3)*0.181818181818182</f>
        <v>68.5781818181818</v>
      </c>
      <c r="Y31" s="137" t="n">
        <f aca="false">'Price History'!D3+('Price History'!D158-'Price History'!D3)*0.181818181818182</f>
        <v>837.638181818182</v>
      </c>
      <c r="Z31" s="137" t="n">
        <f aca="false">'Price History'!E3+('Price History'!E158-'Price History'!E3)*0.181818181818182</f>
        <v>138.670909090909</v>
      </c>
      <c r="AA31" s="137" t="n">
        <f aca="false">'Price History'!F3+('Price History'!F158-'Price History'!F3)*0.181818181818182</f>
        <v>65.0236363636364</v>
      </c>
      <c r="AB31" s="137" t="n">
        <f aca="false">'Price History'!G3+('Price History'!G158-'Price History'!G3)*0.181818181818182</f>
        <v>72.4309090909091</v>
      </c>
      <c r="AC31" s="137" t="n">
        <f aca="false">'Price History'!H3+('Price History'!H158-'Price History'!H3)*0.181818181818182</f>
        <v>202.308181818182</v>
      </c>
      <c r="AD31" s="137" t="n">
        <f aca="false">'Price History'!I3+('Price History'!I158-'Price History'!I3)*0.181818181818182</f>
        <v>69.9227272727273</v>
      </c>
      <c r="AE31" s="137" t="n">
        <f aca="false">'Price History'!J3+('Price History'!J158-'Price History'!J3)*0.181818181818182</f>
        <v>127.346363636364</v>
      </c>
      <c r="AF31" s="137" t="n">
        <f aca="false">'Price History'!K3+('Price History'!K158-'Price History'!K3)*0.181818181818182</f>
        <v>34.9827272727273</v>
      </c>
      <c r="AG31" s="137" t="n">
        <f aca="false">'Price History'!L3+('Price History'!L158-'Price History'!L3)*0.181818181818182</f>
        <v>148.764545454546</v>
      </c>
      <c r="AH31" s="137" t="n">
        <f aca="false">'Price History'!M3+('Price History'!M158-'Price History'!M3)*0.181818181818182</f>
        <v>71.3390909090909</v>
      </c>
      <c r="AI31" s="137" t="n">
        <f aca="false">'Price History'!N3+('Price History'!N158-'Price History'!N3)*0.181818181818182</f>
        <v>372.994545454546</v>
      </c>
      <c r="AJ31" s="137" t="n">
        <f aca="false">'Price History'!O3+('Price History'!O158-'Price History'!O3)*0.181818181818182</f>
        <v>90.5645454545455</v>
      </c>
      <c r="AK31" s="137" t="n">
        <f aca="false">'Price History'!Q3+('Price History'!Q151-'Price History'!Q3)*0.181818181818182</f>
        <v>53.2236363636364</v>
      </c>
      <c r="AL31" s="137" t="n">
        <f aca="false">'Price History'!R3+('Price History'!R158-'Price History'!R3)*0.181818181818182</f>
        <v>49.7163636363636</v>
      </c>
      <c r="AM31" s="137" t="n">
        <f aca="false">'Price History'!S3+('Price History'!S158-'Price History'!S3)*0.181818181818182</f>
        <v>74.0472727272727</v>
      </c>
      <c r="AN31" s="137" t="n">
        <f aca="false">'Price History'!T3+('Price History'!T158-'Price History'!T3)*0.181818181818182</f>
        <v>31.0609090909091</v>
      </c>
    </row>
    <row r="32" customFormat="false" ht="15" hidden="false" customHeight="true" outlineLevel="0" collapsed="false">
      <c r="A32" s="135" t="n">
        <f aca="false">IF('Price History'!A33="","",'Price History'!A33)</f>
        <v>45359</v>
      </c>
      <c r="B32" s="136" t="n">
        <f aca="false">IFERROR(IF(OR(NOT(ISNUMBER('Price History'!B33)),NOT(ISNUMBER('Price History'!B32)),'Price History'!B32=0),"",'Price History'!B33/'Price History'!B32-1),"")</f>
        <v>-0.0336994027288807</v>
      </c>
      <c r="C32" s="136" t="n">
        <f aca="false">IFERROR(IF(OR(NOT(ISNUMBER('Price History'!C33)),NOT(ISNUMBER('Price History'!C32)),'Price History'!C32=0),"",'Price History'!C33/'Price History'!C32-1),"")</f>
        <v>-0.0508757297748123</v>
      </c>
      <c r="D32" s="136" t="n">
        <f aca="false">IFERROR(IF(OR(NOT(ISNUMBER('Price History'!D33)),NOT(ISNUMBER('Price History'!D32)),'Price History'!D32=0),"",'Price History'!D33/'Price History'!D32-1),"")</f>
        <v>0.00342099420752007</v>
      </c>
      <c r="E32" s="136" t="n">
        <f aca="false">IFERROR(IF(OR(NOT(ISNUMBER('Price History'!E33)),NOT(ISNUMBER('Price History'!E32)),'Price History'!E32=0),"",'Price History'!E33/'Price History'!E32-1),"")</f>
        <v>-0.0646798170383075</v>
      </c>
      <c r="F32" s="136" t="n">
        <f aca="false">IFERROR(IF(OR(NOT(ISNUMBER('Price History'!F33)),NOT(ISNUMBER('Price History'!F32)),'Price History'!F32=0),"",'Price History'!F33/'Price History'!F32-1),"")</f>
        <v>0.0261919898283534</v>
      </c>
      <c r="G32" s="136" t="n">
        <f aca="false">IFERROR(IF(OR(NOT(ISNUMBER('Price History'!G33)),NOT(ISNUMBER('Price History'!G32)),'Price History'!G32=0),"",'Price History'!G33/'Price History'!G32-1),"")</f>
        <v>-0.0256410256410257</v>
      </c>
      <c r="H32" s="136" t="n">
        <f aca="false">IFERROR(IF(OR(NOT(ISNUMBER('Price History'!H33)),NOT(ISNUMBER('Price History'!H32)),'Price History'!H32=0),"",'Price History'!H33/'Price History'!H32-1),"")</f>
        <v>0.0259590120861797</v>
      </c>
      <c r="I32" s="136" t="n">
        <f aca="false">IFERROR(IF(OR(NOT(ISNUMBER('Price History'!I33)),NOT(ISNUMBER('Price History'!I32)),'Price History'!I32=0),"",'Price History'!I33/'Price History'!I32-1),"")</f>
        <v>0.0638065143412736</v>
      </c>
      <c r="J32" s="136" t="n">
        <f aca="false">IFERROR(IF(OR(NOT(ISNUMBER('Price History'!J33)),NOT(ISNUMBER('Price History'!J32)),'Price History'!J32=0),"",'Price History'!J33/'Price History'!J32-1),"")</f>
        <v>0.00349182763744427</v>
      </c>
      <c r="K32" s="136" t="n">
        <f aca="false">IFERROR(IF(OR(NOT(ISNUMBER('Price History'!K33)),NOT(ISNUMBER('Price History'!K32)),'Price History'!K32=0),"",'Price History'!K33/'Price History'!K32-1),"")</f>
        <v>0.0445246690734056</v>
      </c>
      <c r="L32" s="136" t="n">
        <f aca="false">IFERROR(IF(OR(NOT(ISNUMBER('Price History'!L33)),NOT(ISNUMBER('Price History'!L32)),'Price History'!L32=0),"",'Price History'!L33/'Price History'!L32-1),"")</f>
        <v>0.0931292008961913</v>
      </c>
      <c r="M32" s="136" t="n">
        <f aca="false">IFERROR(IF(OR(NOT(ISNUMBER('Price History'!M33)),NOT(ISNUMBER('Price History'!M32)),'Price History'!M32=0),"",'Price History'!M33/'Price History'!M32-1),"")</f>
        <v>-0.0170043928014736</v>
      </c>
      <c r="N32" s="136" t="n">
        <f aca="false">IFERROR(IF(OR(NOT(ISNUMBER('Price History'!N33)),NOT(ISNUMBER('Price History'!N32)),'Price History'!N32=0),"",'Price History'!N33/'Price History'!N32-1),"")</f>
        <v>-0.0442970699694981</v>
      </c>
      <c r="O32" s="136" t="n">
        <f aca="false">IFERROR(IF(OR(NOT(ISNUMBER('Price History'!O33)),NOT(ISNUMBER('Price History'!O32)),'Price History'!O32=0),"",'Price History'!O33/'Price History'!O32-1),"")</f>
        <v>0.00111569786901722</v>
      </c>
      <c r="P32" s="136" t="str">
        <f aca="false">IFERROR(IF(OR(NOT(ISNUMBER('Price History'!P33)),NOT(ISNUMBER('Price History'!P32)),'Price History'!P32=0),"",'Price History'!P33/'Price History'!P32-1),"")</f>
        <v/>
      </c>
      <c r="Q32" s="136" t="n">
        <f aca="false">IFERROR(IF(OR(NOT(ISNUMBER('Price History'!Q33)),NOT(ISNUMBER('Price History'!Q32)),'Price History'!Q32=0),"",'Price History'!Q33/'Price History'!Q32-1),"")</f>
        <v>0.0206147616418186</v>
      </c>
      <c r="R32" s="136" t="n">
        <f aca="false">IFERROR(IF(OR(NOT(ISNUMBER('Price History'!R33)),NOT(ISNUMBER('Price History'!R32)),'Price History'!R32=0),"",'Price History'!R33/'Price History'!R32-1),"")</f>
        <v>-0.00131430717236203</v>
      </c>
      <c r="S32" s="136" t="n">
        <f aca="false">IFERROR(IF(OR(NOT(ISNUMBER('Price History'!S33)),NOT(ISNUMBER('Price History'!S32)),'Price History'!S32=0),"",'Price History'!S33/'Price History'!S32-1),"")</f>
        <v>0.00381194409148655</v>
      </c>
      <c r="T32" s="136" t="n">
        <f aca="false">IFERROR(IF(OR(NOT(ISNUMBER('Price History'!T33)),NOT(ISNUMBER('Price History'!T32)),'Price History'!T32=0),"",'Price History'!T33/'Price History'!T32-1),"")</f>
        <v>0.0195688225538972</v>
      </c>
      <c r="U32" s="136" t="str">
        <f aca="false">IFERROR(IF(OR(NOT(ISNUMBER('Price History'!U33)),NOT(ISNUMBER('Price History'!U32)),'Price History'!U32=0),"",'Price History'!U33/'Price History'!U32-1),"")</f>
        <v/>
      </c>
      <c r="W32" s="137" t="n">
        <f aca="false">'Price History'!B3+('Price History'!B158-'Price History'!B3)*0.188311688311688</f>
        <v>459.858051948052</v>
      </c>
      <c r="X32" s="137" t="n">
        <f aca="false">'Price History'!C3+('Price History'!C158-'Price History'!C3)*0.188311688311688</f>
        <v>69.4652597402597</v>
      </c>
      <c r="Y32" s="137" t="n">
        <f aca="false">'Price History'!D3+('Price History'!D158-'Price History'!D3)*0.188311688311688</f>
        <v>843.918831168831</v>
      </c>
      <c r="Z32" s="137" t="n">
        <f aca="false">'Price History'!E3+('Price History'!E158-'Price History'!E3)*0.188311688311688</f>
        <v>140.65987012987</v>
      </c>
      <c r="AA32" s="137" t="n">
        <f aca="false">'Price History'!F3+('Price History'!F158-'Price History'!F3)*0.188311688311688</f>
        <v>66.0223376623376</v>
      </c>
      <c r="AB32" s="137" t="n">
        <f aca="false">'Price History'!G3+('Price History'!G158-'Price History'!G3)*0.188311688311688</f>
        <v>73.3070129870129</v>
      </c>
      <c r="AC32" s="137" t="n">
        <f aca="false">'Price History'!H3+('Price History'!H158-'Price History'!H3)*0.188311688311688</f>
        <v>207.234545454545</v>
      </c>
      <c r="AD32" s="137" t="n">
        <f aca="false">'Price History'!I3+('Price History'!I158-'Price History'!I3)*0.188311688311688</f>
        <v>70.9610389610389</v>
      </c>
      <c r="AE32" s="137" t="n">
        <f aca="false">'Price History'!J3+('Price History'!J158-'Price History'!J3)*0.188311688311688</f>
        <v>127.483376623377</v>
      </c>
      <c r="AF32" s="137" t="n">
        <f aca="false">'Price History'!K3+('Price History'!K158-'Price History'!K3)*0.188311688311688</f>
        <v>35.6817532467532</v>
      </c>
      <c r="AG32" s="137" t="n">
        <f aca="false">'Price History'!L3+('Price History'!L158-'Price History'!L3)*0.188311688311688</f>
        <v>150.792207792208</v>
      </c>
      <c r="AH32" s="137" t="n">
        <f aca="false">'Price History'!M3+('Price History'!M158-'Price History'!M3)*0.188311688311688</f>
        <v>72.6901298701298</v>
      </c>
      <c r="AI32" s="137" t="n">
        <f aca="false">'Price History'!N3+('Price History'!N158-'Price History'!N3)*0.188311688311688</f>
        <v>373.820779220779</v>
      </c>
      <c r="AJ32" s="137" t="n">
        <f aca="false">'Price History'!O3+('Price History'!O158-'Price History'!O3)*0.188311688311688</f>
        <v>90.8400649350649</v>
      </c>
      <c r="AK32" s="137" t="n">
        <f aca="false">'Price History'!Q3+('Price History'!Q151-'Price History'!Q3)*0.188311688311688</f>
        <v>53.3444805194805</v>
      </c>
      <c r="AL32" s="137" t="n">
        <f aca="false">'Price History'!R3+('Price History'!R158-'Price History'!R3)*0.188311688311688</f>
        <v>49.7840909090909</v>
      </c>
      <c r="AM32" s="137" t="n">
        <f aca="false">'Price History'!S3+('Price History'!S158-'Price History'!S3)*0.188311688311688</f>
        <v>74.6011038961039</v>
      </c>
      <c r="AN32" s="137" t="n">
        <f aca="false">'Price History'!T3+('Price History'!T158-'Price History'!T3)*0.188311688311688</f>
        <v>31.2091558441558</v>
      </c>
    </row>
    <row r="33" customFormat="false" ht="15" hidden="false" customHeight="true" outlineLevel="0" collapsed="false">
      <c r="A33" s="135" t="n">
        <f aca="false">IF('Price History'!A34="","",'Price History'!A34)</f>
        <v>45366</v>
      </c>
      <c r="B33" s="136" t="n">
        <f aca="false">IFERROR(IF(OR(NOT(ISNUMBER('Price History'!B34)),NOT(ISNUMBER('Price History'!B33)),'Price History'!B33=0),"",'Price History'!B34/'Price History'!B33-1),"")</f>
        <v>-0.107361017962987</v>
      </c>
      <c r="C33" s="136" t="n">
        <f aca="false">IFERROR(IF(OR(NOT(ISNUMBER('Price History'!C34)),NOT(ISNUMBER('Price History'!C33)),'Price History'!C33=0),"",'Price History'!C34/'Price History'!C33-1),"")</f>
        <v>0.0168424135910956</v>
      </c>
      <c r="D33" s="136" t="n">
        <f aca="false">IFERROR(IF(OR(NOT(ISNUMBER('Price History'!D34)),NOT(ISNUMBER('Price History'!D33)),'Price History'!D33=0),"",'Price History'!D34/'Price History'!D33-1),"")</f>
        <v>-0.0544286102199471</v>
      </c>
      <c r="E33" s="136" t="n">
        <f aca="false">IFERROR(IF(OR(NOT(ISNUMBER('Price History'!E34)),NOT(ISNUMBER('Price History'!E33)),'Price History'!E33=0),"",'Price History'!E34/'Price History'!E33-1),"")</f>
        <v>-0.0559333689921296</v>
      </c>
      <c r="F33" s="136" t="n">
        <f aca="false">IFERROR(IF(OR(NOT(ISNUMBER('Price History'!F34)),NOT(ISNUMBER('Price History'!F33)),'Price History'!F33=0),"",'Price History'!F34/'Price History'!F33-1),"")</f>
        <v>-0.0223020691364143</v>
      </c>
      <c r="G33" s="136" t="n">
        <f aca="false">IFERROR(IF(OR(NOT(ISNUMBER('Price History'!G34)),NOT(ISNUMBER('Price History'!G33)),'Price History'!G33=0),"",'Price History'!G34/'Price History'!G33-1),"")</f>
        <v>-0.0218821510297483</v>
      </c>
      <c r="H33" s="136" t="n">
        <f aca="false">IFERROR(IF(OR(NOT(ISNUMBER('Price History'!H34)),NOT(ISNUMBER('Price History'!H33)),'Price History'!H33=0),"",'Price History'!H34/'Price History'!H33-1),"")</f>
        <v>-0.0447654169227618</v>
      </c>
      <c r="I33" s="136" t="n">
        <f aca="false">IFERROR(IF(OR(NOT(ISNUMBER('Price History'!I34)),NOT(ISNUMBER('Price History'!I33)),'Price History'!I33=0),"",'Price History'!I34/'Price History'!I33-1),"")</f>
        <v>0.00354164286530345</v>
      </c>
      <c r="J33" s="136" t="n">
        <f aca="false">IFERROR(IF(OR(NOT(ISNUMBER('Price History'!J34)),NOT(ISNUMBER('Price History'!J33)),'Price History'!J33=0),"",'Price History'!J34/'Price History'!J33-1),"")</f>
        <v>-0.0447915895461611</v>
      </c>
      <c r="K33" s="136" t="n">
        <f aca="false">IFERROR(IF(OR(NOT(ISNUMBER('Price History'!K34)),NOT(ISNUMBER('Price History'!K33)),'Price History'!K33=0),"",'Price History'!K34/'Price History'!K33-1),"")</f>
        <v>-0.097926267281106</v>
      </c>
      <c r="L33" s="136" t="n">
        <f aca="false">IFERROR(IF(OR(NOT(ISNUMBER('Price History'!L34)),NOT(ISNUMBER('Price History'!L33)),'Price History'!L33=0),"",'Price History'!L34/'Price History'!L33-1),"")</f>
        <v>-0.0641524902643985</v>
      </c>
      <c r="M33" s="136" t="n">
        <f aca="false">IFERROR(IF(OR(NOT(ISNUMBER('Price History'!M34)),NOT(ISNUMBER('Price History'!M33)),'Price History'!M33=0),"",'Price History'!M34/'Price History'!M33-1),"")</f>
        <v>0.06905002162318</v>
      </c>
      <c r="N33" s="136" t="n">
        <f aca="false">IFERROR(IF(OR(NOT(ISNUMBER('Price History'!N34)),NOT(ISNUMBER('Price History'!N33)),'Price History'!N33=0),"",'Price History'!N34/'Price History'!N33-1),"")</f>
        <v>-0.014265335235378</v>
      </c>
      <c r="O33" s="136" t="n">
        <f aca="false">IFERROR(IF(OR(NOT(ISNUMBER('Price History'!O34)),NOT(ISNUMBER('Price History'!O33)),'Price History'!O33=0),"",'Price History'!O34/'Price History'!O33-1),"")</f>
        <v>-0.00846985400646394</v>
      </c>
      <c r="P33" s="136" t="str">
        <f aca="false">IFERROR(IF(OR(NOT(ISNUMBER('Price History'!P34)),NOT(ISNUMBER('Price History'!P33)),'Price History'!P33=0),"",'Price History'!P34/'Price History'!P33-1),"")</f>
        <v/>
      </c>
      <c r="Q33" s="136" t="n">
        <f aca="false">IFERROR(IF(OR(NOT(ISNUMBER('Price History'!Q34)),NOT(ISNUMBER('Price History'!Q33)),'Price History'!Q33=0),"",'Price History'!Q34/'Price History'!Q33-1),"")</f>
        <v>0.00414788097385022</v>
      </c>
      <c r="R33" s="136" t="n">
        <f aca="false">IFERROR(IF(OR(NOT(ISNUMBER('Price History'!R34)),NOT(ISNUMBER('Price History'!R33)),'Price History'!R33=0),"",'Price History'!R34/'Price History'!R33-1),"")</f>
        <v>-0.00526414739612713</v>
      </c>
      <c r="S33" s="136" t="n">
        <f aca="false">IFERROR(IF(OR(NOT(ISNUMBER('Price History'!S34)),NOT(ISNUMBER('Price History'!S33)),'Price History'!S33=0),"",'Price History'!S34/'Price History'!S33-1),"")</f>
        <v>-0.00518987341772148</v>
      </c>
      <c r="T33" s="136" t="n">
        <f aca="false">IFERROR(IF(OR(NOT(ISNUMBER('Price History'!T34)),NOT(ISNUMBER('Price History'!T33)),'Price History'!T33=0),"",'Price History'!T34/'Price History'!T33-1),"")</f>
        <v>0.0136629798308394</v>
      </c>
      <c r="U33" s="136" t="str">
        <f aca="false">IFERROR(IF(OR(NOT(ISNUMBER('Price History'!U34)),NOT(ISNUMBER('Price History'!U33)),'Price History'!U33=0),"",'Price History'!U34/'Price History'!U33-1),"")</f>
        <v/>
      </c>
      <c r="W33" s="137" t="n">
        <f aca="false">'Price History'!B3+('Price History'!B158-'Price History'!B3)*0.194805194805195</f>
        <v>458.182467532467</v>
      </c>
      <c r="X33" s="137" t="n">
        <f aca="false">'Price History'!C3+('Price History'!C158-'Price History'!C3)*0.194805194805195</f>
        <v>70.3523376623377</v>
      </c>
      <c r="Y33" s="137" t="n">
        <f aca="false">'Price History'!D3+('Price History'!D158-'Price History'!D3)*0.194805194805195</f>
        <v>850.199480519481</v>
      </c>
      <c r="Z33" s="137" t="n">
        <f aca="false">'Price History'!E3+('Price History'!E158-'Price History'!E3)*0.194805194805195</f>
        <v>142.648831168831</v>
      </c>
      <c r="AA33" s="137" t="n">
        <f aca="false">'Price History'!F3+('Price History'!F158-'Price History'!F3)*0.194805194805195</f>
        <v>67.021038961039</v>
      </c>
      <c r="AB33" s="137" t="n">
        <f aca="false">'Price History'!G3+('Price History'!G158-'Price History'!G3)*0.194805194805195</f>
        <v>74.1831168831169</v>
      </c>
      <c r="AC33" s="137" t="n">
        <f aca="false">'Price History'!H3+('Price History'!H158-'Price History'!H3)*0.194805194805195</f>
        <v>212.160909090909</v>
      </c>
      <c r="AD33" s="137" t="n">
        <f aca="false">'Price History'!I3+('Price History'!I158-'Price History'!I3)*0.194805194805195</f>
        <v>71.9993506493507</v>
      </c>
      <c r="AE33" s="137" t="n">
        <f aca="false">'Price History'!J3+('Price History'!J158-'Price History'!J3)*0.194805194805195</f>
        <v>127.62038961039</v>
      </c>
      <c r="AF33" s="137" t="n">
        <f aca="false">'Price History'!K3+('Price History'!K158-'Price History'!K3)*0.194805194805195</f>
        <v>36.3807792207792</v>
      </c>
      <c r="AG33" s="137" t="n">
        <f aca="false">'Price History'!L3+('Price History'!L158-'Price History'!L3)*0.194805194805195</f>
        <v>152.81987012987</v>
      </c>
      <c r="AH33" s="137" t="n">
        <f aca="false">'Price History'!M3+('Price History'!M158-'Price History'!M3)*0.194805194805195</f>
        <v>74.0411688311689</v>
      </c>
      <c r="AI33" s="137" t="n">
        <f aca="false">'Price History'!N3+('Price History'!N158-'Price History'!N3)*0.194805194805195</f>
        <v>374.647012987013</v>
      </c>
      <c r="AJ33" s="137" t="n">
        <f aca="false">'Price History'!O3+('Price History'!O158-'Price History'!O3)*0.194805194805195</f>
        <v>91.1155844155844</v>
      </c>
      <c r="AK33" s="137" t="n">
        <f aca="false">'Price History'!Q3+('Price History'!Q151-'Price History'!Q3)*0.194805194805195</f>
        <v>53.4653246753247</v>
      </c>
      <c r="AL33" s="137" t="n">
        <f aca="false">'Price History'!R3+('Price History'!R158-'Price History'!R3)*0.194805194805195</f>
        <v>49.8518181818182</v>
      </c>
      <c r="AM33" s="137" t="n">
        <f aca="false">'Price History'!S3+('Price History'!S158-'Price History'!S3)*0.194805194805195</f>
        <v>75.1549350649351</v>
      </c>
      <c r="AN33" s="137" t="n">
        <f aca="false">'Price History'!T3+('Price History'!T158-'Price History'!T3)*0.194805194805195</f>
        <v>31.3574025974026</v>
      </c>
    </row>
    <row r="34" customFormat="false" ht="15" hidden="false" customHeight="true" outlineLevel="0" collapsed="false">
      <c r="A34" s="135" t="n">
        <f aca="false">IF('Price History'!A35="","",'Price History'!A35)</f>
        <v>45373</v>
      </c>
      <c r="B34" s="136" t="n">
        <f aca="false">IFERROR(IF(OR(NOT(ISNUMBER('Price History'!B35)),NOT(ISNUMBER('Price History'!B34)),'Price History'!B34=0),"",'Price History'!B35/'Price History'!B34-1),"")</f>
        <v>0.0143361897412988</v>
      </c>
      <c r="C34" s="136" t="n">
        <f aca="false">IFERROR(IF(OR(NOT(ISNUMBER('Price History'!C35)),NOT(ISNUMBER('Price History'!C34)),'Price History'!C34=0),"",'Price History'!C35/'Price History'!C34-1),"")</f>
        <v>0.103413510010082</v>
      </c>
      <c r="D34" s="136" t="n">
        <f aca="false">IFERROR(IF(OR(NOT(ISNUMBER('Price History'!D35)),NOT(ISNUMBER('Price History'!D34)),'Price History'!D34=0),"",'Price History'!D35/'Price History'!D34-1),"")</f>
        <v>0.042277789004584</v>
      </c>
      <c r="E34" s="136" t="n">
        <f aca="false">IFERROR(IF(OR(NOT(ISNUMBER('Price History'!E35)),NOT(ISNUMBER('Price History'!E34)),'Price History'!E34=0),"",'Price History'!E35/'Price History'!E34-1),"")</f>
        <v>0.0955078915418859</v>
      </c>
      <c r="F34" s="136" t="n">
        <f aca="false">IFERROR(IF(OR(NOT(ISNUMBER('Price History'!F35)),NOT(ISNUMBER('Price History'!F34)),'Price History'!F34=0),"",'Price History'!F35/'Price History'!F34-1),"")</f>
        <v>0.0378912685337727</v>
      </c>
      <c r="G34" s="136" t="n">
        <f aca="false">IFERROR(IF(OR(NOT(ISNUMBER('Price History'!G35)),NOT(ISNUMBER('Price History'!G34)),'Price History'!G34=0),"",'Price History'!G35/'Price History'!G34-1),"")</f>
        <v>0.0390407954379295</v>
      </c>
      <c r="H34" s="136" t="n">
        <f aca="false">IFERROR(IF(OR(NOT(ISNUMBER('Price History'!H35)),NOT(ISNUMBER('Price History'!H34)),'Price History'!H34=0),"",'Price History'!H35/'Price History'!H34-1),"")</f>
        <v>0.181876675603217</v>
      </c>
      <c r="I34" s="136" t="n">
        <f aca="false">IFERROR(IF(OR(NOT(ISNUMBER('Price History'!I35)),NOT(ISNUMBER('Price History'!I34)),'Price History'!I34=0),"",'Price History'!I35/'Price History'!I34-1),"")</f>
        <v>0.0734289617486339</v>
      </c>
      <c r="J34" s="136" t="n">
        <f aca="false">IFERROR(IF(OR(NOT(ISNUMBER('Price History'!J35)),NOT(ISNUMBER('Price History'!J34)),'Price History'!J34=0),"",'Price History'!J35/'Price History'!J34-1),"")</f>
        <v>-0.00310029452798022</v>
      </c>
      <c r="K34" s="136" t="n">
        <f aca="false">IFERROR(IF(OR(NOT(ISNUMBER('Price History'!K35)),NOT(ISNUMBER('Price History'!K34)),'Price History'!K34=0),"",'Price History'!K35/'Price History'!K34-1),"")</f>
        <v>0.029374201787995</v>
      </c>
      <c r="L34" s="136" t="n">
        <f aca="false">IFERROR(IF(OR(NOT(ISNUMBER('Price History'!L35)),NOT(ISNUMBER('Price History'!L34)),'Price History'!L34=0),"",'Price History'!L35/'Price History'!L34-1),"")</f>
        <v>0.0259891955029932</v>
      </c>
      <c r="M34" s="136" t="n">
        <f aca="false">IFERROR(IF(OR(NOT(ISNUMBER('Price History'!M35)),NOT(ISNUMBER('Price History'!M34)),'Price History'!M34=0),"",'Price History'!M35/'Price History'!M34-1),"")</f>
        <v>0.112459546925566</v>
      </c>
      <c r="N34" s="136" t="n">
        <f aca="false">IFERROR(IF(OR(NOT(ISNUMBER('Price History'!N35)),NOT(ISNUMBER('Price History'!N34)),'Price History'!N34=0),"",'Price History'!N35/'Price History'!N34-1),"")</f>
        <v>0.0195491672594375</v>
      </c>
      <c r="O34" s="136" t="n">
        <f aca="false">IFERROR(IF(OR(NOT(ISNUMBER('Price History'!O35)),NOT(ISNUMBER('Price History'!O34)),'Price History'!O34=0),"",'Price History'!O35/'Price History'!O34-1),"")</f>
        <v>0.0239406541530853</v>
      </c>
      <c r="P34" s="136" t="str">
        <f aca="false">IFERROR(IF(OR(NOT(ISNUMBER('Price History'!P35)),NOT(ISNUMBER('Price History'!P34)),'Price History'!P34=0),"",'Price History'!P35/'Price History'!P34-1),"")</f>
        <v/>
      </c>
      <c r="Q34" s="136" t="n">
        <f aca="false">IFERROR(IF(OR(NOT(ISNUMBER('Price History'!Q35)),NOT(ISNUMBER('Price History'!Q34)),'Price History'!Q34=0),"",'Price History'!Q35/'Price History'!Q34-1),"")</f>
        <v>0.0154454022988506</v>
      </c>
      <c r="R34" s="136" t="n">
        <f aca="false">IFERROR(IF(OR(NOT(ISNUMBER('Price History'!R35)),NOT(ISNUMBER('Price History'!R34)),'Price History'!R34=0),"",'Price History'!R35/'Price History'!R34-1),"")</f>
        <v>0.0255150255150256</v>
      </c>
      <c r="S34" s="136" t="n">
        <f aca="false">IFERROR(IF(OR(NOT(ISNUMBER('Price History'!S35)),NOT(ISNUMBER('Price History'!S34)),'Price History'!S34=0),"",'Price History'!S35/'Price History'!S34-1),"")</f>
        <v>0.028502353989057</v>
      </c>
      <c r="T34" s="136" t="n">
        <f aca="false">IFERROR(IF(OR(NOT(ISNUMBER('Price History'!T35)),NOT(ISNUMBER('Price History'!T34)),'Price History'!T34=0),"",'Price History'!T35/'Price History'!T34-1),"")</f>
        <v>0.0240693196405648</v>
      </c>
      <c r="U34" s="136" t="str">
        <f aca="false">IFERROR(IF(OR(NOT(ISNUMBER('Price History'!U35)),NOT(ISNUMBER('Price History'!U34)),'Price History'!U34=0),"",'Price History'!U35/'Price History'!U34-1),"")</f>
        <v/>
      </c>
      <c r="W34" s="137" t="n">
        <f aca="false">'Price History'!B3+('Price History'!B158-'Price History'!B3)*0.201298701298701</f>
        <v>456.506883116883</v>
      </c>
      <c r="X34" s="137" t="n">
        <f aca="false">'Price History'!C3+('Price History'!C158-'Price History'!C3)*0.201298701298701</f>
        <v>71.2394155844155</v>
      </c>
      <c r="Y34" s="137" t="n">
        <f aca="false">'Price History'!D3+('Price History'!D158-'Price History'!D3)*0.201298701298701</f>
        <v>856.48012987013</v>
      </c>
      <c r="Z34" s="137" t="n">
        <f aca="false">'Price History'!E3+('Price History'!E158-'Price History'!E3)*0.201298701298701</f>
        <v>144.637792207792</v>
      </c>
      <c r="AA34" s="137" t="n">
        <f aca="false">'Price History'!F3+('Price History'!F158-'Price History'!F3)*0.201298701298701</f>
        <v>68.0197402597402</v>
      </c>
      <c r="AB34" s="137" t="n">
        <f aca="false">'Price History'!G3+('Price History'!G158-'Price History'!G3)*0.201298701298701</f>
        <v>75.0592207792207</v>
      </c>
      <c r="AC34" s="137" t="n">
        <f aca="false">'Price History'!H3+('Price History'!H158-'Price History'!H3)*0.201298701298701</f>
        <v>217.087272727273</v>
      </c>
      <c r="AD34" s="137" t="n">
        <f aca="false">'Price History'!I3+('Price History'!I158-'Price History'!I3)*0.201298701298701</f>
        <v>73.0376623376623</v>
      </c>
      <c r="AE34" s="137" t="n">
        <f aca="false">'Price History'!J3+('Price History'!J158-'Price History'!J3)*0.201298701298701</f>
        <v>127.757402597403</v>
      </c>
      <c r="AF34" s="137" t="n">
        <f aca="false">'Price History'!K3+('Price History'!K158-'Price History'!K3)*0.201298701298701</f>
        <v>37.0798051948052</v>
      </c>
      <c r="AG34" s="137" t="n">
        <f aca="false">'Price History'!L3+('Price History'!L158-'Price History'!L3)*0.201298701298701</f>
        <v>154.847532467532</v>
      </c>
      <c r="AH34" s="137" t="n">
        <f aca="false">'Price History'!M3+('Price History'!M158-'Price History'!M3)*0.201298701298701</f>
        <v>75.3922077922077</v>
      </c>
      <c r="AI34" s="137" t="n">
        <f aca="false">'Price History'!N3+('Price History'!N158-'Price History'!N3)*0.201298701298701</f>
        <v>375.473246753247</v>
      </c>
      <c r="AJ34" s="137" t="n">
        <f aca="false">'Price History'!O3+('Price History'!O158-'Price History'!O3)*0.201298701298701</f>
        <v>91.3911038961039</v>
      </c>
      <c r="AK34" s="137" t="n">
        <f aca="false">'Price History'!Q3+('Price History'!Q151-'Price History'!Q3)*0.201298701298701</f>
        <v>53.5861688311688</v>
      </c>
      <c r="AL34" s="137" t="n">
        <f aca="false">'Price History'!R3+('Price History'!R158-'Price History'!R3)*0.201298701298701</f>
        <v>49.9195454545455</v>
      </c>
      <c r="AM34" s="137" t="n">
        <f aca="false">'Price History'!S3+('Price History'!S158-'Price History'!S3)*0.201298701298701</f>
        <v>75.7087662337662</v>
      </c>
      <c r="AN34" s="137" t="n">
        <f aca="false">'Price History'!T3+('Price History'!T158-'Price History'!T3)*0.201298701298701</f>
        <v>31.5056493506493</v>
      </c>
    </row>
    <row r="35" customFormat="false" ht="15" hidden="false" customHeight="true" outlineLevel="0" collapsed="false">
      <c r="A35" s="135" t="n">
        <f aca="false">IF('Price History'!A36="","",'Price History'!A36)</f>
        <v>45379</v>
      </c>
      <c r="B35" s="136" t="n">
        <f aca="false">IFERROR(IF(OR(NOT(ISNUMBER('Price History'!B36)),NOT(ISNUMBER('Price History'!B35)),'Price History'!B35=0),"",'Price History'!B36/'Price History'!B35-1),"")</f>
        <v>0.0101697629724535</v>
      </c>
      <c r="C35" s="136" t="n">
        <f aca="false">IFERROR(IF(OR(NOT(ISNUMBER('Price History'!C36)),NOT(ISNUMBER('Price History'!C35)),'Price History'!C35=0),"",'Price History'!C36/'Price History'!C35-1),"")</f>
        <v>-0.0536483487795327</v>
      </c>
      <c r="D35" s="136" t="n">
        <f aca="false">IFERROR(IF(OR(NOT(ISNUMBER('Price History'!D36)),NOT(ISNUMBER('Price History'!D35)),'Price History'!D35=0),"",'Price History'!D36/'Price History'!D35-1),"")</f>
        <v>-0.0096840687374995</v>
      </c>
      <c r="E35" s="136" t="n">
        <f aca="false">IFERROR(IF(OR(NOT(ISNUMBER('Price History'!E36)),NOT(ISNUMBER('Price History'!E35)),'Price History'!E35=0),"",'Price History'!E36/'Price History'!E35-1),"")</f>
        <v>-0.0207609900258589</v>
      </c>
      <c r="F35" s="136" t="n">
        <f aca="false">IFERROR(IF(OR(NOT(ISNUMBER('Price History'!F36)),NOT(ISNUMBER('Price History'!F35)),'Price History'!F35=0),"",'Price History'!F36/'Price History'!F35-1),"")</f>
        <v>-0.0213675213675214</v>
      </c>
      <c r="G35" s="136" t="n">
        <f aca="false">IFERROR(IF(OR(NOT(ISNUMBER('Price History'!G36)),NOT(ISNUMBER('Price History'!G35)),'Price History'!G35=0),"",'Price History'!G36/'Price History'!G35-1),"")</f>
        <v>-0.0168871376301717</v>
      </c>
      <c r="H35" s="136" t="n">
        <f aca="false">IFERROR(IF(OR(NOT(ISNUMBER('Price History'!H36)),NOT(ISNUMBER('Price History'!H35)),'Price History'!H35=0),"",'Price History'!H36/'Price History'!H35-1),"")</f>
        <v>0.0696851465384267</v>
      </c>
      <c r="I35" s="136" t="n">
        <f aca="false">IFERROR(IF(OR(NOT(ISNUMBER('Price History'!I36)),NOT(ISNUMBER('Price History'!I35)),'Price History'!I35=0),"",'Price History'!I36/'Price History'!I35-1),"")</f>
        <v>-0.0416799236398346</v>
      </c>
      <c r="J35" s="136" t="n">
        <f aca="false">IFERROR(IF(OR(NOT(ISNUMBER('Price History'!J36)),NOT(ISNUMBER('Price History'!J35)),'Price History'!J35=0),"",'Price History'!J36/'Price History'!J35-1),"")</f>
        <v>0.0124397449852278</v>
      </c>
      <c r="K35" s="136" t="n">
        <f aca="false">IFERROR(IF(OR(NOT(ISNUMBER('Price History'!K36)),NOT(ISNUMBER('Price History'!K35)),'Price History'!K35=0),"",'Price History'!K36/'Price History'!K35-1),"")</f>
        <v>-0.0483870967741935</v>
      </c>
      <c r="L35" s="136" t="n">
        <f aca="false">IFERROR(IF(OR(NOT(ISNUMBER('Price History'!L36)),NOT(ISNUMBER('Price History'!L35)),'Price History'!L35=0),"",'Price History'!L36/'Price History'!L35-1),"")</f>
        <v>-0.0319481998007684</v>
      </c>
      <c r="M35" s="136" t="n">
        <f aca="false">IFERROR(IF(OR(NOT(ISNUMBER('Price History'!M36)),NOT(ISNUMBER('Price History'!M35)),'Price History'!M35=0),"",'Price History'!M36/'Price History'!M35-1),"")</f>
        <v>-0.010060606060606</v>
      </c>
      <c r="N35" s="136" t="n">
        <f aca="false">IFERROR(IF(OR(NOT(ISNUMBER('Price History'!N36)),NOT(ISNUMBER('Price History'!N35)),'Price History'!N35=0),"",'Price History'!N36/'Price History'!N35-1),"")</f>
        <v>0.00565365924072547</v>
      </c>
      <c r="O35" s="136" t="n">
        <f aca="false">IFERROR(IF(OR(NOT(ISNUMBER('Price History'!O36)),NOT(ISNUMBER('Price History'!O35)),'Price History'!O35=0),"",'Price History'!O36/'Price History'!O35-1),"")</f>
        <v>0.0286498353457738</v>
      </c>
      <c r="P35" s="136" t="str">
        <f aca="false">IFERROR(IF(OR(NOT(ISNUMBER('Price History'!P36)),NOT(ISNUMBER('Price History'!P35)),'Price History'!P35=0),"",'Price History'!P36/'Price History'!P35-1),"")</f>
        <v/>
      </c>
      <c r="Q35" s="136" t="n">
        <f aca="false">IFERROR(IF(OR(NOT(ISNUMBER('Price History'!Q36)),NOT(ISNUMBER('Price History'!Q35)),'Price History'!Q35=0),"",'Price History'!Q36/'Price History'!Q35-1),"")</f>
        <v>0.0107888220728687</v>
      </c>
      <c r="R35" s="136" t="n">
        <f aca="false">IFERROR(IF(OR(NOT(ISNUMBER('Price History'!R36)),NOT(ISNUMBER('Price History'!R35)),'Price History'!R35=0),"",'Price History'!R36/'Price History'!R35-1),"")</f>
        <v>-0.000368595650571235</v>
      </c>
      <c r="S35" s="136" t="n">
        <f aca="false">IFERROR(IF(OR(NOT(ISNUMBER('Price History'!S36)),NOT(ISNUMBER('Price History'!S35)),'Price History'!S35=0),"",'Price History'!S36/'Price History'!S35-1),"")</f>
        <v>-0.00754670295682292</v>
      </c>
      <c r="T35" s="136" t="n">
        <f aca="false">IFERROR(IF(OR(NOT(ISNUMBER('Price History'!T36)),NOT(ISNUMBER('Price History'!T35)),'Price History'!T35=0),"",'Price History'!T36/'Price History'!T35-1),"")</f>
        <v>0.0156690692572861</v>
      </c>
      <c r="U35" s="136" t="str">
        <f aca="false">IFERROR(IF(OR(NOT(ISNUMBER('Price History'!U36)),NOT(ISNUMBER('Price History'!U35)),'Price History'!U35=0),"",'Price History'!U36/'Price History'!U35-1),"")</f>
        <v/>
      </c>
      <c r="W35" s="137" t="n">
        <f aca="false">'Price History'!B3+('Price History'!B158-'Price History'!B3)*0.207792207792208</f>
        <v>454.831298701299</v>
      </c>
      <c r="X35" s="137" t="n">
        <f aca="false">'Price History'!C3+('Price History'!C158-'Price History'!C3)*0.207792207792208</f>
        <v>72.1264935064935</v>
      </c>
      <c r="Y35" s="137" t="n">
        <f aca="false">'Price History'!D3+('Price History'!D158-'Price History'!D3)*0.207792207792208</f>
        <v>862.760779220779</v>
      </c>
      <c r="Z35" s="137" t="n">
        <f aca="false">'Price History'!E3+('Price History'!E158-'Price History'!E3)*0.207792207792208</f>
        <v>146.626753246753</v>
      </c>
      <c r="AA35" s="137" t="n">
        <f aca="false">'Price History'!F3+('Price History'!F158-'Price History'!F3)*0.207792207792208</f>
        <v>69.0184415584416</v>
      </c>
      <c r="AB35" s="137" t="n">
        <f aca="false">'Price History'!G3+('Price History'!G158-'Price History'!G3)*0.207792207792208</f>
        <v>75.9353246753247</v>
      </c>
      <c r="AC35" s="137" t="n">
        <f aca="false">'Price History'!H3+('Price History'!H158-'Price History'!H3)*0.207792207792208</f>
        <v>222.013636363637</v>
      </c>
      <c r="AD35" s="137" t="n">
        <f aca="false">'Price History'!I3+('Price History'!I158-'Price History'!I3)*0.207792207792208</f>
        <v>74.0759740259741</v>
      </c>
      <c r="AE35" s="137" t="n">
        <f aca="false">'Price History'!J3+('Price History'!J158-'Price History'!J3)*0.207792207792208</f>
        <v>127.894415584416</v>
      </c>
      <c r="AF35" s="137" t="n">
        <f aca="false">'Price History'!K3+('Price History'!K158-'Price History'!K3)*0.207792207792208</f>
        <v>37.7788311688312</v>
      </c>
      <c r="AG35" s="137" t="n">
        <f aca="false">'Price History'!L3+('Price History'!L158-'Price History'!L3)*0.207792207792208</f>
        <v>156.875194805195</v>
      </c>
      <c r="AH35" s="137" t="n">
        <f aca="false">'Price History'!M3+('Price History'!M158-'Price History'!M3)*0.207792207792208</f>
        <v>76.7432467532468</v>
      </c>
      <c r="AI35" s="137" t="n">
        <f aca="false">'Price History'!N3+('Price History'!N158-'Price History'!N3)*0.207792207792208</f>
        <v>376.299480519481</v>
      </c>
      <c r="AJ35" s="137" t="n">
        <f aca="false">'Price History'!O3+('Price History'!O158-'Price History'!O3)*0.207792207792208</f>
        <v>91.6666233766234</v>
      </c>
      <c r="AK35" s="137" t="n">
        <f aca="false">'Price History'!Q3+('Price History'!Q151-'Price History'!Q3)*0.207792207792208</f>
        <v>53.707012987013</v>
      </c>
      <c r="AL35" s="137" t="n">
        <f aca="false">'Price History'!R3+('Price History'!R158-'Price History'!R3)*0.207792207792208</f>
        <v>49.9872727272727</v>
      </c>
      <c r="AM35" s="137" t="n">
        <f aca="false">'Price History'!S3+('Price History'!S158-'Price History'!S3)*0.207792207792208</f>
        <v>76.2625974025974</v>
      </c>
      <c r="AN35" s="137" t="n">
        <f aca="false">'Price History'!T3+('Price History'!T158-'Price History'!T3)*0.207792207792208</f>
        <v>31.6538961038961</v>
      </c>
    </row>
    <row r="36" customFormat="false" ht="15" hidden="false" customHeight="true" outlineLevel="0" collapsed="false">
      <c r="A36" s="135" t="n">
        <f aca="false">IF('Price History'!A37="","",'Price History'!A37)</f>
        <v>45387</v>
      </c>
      <c r="B36" s="136" t="n">
        <f aca="false">IFERROR(IF(OR(NOT(ISNUMBER('Price History'!B37)),NOT(ISNUMBER('Price History'!B36)),'Price History'!B36=0),"",'Price History'!B37/'Price History'!B36-1),"")</f>
        <v>-0.0386048355132779</v>
      </c>
      <c r="C36" s="136" t="n">
        <f aca="false">IFERROR(IF(OR(NOT(ISNUMBER('Price History'!C37)),NOT(ISNUMBER('Price History'!C36)),'Price History'!C36=0),"",'Price History'!C37/'Price History'!C36-1),"")</f>
        <v>0.0262068965517241</v>
      </c>
      <c r="D36" s="136" t="n">
        <f aca="false">IFERROR(IF(OR(NOT(ISNUMBER('Price History'!D37)),NOT(ISNUMBER('Price History'!D36)),'Price History'!D36=0),"",'Price History'!D37/'Price History'!D36-1),"")</f>
        <v>0.00935629128154392</v>
      </c>
      <c r="E36" s="136" t="n">
        <f aca="false">IFERROR(IF(OR(NOT(ISNUMBER('Price History'!E37)),NOT(ISNUMBER('Price History'!E36)),'Price History'!E36=0),"",'Price History'!E37/'Price History'!E36-1),"")</f>
        <v>0.0105628489512601</v>
      </c>
      <c r="F36" s="136" t="n">
        <f aca="false">IFERROR(IF(OR(NOT(ISNUMBER('Price History'!F37)),NOT(ISNUMBER('Price History'!F36)),'Price History'!F36=0),"",'Price History'!F37/'Price History'!F36-1),"")</f>
        <v>-0.015845290081098</v>
      </c>
      <c r="G36" s="136" t="n">
        <f aca="false">IFERROR(IF(OR(NOT(ISNUMBER('Price History'!G37)),NOT(ISNUMBER('Price History'!G36)),'Price History'!G36=0),"",'Price History'!G37/'Price History'!G36-1),"")</f>
        <v>-0.0226166618952189</v>
      </c>
      <c r="H36" s="136" t="n">
        <f aca="false">IFERROR(IF(OR(NOT(ISNUMBER('Price History'!H37)),NOT(ISNUMBER('Price History'!H36)),'Price History'!H36=0),"",'Price History'!H37/'Price History'!H36-1),"")</f>
        <v>0.0482653320892357</v>
      </c>
      <c r="I36" s="136" t="n">
        <f aca="false">IFERROR(IF(OR(NOT(ISNUMBER('Price History'!I37)),NOT(ISNUMBER('Price History'!I36)),'Price History'!I36=0),"",'Price History'!I37/'Price History'!I36-1),"")</f>
        <v>-0.0260070827799911</v>
      </c>
      <c r="J36" s="136" t="n">
        <f aca="false">IFERROR(IF(OR(NOT(ISNUMBER('Price History'!J37)),NOT(ISNUMBER('Price History'!J36)),'Price History'!J36=0),"",'Price History'!J37/'Price History'!J36-1),"")</f>
        <v>-0.0420826293964062</v>
      </c>
      <c r="K36" s="136" t="n">
        <f aca="false">IFERROR(IF(OR(NOT(ISNUMBER('Price History'!K37)),NOT(ISNUMBER('Price History'!K36)),'Price History'!K36=0),"",'Price History'!K37/'Price History'!K36-1),"")</f>
        <v>-0.00217296827466318</v>
      </c>
      <c r="L36" s="136" t="n">
        <f aca="false">IFERROR(IF(OR(NOT(ISNUMBER('Price History'!L37)),NOT(ISNUMBER('Price History'!L36)),'Price History'!L36=0),"",'Price History'!L37/'Price History'!L36-1),"")</f>
        <v>0.0390297684674752</v>
      </c>
      <c r="M36" s="136" t="n">
        <f aca="false">IFERROR(IF(OR(NOT(ISNUMBER('Price History'!M37)),NOT(ISNUMBER('Price History'!M36)),'Price History'!M36=0),"",'Price History'!M37/'Price History'!M36-1),"")</f>
        <v>0.0449369413493328</v>
      </c>
      <c r="N36" s="136" t="n">
        <f aca="false">IFERROR(IF(OR(NOT(ISNUMBER('Price History'!N37)),NOT(ISNUMBER('Price History'!N36)),'Price History'!N36=0),"",'Price History'!N37/'Price History'!N36-1),"")</f>
        <v>-0.0271285375947943</v>
      </c>
      <c r="O36" s="136" t="n">
        <f aca="false">IFERROR(IF(OR(NOT(ISNUMBER('Price History'!O37)),NOT(ISNUMBER('Price History'!O36)),'Price History'!O36=0),"",'Price History'!O37/'Price History'!O36-1),"")</f>
        <v>-0.0215558638352363</v>
      </c>
      <c r="P36" s="136" t="str">
        <f aca="false">IFERROR(IF(OR(NOT(ISNUMBER('Price History'!P37)),NOT(ISNUMBER('Price History'!P36)),'Price History'!P36=0),"",'Price History'!P37/'Price History'!P36-1),"")</f>
        <v/>
      </c>
      <c r="Q36" s="136" t="n">
        <f aca="false">IFERROR(IF(OR(NOT(ISNUMBER('Price History'!Q37)),NOT(ISNUMBER('Price History'!Q36)),'Price History'!Q36=0),"",'Price History'!Q37/'Price History'!Q36-1),"")</f>
        <v>0.00104986876640423</v>
      </c>
      <c r="R36" s="136" t="n">
        <f aca="false">IFERROR(IF(OR(NOT(ISNUMBER('Price History'!R37)),NOT(ISNUMBER('Price History'!R36)),'Price History'!R36=0),"",'Price History'!R37/'Price History'!R36-1),"")</f>
        <v>-0.0119837758112095</v>
      </c>
      <c r="S36" s="136" t="n">
        <f aca="false">IFERROR(IF(OR(NOT(ISNUMBER('Price History'!S37)),NOT(ISNUMBER('Price History'!S36)),'Price History'!S36=0),"",'Price History'!S37/'Price History'!S36-1),"")</f>
        <v>0.00286711543256057</v>
      </c>
      <c r="T36" s="136" t="n">
        <f aca="false">IFERROR(IF(OR(NOT(ISNUMBER('Price History'!T37)),NOT(ISNUMBER('Price History'!T36)),'Price History'!T36=0),"",'Price History'!T37/'Price History'!T36-1),"")</f>
        <v>-0.00246837395865474</v>
      </c>
      <c r="U36" s="136" t="str">
        <f aca="false">IFERROR(IF(OR(NOT(ISNUMBER('Price History'!U37)),NOT(ISNUMBER('Price History'!U36)),'Price History'!U36=0),"",'Price History'!U37/'Price History'!U36-1),"")</f>
        <v/>
      </c>
      <c r="W36" s="137" t="n">
        <f aca="false">'Price History'!B3+('Price History'!B158-'Price History'!B3)*0.214285714285714</f>
        <v>453.155714285714</v>
      </c>
      <c r="X36" s="137" t="n">
        <f aca="false">'Price History'!C3+('Price History'!C158-'Price History'!C3)*0.214285714285714</f>
        <v>73.0135714285714</v>
      </c>
      <c r="Y36" s="137" t="n">
        <f aca="false">'Price History'!D3+('Price History'!D158-'Price History'!D3)*0.214285714285714</f>
        <v>869.041428571428</v>
      </c>
      <c r="Z36" s="137" t="n">
        <f aca="false">'Price History'!E3+('Price History'!E158-'Price History'!E3)*0.214285714285714</f>
        <v>148.615714285714</v>
      </c>
      <c r="AA36" s="137" t="n">
        <f aca="false">'Price History'!F3+('Price History'!F158-'Price History'!F3)*0.214285714285714</f>
        <v>70.0171428571428</v>
      </c>
      <c r="AB36" s="137" t="n">
        <f aca="false">'Price History'!G3+('Price History'!G158-'Price History'!G3)*0.214285714285714</f>
        <v>76.8114285714285</v>
      </c>
      <c r="AC36" s="137" t="n">
        <f aca="false">'Price History'!H3+('Price History'!H158-'Price History'!H3)*0.214285714285714</f>
        <v>226.94</v>
      </c>
      <c r="AD36" s="137" t="n">
        <f aca="false">'Price History'!I3+('Price History'!I158-'Price History'!I3)*0.214285714285714</f>
        <v>75.1142857142857</v>
      </c>
      <c r="AE36" s="137" t="n">
        <f aca="false">'Price History'!J3+('Price History'!J158-'Price History'!J3)*0.214285714285714</f>
        <v>128.031428571429</v>
      </c>
      <c r="AF36" s="137" t="n">
        <f aca="false">'Price History'!K3+('Price History'!K158-'Price History'!K3)*0.214285714285714</f>
        <v>38.4778571428571</v>
      </c>
      <c r="AG36" s="137" t="n">
        <f aca="false">'Price History'!L3+('Price History'!L158-'Price History'!L3)*0.214285714285714</f>
        <v>158.902857142857</v>
      </c>
      <c r="AH36" s="137" t="n">
        <f aca="false">'Price History'!M3+('Price History'!M158-'Price History'!M3)*0.214285714285714</f>
        <v>78.0942857142857</v>
      </c>
      <c r="AI36" s="137" t="n">
        <f aca="false">'Price History'!N3+('Price History'!N158-'Price History'!N3)*0.214285714285714</f>
        <v>377.125714285714</v>
      </c>
      <c r="AJ36" s="137" t="n">
        <f aca="false">'Price History'!O3+('Price History'!O158-'Price History'!O3)*0.214285714285714</f>
        <v>91.9421428571428</v>
      </c>
      <c r="AK36" s="137" t="n">
        <f aca="false">'Price History'!Q3+('Price History'!Q151-'Price History'!Q3)*0.214285714285714</f>
        <v>53.8278571428571</v>
      </c>
      <c r="AL36" s="137" t="n">
        <f aca="false">'Price History'!R3+('Price History'!R158-'Price History'!R3)*0.214285714285714</f>
        <v>50.055</v>
      </c>
      <c r="AM36" s="137" t="n">
        <f aca="false">'Price History'!S3+('Price History'!S158-'Price History'!S3)*0.214285714285714</f>
        <v>76.8164285714286</v>
      </c>
      <c r="AN36" s="137" t="n">
        <f aca="false">'Price History'!T3+('Price History'!T158-'Price History'!T3)*0.214285714285714</f>
        <v>31.8021428571429</v>
      </c>
    </row>
    <row r="37" customFormat="false" ht="15" hidden="false" customHeight="true" outlineLevel="0" collapsed="false">
      <c r="A37" s="135" t="n">
        <f aca="false">IF('Price History'!A38="","",'Price History'!A38)</f>
        <v>45394</v>
      </c>
      <c r="B37" s="136" t="n">
        <f aca="false">IFERROR(IF(OR(NOT(ISNUMBER('Price History'!B38)),NOT(ISNUMBER('Price History'!B37)),'Price History'!B37=0),"",'Price History'!B38/'Price History'!B37-1),"")</f>
        <v>-0.0227366424802111</v>
      </c>
      <c r="C37" s="136" t="n">
        <f aca="false">IFERROR(IF(OR(NOT(ISNUMBER('Price History'!C38)),NOT(ISNUMBER('Price History'!C37)),'Price History'!C37=0),"",'Price History'!C38/'Price History'!C37-1),"")</f>
        <v>-0.0885752688172043</v>
      </c>
      <c r="D37" s="136" t="n">
        <f aca="false">IFERROR(IF(OR(NOT(ISNUMBER('Price History'!D38)),NOT(ISNUMBER('Price History'!D37)),'Price History'!D37=0),"",'Price History'!D38/'Price History'!D37-1),"")</f>
        <v>-0.0180797304884895</v>
      </c>
      <c r="E37" s="136" t="n">
        <f aca="false">IFERROR(IF(OR(NOT(ISNUMBER('Price History'!E38)),NOT(ISNUMBER('Price History'!E37)),'Price History'!E37=0),"",'Price History'!E38/'Price History'!E37-1),"")</f>
        <v>0.00350903389577417</v>
      </c>
      <c r="F37" s="136" t="n">
        <f aca="false">IFERROR(IF(OR(NOT(ISNUMBER('Price History'!F38)),NOT(ISNUMBER('Price History'!F37)),'Price History'!F37=0),"",'Price History'!F38/'Price History'!F37-1),"")</f>
        <v>-0.0205375253549694</v>
      </c>
      <c r="G37" s="136" t="n">
        <f aca="false">IFERROR(IF(OR(NOT(ISNUMBER('Price History'!G38)),NOT(ISNUMBER('Price History'!G37)),'Price History'!G37=0),"",'Price History'!G38/'Price History'!G37-1),"")</f>
        <v>-0.00292911540714713</v>
      </c>
      <c r="H37" s="136" t="n">
        <f aca="false">IFERROR(IF(OR(NOT(ISNUMBER('Price History'!H38)),NOT(ISNUMBER('Price History'!H37)),'Price History'!H37=0),"",'Price History'!H38/'Price History'!H37-1),"")</f>
        <v>-0.00857743971516434</v>
      </c>
      <c r="I37" s="136" t="n">
        <f aca="false">IFERROR(IF(OR(NOT(ISNUMBER('Price History'!I38)),NOT(ISNUMBER('Price History'!I37)),'Price History'!I37=0),"",'Price History'!I38/'Price History'!I37-1),"")</f>
        <v>0.00204522213384828</v>
      </c>
      <c r="J37" s="136" t="n">
        <f aca="false">IFERROR(IF(OR(NOT(ISNUMBER('Price History'!J38)),NOT(ISNUMBER('Price History'!J37)),'Price History'!J37=0),"",'Price History'!J38/'Price History'!J37-1),"")</f>
        <v>-0.0460157126823794</v>
      </c>
      <c r="K37" s="136" t="n">
        <f aca="false">IFERROR(IF(OR(NOT(ISNUMBER('Price History'!K38)),NOT(ISNUMBER('Price History'!K37)),'Price History'!K37=0),"",'Price History'!K38/'Price History'!K37-1),"")</f>
        <v>-0.0126306620209059</v>
      </c>
      <c r="L37" s="136" t="n">
        <f aca="false">IFERROR(IF(OR(NOT(ISNUMBER('Price History'!L38)),NOT(ISNUMBER('Price History'!L37)),'Price History'!L37=0),"",'Price History'!L38/'Price History'!L37-1),"")</f>
        <v>0.008205998868138</v>
      </c>
      <c r="M37" s="136" t="n">
        <f aca="false">IFERROR(IF(OR(NOT(ISNUMBER('Price History'!M38)),NOT(ISNUMBER('Price History'!M37)),'Price History'!M37=0),"",'Price History'!M38/'Price History'!M37-1),"")</f>
        <v>-0.0169908600890556</v>
      </c>
      <c r="N37" s="136" t="n">
        <f aca="false">IFERROR(IF(OR(NOT(ISNUMBER('Price History'!N38)),NOT(ISNUMBER('Price History'!N37)),'Price History'!N37=0),"",'Price History'!N38/'Price History'!N37-1),"")</f>
        <v>-0.0248850419258858</v>
      </c>
      <c r="O37" s="136" t="n">
        <f aca="false">IFERROR(IF(OR(NOT(ISNUMBER('Price History'!O38)),NOT(ISNUMBER('Price History'!O37)),'Price History'!O37=0),"",'Price History'!O38/'Price History'!O37-1),"")</f>
        <v>-0.0308648707601701</v>
      </c>
      <c r="P37" s="136" t="str">
        <f aca="false">IFERROR(IF(OR(NOT(ISNUMBER('Price History'!P38)),NOT(ISNUMBER('Price History'!P37)),'Price History'!P37=0),"",'Price History'!P38/'Price History'!P37-1),"")</f>
        <v/>
      </c>
      <c r="Q37" s="136" t="n">
        <f aca="false">IFERROR(IF(OR(NOT(ISNUMBER('Price History'!Q38)),NOT(ISNUMBER('Price History'!Q37)),'Price History'!Q37=0),"",'Price History'!Q38/'Price History'!Q37-1),"")</f>
        <v>-0.00262191924488719</v>
      </c>
      <c r="R37" s="136" t="n">
        <f aca="false">IFERROR(IF(OR(NOT(ISNUMBER('Price History'!R38)),NOT(ISNUMBER('Price History'!R37)),'Price History'!R37=0),"",'Price History'!R38/'Price History'!R37-1),"")</f>
        <v>-0.0035454375816385</v>
      </c>
      <c r="S37" s="136" t="n">
        <f aca="false">IFERROR(IF(OR(NOT(ISNUMBER('Price History'!S38)),NOT(ISNUMBER('Price History'!S37)),'Price History'!S37=0),"",'Price History'!S38/'Price History'!S37-1),"")</f>
        <v>-0.0140459912989436</v>
      </c>
      <c r="T37" s="136" t="n">
        <f aca="false">IFERROR(IF(OR(NOT(ISNUMBER('Price History'!T38)),NOT(ISNUMBER('Price History'!T37)),'Price History'!T37=0),"",'Price History'!T38/'Price History'!T37-1),"")</f>
        <v>-0.0259820600061862</v>
      </c>
      <c r="U37" s="136" t="str">
        <f aca="false">IFERROR(IF(OR(NOT(ISNUMBER('Price History'!U38)),NOT(ISNUMBER('Price History'!U37)),'Price History'!U37=0),"",'Price History'!U38/'Price History'!U37-1),"")</f>
        <v/>
      </c>
      <c r="W37" s="137" t="n">
        <f aca="false">'Price History'!B3+('Price History'!B158-'Price History'!B3)*0.220779220779221</f>
        <v>451.48012987013</v>
      </c>
      <c r="X37" s="137" t="n">
        <f aca="false">'Price History'!C3+('Price History'!C158-'Price History'!C3)*0.220779220779221</f>
        <v>73.9006493506494</v>
      </c>
      <c r="Y37" s="137" t="n">
        <f aca="false">'Price History'!D3+('Price History'!D158-'Price History'!D3)*0.220779220779221</f>
        <v>875.322077922078</v>
      </c>
      <c r="Z37" s="137" t="n">
        <f aca="false">'Price History'!E3+('Price History'!E158-'Price History'!E3)*0.220779220779221</f>
        <v>150.604675324675</v>
      </c>
      <c r="AA37" s="137" t="n">
        <f aca="false">'Price History'!F3+('Price History'!F158-'Price History'!F3)*0.220779220779221</f>
        <v>71.0158441558442</v>
      </c>
      <c r="AB37" s="137" t="n">
        <f aca="false">'Price History'!G3+('Price History'!G158-'Price History'!G3)*0.220779220779221</f>
        <v>77.6875324675325</v>
      </c>
      <c r="AC37" s="137" t="n">
        <f aca="false">'Price History'!H3+('Price History'!H158-'Price History'!H3)*0.220779220779221</f>
        <v>231.866363636364</v>
      </c>
      <c r="AD37" s="137" t="n">
        <f aca="false">'Price History'!I3+('Price History'!I158-'Price History'!I3)*0.220779220779221</f>
        <v>76.1525974025974</v>
      </c>
      <c r="AE37" s="137" t="n">
        <f aca="false">'Price History'!J3+('Price History'!J158-'Price History'!J3)*0.220779220779221</f>
        <v>128.168441558442</v>
      </c>
      <c r="AF37" s="137" t="n">
        <f aca="false">'Price History'!K3+('Price History'!K158-'Price History'!K3)*0.220779220779221</f>
        <v>39.1768831168831</v>
      </c>
      <c r="AG37" s="137" t="n">
        <f aca="false">'Price History'!L3+('Price History'!L158-'Price History'!L3)*0.220779220779221</f>
        <v>160.93051948052</v>
      </c>
      <c r="AH37" s="137" t="n">
        <f aca="false">'Price History'!M3+('Price History'!M158-'Price History'!M3)*0.220779220779221</f>
        <v>79.4453246753247</v>
      </c>
      <c r="AI37" s="137" t="n">
        <f aca="false">'Price History'!N3+('Price History'!N158-'Price History'!N3)*0.220779220779221</f>
        <v>377.951948051948</v>
      </c>
      <c r="AJ37" s="137" t="n">
        <f aca="false">'Price History'!O3+('Price History'!O158-'Price History'!O3)*0.220779220779221</f>
        <v>92.2176623376624</v>
      </c>
      <c r="AK37" s="137" t="n">
        <f aca="false">'Price History'!Q3+('Price History'!Q151-'Price History'!Q3)*0.220779220779221</f>
        <v>53.9487012987013</v>
      </c>
      <c r="AL37" s="137" t="n">
        <f aca="false">'Price History'!R3+('Price History'!R158-'Price History'!R3)*0.220779220779221</f>
        <v>50.1227272727273</v>
      </c>
      <c r="AM37" s="137" t="n">
        <f aca="false">'Price History'!S3+('Price History'!S158-'Price History'!S3)*0.220779220779221</f>
        <v>77.3702597402598</v>
      </c>
      <c r="AN37" s="137" t="n">
        <f aca="false">'Price History'!T3+('Price History'!T158-'Price History'!T3)*0.220779220779221</f>
        <v>31.9503896103896</v>
      </c>
    </row>
    <row r="38" customFormat="false" ht="15" hidden="false" customHeight="true" outlineLevel="0" collapsed="false">
      <c r="A38" s="135" t="n">
        <f aca="false">IF('Price History'!A39="","",'Price History'!A39)</f>
        <v>45401</v>
      </c>
      <c r="B38" s="136" t="n">
        <f aca="false">IFERROR(IF(OR(NOT(ISNUMBER('Price History'!B39)),NOT(ISNUMBER('Price History'!B38)),'Price History'!B38=0),"",'Price History'!B39/'Price History'!B38-1),"")</f>
        <v>-0.0191313885549157</v>
      </c>
      <c r="C38" s="136" t="n">
        <f aca="false">IFERROR(IF(OR(NOT(ISNUMBER('Price History'!C39)),NOT(ISNUMBER('Price History'!C38)),'Price History'!C38=0),"",'Price History'!C39/'Price History'!C38-1),"")</f>
        <v>-0.0927591800619377</v>
      </c>
      <c r="D38" s="136" t="n">
        <f aca="false">IFERROR(IF(OR(NOT(ISNUMBER('Price History'!D39)),NOT(ISNUMBER('Price History'!D38)),'Price History'!D38=0),"",'Price History'!D39/'Price History'!D38-1),"")</f>
        <v>-0.106358645928637</v>
      </c>
      <c r="E38" s="136" t="n">
        <f aca="false">IFERROR(IF(OR(NOT(ISNUMBER('Price History'!E39)),NOT(ISNUMBER('Price History'!E38)),'Price History'!E38=0),"",'Price History'!E39/'Price History'!E38-1),"")</f>
        <v>-0.103712521389777</v>
      </c>
      <c r="F38" s="136" t="n">
        <f aca="false">IFERROR(IF(OR(NOT(ISNUMBER('Price History'!F39)),NOT(ISNUMBER('Price History'!F38)),'Price History'!F38=0),"",'Price History'!F39/'Price History'!F38-1),"")</f>
        <v>-0.0854258348433861</v>
      </c>
      <c r="G38" s="136" t="n">
        <f aca="false">IFERROR(IF(OR(NOT(ISNUMBER('Price History'!G39)),NOT(ISNUMBER('Price History'!G38)),'Price History'!G38=0),"",'Price History'!G39/'Price History'!G38-1),"")</f>
        <v>-0.077262044653349</v>
      </c>
      <c r="H38" s="136" t="n">
        <f aca="false">IFERROR(IF(OR(NOT(ISNUMBER('Price History'!H39)),NOT(ISNUMBER('Price History'!H38)),'Price History'!H38=0),"",'Price History'!H39/'Price History'!H38-1),"")</f>
        <v>-0.128550440744368</v>
      </c>
      <c r="I38" s="136" t="n">
        <f aca="false">IFERROR(IF(OR(NOT(ISNUMBER('Price History'!I39)),NOT(ISNUMBER('Price History'!I38)),'Price History'!I38=0),"",'Price History'!I39/'Price History'!I38-1),"")</f>
        <v>-0.135956457648259</v>
      </c>
      <c r="J38" s="136" t="n">
        <f aca="false">IFERROR(IF(OR(NOT(ISNUMBER('Price History'!J39)),NOT(ISNUMBER('Price History'!J38)),'Price History'!J38=0),"",'Price History'!J39/'Price History'!J38-1),"")</f>
        <v>-0.130336134453782</v>
      </c>
      <c r="K38" s="136" t="n">
        <f aca="false">IFERROR(IF(OR(NOT(ISNUMBER('Price History'!K39)),NOT(ISNUMBER('Price History'!K38)),'Price History'!K38=0),"",'Price History'!K39/'Price History'!K38-1),"")</f>
        <v>-0.0970445522717248</v>
      </c>
      <c r="L38" s="136" t="n">
        <f aca="false">IFERROR(IF(OR(NOT(ISNUMBER('Price History'!L39)),NOT(ISNUMBER('Price History'!L38)),'Price History'!L38=0),"",'Price History'!L39/'Price History'!L38-1),"")</f>
        <v>-0.103985405557115</v>
      </c>
      <c r="M38" s="136" t="n">
        <f aca="false">IFERROR(IF(OR(NOT(ISNUMBER('Price History'!M39)),NOT(ISNUMBER('Price History'!M38)),'Price History'!M38=0),"",'Price History'!M39/'Price History'!M38-1),"")</f>
        <v>-0.105852902610561</v>
      </c>
      <c r="N38" s="136" t="n">
        <f aca="false">IFERROR(IF(OR(NOT(ISNUMBER('Price History'!N39)),NOT(ISNUMBER('Price History'!N38)),'Price History'!N38=0),"",'Price History'!N39/'Price History'!N38-1),"")</f>
        <v>-0.00572437271466408</v>
      </c>
      <c r="O38" s="136" t="n">
        <f aca="false">IFERROR(IF(OR(NOT(ISNUMBER('Price History'!O39)),NOT(ISNUMBER('Price History'!O38)),'Price History'!O38=0),"",'Price History'!O39/'Price History'!O38-1),"")</f>
        <v>-0.00900292595093399</v>
      </c>
      <c r="P38" s="136" t="str">
        <f aca="false">IFERROR(IF(OR(NOT(ISNUMBER('Price History'!P39)),NOT(ISNUMBER('Price History'!P38)),'Price History'!P38=0),"",'Price History'!P39/'Price History'!P38-1),"")</f>
        <v/>
      </c>
      <c r="Q38" s="136" t="n">
        <f aca="false">IFERROR(IF(OR(NOT(ISNUMBER('Price History'!Q39)),NOT(ISNUMBER('Price History'!Q38)),'Price History'!Q38=0),"",'Price History'!Q39/'Price History'!Q38-1),"")</f>
        <v>0.0110410094637223</v>
      </c>
      <c r="R38" s="136" t="n">
        <f aca="false">IFERROR(IF(OR(NOT(ISNUMBER('Price History'!R39)),NOT(ISNUMBER('Price History'!R38)),'Price History'!R38=0),"",'Price History'!R39/'Price History'!R38-1),"")</f>
        <v>-0.047940074906367</v>
      </c>
      <c r="S38" s="136" t="n">
        <f aca="false">IFERROR(IF(OR(NOT(ISNUMBER('Price History'!S39)),NOT(ISNUMBER('Price History'!S38)),'Price History'!S38=0),"",'Price History'!S39/'Price History'!S38-1),"")</f>
        <v>-0.0568582955118506</v>
      </c>
      <c r="T38" s="136" t="n">
        <f aca="false">IFERROR(IF(OR(NOT(ISNUMBER('Price History'!T39)),NOT(ISNUMBER('Price History'!T38)),'Price History'!T38=0),"",'Price History'!T39/'Price History'!T38-1),"")</f>
        <v>-0.017783423308987</v>
      </c>
      <c r="U38" s="136" t="str">
        <f aca="false">IFERROR(IF(OR(NOT(ISNUMBER('Price History'!U39)),NOT(ISNUMBER('Price History'!U38)),'Price History'!U38=0),"",'Price History'!U39/'Price History'!U38-1),"")</f>
        <v/>
      </c>
      <c r="W38" s="137" t="n">
        <f aca="false">'Price History'!B3+('Price History'!B158-'Price History'!B3)*0.227272727272727</f>
        <v>449.804545454546</v>
      </c>
      <c r="X38" s="137" t="n">
        <f aca="false">'Price History'!C3+('Price History'!C158-'Price History'!C3)*0.227272727272727</f>
        <v>74.7877272727272</v>
      </c>
      <c r="Y38" s="137" t="n">
        <f aca="false">'Price History'!D3+('Price History'!D158-'Price History'!D3)*0.227272727272727</f>
        <v>881.602727272727</v>
      </c>
      <c r="Z38" s="137" t="n">
        <f aca="false">'Price History'!E3+('Price History'!E158-'Price History'!E3)*0.227272727272727</f>
        <v>152.593636363636</v>
      </c>
      <c r="AA38" s="137" t="n">
        <f aca="false">'Price History'!F3+('Price History'!F158-'Price History'!F3)*0.227272727272727</f>
        <v>72.0145454545454</v>
      </c>
      <c r="AB38" s="137" t="n">
        <f aca="false">'Price History'!G3+('Price History'!G158-'Price History'!G3)*0.227272727272727</f>
        <v>78.5636363636363</v>
      </c>
      <c r="AC38" s="137" t="n">
        <f aca="false">'Price History'!H3+('Price History'!H158-'Price History'!H3)*0.227272727272727</f>
        <v>236.792727272727</v>
      </c>
      <c r="AD38" s="137" t="n">
        <f aca="false">'Price History'!I3+('Price History'!I158-'Price History'!I3)*0.227272727272727</f>
        <v>77.1909090909091</v>
      </c>
      <c r="AE38" s="137" t="n">
        <f aca="false">'Price History'!J3+('Price History'!J158-'Price History'!J3)*0.227272727272727</f>
        <v>128.305454545455</v>
      </c>
      <c r="AF38" s="137" t="n">
        <f aca="false">'Price History'!K3+('Price History'!K158-'Price History'!K3)*0.227272727272727</f>
        <v>39.8759090909091</v>
      </c>
      <c r="AG38" s="137" t="n">
        <f aca="false">'Price History'!L3+('Price History'!L158-'Price History'!L3)*0.227272727272727</f>
        <v>162.958181818182</v>
      </c>
      <c r="AH38" s="137" t="n">
        <f aca="false">'Price History'!M3+('Price History'!M158-'Price History'!M3)*0.227272727272727</f>
        <v>80.7963636363636</v>
      </c>
      <c r="AI38" s="137" t="n">
        <f aca="false">'Price History'!N3+('Price History'!N158-'Price History'!N3)*0.227272727272727</f>
        <v>378.778181818182</v>
      </c>
      <c r="AJ38" s="137" t="n">
        <f aca="false">'Price History'!O3+('Price History'!O158-'Price History'!O3)*0.227272727272727</f>
        <v>92.4931818181818</v>
      </c>
      <c r="AK38" s="137" t="n">
        <f aca="false">'Price History'!Q3+('Price History'!Q151-'Price History'!Q3)*0.227272727272727</f>
        <v>54.0695454545455</v>
      </c>
      <c r="AL38" s="137" t="n">
        <f aca="false">'Price History'!R3+('Price History'!R158-'Price History'!R3)*0.227272727272727</f>
        <v>50.1904545454545</v>
      </c>
      <c r="AM38" s="137" t="n">
        <f aca="false">'Price History'!S3+('Price History'!S158-'Price History'!S3)*0.227272727272727</f>
        <v>77.9240909090909</v>
      </c>
      <c r="AN38" s="137" t="n">
        <f aca="false">'Price History'!T3+('Price History'!T158-'Price History'!T3)*0.227272727272727</f>
        <v>32.0986363636364</v>
      </c>
    </row>
    <row r="39" customFormat="false" ht="15" hidden="false" customHeight="true" outlineLevel="0" collapsed="false">
      <c r="A39" s="135" t="n">
        <f aca="false">IF('Price History'!A40="","",'Price History'!A40)</f>
        <v>45408</v>
      </c>
      <c r="B39" s="136" t="n">
        <f aca="false">IFERROR(IF(OR(NOT(ISNUMBER('Price History'!B40)),NOT(ISNUMBER('Price History'!B39)),'Price History'!B39=0),"",'Price History'!B40/'Price History'!B39-1),"")</f>
        <v>0.0269665820824911</v>
      </c>
      <c r="C39" s="136" t="n">
        <f aca="false">IFERROR(IF(OR(NOT(ISNUMBER('Price History'!C40)),NOT(ISNUMBER('Price History'!C39)),'Price History'!C39=0),"",'Price History'!C40/'Price History'!C39-1),"")</f>
        <v>0.0757477243172953</v>
      </c>
      <c r="D39" s="136" t="n">
        <f aca="false">IFERROR(IF(OR(NOT(ISNUMBER('Price History'!D40)),NOT(ISNUMBER('Price History'!D39)),'Price History'!D39=0),"",'Price History'!D40/'Price History'!D39-1),"")</f>
        <v>0.0691416338972009</v>
      </c>
      <c r="E39" s="136" t="n">
        <f aca="false">IFERROR(IF(OR(NOT(ISNUMBER('Price History'!E40)),NOT(ISNUMBER('Price History'!E39)),'Price History'!E39=0),"",'Price History'!E40/'Price History'!E39-1),"")</f>
        <v>0.115713455632108</v>
      </c>
      <c r="F39" s="136" t="n">
        <f aca="false">IFERROR(IF(OR(NOT(ISNUMBER('Price History'!F40)),NOT(ISNUMBER('Price History'!F39)),'Price History'!F39=0),"",'Price History'!F40/'Price History'!F39-1),"")</f>
        <v>0.0758562128502689</v>
      </c>
      <c r="G39" s="136" t="n">
        <f aca="false">IFERROR(IF(OR(NOT(ISNUMBER('Price History'!G40)),NOT(ISNUMBER('Price History'!G39)),'Price History'!G39=0),"",'Price History'!G40/'Price History'!G39-1),"")</f>
        <v>0.124323463865011</v>
      </c>
      <c r="H39" s="136" t="n">
        <f aca="false">IFERROR(IF(OR(NOT(ISNUMBER('Price History'!H40)),NOT(ISNUMBER('Price History'!H39)),'Price History'!H39=0),"",'Price History'!H40/'Price History'!H39-1),"")</f>
        <v>0.0755830289407138</v>
      </c>
      <c r="I39" s="136" t="n">
        <f aca="false">IFERROR(IF(OR(NOT(ISNUMBER('Price History'!I40)),NOT(ISNUMBER('Price History'!I39)),'Price History'!I39=0),"",'Price History'!I40/'Price History'!I39-1),"")</f>
        <v>0.151443569553806</v>
      </c>
      <c r="J39" s="136" t="n">
        <f aca="false">IFERROR(IF(OR(NOT(ISNUMBER('Price History'!J40)),NOT(ISNUMBER('Price History'!J39)),'Price History'!J39=0),"",'Price History'!J40/'Price History'!J39-1),"")</f>
        <v>0.00550777852932649</v>
      </c>
      <c r="K39" s="136" t="n">
        <f aca="false">IFERROR(IF(OR(NOT(ISNUMBER('Price History'!K40)),NOT(ISNUMBER('Price History'!K39)),'Price History'!K39=0),"",'Price History'!K40/'Price History'!K39-1),"")</f>
        <v>0.100146555935515</v>
      </c>
      <c r="L39" s="136" t="n">
        <f aca="false">IFERROR(IF(OR(NOT(ISNUMBER('Price History'!L40)),NOT(ISNUMBER('Price History'!L39)),'Price History'!L39=0),"",'Price History'!L40/'Price History'!L39-1),"")</f>
        <v>0.0830070477682068</v>
      </c>
      <c r="M39" s="136" t="n">
        <f aca="false">IFERROR(IF(OR(NOT(ISNUMBER('Price History'!M40)),NOT(ISNUMBER('Price History'!M39)),'Price History'!M39=0),"",'Price History'!M40/'Price History'!M39-1),"")</f>
        <v>0.246367151046527</v>
      </c>
      <c r="N39" s="136" t="n">
        <f aca="false">IFERROR(IF(OR(NOT(ISNUMBER('Price History'!N40)),NOT(ISNUMBER('Price History'!N39)),'Price History'!N39=0),"",'Price History'!N40/'Price History'!N39-1),"")</f>
        <v>0.00811605965303852</v>
      </c>
      <c r="O39" s="136" t="n">
        <f aca="false">IFERROR(IF(OR(NOT(ISNUMBER('Price History'!O40)),NOT(ISNUMBER('Price History'!O39)),'Price History'!O39=0),"",'Price History'!O40/'Price History'!O39-1),"")</f>
        <v>0.0247558482852599</v>
      </c>
      <c r="P39" s="136" t="str">
        <f aca="false">IFERROR(IF(OR(NOT(ISNUMBER('Price History'!P40)),NOT(ISNUMBER('Price History'!P39)),'Price History'!P39=0),"",'Price History'!P40/'Price History'!P39-1),"")</f>
        <v/>
      </c>
      <c r="Q39" s="136" t="n">
        <f aca="false">IFERROR(IF(OR(NOT(ISNUMBER('Price History'!Q40)),NOT(ISNUMBER('Price History'!Q39)),'Price History'!Q39=0),"",'Price History'!Q40/'Price History'!Q39-1),"")</f>
        <v>0.00901369388108853</v>
      </c>
      <c r="R39" s="136" t="n">
        <f aca="false">IFERROR(IF(OR(NOT(ISNUMBER('Price History'!R40)),NOT(ISNUMBER('Price History'!R39)),'Price History'!R39=0),"",'Price History'!R40/'Price History'!R39-1),"")</f>
        <v>0.0357985837922894</v>
      </c>
      <c r="S39" s="136" t="n">
        <f aca="false">IFERROR(IF(OR(NOT(ISNUMBER('Price History'!S40)),NOT(ISNUMBER('Price History'!S39)),'Price History'!S39=0),"",'Price History'!S40/'Price History'!S39-1),"")</f>
        <v>0.0300761930223232</v>
      </c>
      <c r="T39" s="136" t="n">
        <f aca="false">IFERROR(IF(OR(NOT(ISNUMBER('Price History'!T40)),NOT(ISNUMBER('Price History'!T39)),'Price History'!T39=0),"",'Price History'!T40/'Price History'!T39-1),"")</f>
        <v>0.0126091173617846</v>
      </c>
      <c r="U39" s="136" t="str">
        <f aca="false">IFERROR(IF(OR(NOT(ISNUMBER('Price History'!U40)),NOT(ISNUMBER('Price History'!U39)),'Price History'!U39=0),"",'Price History'!U40/'Price History'!U39-1),"")</f>
        <v/>
      </c>
      <c r="W39" s="137" t="n">
        <f aca="false">'Price History'!B3+('Price History'!B158-'Price History'!B3)*0.233766233766234</f>
        <v>448.128961038961</v>
      </c>
      <c r="X39" s="137" t="n">
        <f aca="false">'Price History'!C3+('Price History'!C158-'Price History'!C3)*0.233766233766234</f>
        <v>75.6748051948052</v>
      </c>
      <c r="Y39" s="137" t="n">
        <f aca="false">'Price History'!D3+('Price History'!D158-'Price History'!D3)*0.233766233766234</f>
        <v>887.883376623377</v>
      </c>
      <c r="Z39" s="137" t="n">
        <f aca="false">'Price History'!E3+('Price History'!E158-'Price History'!E3)*0.233766233766234</f>
        <v>154.582597402597</v>
      </c>
      <c r="AA39" s="137" t="n">
        <f aca="false">'Price History'!F3+('Price History'!F158-'Price History'!F3)*0.233766233766234</f>
        <v>73.0132467532468</v>
      </c>
      <c r="AB39" s="137" t="n">
        <f aca="false">'Price History'!G3+('Price History'!G158-'Price History'!G3)*0.233766233766234</f>
        <v>79.4397402597403</v>
      </c>
      <c r="AC39" s="137" t="n">
        <f aca="false">'Price History'!H3+('Price History'!H158-'Price History'!H3)*0.233766233766234</f>
        <v>241.719090909091</v>
      </c>
      <c r="AD39" s="137" t="n">
        <f aca="false">'Price History'!I3+('Price History'!I158-'Price History'!I3)*0.233766233766234</f>
        <v>78.2292207792208</v>
      </c>
      <c r="AE39" s="137" t="n">
        <f aca="false">'Price History'!J3+('Price History'!J158-'Price History'!J3)*0.233766233766234</f>
        <v>128.442467532468</v>
      </c>
      <c r="AF39" s="137" t="n">
        <f aca="false">'Price History'!K3+('Price History'!K158-'Price History'!K3)*0.233766233766234</f>
        <v>40.5749350649351</v>
      </c>
      <c r="AG39" s="137" t="n">
        <f aca="false">'Price History'!L3+('Price History'!L158-'Price History'!L3)*0.233766233766234</f>
        <v>164.985844155844</v>
      </c>
      <c r="AH39" s="137" t="n">
        <f aca="false">'Price History'!M3+('Price History'!M158-'Price History'!M3)*0.233766233766234</f>
        <v>82.1474025974027</v>
      </c>
      <c r="AI39" s="137" t="n">
        <f aca="false">'Price History'!N3+('Price History'!N158-'Price History'!N3)*0.233766233766234</f>
        <v>379.604415584416</v>
      </c>
      <c r="AJ39" s="137" t="n">
        <f aca="false">'Price History'!O3+('Price History'!O158-'Price History'!O3)*0.233766233766234</f>
        <v>92.7687012987013</v>
      </c>
      <c r="AK39" s="137" t="n">
        <f aca="false">'Price History'!Q3+('Price History'!Q151-'Price History'!Q3)*0.233766233766234</f>
        <v>54.1903896103896</v>
      </c>
      <c r="AL39" s="137" t="n">
        <f aca="false">'Price History'!R3+('Price History'!R158-'Price History'!R3)*0.233766233766234</f>
        <v>50.2581818181818</v>
      </c>
      <c r="AM39" s="137" t="n">
        <f aca="false">'Price History'!S3+('Price History'!S158-'Price History'!S3)*0.233766233766234</f>
        <v>78.4779220779221</v>
      </c>
      <c r="AN39" s="137" t="n">
        <f aca="false">'Price History'!T3+('Price History'!T158-'Price History'!T3)*0.233766233766234</f>
        <v>32.2468831168831</v>
      </c>
    </row>
    <row r="40" customFormat="false" ht="15" hidden="false" customHeight="true" outlineLevel="0" collapsed="false">
      <c r="A40" s="135" t="n">
        <f aca="false">IF('Price History'!A41="","",'Price History'!A41)</f>
        <v>45415</v>
      </c>
      <c r="B40" s="136" t="n">
        <f aca="false">IFERROR(IF(OR(NOT(ISNUMBER('Price History'!B41)),NOT(ISNUMBER('Price History'!B40)),'Price History'!B40=0),"",'Price History'!B41/'Price History'!B40-1),"")</f>
        <v>0.0180500879470642</v>
      </c>
      <c r="C40" s="136" t="n">
        <f aca="false">IFERROR(IF(OR(NOT(ISNUMBER('Price History'!C41)),NOT(ISNUMBER('Price History'!C40)),'Price History'!C40=0),"",'Price History'!C41/'Price History'!C40-1),"")</f>
        <v>0.0365669386521605</v>
      </c>
      <c r="D40" s="136" t="n">
        <f aca="false">IFERROR(IF(OR(NOT(ISNUMBER('Price History'!D41)),NOT(ISNUMBER('Price History'!D40)),'Price History'!D40=0),"",'Price History'!D41/'Price History'!D40-1),"")</f>
        <v>-0.0188689511083061</v>
      </c>
      <c r="E40" s="136" t="n">
        <f aca="false">IFERROR(IF(OR(NOT(ISNUMBER('Price History'!E41)),NOT(ISNUMBER('Price History'!E40)),'Price History'!E40=0),"",'Price History'!E41/'Price History'!E40-1),"")</f>
        <v>-0.049103489323711</v>
      </c>
      <c r="F40" s="136" t="n">
        <f aca="false">IFERROR(IF(OR(NOT(ISNUMBER('Price History'!F41)),NOT(ISNUMBER('Price History'!F40)),'Price History'!F40=0),"",'Price History'!F41/'Price History'!F40-1),"")</f>
        <v>0.0201262825572217</v>
      </c>
      <c r="G40" s="136" t="n">
        <f aca="false">IFERROR(IF(OR(NOT(ISNUMBER('Price History'!G41)),NOT(ISNUMBER('Price History'!G40)),'Price History'!G40=0),"",'Price History'!G41/'Price History'!G40-1),"")</f>
        <v>-0.0137335409882486</v>
      </c>
      <c r="H40" s="136" t="n">
        <f aca="false">IFERROR(IF(OR(NOT(ISNUMBER('Price History'!H41)),NOT(ISNUMBER('Price History'!H40)),'Price History'!H40=0),"",'Price History'!H41/'Price History'!H40-1),"")</f>
        <v>-0.00121908742598398</v>
      </c>
      <c r="I40" s="136" t="n">
        <f aca="false">IFERROR(IF(OR(NOT(ISNUMBER('Price History'!I41)),NOT(ISNUMBER('Price History'!I40)),'Price History'!I40=0),"",'Price History'!I41/'Price History'!I40-1),"")</f>
        <v>0.0119671757465241</v>
      </c>
      <c r="J40" s="136" t="n">
        <f aca="false">IFERROR(IF(OR(NOT(ISNUMBER('Price History'!J41)),NOT(ISNUMBER('Price History'!J40)),'Price History'!J40=0),"",'Price History'!J41/'Price History'!J40-1),"")</f>
        <v>0.0175860080722661</v>
      </c>
      <c r="K40" s="136" t="n">
        <f aca="false">IFERROR(IF(OR(NOT(ISNUMBER('Price History'!K41)),NOT(ISNUMBER('Price History'!K40)),'Price History'!K40=0),"",'Price History'!K41/'Price History'!K40-1),"")</f>
        <v>0.0359680284191828</v>
      </c>
      <c r="L40" s="136" t="n">
        <f aca="false">IFERROR(IF(OR(NOT(ISNUMBER('Price History'!L41)),NOT(ISNUMBER('Price History'!L40)),'Price History'!L40=0),"",'Price History'!L41/'Price History'!L40-1),"")</f>
        <v>0.0235719450469991</v>
      </c>
      <c r="M40" s="136" t="n">
        <f aca="false">IFERROR(IF(OR(NOT(ISNUMBER('Price History'!M41)),NOT(ISNUMBER('Price History'!M40)),'Price History'!M40=0),"",'Price History'!M41/'Price History'!M40-1),"")</f>
        <v>-0.00513423895603793</v>
      </c>
      <c r="N40" s="136" t="n">
        <f aca="false">IFERROR(IF(OR(NOT(ISNUMBER('Price History'!N41)),NOT(ISNUMBER('Price History'!N40)),'Price History'!N40=0),"",'Price History'!N41/'Price History'!N40-1),"")</f>
        <v>0.00905705947469038</v>
      </c>
      <c r="O40" s="136" t="n">
        <f aca="false">IFERROR(IF(OR(NOT(ISNUMBER('Price History'!O41)),NOT(ISNUMBER('Price History'!O40)),'Price History'!O40=0),"",'Price History'!O41/'Price History'!O40-1),"")</f>
        <v>0.00687056737588665</v>
      </c>
      <c r="P40" s="136" t="str">
        <f aca="false">IFERROR(IF(OR(NOT(ISNUMBER('Price History'!P41)),NOT(ISNUMBER('Price History'!P40)),'Price History'!P40=0),"",'Price History'!P41/'Price History'!P40-1),"")</f>
        <v/>
      </c>
      <c r="Q40" s="136" t="n">
        <f aca="false">IFERROR(IF(OR(NOT(ISNUMBER('Price History'!Q41)),NOT(ISNUMBER('Price History'!Q40)),'Price History'!Q40=0),"",'Price History'!Q41/'Price History'!Q40-1),"")</f>
        <v>0.00326404397869773</v>
      </c>
      <c r="R40" s="136" t="n">
        <f aca="false">IFERROR(IF(OR(NOT(ISNUMBER('Price History'!R41)),NOT(ISNUMBER('Price History'!R40)),'Price History'!R40=0),"",'Price History'!R41/'Price History'!R40-1),"")</f>
        <v>0.00170907709836698</v>
      </c>
      <c r="S40" s="136" t="n">
        <f aca="false">IFERROR(IF(OR(NOT(ISNUMBER('Price History'!S41)),NOT(ISNUMBER('Price History'!S40)),'Price History'!S40=0),"",'Price History'!S41/'Price History'!S40-1),"")</f>
        <v>0.00986244484817012</v>
      </c>
      <c r="T40" s="136" t="n">
        <f aca="false">IFERROR(IF(OR(NOT(ISNUMBER('Price History'!T41)),NOT(ISNUMBER('Price History'!T40)),'Price History'!T40=0),"",'Price History'!T41/'Price History'!T40-1),"")</f>
        <v>-0.0156449553001278</v>
      </c>
      <c r="U40" s="136" t="str">
        <f aca="false">IFERROR(IF(OR(NOT(ISNUMBER('Price History'!U41)),NOT(ISNUMBER('Price History'!U40)),'Price History'!U40=0),"",'Price History'!U41/'Price History'!U40-1),"")</f>
        <v/>
      </c>
      <c r="W40" s="137" t="n">
        <f aca="false">'Price History'!B3+('Price History'!B158-'Price History'!B3)*0.24025974025974</f>
        <v>446.453376623377</v>
      </c>
      <c r="X40" s="137" t="n">
        <f aca="false">'Price History'!C3+('Price History'!C158-'Price History'!C3)*0.24025974025974</f>
        <v>76.5618831168831</v>
      </c>
      <c r="Y40" s="137" t="n">
        <f aca="false">'Price History'!D3+('Price History'!D158-'Price History'!D3)*0.24025974025974</f>
        <v>894.164025974026</v>
      </c>
      <c r="Z40" s="137" t="n">
        <f aca="false">'Price History'!E3+('Price History'!E158-'Price History'!E3)*0.24025974025974</f>
        <v>156.571558441558</v>
      </c>
      <c r="AA40" s="137" t="n">
        <f aca="false">'Price History'!F3+('Price History'!F158-'Price History'!F3)*0.24025974025974</f>
        <v>74.011948051948</v>
      </c>
      <c r="AB40" s="137" t="n">
        <f aca="false">'Price History'!G3+('Price History'!G158-'Price History'!G3)*0.24025974025974</f>
        <v>80.3158441558441</v>
      </c>
      <c r="AC40" s="137" t="n">
        <f aca="false">'Price History'!H3+('Price History'!H158-'Price History'!H3)*0.24025974025974</f>
        <v>246.645454545454</v>
      </c>
      <c r="AD40" s="137" t="n">
        <f aca="false">'Price History'!I3+('Price History'!I158-'Price History'!I3)*0.24025974025974</f>
        <v>79.2675324675324</v>
      </c>
      <c r="AE40" s="137" t="n">
        <f aca="false">'Price History'!J3+('Price History'!J158-'Price History'!J3)*0.24025974025974</f>
        <v>128.579480519481</v>
      </c>
      <c r="AF40" s="137" t="n">
        <f aca="false">'Price History'!K3+('Price History'!K158-'Price History'!K3)*0.24025974025974</f>
        <v>41.273961038961</v>
      </c>
      <c r="AG40" s="137" t="n">
        <f aca="false">'Price History'!L3+('Price History'!L158-'Price History'!L3)*0.24025974025974</f>
        <v>167.013506493506</v>
      </c>
      <c r="AH40" s="137" t="n">
        <f aca="false">'Price History'!M3+('Price History'!M158-'Price History'!M3)*0.24025974025974</f>
        <v>83.4984415584415</v>
      </c>
      <c r="AI40" s="137" t="n">
        <f aca="false">'Price History'!N3+('Price History'!N158-'Price History'!N3)*0.24025974025974</f>
        <v>380.430649350649</v>
      </c>
      <c r="AJ40" s="137" t="n">
        <f aca="false">'Price History'!O3+('Price History'!O158-'Price History'!O3)*0.24025974025974</f>
        <v>93.0442207792208</v>
      </c>
      <c r="AK40" s="137" t="n">
        <f aca="false">'Price History'!Q3+('Price History'!Q151-'Price History'!Q3)*0.24025974025974</f>
        <v>54.3112337662338</v>
      </c>
      <c r="AL40" s="137" t="n">
        <f aca="false">'Price History'!R3+('Price History'!R158-'Price History'!R3)*0.24025974025974</f>
        <v>50.3259090909091</v>
      </c>
      <c r="AM40" s="137" t="n">
        <f aca="false">'Price History'!S3+('Price History'!S158-'Price History'!S3)*0.24025974025974</f>
        <v>79.0317532467532</v>
      </c>
      <c r="AN40" s="137" t="n">
        <f aca="false">'Price History'!T3+('Price History'!T158-'Price History'!T3)*0.24025974025974</f>
        <v>32.3951298701299</v>
      </c>
    </row>
    <row r="41" customFormat="false" ht="15" hidden="false" customHeight="true" outlineLevel="0" collapsed="false">
      <c r="A41" s="135" t="n">
        <f aca="false">IF('Price History'!A42="","",'Price History'!A42)</f>
        <v>45422</v>
      </c>
      <c r="B41" s="136" t="n">
        <f aca="false">IFERROR(IF(OR(NOT(ISNUMBER('Price History'!B42)),NOT(ISNUMBER('Price History'!B41)),'Price History'!B41=0),"",'Price History'!B42/'Price History'!B41-1),"")</f>
        <v>-0.00800115183676819</v>
      </c>
      <c r="C41" s="136" t="n">
        <f aca="false">IFERROR(IF(OR(NOT(ISNUMBER('Price History'!C42)),NOT(ISNUMBER('Price History'!C41)),'Price History'!C41=0),"",'Price History'!C42/'Price History'!C41-1),"")</f>
        <v>0.144460641399417</v>
      </c>
      <c r="D41" s="136" t="n">
        <f aca="false">IFERROR(IF(OR(NOT(ISNUMBER('Price History'!D42)),NOT(ISNUMBER('Price History'!D41)),'Price History'!D41=0),"",'Price History'!D42/'Price History'!D41-1),"")</f>
        <v>0.0317868748821579</v>
      </c>
      <c r="E41" s="136" t="n">
        <f aca="false">IFERROR(IF(OR(NOT(ISNUMBER('Price History'!E42)),NOT(ISNUMBER('Price History'!E41)),'Price History'!E41=0),"",'Price History'!E42/'Price History'!E41-1),"")</f>
        <v>0.0427979031374697</v>
      </c>
      <c r="F41" s="136" t="n">
        <f aca="false">IFERROR(IF(OR(NOT(ISNUMBER('Price History'!F42)),NOT(ISNUMBER('Price History'!F41)),'Price History'!F41=0),"",'Price History'!F42/'Price History'!F41-1),"")</f>
        <v>0.0340425531914894</v>
      </c>
      <c r="G41" s="136" t="n">
        <f aca="false">IFERROR(IF(OR(NOT(ISNUMBER('Price History'!G42)),NOT(ISNUMBER('Price History'!G41)),'Price History'!G41=0),"",'Price History'!G42/'Price History'!G41-1),"")</f>
        <v>0.0311513063451048</v>
      </c>
      <c r="H41" s="136" t="n">
        <f aca="false">IFERROR(IF(OR(NOT(ISNUMBER('Price History'!H42)),NOT(ISNUMBER('Price History'!H41)),'Price History'!H41=0),"",'Price History'!H42/'Price History'!H41-1),"")</f>
        <v>0.0570183086312117</v>
      </c>
      <c r="I41" s="136" t="n">
        <f aca="false">IFERROR(IF(OR(NOT(ISNUMBER('Price History'!I42)),NOT(ISNUMBER('Price History'!I41)),'Price History'!I41=0),"",'Price History'!I42/'Price History'!I41-1),"")</f>
        <v>0.0122761572249126</v>
      </c>
      <c r="J41" s="136" t="n">
        <f aca="false">IFERROR(IF(OR(NOT(ISNUMBER('Price History'!J42)),NOT(ISNUMBER('Price History'!J41)),'Price History'!J41=0),"",'Price History'!J42/'Price History'!J41-1),"")</f>
        <v>0.015110019831901</v>
      </c>
      <c r="K41" s="136" t="n">
        <f aca="false">IFERROR(IF(OR(NOT(ISNUMBER('Price History'!K42)),NOT(ISNUMBER('Price History'!K41)),'Price History'!K41=0),"",'Price History'!K42/'Price History'!K41-1),"")</f>
        <v>-0.11701671667381</v>
      </c>
      <c r="L41" s="136" t="n">
        <f aca="false">IFERROR(IF(OR(NOT(ISNUMBER('Price History'!L42)),NOT(ISNUMBER('Price History'!L41)),'Price History'!L41=0),"",'Price History'!L42/'Price History'!L41-1),"")</f>
        <v>0.054393896580955</v>
      </c>
      <c r="M41" s="136" t="n">
        <f aca="false">IFERROR(IF(OR(NOT(ISNUMBER('Price History'!M42)),NOT(ISNUMBER('Price History'!M41)),'Price History'!M41=0),"",'Price History'!M42/'Price History'!M41-1),"")</f>
        <v>0.0256961617030427</v>
      </c>
      <c r="N41" s="136" t="n">
        <f aca="false">IFERROR(IF(OR(NOT(ISNUMBER('Price History'!N42)),NOT(ISNUMBER('Price History'!N41)),'Price History'!N41=0),"",'Price History'!N42/'Price History'!N41-1),"")</f>
        <v>0.0541039194175725</v>
      </c>
      <c r="O41" s="136" t="n">
        <f aca="false">IFERROR(IF(OR(NOT(ISNUMBER('Price History'!O42)),NOT(ISNUMBER('Price History'!O41)),'Price History'!O41=0),"",'Price History'!O42/'Price History'!O41-1),"")</f>
        <v>0.017279330838653</v>
      </c>
      <c r="P41" s="136" t="str">
        <f aca="false">IFERROR(IF(OR(NOT(ISNUMBER('Price History'!P42)),NOT(ISNUMBER('Price History'!P41)),'Price History'!P41=0),"",'Price History'!P42/'Price History'!P41-1),"")</f>
        <v/>
      </c>
      <c r="Q41" s="136" t="n">
        <f aca="false">IFERROR(IF(OR(NOT(ISNUMBER('Price History'!Q42)),NOT(ISNUMBER('Price History'!Q41)),'Price History'!Q41=0),"",'Price History'!Q42/'Price History'!Q41-1),"")</f>
        <v>0.00273972602739736</v>
      </c>
      <c r="R41" s="136" t="n">
        <f aca="false">IFERROR(IF(OR(NOT(ISNUMBER('Price History'!R42)),NOT(ISNUMBER('Price History'!R41)),'Price History'!R41=0),"",'Price History'!R42/'Price History'!R41-1),"")</f>
        <v>0.0138388625592416</v>
      </c>
      <c r="S41" s="136" t="n">
        <f aca="false">IFERROR(IF(OR(NOT(ISNUMBER('Price History'!S42)),NOT(ISNUMBER('Price History'!S41)),'Price History'!S41=0),"",'Price History'!S42/'Price History'!S41-1),"")</f>
        <v>0.0222307890002571</v>
      </c>
      <c r="T41" s="136" t="n">
        <f aca="false">IFERROR(IF(OR(NOT(ISNUMBER('Price History'!T42)),NOT(ISNUMBER('Price History'!T41)),'Price History'!T41=0),"",'Price History'!T42/'Price History'!T41-1),"")</f>
        <v>0.0220564385338957</v>
      </c>
      <c r="U41" s="136" t="str">
        <f aca="false">IFERROR(IF(OR(NOT(ISNUMBER('Price History'!U42)),NOT(ISNUMBER('Price History'!U41)),'Price History'!U41=0),"",'Price History'!U42/'Price History'!U41-1),"")</f>
        <v/>
      </c>
      <c r="W41" s="137" t="n">
        <f aca="false">'Price History'!B3+('Price History'!B158-'Price History'!B3)*0.246753246753247</f>
        <v>444.777792207792</v>
      </c>
      <c r="X41" s="137" t="n">
        <f aca="false">'Price History'!C3+('Price History'!C158-'Price History'!C3)*0.246753246753247</f>
        <v>77.4489610389611</v>
      </c>
      <c r="Y41" s="137" t="n">
        <f aca="false">'Price History'!D3+('Price History'!D158-'Price History'!D3)*0.246753246753247</f>
        <v>900.444675324676</v>
      </c>
      <c r="Z41" s="137" t="n">
        <f aca="false">'Price History'!E3+('Price History'!E158-'Price History'!E3)*0.246753246753247</f>
        <v>158.56051948052</v>
      </c>
      <c r="AA41" s="137" t="n">
        <f aca="false">'Price History'!F3+('Price History'!F158-'Price History'!F3)*0.246753246753247</f>
        <v>75.0106493506494</v>
      </c>
      <c r="AB41" s="137" t="n">
        <f aca="false">'Price History'!G3+('Price History'!G158-'Price History'!G3)*0.246753246753247</f>
        <v>81.1919480519481</v>
      </c>
      <c r="AC41" s="137" t="n">
        <f aca="false">'Price History'!H3+('Price History'!H158-'Price History'!H3)*0.246753246753247</f>
        <v>251.571818181818</v>
      </c>
      <c r="AD41" s="137" t="n">
        <f aca="false">'Price History'!I3+('Price History'!I158-'Price History'!I3)*0.246753246753247</f>
        <v>80.3058441558442</v>
      </c>
      <c r="AE41" s="137" t="n">
        <f aca="false">'Price History'!J3+('Price History'!J158-'Price History'!J3)*0.246753246753247</f>
        <v>128.716493506494</v>
      </c>
      <c r="AF41" s="137" t="n">
        <f aca="false">'Price History'!K3+('Price History'!K158-'Price History'!K3)*0.246753246753247</f>
        <v>41.972987012987</v>
      </c>
      <c r="AG41" s="137" t="n">
        <f aca="false">'Price History'!L3+('Price History'!L158-'Price History'!L3)*0.246753246753247</f>
        <v>169.041168831169</v>
      </c>
      <c r="AH41" s="137" t="n">
        <f aca="false">'Price History'!M3+('Price History'!M158-'Price History'!M3)*0.246753246753247</f>
        <v>84.8494805194806</v>
      </c>
      <c r="AI41" s="137" t="n">
        <f aca="false">'Price History'!N3+('Price History'!N158-'Price History'!N3)*0.246753246753247</f>
        <v>381.256883116883</v>
      </c>
      <c r="AJ41" s="137" t="n">
        <f aca="false">'Price History'!O3+('Price History'!O158-'Price History'!O3)*0.246753246753247</f>
        <v>93.3197402597403</v>
      </c>
      <c r="AK41" s="137" t="n">
        <f aca="false">'Price History'!Q3+('Price History'!Q151-'Price History'!Q3)*0.246753246753247</f>
        <v>54.4320779220779</v>
      </c>
      <c r="AL41" s="137" t="n">
        <f aca="false">'Price History'!R3+('Price History'!R158-'Price History'!R3)*0.246753246753247</f>
        <v>50.3936363636364</v>
      </c>
      <c r="AM41" s="137" t="n">
        <f aca="false">'Price History'!S3+('Price History'!S158-'Price History'!S3)*0.246753246753247</f>
        <v>79.5855844155844</v>
      </c>
      <c r="AN41" s="137" t="n">
        <f aca="false">'Price History'!T3+('Price History'!T158-'Price History'!T3)*0.246753246753247</f>
        <v>32.5433766233766</v>
      </c>
    </row>
    <row r="42" customFormat="false" ht="15" hidden="false" customHeight="true" outlineLevel="0" collapsed="false">
      <c r="A42" s="135" t="n">
        <f aca="false">IF('Price History'!A43="","",'Price History'!A43)</f>
        <v>45429</v>
      </c>
      <c r="B42" s="136" t="n">
        <f aca="false">IFERROR(IF(OR(NOT(ISNUMBER('Price History'!B43)),NOT(ISNUMBER('Price History'!B42)),'Price History'!B42=0),"",'Price History'!B43/'Price History'!B42-1),"")</f>
        <v>0.00236372307118127</v>
      </c>
      <c r="C42" s="136" t="n">
        <f aca="false">IFERROR(IF(OR(NOT(ISNUMBER('Price History'!C43)),NOT(ISNUMBER('Price History'!C42)),'Price History'!C42=0),"",'Price History'!C43/'Price History'!C42-1),"")</f>
        <v>0.0185963571519552</v>
      </c>
      <c r="D42" s="136" t="n">
        <f aca="false">IFERROR(IF(OR(NOT(ISNUMBER('Price History'!D43)),NOT(ISNUMBER('Price History'!D42)),'Price History'!D42=0),"",'Price History'!D43/'Price History'!D42-1),"")</f>
        <v>-0.0057186468735555</v>
      </c>
      <c r="E42" s="136" t="n">
        <f aca="false">IFERROR(IF(OR(NOT(ISNUMBER('Price History'!E43)),NOT(ISNUMBER('Price History'!E42)),'Price History'!E42=0),"",'Price History'!E43/'Price History'!E42-1),"")</f>
        <v>0.0468937575030013</v>
      </c>
      <c r="F42" s="136" t="n">
        <f aca="false">IFERROR(IF(OR(NOT(ISNUMBER('Price History'!F43)),NOT(ISNUMBER('Price History'!F42)),'Price History'!F42=0),"",'Price History'!F43/'Price History'!F42-1),"")</f>
        <v>0.0784387080683378</v>
      </c>
      <c r="G42" s="136" t="n">
        <f aca="false">IFERROR(IF(OR(NOT(ISNUMBER('Price History'!G43)),NOT(ISNUMBER('Price History'!G42)),'Price History'!G42=0),"",'Price History'!G43/'Price History'!G42-1),"")</f>
        <v>0.0409299735486566</v>
      </c>
      <c r="H42" s="136" t="n">
        <f aca="false">IFERROR(IF(OR(NOT(ISNUMBER('Price History'!H43)),NOT(ISNUMBER('Price History'!H42)),'Price History'!H42=0),"",'Price History'!H43/'Price History'!H42-1),"")</f>
        <v>0.0334048168921148</v>
      </c>
      <c r="I42" s="136" t="n">
        <f aca="false">IFERROR(IF(OR(NOT(ISNUMBER('Price History'!I43)),NOT(ISNUMBER('Price History'!I42)),'Price History'!I42=0),"",'Price History'!I43/'Price History'!I42-1),"")</f>
        <v>0.0289274588340009</v>
      </c>
      <c r="J42" s="136" t="n">
        <f aca="false">IFERROR(IF(OR(NOT(ISNUMBER('Price History'!J43)),NOT(ISNUMBER('Price History'!J42)),'Price History'!J42=0),"",'Price History'!J43/'Price History'!J42-1),"")</f>
        <v>0.0373057958879897</v>
      </c>
      <c r="K42" s="136" t="n">
        <f aca="false">IFERROR(IF(OR(NOT(ISNUMBER('Price History'!K43)),NOT(ISNUMBER('Price History'!K42)),'Price History'!K42=0),"",'Price History'!K43/'Price History'!K42-1),"")</f>
        <v>0.0563106796116506</v>
      </c>
      <c r="L42" s="136" t="n">
        <f aca="false">IFERROR(IF(OR(NOT(ISNUMBER('Price History'!L43)),NOT(ISNUMBER('Price History'!L42)),'Price History'!L42=0),"",'Price History'!L43/'Price History'!L42-1),"")</f>
        <v>0.0162133190406004</v>
      </c>
      <c r="M42" s="136" t="n">
        <f aca="false">IFERROR(IF(OR(NOT(ISNUMBER('Price History'!M43)),NOT(ISNUMBER('Price History'!M42)),'Price History'!M42=0),"",'Price History'!M43/'Price History'!M42-1),"")</f>
        <v>0.0147798742138365</v>
      </c>
      <c r="N42" s="136" t="n">
        <f aca="false">IFERROR(IF(OR(NOT(ISNUMBER('Price History'!N43)),NOT(ISNUMBER('Price History'!N42)),'Price History'!N42=0),"",'Price History'!N43/'Price History'!N42-1),"")</f>
        <v>0.0530535976157813</v>
      </c>
      <c r="O42" s="136" t="n">
        <f aca="false">IFERROR(IF(OR(NOT(ISNUMBER('Price History'!O43)),NOT(ISNUMBER('Price History'!O42)),'Price History'!O42=0),"",'Price History'!O43/'Price History'!O42-1),"")</f>
        <v>0.0110353781239856</v>
      </c>
      <c r="P42" s="136" t="str">
        <f aca="false">IFERROR(IF(OR(NOT(ISNUMBER('Price History'!P43)),NOT(ISNUMBER('Price History'!P42)),'Price History'!P42=0),"",'Price History'!P43/'Price History'!P42-1),"")</f>
        <v/>
      </c>
      <c r="Q42" s="136" t="n">
        <f aca="false">IFERROR(IF(OR(NOT(ISNUMBER('Price History'!Q43)),NOT(ISNUMBER('Price History'!Q42)),'Price History'!Q42=0),"",'Price History'!Q43/'Price History'!Q42-1),"")</f>
        <v>0.00717213114754078</v>
      </c>
      <c r="R42" s="136" t="n">
        <f aca="false">IFERROR(IF(OR(NOT(ISNUMBER('Price History'!R43)),NOT(ISNUMBER('Price History'!R42)),'Price History'!R42=0),"",'Price History'!R43/'Price History'!R42-1),"")</f>
        <v>0.011967090501122</v>
      </c>
      <c r="S42" s="136" t="n">
        <f aca="false">IFERROR(IF(OR(NOT(ISNUMBER('Price History'!S43)),NOT(ISNUMBER('Price History'!S42)),'Price History'!S42=0),"",'Price History'!S43/'Price History'!S42-1),"")</f>
        <v>0.0150848522941547</v>
      </c>
      <c r="T42" s="136" t="n">
        <f aca="false">IFERROR(IF(OR(NOT(ISNUMBER('Price History'!T43)),NOT(ISNUMBER('Price History'!T42)),'Price History'!T42=0),"",'Price History'!T43/'Price History'!T42-1),"")</f>
        <v>0.00920342748333858</v>
      </c>
      <c r="U42" s="136" t="str">
        <f aca="false">IFERROR(IF(OR(NOT(ISNUMBER('Price History'!U43)),NOT(ISNUMBER('Price History'!U42)),'Price History'!U42=0),"",'Price History'!U43/'Price History'!U42-1),"")</f>
        <v/>
      </c>
      <c r="W42" s="137" t="n">
        <f aca="false">'Price History'!B3+('Price History'!B158-'Price History'!B3)*0.253246753246753</f>
        <v>443.102207792208</v>
      </c>
      <c r="X42" s="137" t="n">
        <f aca="false">'Price History'!C3+('Price History'!C158-'Price History'!C3)*0.253246753246753</f>
        <v>78.3360389610389</v>
      </c>
      <c r="Y42" s="137" t="n">
        <f aca="false">'Price History'!D3+('Price History'!D158-'Price History'!D3)*0.253246753246753</f>
        <v>906.725324675324</v>
      </c>
      <c r="Z42" s="137" t="n">
        <f aca="false">'Price History'!E3+('Price History'!E158-'Price History'!E3)*0.253246753246753</f>
        <v>160.54948051948</v>
      </c>
      <c r="AA42" s="137" t="n">
        <f aca="false">'Price History'!F3+('Price History'!F158-'Price History'!F3)*0.253246753246753</f>
        <v>76.0093506493506</v>
      </c>
      <c r="AB42" s="137" t="n">
        <f aca="false">'Price History'!G3+('Price History'!G158-'Price History'!G3)*0.253246753246753</f>
        <v>82.0680519480519</v>
      </c>
      <c r="AC42" s="137" t="n">
        <f aca="false">'Price History'!H3+('Price History'!H158-'Price History'!H3)*0.253246753246753</f>
        <v>256.498181818182</v>
      </c>
      <c r="AD42" s="137" t="n">
        <f aca="false">'Price History'!I3+('Price History'!I158-'Price History'!I3)*0.253246753246753</f>
        <v>81.3441558441558</v>
      </c>
      <c r="AE42" s="137" t="n">
        <f aca="false">'Price History'!J3+('Price History'!J158-'Price History'!J3)*0.253246753246753</f>
        <v>128.853506493507</v>
      </c>
      <c r="AF42" s="137" t="n">
        <f aca="false">'Price History'!K3+('Price History'!K158-'Price History'!K3)*0.253246753246753</f>
        <v>42.672012987013</v>
      </c>
      <c r="AG42" s="137" t="n">
        <f aca="false">'Price History'!L3+('Price History'!L158-'Price History'!L3)*0.253246753246753</f>
        <v>171.068831168831</v>
      </c>
      <c r="AH42" s="137" t="n">
        <f aca="false">'Price History'!M3+('Price History'!M158-'Price History'!M3)*0.253246753246753</f>
        <v>86.2005194805194</v>
      </c>
      <c r="AI42" s="137" t="n">
        <f aca="false">'Price History'!N3+('Price History'!N158-'Price History'!N3)*0.253246753246753</f>
        <v>382.083116883117</v>
      </c>
      <c r="AJ42" s="137" t="n">
        <f aca="false">'Price History'!O3+('Price History'!O158-'Price History'!O3)*0.253246753246753</f>
        <v>93.5952597402597</v>
      </c>
      <c r="AK42" s="137" t="n">
        <f aca="false">'Price History'!Q3+('Price History'!Q151-'Price History'!Q3)*0.253246753246753</f>
        <v>54.5529220779221</v>
      </c>
      <c r="AL42" s="137" t="n">
        <f aca="false">'Price History'!R3+('Price History'!R158-'Price History'!R3)*0.253246753246753</f>
        <v>50.4613636363636</v>
      </c>
      <c r="AM42" s="137" t="n">
        <f aca="false">'Price History'!S3+('Price History'!S158-'Price History'!S3)*0.253246753246753</f>
        <v>80.1394155844156</v>
      </c>
      <c r="AN42" s="137" t="n">
        <f aca="false">'Price History'!T3+('Price History'!T158-'Price History'!T3)*0.253246753246753</f>
        <v>32.6916233766234</v>
      </c>
    </row>
    <row r="43" customFormat="false" ht="15" hidden="false" customHeight="true" outlineLevel="0" collapsed="false">
      <c r="A43" s="135" t="n">
        <f aca="false">IF('Price History'!A44="","",'Price History'!A44)</f>
        <v>45436</v>
      </c>
      <c r="B43" s="136" t="n">
        <f aca="false">IFERROR(IF(OR(NOT(ISNUMBER('Price History'!B44)),NOT(ISNUMBER('Price History'!B43)),'Price History'!B43=0),"",'Price History'!B44/'Price History'!B43-1),"")</f>
        <v>-0.0165484144550401</v>
      </c>
      <c r="C43" s="136" t="n">
        <f aca="false">IFERROR(IF(OR(NOT(ISNUMBER('Price History'!C44)),NOT(ISNUMBER('Price History'!C43)),'Price History'!C43=0),"",'Price History'!C44/'Price History'!C43-1),"")</f>
        <v>-0.0416406152307115</v>
      </c>
      <c r="D43" s="136" t="n">
        <f aca="false">IFERROR(IF(OR(NOT(ISNUMBER('Price History'!D44)),NOT(ISNUMBER('Price History'!D43)),'Price History'!D43=0),"",'Price History'!D44/'Price History'!D43-1),"")</f>
        <v>0.0337848795096056</v>
      </c>
      <c r="E43" s="136" t="n">
        <f aca="false">IFERROR(IF(OR(NOT(ISNUMBER('Price History'!E44)),NOT(ISNUMBER('Price History'!E43)),'Price History'!E43=0),"",'Price History'!E44/'Price History'!E43-1),"")</f>
        <v>0.00895864688597436</v>
      </c>
      <c r="F43" s="136" t="n">
        <f aca="false">IFERROR(IF(OR(NOT(ISNUMBER('Price History'!F44)),NOT(ISNUMBER('Price History'!F43)),'Price History'!F43=0),"",'Price History'!F44/'Price History'!F43-1),"")</f>
        <v>0.0160730804810361</v>
      </c>
      <c r="G43" s="136" t="n">
        <f aca="false">IFERROR(IF(OR(NOT(ISNUMBER('Price History'!G44)),NOT(ISNUMBER('Price History'!G43)),'Price History'!G43=0),"",'Price History'!G44/'Price History'!G43-1),"")</f>
        <v>0.0419954527216799</v>
      </c>
      <c r="H43" s="136" t="n">
        <f aca="false">IFERROR(IF(OR(NOT(ISNUMBER('Price History'!H44)),NOT(ISNUMBER('Price History'!H43)),'Price History'!H43=0),"",'Price History'!H44/'Price History'!H43-1),"")</f>
        <v>0.0335222284300423</v>
      </c>
      <c r="I43" s="136" t="n">
        <f aca="false">IFERROR(IF(OR(NOT(ISNUMBER('Price History'!I44)),NOT(ISNUMBER('Price History'!I43)),'Price History'!I43=0),"",'Price History'!I44/'Price History'!I43-1),"")</f>
        <v>0.151275951557093</v>
      </c>
      <c r="J43" s="136" t="n">
        <f aca="false">IFERROR(IF(OR(NOT(ISNUMBER('Price History'!J44)),NOT(ISNUMBER('Price History'!J43)),'Price History'!J43=0),"",'Price History'!J44/'Price History'!J43-1),"")</f>
        <v>-0.0605381165919282</v>
      </c>
      <c r="K43" s="136" t="n">
        <f aca="false">IFERROR(IF(OR(NOT(ISNUMBER('Price History'!K44)),NOT(ISNUMBER('Price History'!K43)),'Price History'!K43=0),"",'Price History'!K44/'Price History'!K43-1),"")</f>
        <v>-0.0344669117647058</v>
      </c>
      <c r="L43" s="136" t="n">
        <f aca="false">IFERROR(IF(OR(NOT(ISNUMBER('Price History'!L44)),NOT(ISNUMBER('Price History'!L43)),'Price History'!L43=0),"",'Price History'!L44/'Price History'!L43-1),"")</f>
        <v>0.0548523206751055</v>
      </c>
      <c r="M43" s="136" t="n">
        <f aca="false">IFERROR(IF(OR(NOT(ISNUMBER('Price History'!M44)),NOT(ISNUMBER('Price History'!M43)),'Price History'!M43=0),"",'Price History'!M44/'Price History'!M43-1),"")</f>
        <v>0.0966842268360706</v>
      </c>
      <c r="N43" s="136" t="n">
        <f aca="false">IFERROR(IF(OR(NOT(ISNUMBER('Price History'!N44)),NOT(ISNUMBER('Price History'!N43)),'Price History'!N43=0),"",'Price History'!N44/'Price History'!N43-1),"")</f>
        <v>0.0263695784012039</v>
      </c>
      <c r="O43" s="136" t="n">
        <f aca="false">IFERROR(IF(OR(NOT(ISNUMBER('Price History'!O44)),NOT(ISNUMBER('Price History'!O43)),'Price History'!O43=0),"",'Price History'!O44/'Price History'!O43-1),"")</f>
        <v>-0.0148742643124665</v>
      </c>
      <c r="P43" s="136" t="str">
        <f aca="false">IFERROR(IF(OR(NOT(ISNUMBER('Price History'!P44)),NOT(ISNUMBER('Price History'!P43)),'Price History'!P43=0),"",'Price History'!P44/'Price History'!P43-1),"")</f>
        <v/>
      </c>
      <c r="Q43" s="136" t="n">
        <f aca="false">IFERROR(IF(OR(NOT(ISNUMBER('Price History'!Q44)),NOT(ISNUMBER('Price History'!Q43)),'Price History'!Q43=0),"",'Price History'!Q44/'Price History'!Q43-1),"")</f>
        <v>0.00339097999321814</v>
      </c>
      <c r="R43" s="136" t="n">
        <f aca="false">IFERROR(IF(OR(NOT(ISNUMBER('Price History'!R44)),NOT(ISNUMBER('Price History'!R43)),'Price History'!R43=0),"",'Price History'!R44/'Price History'!R43-1),"")</f>
        <v>0.00480413895048049</v>
      </c>
      <c r="S43" s="136" t="n">
        <f aca="false">IFERROR(IF(OR(NOT(ISNUMBER('Price History'!S44)),NOT(ISNUMBER('Price History'!S43)),'Price History'!S43=0),"",'Price History'!S44/'Price History'!S43-1),"")</f>
        <v>0.0194427244582043</v>
      </c>
      <c r="T43" s="136" t="n">
        <f aca="false">IFERROR(IF(OR(NOT(ISNUMBER('Price History'!T44)),NOT(ISNUMBER('Price History'!T43)),'Price History'!T43=0),"",'Price History'!T44/'Price History'!T43-1),"")</f>
        <v>-0.0169811320754717</v>
      </c>
      <c r="U43" s="136" t="str">
        <f aca="false">IFERROR(IF(OR(NOT(ISNUMBER('Price History'!U44)),NOT(ISNUMBER('Price History'!U43)),'Price History'!U43=0),"",'Price History'!U44/'Price History'!U43-1),"")</f>
        <v/>
      </c>
      <c r="W43" s="137" t="n">
        <f aca="false">'Price History'!B3+('Price History'!B158-'Price History'!B3)*0.25974025974026</f>
        <v>441.426623376623</v>
      </c>
      <c r="X43" s="137" t="n">
        <f aca="false">'Price History'!C3+('Price History'!C158-'Price History'!C3)*0.25974025974026</f>
        <v>79.2231168831169</v>
      </c>
      <c r="Y43" s="137" t="n">
        <f aca="false">'Price History'!D3+('Price History'!D158-'Price History'!D3)*0.25974025974026</f>
        <v>913.005974025974</v>
      </c>
      <c r="Z43" s="137" t="n">
        <f aca="false">'Price History'!E3+('Price History'!E158-'Price History'!E3)*0.25974025974026</f>
        <v>162.538441558442</v>
      </c>
      <c r="AA43" s="137" t="n">
        <f aca="false">'Price History'!F3+('Price History'!F158-'Price History'!F3)*0.25974025974026</f>
        <v>77.008051948052</v>
      </c>
      <c r="AB43" s="137" t="n">
        <f aca="false">'Price History'!G3+('Price History'!G158-'Price History'!G3)*0.25974025974026</f>
        <v>82.9441558441559</v>
      </c>
      <c r="AC43" s="137" t="n">
        <f aca="false">'Price History'!H3+('Price History'!H158-'Price History'!H3)*0.25974025974026</f>
        <v>261.424545454546</v>
      </c>
      <c r="AD43" s="137" t="n">
        <f aca="false">'Price History'!I3+('Price History'!I158-'Price History'!I3)*0.25974025974026</f>
        <v>82.3824675324676</v>
      </c>
      <c r="AE43" s="137" t="n">
        <f aca="false">'Price History'!J3+('Price History'!J158-'Price History'!J3)*0.25974025974026</f>
        <v>128.990519480519</v>
      </c>
      <c r="AF43" s="137" t="n">
        <f aca="false">'Price History'!K3+('Price History'!K158-'Price History'!K3)*0.25974025974026</f>
        <v>43.371038961039</v>
      </c>
      <c r="AG43" s="137" t="n">
        <f aca="false">'Price History'!L3+('Price History'!L158-'Price History'!L3)*0.25974025974026</f>
        <v>173.096493506494</v>
      </c>
      <c r="AH43" s="137" t="n">
        <f aca="false">'Price History'!M3+('Price History'!M158-'Price History'!M3)*0.25974025974026</f>
        <v>87.5515584415585</v>
      </c>
      <c r="AI43" s="137" t="n">
        <f aca="false">'Price History'!N3+('Price History'!N158-'Price History'!N3)*0.25974025974026</f>
        <v>382.909350649351</v>
      </c>
      <c r="AJ43" s="137" t="n">
        <f aca="false">'Price History'!O3+('Price History'!O158-'Price History'!O3)*0.25974025974026</f>
        <v>93.8707792207792</v>
      </c>
      <c r="AK43" s="137" t="n">
        <f aca="false">'Price History'!Q3+('Price History'!Q151-'Price History'!Q3)*0.25974025974026</f>
        <v>54.6737662337662</v>
      </c>
      <c r="AL43" s="137" t="n">
        <f aca="false">'Price History'!R3+('Price History'!R158-'Price History'!R3)*0.25974025974026</f>
        <v>50.5290909090909</v>
      </c>
      <c r="AM43" s="137" t="n">
        <f aca="false">'Price History'!S3+('Price History'!S158-'Price History'!S3)*0.25974025974026</f>
        <v>80.6932467532468</v>
      </c>
      <c r="AN43" s="137" t="n">
        <f aca="false">'Price History'!T3+('Price History'!T158-'Price History'!T3)*0.25974025974026</f>
        <v>32.8398701298701</v>
      </c>
    </row>
    <row r="44" customFormat="false" ht="15" hidden="false" customHeight="true" outlineLevel="0" collapsed="false">
      <c r="A44" s="135" t="n">
        <f aca="false">IF('Price History'!A45="","",'Price History'!A45)</f>
        <v>45443</v>
      </c>
      <c r="B44" s="136" t="n">
        <f aca="false">IFERROR(IF(OR(NOT(ISNUMBER('Price History'!B45)),NOT(ISNUMBER('Price History'!B44)),'Price History'!B44=0),"",'Price History'!B45/'Price History'!B44-1),"")</f>
        <v>-0.0645100225059421</v>
      </c>
      <c r="C44" s="136" t="n">
        <f aca="false">IFERROR(IF(OR(NOT(ISNUMBER('Price History'!C45)),NOT(ISNUMBER('Price History'!C44)),'Price History'!C44=0),"",'Price History'!C45/'Price History'!C44-1),"")</f>
        <v>-0.0290970772442589</v>
      </c>
      <c r="D44" s="136" t="n">
        <f aca="false">IFERROR(IF(OR(NOT(ISNUMBER('Price History'!D45)),NOT(ISNUMBER('Price History'!D44)),'Price History'!D44=0),"",'Price History'!D45/'Price History'!D44-1),"")</f>
        <v>0.00431908974922091</v>
      </c>
      <c r="E44" s="136" t="n">
        <f aca="false">IFERROR(IF(OR(NOT(ISNUMBER('Price History'!E45)),NOT(ISNUMBER('Price History'!E44)),'Price History'!E44=0),"",'Price History'!E45/'Price History'!E44-1),"")</f>
        <v>-0.0563290240090922</v>
      </c>
      <c r="F44" s="136" t="n">
        <f aca="false">IFERROR(IF(OR(NOT(ISNUMBER('Price History'!F45)),NOT(ISNUMBER('Price History'!F44)),'Price History'!F44=0),"",'Price History'!F45/'Price History'!F44-1),"")</f>
        <v>-0.107545237282349</v>
      </c>
      <c r="G44" s="136" t="n">
        <f aca="false">IFERROR(IF(OR(NOT(ISNUMBER('Price History'!G45)),NOT(ISNUMBER('Price History'!G44)),'Price History'!G44=0),"",'Price History'!G45/'Price History'!G44-1),"")</f>
        <v>-0.0251572327044024</v>
      </c>
      <c r="H44" s="136" t="n">
        <f aca="false">IFERROR(IF(OR(NOT(ISNUMBER('Price History'!H45)),NOT(ISNUMBER('Price History'!H44)),'Price History'!H44=0),"",'Price History'!H45/'Price History'!H44-1),"")</f>
        <v>-0.0346744922387829</v>
      </c>
      <c r="I44" s="136" t="n">
        <f aca="false">IFERROR(IF(OR(NOT(ISNUMBER('Price History'!I45)),NOT(ISNUMBER('Price History'!I44)),'Price History'!I44=0),"",'Price History'!I45/'Price History'!I44-1),"")</f>
        <v>0.0296797219874143</v>
      </c>
      <c r="J44" s="136" t="n">
        <f aca="false">IFERROR(IF(OR(NOT(ISNUMBER('Price History'!J45)),NOT(ISNUMBER('Price History'!J44)),'Price History'!J44=0),"",'Price History'!J45/'Price History'!J44-1),"")</f>
        <v>0.054797136038186</v>
      </c>
      <c r="K44" s="136" t="n">
        <f aca="false">IFERROR(IF(OR(NOT(ISNUMBER('Price History'!K45)),NOT(ISNUMBER('Price History'!K44)),'Price History'!K44=0),"",'Price History'!K45/'Price History'!K44-1),"")</f>
        <v>0.031889576392194</v>
      </c>
      <c r="L44" s="136" t="n">
        <f aca="false">IFERROR(IF(OR(NOT(ISNUMBER('Price History'!L45)),NOT(ISNUMBER('Price History'!L44)),'Price History'!L44=0),"",'Price History'!L45/'Price History'!L44-1),"")</f>
        <v>-0.0560000000000001</v>
      </c>
      <c r="M44" s="136" t="n">
        <f aca="false">IFERROR(IF(OR(NOT(ISNUMBER('Price History'!M45)),NOT(ISNUMBER('Price History'!M44)),'Price History'!M44=0),"",'Price History'!M45/'Price History'!M44-1),"")</f>
        <v>-0.0762927380615994</v>
      </c>
      <c r="N44" s="136" t="n">
        <f aca="false">IFERROR(IF(OR(NOT(ISNUMBER('Price History'!N45)),NOT(ISNUMBER('Price History'!N44)),'Price History'!N44=0),"",'Price History'!N45/'Price History'!N44-1),"")</f>
        <v>-0.00352336141809828</v>
      </c>
      <c r="O44" s="136" t="n">
        <f aca="false">IFERROR(IF(OR(NOT(ISNUMBER('Price History'!O45)),NOT(ISNUMBER('Price History'!O44)),'Price History'!O44=0),"",'Price History'!O45/'Price History'!O44-1),"")</f>
        <v>0.0107538561807516</v>
      </c>
      <c r="P44" s="136" t="str">
        <f aca="false">IFERROR(IF(OR(NOT(ISNUMBER('Price History'!P45)),NOT(ISNUMBER('Price History'!P44)),'Price History'!P44=0),"",'Price History'!P45/'Price History'!P44-1),"")</f>
        <v/>
      </c>
      <c r="Q44" s="136" t="n">
        <f aca="false">IFERROR(IF(OR(NOT(ISNUMBER('Price History'!Q45)),NOT(ISNUMBER('Price History'!Q44)),'Price History'!Q44=0),"",'Price History'!Q45/'Price History'!Q44-1),"")</f>
        <v>-0.00659006421088204</v>
      </c>
      <c r="R44" s="136" t="n">
        <f aca="false">IFERROR(IF(OR(NOT(ISNUMBER('Price History'!R45)),NOT(ISNUMBER('Price History'!R44)),'Price History'!R44=0),"",'Price History'!R45/'Price History'!R44-1),"")</f>
        <v>-0.00349393159249733</v>
      </c>
      <c r="S44" s="136" t="n">
        <f aca="false">IFERROR(IF(OR(NOT(ISNUMBER('Price History'!S45)),NOT(ISNUMBER('Price History'!S44)),'Price History'!S44=0),"",'Price History'!S45/'Price History'!S44-1),"")</f>
        <v>-0.0109329446064139</v>
      </c>
      <c r="T44" s="136" t="n">
        <f aca="false">IFERROR(IF(OR(NOT(ISNUMBER('Price History'!T45)),NOT(ISNUMBER('Price History'!T44)),'Price History'!T44=0),"",'Price History'!T45/'Price History'!T44-1),"")</f>
        <v>0.0115163147792705</v>
      </c>
      <c r="U44" s="136" t="str">
        <f aca="false">IFERROR(IF(OR(NOT(ISNUMBER('Price History'!U45)),NOT(ISNUMBER('Price History'!U44)),'Price History'!U44=0),"",'Price History'!U45/'Price History'!U44-1),"")</f>
        <v/>
      </c>
      <c r="W44" s="137" t="n">
        <f aca="false">'Price History'!B3+('Price History'!B158-'Price History'!B3)*0.266233766233766</f>
        <v>439.751038961039</v>
      </c>
      <c r="X44" s="137" t="n">
        <f aca="false">'Price History'!C3+('Price History'!C158-'Price History'!C3)*0.266233766233766</f>
        <v>80.1101948051948</v>
      </c>
      <c r="Y44" s="137" t="n">
        <f aca="false">'Price History'!D3+('Price History'!D158-'Price History'!D3)*0.266233766233766</f>
        <v>919.286623376623</v>
      </c>
      <c r="Z44" s="137" t="n">
        <f aca="false">'Price History'!E3+('Price History'!E158-'Price History'!E3)*0.266233766233766</f>
        <v>164.527402597403</v>
      </c>
      <c r="AA44" s="137" t="n">
        <f aca="false">'Price History'!F3+('Price History'!F158-'Price History'!F3)*0.266233766233766</f>
        <v>78.0067532467532</v>
      </c>
      <c r="AB44" s="137" t="n">
        <f aca="false">'Price History'!G3+('Price History'!G158-'Price History'!G3)*0.266233766233766</f>
        <v>83.8202597402597</v>
      </c>
      <c r="AC44" s="137" t="n">
        <f aca="false">'Price History'!H3+('Price History'!H158-'Price History'!H3)*0.266233766233766</f>
        <v>266.350909090909</v>
      </c>
      <c r="AD44" s="137" t="n">
        <f aca="false">'Price History'!I3+('Price History'!I158-'Price History'!I3)*0.266233766233766</f>
        <v>83.4207792207792</v>
      </c>
      <c r="AE44" s="137" t="n">
        <f aca="false">'Price History'!J3+('Price History'!J158-'Price History'!J3)*0.266233766233766</f>
        <v>129.127532467532</v>
      </c>
      <c r="AF44" s="137" t="n">
        <f aca="false">'Price History'!K3+('Price History'!K158-'Price History'!K3)*0.266233766233766</f>
        <v>44.0700649350649</v>
      </c>
      <c r="AG44" s="137" t="n">
        <f aca="false">'Price History'!L3+('Price History'!L158-'Price History'!L3)*0.266233766233766</f>
        <v>175.124155844156</v>
      </c>
      <c r="AH44" s="137" t="n">
        <f aca="false">'Price History'!M3+('Price History'!M158-'Price History'!M3)*0.266233766233766</f>
        <v>88.9025974025974</v>
      </c>
      <c r="AI44" s="137" t="n">
        <f aca="false">'Price History'!N3+('Price History'!N158-'Price History'!N3)*0.266233766233766</f>
        <v>383.735584415584</v>
      </c>
      <c r="AJ44" s="137" t="n">
        <f aca="false">'Price History'!O3+('Price History'!O158-'Price History'!O3)*0.266233766233766</f>
        <v>94.1462987012987</v>
      </c>
      <c r="AK44" s="137" t="n">
        <f aca="false">'Price History'!Q3+('Price History'!Q151-'Price History'!Q3)*0.266233766233766</f>
        <v>54.7946103896104</v>
      </c>
      <c r="AL44" s="137" t="n">
        <f aca="false">'Price History'!R3+('Price History'!R158-'Price History'!R3)*0.266233766233766</f>
        <v>50.5968181818182</v>
      </c>
      <c r="AM44" s="137" t="n">
        <f aca="false">'Price History'!S3+('Price History'!S158-'Price History'!S3)*0.266233766233766</f>
        <v>81.2470779220779</v>
      </c>
      <c r="AN44" s="137" t="n">
        <f aca="false">'Price History'!T3+('Price History'!T158-'Price History'!T3)*0.266233766233766</f>
        <v>32.9881168831169</v>
      </c>
    </row>
    <row r="45" customFormat="false" ht="15" hidden="false" customHeight="true" outlineLevel="0" collapsed="false">
      <c r="A45" s="135" t="n">
        <f aca="false">IF('Price History'!A46="","",'Price History'!A46)</f>
        <v>45450</v>
      </c>
      <c r="B45" s="136" t="n">
        <f aca="false">IFERROR(IF(OR(NOT(ISNUMBER('Price History'!B46)),NOT(ISNUMBER('Price History'!B45)),'Price History'!B45=0),"",'Price History'!B46/'Price History'!B45-1),"")</f>
        <v>0.0464745031027971</v>
      </c>
      <c r="C45" s="136" t="n">
        <f aca="false">IFERROR(IF(OR(NOT(ISNUMBER('Price History'!C46)),NOT(ISNUMBER('Price History'!C45)),'Price History'!C45=0),"",'Price History'!C46/'Price History'!C45-1),"")</f>
        <v>-0.00282220131702715</v>
      </c>
      <c r="D45" s="136" t="n">
        <f aca="false">IFERROR(IF(OR(NOT(ISNUMBER('Price History'!D46)),NOT(ISNUMBER('Price History'!D45)),'Price History'!D45=0),"",'Price History'!D46/'Price History'!D45-1),"")</f>
        <v>0.070880408184516</v>
      </c>
      <c r="E45" s="136" t="n">
        <f aca="false">IFERROR(IF(OR(NOT(ISNUMBER('Price History'!E46)),NOT(ISNUMBER('Price History'!E45)),'Price History'!E45=0),"",'Price History'!E46/'Price History'!E45-1),"")</f>
        <v>0.0587881068874672</v>
      </c>
      <c r="F45" s="136" t="n">
        <f aca="false">IFERROR(IF(OR(NOT(ISNUMBER('Price History'!F46)),NOT(ISNUMBER('Price History'!F45)),'Price History'!F45=0),"",'Price History'!F46/'Price History'!F45-1),"")</f>
        <v>0.112981382300434</v>
      </c>
      <c r="G45" s="136" t="n">
        <f aca="false">IFERROR(IF(OR(NOT(ISNUMBER('Price History'!G46)),NOT(ISNUMBER('Price History'!G45)),'Price History'!G45=0),"",'Price History'!G46/'Price History'!G45-1),"")</f>
        <v>0.0125082290980909</v>
      </c>
      <c r="H45" s="136" t="n">
        <f aca="false">IFERROR(IF(OR(NOT(ISNUMBER('Price History'!H46)),NOT(ISNUMBER('Price History'!H45)),'Price History'!H45=0),"",'Price History'!H46/'Price History'!H45-1),"")</f>
        <v>0.04752</v>
      </c>
      <c r="I45" s="136" t="n">
        <f aca="false">IFERROR(IF(OR(NOT(ISNUMBER('Price History'!I46)),NOT(ISNUMBER('Price History'!I45)),'Price History'!I45=0),"",'Price History'!I46/'Price History'!I45-1),"")</f>
        <v>0.102709112469215</v>
      </c>
      <c r="J45" s="136" t="n">
        <f aca="false">IFERROR(IF(OR(NOT(ISNUMBER('Price History'!J46)),NOT(ISNUMBER('Price History'!J45)),'Price History'!J45=0),"",'Price History'!J46/'Price History'!J45-1),"")</f>
        <v>-0.00262467191601046</v>
      </c>
      <c r="K45" s="136" t="n">
        <f aca="false">IFERROR(IF(OR(NOT(ISNUMBER('Price History'!K46)),NOT(ISNUMBER('Price History'!K45)),'Price History'!K45=0),"",'Price History'!K46/'Price History'!K45-1),"")</f>
        <v>0.0751845018450184</v>
      </c>
      <c r="L45" s="136" t="n">
        <f aca="false">IFERROR(IF(OR(NOT(ISNUMBER('Price History'!L46)),NOT(ISNUMBER('Price History'!L45)),'Price History'!L45=0),"",'Price History'!L46/'Price History'!L45-1),"")</f>
        <v>0.0883871822033897</v>
      </c>
      <c r="M45" s="136" t="n">
        <f aca="false">IFERROR(IF(OR(NOT(ISNUMBER('Price History'!M46)),NOT(ISNUMBER('Price History'!M45)),'Price History'!M45=0),"",'Price History'!M46/'Price History'!M45-1),"")</f>
        <v>-0.105944733353727</v>
      </c>
      <c r="N45" s="136" t="n">
        <f aca="false">IFERROR(IF(OR(NOT(ISNUMBER('Price History'!N46)),NOT(ISNUMBER('Price History'!N45)),'Price History'!N45=0),"",'Price History'!N46/'Price History'!N45-1),"")</f>
        <v>0.0608336627574999</v>
      </c>
      <c r="O45" s="136" t="n">
        <f aca="false">IFERROR(IF(OR(NOT(ISNUMBER('Price History'!O46)),NOT(ISNUMBER('Price History'!O45)),'Price History'!O45=0),"",'Price History'!O46/'Price History'!O45-1),"")</f>
        <v>-0.0340677055346588</v>
      </c>
      <c r="P45" s="136" t="str">
        <f aca="false">IFERROR(IF(OR(NOT(ISNUMBER('Price History'!P46)),NOT(ISNUMBER('Price History'!P45)),'Price History'!P45=0),"",'Price History'!P46/'Price History'!P45-1),"")</f>
        <v/>
      </c>
      <c r="Q45" s="136" t="n">
        <f aca="false">IFERROR(IF(OR(NOT(ISNUMBER('Price History'!Q46)),NOT(ISNUMBER('Price History'!Q45)),'Price History'!Q45=0),"",'Price History'!Q46/'Price History'!Q45-1),"")</f>
        <v>-0.00425242388161251</v>
      </c>
      <c r="R45" s="136" t="n">
        <f aca="false">IFERROR(IF(OR(NOT(ISNUMBER('Price History'!R46)),NOT(ISNUMBER('Price History'!R45)),'Price History'!R45=0),"",'Price History'!R46/'Price History'!R45-1),"")</f>
        <v>0.00553607676693124</v>
      </c>
      <c r="S45" s="136" t="n">
        <f aca="false">IFERROR(IF(OR(NOT(ISNUMBER('Price History'!S46)),NOT(ISNUMBER('Price History'!S45)),'Price History'!S45=0),"",'Price History'!S46/'Price History'!S45-1),"")</f>
        <v>0.0303365266519282</v>
      </c>
      <c r="T45" s="136" t="n">
        <f aca="false">IFERROR(IF(OR(NOT(ISNUMBER('Price History'!T46)),NOT(ISNUMBER('Price History'!T45)),'Price History'!T45=0),"",'Price History'!T46/'Price History'!T45-1),"")</f>
        <v>-0.0211891208096142</v>
      </c>
      <c r="U45" s="136" t="str">
        <f aca="false">IFERROR(IF(OR(NOT(ISNUMBER('Price History'!U46)),NOT(ISNUMBER('Price History'!U45)),'Price History'!U45=0),"",'Price History'!U46/'Price History'!U45-1),"")</f>
        <v/>
      </c>
      <c r="W45" s="137" t="n">
        <f aca="false">'Price History'!B3+('Price History'!B158-'Price History'!B3)*0.272727272727273</f>
        <v>438.075454545455</v>
      </c>
      <c r="X45" s="137" t="n">
        <f aca="false">'Price History'!C3+('Price History'!C158-'Price History'!C3)*0.272727272727273</f>
        <v>80.9972727272728</v>
      </c>
      <c r="Y45" s="137" t="n">
        <f aca="false">'Price History'!D3+('Price History'!D158-'Price History'!D3)*0.272727272727273</f>
        <v>925.567272727273</v>
      </c>
      <c r="Z45" s="137" t="n">
        <f aca="false">'Price History'!E3+('Price History'!E158-'Price History'!E3)*0.272727272727273</f>
        <v>166.516363636364</v>
      </c>
      <c r="AA45" s="137" t="n">
        <f aca="false">'Price History'!F3+('Price History'!F158-'Price History'!F3)*0.272727272727273</f>
        <v>79.0054545454546</v>
      </c>
      <c r="AB45" s="137" t="n">
        <f aca="false">'Price History'!G3+('Price History'!G158-'Price History'!G3)*0.272727272727273</f>
        <v>84.6963636363637</v>
      </c>
      <c r="AC45" s="137" t="n">
        <f aca="false">'Price History'!H3+('Price History'!H158-'Price History'!H3)*0.272727272727273</f>
        <v>271.277272727273</v>
      </c>
      <c r="AD45" s="137" t="n">
        <f aca="false">'Price History'!I3+('Price History'!I158-'Price History'!I3)*0.272727272727273</f>
        <v>84.459090909091</v>
      </c>
      <c r="AE45" s="137" t="n">
        <f aca="false">'Price History'!J3+('Price History'!J158-'Price History'!J3)*0.272727272727273</f>
        <v>129.264545454545</v>
      </c>
      <c r="AF45" s="137" t="n">
        <f aca="false">'Price History'!K3+('Price History'!K158-'Price History'!K3)*0.272727272727273</f>
        <v>44.7690909090909</v>
      </c>
      <c r="AG45" s="137" t="n">
        <f aca="false">'Price History'!L3+('Price History'!L158-'Price History'!L3)*0.272727272727273</f>
        <v>177.151818181818</v>
      </c>
      <c r="AH45" s="137" t="n">
        <f aca="false">'Price History'!M3+('Price History'!M158-'Price History'!M3)*0.272727272727273</f>
        <v>90.2536363636364</v>
      </c>
      <c r="AI45" s="137" t="n">
        <f aca="false">'Price History'!N3+('Price History'!N158-'Price History'!N3)*0.272727272727273</f>
        <v>384.561818181818</v>
      </c>
      <c r="AJ45" s="137" t="n">
        <f aca="false">'Price History'!O3+('Price History'!O158-'Price History'!O3)*0.272727272727273</f>
        <v>94.4218181818182</v>
      </c>
      <c r="AK45" s="137" t="n">
        <f aca="false">'Price History'!Q3+('Price History'!Q151-'Price History'!Q3)*0.272727272727273</f>
        <v>54.9154545454546</v>
      </c>
      <c r="AL45" s="137" t="n">
        <f aca="false">'Price History'!R3+('Price History'!R158-'Price History'!R3)*0.272727272727273</f>
        <v>50.6645454545455</v>
      </c>
      <c r="AM45" s="137" t="n">
        <f aca="false">'Price History'!S3+('Price History'!S158-'Price History'!S3)*0.272727272727273</f>
        <v>81.8009090909091</v>
      </c>
      <c r="AN45" s="137" t="n">
        <f aca="false">'Price History'!T3+('Price History'!T158-'Price History'!T3)*0.272727272727273</f>
        <v>33.1363636363636</v>
      </c>
    </row>
    <row r="46" customFormat="false" ht="15" hidden="false" customHeight="true" outlineLevel="0" collapsed="false">
      <c r="A46" s="135" t="n">
        <f aca="false">IF('Price History'!A47="","",'Price History'!A47)</f>
        <v>45457</v>
      </c>
      <c r="B46" s="136" t="n">
        <f aca="false">IFERROR(IF(OR(NOT(ISNUMBER('Price History'!B47)),NOT(ISNUMBER('Price History'!B46)),'Price History'!B46=0),"",'Price History'!B47/'Price History'!B46-1),"")</f>
        <v>0.128655222052725</v>
      </c>
      <c r="C46" s="136" t="n">
        <f aca="false">IFERROR(IF(OR(NOT(ISNUMBER('Price History'!C47)),NOT(ISNUMBER('Price History'!C46)),'Price History'!C46=0),"",'Price History'!C47/'Price History'!C46-1),"")</f>
        <v>0.106873315363881</v>
      </c>
      <c r="D46" s="136" t="n">
        <f aca="false">IFERROR(IF(OR(NOT(ISNUMBER('Price History'!D47)),NOT(ISNUMBER('Price History'!D46)),'Price History'!D46=0),"",'Price History'!D47/'Price History'!D46-1),"")</f>
        <v>-0.000505629995527057</v>
      </c>
      <c r="E46" s="136" t="n">
        <f aca="false">IFERROR(IF(OR(NOT(ISNUMBER('Price History'!E47)),NOT(ISNUMBER('Price History'!E46)),'Price History'!E46=0),"",'Price History'!E47/'Price History'!E46-1),"")</f>
        <v>0.233470780605716</v>
      </c>
      <c r="F46" s="136" t="n">
        <f aca="false">IFERROR(IF(OR(NOT(ISNUMBER('Price History'!F47)),NOT(ISNUMBER('Price History'!F46)),'Price History'!F46=0),"",'Price History'!F47/'Price History'!F46-1),"")</f>
        <v>0.104032997250229</v>
      </c>
      <c r="G46" s="136" t="n">
        <f aca="false">IFERROR(IF(OR(NOT(ISNUMBER('Price History'!G47)),NOT(ISNUMBER('Price History'!G46)),'Price History'!G46=0),"",'Price History'!G47/'Price History'!G46-1),"")</f>
        <v>0.0725617685305591</v>
      </c>
      <c r="H46" s="136" t="n">
        <f aca="false">IFERROR(IF(OR(NOT(ISNUMBER('Price History'!H47)),NOT(ISNUMBER('Price History'!H46)),'Price History'!H46=0),"",'Price History'!H47/'Price History'!H46-1),"")</f>
        <v>0.0795784328700169</v>
      </c>
      <c r="I46" s="136" t="n">
        <f aca="false">IFERROR(IF(OR(NOT(ISNUMBER('Price History'!I47)),NOT(ISNUMBER('Price History'!I46)),'Price History'!I46=0),"",'Price History'!I47/'Price History'!I46-1),"")</f>
        <v>0.0909090909090908</v>
      </c>
      <c r="J46" s="136" t="n">
        <f aca="false">IFERROR(IF(OR(NOT(ISNUMBER('Price History'!J47)),NOT(ISNUMBER('Price History'!J46)),'Price History'!J46=0),"",'Price History'!J47/'Price History'!J46-1),"")</f>
        <v>0.0189655172413794</v>
      </c>
      <c r="K46" s="136" t="n">
        <f aca="false">IFERROR(IF(OR(NOT(ISNUMBER('Price History'!K47)),NOT(ISNUMBER('Price History'!K46)),'Price History'!K46=0),"",'Price History'!K47/'Price History'!K46-1),"")</f>
        <v>0.0111540111540112</v>
      </c>
      <c r="L46" s="136" t="n">
        <f aca="false">IFERROR(IF(OR(NOT(ISNUMBER('Price History'!L47)),NOT(ISNUMBER('Price History'!L46)),'Price History'!L46=0),"",'Price History'!L47/'Price History'!L46-1),"")</f>
        <v>0.0493947320396617</v>
      </c>
      <c r="M46" s="136" t="n">
        <f aca="false">IFERROR(IF(OR(NOT(ISNUMBER('Price History'!M47)),NOT(ISNUMBER('Price History'!M46)),'Price History'!M46=0),"",'Price History'!M47/'Price History'!M46-1),"")</f>
        <v>0.0433394160583942</v>
      </c>
      <c r="N46" s="136" t="n">
        <f aca="false">IFERROR(IF(OR(NOT(ISNUMBER('Price History'!N47)),NOT(ISNUMBER('Price History'!N46)),'Price History'!N46=0),"",'Price History'!N47/'Price History'!N46-1),"")</f>
        <v>-0.00478221265319645</v>
      </c>
      <c r="O46" s="136" t="n">
        <f aca="false">IFERROR(IF(OR(NOT(ISNUMBER('Price History'!O47)),NOT(ISNUMBER('Price History'!O46)),'Price History'!O46=0),"",'Price History'!O47/'Price History'!O46-1),"")</f>
        <v>-0.0239207832665775</v>
      </c>
      <c r="P46" s="136" t="str">
        <f aca="false">IFERROR(IF(OR(NOT(ISNUMBER('Price History'!P47)),NOT(ISNUMBER('Price History'!P46)),'Price History'!P46=0),"",'Price History'!P47/'Price History'!P46-1),"")</f>
        <v/>
      </c>
      <c r="Q46" s="136" t="n">
        <f aca="false">IFERROR(IF(OR(NOT(ISNUMBER('Price History'!Q47)),NOT(ISNUMBER('Price History'!Q46)),'Price History'!Q46=0),"",'Price History'!Q47/'Price History'!Q46-1),"")</f>
        <v>-0.0107618722241203</v>
      </c>
      <c r="R46" s="136" t="n">
        <f aca="false">IFERROR(IF(OR(NOT(ISNUMBER('Price History'!R47)),NOT(ISNUMBER('Price History'!R46)),'Price History'!R46=0),"",'Price History'!R47/'Price History'!R46-1),"")</f>
        <v>0.0126628739218204</v>
      </c>
      <c r="S46" s="136" t="n">
        <f aca="false">IFERROR(IF(OR(NOT(ISNUMBER('Price History'!S47)),NOT(ISNUMBER('Price History'!S46)),'Price History'!S46=0),"",'Price History'!S47/'Price History'!S46-1),"")</f>
        <v>0.0421981165812375</v>
      </c>
      <c r="T46" s="136" t="n">
        <f aca="false">IFERROR(IF(OR(NOT(ISNUMBER('Price History'!T47)),NOT(ISNUMBER('Price History'!T46)),'Price History'!T46=0),"",'Price History'!T47/'Price History'!T46-1),"")</f>
        <v>-0.00420032310177698</v>
      </c>
      <c r="U46" s="136" t="str">
        <f aca="false">IFERROR(IF(OR(NOT(ISNUMBER('Price History'!U47)),NOT(ISNUMBER('Price History'!U46)),'Price History'!U46=0),"",'Price History'!U47/'Price History'!U46-1),"")</f>
        <v/>
      </c>
      <c r="W46" s="137" t="n">
        <f aca="false">'Price History'!B3+('Price History'!B158-'Price History'!B3)*0.279220779220779</f>
        <v>436.39987012987</v>
      </c>
      <c r="X46" s="137" t="n">
        <f aca="false">'Price History'!C3+('Price History'!C158-'Price History'!C3)*0.279220779220779</f>
        <v>81.8843506493506</v>
      </c>
      <c r="Y46" s="137" t="n">
        <f aca="false">'Price History'!D3+('Price History'!D158-'Price History'!D3)*0.279220779220779</f>
        <v>931.847922077922</v>
      </c>
      <c r="Z46" s="137" t="n">
        <f aca="false">'Price History'!E3+('Price History'!E158-'Price History'!E3)*0.279220779220779</f>
        <v>168.505324675325</v>
      </c>
      <c r="AA46" s="137" t="n">
        <f aca="false">'Price History'!F3+('Price History'!F158-'Price History'!F3)*0.279220779220779</f>
        <v>80.0041558441558</v>
      </c>
      <c r="AB46" s="137" t="n">
        <f aca="false">'Price History'!G3+('Price History'!G158-'Price History'!G3)*0.279220779220779</f>
        <v>85.5724675324675</v>
      </c>
      <c r="AC46" s="137" t="n">
        <f aca="false">'Price History'!H3+('Price History'!H158-'Price History'!H3)*0.279220779220779</f>
        <v>276.203636363636</v>
      </c>
      <c r="AD46" s="137" t="n">
        <f aca="false">'Price History'!I3+('Price History'!I158-'Price History'!I3)*0.279220779220779</f>
        <v>85.4974025974026</v>
      </c>
      <c r="AE46" s="137" t="n">
        <f aca="false">'Price History'!J3+('Price History'!J158-'Price History'!J3)*0.279220779220779</f>
        <v>129.401558441558</v>
      </c>
      <c r="AF46" s="137" t="n">
        <f aca="false">'Price History'!K3+('Price History'!K158-'Price History'!K3)*0.279220779220779</f>
        <v>45.4681168831169</v>
      </c>
      <c r="AG46" s="137" t="n">
        <f aca="false">'Price History'!L3+('Price History'!L158-'Price History'!L3)*0.279220779220779</f>
        <v>179.17948051948</v>
      </c>
      <c r="AH46" s="137" t="n">
        <f aca="false">'Price History'!M3+('Price History'!M158-'Price History'!M3)*0.279220779220779</f>
        <v>91.6046753246753</v>
      </c>
      <c r="AI46" s="137" t="n">
        <f aca="false">'Price History'!N3+('Price History'!N158-'Price History'!N3)*0.279220779220779</f>
        <v>385.388051948052</v>
      </c>
      <c r="AJ46" s="137" t="n">
        <f aca="false">'Price History'!O3+('Price History'!O158-'Price History'!O3)*0.279220779220779</f>
        <v>94.6973376623377</v>
      </c>
      <c r="AK46" s="137" t="n">
        <f aca="false">'Price History'!Q3+('Price History'!Q151-'Price History'!Q3)*0.279220779220779</f>
        <v>55.0362987012987</v>
      </c>
      <c r="AL46" s="137" t="n">
        <f aca="false">'Price History'!R3+('Price History'!R158-'Price History'!R3)*0.279220779220779</f>
        <v>50.7322727272727</v>
      </c>
      <c r="AM46" s="137" t="n">
        <f aca="false">'Price History'!S3+('Price History'!S158-'Price History'!S3)*0.279220779220779</f>
        <v>82.3547402597402</v>
      </c>
      <c r="AN46" s="137" t="n">
        <f aca="false">'Price History'!T3+('Price History'!T158-'Price History'!T3)*0.279220779220779</f>
        <v>33.2846103896104</v>
      </c>
    </row>
    <row r="47" customFormat="false" ht="15" hidden="false" customHeight="true" outlineLevel="0" collapsed="false">
      <c r="A47" s="135" t="n">
        <f aca="false">IF('Price History'!A48="","",'Price History'!A48)</f>
        <v>45464</v>
      </c>
      <c r="B47" s="136" t="n">
        <f aca="false">IFERROR(IF(OR(NOT(ISNUMBER('Price History'!B48)),NOT(ISNUMBER('Price History'!B47)),'Price History'!B47=0),"",'Price History'!B48/'Price History'!B47-1),"")</f>
        <v>0.0154765757362321</v>
      </c>
      <c r="C47" s="136" t="n">
        <f aca="false">IFERROR(IF(OR(NOT(ISNUMBER('Price History'!C48)),NOT(ISNUMBER('Price History'!C47)),'Price History'!C47=0),"",'Price History'!C48/'Price History'!C47-1),"")</f>
        <v>0.0269085596006333</v>
      </c>
      <c r="D47" s="136" t="n">
        <f aca="false">IFERROR(IF(OR(NOT(ISNUMBER('Price History'!D48)),NOT(ISNUMBER('Price History'!D47)),'Price History'!D47=0),"",'Price History'!D48/'Price History'!D47-1),"")</f>
        <v>0.0084638583519796</v>
      </c>
      <c r="E47" s="136" t="n">
        <f aca="false">IFERROR(IF(OR(NOT(ISNUMBER('Price History'!E48)),NOT(ISNUMBER('Price History'!E47)),'Price History'!E47=0),"",'Price History'!E48/'Price History'!E47-1),"")</f>
        <v>-0.0440345821325647</v>
      </c>
      <c r="F47" s="136" t="n">
        <f aca="false">IFERROR(IF(OR(NOT(ISNUMBER('Price History'!F48)),NOT(ISNUMBER('Price History'!F47)),'Price History'!F47=0),"",'Price History'!F48/'Price History'!F47-1),"")</f>
        <v>-0.0124533001245331</v>
      </c>
      <c r="G47" s="136" t="n">
        <f aca="false">IFERROR(IF(OR(NOT(ISNUMBER('Price History'!G48)),NOT(ISNUMBER('Price History'!G47)),'Price History'!G47=0),"",'Price History'!G48/'Price History'!G47-1),"")</f>
        <v>-0.00994180407371492</v>
      </c>
      <c r="H47" s="136" t="n">
        <f aca="false">IFERROR(IF(OR(NOT(ISNUMBER('Price History'!H48)),NOT(ISNUMBER('Price History'!H47)),'Price History'!H47=0),"",'Price History'!H48/'Price History'!H47-1),"")</f>
        <v>-0.0128749292586307</v>
      </c>
      <c r="I47" s="136" t="n">
        <f aca="false">IFERROR(IF(OR(NOT(ISNUMBER('Price History'!I48)),NOT(ISNUMBER('Price History'!I47)),'Price History'!I47=0),"",'Price History'!I48/'Price History'!I47-1),"")</f>
        <v>-0.0402638762511374</v>
      </c>
      <c r="J47" s="136" t="n">
        <f aca="false">IFERROR(IF(OR(NOT(ISNUMBER('Price History'!J48)),NOT(ISNUMBER('Price History'!J47)),'Price History'!J47=0),"",'Price History'!J48/'Price History'!J47-1),"")</f>
        <v>-0.0257369311603883</v>
      </c>
      <c r="K47" s="136" t="n">
        <f aca="false">IFERROR(IF(OR(NOT(ISNUMBER('Price History'!K48)),NOT(ISNUMBER('Price History'!K47)),'Price History'!K47=0),"",'Price History'!K48/'Price History'!K47-1),"")</f>
        <v>0.0114552397114978</v>
      </c>
      <c r="L47" s="136" t="n">
        <f aca="false">IFERROR(IF(OR(NOT(ISNUMBER('Price History'!L48)),NOT(ISNUMBER('Price History'!L47)),'Price History'!L47=0),"",'Price History'!L48/'Price History'!L47-1),"")</f>
        <v>0.00840530983711108</v>
      </c>
      <c r="M47" s="136" t="n">
        <f aca="false">IFERROR(IF(OR(NOT(ISNUMBER('Price History'!M48)),NOT(ISNUMBER('Price History'!M47)),'Price History'!M47=0),"",'Price History'!M48/'Price History'!M47-1),"")</f>
        <v>-0.00940096195889817</v>
      </c>
      <c r="N47" s="136" t="n">
        <f aca="false">IFERROR(IF(OR(NOT(ISNUMBER('Price History'!N48)),NOT(ISNUMBER('Price History'!N47)),'Price History'!N47=0),"",'Price History'!N48/'Price History'!N47-1),"")</f>
        <v>-0.0250036402970483</v>
      </c>
      <c r="O47" s="136" t="n">
        <f aca="false">IFERROR(IF(OR(NOT(ISNUMBER('Price History'!O48)),NOT(ISNUMBER('Price History'!O47)),'Price History'!O47=0),"",'Price History'!O48/'Price History'!O47-1),"")</f>
        <v>0.010828678901174</v>
      </c>
      <c r="P47" s="136" t="str">
        <f aca="false">IFERROR(IF(OR(NOT(ISNUMBER('Price History'!P48)),NOT(ISNUMBER('Price History'!P47)),'Price History'!P47=0),"",'Price History'!P48/'Price History'!P47-1),"")</f>
        <v/>
      </c>
      <c r="Q47" s="136" t="n">
        <f aca="false">IFERROR(IF(OR(NOT(ISNUMBER('Price History'!Q48)),NOT(ISNUMBER('Price History'!Q47)),'Price History'!Q47=0),"",'Price History'!Q48/'Price History'!Q47-1),"")</f>
        <v>0.000690726990157264</v>
      </c>
      <c r="R47" s="136" t="n">
        <f aca="false">IFERROR(IF(OR(NOT(ISNUMBER('Price History'!R48)),NOT(ISNUMBER('Price History'!R47)),'Price History'!R47=0),"",'Price History'!R48/'Price History'!R47-1),"")</f>
        <v>0.00108735048930786</v>
      </c>
      <c r="S47" s="136" t="n">
        <f aca="false">IFERROR(IF(OR(NOT(ISNUMBER('Price History'!S48)),NOT(ISNUMBER('Price History'!S47)),'Price History'!S47=0),"",'Price History'!S48/'Price History'!S47-1),"")</f>
        <v>-0.000800640512410022</v>
      </c>
      <c r="T47" s="136" t="n">
        <f aca="false">IFERROR(IF(OR(NOT(ISNUMBER('Price History'!T48)),NOT(ISNUMBER('Price History'!T47)),'Price History'!T47=0),"",'Price History'!T48/'Price History'!T47-1),"")</f>
        <v>0.00973393900064901</v>
      </c>
      <c r="U47" s="136" t="str">
        <f aca="false">IFERROR(IF(OR(NOT(ISNUMBER('Price History'!U48)),NOT(ISNUMBER('Price History'!U47)),'Price History'!U47=0),"",'Price History'!U48/'Price History'!U47-1),"")</f>
        <v/>
      </c>
      <c r="W47" s="137" t="n">
        <f aca="false">'Price History'!B3+('Price History'!B158-'Price History'!B3)*0.285714285714286</f>
        <v>434.724285714286</v>
      </c>
      <c r="X47" s="137" t="n">
        <f aca="false">'Price History'!C3+('Price History'!C158-'Price History'!C3)*0.285714285714286</f>
        <v>82.7714285714286</v>
      </c>
      <c r="Y47" s="137" t="n">
        <f aca="false">'Price History'!D3+('Price History'!D158-'Price History'!D3)*0.285714285714286</f>
        <v>938.128571428572</v>
      </c>
      <c r="Z47" s="137" t="n">
        <f aca="false">'Price History'!E3+('Price History'!E158-'Price History'!E3)*0.285714285714286</f>
        <v>170.494285714286</v>
      </c>
      <c r="AA47" s="137" t="n">
        <f aca="false">'Price History'!F3+('Price History'!F158-'Price History'!F3)*0.285714285714286</f>
        <v>81.0028571428572</v>
      </c>
      <c r="AB47" s="137" t="n">
        <f aca="false">'Price History'!G3+('Price History'!G158-'Price History'!G3)*0.285714285714286</f>
        <v>86.4485714285715</v>
      </c>
      <c r="AC47" s="137" t="n">
        <f aca="false">'Price History'!H3+('Price History'!H158-'Price History'!H3)*0.285714285714286</f>
        <v>281.13</v>
      </c>
      <c r="AD47" s="137" t="n">
        <f aca="false">'Price History'!I3+('Price History'!I158-'Price History'!I3)*0.285714285714286</f>
        <v>86.5357142857143</v>
      </c>
      <c r="AE47" s="137" t="n">
        <f aca="false">'Price History'!J3+('Price History'!J158-'Price History'!J3)*0.285714285714286</f>
        <v>129.538571428571</v>
      </c>
      <c r="AF47" s="137" t="n">
        <f aca="false">'Price History'!K3+('Price History'!K158-'Price History'!K3)*0.285714285714286</f>
        <v>46.1671428571429</v>
      </c>
      <c r="AG47" s="137" t="n">
        <f aca="false">'Price History'!L3+('Price History'!L158-'Price History'!L3)*0.285714285714286</f>
        <v>181.207142857143</v>
      </c>
      <c r="AH47" s="137" t="n">
        <f aca="false">'Price History'!M3+('Price History'!M158-'Price History'!M3)*0.285714285714286</f>
        <v>92.9557142857143</v>
      </c>
      <c r="AI47" s="137" t="n">
        <f aca="false">'Price History'!N3+('Price History'!N158-'Price History'!N3)*0.285714285714286</f>
        <v>386.214285714286</v>
      </c>
      <c r="AJ47" s="137" t="n">
        <f aca="false">'Price History'!O3+('Price History'!O158-'Price History'!O3)*0.285714285714286</f>
        <v>94.9728571428572</v>
      </c>
      <c r="AK47" s="137" t="n">
        <f aca="false">'Price History'!Q3+('Price History'!Q151-'Price History'!Q3)*0.285714285714286</f>
        <v>55.1571428571429</v>
      </c>
      <c r="AL47" s="137" t="n">
        <f aca="false">'Price History'!R3+('Price History'!R158-'Price History'!R3)*0.285714285714286</f>
        <v>50.8</v>
      </c>
      <c r="AM47" s="137" t="n">
        <f aca="false">'Price History'!S3+('Price History'!S158-'Price History'!S3)*0.285714285714286</f>
        <v>82.9085714285715</v>
      </c>
      <c r="AN47" s="137" t="n">
        <f aca="false">'Price History'!T3+('Price History'!T158-'Price History'!T3)*0.285714285714286</f>
        <v>33.4328571428572</v>
      </c>
    </row>
    <row r="48" customFormat="false" ht="15" hidden="false" customHeight="true" outlineLevel="0" collapsed="false">
      <c r="A48" s="135" t="n">
        <f aca="false">IF('Price History'!A49="","",'Price History'!A49)</f>
        <v>45471</v>
      </c>
      <c r="B48" s="136" t="n">
        <f aca="false">IFERROR(IF(OR(NOT(ISNUMBER('Price History'!B49)),NOT(ISNUMBER('Price History'!B48)),'Price History'!B48=0),"",'Price History'!B49/'Price History'!B48-1),"")</f>
        <v>0.0414292141571684</v>
      </c>
      <c r="C48" s="136" t="n">
        <f aca="false">IFERROR(IF(OR(NOT(ISNUMBER('Price History'!C49)),NOT(ISNUMBER('Price History'!C48)),'Price History'!C48=0),"",'Price History'!C49/'Price History'!C48-1),"")</f>
        <v>0.0388902063078018</v>
      </c>
      <c r="D48" s="136" t="n">
        <f aca="false">IFERROR(IF(OR(NOT(ISNUMBER('Price History'!D49)),NOT(ISNUMBER('Price History'!D48)),'Price History'!D48=0),"",'Price History'!D49/'Price History'!D48-1),"")</f>
        <v>-0.0133802816901407</v>
      </c>
      <c r="E48" s="136" t="n">
        <f aca="false">IFERROR(IF(OR(NOT(ISNUMBER('Price History'!E49)),NOT(ISNUMBER('Price History'!E48)),'Price History'!E48=0),"",'Price History'!E49/'Price History'!E48-1),"")</f>
        <v>-0.0320149523694683</v>
      </c>
      <c r="F48" s="136" t="n">
        <f aca="false">IFERROR(IF(OR(NOT(ISNUMBER('Price History'!F49)),NOT(ISNUMBER('Price History'!F48)),'Price History'!F48=0),"",'Price History'!F49/'Price History'!F48-1),"")</f>
        <v>0.00672551492223628</v>
      </c>
      <c r="G48" s="136" t="n">
        <f aca="false">IFERROR(IF(OR(NOT(ISNUMBER('Price History'!G49)),NOT(ISNUMBER('Price History'!G48)),'Price History'!G48=0),"",'Price History'!G49/'Price History'!G48-1),"")</f>
        <v>0.00967425912319375</v>
      </c>
      <c r="H48" s="136" t="n">
        <f aca="false">IFERROR(IF(OR(NOT(ISNUMBER('Price History'!H49)),NOT(ISNUMBER('Price History'!H48)),'Price History'!H48=0),"",'Price History'!H49/'Price History'!H48-1),"")</f>
        <v>-0.0574028952271749</v>
      </c>
      <c r="I48" s="136" t="n">
        <f aca="false">IFERROR(IF(OR(NOT(ISNUMBER('Price History'!I49)),NOT(ISNUMBER('Price History'!I48)),'Price History'!I48=0),"",'Price History'!I49/'Price History'!I48-1),"")</f>
        <v>-0.023939322114245</v>
      </c>
      <c r="J48" s="136" t="n">
        <f aca="false">IFERROR(IF(OR(NOT(ISNUMBER('Price History'!J49)),NOT(ISNUMBER('Price History'!J48)),'Price History'!J48=0),"",'Price History'!J49/'Price History'!J48-1),"")</f>
        <v>0.0265996343692869</v>
      </c>
      <c r="K48" s="136" t="n">
        <f aca="false">IFERROR(IF(OR(NOT(ISNUMBER('Price History'!K49)),NOT(ISNUMBER('Price History'!K48)),'Price History'!K48=0),"",'Price History'!K49/'Price History'!K48-1),"")</f>
        <v>0.0625</v>
      </c>
      <c r="L48" s="136" t="n">
        <f aca="false">IFERROR(IF(OR(NOT(ISNUMBER('Price History'!L49)),NOT(ISNUMBER('Price History'!L48)),'Price History'!L48=0),"",'Price History'!L49/'Price History'!L48-1),"")</f>
        <v>-0.000862267187859311</v>
      </c>
      <c r="M48" s="136" t="n">
        <f aca="false">IFERROR(IF(OR(NOT(ISNUMBER('Price History'!M49)),NOT(ISNUMBER('Price History'!M48)),'Price History'!M48=0),"",'Price History'!M49/'Price History'!M48-1),"")</f>
        <v>-0.044692120944604</v>
      </c>
      <c r="N48" s="136" t="n">
        <f aca="false">IFERROR(IF(OR(NOT(ISNUMBER('Price History'!N49)),NOT(ISNUMBER('Price History'!N48)),'Price History'!N48=0),"",'Price History'!N49/'Price History'!N48-1),"")</f>
        <v>2.13351539333218E-005</v>
      </c>
      <c r="O48" s="136" t="n">
        <f aca="false">IFERROR(IF(OR(NOT(ISNUMBER('Price History'!O49)),NOT(ISNUMBER('Price History'!O48)),'Price History'!O48=0),"",'Price History'!O49/'Price History'!O48-1),"")</f>
        <v>0.0117275597654487</v>
      </c>
      <c r="P48" s="136" t="str">
        <f aca="false">IFERROR(IF(OR(NOT(ISNUMBER('Price History'!P49)),NOT(ISNUMBER('Price History'!P48)),'Price History'!P48=0),"",'Price History'!P49/'Price History'!P48-1),"")</f>
        <v/>
      </c>
      <c r="Q48" s="136" t="n">
        <f aca="false">IFERROR(IF(OR(NOT(ISNUMBER('Price History'!Q49)),NOT(ISNUMBER('Price History'!Q48)),'Price History'!Q48=0),"",'Price History'!Q49/'Price History'!Q48-1),"")</f>
        <v>0.0262295081967212</v>
      </c>
      <c r="R48" s="136" t="n">
        <f aca="false">IFERROR(IF(OR(NOT(ISNUMBER('Price History'!R49)),NOT(ISNUMBER('Price History'!R48)),'Price History'!R48=0),"",'Price History'!R49/'Price History'!R48-1),"")</f>
        <v>0.00470673425054313</v>
      </c>
      <c r="S48" s="136" t="n">
        <f aca="false">IFERROR(IF(OR(NOT(ISNUMBER('Price History'!S49)),NOT(ISNUMBER('Price History'!S48)),'Price History'!S48=0),"",'Price History'!S49/'Price History'!S48-1),"")</f>
        <v>0.00114468864468864</v>
      </c>
      <c r="T48" s="136" t="n">
        <f aca="false">IFERROR(IF(OR(NOT(ISNUMBER('Price History'!T49)),NOT(ISNUMBER('Price History'!T48)),'Price History'!T48=0),"",'Price History'!T49/'Price History'!T48-1),"")</f>
        <v>-0.00642673521850901</v>
      </c>
      <c r="U48" s="136" t="str">
        <f aca="false">IFERROR(IF(OR(NOT(ISNUMBER('Price History'!U49)),NOT(ISNUMBER('Price History'!U48)),'Price History'!U48=0),"",'Price History'!U49/'Price History'!U48-1),"")</f>
        <v/>
      </c>
      <c r="W48" s="137" t="n">
        <f aca="false">'Price History'!B3+('Price History'!B158-'Price History'!B3)*0.292207792207792</f>
        <v>433.048701298701</v>
      </c>
      <c r="X48" s="137" t="n">
        <f aca="false">'Price History'!C3+('Price History'!C158-'Price History'!C3)*0.292207792207792</f>
        <v>83.6585064935065</v>
      </c>
      <c r="Y48" s="137" t="n">
        <f aca="false">'Price History'!D3+('Price History'!D158-'Price History'!D3)*0.292207792207792</f>
        <v>944.409220779221</v>
      </c>
      <c r="Z48" s="137" t="n">
        <f aca="false">'Price History'!E3+('Price History'!E158-'Price History'!E3)*0.292207792207792</f>
        <v>172.483246753247</v>
      </c>
      <c r="AA48" s="137" t="n">
        <f aca="false">'Price History'!F3+('Price History'!F158-'Price History'!F3)*0.292207792207792</f>
        <v>82.0015584415584</v>
      </c>
      <c r="AB48" s="137" t="n">
        <f aca="false">'Price History'!G3+('Price History'!G158-'Price History'!G3)*0.292207792207792</f>
        <v>87.3246753246753</v>
      </c>
      <c r="AC48" s="137" t="n">
        <f aca="false">'Price History'!H3+('Price History'!H158-'Price History'!H3)*0.292207792207792</f>
        <v>286.056363636363</v>
      </c>
      <c r="AD48" s="137" t="n">
        <f aca="false">'Price History'!I3+('Price History'!I158-'Price History'!I3)*0.292207792207792</f>
        <v>87.5740259740259</v>
      </c>
      <c r="AE48" s="137" t="n">
        <f aca="false">'Price History'!J3+('Price History'!J158-'Price History'!J3)*0.292207792207792</f>
        <v>129.675584415584</v>
      </c>
      <c r="AF48" s="137" t="n">
        <f aca="false">'Price History'!K3+('Price History'!K158-'Price History'!K3)*0.292207792207792</f>
        <v>46.8661688311688</v>
      </c>
      <c r="AG48" s="137" t="n">
        <f aca="false">'Price History'!L3+('Price History'!L158-'Price History'!L3)*0.292207792207792</f>
        <v>183.234805194805</v>
      </c>
      <c r="AH48" s="137" t="n">
        <f aca="false">'Price History'!M3+('Price History'!M158-'Price History'!M3)*0.292207792207792</f>
        <v>94.3067532467532</v>
      </c>
      <c r="AI48" s="137" t="n">
        <f aca="false">'Price History'!N3+('Price History'!N158-'Price History'!N3)*0.292207792207792</f>
        <v>387.04051948052</v>
      </c>
      <c r="AJ48" s="137" t="n">
        <f aca="false">'Price History'!O3+('Price History'!O158-'Price History'!O3)*0.292207792207792</f>
        <v>95.2483766233766</v>
      </c>
      <c r="AK48" s="137" t="n">
        <f aca="false">'Price History'!Q3+('Price History'!Q151-'Price History'!Q3)*0.292207792207792</f>
        <v>55.277987012987</v>
      </c>
      <c r="AL48" s="137" t="n">
        <f aca="false">'Price History'!R3+('Price History'!R158-'Price History'!R3)*0.292207792207792</f>
        <v>50.8677272727273</v>
      </c>
      <c r="AM48" s="137" t="n">
        <f aca="false">'Price History'!S3+('Price History'!S158-'Price History'!S3)*0.292207792207792</f>
        <v>83.4624025974026</v>
      </c>
      <c r="AN48" s="137" t="n">
        <f aca="false">'Price History'!T3+('Price History'!T158-'Price History'!T3)*0.292207792207792</f>
        <v>33.5811038961039</v>
      </c>
    </row>
    <row r="49" customFormat="false" ht="15" hidden="false" customHeight="true" outlineLevel="0" collapsed="false">
      <c r="A49" s="135" t="n">
        <f aca="false">IF('Price History'!A50="","",'Price History'!A50)</f>
        <v>45478</v>
      </c>
      <c r="B49" s="136" t="n">
        <f aca="false">IFERROR(IF(OR(NOT(ISNUMBER('Price History'!B50)),NOT(ISNUMBER('Price History'!B49)),'Price History'!B49=0),"",'Price History'!B50/'Price History'!B49-1),"")</f>
        <v>0.0410411491521765</v>
      </c>
      <c r="C49" s="136" t="n">
        <f aca="false">IFERROR(IF(OR(NOT(ISNUMBER('Price History'!C50)),NOT(ISNUMBER('Price History'!C49)),'Price History'!C49=0),"",'Price History'!C50/'Price History'!C49-1),"")</f>
        <v>0.0447386441451723</v>
      </c>
      <c r="D49" s="136" t="n">
        <f aca="false">IFERROR(IF(OR(NOT(ISNUMBER('Price History'!D50)),NOT(ISNUMBER('Price History'!D49)),'Price History'!D49=0),"",'Price History'!D50/'Price History'!D49-1),"")</f>
        <v>0.0505998650670265</v>
      </c>
      <c r="E49" s="136" t="n">
        <f aca="false">IFERROR(IF(OR(NOT(ISNUMBER('Price History'!E50)),NOT(ISNUMBER('Price History'!E49)),'Price History'!E49=0),"",'Price History'!E50/'Price History'!E49-1),"")</f>
        <v>0.0609156026160074</v>
      </c>
      <c r="F49" s="136" t="n">
        <f aca="false">IFERROR(IF(OR(NOT(ISNUMBER('Price History'!F50)),NOT(ISNUMBER('Price History'!F49)),'Price History'!F49=0),"",'Price History'!F50/'Price History'!F49-1),"")</f>
        <v>0.016910229645094</v>
      </c>
      <c r="G49" s="136" t="n">
        <f aca="false">IFERROR(IF(OR(NOT(ISNUMBER('Price History'!G50)),NOT(ISNUMBER('Price History'!G49)),'Price History'!G49=0),"",'Price History'!G50/'Price History'!G49-1),"")</f>
        <v>0.0372346876895087</v>
      </c>
      <c r="H49" s="136" t="n">
        <f aca="false">IFERROR(IF(OR(NOT(ISNUMBER('Price History'!H50)),NOT(ISNUMBER('Price History'!H49)),'Price History'!H49=0),"",'Price History'!H50/'Price History'!H49-1),"")</f>
        <v>0.000532197977647586</v>
      </c>
      <c r="I49" s="136" t="n">
        <f aca="false">IFERROR(IF(OR(NOT(ISNUMBER('Price History'!I50)),NOT(ISNUMBER('Price History'!I49)),'Price History'!I49=0),"",'Price History'!I50/'Price History'!I49-1),"")</f>
        <v>0.0185365063946898</v>
      </c>
      <c r="J49" s="136" t="n">
        <f aca="false">IFERROR(IF(OR(NOT(ISNUMBER('Price History'!J50)),NOT(ISNUMBER('Price History'!J49)),'Price History'!J49=0),"",'Price History'!J50/'Price History'!J49-1),"")</f>
        <v>0.0191434422580357</v>
      </c>
      <c r="K49" s="136" t="n">
        <f aca="false">IFERROR(IF(OR(NOT(ISNUMBER('Price History'!K50)),NOT(ISNUMBER('Price History'!K49)),'Price History'!K49=0),"",'Price History'!K50/'Price History'!K49-1),"")</f>
        <v>0.0750098697197001</v>
      </c>
      <c r="L49" s="136" t="n">
        <f aca="false">IFERROR(IF(OR(NOT(ISNUMBER('Price History'!L50)),NOT(ISNUMBER('Price History'!L49)),'Price History'!L49=0),"",'Price History'!L50/'Price History'!L49-1),"")</f>
        <v>0.0585697025487602</v>
      </c>
      <c r="M49" s="136" t="n">
        <f aca="false">IFERROR(IF(OR(NOT(ISNUMBER('Price History'!M50)),NOT(ISNUMBER('Price History'!M49)),'Price History'!M49=0),"",'Price History'!M50/'Price History'!M49-1),"")</f>
        <v>0.0601825112625622</v>
      </c>
      <c r="N49" s="136" t="n">
        <f aca="false">IFERROR(IF(OR(NOT(ISNUMBER('Price History'!N50)),NOT(ISNUMBER('Price History'!N49)),'Price History'!N49=0),"",'Price History'!N50/'Price History'!N49-1),"")</f>
        <v>0.0124807987711213</v>
      </c>
      <c r="O49" s="136" t="n">
        <f aca="false">IFERROR(IF(OR(NOT(ISNUMBER('Price History'!O50)),NOT(ISNUMBER('Price History'!O49)),'Price History'!O49=0),"",'Price History'!O50/'Price History'!O49-1),"")</f>
        <v>-0.0164957646009809</v>
      </c>
      <c r="P49" s="136" t="str">
        <f aca="false">IFERROR(IF(OR(NOT(ISNUMBER('Price History'!P50)),NOT(ISNUMBER('Price History'!P49)),'Price History'!P49=0),"",'Price History'!P50/'Price History'!P49-1),"")</f>
        <v/>
      </c>
      <c r="Q49" s="136" t="n">
        <f aca="false">IFERROR(IF(OR(NOT(ISNUMBER('Price History'!Q50)),NOT(ISNUMBER('Price History'!Q49)),'Price History'!Q49=0),"",'Price History'!Q50/'Price History'!Q49-1),"")</f>
        <v>0.00874390448965867</v>
      </c>
      <c r="R49" s="136" t="n">
        <f aca="false">IFERROR(IF(OR(NOT(ISNUMBER('Price History'!R50)),NOT(ISNUMBER('Price History'!R49)),'Price History'!R49=0),"",'Price History'!R50/'Price History'!R49-1),"")</f>
        <v>0.006846846846847</v>
      </c>
      <c r="S49" s="136" t="n">
        <f aca="false">IFERROR(IF(OR(NOT(ISNUMBER('Price History'!S50)),NOT(ISNUMBER('Price History'!S49)),'Price History'!S49=0),"",'Price History'!S50/'Price History'!S49-1),"")</f>
        <v>0.0309855934141323</v>
      </c>
      <c r="T49" s="136" t="n">
        <f aca="false">IFERROR(IF(OR(NOT(ISNUMBER('Price History'!T50)),NOT(ISNUMBER('Price History'!T49)),'Price History'!T49=0),"",'Price History'!T50/'Price History'!T49-1),"")</f>
        <v>-0.0200517464424321</v>
      </c>
      <c r="U49" s="136" t="str">
        <f aca="false">IFERROR(IF(OR(NOT(ISNUMBER('Price History'!U50)),NOT(ISNUMBER('Price History'!U49)),'Price History'!U49=0),"",'Price History'!U50/'Price History'!U49-1),"")</f>
        <v/>
      </c>
      <c r="W49" s="137" t="n">
        <f aca="false">'Price History'!B3+('Price History'!B158-'Price History'!B3)*0.298701298701299</f>
        <v>431.373116883117</v>
      </c>
      <c r="X49" s="137" t="n">
        <f aca="false">'Price History'!C3+('Price History'!C158-'Price History'!C3)*0.298701298701299</f>
        <v>84.5455844155845</v>
      </c>
      <c r="Y49" s="137" t="n">
        <f aca="false">'Price History'!D3+('Price History'!D158-'Price History'!D3)*0.298701298701299</f>
        <v>950.68987012987</v>
      </c>
      <c r="Z49" s="137" t="n">
        <f aca="false">'Price History'!E3+('Price History'!E158-'Price History'!E3)*0.298701298701299</f>
        <v>174.472207792208</v>
      </c>
      <c r="AA49" s="137" t="n">
        <f aca="false">'Price History'!F3+('Price History'!F158-'Price History'!F3)*0.298701298701299</f>
        <v>83.0002597402598</v>
      </c>
      <c r="AB49" s="137" t="n">
        <f aca="false">'Price History'!G3+('Price History'!G158-'Price History'!G3)*0.298701298701299</f>
        <v>88.2007792207793</v>
      </c>
      <c r="AC49" s="137" t="n">
        <f aca="false">'Price History'!H3+('Price History'!H158-'Price History'!H3)*0.298701298701299</f>
        <v>290.982727272728</v>
      </c>
      <c r="AD49" s="137" t="n">
        <f aca="false">'Price History'!I3+('Price History'!I158-'Price History'!I3)*0.298701298701299</f>
        <v>88.6123376623377</v>
      </c>
      <c r="AE49" s="137" t="n">
        <f aca="false">'Price History'!J3+('Price History'!J158-'Price History'!J3)*0.298701298701299</f>
        <v>129.812597402597</v>
      </c>
      <c r="AF49" s="137" t="n">
        <f aca="false">'Price History'!K3+('Price History'!K158-'Price History'!K3)*0.298701298701299</f>
        <v>47.5651948051948</v>
      </c>
      <c r="AG49" s="137" t="n">
        <f aca="false">'Price History'!L3+('Price History'!L158-'Price History'!L3)*0.298701298701299</f>
        <v>185.262467532468</v>
      </c>
      <c r="AH49" s="137" t="n">
        <f aca="false">'Price History'!M3+('Price History'!M158-'Price History'!M3)*0.298701298701299</f>
        <v>95.6577922077923</v>
      </c>
      <c r="AI49" s="137" t="n">
        <f aca="false">'Price History'!N3+('Price History'!N158-'Price History'!N3)*0.298701298701299</f>
        <v>387.866753246753</v>
      </c>
      <c r="AJ49" s="137" t="n">
        <f aca="false">'Price History'!O3+('Price History'!O158-'Price History'!O3)*0.298701298701299</f>
        <v>95.5238961038961</v>
      </c>
      <c r="AK49" s="137" t="n">
        <f aca="false">'Price History'!Q3+('Price History'!Q151-'Price History'!Q3)*0.298701298701299</f>
        <v>55.3988311688312</v>
      </c>
      <c r="AL49" s="137" t="n">
        <f aca="false">'Price History'!R3+('Price History'!R158-'Price History'!R3)*0.298701298701299</f>
        <v>50.9354545454546</v>
      </c>
      <c r="AM49" s="137" t="n">
        <f aca="false">'Price History'!S3+('Price History'!S158-'Price History'!S3)*0.298701298701299</f>
        <v>84.0162337662338</v>
      </c>
      <c r="AN49" s="137" t="n">
        <f aca="false">'Price History'!T3+('Price History'!T158-'Price History'!T3)*0.298701298701299</f>
        <v>33.7293506493507</v>
      </c>
    </row>
    <row r="50" customFormat="false" ht="15" hidden="false" customHeight="true" outlineLevel="0" collapsed="false">
      <c r="A50" s="135" t="n">
        <f aca="false">IF('Price History'!A51="","",'Price History'!A51)</f>
        <v>45485</v>
      </c>
      <c r="B50" s="136" t="n">
        <f aca="false">IFERROR(IF(OR(NOT(ISNUMBER('Price History'!B51)),NOT(ISNUMBER('Price History'!B50)),'Price History'!B50=0),"",'Price History'!B51/'Price History'!B50-1),"")</f>
        <v>-0.0333540823736903</v>
      </c>
      <c r="C50" s="136" t="n">
        <f aca="false">IFERROR(IF(OR(NOT(ISNUMBER('Price History'!C51)),NOT(ISNUMBER('Price History'!C50)),'Price History'!C50=0),"",'Price History'!C51/'Price History'!C50-1),"")</f>
        <v>-0.0115796373170199</v>
      </c>
      <c r="D50" s="136" t="n">
        <f aca="false">IFERROR(IF(OR(NOT(ISNUMBER('Price History'!D51)),NOT(ISNUMBER('Price History'!D50)),'Price History'!D50=0),"",'Price History'!D51/'Price History'!D50-1),"")</f>
        <v>0.0100327600327601</v>
      </c>
      <c r="E50" s="136" t="n">
        <f aca="false">IFERROR(IF(OR(NOT(ISNUMBER('Price History'!E51)),NOT(ISNUMBER('Price History'!E50)),'Price History'!E50=0),"",'Price History'!E51/'Price History'!E50-1),"")</f>
        <v>-0.00152644865848661</v>
      </c>
      <c r="F50" s="136" t="n">
        <f aca="false">IFERROR(IF(OR(NOT(ISNUMBER('Price History'!F51)),NOT(ISNUMBER('Price History'!F50)),'Price History'!F50=0),"",'Price History'!F51/'Price History'!F50-1),"")</f>
        <v>-0.0471155820160132</v>
      </c>
      <c r="G50" s="136" t="n">
        <f aca="false">IFERROR(IF(OR(NOT(ISNUMBER('Price History'!G51)),NOT(ISNUMBER('Price History'!G50)),'Price History'!G50=0),"",'Price History'!G51/'Price History'!G50-1),"")</f>
        <v>0.00292329279700665</v>
      </c>
      <c r="H50" s="136" t="n">
        <f aca="false">IFERROR(IF(OR(NOT(ISNUMBER('Price History'!H51)),NOT(ISNUMBER('Price History'!H50)),'Price History'!H50=0),"",'Price History'!H51/'Price History'!H50-1),"")</f>
        <v>0.0148176291793314</v>
      </c>
      <c r="I50" s="136" t="n">
        <f aca="false">IFERROR(IF(OR(NOT(ISNUMBER('Price History'!I51)),NOT(ISNUMBER('Price History'!I50)),'Price History'!I50=0),"",'Price History'!I51/'Price History'!I50-1),"")</f>
        <v>0.0271000556306129</v>
      </c>
      <c r="J50" s="136" t="n">
        <f aca="false">IFERROR(IF(OR(NOT(ISNUMBER('Price History'!J51)),NOT(ISNUMBER('Price History'!J50)),'Price History'!J50=0),"",'Price History'!J51/'Price History'!J50-1),"")</f>
        <v>0.0497116896732484</v>
      </c>
      <c r="K50" s="136" t="n">
        <f aca="false">IFERROR(IF(OR(NOT(ISNUMBER('Price History'!K51)),NOT(ISNUMBER('Price History'!K50)),'Price History'!K50=0),"",'Price History'!K51/'Price History'!K50-1),"")</f>
        <v>0.0308483290488433</v>
      </c>
      <c r="L50" s="136" t="n">
        <f aca="false">IFERROR(IF(OR(NOT(ISNUMBER('Price History'!L51)),NOT(ISNUMBER('Price History'!L50)),'Price History'!L50=0),"",'Price History'!L51/'Price History'!L50-1),"")</f>
        <v>0.0182618620577204</v>
      </c>
      <c r="M50" s="136" t="n">
        <f aca="false">IFERROR(IF(OR(NOT(ISNUMBER('Price History'!M51)),NOT(ISNUMBER('Price History'!M50)),'Price History'!M50=0),"",'Price History'!M51/'Price History'!M50-1),"")</f>
        <v>-0.0229897581172369</v>
      </c>
      <c r="N50" s="136" t="n">
        <f aca="false">IFERROR(IF(OR(NOT(ISNUMBER('Price History'!N51)),NOT(ISNUMBER('Price History'!N50)),'Price History'!N50=0),"",'Price History'!N51/'Price History'!N50-1),"")</f>
        <v>0.0298586088459027</v>
      </c>
      <c r="O50" s="136" t="n">
        <f aca="false">IFERROR(IF(OR(NOT(ISNUMBER('Price History'!O51)),NOT(ISNUMBER('Price History'!O50)),'Price History'!O50=0),"",'Price History'!O51/'Price History'!O50-1),"")</f>
        <v>0.0557570262919311</v>
      </c>
      <c r="P50" s="136" t="str">
        <f aca="false">IFERROR(IF(OR(NOT(ISNUMBER('Price History'!P51)),NOT(ISNUMBER('Price History'!P50)),'Price History'!P50=0),"",'Price History'!P51/'Price History'!P50-1),"")</f>
        <v/>
      </c>
      <c r="Q50" s="136" t="n">
        <f aca="false">IFERROR(IF(OR(NOT(ISNUMBER('Price History'!Q51)),NOT(ISNUMBER('Price History'!Q50)),'Price History'!Q50=0),"",'Price History'!Q51/'Price History'!Q50-1),"")</f>
        <v>0.00366727787964649</v>
      </c>
      <c r="R50" s="136" t="n">
        <f aca="false">IFERROR(IF(OR(NOT(ISNUMBER('Price History'!R51)),NOT(ISNUMBER('Price History'!R50)),'Price History'!R50=0),"",'Price History'!R51/'Price History'!R50-1),"")</f>
        <v>-0.000715819613457347</v>
      </c>
      <c r="S50" s="136" t="n">
        <f aca="false">IFERROR(IF(OR(NOT(ISNUMBER('Price History'!S51)),NOT(ISNUMBER('Price History'!S50)),'Price History'!S50=0),"",'Price History'!S51/'Price History'!S50-1),"")</f>
        <v>-0.00199622934457144</v>
      </c>
      <c r="T50" s="136" t="n">
        <f aca="false">IFERROR(IF(OR(NOT(ISNUMBER('Price History'!T51)),NOT(ISNUMBER('Price History'!T50)),'Price History'!T50=0),"",'Price History'!T51/'Price History'!T50-1),"")</f>
        <v>0.0382838283828384</v>
      </c>
      <c r="U50" s="136" t="str">
        <f aca="false">IFERROR(IF(OR(NOT(ISNUMBER('Price History'!U51)),NOT(ISNUMBER('Price History'!U50)),'Price History'!U50=0),"",'Price History'!U51/'Price History'!U50-1),"")</f>
        <v/>
      </c>
      <c r="W50" s="137" t="n">
        <f aca="false">'Price History'!B3+('Price History'!B158-'Price History'!B3)*0.305194805194805</f>
        <v>429.697532467533</v>
      </c>
      <c r="X50" s="137" t="n">
        <f aca="false">'Price History'!C3+('Price History'!C158-'Price History'!C3)*0.305194805194805</f>
        <v>85.4326623376623</v>
      </c>
      <c r="Y50" s="137" t="n">
        <f aca="false">'Price History'!D3+('Price History'!D158-'Price History'!D3)*0.305194805194805</f>
        <v>956.970519480519</v>
      </c>
      <c r="Z50" s="137" t="n">
        <f aca="false">'Price History'!E3+('Price History'!E158-'Price History'!E3)*0.305194805194805</f>
        <v>176.461168831169</v>
      </c>
      <c r="AA50" s="137" t="n">
        <f aca="false">'Price History'!F3+('Price History'!F158-'Price History'!F3)*0.305194805194805</f>
        <v>83.998961038961</v>
      </c>
      <c r="AB50" s="137" t="n">
        <f aca="false">'Price History'!G3+('Price History'!G158-'Price History'!G3)*0.305194805194805</f>
        <v>89.0768831168831</v>
      </c>
      <c r="AC50" s="137" t="n">
        <f aca="false">'Price History'!H3+('Price History'!H158-'Price History'!H3)*0.305194805194805</f>
        <v>295.909090909091</v>
      </c>
      <c r="AD50" s="137" t="n">
        <f aca="false">'Price History'!I3+('Price History'!I158-'Price History'!I3)*0.305194805194805</f>
        <v>89.6506493506493</v>
      </c>
      <c r="AE50" s="137" t="n">
        <f aca="false">'Price History'!J3+('Price History'!J158-'Price History'!J3)*0.305194805194805</f>
        <v>129.94961038961</v>
      </c>
      <c r="AF50" s="137" t="n">
        <f aca="false">'Price History'!K3+('Price History'!K158-'Price History'!K3)*0.305194805194805</f>
        <v>48.2642207792208</v>
      </c>
      <c r="AG50" s="137" t="n">
        <f aca="false">'Price History'!L3+('Price History'!L158-'Price History'!L3)*0.305194805194805</f>
        <v>187.29012987013</v>
      </c>
      <c r="AH50" s="137" t="n">
        <f aca="false">'Price History'!M3+('Price History'!M158-'Price History'!M3)*0.305194805194805</f>
        <v>97.0088311688311</v>
      </c>
      <c r="AI50" s="137" t="n">
        <f aca="false">'Price History'!N3+('Price History'!N158-'Price History'!N3)*0.305194805194805</f>
        <v>388.692987012987</v>
      </c>
      <c r="AJ50" s="137" t="n">
        <f aca="false">'Price History'!O3+('Price History'!O158-'Price History'!O3)*0.305194805194805</f>
        <v>95.7994155844156</v>
      </c>
      <c r="AK50" s="137" t="n">
        <f aca="false">'Price History'!Q3+('Price History'!Q151-'Price History'!Q3)*0.305194805194805</f>
        <v>55.5196753246753</v>
      </c>
      <c r="AL50" s="137" t="n">
        <f aca="false">'Price History'!R3+('Price History'!R158-'Price History'!R3)*0.305194805194805</f>
        <v>51.0031818181818</v>
      </c>
      <c r="AM50" s="137" t="n">
        <f aca="false">'Price History'!S3+('Price History'!S158-'Price History'!S3)*0.305194805194805</f>
        <v>84.5700649350649</v>
      </c>
      <c r="AN50" s="137" t="n">
        <f aca="false">'Price History'!T3+('Price History'!T158-'Price History'!T3)*0.305194805194805</f>
        <v>33.8775974025974</v>
      </c>
    </row>
    <row r="51" customFormat="false" ht="15" hidden="false" customHeight="true" outlineLevel="0" collapsed="false">
      <c r="A51" s="135" t="n">
        <f aca="false">IF('Price History'!A52="","",'Price History'!A52)</f>
        <v>45492</v>
      </c>
      <c r="B51" s="136" t="n">
        <f aca="false">IFERROR(IF(OR(NOT(ISNUMBER('Price History'!B52)),NOT(ISNUMBER('Price History'!B51)),'Price History'!B51=0),"",'Price History'!B52/'Price History'!B51-1),"")</f>
        <v>-0.0143994276003935</v>
      </c>
      <c r="C51" s="136" t="n">
        <f aca="false">IFERROR(IF(OR(NOT(ISNUMBER('Price History'!C52)),NOT(ISNUMBER('Price History'!C51)),'Price History'!C51=0),"",'Price History'!C52/'Price History'!C51-1),"")</f>
        <v>-0.0866489832007074</v>
      </c>
      <c r="D51" s="136" t="n">
        <f aca="false">IFERROR(IF(OR(NOT(ISNUMBER('Price History'!D52)),NOT(ISNUMBER('Price History'!D51)),'Price History'!D51=0),"",'Price History'!D52/'Price History'!D51-1),"")</f>
        <v>-0.174971896135488</v>
      </c>
      <c r="E51" s="136" t="n">
        <f aca="false">IFERROR(IF(OR(NOT(ISNUMBER('Price History'!E52)),NOT(ISNUMBER('Price History'!E51)),'Price History'!E51=0),"",'Price History'!E52/'Price History'!E51-1),"")</f>
        <v>-0.0747927324043041</v>
      </c>
      <c r="F51" s="136" t="n">
        <f aca="false">IFERROR(IF(OR(NOT(ISNUMBER('Price History'!F52)),NOT(ISNUMBER('Price History'!F51)),'Price History'!F51=0),"",'Price History'!F52/'Price History'!F51-1),"")</f>
        <v>-0.178713777873532</v>
      </c>
      <c r="G51" s="136" t="n">
        <f aca="false">IFERROR(IF(OR(NOT(ISNUMBER('Price History'!G52)),NOT(ISNUMBER('Price History'!G51)),'Price History'!G51=0),"",'Price History'!G52/'Price History'!G51-1),"")</f>
        <v>-0.110877929345925</v>
      </c>
      <c r="H51" s="136" t="n">
        <f aca="false">IFERROR(IF(OR(NOT(ISNUMBER('Price History'!H52)),NOT(ISNUMBER('Price History'!H51)),'Price History'!H51=0),"",'Price History'!H52/'Price History'!H51-1),"")</f>
        <v>-0.144440284537626</v>
      </c>
      <c r="I51" s="136" t="n">
        <f aca="false">IFERROR(IF(OR(NOT(ISNUMBER('Price History'!I52)),NOT(ISNUMBER('Price History'!I51)),'Price History'!I51=0),"",'Price History'!I52/'Price History'!I51-1),"")</f>
        <v>-0.0875116063138347</v>
      </c>
      <c r="J51" s="136" t="n">
        <f aca="false">IFERROR(IF(OR(NOT(ISNUMBER('Price History'!J52)),NOT(ISNUMBER('Price History'!J51)),'Price History'!J51=0),"",'Price History'!J52/'Price History'!J51-1),"")</f>
        <v>0.0299625468164793</v>
      </c>
      <c r="K51" s="136" t="n">
        <f aca="false">IFERROR(IF(OR(NOT(ISNUMBER('Price History'!K52)),NOT(ISNUMBER('Price History'!K51)),'Price History'!K51=0),"",'Price History'!K52/'Price History'!K51-1),"")</f>
        <v>0.0181688635553972</v>
      </c>
      <c r="L51" s="136" t="n">
        <f aca="false">IFERROR(IF(OR(NOT(ISNUMBER('Price History'!L52)),NOT(ISNUMBER('Price History'!L51)),'Price History'!L51=0),"",'Price History'!L52/'Price History'!L51-1),"")</f>
        <v>-0.115185481718708</v>
      </c>
      <c r="M51" s="136" t="n">
        <f aca="false">IFERROR(IF(OR(NOT(ISNUMBER('Price History'!M52)),NOT(ISNUMBER('Price History'!M51)),'Price History'!M51=0),"",'Price History'!M52/'Price History'!M51-1),"")</f>
        <v>-0.0486227277796364</v>
      </c>
      <c r="N51" s="136" t="n">
        <f aca="false">IFERROR(IF(OR(NOT(ISNUMBER('Price History'!N52)),NOT(ISNUMBER('Price History'!N51)),'Price History'!N51=0),"",'Price History'!N52/'Price History'!N51-1),"")</f>
        <v>0.00579039980357643</v>
      </c>
      <c r="O51" s="136" t="n">
        <f aca="false">IFERROR(IF(OR(NOT(ISNUMBER('Price History'!O52)),NOT(ISNUMBER('Price History'!O51)),'Price History'!O51=0),"",'Price History'!O52/'Price History'!O51-1),"")</f>
        <v>0.0264061829111208</v>
      </c>
      <c r="P51" s="136" t="str">
        <f aca="false">IFERROR(IF(OR(NOT(ISNUMBER('Price History'!P52)),NOT(ISNUMBER('Price History'!P51)),'Price History'!P51=0),"",'Price History'!P52/'Price History'!P51-1),"")</f>
        <v/>
      </c>
      <c r="Q51" s="136" t="n">
        <f aca="false">IFERROR(IF(OR(NOT(ISNUMBER('Price History'!Q52)),NOT(ISNUMBER('Price History'!Q51)),'Price History'!Q51=0),"",'Price History'!Q52/'Price History'!Q51-1),"")</f>
        <v>-0.0270719149642917</v>
      </c>
      <c r="R51" s="136" t="n">
        <f aca="false">IFERROR(IF(OR(NOT(ISNUMBER('Price History'!R52)),NOT(ISNUMBER('Price History'!R51)),'Price History'!R51=0),"",'Price History'!R52/'Price History'!R51-1),"")</f>
        <v>-0.0295487106017193</v>
      </c>
      <c r="S51" s="136" t="n">
        <f aca="false">IFERROR(IF(OR(NOT(ISNUMBER('Price History'!S52)),NOT(ISNUMBER('Price History'!S51)),'Price History'!S51=0),"",'Price History'!S52/'Price History'!S51-1),"")</f>
        <v>-0.0404489387709746</v>
      </c>
      <c r="T51" s="136" t="n">
        <f aca="false">IFERROR(IF(OR(NOT(ISNUMBER('Price History'!T52)),NOT(ISNUMBER('Price History'!T51)),'Price History'!T51=0),"",'Price History'!T52/'Price History'!T51-1),"")</f>
        <v>0.0152574698029244</v>
      </c>
      <c r="U51" s="136" t="str">
        <f aca="false">IFERROR(IF(OR(NOT(ISNUMBER('Price History'!U52)),NOT(ISNUMBER('Price History'!U51)),'Price History'!U51=0),"",'Price History'!U52/'Price History'!U51-1),"")</f>
        <v/>
      </c>
      <c r="W51" s="137" t="n">
        <f aca="false">'Price History'!B3+('Price History'!B158-'Price History'!B3)*0.311688311688312</f>
        <v>428.021948051948</v>
      </c>
      <c r="X51" s="137" t="n">
        <f aca="false">'Price History'!C3+('Price History'!C158-'Price History'!C3)*0.311688311688312</f>
        <v>86.3197402597403</v>
      </c>
      <c r="Y51" s="137" t="n">
        <f aca="false">'Price History'!D3+('Price History'!D158-'Price History'!D3)*0.311688311688312</f>
        <v>963.251168831169</v>
      </c>
      <c r="Z51" s="137" t="n">
        <f aca="false">'Price History'!E3+('Price History'!E158-'Price History'!E3)*0.311688311688312</f>
        <v>178.45012987013</v>
      </c>
      <c r="AA51" s="137" t="n">
        <f aca="false">'Price History'!F3+('Price History'!F158-'Price History'!F3)*0.311688311688312</f>
        <v>84.9976623376624</v>
      </c>
      <c r="AB51" s="137" t="n">
        <f aca="false">'Price History'!G3+('Price History'!G158-'Price History'!G3)*0.311688311688312</f>
        <v>89.9529870129871</v>
      </c>
      <c r="AC51" s="137" t="n">
        <f aca="false">'Price History'!H3+('Price History'!H158-'Price History'!H3)*0.311688311688312</f>
        <v>300.835454545455</v>
      </c>
      <c r="AD51" s="137" t="n">
        <f aca="false">'Price History'!I3+('Price History'!I158-'Price History'!I3)*0.311688311688312</f>
        <v>90.6889610389611</v>
      </c>
      <c r="AE51" s="137" t="n">
        <f aca="false">'Price History'!J3+('Price History'!J158-'Price History'!J3)*0.311688311688312</f>
        <v>130.086623376623</v>
      </c>
      <c r="AF51" s="137" t="n">
        <f aca="false">'Price History'!K3+('Price History'!K158-'Price History'!K3)*0.311688311688312</f>
        <v>48.9632467532468</v>
      </c>
      <c r="AG51" s="137" t="n">
        <f aca="false">'Price History'!L3+('Price History'!L158-'Price History'!L3)*0.311688311688312</f>
        <v>189.317792207792</v>
      </c>
      <c r="AH51" s="137" t="n">
        <f aca="false">'Price History'!M3+('Price History'!M158-'Price History'!M3)*0.311688311688312</f>
        <v>98.3598701298702</v>
      </c>
      <c r="AI51" s="137" t="n">
        <f aca="false">'Price History'!N3+('Price History'!N158-'Price History'!N3)*0.311688311688312</f>
        <v>389.519220779221</v>
      </c>
      <c r="AJ51" s="137" t="n">
        <f aca="false">'Price History'!O3+('Price History'!O158-'Price History'!O3)*0.311688311688312</f>
        <v>96.0749350649351</v>
      </c>
      <c r="AK51" s="137" t="n">
        <f aca="false">'Price History'!Q3+('Price History'!Q151-'Price History'!Q3)*0.311688311688312</f>
        <v>55.6405194805195</v>
      </c>
      <c r="AL51" s="137" t="n">
        <f aca="false">'Price History'!R3+('Price History'!R158-'Price History'!R3)*0.311688311688312</f>
        <v>51.0709090909091</v>
      </c>
      <c r="AM51" s="137" t="n">
        <f aca="false">'Price History'!S3+('Price History'!S158-'Price History'!S3)*0.311688311688312</f>
        <v>85.1238961038961</v>
      </c>
      <c r="AN51" s="137" t="n">
        <f aca="false">'Price History'!T3+('Price History'!T158-'Price History'!T3)*0.311688311688312</f>
        <v>34.0258441558442</v>
      </c>
    </row>
    <row r="52" customFormat="false" ht="15" hidden="false" customHeight="true" outlineLevel="0" collapsed="false">
      <c r="A52" s="135" t="n">
        <f aca="false">IF('Price History'!A53="","",'Price History'!A53)</f>
        <v>45499</v>
      </c>
      <c r="B52" s="136" t="n">
        <f aca="false">IFERROR(IF(OR(NOT(ISNUMBER('Price History'!B53)),NOT(ISNUMBER('Price History'!B52)),'Price History'!B52=0),"",'Price History'!B53/'Price History'!B52-1),"")</f>
        <v>-0.0155353901996369</v>
      </c>
      <c r="C52" s="136" t="n">
        <f aca="false">IFERROR(IF(OR(NOT(ISNUMBER('Price History'!C53)),NOT(ISNUMBER('Price History'!C52)),'Price History'!C52=0),"",'Price History'!C53/'Price History'!C52-1),"")</f>
        <v>-0.0343659244917716</v>
      </c>
      <c r="D52" s="136" t="n">
        <f aca="false">IFERROR(IF(OR(NOT(ISNUMBER('Price History'!D53)),NOT(ISNUMBER('Price History'!D52)),'Price History'!D52=0),"",'Price History'!D53/'Price History'!D52-1),"")</f>
        <v>-0.00779565989479214</v>
      </c>
      <c r="E52" s="136" t="n">
        <f aca="false">IFERROR(IF(OR(NOT(ISNUMBER('Price History'!E53)),NOT(ISNUMBER('Price History'!E52)),'Price History'!E52=0),"",'Price History'!E53/'Price History'!E52-1),"")</f>
        <v>-0.0363520813473149</v>
      </c>
      <c r="F52" s="136" t="n">
        <f aca="false">IFERROR(IF(OR(NOT(ISNUMBER('Price History'!F53)),NOT(ISNUMBER('Price History'!F52)),'Price History'!F52=0),"",'Price History'!F53/'Price History'!F52-1),"")</f>
        <v>-0.160020986358867</v>
      </c>
      <c r="G52" s="136" t="n">
        <f aca="false">IFERROR(IF(OR(NOT(ISNUMBER('Price History'!G53)),NOT(ISNUMBER('Price History'!G52)),'Price History'!G52=0),"",'Price History'!G53/'Price History'!G52-1),"")</f>
        <v>0.032520325203252</v>
      </c>
      <c r="H52" s="136" t="n">
        <f aca="false">IFERROR(IF(OR(NOT(ISNUMBER('Price History'!H53)),NOT(ISNUMBER('Price History'!H52)),'Price History'!H52=0),"",'Price History'!H53/'Price History'!H52-1),"")</f>
        <v>-0.042447050586382</v>
      </c>
      <c r="I52" s="136" t="n">
        <f aca="false">IFERROR(IF(OR(NOT(ISNUMBER('Price History'!I53)),NOT(ISNUMBER('Price History'!I52)),'Price History'!I52=0),"",'Price History'!I53/'Price History'!I52-1),"")</f>
        <v>-0.0412956838802679</v>
      </c>
      <c r="J52" s="136" t="n">
        <f aca="false">IFERROR(IF(OR(NOT(ISNUMBER('Price History'!J53)),NOT(ISNUMBER('Price History'!J52)),'Price History'!J52=0),"",'Price History'!J53/'Price History'!J52-1),"")</f>
        <v>-0.00864646464646457</v>
      </c>
      <c r="K52" s="136" t="n">
        <f aca="false">IFERROR(IF(OR(NOT(ISNUMBER('Price History'!K53)),NOT(ISNUMBER('Price History'!K52)),'Price History'!K52=0),"",'Price History'!K53/'Price History'!K52-1),"")</f>
        <v>-0.0489853044086773</v>
      </c>
      <c r="L52" s="136" t="n">
        <f aca="false">IFERROR(IF(OR(NOT(ISNUMBER('Price History'!L53)),NOT(ISNUMBER('Price History'!L52)),'Price History'!L52=0),"",'Price History'!L53/'Price History'!L52-1),"")</f>
        <v>-0.023104301140134</v>
      </c>
      <c r="M52" s="136" t="n">
        <f aca="false">IFERROR(IF(OR(NOT(ISNUMBER('Price History'!M53)),NOT(ISNUMBER('Price History'!M52)),'Price History'!M52=0),"",'Price History'!M53/'Price History'!M52-1),"")</f>
        <v>-0.0960028132692533</v>
      </c>
      <c r="N52" s="136" t="n">
        <f aca="false">IFERROR(IF(OR(NOT(ISNUMBER('Price History'!N53)),NOT(ISNUMBER('Price History'!N52)),'Price History'!N52=0),"",'Price History'!N53/'Price History'!N52-1),"")</f>
        <v>0.0075065606119169</v>
      </c>
      <c r="O52" s="136" t="n">
        <f aca="false">IFERROR(IF(OR(NOT(ISNUMBER('Price History'!O53)),NOT(ISNUMBER('Price History'!O52)),'Price History'!O52=0),"",'Price History'!O53/'Price History'!O52-1),"")</f>
        <v>0.0362894791884543</v>
      </c>
      <c r="P52" s="136" t="str">
        <f aca="false">IFERROR(IF(OR(NOT(ISNUMBER('Price History'!P53)),NOT(ISNUMBER('Price History'!P52)),'Price History'!P52=0),"",'Price History'!P53/'Price History'!P52-1),"")</f>
        <v/>
      </c>
      <c r="Q52" s="136" t="n">
        <f aca="false">IFERROR(IF(OR(NOT(ISNUMBER('Price History'!Q53)),NOT(ISNUMBER('Price History'!Q52)),'Price History'!Q52=0),"",'Price History'!Q53/'Price History'!Q52-1),"")</f>
        <v>0.0259474223284397</v>
      </c>
      <c r="R52" s="136" t="n">
        <f aca="false">IFERROR(IF(OR(NOT(ISNUMBER('Price History'!R53)),NOT(ISNUMBER('Price History'!R52)),'Price History'!R52=0),"",'Price History'!R53/'Price History'!R52-1),"")</f>
        <v>-0.0226979147444177</v>
      </c>
      <c r="S52" s="136" t="n">
        <f aca="false">IFERROR(IF(OR(NOT(ISNUMBER('Price History'!S53)),NOT(ISNUMBER('Price History'!S52)),'Price History'!S52=0),"",'Price History'!S53/'Price History'!S52-1),"")</f>
        <v>-0.0188766647365373</v>
      </c>
      <c r="T52" s="136" t="n">
        <f aca="false">IFERROR(IF(OR(NOT(ISNUMBER('Price History'!T53)),NOT(ISNUMBER('Price History'!T52)),'Price History'!T52=0),"",'Price History'!T53/'Price History'!T52-1),"")</f>
        <v>0.0178459611772073</v>
      </c>
      <c r="U52" s="136" t="str">
        <f aca="false">IFERROR(IF(OR(NOT(ISNUMBER('Price History'!U53)),NOT(ISNUMBER('Price History'!U52)),'Price History'!U52=0),"",'Price History'!U53/'Price History'!U52-1),"")</f>
        <v/>
      </c>
      <c r="W52" s="137" t="n">
        <f aca="false">'Price History'!B3+('Price History'!B158-'Price History'!B3)*0.318181818181818</f>
        <v>426.346363636364</v>
      </c>
      <c r="X52" s="137" t="n">
        <f aca="false">'Price History'!C3+('Price History'!C158-'Price History'!C3)*0.318181818181818</f>
        <v>87.2068181818182</v>
      </c>
      <c r="Y52" s="137" t="n">
        <f aca="false">'Price History'!D3+('Price History'!D158-'Price History'!D3)*0.318181818181818</f>
        <v>969.531818181818</v>
      </c>
      <c r="Z52" s="137" t="n">
        <f aca="false">'Price History'!E3+('Price History'!E158-'Price History'!E3)*0.318181818181818</f>
        <v>180.439090909091</v>
      </c>
      <c r="AA52" s="137" t="n">
        <f aca="false">'Price History'!F3+('Price History'!F158-'Price History'!F3)*0.318181818181818</f>
        <v>85.9963636363636</v>
      </c>
      <c r="AB52" s="137" t="n">
        <f aca="false">'Price History'!G3+('Price History'!G158-'Price History'!G3)*0.318181818181818</f>
        <v>90.8290909090909</v>
      </c>
      <c r="AC52" s="137" t="n">
        <f aca="false">'Price History'!H3+('Price History'!H158-'Price History'!H3)*0.318181818181818</f>
        <v>305.761818181818</v>
      </c>
      <c r="AD52" s="137" t="n">
        <f aca="false">'Price History'!I3+('Price History'!I158-'Price History'!I3)*0.318181818181818</f>
        <v>91.7272727272727</v>
      </c>
      <c r="AE52" s="137" t="n">
        <f aca="false">'Price History'!J3+('Price History'!J158-'Price History'!J3)*0.318181818181818</f>
        <v>130.223636363636</v>
      </c>
      <c r="AF52" s="137" t="n">
        <f aca="false">'Price History'!K3+('Price History'!K158-'Price History'!K3)*0.318181818181818</f>
        <v>49.6622727272727</v>
      </c>
      <c r="AG52" s="137" t="n">
        <f aca="false">'Price History'!L3+('Price History'!L158-'Price History'!L3)*0.318181818181818</f>
        <v>191.345454545455</v>
      </c>
      <c r="AH52" s="137" t="n">
        <f aca="false">'Price History'!M3+('Price History'!M158-'Price History'!M3)*0.318181818181818</f>
        <v>99.710909090909</v>
      </c>
      <c r="AI52" s="137" t="n">
        <f aca="false">'Price History'!N3+('Price History'!N158-'Price History'!N3)*0.318181818181818</f>
        <v>390.345454545455</v>
      </c>
      <c r="AJ52" s="137" t="n">
        <f aca="false">'Price History'!O3+('Price History'!O158-'Price History'!O3)*0.318181818181818</f>
        <v>96.3504545454545</v>
      </c>
      <c r="AK52" s="137" t="n">
        <f aca="false">'Price History'!Q3+('Price History'!Q151-'Price History'!Q3)*0.318181818181818</f>
        <v>55.7613636363636</v>
      </c>
      <c r="AL52" s="137" t="n">
        <f aca="false">'Price History'!R3+('Price History'!R158-'Price History'!R3)*0.318181818181818</f>
        <v>51.1386363636364</v>
      </c>
      <c r="AM52" s="137" t="n">
        <f aca="false">'Price History'!S3+('Price History'!S158-'Price History'!S3)*0.318181818181818</f>
        <v>85.6777272727273</v>
      </c>
      <c r="AN52" s="137" t="n">
        <f aca="false">'Price History'!T3+('Price History'!T158-'Price History'!T3)*0.318181818181818</f>
        <v>34.1740909090909</v>
      </c>
    </row>
    <row r="53" customFormat="false" ht="15" hidden="false" customHeight="true" outlineLevel="0" collapsed="false">
      <c r="A53" s="135" t="n">
        <f aca="false">IF('Price History'!A54="","",'Price History'!A54)</f>
        <v>45506</v>
      </c>
      <c r="B53" s="136" t="n">
        <f aca="false">IFERROR(IF(OR(NOT(ISNUMBER('Price History'!B54)),NOT(ISNUMBER('Price History'!B53)),'Price History'!B53=0),"",'Price History'!B54/'Price History'!B53-1),"")</f>
        <v>-0.0299941007300348</v>
      </c>
      <c r="C53" s="136" t="n">
        <f aca="false">IFERROR(IF(OR(NOT(ISNUMBER('Price History'!C54)),NOT(ISNUMBER('Price History'!C53)),'Price History'!C53=0),"",'Price History'!C54/'Price History'!C53-1),"")</f>
        <v>0.000375939849624141</v>
      </c>
      <c r="D53" s="136" t="n">
        <f aca="false">IFERROR(IF(OR(NOT(ISNUMBER('Price History'!D54)),NOT(ISNUMBER('Price History'!D53)),'Price History'!D53=0),"",'Price History'!D54/'Price History'!D53-1),"")</f>
        <v>-0.0889699343756684</v>
      </c>
      <c r="E53" s="136" t="n">
        <f aca="false">IFERROR(IF(OR(NOT(ISNUMBER('Price History'!E54)),NOT(ISNUMBER('Price History'!E53)),'Price History'!E53=0),"",'Price History'!E54/'Price History'!E53-1),"")</f>
        <v>-0.0515069577260436</v>
      </c>
      <c r="F53" s="136" t="n">
        <f aca="false">IFERROR(IF(OR(NOT(ISNUMBER('Price History'!F54)),NOT(ISNUMBER('Price History'!F53)),'Price History'!F53=0),"",'Price History'!F54/'Price History'!F53-1),"")</f>
        <v>-0.149437851342911</v>
      </c>
      <c r="G53" s="136" t="n">
        <f aca="false">IFERROR(IF(OR(NOT(ISNUMBER('Price History'!G54)),NOT(ISNUMBER('Price History'!G53)),'Price History'!G53=0),"",'Price History'!G54/'Price History'!G53-1),"")</f>
        <v>-0.115824231648463</v>
      </c>
      <c r="H53" s="136" t="n">
        <f aca="false">IFERROR(IF(OR(NOT(ISNUMBER('Price History'!H54)),NOT(ISNUMBER('Price History'!H53)),'Price History'!H53=0),"",'Price History'!H54/'Price History'!H53-1),"")</f>
        <v>-0.152728269810803</v>
      </c>
      <c r="I53" s="136" t="n">
        <f aca="false">IFERROR(IF(OR(NOT(ISNUMBER('Price History'!I54)),NOT(ISNUMBER('Price History'!I53)),'Price History'!I53=0),"",'Price History'!I54/'Price History'!I53-1),"")</f>
        <v>-0.0512117459755882</v>
      </c>
      <c r="J53" s="136" t="n">
        <f aca="false">IFERROR(IF(OR(NOT(ISNUMBER('Price History'!J54)),NOT(ISNUMBER('Price History'!J53)),'Price History'!J53=0),"",'Price History'!J54/'Price History'!J53-1),"")</f>
        <v>0.0105966742745354</v>
      </c>
      <c r="K53" s="136" t="n">
        <f aca="false">IFERROR(IF(OR(NOT(ISNUMBER('Price History'!K54)),NOT(ISNUMBER('Price History'!K53)),'Price History'!K53=0),"",'Price History'!K54/'Price History'!K53-1),"")</f>
        <v>-0.0897718910963945</v>
      </c>
      <c r="L53" s="136" t="n">
        <f aca="false">IFERROR(IF(OR(NOT(ISNUMBER('Price History'!L54)),NOT(ISNUMBER('Price History'!L53)),'Price History'!L53=0),"",'Price History'!L54/'Price History'!L53-1),"")</f>
        <v>-0.0745955292083487</v>
      </c>
      <c r="M53" s="136" t="n">
        <f aca="false">IFERROR(IF(OR(NOT(ISNUMBER('Price History'!M54)),NOT(ISNUMBER('Price History'!M53)),'Price History'!M53=0),"",'Price History'!M54/'Price History'!M53-1),"")</f>
        <v>-0.0993257261410789</v>
      </c>
      <c r="N53" s="136" t="n">
        <f aca="false">IFERROR(IF(OR(NOT(ISNUMBER('Price History'!N54)),NOT(ISNUMBER('Price History'!N53)),'Price History'!N53=0),"",'Price History'!N54/'Price History'!N53-1),"")</f>
        <v>-0.00161531316884067</v>
      </c>
      <c r="O53" s="136" t="n">
        <f aca="false">IFERROR(IF(OR(NOT(ISNUMBER('Price History'!O54)),NOT(ISNUMBER('Price History'!O53)),'Price History'!O53=0),"",'Price History'!O54/'Price History'!O53-1),"")</f>
        <v>-0.0714501967907962</v>
      </c>
      <c r="P53" s="136" t="str">
        <f aca="false">IFERROR(IF(OR(NOT(ISNUMBER('Price History'!P54)),NOT(ISNUMBER('Price History'!P53)),'Price History'!P53=0),"",'Price History'!P54/'Price History'!P53-1),"")</f>
        <v/>
      </c>
      <c r="Q53" s="136" t="n">
        <f aca="false">IFERROR(IF(OR(NOT(ISNUMBER('Price History'!Q54)),NOT(ISNUMBER('Price History'!Q53)),'Price History'!Q53=0),"",'Price History'!Q54/'Price History'!Q53-1),"")</f>
        <v>0.00831946755407653</v>
      </c>
      <c r="R53" s="136" t="n">
        <f aca="false">IFERROR(IF(OR(NOT(ISNUMBER('Price History'!R54)),NOT(ISNUMBER('Price History'!R53)),'Price History'!R53=0),"",'Price History'!R54/'Price History'!R53-1),"")</f>
        <v>-0.0343655589123867</v>
      </c>
      <c r="S53" s="136" t="n">
        <f aca="false">IFERROR(IF(OR(NOT(ISNUMBER('Price History'!S54)),NOT(ISNUMBER('Price History'!S53)),'Price History'!S53=0),"",'Price History'!S54/'Price History'!S53-1),"")</f>
        <v>-0.0297450424929178</v>
      </c>
      <c r="T53" s="136" t="n">
        <f aca="false">IFERROR(IF(OR(NOT(ISNUMBER('Price History'!T54)),NOT(ISNUMBER('Price History'!T53)),'Price History'!T53=0),"",'Price History'!T54/'Price History'!T53-1),"")</f>
        <v>-0.0286065825899723</v>
      </c>
      <c r="U53" s="136" t="str">
        <f aca="false">IFERROR(IF(OR(NOT(ISNUMBER('Price History'!U54)),NOT(ISNUMBER('Price History'!U53)),'Price History'!U53=0),"",'Price History'!U54/'Price History'!U53-1),"")</f>
        <v/>
      </c>
      <c r="W53" s="137" t="n">
        <f aca="false">'Price History'!B3+('Price History'!B158-'Price History'!B3)*0.324675324675325</f>
        <v>424.670779220779</v>
      </c>
      <c r="X53" s="137" t="n">
        <f aca="false">'Price History'!C3+('Price History'!C158-'Price History'!C3)*0.324675324675325</f>
        <v>88.0938961038962</v>
      </c>
      <c r="Y53" s="137" t="n">
        <f aca="false">'Price History'!D3+('Price History'!D158-'Price History'!D3)*0.324675324675325</f>
        <v>975.812467532468</v>
      </c>
      <c r="Z53" s="137" t="n">
        <f aca="false">'Price History'!E3+('Price History'!E158-'Price History'!E3)*0.324675324675325</f>
        <v>182.428051948052</v>
      </c>
      <c r="AA53" s="137" t="n">
        <f aca="false">'Price History'!F3+('Price History'!F158-'Price History'!F3)*0.324675324675325</f>
        <v>86.995064935065</v>
      </c>
      <c r="AB53" s="137" t="n">
        <f aca="false">'Price History'!G3+('Price History'!G158-'Price History'!G3)*0.324675324675325</f>
        <v>91.7051948051949</v>
      </c>
      <c r="AC53" s="137" t="n">
        <f aca="false">'Price History'!H3+('Price History'!H158-'Price History'!H3)*0.324675324675325</f>
        <v>310.688181818182</v>
      </c>
      <c r="AD53" s="137" t="n">
        <f aca="false">'Price History'!I3+('Price History'!I158-'Price History'!I3)*0.324675324675325</f>
        <v>92.7655844155845</v>
      </c>
      <c r="AE53" s="137" t="n">
        <f aca="false">'Price History'!J3+('Price History'!J158-'Price History'!J3)*0.324675324675325</f>
        <v>130.360649350649</v>
      </c>
      <c r="AF53" s="137" t="n">
        <f aca="false">'Price History'!K3+('Price History'!K158-'Price History'!K3)*0.324675324675325</f>
        <v>50.3612987012987</v>
      </c>
      <c r="AG53" s="137" t="n">
        <f aca="false">'Price History'!L3+('Price History'!L158-'Price History'!L3)*0.324675324675325</f>
        <v>193.373116883117</v>
      </c>
      <c r="AH53" s="137" t="n">
        <f aca="false">'Price History'!M3+('Price History'!M158-'Price History'!M3)*0.324675324675325</f>
        <v>101.061948051948</v>
      </c>
      <c r="AI53" s="137" t="n">
        <f aca="false">'Price History'!N3+('Price History'!N158-'Price History'!N3)*0.324675324675325</f>
        <v>391.171688311688</v>
      </c>
      <c r="AJ53" s="137" t="n">
        <f aca="false">'Price History'!O3+('Price History'!O158-'Price History'!O3)*0.324675324675325</f>
        <v>96.625974025974</v>
      </c>
      <c r="AK53" s="137" t="n">
        <f aca="false">'Price History'!Q3+('Price History'!Q151-'Price History'!Q3)*0.324675324675325</f>
        <v>55.8822077922078</v>
      </c>
      <c r="AL53" s="137" t="n">
        <f aca="false">'Price History'!R3+('Price History'!R158-'Price History'!R3)*0.324675324675325</f>
        <v>51.2063636363636</v>
      </c>
      <c r="AM53" s="137" t="n">
        <f aca="false">'Price History'!S3+('Price History'!S158-'Price History'!S3)*0.324675324675325</f>
        <v>86.2315584415585</v>
      </c>
      <c r="AN53" s="137" t="n">
        <f aca="false">'Price History'!T3+('Price History'!T158-'Price History'!T3)*0.324675324675325</f>
        <v>34.3223376623377</v>
      </c>
    </row>
    <row r="54" customFormat="false" ht="15" hidden="false" customHeight="true" outlineLevel="0" collapsed="false">
      <c r="A54" s="135" t="n">
        <f aca="false">IF('Price History'!A55="","",'Price History'!A55)</f>
        <v>45513</v>
      </c>
      <c r="B54" s="136" t="n">
        <f aca="false">IFERROR(IF(OR(NOT(ISNUMBER('Price History'!B55)),NOT(ISNUMBER('Price History'!B54)),'Price History'!B54=0),"",'Price History'!B55/'Price History'!B54-1),"")</f>
        <v>0.0192523328962122</v>
      </c>
      <c r="C54" s="136" t="n">
        <f aca="false">IFERROR(IF(OR(NOT(ISNUMBER('Price History'!C55)),NOT(ISNUMBER('Price History'!C54)),'Price History'!C54=0),"",'Price History'!C55/'Price History'!C54-1),"")</f>
        <v>0.0516096705499187</v>
      </c>
      <c r="D54" s="136" t="n">
        <f aca="false">IFERROR(IF(OR(NOT(ISNUMBER('Price History'!D55)),NOT(ISNUMBER('Price History'!D54)),'Price History'!D54=0),"",'Price History'!D55/'Price History'!D54-1),"")</f>
        <v>0.0632606412553283</v>
      </c>
      <c r="E54" s="136" t="n">
        <f aca="false">IFERROR(IF(OR(NOT(ISNUMBER('Price History'!E55)),NOT(ISNUMBER('Price History'!E54)),'Price History'!E54=0),"",'Price History'!E55/'Price History'!E54-1),"")</f>
        <v>0.03087192323738</v>
      </c>
      <c r="F54" s="136" t="n">
        <f aca="false">IFERROR(IF(OR(NOT(ISNUMBER('Price History'!F55)),NOT(ISNUMBER('Price History'!F54)),'Price History'!F54=0),"",'Price History'!F55/'Price History'!F54-1),"")</f>
        <v>0.105746282357261</v>
      </c>
      <c r="G54" s="136" t="n">
        <f aca="false">IFERROR(IF(OR(NOT(ISNUMBER('Price History'!G55)),NOT(ISNUMBER('Price History'!G54)),'Price History'!G54=0),"",'Price History'!G55/'Price History'!G54-1),"")</f>
        <v>0.0726802642918702</v>
      </c>
      <c r="H54" s="136" t="n">
        <f aca="false">IFERROR(IF(OR(NOT(ISNUMBER('Price History'!H55)),NOT(ISNUMBER('Price History'!H54)),'Price History'!H54=0),"",'Price History'!H55/'Price History'!H54-1),"")</f>
        <v>0.00409924487594382</v>
      </c>
      <c r="I54" s="136" t="n">
        <f aca="false">IFERROR(IF(OR(NOT(ISNUMBER('Price History'!I55)),NOT(ISNUMBER('Price History'!I54)),'Price History'!I54=0),"",'Price History'!I55/'Price History'!I54-1),"")</f>
        <v>-0.023492122681085</v>
      </c>
      <c r="J54" s="136" t="n">
        <f aca="false">IFERROR(IF(OR(NOT(ISNUMBER('Price History'!J55)),NOT(ISNUMBER('Price History'!J54)),'Price History'!J54=0),"",'Price History'!J55/'Price History'!J54-1),"")</f>
        <v>-0.0167768994999193</v>
      </c>
      <c r="K54" s="136" t="n">
        <f aca="false">IFERROR(IF(OR(NOT(ISNUMBER('Price History'!K55)),NOT(ISNUMBER('Price History'!K54)),'Price History'!K54=0),"",'Price History'!K55/'Price History'!K54-1),"")</f>
        <v>0.21301535974131</v>
      </c>
      <c r="L54" s="136" t="n">
        <f aca="false">IFERROR(IF(OR(NOT(ISNUMBER('Price History'!L55)),NOT(ISNUMBER('Price History'!L54)),'Price History'!L54=0),"",'Price History'!L55/'Price History'!L54-1),"")</f>
        <v>0.115174162551715</v>
      </c>
      <c r="M54" s="136" t="n">
        <f aca="false">IFERROR(IF(OR(NOT(ISNUMBER('Price History'!M55)),NOT(ISNUMBER('Price History'!M54)),'Price History'!M54=0),"",'Price History'!M55/'Price History'!M54-1),"")</f>
        <v>0.0287935502447452</v>
      </c>
      <c r="N54" s="136" t="n">
        <f aca="false">IFERROR(IF(OR(NOT(ISNUMBER('Price History'!N55)),NOT(ISNUMBER('Price History'!N54)),'Price History'!N54=0),"",'Price History'!N55/'Price History'!N54-1),"")</f>
        <v>-0.0526028394612305</v>
      </c>
      <c r="O54" s="136" t="n">
        <f aca="false">IFERROR(IF(OR(NOT(ISNUMBER('Price History'!O55)),NOT(ISNUMBER('Price History'!O54)),'Price History'!O54=0),"",'Price History'!O55/'Price History'!O54-1),"")</f>
        <v>-0.0176067818715357</v>
      </c>
      <c r="P54" s="136" t="str">
        <f aca="false">IFERROR(IF(OR(NOT(ISNUMBER('Price History'!P55)),NOT(ISNUMBER('Price History'!P54)),'Price History'!P54=0),"",'Price History'!P55/'Price History'!P54-1),"")</f>
        <v/>
      </c>
      <c r="Q54" s="136" t="n">
        <f aca="false">IFERROR(IF(OR(NOT(ISNUMBER('Price History'!Q55)),NOT(ISNUMBER('Price History'!Q54)),'Price History'!Q54=0),"",'Price History'!Q55/'Price History'!Q54-1),"")</f>
        <v>0.00561056105610547</v>
      </c>
      <c r="R54" s="136" t="n">
        <f aca="false">IFERROR(IF(OR(NOT(ISNUMBER('Price History'!R55)),NOT(ISNUMBER('Price History'!R54)),'Price History'!R54=0),"",'Price History'!R55/'Price History'!R54-1),"")</f>
        <v>0.00293312475557284</v>
      </c>
      <c r="S54" s="136" t="n">
        <f aca="false">IFERROR(IF(OR(NOT(ISNUMBER('Price History'!S55)),NOT(ISNUMBER('Price History'!S54)),'Price History'!S54=0),"",'Price History'!S55/'Price History'!S54-1),"")</f>
        <v>0.0172749391727494</v>
      </c>
      <c r="T54" s="136" t="n">
        <f aca="false">IFERROR(IF(OR(NOT(ISNUMBER('Price History'!T55)),NOT(ISNUMBER('Price History'!T54)),'Price History'!T54=0),"",'Price History'!T55/'Price History'!T54-1),"")</f>
        <v>-0.00158328055731471</v>
      </c>
      <c r="U54" s="136" t="str">
        <f aca="false">IFERROR(IF(OR(NOT(ISNUMBER('Price History'!U55)),NOT(ISNUMBER('Price History'!U54)),'Price History'!U54=0),"",'Price History'!U55/'Price History'!U54-1),"")</f>
        <v/>
      </c>
      <c r="W54" s="137" t="n">
        <f aca="false">'Price History'!B3+('Price History'!B158-'Price History'!B3)*0.331168831168831</f>
        <v>422.995194805195</v>
      </c>
      <c r="X54" s="137" t="n">
        <f aca="false">'Price History'!C3+('Price History'!C158-'Price History'!C3)*0.331168831168831</f>
        <v>88.980974025974</v>
      </c>
      <c r="Y54" s="137" t="n">
        <f aca="false">'Price History'!D3+('Price History'!D158-'Price History'!D3)*0.331168831168831</f>
        <v>982.093116883117</v>
      </c>
      <c r="Z54" s="137" t="n">
        <f aca="false">'Price History'!E3+('Price History'!E158-'Price History'!E3)*0.331168831168831</f>
        <v>184.417012987013</v>
      </c>
      <c r="AA54" s="137" t="n">
        <f aca="false">'Price History'!F3+('Price History'!F158-'Price History'!F3)*0.331168831168831</f>
        <v>87.9937662337662</v>
      </c>
      <c r="AB54" s="137" t="n">
        <f aca="false">'Price History'!G3+('Price History'!G158-'Price History'!G3)*0.331168831168831</f>
        <v>92.5812987012987</v>
      </c>
      <c r="AC54" s="137" t="n">
        <f aca="false">'Price History'!H3+('Price History'!H158-'Price History'!H3)*0.331168831168831</f>
        <v>315.614545454545</v>
      </c>
      <c r="AD54" s="137" t="n">
        <f aca="false">'Price History'!I3+('Price History'!I158-'Price History'!I3)*0.331168831168831</f>
        <v>93.8038961038961</v>
      </c>
      <c r="AE54" s="137" t="n">
        <f aca="false">'Price History'!J3+('Price History'!J158-'Price History'!J3)*0.331168831168831</f>
        <v>130.497662337662</v>
      </c>
      <c r="AF54" s="137" t="n">
        <f aca="false">'Price History'!K3+('Price History'!K158-'Price History'!K3)*0.331168831168831</f>
        <v>51.0603246753247</v>
      </c>
      <c r="AG54" s="137" t="n">
        <f aca="false">'Price History'!L3+('Price History'!L158-'Price History'!L3)*0.331168831168831</f>
        <v>195.400779220779</v>
      </c>
      <c r="AH54" s="137" t="n">
        <f aca="false">'Price History'!M3+('Price History'!M158-'Price History'!M3)*0.331168831168831</f>
        <v>102.412987012987</v>
      </c>
      <c r="AI54" s="137" t="n">
        <f aca="false">'Price History'!N3+('Price History'!N158-'Price History'!N3)*0.331168831168831</f>
        <v>391.997922077922</v>
      </c>
      <c r="AJ54" s="137" t="n">
        <f aca="false">'Price History'!O3+('Price History'!O158-'Price History'!O3)*0.331168831168831</f>
        <v>96.9014935064935</v>
      </c>
      <c r="AK54" s="137" t="n">
        <f aca="false">'Price History'!Q3+('Price History'!Q151-'Price History'!Q3)*0.331168831168831</f>
        <v>56.003051948052</v>
      </c>
      <c r="AL54" s="137" t="n">
        <f aca="false">'Price History'!R3+('Price History'!R158-'Price History'!R3)*0.331168831168831</f>
        <v>51.2740909090909</v>
      </c>
      <c r="AM54" s="137" t="n">
        <f aca="false">'Price History'!S3+('Price History'!S158-'Price History'!S3)*0.331168831168831</f>
        <v>86.7853896103896</v>
      </c>
      <c r="AN54" s="137" t="n">
        <f aca="false">'Price History'!T3+('Price History'!T158-'Price History'!T3)*0.331168831168831</f>
        <v>34.4705844155844</v>
      </c>
    </row>
    <row r="55" customFormat="false" ht="15" hidden="false" customHeight="true" outlineLevel="0" collapsed="false">
      <c r="A55" s="135" t="n">
        <f aca="false">IF('Price History'!A56="","",'Price History'!A56)</f>
        <v>45520</v>
      </c>
      <c r="B55" s="136" t="n">
        <f aca="false">IFERROR(IF(OR(NOT(ISNUMBER('Price History'!B56)),NOT(ISNUMBER('Price History'!B55)),'Price History'!B55=0),"",'Price History'!B56/'Price History'!B55-1),"")</f>
        <v>0.0319970165951895</v>
      </c>
      <c r="C55" s="136" t="n">
        <f aca="false">IFERROR(IF(OR(NOT(ISNUMBER('Price History'!C56)),NOT(ISNUMBER('Price History'!C55)),'Price History'!C55=0),"",'Price History'!C56/'Price History'!C55-1),"")</f>
        <v>0.0538415723645027</v>
      </c>
      <c r="D55" s="136" t="n">
        <f aca="false">IFERROR(IF(OR(NOT(ISNUMBER('Price History'!D56)),NOT(ISNUMBER('Price History'!D55)),'Price History'!D55=0),"",'Price History'!D56/'Price History'!D55-1),"")</f>
        <v>0.0675265818371971</v>
      </c>
      <c r="E55" s="136" t="n">
        <f aca="false">IFERROR(IF(OR(NOT(ISNUMBER('Price History'!E56)),NOT(ISNUMBER('Price History'!E55)),'Price History'!E55=0),"",'Price History'!E56/'Price History'!E55-1),"")</f>
        <v>0.117766086604614</v>
      </c>
      <c r="F55" s="136" t="n">
        <f aca="false">IFERROR(IF(OR(NOT(ISNUMBER('Price History'!F56)),NOT(ISNUMBER('Price History'!F55)),'Price History'!F55=0),"",'Price History'!F56/'Price History'!F55-1),"")</f>
        <v>0.0898223476672755</v>
      </c>
      <c r="G55" s="136" t="n">
        <f aca="false">IFERROR(IF(OR(NOT(ISNUMBER('Price History'!G56)),NOT(ISNUMBER('Price History'!G55)),'Price History'!G55=0),"",'Price History'!G56/'Price History'!G55-1),"")</f>
        <v>0.0974825923942151</v>
      </c>
      <c r="H55" s="136" t="n">
        <f aca="false">IFERROR(IF(OR(NOT(ISNUMBER('Price History'!H56)),NOT(ISNUMBER('Price History'!H55)),'Price History'!H55=0),"",'Price History'!H56/'Price History'!H55-1),"")</f>
        <v>0.160184787279759</v>
      </c>
      <c r="I55" s="136" t="n">
        <f aca="false">IFERROR(IF(OR(NOT(ISNUMBER('Price History'!I56)),NOT(ISNUMBER('Price History'!I55)),'Price History'!I55=0),"",'Price History'!I56/'Price History'!I55-1),"")</f>
        <v>0.189307875894988</v>
      </c>
      <c r="J55" s="136" t="n">
        <f aca="false">IFERROR(IF(OR(NOT(ISNUMBER('Price History'!J56)),NOT(ISNUMBER('Price History'!J55)),'Price History'!J55=0),"",'Price History'!J56/'Price History'!J55-1),"")</f>
        <v>0.00779327317473322</v>
      </c>
      <c r="K55" s="136" t="n">
        <f aca="false">IFERROR(IF(OR(NOT(ISNUMBER('Price History'!K56)),NOT(ISNUMBER('Price History'!K55)),'Price History'!K55=0),"",'Price History'!K56/'Price History'!K55-1),"")</f>
        <v>0.0689770076641119</v>
      </c>
      <c r="L55" s="136" t="n">
        <f aca="false">IFERROR(IF(OR(NOT(ISNUMBER('Price History'!L56)),NOT(ISNUMBER('Price History'!L55)),'Price History'!L55=0),"",'Price History'!L56/'Price History'!L55-1),"")</f>
        <v>0.0443992340832933</v>
      </c>
      <c r="M55" s="136" t="n">
        <f aca="false">IFERROR(IF(OR(NOT(ISNUMBER('Price History'!M56)),NOT(ISNUMBER('Price History'!M55)),'Price History'!M55=0),"",'Price History'!M56/'Price History'!M55-1),"")</f>
        <v>0.111390987965295</v>
      </c>
      <c r="N55" s="136" t="n">
        <f aca="false">IFERROR(IF(OR(NOT(ISNUMBER('Price History'!N56)),NOT(ISNUMBER('Price History'!N55)),'Price History'!N55=0),"",'Price History'!N56/'Price History'!N55-1),"")</f>
        <v>0.0190415199060732</v>
      </c>
      <c r="O55" s="136" t="n">
        <f aca="false">IFERROR(IF(OR(NOT(ISNUMBER('Price History'!O56)),NOT(ISNUMBER('Price History'!O55)),'Price History'!O55=0),"",'Price History'!O56/'Price History'!O55-1),"")</f>
        <v>0.0285429804181878</v>
      </c>
      <c r="P55" s="136" t="str">
        <f aca="false">IFERROR(IF(OR(NOT(ISNUMBER('Price History'!P56)),NOT(ISNUMBER('Price History'!P55)),'Price History'!P55=0),"",'Price History'!P56/'Price History'!P55-1),"")</f>
        <v/>
      </c>
      <c r="Q55" s="136" t="n">
        <f aca="false">IFERROR(IF(OR(NOT(ISNUMBER('Price History'!Q56)),NOT(ISNUMBER('Price History'!Q55)),'Price History'!Q55=0),"",'Price History'!Q56/'Price History'!Q55-1),"")</f>
        <v>0.0013127666557271</v>
      </c>
      <c r="R55" s="136" t="n">
        <f aca="false">IFERROR(IF(OR(NOT(ISNUMBER('Price History'!R56)),NOT(ISNUMBER('Price History'!R55)),'Price History'!R55=0),"",'Price History'!R56/'Price History'!R55-1),"")</f>
        <v>0.0421134724117762</v>
      </c>
      <c r="S55" s="136" t="n">
        <f aca="false">IFERROR(IF(OR(NOT(ISNUMBER('Price History'!S56)),NOT(ISNUMBER('Price History'!S55)),'Price History'!S55=0),"",'Price History'!S56/'Price History'!S55-1),"")</f>
        <v>0.0570437694331498</v>
      </c>
      <c r="T55" s="136" t="n">
        <f aca="false">IFERROR(IF(OR(NOT(ISNUMBER('Price History'!T56)),NOT(ISNUMBER('Price History'!T55)),'Price History'!T55=0),"",'Price History'!T56/'Price History'!T55-1),"")</f>
        <v>0.0161750713606088</v>
      </c>
      <c r="U55" s="136" t="str">
        <f aca="false">IFERROR(IF(OR(NOT(ISNUMBER('Price History'!U56)),NOT(ISNUMBER('Price History'!U55)),'Price History'!U55=0),"",'Price History'!U56/'Price History'!U55-1),"")</f>
        <v/>
      </c>
      <c r="W55" s="137" t="n">
        <f aca="false">'Price History'!B3+('Price History'!B158-'Price History'!B3)*0.337662337662338</f>
        <v>421.31961038961</v>
      </c>
      <c r="X55" s="137" t="n">
        <f aca="false">'Price History'!C3+('Price History'!C158-'Price History'!C3)*0.337662337662338</f>
        <v>89.868051948052</v>
      </c>
      <c r="Y55" s="137" t="n">
        <f aca="false">'Price History'!D3+('Price History'!D158-'Price History'!D3)*0.337662337662338</f>
        <v>988.373766233767</v>
      </c>
      <c r="Z55" s="137" t="n">
        <f aca="false">'Price History'!E3+('Price History'!E158-'Price History'!E3)*0.337662337662338</f>
        <v>186.405974025974</v>
      </c>
      <c r="AA55" s="137" t="n">
        <f aca="false">'Price History'!F3+('Price History'!F158-'Price History'!F3)*0.337662337662338</f>
        <v>88.9924675324676</v>
      </c>
      <c r="AB55" s="137" t="n">
        <f aca="false">'Price History'!G3+('Price History'!G158-'Price History'!G3)*0.337662337662338</f>
        <v>93.4574025974026</v>
      </c>
      <c r="AC55" s="137" t="n">
        <f aca="false">'Price History'!H3+('Price History'!H158-'Price History'!H3)*0.337662337662338</f>
        <v>320.540909090909</v>
      </c>
      <c r="AD55" s="137" t="n">
        <f aca="false">'Price History'!I3+('Price History'!I158-'Price History'!I3)*0.337662337662338</f>
        <v>94.8422077922079</v>
      </c>
      <c r="AE55" s="137" t="n">
        <f aca="false">'Price History'!J3+('Price History'!J158-'Price History'!J3)*0.337662337662338</f>
        <v>130.634675324675</v>
      </c>
      <c r="AF55" s="137" t="n">
        <f aca="false">'Price History'!K3+('Price History'!K158-'Price History'!K3)*0.337662337662338</f>
        <v>51.7593506493507</v>
      </c>
      <c r="AG55" s="137" t="n">
        <f aca="false">'Price History'!L3+('Price History'!L158-'Price History'!L3)*0.337662337662338</f>
        <v>197.428441558442</v>
      </c>
      <c r="AH55" s="137" t="n">
        <f aca="false">'Price History'!M3+('Price History'!M158-'Price History'!M3)*0.337662337662338</f>
        <v>103.764025974026</v>
      </c>
      <c r="AI55" s="137" t="n">
        <f aca="false">'Price History'!N3+('Price History'!N158-'Price History'!N3)*0.337662337662338</f>
        <v>392.824155844156</v>
      </c>
      <c r="AJ55" s="137" t="n">
        <f aca="false">'Price History'!O3+('Price History'!O158-'Price History'!O3)*0.337662337662338</f>
        <v>97.177012987013</v>
      </c>
      <c r="AK55" s="137" t="n">
        <f aca="false">'Price History'!Q3+('Price History'!Q151-'Price History'!Q3)*0.337662337662338</f>
        <v>56.1238961038961</v>
      </c>
      <c r="AL55" s="137" t="n">
        <f aca="false">'Price History'!R3+('Price History'!R158-'Price History'!R3)*0.337662337662338</f>
        <v>51.3418181818182</v>
      </c>
      <c r="AM55" s="137" t="n">
        <f aca="false">'Price History'!S3+('Price History'!S158-'Price History'!S3)*0.337662337662338</f>
        <v>87.3392207792208</v>
      </c>
      <c r="AN55" s="137" t="n">
        <f aca="false">'Price History'!T3+('Price History'!T158-'Price History'!T3)*0.337662337662338</f>
        <v>34.6188311688312</v>
      </c>
    </row>
    <row r="56" customFormat="false" ht="15" hidden="false" customHeight="true" outlineLevel="0" collapsed="false">
      <c r="A56" s="135" t="n">
        <f aca="false">IF('Price History'!A57="","",'Price History'!A57)</f>
        <v>45527</v>
      </c>
      <c r="B56" s="136" t="n">
        <f aca="false">IFERROR(IF(OR(NOT(ISNUMBER('Price History'!B57)),NOT(ISNUMBER('Price History'!B56)),'Price History'!B56=0),"",'Price History'!B57/'Price History'!B56-1),"")</f>
        <v>0.00874498608752194</v>
      </c>
      <c r="C56" s="136" t="n">
        <f aca="false">IFERROR(IF(OR(NOT(ISNUMBER('Price History'!C57)),NOT(ISNUMBER('Price History'!C56)),'Price History'!C56=0),"",'Price History'!C57/'Price History'!C56-1),"")</f>
        <v>0.00350401265965861</v>
      </c>
      <c r="D56" s="136" t="n">
        <f aca="false">IFERROR(IF(OR(NOT(ISNUMBER('Price History'!D57)),NOT(ISNUMBER('Price History'!D56)),'Price History'!D56=0),"",'Price History'!D57/'Price History'!D56-1),"")</f>
        <v>-0.0124093788779309</v>
      </c>
      <c r="E56" s="136" t="n">
        <f aca="false">IFERROR(IF(OR(NOT(ISNUMBER('Price History'!E57)),NOT(ISNUMBER('Price History'!E56)),'Price History'!E56=0),"",'Price History'!E57/'Price History'!E56-1),"")</f>
        <v>0.00386193579531757</v>
      </c>
      <c r="F56" s="136" t="n">
        <f aca="false">IFERROR(IF(OR(NOT(ISNUMBER('Price History'!F57)),NOT(ISNUMBER('Price History'!F56)),'Price History'!F56=0),"",'Price History'!F57/'Price History'!F56-1),"")</f>
        <v>0.0342778793418648</v>
      </c>
      <c r="G56" s="136" t="n">
        <f aca="false">IFERROR(IF(OR(NOT(ISNUMBER('Price History'!G57)),NOT(ISNUMBER('Price History'!G56)),'Price History'!G56=0),"",'Price History'!G57/'Price History'!G56-1),"")</f>
        <v>-0.0021961932650072</v>
      </c>
      <c r="H56" s="136" t="n">
        <f aca="false">IFERROR(IF(OR(NOT(ISNUMBER('Price History'!H57)),NOT(ISNUMBER('Price History'!H56)),'Price History'!H56=0),"",'Price History'!H57/'Price History'!H56-1),"")</f>
        <v>-0.0475969997221966</v>
      </c>
      <c r="I56" s="136" t="n">
        <f aca="false">IFERROR(IF(OR(NOT(ISNUMBER('Price History'!I57)),NOT(ISNUMBER('Price History'!I56)),'Price History'!I56=0),"",'Price History'!I57/'Price History'!I56-1),"")</f>
        <v>0.0384491892759673</v>
      </c>
      <c r="J56" s="136" t="n">
        <f aca="false">IFERROR(IF(OR(NOT(ISNUMBER('Price History'!J57)),NOT(ISNUMBER('Price History'!J56)),'Price History'!J56=0),"",'Price History'!J57/'Price History'!J56-1),"")</f>
        <v>0.0489214489214491</v>
      </c>
      <c r="K56" s="136" t="n">
        <f aca="false">IFERROR(IF(OR(NOT(ISNUMBER('Price History'!K57)),NOT(ISNUMBER('Price History'!K56)),'Price History'!K56=0),"",'Price History'!K57/'Price History'!K56-1),"")</f>
        <v>-0.00935162094763087</v>
      </c>
      <c r="L56" s="136" t="n">
        <f aca="false">IFERROR(IF(OR(NOT(ISNUMBER('Price History'!L57)),NOT(ISNUMBER('Price History'!L56)),'Price History'!L56=0),"",'Price History'!L57/'Price History'!L56-1),"")</f>
        <v>-0.0186776670104274</v>
      </c>
      <c r="M56" s="136" t="n">
        <f aca="false">IFERROR(IF(OR(NOT(ISNUMBER('Price History'!M57)),NOT(ISNUMBER('Price History'!M56)),'Price History'!M56=0),"",'Price History'!M57/'Price History'!M56-1),"")</f>
        <v>-0.0109544195416772</v>
      </c>
      <c r="N56" s="136" t="n">
        <f aca="false">IFERROR(IF(OR(NOT(ISNUMBER('Price History'!N57)),NOT(ISNUMBER('Price History'!N56)),'Price History'!N56=0),"",'Price History'!N57/'Price History'!N56-1),"")</f>
        <v>0.00810691916123751</v>
      </c>
      <c r="O56" s="136" t="n">
        <f aca="false">IFERROR(IF(OR(NOT(ISNUMBER('Price History'!O57)),NOT(ISNUMBER('Price History'!O56)),'Price History'!O56=0),"",'Price History'!O57/'Price History'!O56-1),"")</f>
        <v>0.0310852963321502</v>
      </c>
      <c r="P56" s="136" t="str">
        <f aca="false">IFERROR(IF(OR(NOT(ISNUMBER('Price History'!P57)),NOT(ISNUMBER('Price History'!P56)),'Price History'!P56=0),"",'Price History'!P57/'Price History'!P56-1),"")</f>
        <v/>
      </c>
      <c r="Q56" s="136" t="n">
        <f aca="false">IFERROR(IF(OR(NOT(ISNUMBER('Price History'!Q57)),NOT(ISNUMBER('Price History'!Q56)),'Price History'!Q56=0),"",'Price History'!Q57/'Price History'!Q56-1),"")</f>
        <v>0.00803015404785312</v>
      </c>
      <c r="R56" s="136" t="n">
        <f aca="false">IFERROR(IF(OR(NOT(ISNUMBER('Price History'!R57)),NOT(ISNUMBER('Price History'!R56)),'Price History'!R56=0),"",'Price History'!R57/'Price History'!R56-1),"")</f>
        <v>0.00841908325537877</v>
      </c>
      <c r="S56" s="136" t="n">
        <f aca="false">IFERROR(IF(OR(NOT(ISNUMBER('Price History'!S57)),NOT(ISNUMBER('Price History'!S56)),'Price History'!S56=0),"",'Price History'!S57/'Price History'!S56-1),"")</f>
        <v>0.0138024663423464</v>
      </c>
      <c r="T56" s="136" t="n">
        <f aca="false">IFERROR(IF(OR(NOT(ISNUMBER('Price History'!T57)),NOT(ISNUMBER('Price History'!T56)),'Price History'!T56=0),"",'Price History'!T57/'Price History'!T56-1),"")</f>
        <v>0.0327715355805245</v>
      </c>
      <c r="U56" s="136" t="str">
        <f aca="false">IFERROR(IF(OR(NOT(ISNUMBER('Price History'!U57)),NOT(ISNUMBER('Price History'!U56)),'Price History'!U56=0),"",'Price History'!U57/'Price History'!U56-1),"")</f>
        <v/>
      </c>
      <c r="W56" s="137" t="n">
        <f aca="false">'Price History'!B3+('Price History'!B158-'Price History'!B3)*0.344155844155844</f>
        <v>419.644025974026</v>
      </c>
      <c r="X56" s="137" t="n">
        <f aca="false">'Price History'!C3+('Price History'!C158-'Price History'!C3)*0.344155844155844</f>
        <v>90.7551298701299</v>
      </c>
      <c r="Y56" s="137" t="n">
        <f aca="false">'Price History'!D3+('Price History'!D158-'Price History'!D3)*0.344155844155844</f>
        <v>994.654415584415</v>
      </c>
      <c r="Z56" s="137" t="n">
        <f aca="false">'Price History'!E3+('Price History'!E158-'Price History'!E3)*0.344155844155844</f>
        <v>188.394935064935</v>
      </c>
      <c r="AA56" s="137" t="n">
        <f aca="false">'Price History'!F3+('Price History'!F158-'Price History'!F3)*0.344155844155844</f>
        <v>89.9911688311688</v>
      </c>
      <c r="AB56" s="137" t="n">
        <f aca="false">'Price History'!G3+('Price History'!G158-'Price History'!G3)*0.344155844155844</f>
        <v>94.3335064935065</v>
      </c>
      <c r="AC56" s="137" t="n">
        <f aca="false">'Price History'!H3+('Price History'!H158-'Price History'!H3)*0.344155844155844</f>
        <v>325.467272727273</v>
      </c>
      <c r="AD56" s="137" t="n">
        <f aca="false">'Price History'!I3+('Price History'!I158-'Price History'!I3)*0.344155844155844</f>
        <v>95.8805194805195</v>
      </c>
      <c r="AE56" s="137" t="n">
        <f aca="false">'Price History'!J3+('Price History'!J158-'Price History'!J3)*0.344155844155844</f>
        <v>130.771688311688</v>
      </c>
      <c r="AF56" s="137" t="n">
        <f aca="false">'Price History'!K3+('Price History'!K158-'Price History'!K3)*0.344155844155844</f>
        <v>52.4583766233766</v>
      </c>
      <c r="AG56" s="137" t="n">
        <f aca="false">'Price History'!L3+('Price History'!L158-'Price History'!L3)*0.344155844155844</f>
        <v>199.456103896104</v>
      </c>
      <c r="AH56" s="137" t="n">
        <f aca="false">'Price History'!M3+('Price History'!M158-'Price History'!M3)*0.344155844155844</f>
        <v>105.115064935065</v>
      </c>
      <c r="AI56" s="137" t="n">
        <f aca="false">'Price History'!N3+('Price History'!N158-'Price History'!N3)*0.344155844155844</f>
        <v>393.65038961039</v>
      </c>
      <c r="AJ56" s="137" t="n">
        <f aca="false">'Price History'!O3+('Price History'!O158-'Price History'!O3)*0.344155844155844</f>
        <v>97.4525324675325</v>
      </c>
      <c r="AK56" s="137" t="n">
        <f aca="false">'Price History'!Q3+('Price History'!Q151-'Price History'!Q3)*0.344155844155844</f>
        <v>56.2447402597403</v>
      </c>
      <c r="AL56" s="137" t="n">
        <f aca="false">'Price History'!R3+('Price History'!R158-'Price History'!R3)*0.344155844155844</f>
        <v>51.4095454545455</v>
      </c>
      <c r="AM56" s="137" t="n">
        <f aca="false">'Price History'!S3+('Price History'!S158-'Price History'!S3)*0.344155844155844</f>
        <v>87.893051948052</v>
      </c>
      <c r="AN56" s="137" t="n">
        <f aca="false">'Price History'!T3+('Price History'!T158-'Price History'!T3)*0.344155844155844</f>
        <v>34.7670779220779</v>
      </c>
    </row>
    <row r="57" customFormat="false" ht="15" hidden="false" customHeight="true" outlineLevel="0" collapsed="false">
      <c r="A57" s="135" t="n">
        <f aca="false">IF('Price History'!A58="","",'Price History'!A58)</f>
        <v>45534</v>
      </c>
      <c r="B57" s="136" t="n">
        <f aca="false">IFERROR(IF(OR(NOT(ISNUMBER('Price History'!B58)),NOT(ISNUMBER('Price History'!B57)),'Price History'!B57=0),"",'Price History'!B58/'Price History'!B57-1),"")</f>
        <v>0.0288554540569586</v>
      </c>
      <c r="C57" s="136" t="n">
        <f aca="false">IFERROR(IF(OR(NOT(ISNUMBER('Price History'!C58)),NOT(ISNUMBER('Price History'!C57)),'Price History'!C57=0),"",'Price History'!C58/'Price History'!C57-1),"")</f>
        <v>-0.00484343320567704</v>
      </c>
      <c r="D57" s="136" t="n">
        <f aca="false">IFERROR(IF(OR(NOT(ISNUMBER('Price History'!D58)),NOT(ISNUMBER('Price History'!D57)),'Price History'!D57=0),"",'Price History'!D58/'Price History'!D57-1),"")</f>
        <v>-0.00373652536207925</v>
      </c>
      <c r="E57" s="136" t="n">
        <f aca="false">IFERROR(IF(OR(NOT(ISNUMBER('Price History'!E58)),NOT(ISNUMBER('Price History'!E57)),'Price History'!E57=0),"",'Price History'!E58/'Price History'!E57-1),"")</f>
        <v>-0.0212791536427027</v>
      </c>
      <c r="F57" s="136" t="n">
        <f aca="false">IFERROR(IF(OR(NOT(ISNUMBER('Price History'!F58)),NOT(ISNUMBER('Price History'!F57)),'Price History'!F57=0),"",'Price History'!F58/'Price History'!F57-1),"")</f>
        <v>0.0210634850493445</v>
      </c>
      <c r="G57" s="136" t="n">
        <f aca="false">IFERROR(IF(OR(NOT(ISNUMBER('Price History'!G58)),NOT(ISNUMBER('Price History'!G57)),'Price History'!G57=0),"",'Price History'!G58/'Price History'!G57-1),"")</f>
        <v>0.00195646857422349</v>
      </c>
      <c r="H57" s="136" t="n">
        <f aca="false">IFERROR(IF(OR(NOT(ISNUMBER('Price History'!H58)),NOT(ISNUMBER('Price History'!H57)),'Price History'!H57=0),"",'Price History'!H58/'Price History'!H57-1),"")</f>
        <v>-0.0642683519688867</v>
      </c>
      <c r="I57" s="136" t="n">
        <f aca="false">IFERROR(IF(OR(NOT(ISNUMBER('Price History'!I58)),NOT(ISNUMBER('Price History'!I57)),'Price History'!I57=0),"",'Price History'!I58/'Price History'!I57-1),"")</f>
        <v>-0.0772976733400325</v>
      </c>
      <c r="J57" s="136" t="n">
        <f aca="false">IFERROR(IF(OR(NOT(ISNUMBER('Price History'!J58)),NOT(ISNUMBER('Price History'!J57)),'Price History'!J57=0),"",'Price History'!J58/'Price History'!J57-1),"")</f>
        <v>-0.00807077448393623</v>
      </c>
      <c r="K57" s="136" t="n">
        <f aca="false">IFERROR(IF(OR(NOT(ISNUMBER('Price History'!K58)),NOT(ISNUMBER('Price History'!K57)),'Price History'!K57=0),"",'Price History'!K58/'Price History'!K57-1),"")</f>
        <v>-0.0094398993077407</v>
      </c>
      <c r="L57" s="136" t="n">
        <f aca="false">IFERROR(IF(OR(NOT(ISNUMBER('Price History'!L58)),NOT(ISNUMBER('Price History'!L57)),'Price History'!L57=0),"",'Price History'!L58/'Price History'!L57-1),"")</f>
        <v>0.0024521251751517</v>
      </c>
      <c r="M57" s="136" t="n">
        <f aca="false">IFERROR(IF(OR(NOT(ISNUMBER('Price History'!M58)),NOT(ISNUMBER('Price History'!M57)),'Price History'!M57=0),"",'Price History'!M58/'Price History'!M57-1),"")</f>
        <v>0.0570337364735838</v>
      </c>
      <c r="N57" s="136" t="n">
        <f aca="false">IFERROR(IF(OR(NOT(ISNUMBER('Price History'!N58)),NOT(ISNUMBER('Price History'!N57)),'Price History'!N57=0),"",'Price History'!N58/'Price History'!N57-1),"")</f>
        <v>0.0304421910065664</v>
      </c>
      <c r="O57" s="136" t="n">
        <f aca="false">IFERROR(IF(OR(NOT(ISNUMBER('Price History'!O58)),NOT(ISNUMBER('Price History'!O57)),'Price History'!O57=0),"",'Price History'!O58/'Price History'!O57-1),"")</f>
        <v>0.000521593991237301</v>
      </c>
      <c r="P57" s="136" t="str">
        <f aca="false">IFERROR(IF(OR(NOT(ISNUMBER('Price History'!P58)),NOT(ISNUMBER('Price History'!P57)),'Price History'!P57=0),"",'Price History'!P58/'Price History'!P57-1),"")</f>
        <v/>
      </c>
      <c r="Q57" s="136" t="n">
        <f aca="false">IFERROR(IF(OR(NOT(ISNUMBER('Price History'!Q58)),NOT(ISNUMBER('Price History'!Q57)),'Price History'!Q57=0),"",'Price History'!Q58/'Price History'!Q57-1),"")</f>
        <v>0.00829133474231836</v>
      </c>
      <c r="R57" s="136" t="n">
        <f aca="false">IFERROR(IF(OR(NOT(ISNUMBER('Price History'!R58)),NOT(ISNUMBER('Price History'!R57)),'Price History'!R57=0),"",'Price History'!R58/'Price History'!R57-1),"")</f>
        <v>0.00333951762523199</v>
      </c>
      <c r="S57" s="136" t="n">
        <f aca="false">IFERROR(IF(OR(NOT(ISNUMBER('Price History'!S58)),NOT(ISNUMBER('Price History'!S57)),'Price History'!S57=0),"",'Price History'!S58/'Price History'!S57-1),"")</f>
        <v>-0.00401740877134249</v>
      </c>
      <c r="T57" s="136" t="n">
        <f aca="false">IFERROR(IF(OR(NOT(ISNUMBER('Price History'!T58)),NOT(ISNUMBER('Price History'!T57)),'Price History'!T57=0),"",'Price History'!T58/'Price History'!T57-1),"")</f>
        <v>0.00332426715019651</v>
      </c>
      <c r="U57" s="136" t="str">
        <f aca="false">IFERROR(IF(OR(NOT(ISNUMBER('Price History'!U58)),NOT(ISNUMBER('Price History'!U57)),'Price History'!U57=0),"",'Price History'!U58/'Price History'!U57-1),"")</f>
        <v/>
      </c>
      <c r="W57" s="137" t="n">
        <f aca="false">'Price History'!B3+('Price History'!B158-'Price History'!B3)*0.350649350649351</f>
        <v>417.968441558441</v>
      </c>
      <c r="X57" s="137" t="n">
        <f aca="false">'Price History'!C3+('Price History'!C158-'Price History'!C3)*0.350649350649351</f>
        <v>91.6422077922078</v>
      </c>
      <c r="Y57" s="137" t="n">
        <f aca="false">'Price History'!D3+('Price History'!D158-'Price History'!D3)*0.350649350649351</f>
        <v>1000.93506493507</v>
      </c>
      <c r="Z57" s="137" t="n">
        <f aca="false">'Price History'!E3+('Price History'!E158-'Price History'!E3)*0.350649350649351</f>
        <v>190.383896103896</v>
      </c>
      <c r="AA57" s="137" t="n">
        <f aca="false">'Price History'!F3+('Price History'!F158-'Price History'!F3)*0.350649350649351</f>
        <v>90.9898701298702</v>
      </c>
      <c r="AB57" s="137" t="n">
        <f aca="false">'Price History'!G3+('Price History'!G158-'Price History'!G3)*0.350649350649351</f>
        <v>95.2096103896104</v>
      </c>
      <c r="AC57" s="137" t="n">
        <f aca="false">'Price History'!H3+('Price History'!H158-'Price History'!H3)*0.350649350649351</f>
        <v>330.393636363637</v>
      </c>
      <c r="AD57" s="137" t="n">
        <f aca="false">'Price History'!I3+('Price History'!I158-'Price History'!I3)*0.350649350649351</f>
        <v>96.9188311688312</v>
      </c>
      <c r="AE57" s="137" t="n">
        <f aca="false">'Price History'!J3+('Price History'!J158-'Price History'!J3)*0.350649350649351</f>
        <v>130.908701298701</v>
      </c>
      <c r="AF57" s="137" t="n">
        <f aca="false">'Price History'!K3+('Price History'!K158-'Price History'!K3)*0.350649350649351</f>
        <v>53.1574025974026</v>
      </c>
      <c r="AG57" s="137" t="n">
        <f aca="false">'Price History'!L3+('Price History'!L158-'Price History'!L3)*0.350649350649351</f>
        <v>201.483766233766</v>
      </c>
      <c r="AH57" s="137" t="n">
        <f aca="false">'Price History'!M3+('Price History'!M158-'Price History'!M3)*0.350649350649351</f>
        <v>106.466103896104</v>
      </c>
      <c r="AI57" s="137" t="n">
        <f aca="false">'Price History'!N3+('Price History'!N158-'Price History'!N3)*0.350649350649351</f>
        <v>394.476623376623</v>
      </c>
      <c r="AJ57" s="137" t="n">
        <f aca="false">'Price History'!O3+('Price History'!O158-'Price History'!O3)*0.350649350649351</f>
        <v>97.728051948052</v>
      </c>
      <c r="AK57" s="137" t="n">
        <f aca="false">'Price History'!Q3+('Price History'!Q151-'Price History'!Q3)*0.350649350649351</f>
        <v>56.3655844155844</v>
      </c>
      <c r="AL57" s="137" t="n">
        <f aca="false">'Price History'!R3+('Price History'!R158-'Price History'!R3)*0.350649350649351</f>
        <v>51.4772727272727</v>
      </c>
      <c r="AM57" s="137" t="n">
        <f aca="false">'Price History'!S3+('Price History'!S158-'Price History'!S3)*0.350649350649351</f>
        <v>88.4468831168832</v>
      </c>
      <c r="AN57" s="137" t="n">
        <f aca="false">'Price History'!T3+('Price History'!T158-'Price History'!T3)*0.350649350649351</f>
        <v>34.9153246753247</v>
      </c>
    </row>
    <row r="58" customFormat="false" ht="15" hidden="false" customHeight="true" outlineLevel="0" collapsed="false">
      <c r="A58" s="135" t="n">
        <f aca="false">IF('Price History'!A59="","",'Price History'!A59)</f>
        <v>45541</v>
      </c>
      <c r="B58" s="136" t="n">
        <f aca="false">IFERROR(IF(OR(NOT(ISNUMBER('Price History'!B59)),NOT(ISNUMBER('Price History'!B58)),'Price History'!B58=0),"",'Price History'!B59/'Price History'!B58-1),"")</f>
        <v>-0.0191500844344632</v>
      </c>
      <c r="C58" s="136" t="n">
        <f aca="false">IFERROR(IF(OR(NOT(ISNUMBER('Price History'!C59)),NOT(ISNUMBER('Price History'!C58)),'Price History'!C58=0),"",'Price History'!C59/'Price History'!C58-1),"")</f>
        <v>-0.110582908885116</v>
      </c>
      <c r="D58" s="136" t="n">
        <f aca="false">IFERROR(IF(OR(NOT(ISNUMBER('Price History'!D59)),NOT(ISNUMBER('Price History'!D58)),'Price History'!D58=0),"",'Price History'!D59/'Price History'!D58-1),"")</f>
        <v>-0.167147930565236</v>
      </c>
      <c r="E58" s="136" t="n">
        <f aca="false">IFERROR(IF(OR(NOT(ISNUMBER('Price History'!E59)),NOT(ISNUMBER('Price History'!E58)),'Price History'!E58=0),"",'Price History'!E59/'Price History'!E58-1),"")</f>
        <v>-0.158580027023707</v>
      </c>
      <c r="F58" s="136" t="n">
        <f aca="false">IFERROR(IF(OR(NOT(ISNUMBER('Price History'!F59)),NOT(ISNUMBER('Price History'!F58)),'Price History'!F58=0),"",'Price History'!F59/'Price History'!F58-1),"")</f>
        <v>-0.11136757068667</v>
      </c>
      <c r="G58" s="136" t="n">
        <f aca="false">IFERROR(IF(OR(NOT(ISNUMBER('Price History'!G59)),NOT(ISNUMBER('Price History'!G58)),'Price History'!G58=0),"",'Price History'!G59/'Price History'!G58-1),"")</f>
        <v>-0.142299243348792</v>
      </c>
      <c r="H58" s="136" t="n">
        <f aca="false">IFERROR(IF(OR(NOT(ISNUMBER('Price History'!H59)),NOT(ISNUMBER('Price History'!H58)),'Price History'!H58=0),"",'Price History'!H59/'Price History'!H58-1),"")</f>
        <v>-0.102452202826268</v>
      </c>
      <c r="I58" s="136" t="n">
        <f aca="false">IFERROR(IF(OR(NOT(ISNUMBER('Price History'!I59)),NOT(ISNUMBER('Price History'!I58)),'Price History'!I58=0),"",'Price History'!I59/'Price History'!I58-1),"")</f>
        <v>-0.138560777414761</v>
      </c>
      <c r="J58" s="136" t="n">
        <f aca="false">IFERROR(IF(OR(NOT(ISNUMBER('Price History'!J59)),NOT(ISNUMBER('Price History'!J58)),'Price History'!J58=0),"",'Price History'!J59/'Price History'!J58-1),"")</f>
        <v>-0.0046158660616491</v>
      </c>
      <c r="K58" s="136" t="n">
        <f aca="false">IFERROR(IF(OR(NOT(ISNUMBER('Price History'!K59)),NOT(ISNUMBER('Price History'!K58)),'Price History'!K58=0),"",'Price History'!K59/'Price History'!K58-1),"")</f>
        <v>-0.0365311308767472</v>
      </c>
      <c r="L58" s="136" t="n">
        <f aca="false">IFERROR(IF(OR(NOT(ISNUMBER('Price History'!L59)),NOT(ISNUMBER('Price History'!L58)),'Price History'!L58=0),"",'Price History'!L59/'Price History'!L58-1),"")</f>
        <v>-0.0866627839254514</v>
      </c>
      <c r="M58" s="136" t="n">
        <f aca="false">IFERROR(IF(OR(NOT(ISNUMBER('Price History'!M59)),NOT(ISNUMBER('Price History'!M58)),'Price History'!M58=0),"",'Price History'!M59/'Price History'!M58-1),"")</f>
        <v>-0.1356136336264</v>
      </c>
      <c r="N58" s="136" t="n">
        <f aca="false">IFERROR(IF(OR(NOT(ISNUMBER('Price History'!N59)),NOT(ISNUMBER('Price History'!N58)),'Price History'!N58=0),"",'Price History'!N59/'Price History'!N58-1),"")</f>
        <v>-0.0562423118030208</v>
      </c>
      <c r="O58" s="136" t="n">
        <f aca="false">IFERROR(IF(OR(NOT(ISNUMBER('Price History'!O59)),NOT(ISNUMBER('Price History'!O58)),'Price History'!O58=0),"",'Price History'!O59/'Price History'!O58-1),"")</f>
        <v>-0.0566155771035345</v>
      </c>
      <c r="P58" s="136" t="str">
        <f aca="false">IFERROR(IF(OR(NOT(ISNUMBER('Price History'!P59)),NOT(ISNUMBER('Price History'!P58)),'Price History'!P58=0),"",'Price History'!P59/'Price History'!P58-1),"")</f>
        <v/>
      </c>
      <c r="Q58" s="136" t="n">
        <f aca="false">IFERROR(IF(OR(NOT(ISNUMBER('Price History'!Q59)),NOT(ISNUMBER('Price History'!Q58)),'Price History'!Q58=0),"",'Price History'!Q59/'Price History'!Q58-1),"")</f>
        <v>-0.00274105127378266</v>
      </c>
      <c r="R58" s="136" t="n">
        <f aca="false">IFERROR(IF(OR(NOT(ISNUMBER('Price History'!R59)),NOT(ISNUMBER('Price History'!R58)),'Price History'!R58=0),"",'Price History'!R59/'Price History'!R58-1),"")</f>
        <v>-0.0502958579881657</v>
      </c>
      <c r="S58" s="136" t="n">
        <f aca="false">IFERROR(IF(OR(NOT(ISNUMBER('Price History'!S59)),NOT(ISNUMBER('Price History'!S58)),'Price History'!S58=0),"",'Price History'!S59/'Price History'!S58-1),"")</f>
        <v>-0.059719887955182</v>
      </c>
      <c r="T58" s="136" t="n">
        <f aca="false">IFERROR(IF(OR(NOT(ISNUMBER('Price History'!T59)),NOT(ISNUMBER('Price History'!T58)),'Price History'!T58=0),"",'Price History'!T59/'Price History'!T58-1),"")</f>
        <v>-0.041265060240964</v>
      </c>
      <c r="U58" s="136" t="str">
        <f aca="false">IFERROR(IF(OR(NOT(ISNUMBER('Price History'!U59)),NOT(ISNUMBER('Price History'!U58)),'Price History'!U58=0),"",'Price History'!U59/'Price History'!U58-1),"")</f>
        <v/>
      </c>
      <c r="W58" s="137" t="n">
        <f aca="false">'Price History'!B3+('Price History'!B158-'Price History'!B3)*0.357142857142857</f>
        <v>416.292857142857</v>
      </c>
      <c r="X58" s="137" t="n">
        <f aca="false">'Price History'!C3+('Price History'!C158-'Price History'!C3)*0.357142857142857</f>
        <v>92.5292857142857</v>
      </c>
      <c r="Y58" s="137" t="n">
        <f aca="false">'Price History'!D3+('Price History'!D158-'Price History'!D3)*0.357142857142857</f>
        <v>1007.21571428571</v>
      </c>
      <c r="Z58" s="137" t="n">
        <f aca="false">'Price History'!E3+('Price History'!E158-'Price History'!E3)*0.357142857142857</f>
        <v>192.372857142857</v>
      </c>
      <c r="AA58" s="137" t="n">
        <f aca="false">'Price History'!F3+('Price History'!F158-'Price History'!F3)*0.357142857142857</f>
        <v>91.9885714285714</v>
      </c>
      <c r="AB58" s="137" t="n">
        <f aca="false">'Price History'!G3+('Price History'!G158-'Price History'!G3)*0.357142857142857</f>
        <v>96.0857142857143</v>
      </c>
      <c r="AC58" s="137" t="n">
        <f aca="false">'Price History'!H3+('Price History'!H158-'Price History'!H3)*0.357142857142857</f>
        <v>335.32</v>
      </c>
      <c r="AD58" s="137" t="n">
        <f aca="false">'Price History'!I3+('Price History'!I158-'Price History'!I3)*0.357142857142857</f>
        <v>97.9571428571428</v>
      </c>
      <c r="AE58" s="137" t="n">
        <f aca="false">'Price History'!J3+('Price History'!J158-'Price History'!J3)*0.357142857142857</f>
        <v>131.045714285714</v>
      </c>
      <c r="AF58" s="137" t="n">
        <f aca="false">'Price History'!K3+('Price History'!K158-'Price History'!K3)*0.357142857142857</f>
        <v>53.8564285714286</v>
      </c>
      <c r="AG58" s="137" t="n">
        <f aca="false">'Price History'!L3+('Price History'!L158-'Price History'!L3)*0.357142857142857</f>
        <v>203.511428571429</v>
      </c>
      <c r="AH58" s="137" t="n">
        <f aca="false">'Price History'!M3+('Price History'!M158-'Price History'!M3)*0.357142857142857</f>
        <v>107.817142857143</v>
      </c>
      <c r="AI58" s="137" t="n">
        <f aca="false">'Price History'!N3+('Price History'!N158-'Price History'!N3)*0.357142857142857</f>
        <v>395.302857142857</v>
      </c>
      <c r="AJ58" s="137" t="n">
        <f aca="false">'Price History'!O3+('Price History'!O158-'Price History'!O3)*0.357142857142857</f>
        <v>98.0035714285714</v>
      </c>
      <c r="AK58" s="137" t="n">
        <f aca="false">'Price History'!Q3+('Price History'!Q151-'Price History'!Q3)*0.357142857142857</f>
        <v>56.4864285714286</v>
      </c>
      <c r="AL58" s="137" t="n">
        <f aca="false">'Price History'!R3+('Price History'!R158-'Price History'!R3)*0.357142857142857</f>
        <v>51.545</v>
      </c>
      <c r="AM58" s="137" t="n">
        <f aca="false">'Price History'!S3+('Price History'!S158-'Price History'!S3)*0.357142857142857</f>
        <v>89.0007142857143</v>
      </c>
      <c r="AN58" s="137" t="n">
        <f aca="false">'Price History'!T3+('Price History'!T158-'Price History'!T3)*0.357142857142857</f>
        <v>35.0635714285714</v>
      </c>
    </row>
    <row r="59" customFormat="false" ht="15" hidden="false" customHeight="true" outlineLevel="0" collapsed="false">
      <c r="A59" s="135" t="n">
        <f aca="false">IF('Price History'!A60="","",'Price History'!A60)</f>
        <v>45548</v>
      </c>
      <c r="B59" s="136" t="n">
        <f aca="false">IFERROR(IF(OR(NOT(ISNUMBER('Price History'!B60)),NOT(ISNUMBER('Price History'!B59)),'Price History'!B59=0),"",'Price History'!B60/'Price History'!B59-1),"")</f>
        <v>-0.0471060151577004</v>
      </c>
      <c r="C59" s="136" t="n">
        <f aca="false">IFERROR(IF(OR(NOT(ISNUMBER('Price History'!C60)),NOT(ISNUMBER('Price History'!C59)),'Price History'!C59=0),"",'Price History'!C60/'Price History'!C59-1),"")</f>
        <v>0.14456604734029</v>
      </c>
      <c r="D59" s="136" t="n">
        <f aca="false">IFERROR(IF(OR(NOT(ISNUMBER('Price History'!D60)),NOT(ISNUMBER('Price History'!D59)),'Price History'!D59=0),"",'Price History'!D60/'Price History'!D59-1),"")</f>
        <v>0.0844458613956085</v>
      </c>
      <c r="E59" s="136" t="n">
        <f aca="false">IFERROR(IF(OR(NOT(ISNUMBER('Price History'!E60)),NOT(ISNUMBER('Price History'!E59)),'Price History'!E59=0),"",'Price History'!E60/'Price History'!E59-1),"")</f>
        <v>0.224014598540146</v>
      </c>
      <c r="F59" s="136" t="n">
        <f aca="false">IFERROR(IF(OR(NOT(ISNUMBER('Price History'!F60)),NOT(ISNUMBER('Price History'!F59)),'Price History'!F59=0),"",'Price History'!F60/'Price History'!F59-1),"")</f>
        <v>0.0516233766233767</v>
      </c>
      <c r="G59" s="136" t="n">
        <f aca="false">IFERROR(IF(OR(NOT(ISNUMBER('Price History'!G60)),NOT(ISNUMBER('Price History'!G59)),'Price History'!G59=0),"",'Price History'!G60/'Price History'!G59-1),"")</f>
        <v>0.069294251565168</v>
      </c>
      <c r="H59" s="136" t="n">
        <f aca="false">IFERROR(IF(OR(NOT(ISNUMBER('Price History'!H60)),NOT(ISNUMBER('Price History'!H59)),'Price History'!H59=0),"",'Price History'!H60/'Price History'!H59-1),"")</f>
        <v>0.0560314887705489</v>
      </c>
      <c r="I59" s="136" t="n">
        <f aca="false">IFERROR(IF(OR(NOT(ISNUMBER('Price History'!I60)),NOT(ISNUMBER('Price History'!I59)),'Price History'!I59=0),"",'Price History'!I60/'Price History'!I59-1),"")</f>
        <v>0.158222308664786</v>
      </c>
      <c r="J59" s="136" t="n">
        <f aca="false">IFERROR(IF(OR(NOT(ISNUMBER('Price History'!J60)),NOT(ISNUMBER('Price History'!J59)),'Price History'!J59=0),"",'Price History'!J60/'Price History'!J59-1),"")</f>
        <v>0.0216143991197044</v>
      </c>
      <c r="K59" s="136" t="n">
        <f aca="false">IFERROR(IF(OR(NOT(ISNUMBER('Price History'!K60)),NOT(ISNUMBER('Price History'!K59)),'Price History'!K59=0),"",'Price History'!K60/'Price History'!K59-1),"")</f>
        <v>0.173425651170458</v>
      </c>
      <c r="L59" s="136" t="n">
        <f aca="false">IFERROR(IF(OR(NOT(ISNUMBER('Price History'!L60)),NOT(ISNUMBER('Price History'!L59)),'Price History'!L59=0),"",'Price History'!L60/'Price History'!L59-1),"")</f>
        <v>0.0999872465246781</v>
      </c>
      <c r="M59" s="136" t="n">
        <f aca="false">IFERROR(IF(OR(NOT(ISNUMBER('Price History'!M60)),NOT(ISNUMBER('Price History'!M59)),'Price History'!M59=0),"",'Price History'!M60/'Price History'!M59-1),"")</f>
        <v>0.194928242998468</v>
      </c>
      <c r="N59" s="136" t="n">
        <f aca="false">IFERROR(IF(OR(NOT(ISNUMBER('Price History'!N60)),NOT(ISNUMBER('Price History'!N59)),'Price History'!N59=0),"",'Price History'!N60/'Price History'!N59-1),"")</f>
        <v>0.0371153846153847</v>
      </c>
      <c r="O59" s="136" t="n">
        <f aca="false">IFERROR(IF(OR(NOT(ISNUMBER('Price History'!O60)),NOT(ISNUMBER('Price History'!O59)),'Price History'!O59=0),"",'Price History'!O60/'Price History'!O59-1),"")</f>
        <v>0.0288461538461537</v>
      </c>
      <c r="P59" s="136" t="str">
        <f aca="false">IFERROR(IF(OR(NOT(ISNUMBER('Price History'!P60)),NOT(ISNUMBER('Price History'!P59)),'Price History'!P59=0),"",'Price History'!P60/'Price History'!P59-1),"")</f>
        <v/>
      </c>
      <c r="Q59" s="136" t="n">
        <f aca="false">IFERROR(IF(OR(NOT(ISNUMBER('Price History'!Q60)),NOT(ISNUMBER('Price History'!Q59)),'Price History'!Q59=0),"",'Price History'!Q60/'Price History'!Q59-1),"")</f>
        <v>-0.00889248181083269</v>
      </c>
      <c r="R59" s="136" t="n">
        <f aca="false">IFERROR(IF(OR(NOT(ISNUMBER('Price History'!R60)),NOT(ISNUMBER('Price History'!R59)),'Price History'!R59=0),"",'Price History'!R60/'Price History'!R59-1),"")</f>
        <v>0.0465342679127725</v>
      </c>
      <c r="S59" s="136" t="n">
        <f aca="false">IFERROR(IF(OR(NOT(ISNUMBER('Price History'!S60)),NOT(ISNUMBER('Price History'!S59)),'Price History'!S59=0),"",'Price History'!S60/'Price History'!S59-1),"")</f>
        <v>0.061487130600572</v>
      </c>
      <c r="T59" s="136" t="n">
        <f aca="false">IFERROR(IF(OR(NOT(ISNUMBER('Price History'!T60)),NOT(ISNUMBER('Price History'!T59)),'Price History'!T59=0),"",'Price History'!T60/'Price History'!T59-1),"")</f>
        <v>0.0235626767200754</v>
      </c>
      <c r="U59" s="136" t="str">
        <f aca="false">IFERROR(IF(OR(NOT(ISNUMBER('Price History'!U60)),NOT(ISNUMBER('Price History'!U59)),'Price History'!U59=0),"",'Price History'!U60/'Price History'!U59-1),"")</f>
        <v/>
      </c>
      <c r="W59" s="137" t="n">
        <f aca="false">'Price History'!B3+('Price History'!B158-'Price History'!B3)*0.363636363636364</f>
        <v>414.617272727273</v>
      </c>
      <c r="X59" s="137" t="n">
        <f aca="false">'Price History'!C3+('Price History'!C158-'Price History'!C3)*0.363636363636364</f>
        <v>93.4163636363637</v>
      </c>
      <c r="Y59" s="137" t="n">
        <f aca="false">'Price History'!D3+('Price History'!D158-'Price History'!D3)*0.363636363636364</f>
        <v>1013.49636363636</v>
      </c>
      <c r="Z59" s="137" t="n">
        <f aca="false">'Price History'!E3+('Price History'!E158-'Price History'!E3)*0.363636363636364</f>
        <v>194.361818181818</v>
      </c>
      <c r="AA59" s="137" t="n">
        <f aca="false">'Price History'!F3+('Price History'!F158-'Price History'!F3)*0.363636363636364</f>
        <v>92.9872727272728</v>
      </c>
      <c r="AB59" s="137" t="n">
        <f aca="false">'Price History'!G3+('Price History'!G158-'Price History'!G3)*0.363636363636364</f>
        <v>96.9618181818182</v>
      </c>
      <c r="AC59" s="137" t="n">
        <f aca="false">'Price History'!H3+('Price History'!H158-'Price History'!H3)*0.363636363636364</f>
        <v>340.246363636364</v>
      </c>
      <c r="AD59" s="137" t="n">
        <f aca="false">'Price History'!I3+('Price History'!I158-'Price History'!I3)*0.363636363636364</f>
        <v>98.9954545454546</v>
      </c>
      <c r="AE59" s="137" t="n">
        <f aca="false">'Price History'!J3+('Price History'!J158-'Price History'!J3)*0.363636363636364</f>
        <v>131.182727272727</v>
      </c>
      <c r="AF59" s="137" t="n">
        <f aca="false">'Price History'!K3+('Price History'!K158-'Price History'!K3)*0.363636363636364</f>
        <v>54.5554545454546</v>
      </c>
      <c r="AG59" s="137" t="n">
        <f aca="false">'Price History'!L3+('Price History'!L158-'Price History'!L3)*0.363636363636364</f>
        <v>205.539090909091</v>
      </c>
      <c r="AH59" s="137" t="n">
        <f aca="false">'Price History'!M3+('Price History'!M158-'Price History'!M3)*0.363636363636364</f>
        <v>109.168181818182</v>
      </c>
      <c r="AI59" s="137" t="n">
        <f aca="false">'Price History'!N3+('Price History'!N158-'Price History'!N3)*0.363636363636364</f>
        <v>396.129090909091</v>
      </c>
      <c r="AJ59" s="137" t="n">
        <f aca="false">'Price History'!O3+('Price History'!O158-'Price History'!O3)*0.363636363636364</f>
        <v>98.2790909090909</v>
      </c>
      <c r="AK59" s="137" t="n">
        <f aca="false">'Price History'!Q3+('Price History'!Q151-'Price History'!Q3)*0.363636363636364</f>
        <v>56.6072727272727</v>
      </c>
      <c r="AL59" s="137" t="n">
        <f aca="false">'Price History'!R3+('Price History'!R158-'Price History'!R3)*0.363636363636364</f>
        <v>51.6127272727273</v>
      </c>
      <c r="AM59" s="137" t="n">
        <f aca="false">'Price History'!S3+('Price History'!S158-'Price History'!S3)*0.363636363636364</f>
        <v>89.5545454545455</v>
      </c>
      <c r="AN59" s="137" t="n">
        <f aca="false">'Price History'!T3+('Price History'!T158-'Price History'!T3)*0.363636363636364</f>
        <v>35.2118181818182</v>
      </c>
    </row>
    <row r="60" customFormat="false" ht="15" hidden="false" customHeight="true" outlineLevel="0" collapsed="false">
      <c r="A60" s="135" t="n">
        <f aca="false">IF('Price History'!A61="","",'Price History'!A61)</f>
        <v>45555</v>
      </c>
      <c r="B60" s="136" t="n">
        <f aca="false">IFERROR(IF(OR(NOT(ISNUMBER('Price History'!B61)),NOT(ISNUMBER('Price History'!B60)),'Price History'!B60=0),"",'Price History'!B61/'Price History'!B60-1),"")</f>
        <v>-0.0271387859258294</v>
      </c>
      <c r="C60" s="136" t="n">
        <f aca="false">IFERROR(IF(OR(NOT(ISNUMBER('Price History'!C61)),NOT(ISNUMBER('Price History'!C60)),'Price History'!C60=0),"",'Price History'!C61/'Price History'!C60-1),"")</f>
        <v>0.0687124749833223</v>
      </c>
      <c r="D60" s="136" t="n">
        <f aca="false">IFERROR(IF(OR(NOT(ISNUMBER('Price History'!D61)),NOT(ISNUMBER('Price History'!D60)),'Price History'!D60=0),"",'Price History'!D61/'Price History'!D60-1),"")</f>
        <v>-0.0258219413004067</v>
      </c>
      <c r="E60" s="136" t="n">
        <f aca="false">IFERROR(IF(OR(NOT(ISNUMBER('Price History'!E61)),NOT(ISNUMBER('Price History'!E60)),'Price History'!E60=0),"",'Price History'!E61/'Price History'!E60-1),"")</f>
        <v>0.0203351422267279</v>
      </c>
      <c r="F60" s="136" t="n">
        <f aca="false">IFERROR(IF(OR(NOT(ISNUMBER('Price History'!F61)),NOT(ISNUMBER('Price History'!F60)),'Price History'!F60=0),"",'Price History'!F61/'Price History'!F60-1),"")</f>
        <v>0.157147267675208</v>
      </c>
      <c r="G60" s="136" t="n">
        <f aca="false">IFERROR(IF(OR(NOT(ISNUMBER('Price History'!G61)),NOT(ISNUMBER('Price History'!G60)),'Price History'!G60=0),"",'Price History'!G61/'Price History'!G60-1),"")</f>
        <v>0.00984697272122426</v>
      </c>
      <c r="H60" s="136" t="n">
        <f aca="false">IFERROR(IF(OR(NOT(ISNUMBER('Price History'!H61)),NOT(ISNUMBER('Price History'!H60)),'Price History'!H60=0),"",'Price History'!H61/'Price History'!H60-1),"")</f>
        <v>-0.00350800263100193</v>
      </c>
      <c r="I60" s="136" t="n">
        <f aca="false">IFERROR(IF(OR(NOT(ISNUMBER('Price History'!I61)),NOT(ISNUMBER('Price History'!I60)),'Price History'!I60=0),"",'Price History'!I61/'Price History'!I60-1),"")</f>
        <v>-0.0260285474391267</v>
      </c>
      <c r="J60" s="136" t="n">
        <f aca="false">IFERROR(IF(OR(NOT(ISNUMBER('Price History'!J61)),NOT(ISNUMBER('Price History'!J60)),'Price History'!J60=0),"",'Price History'!J61/'Price History'!J60-1),"")</f>
        <v>-0.0346976457916602</v>
      </c>
      <c r="K60" s="136" t="n">
        <f aca="false">IFERROR(IF(OR(NOT(ISNUMBER('Price History'!K61)),NOT(ISNUMBER('Price History'!K60)),'Price History'!K60=0),"",'Price History'!K61/'Price History'!K60-1),"")</f>
        <v>0.0452374262433268</v>
      </c>
      <c r="L60" s="136" t="n">
        <f aca="false">IFERROR(IF(OR(NOT(ISNUMBER('Price History'!L61)),NOT(ISNUMBER('Price History'!L60)),'Price History'!L60=0),"",'Price History'!L61/'Price History'!L60-1),"")</f>
        <v>0.00915942028985506</v>
      </c>
      <c r="M60" s="136" t="n">
        <f aca="false">IFERROR(IF(OR(NOT(ISNUMBER('Price History'!M61)),NOT(ISNUMBER('Price History'!M60)),'Price History'!M60=0),"",'Price History'!M61/'Price History'!M60-1),"")</f>
        <v>0.102378731343284</v>
      </c>
      <c r="N60" s="136" t="n">
        <f aca="false">IFERROR(IF(OR(NOT(ISNUMBER('Price History'!N61)),NOT(ISNUMBER('Price History'!N60)),'Price History'!N60=0),"",'Price History'!N61/'Price History'!N60-1),"")</f>
        <v>-0.0421328059006531</v>
      </c>
      <c r="O60" s="136" t="n">
        <f aca="false">IFERROR(IF(OR(NOT(ISNUMBER('Price History'!O61)),NOT(ISNUMBER('Price History'!O60)),'Price History'!O60=0),"",'Price History'!O61/'Price History'!O60-1),"")</f>
        <v>0.03018584165861</v>
      </c>
      <c r="P60" s="136" t="str">
        <f aca="false">IFERROR(IF(OR(NOT(ISNUMBER('Price History'!P61)),NOT(ISNUMBER('Price History'!P60)),'Price History'!P60=0),"",'Price History'!P61/'Price History'!P60-1),"")</f>
        <v/>
      </c>
      <c r="Q60" s="136" t="n">
        <f aca="false">IFERROR(IF(OR(NOT(ISNUMBER('Price History'!Q61)),NOT(ISNUMBER('Price History'!Q60)),'Price History'!Q60=0),"",'Price History'!Q61/'Price History'!Q60-1),"")</f>
        <v>0.0243066884176184</v>
      </c>
      <c r="R60" s="136" t="n">
        <f aca="false">IFERROR(IF(OR(NOT(ISNUMBER('Price History'!R61)),NOT(ISNUMBER('Price History'!R60)),'Price History'!R60=0),"",'Price History'!R61/'Price History'!R60-1),"")</f>
        <v>0.0122790697674418</v>
      </c>
      <c r="S60" s="136" t="n">
        <f aca="false">IFERROR(IF(OR(NOT(ISNUMBER('Price History'!S61)),NOT(ISNUMBER('Price History'!S60)),'Price History'!S60=0),"",'Price History'!S61/'Price History'!S60-1),"")</f>
        <v>0.0162775033677594</v>
      </c>
      <c r="T60" s="136" t="n">
        <f aca="false">IFERROR(IF(OR(NOT(ISNUMBER('Price History'!T61)),NOT(ISNUMBER('Price History'!T60)),'Price History'!T60=0),"",'Price History'!T61/'Price History'!T60-1),"")</f>
        <v>0.0171884591774096</v>
      </c>
      <c r="U60" s="136" t="str">
        <f aca="false">IFERROR(IF(OR(NOT(ISNUMBER('Price History'!U61)),NOT(ISNUMBER('Price History'!U60)),'Price History'!U60=0),"",'Price History'!U61/'Price History'!U60-1),"")</f>
        <v/>
      </c>
      <c r="W60" s="137" t="n">
        <f aca="false">'Price History'!B3+('Price History'!B158-'Price History'!B3)*0.37012987012987</f>
        <v>412.941688311688</v>
      </c>
      <c r="X60" s="137" t="n">
        <f aca="false">'Price History'!C3+('Price History'!C158-'Price History'!C3)*0.37012987012987</f>
        <v>94.3034415584415</v>
      </c>
      <c r="Y60" s="137" t="n">
        <f aca="false">'Price History'!D3+('Price History'!D158-'Price History'!D3)*0.37012987012987</f>
        <v>1019.77701298701</v>
      </c>
      <c r="Z60" s="137" t="n">
        <f aca="false">'Price History'!E3+('Price History'!E158-'Price History'!E3)*0.37012987012987</f>
        <v>196.350779220779</v>
      </c>
      <c r="AA60" s="137" t="n">
        <f aca="false">'Price History'!F3+('Price History'!F158-'Price History'!F3)*0.37012987012987</f>
        <v>93.985974025974</v>
      </c>
      <c r="AB60" s="137" t="n">
        <f aca="false">'Price History'!G3+('Price History'!G158-'Price History'!G3)*0.37012987012987</f>
        <v>97.8379220779221</v>
      </c>
      <c r="AC60" s="137" t="n">
        <f aca="false">'Price History'!H3+('Price History'!H158-'Price History'!H3)*0.37012987012987</f>
        <v>345.172727272727</v>
      </c>
      <c r="AD60" s="137" t="n">
        <f aca="false">'Price History'!I3+('Price History'!I158-'Price History'!I3)*0.37012987012987</f>
        <v>100.033766233766</v>
      </c>
      <c r="AE60" s="137" t="n">
        <f aca="false">'Price History'!J3+('Price History'!J158-'Price History'!J3)*0.37012987012987</f>
        <v>131.31974025974</v>
      </c>
      <c r="AF60" s="137" t="n">
        <f aca="false">'Price History'!K3+('Price History'!K158-'Price History'!K3)*0.37012987012987</f>
        <v>55.2544805194805</v>
      </c>
      <c r="AG60" s="137" t="n">
        <f aca="false">'Price History'!L3+('Price History'!L158-'Price History'!L3)*0.37012987012987</f>
        <v>207.566753246753</v>
      </c>
      <c r="AH60" s="137" t="n">
        <f aca="false">'Price History'!M3+('Price History'!M158-'Price History'!M3)*0.37012987012987</f>
        <v>110.519220779221</v>
      </c>
      <c r="AI60" s="137" t="n">
        <f aca="false">'Price History'!N3+('Price History'!N158-'Price History'!N3)*0.37012987012987</f>
        <v>396.955324675325</v>
      </c>
      <c r="AJ60" s="137" t="n">
        <f aca="false">'Price History'!O3+('Price History'!O158-'Price History'!O3)*0.37012987012987</f>
        <v>98.5546103896104</v>
      </c>
      <c r="AK60" s="137" t="n">
        <f aca="false">'Price History'!Q3+('Price History'!Q151-'Price History'!Q3)*0.37012987012987</f>
        <v>56.7281168831169</v>
      </c>
      <c r="AL60" s="137" t="n">
        <f aca="false">'Price History'!R3+('Price History'!R158-'Price History'!R3)*0.37012987012987</f>
        <v>51.6804545454545</v>
      </c>
      <c r="AM60" s="137" t="n">
        <f aca="false">'Price History'!S3+('Price History'!S158-'Price History'!S3)*0.37012987012987</f>
        <v>90.1083766233766</v>
      </c>
      <c r="AN60" s="137" t="n">
        <f aca="false">'Price History'!T3+('Price History'!T158-'Price History'!T3)*0.37012987012987</f>
        <v>35.3600649350649</v>
      </c>
    </row>
    <row r="61" customFormat="false" ht="15" hidden="false" customHeight="true" outlineLevel="0" collapsed="false">
      <c r="A61" s="135" t="n">
        <f aca="false">IF('Price History'!A62="","",'Price History'!A62)</f>
        <v>45562</v>
      </c>
      <c r="B61" s="136" t="n">
        <f aca="false">IFERROR(IF(OR(NOT(ISNUMBER('Price History'!B62)),NOT(ISNUMBER('Price History'!B61)),'Price History'!B61=0),"",'Price History'!B62/'Price History'!B61-1),"")</f>
        <v>-0.0130576297147232</v>
      </c>
      <c r="C61" s="136" t="n">
        <f aca="false">IFERROR(IF(OR(NOT(ISNUMBER('Price History'!C62)),NOT(ISNUMBER('Price History'!C61)),'Price History'!C61=0),"",'Price History'!C62/'Price History'!C61-1),"")</f>
        <v>-0.0109238451935082</v>
      </c>
      <c r="D61" s="136" t="n">
        <f aca="false">IFERROR(IF(OR(NOT(ISNUMBER('Price History'!D62)),NOT(ISNUMBER('Price History'!D61)),'Price History'!D61=0),"",'Price History'!D62/'Price History'!D61-1),"")</f>
        <v>0.0581681923347752</v>
      </c>
      <c r="E61" s="136" t="n">
        <f aca="false">IFERROR(IF(OR(NOT(ISNUMBER('Price History'!E62)),NOT(ISNUMBER('Price History'!E61)),'Price History'!E61=0),"",'Price History'!E62/'Price History'!E61-1),"")</f>
        <v>0.00929281122150782</v>
      </c>
      <c r="F61" s="136" t="n">
        <f aca="false">IFERROR(IF(OR(NOT(ISNUMBER('Price History'!F62)),NOT(ISNUMBER('Price History'!F61)),'Price History'!F61=0),"",'Price History'!F62/'Price History'!F61-1),"")</f>
        <v>-0.0465581643543223</v>
      </c>
      <c r="G61" s="136" t="n">
        <f aca="false">IFERROR(IF(OR(NOT(ISNUMBER('Price History'!G62)),NOT(ISNUMBER('Price History'!G61)),'Price History'!G61=0),"",'Price History'!G62/'Price History'!G61-1),"")</f>
        <v>0.0309658716563446</v>
      </c>
      <c r="H61" s="136" t="n">
        <f aca="false">IFERROR(IF(OR(NOT(ISNUMBER('Price History'!H62)),NOT(ISNUMBER('Price History'!H61)),'Price History'!H61=0),"",'Price History'!H62/'Price History'!H61-1),"")</f>
        <v>0.182618261826182</v>
      </c>
      <c r="I61" s="136" t="n">
        <f aca="false">IFERROR(IF(OR(NOT(ISNUMBER('Price History'!I62)),NOT(ISNUMBER('Price History'!I61)),'Price History'!I61=0),"",'Price History'!I62/'Price History'!I61-1),"")</f>
        <v>0.0465517241379312</v>
      </c>
      <c r="J61" s="136" t="n">
        <f aca="false">IFERROR(IF(OR(NOT(ISNUMBER('Price History'!J62)),NOT(ISNUMBER('Price History'!J61)),'Price History'!J61=0),"",'Price History'!J62/'Price History'!J61-1),"")</f>
        <v>0.000956403921256177</v>
      </c>
      <c r="K61" s="136" t="n">
        <f aca="false">IFERROR(IF(OR(NOT(ISNUMBER('Price History'!K62)),NOT(ISNUMBER('Price History'!K61)),'Price History'!K61=0),"",'Price History'!K62/'Price History'!K61-1),"")</f>
        <v>-0.00967741935483868</v>
      </c>
      <c r="L61" s="136" t="n">
        <f aca="false">IFERROR(IF(OR(NOT(ISNUMBER('Price History'!L62)),NOT(ISNUMBER('Price History'!L61)),'Price History'!L61=0),"",'Price History'!L62/'Price History'!L61-1),"")</f>
        <v>0.0223460477941175</v>
      </c>
      <c r="M61" s="136" t="n">
        <f aca="false">IFERROR(IF(OR(NOT(ISNUMBER('Price History'!M62)),NOT(ISNUMBER('Price History'!M61)),'Price History'!M61=0),"",'Price History'!M62/'Price History'!M61-1),"")</f>
        <v>0.0409350539454199</v>
      </c>
      <c r="N61" s="136" t="n">
        <f aca="false">IFERROR(IF(OR(NOT(ISNUMBER('Price History'!N62)),NOT(ISNUMBER('Price History'!N61)),'Price History'!N61=0),"",'Price History'!N62/'Price History'!N61-1),"")</f>
        <v>-0.00438785167340627</v>
      </c>
      <c r="O61" s="136" t="n">
        <f aca="false">IFERROR(IF(OR(NOT(ISNUMBER('Price History'!O62)),NOT(ISNUMBER('Price History'!O61)),'Price History'!O61=0),"",'Price History'!O62/'Price History'!O61-1),"")</f>
        <v>-0.00354535974973935</v>
      </c>
      <c r="P61" s="136" t="str">
        <f aca="false">IFERROR(IF(OR(NOT(ISNUMBER('Price History'!P62)),NOT(ISNUMBER('Price History'!P61)),'Price History'!P61=0),"",'Price History'!P62/'Price History'!P61-1),"")</f>
        <v/>
      </c>
      <c r="Q61" s="136" t="n">
        <f aca="false">IFERROR(IF(OR(NOT(ISNUMBER('Price History'!Q62)),NOT(ISNUMBER('Price History'!Q61)),'Price History'!Q61=0),"",'Price History'!Q62/'Price History'!Q61-1),"")</f>
        <v>-0.00955566172957478</v>
      </c>
      <c r="R61" s="136" t="n">
        <f aca="false">IFERROR(IF(OR(NOT(ISNUMBER('Price History'!R62)),NOT(ISNUMBER('Price History'!R61)),'Price History'!R61=0),"",'Price History'!R62/'Price History'!R61-1),"")</f>
        <v>0.00716780003675788</v>
      </c>
      <c r="S61" s="136" t="n">
        <f aca="false">IFERROR(IF(OR(NOT(ISNUMBER('Price History'!S62)),NOT(ISNUMBER('Price History'!S61)),'Price History'!S61=0),"",'Price History'!S62/'Price History'!S61-1),"")</f>
        <v>-0.00209875179498509</v>
      </c>
      <c r="T61" s="136" t="n">
        <f aca="false">IFERROR(IF(OR(NOT(ISNUMBER('Price History'!T62)),NOT(ISNUMBER('Price History'!T61)),'Price History'!T61=0),"",'Price History'!T62/'Price History'!T61-1),"")</f>
        <v>0.00211225105612556</v>
      </c>
      <c r="U61" s="136" t="str">
        <f aca="false">IFERROR(IF(OR(NOT(ISNUMBER('Price History'!U62)),NOT(ISNUMBER('Price History'!U61)),'Price History'!U61=0),"",'Price History'!U62/'Price History'!U61-1),"")</f>
        <v/>
      </c>
      <c r="W61" s="137" t="n">
        <f aca="false">'Price History'!B3+('Price History'!B158-'Price History'!B3)*0.376623376623377</f>
        <v>411.266103896104</v>
      </c>
      <c r="X61" s="137" t="n">
        <f aca="false">'Price History'!C3+('Price History'!C158-'Price History'!C3)*0.376623376623377</f>
        <v>95.1905194805195</v>
      </c>
      <c r="Y61" s="137" t="n">
        <f aca="false">'Price History'!D3+('Price History'!D158-'Price History'!D3)*0.376623376623377</f>
        <v>1026.05766233766</v>
      </c>
      <c r="Z61" s="137" t="n">
        <f aca="false">'Price History'!E3+('Price History'!E158-'Price History'!E3)*0.376623376623377</f>
        <v>198.33974025974</v>
      </c>
      <c r="AA61" s="137" t="n">
        <f aca="false">'Price History'!F3+('Price History'!F158-'Price History'!F3)*0.376623376623377</f>
        <v>94.9846753246754</v>
      </c>
      <c r="AB61" s="137" t="n">
        <f aca="false">'Price History'!G3+('Price History'!G158-'Price History'!G3)*0.376623376623377</f>
        <v>98.714025974026</v>
      </c>
      <c r="AC61" s="137" t="n">
        <f aca="false">'Price History'!H3+('Price History'!H158-'Price History'!H3)*0.376623376623377</f>
        <v>350.099090909091</v>
      </c>
      <c r="AD61" s="137" t="n">
        <f aca="false">'Price History'!I3+('Price History'!I158-'Price History'!I3)*0.376623376623377</f>
        <v>101.072077922078</v>
      </c>
      <c r="AE61" s="137" t="n">
        <f aca="false">'Price History'!J3+('Price History'!J158-'Price History'!J3)*0.376623376623377</f>
        <v>131.456753246753</v>
      </c>
      <c r="AF61" s="137" t="n">
        <f aca="false">'Price History'!K3+('Price History'!K158-'Price History'!K3)*0.376623376623377</f>
        <v>55.9535064935065</v>
      </c>
      <c r="AG61" s="137" t="n">
        <f aca="false">'Price History'!L3+('Price History'!L158-'Price History'!L3)*0.376623376623377</f>
        <v>209.594415584416</v>
      </c>
      <c r="AH61" s="137" t="n">
        <f aca="false">'Price History'!M3+('Price History'!M158-'Price History'!M3)*0.376623376623377</f>
        <v>111.87025974026</v>
      </c>
      <c r="AI61" s="137" t="n">
        <f aca="false">'Price History'!N3+('Price History'!N158-'Price History'!N3)*0.376623376623377</f>
        <v>397.781558441559</v>
      </c>
      <c r="AJ61" s="137" t="n">
        <f aca="false">'Price History'!O3+('Price History'!O158-'Price History'!O3)*0.376623376623377</f>
        <v>98.8301298701299</v>
      </c>
      <c r="AK61" s="137" t="n">
        <f aca="false">'Price History'!Q3+('Price History'!Q151-'Price History'!Q3)*0.376623376623377</f>
        <v>56.8489610389611</v>
      </c>
      <c r="AL61" s="137" t="n">
        <f aca="false">'Price History'!R3+('Price History'!R158-'Price History'!R3)*0.376623376623377</f>
        <v>51.7481818181818</v>
      </c>
      <c r="AM61" s="137" t="n">
        <f aca="false">'Price History'!S3+('Price History'!S158-'Price History'!S3)*0.376623376623377</f>
        <v>90.6622077922078</v>
      </c>
      <c r="AN61" s="137" t="n">
        <f aca="false">'Price History'!T3+('Price History'!T158-'Price History'!T3)*0.376623376623377</f>
        <v>35.5083116883117</v>
      </c>
    </row>
    <row r="62" customFormat="false" ht="15" hidden="false" customHeight="true" outlineLevel="0" collapsed="false">
      <c r="A62" s="135" t="n">
        <f aca="false">IF('Price History'!A63="","",'Price History'!A63)</f>
        <v>45569</v>
      </c>
      <c r="B62" s="136" t="n">
        <f aca="false">IFERROR(IF(OR(NOT(ISNUMBER('Price History'!B63)),NOT(ISNUMBER('Price History'!B62)),'Price History'!B62=0),"",'Price History'!B63/'Price History'!B62-1),"")</f>
        <v>-0.0160239000543183</v>
      </c>
      <c r="C62" s="136" t="n">
        <f aca="false">IFERROR(IF(OR(NOT(ISNUMBER('Price History'!C63)),NOT(ISNUMBER('Price History'!C62)),'Price History'!C62=0),"",'Price History'!C63/'Price History'!C62-1),"")</f>
        <v>0.0412327758493742</v>
      </c>
      <c r="D62" s="136" t="n">
        <f aca="false">IFERROR(IF(OR(NOT(ISNUMBER('Price History'!D63)),NOT(ISNUMBER('Price History'!D62)),'Price History'!D62=0),"",'Price History'!D63/'Price History'!D62-1),"")</f>
        <v>-0.0101480618865413</v>
      </c>
      <c r="E62" s="136" t="n">
        <f aca="false">IFERROR(IF(OR(NOT(ISNUMBER('Price History'!E63)),NOT(ISNUMBER('Price History'!E62)),'Price History'!E62=0),"",'Price History'!E63/'Price History'!E62-1),"")</f>
        <v>0.0228733568822745</v>
      </c>
      <c r="F62" s="136" t="n">
        <f aca="false">IFERROR(IF(OR(NOT(ISNUMBER('Price History'!F63)),NOT(ISNUMBER('Price History'!F62)),'Price History'!F62=0),"",'Price History'!F63/'Price History'!F62-1),"")</f>
        <v>0.0222470966839234</v>
      </c>
      <c r="G62" s="136" t="n">
        <f aca="false">IFERROR(IF(OR(NOT(ISNUMBER('Price History'!G63)),NOT(ISNUMBER('Price History'!G62)),'Price History'!G62=0),"",'Price History'!G63/'Price History'!G62-1),"")</f>
        <v>0.00639059304703471</v>
      </c>
      <c r="H62" s="136" t="n">
        <f aca="false">IFERROR(IF(OR(NOT(ISNUMBER('Price History'!H63)),NOT(ISNUMBER('Price History'!H62)),'Price History'!H62=0),"",'Price History'!H63/'Price History'!H62-1),"")</f>
        <v>-0.0488372093023256</v>
      </c>
      <c r="I62" s="136" t="n">
        <f aca="false">IFERROR(IF(OR(NOT(ISNUMBER('Price History'!I63)),NOT(ISNUMBER('Price History'!I62)),'Price History'!I62=0),"",'Price History'!I63/'Price History'!I62-1),"")</f>
        <v>0.0289950576606259</v>
      </c>
      <c r="J62" s="136" t="n">
        <f aca="false">IFERROR(IF(OR(NOT(ISNUMBER('Price History'!J63)),NOT(ISNUMBER('Price History'!J62)),'Price History'!J62=0),"",'Price History'!J63/'Price History'!J62-1),"")</f>
        <v>-0.0252408631260451</v>
      </c>
      <c r="K62" s="136" t="n">
        <f aca="false">IFERROR(IF(OR(NOT(ISNUMBER('Price History'!K63)),NOT(ISNUMBER('Price History'!K62)),'Price History'!K62=0),"",'Price History'!K63/'Price History'!K62-1),"")</f>
        <v>0.0860477741585233</v>
      </c>
      <c r="L62" s="136" t="n">
        <f aca="false">IFERROR(IF(OR(NOT(ISNUMBER('Price History'!L63)),NOT(ISNUMBER('Price History'!L62)),'Price History'!L62=0),"",'Price History'!L63/'Price History'!L62-1),"")</f>
        <v>0.0179243692757207</v>
      </c>
      <c r="M62" s="136" t="n">
        <f aca="false">IFERROR(IF(OR(NOT(ISNUMBER('Price History'!M63)),NOT(ISNUMBER('Price History'!M62)),'Price History'!M62=0),"",'Price History'!M63/'Price History'!M62-1),"")</f>
        <v>0.0689970531450057</v>
      </c>
      <c r="N62" s="136" t="n">
        <f aca="false">IFERROR(IF(OR(NOT(ISNUMBER('Price History'!N63)),NOT(ISNUMBER('Price History'!N62)),'Price History'!N62=0),"",'Price History'!N63/'Price History'!N62-1),"")</f>
        <v>-0.0163541306602143</v>
      </c>
      <c r="O62" s="136" t="n">
        <f aca="false">IFERROR(IF(OR(NOT(ISNUMBER('Price History'!O63)),NOT(ISNUMBER('Price History'!O62)),'Price History'!O62=0),"",'Price History'!O63/'Price History'!O62-1),"")</f>
        <v>0.00282544997907075</v>
      </c>
      <c r="P62" s="136" t="str">
        <f aca="false">IFERROR(IF(OR(NOT(ISNUMBER('Price History'!P63)),NOT(ISNUMBER('Price History'!P62)),'Price History'!P62=0),"",'Price History'!P63/'Price History'!P62-1),"")</f>
        <v/>
      </c>
      <c r="Q62" s="136" t="n">
        <f aca="false">IFERROR(IF(OR(NOT(ISNUMBER('Price History'!Q63)),NOT(ISNUMBER('Price History'!Q62)),'Price History'!Q62=0),"",'Price History'!Q63/'Price History'!Q62-1),"")</f>
        <v>0.00755748512622612</v>
      </c>
      <c r="R62" s="136" t="n">
        <f aca="false">IFERROR(IF(OR(NOT(ISNUMBER('Price History'!R63)),NOT(ISNUMBER('Price History'!R62)),'Price History'!R62=0),"",'Price History'!R63/'Price History'!R62-1),"")</f>
        <v>-0.00784671532846715</v>
      </c>
      <c r="S62" s="136" t="n">
        <f aca="false">IFERROR(IF(OR(NOT(ISNUMBER('Price History'!S63)),NOT(ISNUMBER('Price History'!S62)),'Price History'!S62=0),"",'Price History'!S63/'Price History'!S62-1),"")</f>
        <v>0.0149435466017267</v>
      </c>
      <c r="T62" s="136" t="n">
        <f aca="false">IFERROR(IF(OR(NOT(ISNUMBER('Price History'!T63)),NOT(ISNUMBER('Price History'!T62)),'Price History'!T62=0),"",'Price History'!T63/'Price History'!T62-1),"")</f>
        <v>0.0186690755796446</v>
      </c>
      <c r="U62" s="136" t="str">
        <f aca="false">IFERROR(IF(OR(NOT(ISNUMBER('Price History'!U63)),NOT(ISNUMBER('Price History'!U62)),'Price History'!U62=0),"",'Price History'!U63/'Price History'!U62-1),"")</f>
        <v/>
      </c>
      <c r="W62" s="137" t="n">
        <f aca="false">'Price History'!B3+('Price History'!B158-'Price History'!B3)*0.383116883116883</f>
        <v>409.59051948052</v>
      </c>
      <c r="X62" s="137" t="n">
        <f aca="false">'Price History'!C3+('Price History'!C158-'Price History'!C3)*0.383116883116883</f>
        <v>96.0775974025974</v>
      </c>
      <c r="Y62" s="137" t="n">
        <f aca="false">'Price History'!D3+('Price History'!D158-'Price History'!D3)*0.383116883116883</f>
        <v>1032.33831168831</v>
      </c>
      <c r="Z62" s="137" t="n">
        <f aca="false">'Price History'!E3+('Price History'!E158-'Price History'!E3)*0.383116883116883</f>
        <v>200.328701298701</v>
      </c>
      <c r="AA62" s="137" t="n">
        <f aca="false">'Price History'!F3+('Price History'!F158-'Price History'!F3)*0.383116883116883</f>
        <v>95.9833766233766</v>
      </c>
      <c r="AB62" s="137" t="n">
        <f aca="false">'Price History'!G3+('Price History'!G158-'Price History'!G3)*0.383116883116883</f>
        <v>99.5901298701299</v>
      </c>
      <c r="AC62" s="137" t="n">
        <f aca="false">'Price History'!H3+('Price History'!H158-'Price History'!H3)*0.383116883116883</f>
        <v>355.025454545454</v>
      </c>
      <c r="AD62" s="137" t="n">
        <f aca="false">'Price History'!I3+('Price History'!I158-'Price History'!I3)*0.383116883116883</f>
        <v>102.11038961039</v>
      </c>
      <c r="AE62" s="137" t="n">
        <f aca="false">'Price History'!J3+('Price History'!J158-'Price History'!J3)*0.383116883116883</f>
        <v>131.593766233766</v>
      </c>
      <c r="AF62" s="137" t="n">
        <f aca="false">'Price History'!K3+('Price History'!K158-'Price History'!K3)*0.383116883116883</f>
        <v>56.6525324675325</v>
      </c>
      <c r="AG62" s="137" t="n">
        <f aca="false">'Price History'!L3+('Price History'!L158-'Price History'!L3)*0.383116883116883</f>
        <v>211.622077922078</v>
      </c>
      <c r="AH62" s="137" t="n">
        <f aca="false">'Price History'!M3+('Price History'!M158-'Price History'!M3)*0.383116883116883</f>
        <v>113.221298701299</v>
      </c>
      <c r="AI62" s="137" t="n">
        <f aca="false">'Price History'!N3+('Price History'!N158-'Price History'!N3)*0.383116883116883</f>
        <v>398.607792207792</v>
      </c>
      <c r="AJ62" s="137" t="n">
        <f aca="false">'Price History'!O3+('Price History'!O158-'Price History'!O3)*0.383116883116883</f>
        <v>99.1056493506493</v>
      </c>
      <c r="AK62" s="137" t="n">
        <f aca="false">'Price History'!Q3+('Price History'!Q151-'Price History'!Q3)*0.383116883116883</f>
        <v>56.9698051948052</v>
      </c>
      <c r="AL62" s="137" t="n">
        <f aca="false">'Price History'!R3+('Price History'!R158-'Price History'!R3)*0.383116883116883</f>
        <v>51.8159090909091</v>
      </c>
      <c r="AM62" s="137" t="n">
        <f aca="false">'Price History'!S3+('Price History'!S158-'Price History'!S3)*0.383116883116883</f>
        <v>91.216038961039</v>
      </c>
      <c r="AN62" s="137" t="n">
        <f aca="false">'Price History'!T3+('Price History'!T158-'Price History'!T3)*0.383116883116883</f>
        <v>35.6565584415584</v>
      </c>
    </row>
    <row r="63" customFormat="false" ht="15" hidden="false" customHeight="true" outlineLevel="0" collapsed="false">
      <c r="A63" s="135" t="n">
        <f aca="false">IF('Price History'!A64="","",'Price History'!A64)</f>
        <v>45576</v>
      </c>
      <c r="B63" s="136" t="n">
        <f aca="false">IFERROR(IF(OR(NOT(ISNUMBER('Price History'!B64)),NOT(ISNUMBER('Price History'!B63)),'Price History'!B63=0),"",'Price History'!B64/'Price History'!B63-1),"")</f>
        <v>-0.0232640668743346</v>
      </c>
      <c r="C63" s="136" t="n">
        <f aca="false">IFERROR(IF(OR(NOT(ISNUMBER('Price History'!C64)),NOT(ISNUMBER('Price History'!C63)),'Price History'!C63=0),"",'Price History'!C64/'Price History'!C63-1),"")</f>
        <v>0.0529346398626125</v>
      </c>
      <c r="D63" s="136" t="n">
        <f aca="false">IFERROR(IF(OR(NOT(ISNUMBER('Price History'!D64)),NOT(ISNUMBER('Price History'!D63)),'Price History'!D63=0),"",'Price History'!D64/'Price History'!D63-1),"")</f>
        <v>0.0092316926770708</v>
      </c>
      <c r="E63" s="136" t="n">
        <f aca="false">IFERROR(IF(OR(NOT(ISNUMBER('Price History'!E64)),NOT(ISNUMBER('Price History'!E63)),'Price History'!E63=0),"",'Price History'!E64/'Price History'!E63-1),"")</f>
        <v>0.0274003623188406</v>
      </c>
      <c r="F63" s="136" t="n">
        <f aca="false">IFERROR(IF(OR(NOT(ISNUMBER('Price History'!F64)),NOT(ISNUMBER('Price History'!F63)),'Price History'!F63=0),"",'Price History'!F64/'Price History'!F63-1),"")</f>
        <v>0.0956747878456064</v>
      </c>
      <c r="G63" s="136" t="n">
        <f aca="false">IFERROR(IF(OR(NOT(ISNUMBER('Price History'!G64)),NOT(ISNUMBER('Price History'!G63)),'Price History'!G63=0),"",'Price History'!G64/'Price History'!G63-1),"")</f>
        <v>0.020701041402083</v>
      </c>
      <c r="H63" s="136" t="n">
        <f aca="false">IFERROR(IF(OR(NOT(ISNUMBER('Price History'!H64)),NOT(ISNUMBER('Price History'!H63)),'Price History'!H63=0),"",'Price History'!H64/'Price History'!H63-1),"")</f>
        <v>0.0456723716381418</v>
      </c>
      <c r="I63" s="136" t="n">
        <f aca="false">IFERROR(IF(OR(NOT(ISNUMBER('Price History'!I64)),NOT(ISNUMBER('Price History'!I63)),'Price History'!I63=0),"",'Price History'!I64/'Price History'!I63-1),"")</f>
        <v>0.0790906179955173</v>
      </c>
      <c r="J63" s="136" t="n">
        <f aca="false">IFERROR(IF(OR(NOT(ISNUMBER('Price History'!J64)),NOT(ISNUMBER('Price History'!J63)),'Price History'!J63=0),"",'Price History'!J64/'Price History'!J63-1),"")</f>
        <v>-0.0178075477863094</v>
      </c>
      <c r="K63" s="136" t="n">
        <f aca="false">IFERROR(IF(OR(NOT(ISNUMBER('Price History'!K64)),NOT(ISNUMBER('Price History'!K63)),'Price History'!K63=0),"",'Price History'!K64/'Price History'!K63-1),"")</f>
        <v>0.0874781304673831</v>
      </c>
      <c r="L63" s="136" t="n">
        <f aca="false">IFERROR(IF(OR(NOT(ISNUMBER('Price History'!L64)),NOT(ISNUMBER('Price History'!L63)),'Price History'!L63=0),"",'Price History'!L64/'Price History'!L63-1),"")</f>
        <v>0.0532678295429454</v>
      </c>
      <c r="M63" s="136" t="n">
        <f aca="false">IFERROR(IF(OR(NOT(ISNUMBER('Price History'!M64)),NOT(ISNUMBER('Price History'!M63)),'Price History'!M63=0),"",'Price History'!M64/'Price History'!M63-1),"")</f>
        <v>0.0631178707224334</v>
      </c>
      <c r="N63" s="136" t="n">
        <f aca="false">IFERROR(IF(OR(NOT(ISNUMBER('Price History'!N64)),NOT(ISNUMBER('Price History'!N63)),'Price History'!N63=0),"",'Price History'!N64/'Price History'!N63-1),"")</f>
        <v>0.0579824734796073</v>
      </c>
      <c r="O63" s="136" t="n">
        <f aca="false">IFERROR(IF(OR(NOT(ISNUMBER('Price History'!O64)),NOT(ISNUMBER('Price History'!O63)),'Price History'!O63=0),"",'Price History'!O64/'Price History'!O63-1),"")</f>
        <v>0.0118960659501199</v>
      </c>
      <c r="P63" s="136" t="str">
        <f aca="false">IFERROR(IF(OR(NOT(ISNUMBER('Price History'!P64)),NOT(ISNUMBER('Price History'!P63)),'Price History'!P63=0),"",'Price History'!P64/'Price History'!P63-1),"")</f>
        <v/>
      </c>
      <c r="Q63" s="136" t="n">
        <f aca="false">IFERROR(IF(OR(NOT(ISNUMBER('Price History'!Q64)),NOT(ISNUMBER('Price History'!Q63)),'Price History'!Q63=0),"",'Price History'!Q64/'Price History'!Q63-1),"")</f>
        <v>0.00606447494414297</v>
      </c>
      <c r="R63" s="136" t="n">
        <f aca="false">IFERROR(IF(OR(NOT(ISNUMBER('Price History'!R64)),NOT(ISNUMBER('Price History'!R63)),'Price History'!R63=0),"",'Price History'!R64/'Price History'!R63-1),"")</f>
        <v>0.00901232297222743</v>
      </c>
      <c r="S63" s="136" t="n">
        <f aca="false">IFERROR(IF(OR(NOT(ISNUMBER('Price History'!S64)),NOT(ISNUMBER('Price History'!S63)),'Price History'!S63=0),"",'Price History'!S64/'Price History'!S63-1),"")</f>
        <v>0.021594503217363</v>
      </c>
      <c r="T63" s="136" t="n">
        <f aca="false">IFERROR(IF(OR(NOT(ISNUMBER('Price History'!T64)),NOT(ISNUMBER('Price History'!T63)),'Price History'!T63=0),"",'Price History'!T64/'Price History'!T63-1),"")</f>
        <v>0.00354714750221707</v>
      </c>
      <c r="U63" s="136" t="str">
        <f aca="false">IFERROR(IF(OR(NOT(ISNUMBER('Price History'!U64)),NOT(ISNUMBER('Price History'!U63)),'Price History'!U63=0),"",'Price History'!U64/'Price History'!U63-1),"")</f>
        <v/>
      </c>
      <c r="W63" s="137" t="n">
        <f aca="false">'Price History'!B3+('Price History'!B158-'Price History'!B3)*0.38961038961039</f>
        <v>407.914935064935</v>
      </c>
      <c r="X63" s="137" t="n">
        <f aca="false">'Price History'!C3+('Price History'!C158-'Price History'!C3)*0.38961038961039</f>
        <v>96.9646753246754</v>
      </c>
      <c r="Y63" s="137" t="n">
        <f aca="false">'Price History'!D3+('Price History'!D158-'Price History'!D3)*0.38961038961039</f>
        <v>1038.61896103896</v>
      </c>
      <c r="Z63" s="137" t="n">
        <f aca="false">'Price History'!E3+('Price History'!E158-'Price History'!E3)*0.38961038961039</f>
        <v>202.317662337662</v>
      </c>
      <c r="AA63" s="137" t="n">
        <f aca="false">'Price History'!F3+('Price History'!F158-'Price History'!F3)*0.38961038961039</f>
        <v>96.982077922078</v>
      </c>
      <c r="AB63" s="137" t="n">
        <f aca="false">'Price History'!G3+('Price History'!G158-'Price History'!G3)*0.38961038961039</f>
        <v>100.466233766234</v>
      </c>
      <c r="AC63" s="137" t="n">
        <f aca="false">'Price History'!H3+('Price History'!H158-'Price History'!H3)*0.38961038961039</f>
        <v>359.951818181819</v>
      </c>
      <c r="AD63" s="137" t="n">
        <f aca="false">'Price History'!I3+('Price History'!I158-'Price History'!I3)*0.38961038961039</f>
        <v>103.148701298701</v>
      </c>
      <c r="AE63" s="137" t="n">
        <f aca="false">'Price History'!J3+('Price History'!J158-'Price History'!J3)*0.38961038961039</f>
        <v>131.730779220779</v>
      </c>
      <c r="AF63" s="137" t="n">
        <f aca="false">'Price History'!K3+('Price History'!K158-'Price History'!K3)*0.38961038961039</f>
        <v>57.3515584415585</v>
      </c>
      <c r="AG63" s="137" t="n">
        <f aca="false">'Price History'!L3+('Price History'!L158-'Price History'!L3)*0.38961038961039</f>
        <v>213.64974025974</v>
      </c>
      <c r="AH63" s="137" t="n">
        <f aca="false">'Price History'!M3+('Price History'!M158-'Price History'!M3)*0.38961038961039</f>
        <v>114.572337662338</v>
      </c>
      <c r="AI63" s="137" t="n">
        <f aca="false">'Price History'!N3+('Price History'!N158-'Price History'!N3)*0.38961038961039</f>
        <v>399.434025974026</v>
      </c>
      <c r="AJ63" s="137" t="n">
        <f aca="false">'Price History'!O3+('Price History'!O158-'Price History'!O3)*0.38961038961039</f>
        <v>99.3811688311689</v>
      </c>
      <c r="AK63" s="137" t="n">
        <f aca="false">'Price History'!Q3+('Price History'!Q151-'Price History'!Q3)*0.38961038961039</f>
        <v>57.0906493506494</v>
      </c>
      <c r="AL63" s="137" t="n">
        <f aca="false">'Price History'!R3+('Price History'!R158-'Price History'!R3)*0.38961038961039</f>
        <v>51.8836363636364</v>
      </c>
      <c r="AM63" s="137" t="n">
        <f aca="false">'Price History'!S3+('Price History'!S158-'Price History'!S3)*0.38961038961039</f>
        <v>91.7698701298702</v>
      </c>
      <c r="AN63" s="137" t="n">
        <f aca="false">'Price History'!T3+('Price History'!T158-'Price History'!T3)*0.38961038961039</f>
        <v>35.8048051948052</v>
      </c>
    </row>
    <row r="64" customFormat="false" ht="15" hidden="false" customHeight="true" outlineLevel="0" collapsed="false">
      <c r="A64" s="135" t="n">
        <f aca="false">IF('Price History'!A65="","",'Price History'!A65)</f>
        <v>45583</v>
      </c>
      <c r="B64" s="136" t="n">
        <f aca="false">IFERROR(IF(OR(NOT(ISNUMBER('Price History'!B65)),NOT(ISNUMBER('Price History'!B64)),'Price History'!B64=0),"",'Price History'!B65/'Price History'!B64-1),"")</f>
        <v>-0.0010496144685318</v>
      </c>
      <c r="C64" s="136" t="n">
        <f aca="false">IFERROR(IF(OR(NOT(ISNUMBER('Price History'!C65)),NOT(ISNUMBER('Price History'!C64)),'Price History'!C64=0),"",'Price History'!C65/'Price History'!C64-1),"")</f>
        <v>-0.0357862419648853</v>
      </c>
      <c r="D64" s="136" t="n">
        <f aca="false">IFERROR(IF(OR(NOT(ISNUMBER('Price History'!D65)),NOT(ISNUMBER('Price History'!D64)),'Price History'!D64=0),"",'Price History'!D65/'Price History'!D64-1),"")</f>
        <v>-0.139682879539426</v>
      </c>
      <c r="E64" s="136" t="n">
        <f aca="false">IFERROR(IF(OR(NOT(ISNUMBER('Price History'!E65)),NOT(ISNUMBER('Price History'!E64)),'Price History'!E64=0),"",'Price History'!E65/'Price History'!E64-1),"")</f>
        <v>-0.00876129601057973</v>
      </c>
      <c r="F64" s="136" t="n">
        <f aca="false">IFERROR(IF(OR(NOT(ISNUMBER('Price History'!F65)),NOT(ISNUMBER('Price History'!F64)),'Price History'!F64=0),"",'Price History'!F65/'Price History'!F64-1),"")</f>
        <v>-0.0313554028732042</v>
      </c>
      <c r="G64" s="136" t="n">
        <f aca="false">IFERROR(IF(OR(NOT(ISNUMBER('Price History'!G65)),NOT(ISNUMBER('Price History'!G64)),'Price History'!G64=0),"",'Price History'!G65/'Price History'!G64-1),"")</f>
        <v>-0.155779519721289</v>
      </c>
      <c r="H64" s="136" t="n">
        <f aca="false">IFERROR(IF(OR(NOT(ISNUMBER('Price History'!H65)),NOT(ISNUMBER('Price History'!H64)),'Price History'!H64=0),"",'Price History'!H65/'Price History'!H64-1),"")</f>
        <v>0.0395622895622896</v>
      </c>
      <c r="I64" s="136" t="n">
        <f aca="false">IFERROR(IF(OR(NOT(ISNUMBER('Price History'!I65)),NOT(ISNUMBER('Price History'!I64)),'Price History'!I64=0),"",'Price History'!I65/'Price History'!I64-1),"")</f>
        <v>0.0237388724035608</v>
      </c>
      <c r="J64" s="136" t="n">
        <f aca="false">IFERROR(IF(OR(NOT(ISNUMBER('Price History'!J65)),NOT(ISNUMBER('Price History'!J64)),'Price History'!J64=0),"",'Price History'!J65/'Price History'!J64-1),"")</f>
        <v>0.0187957418496341</v>
      </c>
      <c r="K64" s="136" t="n">
        <f aca="false">IFERROR(IF(OR(NOT(ISNUMBER('Price History'!K65)),NOT(ISNUMBER('Price History'!K64)),'Price History'!K64=0),"",'Price History'!K65/'Price History'!K64-1),"")</f>
        <v>-0.01241094001379</v>
      </c>
      <c r="L64" s="136" t="n">
        <f aca="false">IFERROR(IF(OR(NOT(ISNUMBER('Price History'!L65)),NOT(ISNUMBER('Price History'!L64)),'Price History'!L64=0),"",'Price History'!L65/'Price History'!L64-1),"")</f>
        <v>0.052250930244746</v>
      </c>
      <c r="M64" s="136" t="n">
        <f aca="false">IFERROR(IF(OR(NOT(ISNUMBER('Price History'!M65)),NOT(ISNUMBER('Price History'!M64)),'Price History'!M64=0),"",'Price History'!M65/'Price History'!M64-1),"")</f>
        <v>0.00366595135908443</v>
      </c>
      <c r="N64" s="136" t="n">
        <f aca="false">IFERROR(IF(OR(NOT(ISNUMBER('Price History'!N65)),NOT(ISNUMBER('Price History'!N64)),'Price History'!N64=0),"",'Price History'!N65/'Price History'!N64-1),"")</f>
        <v>0.0026779597683253</v>
      </c>
      <c r="O64" s="136" t="n">
        <f aca="false">IFERROR(IF(OR(NOT(ISNUMBER('Price History'!O65)),NOT(ISNUMBER('Price History'!O64)),'Price History'!O64=0),"",'Price History'!O65/'Price History'!O64-1),"")</f>
        <v>0.0125812106837166</v>
      </c>
      <c r="P64" s="136" t="str">
        <f aca="false">IFERROR(IF(OR(NOT(ISNUMBER('Price History'!P65)),NOT(ISNUMBER('Price History'!P64)),'Price History'!P64=0),"",'Price History'!P65/'Price History'!P64-1),"")</f>
        <v/>
      </c>
      <c r="Q64" s="136" t="n">
        <f aca="false">IFERROR(IF(OR(NOT(ISNUMBER('Price History'!Q65)),NOT(ISNUMBER('Price History'!Q64)),'Price History'!Q64=0),"",'Price History'!Q65/'Price History'!Q64-1),"")</f>
        <v>0.00380710659898487</v>
      </c>
      <c r="R64" s="136" t="n">
        <f aca="false">IFERROR(IF(OR(NOT(ISNUMBER('Price History'!R65)),NOT(ISNUMBER('Price History'!R64)),'Price History'!R64=0),"",'Price History'!R65/'Price History'!R64-1),"")</f>
        <v>0.00747356908494345</v>
      </c>
      <c r="S64" s="136" t="n">
        <f aca="false">IFERROR(IF(OR(NOT(ISNUMBER('Price History'!S65)),NOT(ISNUMBER('Price History'!S64)),'Price History'!S64=0),"",'Price History'!S65/'Price History'!S64-1),"")</f>
        <v>0.00427031066510075</v>
      </c>
      <c r="T64" s="136" t="n">
        <f aca="false">IFERROR(IF(OR(NOT(ISNUMBER('Price History'!T65)),NOT(ISNUMBER('Price History'!T64)),'Price History'!T64=0),"",'Price History'!T65/'Price History'!T64-1),"")</f>
        <v>-0.00471281296023574</v>
      </c>
      <c r="U64" s="136" t="str">
        <f aca="false">IFERROR(IF(OR(NOT(ISNUMBER('Price History'!U65)),NOT(ISNUMBER('Price History'!U64)),'Price History'!U64=0),"",'Price History'!U65/'Price History'!U64-1),"")</f>
        <v/>
      </c>
      <c r="W64" s="137" t="n">
        <f aca="false">'Price History'!B3+('Price History'!B158-'Price History'!B3)*0.396103896103896</f>
        <v>406.239350649351</v>
      </c>
      <c r="X64" s="137" t="n">
        <f aca="false">'Price History'!C3+('Price History'!C158-'Price History'!C3)*0.396103896103896</f>
        <v>97.8517532467532</v>
      </c>
      <c r="Y64" s="137" t="n">
        <f aca="false">'Price History'!D3+('Price History'!D158-'Price History'!D3)*0.396103896103896</f>
        <v>1044.89961038961</v>
      </c>
      <c r="Z64" s="137" t="n">
        <f aca="false">'Price History'!E3+('Price History'!E158-'Price History'!E3)*0.396103896103896</f>
        <v>204.306623376623</v>
      </c>
      <c r="AA64" s="137" t="n">
        <f aca="false">'Price History'!F3+('Price History'!F158-'Price History'!F3)*0.396103896103896</f>
        <v>97.9807792207792</v>
      </c>
      <c r="AB64" s="137" t="n">
        <f aca="false">'Price History'!G3+('Price History'!G158-'Price History'!G3)*0.396103896103896</f>
        <v>101.342337662338</v>
      </c>
      <c r="AC64" s="137" t="n">
        <f aca="false">'Price History'!H3+('Price History'!H158-'Price History'!H3)*0.396103896103896</f>
        <v>364.878181818182</v>
      </c>
      <c r="AD64" s="137" t="n">
        <f aca="false">'Price History'!I3+('Price History'!I158-'Price History'!I3)*0.396103896103896</f>
        <v>104.187012987013</v>
      </c>
      <c r="AE64" s="137" t="n">
        <f aca="false">'Price History'!J3+('Price History'!J158-'Price History'!J3)*0.396103896103896</f>
        <v>131.867792207792</v>
      </c>
      <c r="AF64" s="137" t="n">
        <f aca="false">'Price History'!K3+('Price History'!K158-'Price History'!K3)*0.396103896103896</f>
        <v>58.0505844155844</v>
      </c>
      <c r="AG64" s="137" t="n">
        <f aca="false">'Price History'!L3+('Price History'!L158-'Price History'!L3)*0.396103896103896</f>
        <v>215.677402597403</v>
      </c>
      <c r="AH64" s="137" t="n">
        <f aca="false">'Price History'!M3+('Price History'!M158-'Price History'!M3)*0.396103896103896</f>
        <v>115.923376623377</v>
      </c>
      <c r="AI64" s="137" t="n">
        <f aca="false">'Price History'!N3+('Price History'!N158-'Price History'!N3)*0.396103896103896</f>
        <v>400.26025974026</v>
      </c>
      <c r="AJ64" s="137" t="n">
        <f aca="false">'Price History'!O3+('Price History'!O158-'Price History'!O3)*0.396103896103896</f>
        <v>99.6566883116883</v>
      </c>
      <c r="AK64" s="137" t="n">
        <f aca="false">'Price History'!Q3+('Price History'!Q151-'Price History'!Q3)*0.396103896103896</f>
        <v>57.2114935064935</v>
      </c>
      <c r="AL64" s="137" t="n">
        <f aca="false">'Price History'!R3+('Price History'!R158-'Price History'!R3)*0.396103896103896</f>
        <v>51.9513636363636</v>
      </c>
      <c r="AM64" s="137" t="n">
        <f aca="false">'Price History'!S3+('Price History'!S158-'Price History'!S3)*0.396103896103896</f>
        <v>92.3237012987013</v>
      </c>
      <c r="AN64" s="137" t="n">
        <f aca="false">'Price History'!T3+('Price History'!T158-'Price History'!T3)*0.396103896103896</f>
        <v>35.953051948052</v>
      </c>
    </row>
    <row r="65" customFormat="false" ht="15" hidden="false" customHeight="true" outlineLevel="0" collapsed="false">
      <c r="A65" s="135" t="n">
        <f aca="false">IF('Price History'!A66="","",'Price History'!A66)</f>
        <v>45590</v>
      </c>
      <c r="B65" s="136" t="n">
        <f aca="false">IFERROR(IF(OR(NOT(ISNUMBER('Price History'!B66)),NOT(ISNUMBER('Price History'!B65)),'Price History'!B65=0),"",'Price History'!B66/'Price History'!B65-1),"")</f>
        <v>-0.0225904223075368</v>
      </c>
      <c r="C65" s="136" t="n">
        <f aca="false">IFERROR(IF(OR(NOT(ISNUMBER('Price History'!C66)),NOT(ISNUMBER('Price History'!C65)),'Price History'!C65=0),"",'Price History'!C66/'Price History'!C65-1),"")</f>
        <v>-0.0197014925373135</v>
      </c>
      <c r="D65" s="136" t="n">
        <f aca="false">IFERROR(IF(OR(NOT(ISNUMBER('Price History'!D66)),NOT(ISNUMBER('Price History'!D65)),'Price History'!D65=0),"",'Price History'!D66/'Price History'!D65-1),"")</f>
        <v>-0.0159831872355722</v>
      </c>
      <c r="E65" s="136" t="n">
        <f aca="false">IFERROR(IF(OR(NOT(ISNUMBER('Price History'!E66)),NOT(ISNUMBER('Price History'!E65)),'Price History'!E65=0),"",'Price History'!E66/'Price History'!E65-1),"")</f>
        <v>-0.0383011840569236</v>
      </c>
      <c r="F65" s="136" t="n">
        <f aca="false">IFERROR(IF(OR(NOT(ISNUMBER('Price History'!F66)),NOT(ISNUMBER('Price History'!F65)),'Price History'!F65=0),"",'Price History'!F66/'Price History'!F65-1),"")</f>
        <v>-0.0306938354397731</v>
      </c>
      <c r="G65" s="136" t="n">
        <f aca="false">IFERROR(IF(OR(NOT(ISNUMBER('Price History'!G66)),NOT(ISNUMBER('Price History'!G65)),'Price History'!G65=0),"",'Price History'!G66/'Price History'!G65-1),"")</f>
        <v>-0.0079587324981576</v>
      </c>
      <c r="H65" s="136" t="n">
        <f aca="false">IFERROR(IF(OR(NOT(ISNUMBER('Price History'!H66)),NOT(ISNUMBER('Price History'!H65)),'Price History'!H65=0),"",'Price History'!H66/'Price History'!H65-1),"")</f>
        <v>-0.0291497975708502</v>
      </c>
      <c r="I65" s="136" t="n">
        <f aca="false">IFERROR(IF(OR(NOT(ISNUMBER('Price History'!I66)),NOT(ISNUMBER('Price History'!I65)),'Price History'!I65=0),"",'Price History'!I66/'Price History'!I65-1),"")</f>
        <v>0.0256521739130435</v>
      </c>
      <c r="J65" s="136" t="n">
        <f aca="false">IFERROR(IF(OR(NOT(ISNUMBER('Price History'!J66)),NOT(ISNUMBER('Price History'!J65)),'Price History'!J65=0),"",'Price History'!J66/'Price History'!J65-1),"")</f>
        <v>-0.0404897959183673</v>
      </c>
      <c r="K65" s="136" t="n">
        <f aca="false">IFERROR(IF(OR(NOT(ISNUMBER('Price History'!K66)),NOT(ISNUMBER('Price History'!K65)),'Price History'!K65=0),"",'Price History'!K66/'Price History'!K65-1),"")</f>
        <v>0.0439841750058181</v>
      </c>
      <c r="L65" s="136" t="n">
        <f aca="false">IFERROR(IF(OR(NOT(ISNUMBER('Price History'!L66)),NOT(ISNUMBER('Price History'!L65)),'Price History'!L65=0),"",'Price History'!L66/'Price History'!L65-1),"")</f>
        <v>0.0132483315071221</v>
      </c>
      <c r="M65" s="136" t="n">
        <f aca="false">IFERROR(IF(OR(NOT(ISNUMBER('Price History'!M66)),NOT(ISNUMBER('Price History'!M65)),'Price History'!M65=0),"",'Price History'!M66/'Price History'!M65-1),"")</f>
        <v>-0.000712694877505582</v>
      </c>
      <c r="N65" s="136" t="n">
        <f aca="false">IFERROR(IF(OR(NOT(ISNUMBER('Price History'!N66)),NOT(ISNUMBER('Price History'!N65)),'Price History'!N65=0),"",'Price History'!N66/'Price History'!N65-1),"")</f>
        <v>-0.0109730848861284</v>
      </c>
      <c r="O65" s="136" t="n">
        <f aca="false">IFERROR(IF(OR(NOT(ISNUMBER('Price History'!O66)),NOT(ISNUMBER('Price History'!O65)),'Price History'!O65=0),"",'Price History'!O66/'Price History'!O65-1),"")</f>
        <v>-0.0333027803238619</v>
      </c>
      <c r="P65" s="136" t="str">
        <f aca="false">IFERROR(IF(OR(NOT(ISNUMBER('Price History'!P66)),NOT(ISNUMBER('Price History'!P65)),'Price History'!P65=0),"",'Price History'!P66/'Price History'!P65-1),"")</f>
        <v/>
      </c>
      <c r="Q65" s="136" t="n">
        <f aca="false">IFERROR(IF(OR(NOT(ISNUMBER('Price History'!Q66)),NOT(ISNUMBER('Price History'!Q65)),'Price History'!Q65=0),"",'Price History'!Q66/'Price History'!Q65-1),"")</f>
        <v>-0.00173830594184576</v>
      </c>
      <c r="R65" s="136" t="n">
        <f aca="false">IFERROR(IF(OR(NOT(ISNUMBER('Price History'!R66)),NOT(ISNUMBER('Price History'!R65)),'Price History'!R65=0),"",'Price History'!R66/'Price History'!R65-1),"")</f>
        <v>0.0023520897412701</v>
      </c>
      <c r="S65" s="136" t="n">
        <f aca="false">IFERROR(IF(OR(NOT(ISNUMBER('Price History'!S66)),NOT(ISNUMBER('Price History'!S65)),'Price History'!S65=0),"",'Price History'!S66/'Price History'!S65-1),"")</f>
        <v>-0.0146699266503667</v>
      </c>
      <c r="T65" s="136" t="n">
        <f aca="false">IFERROR(IF(OR(NOT(ISNUMBER('Price History'!T66)),NOT(ISNUMBER('Price History'!T65)),'Price History'!T65=0),"",'Price History'!T66/'Price History'!T65-1),"")</f>
        <v>-0.0192364604912696</v>
      </c>
      <c r="U65" s="136" t="str">
        <f aca="false">IFERROR(IF(OR(NOT(ISNUMBER('Price History'!U66)),NOT(ISNUMBER('Price History'!U65)),'Price History'!U65=0),"",'Price History'!U66/'Price History'!U65-1),"")</f>
        <v/>
      </c>
      <c r="W65" s="137" t="n">
        <f aca="false">'Price History'!B3+('Price History'!B158-'Price History'!B3)*0.402597402597403</f>
        <v>404.563766233766</v>
      </c>
      <c r="X65" s="137" t="n">
        <f aca="false">'Price History'!C3+('Price History'!C158-'Price History'!C3)*0.402597402597403</f>
        <v>98.7388311688312</v>
      </c>
      <c r="Y65" s="137" t="n">
        <f aca="false">'Price History'!D3+('Price History'!D158-'Price History'!D3)*0.402597402597403</f>
        <v>1051.18025974026</v>
      </c>
      <c r="Z65" s="137" t="n">
        <f aca="false">'Price History'!E3+('Price History'!E158-'Price History'!E3)*0.402597402597403</f>
        <v>206.295584415585</v>
      </c>
      <c r="AA65" s="137" t="n">
        <f aca="false">'Price History'!F3+('Price History'!F158-'Price History'!F3)*0.402597402597403</f>
        <v>98.9794805194806</v>
      </c>
      <c r="AB65" s="137" t="n">
        <f aca="false">'Price History'!G3+('Price History'!G158-'Price History'!G3)*0.402597402597403</f>
        <v>102.218441558442</v>
      </c>
      <c r="AC65" s="137" t="n">
        <f aca="false">'Price History'!H3+('Price History'!H158-'Price History'!H3)*0.402597402597403</f>
        <v>369.804545454546</v>
      </c>
      <c r="AD65" s="137" t="n">
        <f aca="false">'Price History'!I3+('Price History'!I158-'Price History'!I3)*0.402597402597403</f>
        <v>105.225324675325</v>
      </c>
      <c r="AE65" s="137" t="n">
        <f aca="false">'Price History'!J3+('Price History'!J158-'Price History'!J3)*0.402597402597403</f>
        <v>132.004805194805</v>
      </c>
      <c r="AF65" s="137" t="n">
        <f aca="false">'Price History'!K3+('Price History'!K158-'Price History'!K3)*0.402597402597403</f>
        <v>58.7496103896104</v>
      </c>
      <c r="AG65" s="137" t="n">
        <f aca="false">'Price History'!L3+('Price History'!L158-'Price History'!L3)*0.402597402597403</f>
        <v>217.705064935065</v>
      </c>
      <c r="AH65" s="137" t="n">
        <f aca="false">'Price History'!M3+('Price History'!M158-'Price History'!M3)*0.402597402597403</f>
        <v>117.274415584416</v>
      </c>
      <c r="AI65" s="137" t="n">
        <f aca="false">'Price History'!N3+('Price History'!N158-'Price History'!N3)*0.402597402597403</f>
        <v>401.086493506494</v>
      </c>
      <c r="AJ65" s="137" t="n">
        <f aca="false">'Price History'!O3+('Price History'!O158-'Price History'!O3)*0.402597402597403</f>
        <v>99.9322077922078</v>
      </c>
      <c r="AK65" s="137" t="n">
        <f aca="false">'Price History'!Q3+('Price History'!Q151-'Price History'!Q3)*0.402597402597403</f>
        <v>57.3323376623377</v>
      </c>
      <c r="AL65" s="137" t="n">
        <f aca="false">'Price History'!R3+('Price History'!R158-'Price History'!R3)*0.402597402597403</f>
        <v>52.0190909090909</v>
      </c>
      <c r="AM65" s="137" t="n">
        <f aca="false">'Price History'!S3+('Price History'!S158-'Price History'!S3)*0.402597402597403</f>
        <v>92.8775324675325</v>
      </c>
      <c r="AN65" s="137" t="n">
        <f aca="false">'Price History'!T3+('Price History'!T158-'Price History'!T3)*0.402597402597403</f>
        <v>36.1012987012987</v>
      </c>
    </row>
    <row r="66" customFormat="false" ht="15" hidden="false" customHeight="true" outlineLevel="0" collapsed="false">
      <c r="A66" s="135" t="n">
        <f aca="false">IF('Price History'!A67="","",'Price History'!A67)</f>
        <v>45597</v>
      </c>
      <c r="B66" s="136" t="n">
        <f aca="false">IFERROR(IF(OR(NOT(ISNUMBER('Price History'!B67)),NOT(ISNUMBER('Price History'!B66)),'Price History'!B66=0),"",'Price History'!B67/'Price History'!B66-1),"")</f>
        <v>-0.00190192673447454</v>
      </c>
      <c r="C66" s="136" t="n">
        <f aca="false">IFERROR(IF(OR(NOT(ISNUMBER('Price History'!C67)),NOT(ISNUMBER('Price History'!C66)),'Price History'!C66=0),"",'Price History'!C67/'Price History'!C66-1),"")</f>
        <v>0.000203004466098333</v>
      </c>
      <c r="D66" s="136" t="n">
        <f aca="false">IFERROR(IF(OR(NOT(ISNUMBER('Price History'!D67)),NOT(ISNUMBER('Price History'!D66)),'Price History'!D66=0),"",'Price History'!D67/'Price History'!D66-1),"")</f>
        <v>-0.051946044681748</v>
      </c>
      <c r="E66" s="136" t="n">
        <f aca="false">IFERROR(IF(OR(NOT(ISNUMBER('Price History'!E67)),NOT(ISNUMBER('Price History'!E66)),'Price History'!E66=0),"",'Price History'!E67/'Price History'!E66-1),"")</f>
        <v>-0.0235838150289018</v>
      </c>
      <c r="F66" s="136" t="n">
        <f aca="false">IFERROR(IF(OR(NOT(ISNUMBER('Price History'!F67)),NOT(ISNUMBER('Price History'!F66)),'Price History'!F66=0),"",'Price History'!F67/'Price History'!F66-1),"")</f>
        <v>0.00824906865353925</v>
      </c>
      <c r="G66" s="136" t="n">
        <f aca="false">IFERROR(IF(OR(NOT(ISNUMBER('Price History'!G67)),NOT(ISNUMBER('Price History'!G66)),'Price History'!G66=0),"",'Price History'!G67/'Price History'!G66-1),"")</f>
        <v>-0.00549695439013531</v>
      </c>
      <c r="H66" s="136" t="n">
        <f aca="false">IFERROR(IF(OR(NOT(ISNUMBER('Price History'!H67)),NOT(ISNUMBER('Price History'!H66)),'Price History'!H66=0),"",'Price History'!H67/'Price History'!H66-1),"")</f>
        <v>-0.0758039106662959</v>
      </c>
      <c r="I66" s="136" t="n">
        <f aca="false">IFERROR(IF(OR(NOT(ISNUMBER('Price History'!I67)),NOT(ISNUMBER('Price History'!I66)),'Price History'!I66=0),"",'Price History'!I67/'Price History'!I66-1),"")</f>
        <v>-0.0433799632612688</v>
      </c>
      <c r="J66" s="136" t="n">
        <f aca="false">IFERROR(IF(OR(NOT(ISNUMBER('Price History'!J67)),NOT(ISNUMBER('Price History'!J66)),'Price History'!J66=0),"",'Price History'!J67/'Price History'!J66-1),"")</f>
        <v>-0.0352220520673813</v>
      </c>
      <c r="K66" s="136" t="n">
        <f aca="false">IFERROR(IF(OR(NOT(ISNUMBER('Price History'!K67)),NOT(ISNUMBER('Price History'!K66)),'Price History'!K66=0),"",'Price History'!K67/'Price History'!K66-1),"")</f>
        <v>-0.0655372269282211</v>
      </c>
      <c r="L66" s="136" t="n">
        <f aca="false">IFERROR(IF(OR(NOT(ISNUMBER('Price History'!L67)),NOT(ISNUMBER('Price History'!L66)),'Price History'!L66=0),"",'Price History'!L67/'Price History'!L66-1),"")</f>
        <v>-0.0515631144317735</v>
      </c>
      <c r="M66" s="136" t="n">
        <f aca="false">IFERROR(IF(OR(NOT(ISNUMBER('Price History'!M67)),NOT(ISNUMBER('Price History'!M66)),'Price History'!M66=0),"",'Price History'!M67/'Price History'!M66-1),"")</f>
        <v>-0.0469822590710528</v>
      </c>
      <c r="N66" s="136" t="n">
        <f aca="false">IFERROR(IF(OR(NOT(ISNUMBER('Price History'!N67)),NOT(ISNUMBER('Price History'!N66)),'Price History'!N66=0),"",'Price History'!N67/'Price History'!N66-1),"")</f>
        <v>-0.0137743353569185</v>
      </c>
      <c r="O66" s="136" t="n">
        <f aca="false">IFERROR(IF(OR(NOT(ISNUMBER('Price History'!O67)),NOT(ISNUMBER('Price History'!O66)),'Price History'!O66=0),"",'Price History'!O67/'Price History'!O66-1),"")</f>
        <v>-0.00242309313105782</v>
      </c>
      <c r="P66" s="136" t="str">
        <f aca="false">IFERROR(IF(OR(NOT(ISNUMBER('Price History'!P67)),NOT(ISNUMBER('Price History'!P66)),'Price History'!P66=0),"",'Price History'!P67/'Price History'!P66-1),"")</f>
        <v/>
      </c>
      <c r="Q66" s="136" t="n">
        <f aca="false">IFERROR(IF(OR(NOT(ISNUMBER('Price History'!Q67)),NOT(ISNUMBER('Price History'!Q66)),'Price History'!Q66=0),"",'Price History'!Q67/'Price History'!Q66-1),"")</f>
        <v>-0.0123476333702707</v>
      </c>
      <c r="R66" s="136" t="n">
        <f aca="false">IFERROR(IF(OR(NOT(ISNUMBER('Price History'!R67)),NOT(ISNUMBER('Price History'!R66)),'Price History'!R66=0),"",'Price History'!R67/'Price History'!R66-1),"")</f>
        <v>-0.0173285198555957</v>
      </c>
      <c r="S66" s="136" t="n">
        <f aca="false">IFERROR(IF(OR(NOT(ISNUMBER('Price History'!S67)),NOT(ISNUMBER('Price History'!S66)),'Price History'!S66=0),"",'Price History'!S67/'Price History'!S66-1),"")</f>
        <v>-0.0137015859315999</v>
      </c>
      <c r="T66" s="136" t="n">
        <f aca="false">IFERROR(IF(OR(NOT(ISNUMBER('Price History'!T67)),NOT(ISNUMBER('Price History'!T66)),'Price History'!T66=0),"",'Price History'!T67/'Price History'!T66-1),"")</f>
        <v>0.000603500301749937</v>
      </c>
      <c r="U66" s="136" t="str">
        <f aca="false">IFERROR(IF(OR(NOT(ISNUMBER('Price History'!U67)),NOT(ISNUMBER('Price History'!U66)),'Price History'!U66=0),"",'Price History'!U67/'Price History'!U66-1),"")</f>
        <v/>
      </c>
      <c r="W66" s="137" t="n">
        <f aca="false">'Price History'!B3+('Price History'!B158-'Price History'!B3)*0.409090909090909</f>
        <v>402.888181818182</v>
      </c>
      <c r="X66" s="137" t="n">
        <f aca="false">'Price History'!C3+('Price History'!C158-'Price History'!C3)*0.409090909090909</f>
        <v>99.6259090909091</v>
      </c>
      <c r="Y66" s="137" t="n">
        <f aca="false">'Price History'!D3+('Price History'!D158-'Price History'!D3)*0.409090909090909</f>
        <v>1057.46090909091</v>
      </c>
      <c r="Z66" s="137" t="n">
        <f aca="false">'Price History'!E3+('Price History'!E158-'Price History'!E3)*0.409090909090909</f>
        <v>208.284545454545</v>
      </c>
      <c r="AA66" s="137" t="n">
        <f aca="false">'Price History'!F3+('Price History'!F158-'Price History'!F3)*0.409090909090909</f>
        <v>99.9781818181818</v>
      </c>
      <c r="AB66" s="137" t="n">
        <f aca="false">'Price History'!G3+('Price History'!G158-'Price History'!G3)*0.409090909090909</f>
        <v>103.094545454545</v>
      </c>
      <c r="AC66" s="137" t="n">
        <f aca="false">'Price History'!H3+('Price History'!H158-'Price History'!H3)*0.409090909090909</f>
        <v>374.730909090909</v>
      </c>
      <c r="AD66" s="137" t="n">
        <f aca="false">'Price History'!I3+('Price History'!I158-'Price History'!I3)*0.409090909090909</f>
        <v>106.263636363636</v>
      </c>
      <c r="AE66" s="137" t="n">
        <f aca="false">'Price History'!J3+('Price History'!J158-'Price History'!J3)*0.409090909090909</f>
        <v>132.141818181818</v>
      </c>
      <c r="AF66" s="137" t="n">
        <f aca="false">'Price History'!K3+('Price History'!K158-'Price History'!K3)*0.409090909090909</f>
        <v>59.4486363636364</v>
      </c>
      <c r="AG66" s="137" t="n">
        <f aca="false">'Price History'!L3+('Price History'!L158-'Price History'!L3)*0.409090909090909</f>
        <v>219.732727272727</v>
      </c>
      <c r="AH66" s="137" t="n">
        <f aca="false">'Price History'!M3+('Price History'!M158-'Price History'!M3)*0.409090909090909</f>
        <v>118.625454545455</v>
      </c>
      <c r="AI66" s="137" t="n">
        <f aca="false">'Price History'!N3+('Price History'!N158-'Price History'!N3)*0.409090909090909</f>
        <v>401.912727272727</v>
      </c>
      <c r="AJ66" s="137" t="n">
        <f aca="false">'Price History'!O3+('Price History'!O158-'Price History'!O3)*0.409090909090909</f>
        <v>100.207727272727</v>
      </c>
      <c r="AK66" s="137" t="n">
        <f aca="false">'Price History'!Q3+('Price History'!Q151-'Price History'!Q3)*0.409090909090909</f>
        <v>57.4531818181818</v>
      </c>
      <c r="AL66" s="137" t="n">
        <f aca="false">'Price History'!R3+('Price History'!R158-'Price History'!R3)*0.409090909090909</f>
        <v>52.0868181818182</v>
      </c>
      <c r="AM66" s="137" t="n">
        <f aca="false">'Price History'!S3+('Price History'!S158-'Price History'!S3)*0.409090909090909</f>
        <v>93.4313636363636</v>
      </c>
      <c r="AN66" s="137" t="n">
        <f aca="false">'Price History'!T3+('Price History'!T158-'Price History'!T3)*0.409090909090909</f>
        <v>36.2495454545455</v>
      </c>
    </row>
    <row r="67" customFormat="false" ht="15" hidden="false" customHeight="true" outlineLevel="0" collapsed="false">
      <c r="A67" s="135" t="n">
        <f aca="false">IF('Price History'!A68="","",'Price History'!A68)</f>
        <v>45604</v>
      </c>
      <c r="B67" s="136" t="n">
        <f aca="false">IFERROR(IF(OR(NOT(ISNUMBER('Price History'!B68)),NOT(ISNUMBER('Price History'!B67)),'Price History'!B67=0),"",'Price History'!B68/'Price History'!B67-1),"")</f>
        <v>0.0246064623032312</v>
      </c>
      <c r="C67" s="136" t="n">
        <f aca="false">IFERROR(IF(OR(NOT(ISNUMBER('Price History'!C68)),NOT(ISNUMBER('Price History'!C67)),'Price History'!C67=0),"",'Price History'!C68/'Price History'!C67-1),"")</f>
        <v>0.0159326161964684</v>
      </c>
      <c r="D67" s="136" t="n">
        <f aca="false">IFERROR(IF(OR(NOT(ISNUMBER('Price History'!D68)),NOT(ISNUMBER('Price History'!D67)),'Price History'!D67=0),"",'Price History'!D68/'Price History'!D67-1),"")</f>
        <v>-0.00779571087694331</v>
      </c>
      <c r="E67" s="136" t="n">
        <f aca="false">IFERROR(IF(OR(NOT(ISNUMBER('Price History'!E68)),NOT(ISNUMBER('Price History'!E67)),'Price History'!E67=0),"",'Price History'!E68/'Price History'!E67-1),"")</f>
        <v>0.0871418422922092</v>
      </c>
      <c r="F67" s="136" t="n">
        <f aca="false">IFERROR(IF(OR(NOT(ISNUMBER('Price History'!F68)),NOT(ISNUMBER('Price History'!F67)),'Price History'!F67=0),"",'Price History'!F68/'Price History'!F67-1),"")</f>
        <v>0.0888097123251519</v>
      </c>
      <c r="G67" s="136" t="n">
        <f aca="false">IFERROR(IF(OR(NOT(ISNUMBER('Price History'!G68)),NOT(ISNUMBER('Price History'!G67)),'Price History'!G67=0),"",'Price History'!G68/'Price History'!G67-1),"")</f>
        <v>0.0268897520167313</v>
      </c>
      <c r="H67" s="136" t="n">
        <f aca="false">IFERROR(IF(OR(NOT(ISNUMBER('Price History'!H68)),NOT(ISNUMBER('Price History'!H67)),'Price History'!H67=0),"",'Price History'!H68/'Price History'!H67-1),"")</f>
        <v>0.122029479594906</v>
      </c>
      <c r="I67" s="136" t="n">
        <f aca="false">IFERROR(IF(OR(NOT(ISNUMBER('Price History'!I68)),NOT(ISNUMBER('Price History'!I67)),'Price History'!I67=0),"",'Price History'!I68/'Price History'!I67-1),"")</f>
        <v>0.0903249630723781</v>
      </c>
      <c r="J67" s="136" t="n">
        <f aca="false">IFERROR(IF(OR(NOT(ISNUMBER('Price History'!J68)),NOT(ISNUMBER('Price History'!J67)),'Price History'!J67=0),"",'Price History'!J68/'Price History'!J67-1),"")</f>
        <v>0.0214285714285714</v>
      </c>
      <c r="K67" s="136" t="n">
        <f aca="false">IFERROR(IF(OR(NOT(ISNUMBER('Price History'!K68)),NOT(ISNUMBER('Price History'!K67)),'Price History'!K67=0),"",'Price History'!K68/'Price History'!K67-1),"")</f>
        <v>0.392891221374046</v>
      </c>
      <c r="L67" s="136" t="n">
        <f aca="false">IFERROR(IF(OR(NOT(ISNUMBER('Price History'!L68)),NOT(ISNUMBER('Price History'!L67)),'Price History'!L67=0),"",'Price History'!L68/'Price History'!L67-1),"")</f>
        <v>0.0427571909821198</v>
      </c>
      <c r="M67" s="136" t="n">
        <f aca="false">IFERROR(IF(OR(NOT(ISNUMBER('Price History'!M68)),NOT(ISNUMBER('Price History'!M67)),'Price History'!M67=0),"",'Price History'!M68/'Price History'!M67-1),"")</f>
        <v>0.176333021515435</v>
      </c>
      <c r="N67" s="136" t="n">
        <f aca="false">IFERROR(IF(OR(NOT(ISNUMBER('Price History'!N68)),NOT(ISNUMBER('Price History'!N67)),'Price History'!N67=0),"",'Price History'!N68/'Price History'!N67-1),"")</f>
        <v>0.0968330786211582</v>
      </c>
      <c r="O67" s="136" t="n">
        <f aca="false">IFERROR(IF(OR(NOT(ISNUMBER('Price History'!O68)),NOT(ISNUMBER('Price History'!O67)),'Price History'!O67=0),"",'Price History'!O68/'Price History'!O67-1),"")</f>
        <v>0.0886049213222093</v>
      </c>
      <c r="P67" s="136" t="str">
        <f aca="false">IFERROR(IF(OR(NOT(ISNUMBER('Price History'!P68)),NOT(ISNUMBER('Price History'!P67)),'Price History'!P67=0),"",'Price History'!P68/'Price History'!P67-1),"")</f>
        <v/>
      </c>
      <c r="Q67" s="136" t="n">
        <f aca="false">IFERROR(IF(OR(NOT(ISNUMBER('Price History'!Q68)),NOT(ISNUMBER('Price History'!Q67)),'Price History'!Q67=0),"",'Price History'!Q68/'Price History'!Q67-1),"")</f>
        <v>0.00416733450873541</v>
      </c>
      <c r="R67" s="136" t="n">
        <f aca="false">IFERROR(IF(OR(NOT(ISNUMBER('Price History'!R68)),NOT(ISNUMBER('Price History'!R67)),'Price History'!R67=0),"",'Price History'!R68/'Price History'!R67-1),"")</f>
        <v>0.038574577516532</v>
      </c>
      <c r="S67" s="136" t="n">
        <f aca="false">IFERROR(IF(OR(NOT(ISNUMBER('Price History'!S68)),NOT(ISNUMBER('Price History'!S67)),'Price History'!S67=0),"",'Price History'!S68/'Price History'!S67-1),"")</f>
        <v>0.0598337344126012</v>
      </c>
      <c r="T67" s="136" t="n">
        <f aca="false">IFERROR(IF(OR(NOT(ISNUMBER('Price History'!T68)),NOT(ISNUMBER('Price History'!T67)),'Price History'!T67=0),"",'Price History'!T68/'Price History'!T67-1),"")</f>
        <v>0.0775030156815439</v>
      </c>
      <c r="U67" s="136" t="str">
        <f aca="false">IFERROR(IF(OR(NOT(ISNUMBER('Price History'!U68)),NOT(ISNUMBER('Price History'!U67)),'Price History'!U67=0),"",'Price History'!U68/'Price History'!U67-1),"")</f>
        <v/>
      </c>
      <c r="W67" s="137" t="n">
        <f aca="false">'Price History'!B3+('Price History'!B158-'Price History'!B3)*0.415584415584416</f>
        <v>401.212597402597</v>
      </c>
      <c r="X67" s="137" t="n">
        <f aca="false">'Price History'!C3+('Price History'!C158-'Price History'!C3)*0.415584415584416</f>
        <v>100.512987012987</v>
      </c>
      <c r="Y67" s="137" t="n">
        <f aca="false">'Price History'!D3+('Price History'!D158-'Price History'!D3)*0.415584415584416</f>
        <v>1063.74155844156</v>
      </c>
      <c r="Z67" s="137" t="n">
        <f aca="false">'Price History'!E3+('Price History'!E158-'Price History'!E3)*0.415584415584416</f>
        <v>210.273506493507</v>
      </c>
      <c r="AA67" s="137" t="n">
        <f aca="false">'Price History'!F3+('Price History'!F158-'Price History'!F3)*0.415584415584416</f>
        <v>100.976883116883</v>
      </c>
      <c r="AB67" s="137" t="n">
        <f aca="false">'Price History'!G3+('Price History'!G158-'Price History'!G3)*0.415584415584416</f>
        <v>103.970649350649</v>
      </c>
      <c r="AC67" s="137" t="n">
        <f aca="false">'Price History'!H3+('Price History'!H158-'Price History'!H3)*0.415584415584416</f>
        <v>379.657272727273</v>
      </c>
      <c r="AD67" s="137" t="n">
        <f aca="false">'Price History'!I3+('Price History'!I158-'Price History'!I3)*0.415584415584416</f>
        <v>107.301948051948</v>
      </c>
      <c r="AE67" s="137" t="n">
        <f aca="false">'Price History'!J3+('Price History'!J158-'Price History'!J3)*0.415584415584416</f>
        <v>132.278831168831</v>
      </c>
      <c r="AF67" s="137" t="n">
        <f aca="false">'Price History'!K3+('Price History'!K158-'Price History'!K3)*0.415584415584416</f>
        <v>60.1476623376624</v>
      </c>
      <c r="AG67" s="137" t="n">
        <f aca="false">'Price History'!L3+('Price History'!L158-'Price History'!L3)*0.415584415584416</f>
        <v>221.76038961039</v>
      </c>
      <c r="AH67" s="137" t="n">
        <f aca="false">'Price History'!M3+('Price History'!M158-'Price History'!M3)*0.415584415584416</f>
        <v>119.976493506494</v>
      </c>
      <c r="AI67" s="137" t="n">
        <f aca="false">'Price History'!N3+('Price History'!N158-'Price History'!N3)*0.415584415584416</f>
        <v>402.738961038961</v>
      </c>
      <c r="AJ67" s="137" t="n">
        <f aca="false">'Price History'!O3+('Price History'!O158-'Price History'!O3)*0.415584415584416</f>
        <v>100.483246753247</v>
      </c>
      <c r="AK67" s="137" t="n">
        <f aca="false">'Price History'!Q3+('Price History'!Q151-'Price History'!Q3)*0.415584415584416</f>
        <v>57.574025974026</v>
      </c>
      <c r="AL67" s="137" t="n">
        <f aca="false">'Price History'!R3+('Price History'!R158-'Price History'!R3)*0.415584415584416</f>
        <v>52.1545454545455</v>
      </c>
      <c r="AM67" s="137" t="n">
        <f aca="false">'Price History'!S3+('Price History'!S158-'Price History'!S3)*0.415584415584416</f>
        <v>93.9851948051949</v>
      </c>
      <c r="AN67" s="137" t="n">
        <f aca="false">'Price History'!T3+('Price History'!T158-'Price History'!T3)*0.415584415584416</f>
        <v>36.3977922077922</v>
      </c>
    </row>
    <row r="68" customFormat="false" ht="15" hidden="false" customHeight="true" outlineLevel="0" collapsed="false">
      <c r="A68" s="135" t="n">
        <f aca="false">IF('Price History'!A69="","",'Price History'!A69)</f>
        <v>45611</v>
      </c>
      <c r="B68" s="136" t="n">
        <f aca="false">IFERROR(IF(OR(NOT(ISNUMBER('Price History'!B69)),NOT(ISNUMBER('Price History'!B68)),'Price History'!B68=0),"",'Price History'!B69/'Price History'!B68-1),"")</f>
        <v>0.0175669119430744</v>
      </c>
      <c r="C68" s="136" t="n">
        <f aca="false">IFERROR(IF(OR(NOT(ISNUMBER('Price History'!C69)),NOT(ISNUMBER('Price History'!C68)),'Price History'!C68=0),"",'Price History'!C69/'Price History'!C68-1),"")</f>
        <v>-0.0650284686844471</v>
      </c>
      <c r="D68" s="136" t="n">
        <f aca="false">IFERROR(IF(OR(NOT(ISNUMBER('Price History'!D69)),NOT(ISNUMBER('Price History'!D68)),'Price History'!D68=0),"",'Price History'!D69/'Price History'!D68-1),"")</f>
        <v>-0.0161919130058106</v>
      </c>
      <c r="E68" s="136" t="n">
        <f aca="false">IFERROR(IF(OR(NOT(ISNUMBER('Price History'!E69)),NOT(ISNUMBER('Price History'!E68)),'Price History'!E68=0),"",'Price History'!E69/'Price History'!E68-1),"")</f>
        <v>-0.102374210411675</v>
      </c>
      <c r="F68" s="136" t="n">
        <f aca="false">IFERROR(IF(OR(NOT(ISNUMBER('Price History'!F69)),NOT(ISNUMBER('Price History'!F68)),'Price History'!F68=0),"",'Price History'!F69/'Price History'!F68-1),"")</f>
        <v>0.020361168343231</v>
      </c>
      <c r="G68" s="136" t="n">
        <f aca="false">IFERROR(IF(OR(NOT(ISNUMBER('Price History'!G69)),NOT(ISNUMBER('Price History'!G68)),'Price History'!G68=0),"",'Price History'!G69/'Price History'!G68-1),"")</f>
        <v>-0.106051789351178</v>
      </c>
      <c r="H68" s="136" t="n">
        <f aca="false">IFERROR(IF(OR(NOT(ISNUMBER('Price History'!H69)),NOT(ISNUMBER('Price History'!H68)),'Price History'!H68=0),"",'Price History'!H69/'Price History'!H68-1),"")</f>
        <v>-0.1390527256479</v>
      </c>
      <c r="I68" s="136" t="n">
        <f aca="false">IFERROR(IF(OR(NOT(ISNUMBER('Price History'!I69)),NOT(ISNUMBER('Price History'!I68)),'Price History'!I68=0),"",'Price History'!I69/'Price History'!I68-1),"")</f>
        <v>-0.0382713540608278</v>
      </c>
      <c r="J68" s="136" t="n">
        <f aca="false">IFERROR(IF(OR(NOT(ISNUMBER('Price History'!J69)),NOT(ISNUMBER('Price History'!J68)),'Price History'!J68=0),"",'Price History'!J69/'Price History'!J68-1),"")</f>
        <v>-0.0208063541396875</v>
      </c>
      <c r="K68" s="136" t="n">
        <f aca="false">IFERROR(IF(OR(NOT(ISNUMBER('Price History'!K69)),NOT(ISNUMBER('Price History'!K68)),'Price History'!K68=0),"",'Price History'!K69/'Price History'!K68-1),"")</f>
        <v>0.126391505394759</v>
      </c>
      <c r="L68" s="136" t="n">
        <f aca="false">IFERROR(IF(OR(NOT(ISNUMBER('Price History'!L69)),NOT(ISNUMBER('Price History'!L68)),'Price History'!L68=0),"",'Price History'!L69/'Price History'!L68-1),"")</f>
        <v>-0.0754970178926442</v>
      </c>
      <c r="M68" s="136" t="n">
        <f aca="false">IFERROR(IF(OR(NOT(ISNUMBER('Price History'!M69)),NOT(ISNUMBER('Price History'!M68)),'Price History'!M68=0),"",'Price History'!M69/'Price History'!M68-1),"")</f>
        <v>-0.038807157057654</v>
      </c>
      <c r="N68" s="136" t="n">
        <f aca="false">IFERROR(IF(OR(NOT(ISNUMBER('Price History'!N69)),NOT(ISNUMBER('Price History'!N68)),'Price History'!N68=0),"",'Price History'!N69/'Price History'!N68-1),"")</f>
        <v>-0.0987730773696637</v>
      </c>
      <c r="O68" s="136" t="n">
        <f aca="false">IFERROR(IF(OR(NOT(ISNUMBER('Price History'!O69)),NOT(ISNUMBER('Price History'!O68)),'Price History'!O68=0),"",'Price History'!O69/'Price History'!O68-1),"")</f>
        <v>-0.0194024058983314</v>
      </c>
      <c r="P68" s="136" t="str">
        <f aca="false">IFERROR(IF(OR(NOT(ISNUMBER('Price History'!P69)),NOT(ISNUMBER('Price History'!P68)),'Price History'!P68=0),"",'Price History'!P69/'Price History'!P68-1),"")</f>
        <v/>
      </c>
      <c r="Q68" s="136" t="n">
        <f aca="false">IFERROR(IF(OR(NOT(ISNUMBER('Price History'!Q69)),NOT(ISNUMBER('Price History'!Q68)),'Price History'!Q68=0),"",'Price History'!Q69/'Price History'!Q68-1),"")</f>
        <v>-0.00399042298483643</v>
      </c>
      <c r="R68" s="136" t="n">
        <f aca="false">IFERROR(IF(OR(NOT(ISNUMBER('Price History'!R69)),NOT(ISNUMBER('Price History'!R68)),'Price History'!R68=0),"",'Price History'!R69/'Price History'!R68-1),"")</f>
        <v>-0.0164485320127343</v>
      </c>
      <c r="S68" s="136" t="n">
        <f aca="false">IFERROR(IF(OR(NOT(ISNUMBER('Price History'!S69)),NOT(ISNUMBER('Price History'!S68)),'Price History'!S68=0),"",'Price History'!S69/'Price History'!S68-1),"")</f>
        <v>-0.030859737847043</v>
      </c>
      <c r="T68" s="136" t="n">
        <f aca="false">IFERROR(IF(OR(NOT(ISNUMBER('Price History'!T69)),NOT(ISNUMBER('Price History'!T68)),'Price History'!T68=0),"",'Price History'!T69/'Price History'!T68-1),"")</f>
        <v>-0.0153932269801287</v>
      </c>
      <c r="U68" s="136" t="str">
        <f aca="false">IFERROR(IF(OR(NOT(ISNUMBER('Price History'!U69)),NOT(ISNUMBER('Price History'!U68)),'Price History'!U68=0),"",'Price History'!U69/'Price History'!U68-1),"")</f>
        <v/>
      </c>
      <c r="W68" s="137" t="n">
        <f aca="false">'Price History'!B3+('Price History'!B158-'Price History'!B3)*0.422077922077922</f>
        <v>399.537012987013</v>
      </c>
      <c r="X68" s="137" t="n">
        <f aca="false">'Price History'!C3+('Price History'!C158-'Price History'!C3)*0.422077922077922</f>
        <v>101.400064935065</v>
      </c>
      <c r="Y68" s="137" t="n">
        <f aca="false">'Price History'!D3+('Price History'!D158-'Price History'!D3)*0.422077922077922</f>
        <v>1070.02220779221</v>
      </c>
      <c r="Z68" s="137" t="n">
        <f aca="false">'Price History'!E3+('Price History'!E158-'Price History'!E3)*0.422077922077922</f>
        <v>212.262467532468</v>
      </c>
      <c r="AA68" s="137" t="n">
        <f aca="false">'Price History'!F3+('Price History'!F158-'Price History'!F3)*0.422077922077922</f>
        <v>101.975584415584</v>
      </c>
      <c r="AB68" s="137" t="n">
        <f aca="false">'Price History'!G3+('Price History'!G158-'Price History'!G3)*0.422077922077922</f>
        <v>104.846753246753</v>
      </c>
      <c r="AC68" s="137" t="n">
        <f aca="false">'Price History'!H3+('Price History'!H158-'Price History'!H3)*0.422077922077922</f>
        <v>384.583636363636</v>
      </c>
      <c r="AD68" s="137" t="n">
        <f aca="false">'Price History'!I3+('Price History'!I158-'Price History'!I3)*0.422077922077922</f>
        <v>108.34025974026</v>
      </c>
      <c r="AE68" s="137" t="n">
        <f aca="false">'Price History'!J3+('Price History'!J158-'Price History'!J3)*0.422077922077922</f>
        <v>132.415844155844</v>
      </c>
      <c r="AF68" s="137" t="n">
        <f aca="false">'Price History'!K3+('Price History'!K158-'Price History'!K3)*0.422077922077922</f>
        <v>60.8466883116883</v>
      </c>
      <c r="AG68" s="137" t="n">
        <f aca="false">'Price History'!L3+('Price History'!L158-'Price History'!L3)*0.422077922077922</f>
        <v>223.788051948052</v>
      </c>
      <c r="AH68" s="137" t="n">
        <f aca="false">'Price History'!M3+('Price History'!M158-'Price History'!M3)*0.422077922077922</f>
        <v>121.327532467532</v>
      </c>
      <c r="AI68" s="137" t="n">
        <f aca="false">'Price History'!N3+('Price History'!N158-'Price History'!N3)*0.422077922077922</f>
        <v>403.565194805195</v>
      </c>
      <c r="AJ68" s="137" t="n">
        <f aca="false">'Price History'!O3+('Price History'!O158-'Price History'!O3)*0.422077922077922</f>
        <v>100.758766233766</v>
      </c>
      <c r="AK68" s="137" t="n">
        <f aca="false">'Price History'!Q3+('Price History'!Q151-'Price History'!Q3)*0.422077922077922</f>
        <v>57.6948701298701</v>
      </c>
      <c r="AL68" s="137" t="n">
        <f aca="false">'Price History'!R3+('Price History'!R158-'Price History'!R3)*0.422077922077922</f>
        <v>52.2222727272727</v>
      </c>
      <c r="AM68" s="137" t="n">
        <f aca="false">'Price History'!S3+('Price History'!S158-'Price History'!S3)*0.422077922077922</f>
        <v>94.539025974026</v>
      </c>
      <c r="AN68" s="137" t="n">
        <f aca="false">'Price History'!T3+('Price History'!T158-'Price History'!T3)*0.422077922077922</f>
        <v>36.546038961039</v>
      </c>
    </row>
    <row r="69" customFormat="false" ht="15" hidden="false" customHeight="true" outlineLevel="0" collapsed="false">
      <c r="A69" s="135" t="n">
        <f aca="false">IF('Price History'!A70="","",'Price History'!A70)</f>
        <v>45618</v>
      </c>
      <c r="B69" s="136" t="n">
        <f aca="false">IFERROR(IF(OR(NOT(ISNUMBER('Price History'!B70)),NOT(ISNUMBER('Price History'!B69)),'Price History'!B69=0),"",'Price History'!B70/'Price History'!B69-1),"")</f>
        <v>0.0174424379680951</v>
      </c>
      <c r="C69" s="136" t="n">
        <f aca="false">IFERROR(IF(OR(NOT(ISNUMBER('Price History'!C70)),NOT(ISNUMBER('Price History'!C69)),'Price History'!C69=0),"",'Price History'!C70/'Price History'!C69-1),"")</f>
        <v>0.0856837606837608</v>
      </c>
      <c r="D69" s="136" t="n">
        <f aca="false">IFERROR(IF(OR(NOT(ISNUMBER('Price History'!D70)),NOT(ISNUMBER('Price History'!D69)),'Price History'!D69=0),"",'Price History'!D70/'Price History'!D69-1),"")</f>
        <v>0.0216358198077828</v>
      </c>
      <c r="E69" s="136" t="n">
        <f aca="false">IFERROR(IF(OR(NOT(ISNUMBER('Price History'!E70)),NOT(ISNUMBER('Price History'!E69)),'Price History'!E69=0),"",'Price History'!E70/'Price History'!E69-1),"")</f>
        <v>-0.00370055811696202</v>
      </c>
      <c r="F69" s="136" t="n">
        <f aca="false">IFERROR(IF(OR(NOT(ISNUMBER('Price History'!F70)),NOT(ISNUMBER('Price History'!F69)),'Price History'!F69=0),"",'Price History'!F70/'Price History'!F69-1),"")</f>
        <v>0.10547570970424</v>
      </c>
      <c r="G69" s="136" t="n">
        <f aca="false">IFERROR(IF(OR(NOT(ISNUMBER('Price History'!G70)),NOT(ISNUMBER('Price History'!G69)),'Price History'!G69=0),"",'Price History'!G70/'Price History'!G69-1),"")</f>
        <v>0.040846216436127</v>
      </c>
      <c r="H69" s="136" t="n">
        <f aca="false">IFERROR(IF(OR(NOT(ISNUMBER('Price History'!H70)),NOT(ISNUMBER('Price History'!H69)),'Price History'!H69=0),"",'Price History'!H70/'Price History'!H69-1),"")</f>
        <v>0.0653933983807349</v>
      </c>
      <c r="I69" s="136" t="n">
        <f aca="false">IFERROR(IF(OR(NOT(ISNUMBER('Price History'!I70)),NOT(ISNUMBER('Price History'!I69)),'Price History'!I69=0),"",'Price History'!I70/'Price History'!I69-1),"")</f>
        <v>-0.000211297365826146</v>
      </c>
      <c r="J69" s="136" t="n">
        <f aca="false">IFERROR(IF(OR(NOT(ISNUMBER('Price History'!J70)),NOT(ISNUMBER('Price History'!J69)),'Price History'!J69=0),"",'Price History'!J70/'Price History'!J69-1),"")</f>
        <v>0.0209839534473637</v>
      </c>
      <c r="K69" s="136" t="n">
        <f aca="false">IFERROR(IF(OR(NOT(ISNUMBER('Price History'!K70)),NOT(ISNUMBER('Price History'!K69)),'Price History'!K69=0),"",'Price History'!K70/'Price History'!K69-1),"")</f>
        <v>-0.0215903907556637</v>
      </c>
      <c r="L69" s="136" t="n">
        <f aca="false">IFERROR(IF(OR(NOT(ISNUMBER('Price History'!L70)),NOT(ISNUMBER('Price History'!L69)),'Price History'!L69=0),"",'Price History'!L70/'Price History'!L69-1),"")</f>
        <v>0.0218805440567713</v>
      </c>
      <c r="M69" s="136" t="n">
        <f aca="false">IFERROR(IF(OR(NOT(ISNUMBER('Price History'!M70)),NOT(ISNUMBER('Price History'!M69)),'Price History'!M69=0),"",'Price History'!M70/'Price History'!M69-1),"")</f>
        <v>0.159510217589145</v>
      </c>
      <c r="N69" s="136" t="n">
        <f aca="false">IFERROR(IF(OR(NOT(ISNUMBER('Price History'!N70)),NOT(ISNUMBER('Price History'!N69)),'Price History'!N69=0),"",'Price History'!N70/'Price History'!N69-1),"")</f>
        <v>-0.0316298045952329</v>
      </c>
      <c r="O69" s="136" t="n">
        <f aca="false">IFERROR(IF(OR(NOT(ISNUMBER('Price History'!O70)),NOT(ISNUMBER('Price History'!O69)),'Price History'!O69=0),"",'Price History'!O70/'Price History'!O69-1),"")</f>
        <v>0.0366046695686586</v>
      </c>
      <c r="P69" s="136" t="str">
        <f aca="false">IFERROR(IF(OR(NOT(ISNUMBER('Price History'!P70)),NOT(ISNUMBER('Price History'!P69)),'Price History'!P69=0),"",'Price History'!P70/'Price History'!P69-1),"")</f>
        <v/>
      </c>
      <c r="Q69" s="136" t="n">
        <f aca="false">IFERROR(IF(OR(NOT(ISNUMBER('Price History'!Q70)),NOT(ISNUMBER('Price History'!Q69)),'Price History'!Q69=0),"",'Price History'!Q70/'Price History'!Q69-1),"")</f>
        <v>-0.0121794871794871</v>
      </c>
      <c r="R69" s="136" t="n">
        <f aca="false">IFERROR(IF(OR(NOT(ISNUMBER('Price History'!R70)),NOT(ISNUMBER('Price History'!R69)),'Price History'!R69=0),"",'Price History'!R70/'Price History'!R69-1),"")</f>
        <v>0.0172630821794642</v>
      </c>
      <c r="S69" s="136" t="n">
        <f aca="false">IFERROR(IF(OR(NOT(ISNUMBER('Price History'!S70)),NOT(ISNUMBER('Price History'!S69)),'Price History'!S69=0),"",'Price History'!S70/'Price History'!S69-1),"")</f>
        <v>0.0178913738019169</v>
      </c>
      <c r="T69" s="136" t="n">
        <f aca="false">IFERROR(IF(OR(NOT(ISNUMBER('Price History'!T70)),NOT(ISNUMBER('Price History'!T69)),'Price History'!T69=0),"",'Price History'!T70/'Price History'!T69-1),"")</f>
        <v>0.0386583285957931</v>
      </c>
      <c r="U69" s="136" t="str">
        <f aca="false">IFERROR(IF(OR(NOT(ISNUMBER('Price History'!U70)),NOT(ISNUMBER('Price History'!U69)),'Price History'!U69=0),"",'Price History'!U70/'Price History'!U69-1),"")</f>
        <v/>
      </c>
      <c r="W69" s="137" t="n">
        <f aca="false">'Price History'!B3+('Price History'!B158-'Price History'!B3)*0.428571428571429</f>
        <v>397.861428571428</v>
      </c>
      <c r="X69" s="137" t="n">
        <f aca="false">'Price History'!C3+('Price History'!C158-'Price History'!C3)*0.428571428571429</f>
        <v>102.287142857143</v>
      </c>
      <c r="Y69" s="137" t="n">
        <f aca="false">'Price History'!D3+('Price History'!D158-'Price History'!D3)*0.428571428571429</f>
        <v>1076.30285714286</v>
      </c>
      <c r="Z69" s="137" t="n">
        <f aca="false">'Price History'!E3+('Price History'!E158-'Price History'!E3)*0.428571428571429</f>
        <v>214.251428571429</v>
      </c>
      <c r="AA69" s="137" t="n">
        <f aca="false">'Price History'!F3+('Price History'!F158-'Price History'!F3)*0.428571428571429</f>
        <v>102.974285714286</v>
      </c>
      <c r="AB69" s="137" t="n">
        <f aca="false">'Price History'!G3+('Price History'!G158-'Price History'!G3)*0.428571428571429</f>
        <v>105.722857142857</v>
      </c>
      <c r="AC69" s="137" t="n">
        <f aca="false">'Price History'!H3+('Price History'!H158-'Price History'!H3)*0.428571428571429</f>
        <v>389.51</v>
      </c>
      <c r="AD69" s="137" t="n">
        <f aca="false">'Price History'!I3+('Price History'!I158-'Price History'!I3)*0.428571428571429</f>
        <v>109.378571428571</v>
      </c>
      <c r="AE69" s="137" t="n">
        <f aca="false">'Price History'!J3+('Price History'!J158-'Price History'!J3)*0.428571428571429</f>
        <v>132.552857142857</v>
      </c>
      <c r="AF69" s="137" t="n">
        <f aca="false">'Price History'!K3+('Price History'!K158-'Price History'!K3)*0.428571428571429</f>
        <v>61.5457142857143</v>
      </c>
      <c r="AG69" s="137" t="n">
        <f aca="false">'Price History'!L3+('Price History'!L158-'Price History'!L3)*0.428571428571429</f>
        <v>225.815714285714</v>
      </c>
      <c r="AH69" s="137" t="n">
        <f aca="false">'Price History'!M3+('Price History'!M158-'Price History'!M3)*0.428571428571429</f>
        <v>122.678571428572</v>
      </c>
      <c r="AI69" s="137" t="n">
        <f aca="false">'Price History'!N3+('Price History'!N158-'Price History'!N3)*0.428571428571429</f>
        <v>404.391428571429</v>
      </c>
      <c r="AJ69" s="137" t="n">
        <f aca="false">'Price History'!O3+('Price History'!O158-'Price History'!O3)*0.428571428571429</f>
        <v>101.034285714286</v>
      </c>
      <c r="AK69" s="137" t="n">
        <f aca="false">'Price History'!Q3+('Price History'!Q151-'Price History'!Q3)*0.428571428571429</f>
        <v>57.8157142857143</v>
      </c>
      <c r="AL69" s="137" t="n">
        <f aca="false">'Price History'!R3+('Price History'!R158-'Price History'!R3)*0.428571428571429</f>
        <v>52.29</v>
      </c>
      <c r="AM69" s="137" t="n">
        <f aca="false">'Price History'!S3+('Price History'!S158-'Price History'!S3)*0.428571428571429</f>
        <v>95.0928571428572</v>
      </c>
      <c r="AN69" s="137" t="n">
        <f aca="false">'Price History'!T3+('Price History'!T158-'Price History'!T3)*0.428571428571429</f>
        <v>36.6942857142857</v>
      </c>
    </row>
    <row r="70" customFormat="false" ht="15" hidden="false" customHeight="true" outlineLevel="0" collapsed="false">
      <c r="A70" s="135" t="n">
        <f aca="false">IF('Price History'!A71="","",'Price History'!A71)</f>
        <v>45625</v>
      </c>
      <c r="B70" s="136" t="n">
        <f aca="false">IFERROR(IF(OR(NOT(ISNUMBER('Price History'!B71)),NOT(ISNUMBER('Price History'!B70)),'Price History'!B70=0),"",'Price History'!B71/'Price History'!B70-1),"")</f>
        <v>0.00738065020013656</v>
      </c>
      <c r="C70" s="136" t="n">
        <f aca="false">IFERROR(IF(OR(NOT(ISNUMBER('Price History'!C71)),NOT(ISNUMBER('Price History'!C70)),'Price History'!C70=0),"",'Price History'!C71/'Price History'!C70-1),"")</f>
        <v>-0.00157449320999814</v>
      </c>
      <c r="D70" s="136" t="n">
        <f aca="false">IFERROR(IF(OR(NOT(ISNUMBER('Price History'!D71)),NOT(ISNUMBER('Price History'!D70)),'Price History'!D70=0),"",'Price History'!D71/'Price History'!D70-1),"")</f>
        <v>0.0204048270122459</v>
      </c>
      <c r="E70" s="136" t="n">
        <f aca="false">IFERROR(IF(OR(NOT(ISNUMBER('Price History'!E71)),NOT(ISNUMBER('Price History'!E70)),'Price History'!E70=0),"",'Price History'!E71/'Price History'!E70-1),"")</f>
        <v>-0.0130913962126284</v>
      </c>
      <c r="F70" s="136" t="n">
        <f aca="false">IFERROR(IF(OR(NOT(ISNUMBER('Price History'!F71)),NOT(ISNUMBER('Price History'!F70)),'Price History'!F70=0),"",'Price History'!F71/'Price History'!F70-1),"")</f>
        <v>-0.070699473514559</v>
      </c>
      <c r="G70" s="136" t="n">
        <f aca="false">IFERROR(IF(OR(NOT(ISNUMBER('Price History'!G71)),NOT(ISNUMBER('Price History'!G70)),'Price History'!G70=0),"",'Price History'!G71/'Price History'!G70-1),"")</f>
        <v>0.0115697310819263</v>
      </c>
      <c r="H70" s="136" t="n">
        <f aca="false">IFERROR(IF(OR(NOT(ISNUMBER('Price History'!H71)),NOT(ISNUMBER('Price History'!H70)),'Price History'!H70=0),"",'Price History'!H71/'Price History'!H70-1),"")</f>
        <v>-0.0456936866718628</v>
      </c>
      <c r="I70" s="136" t="n">
        <f aca="false">IFERROR(IF(OR(NOT(ISNUMBER('Price History'!I71)),NOT(ISNUMBER('Price History'!I70)),'Price History'!I70=0),"",'Price History'!I71/'Price History'!I70-1),"")</f>
        <v>-0.0260655160267699</v>
      </c>
      <c r="J70" s="136" t="n">
        <f aca="false">IFERROR(IF(OR(NOT(ISNUMBER('Price History'!J71)),NOT(ISNUMBER('Price History'!J70)),'Price History'!J70=0),"",'Price History'!J71/'Price History'!J70-1),"")</f>
        <v>0.00846286701208987</v>
      </c>
      <c r="K70" s="136" t="n">
        <f aca="false">IFERROR(IF(OR(NOT(ISNUMBER('Price History'!K71)),NOT(ISNUMBER('Price History'!K70)),'Price History'!K70=0),"",'Price History'!K71/'Price History'!K70-1),"")</f>
        <v>0.0424242424242425</v>
      </c>
      <c r="L70" s="136" t="n">
        <f aca="false">IFERROR(IF(OR(NOT(ISNUMBER('Price History'!L71)),NOT(ISNUMBER('Price History'!L70)),'Price History'!L70=0),"",'Price History'!L71/'Price History'!L70-1),"")</f>
        <v>-0.0285143097643098</v>
      </c>
      <c r="M70" s="136" t="n">
        <f aca="false">IFERROR(IF(OR(NOT(ISNUMBER('Price History'!M71)),NOT(ISNUMBER('Price History'!M70)),'Price History'!M70=0),"",'Price History'!M71/'Price History'!M70-1),"")</f>
        <v>-0.0895469140206922</v>
      </c>
      <c r="N70" s="136" t="n">
        <f aca="false">IFERROR(IF(OR(NOT(ISNUMBER('Price History'!N71)),NOT(ISNUMBER('Price History'!N70)),'Price History'!N70=0),"",'Price History'!N71/'Price History'!N70-1),"")</f>
        <v>0.0380513116171806</v>
      </c>
      <c r="O70" s="136" t="n">
        <f aca="false">IFERROR(IF(OR(NOT(ISNUMBER('Price History'!O71)),NOT(ISNUMBER('Price History'!O70)),'Price History'!O70=0),"",'Price History'!O71/'Price History'!O70-1),"")</f>
        <v>0.00677610230960091</v>
      </c>
      <c r="P70" s="136" t="str">
        <f aca="false">IFERROR(IF(OR(NOT(ISNUMBER('Price History'!P71)),NOT(ISNUMBER('Price History'!P70)),'Price History'!P70=0),"",'Price History'!P71/'Price History'!P70-1),"")</f>
        <v/>
      </c>
      <c r="Q70" s="136" t="n">
        <f aca="false">IFERROR(IF(OR(NOT(ISNUMBER('Price History'!Q71)),NOT(ISNUMBER('Price History'!Q70)),'Price History'!Q70=0),"",'Price History'!Q71/'Price History'!Q70-1),"")</f>
        <v>0.0171966255678131</v>
      </c>
      <c r="R70" s="136" t="n">
        <f aca="false">IFERROR(IF(OR(NOT(ISNUMBER('Price History'!R71)),NOT(ISNUMBER('Price History'!R70)),'Price History'!R70=0),"",'Price History'!R71/'Price History'!R70-1),"")</f>
        <v>0.00919215131695261</v>
      </c>
      <c r="S70" s="136" t="n">
        <f aca="false">IFERROR(IF(OR(NOT(ISNUMBER('Price History'!S71)),NOT(ISNUMBER('Price History'!S70)),'Price History'!S70=0),"",'Price History'!S71/'Price History'!S70-1),"")</f>
        <v>0.0130780498012137</v>
      </c>
      <c r="T70" s="136" t="n">
        <f aca="false">IFERROR(IF(OR(NOT(ISNUMBER('Price History'!T71)),NOT(ISNUMBER('Price History'!T70)),'Price History'!T70=0),"",'Price History'!T71/'Price History'!T70-1),"")</f>
        <v>0.00191570881226055</v>
      </c>
      <c r="U70" s="136" t="str">
        <f aca="false">IFERROR(IF(OR(NOT(ISNUMBER('Price History'!U71)),NOT(ISNUMBER('Price History'!U70)),'Price History'!U70=0),"",'Price History'!U71/'Price History'!U70-1),"")</f>
        <v/>
      </c>
      <c r="W70" s="137" t="n">
        <f aca="false">'Price History'!B3+('Price History'!B158-'Price History'!B3)*0.435064935064935</f>
        <v>396.185844155844</v>
      </c>
      <c r="X70" s="137" t="n">
        <f aca="false">'Price History'!C3+('Price History'!C158-'Price History'!C3)*0.435064935064935</f>
        <v>103.174220779221</v>
      </c>
      <c r="Y70" s="137" t="n">
        <f aca="false">'Price History'!D3+('Price History'!D158-'Price History'!D3)*0.435064935064935</f>
        <v>1082.58350649351</v>
      </c>
      <c r="Z70" s="137" t="n">
        <f aca="false">'Price History'!E3+('Price History'!E158-'Price History'!E3)*0.435064935064935</f>
        <v>216.24038961039</v>
      </c>
      <c r="AA70" s="137" t="n">
        <f aca="false">'Price History'!F3+('Price History'!F158-'Price History'!F3)*0.435064935064935</f>
        <v>103.972987012987</v>
      </c>
      <c r="AB70" s="137" t="n">
        <f aca="false">'Price History'!G3+('Price History'!G158-'Price History'!G3)*0.435064935064935</f>
        <v>106.598961038961</v>
      </c>
      <c r="AC70" s="137" t="n">
        <f aca="false">'Price History'!H3+('Price History'!H158-'Price History'!H3)*0.435064935064935</f>
        <v>394.436363636364</v>
      </c>
      <c r="AD70" s="137" t="n">
        <f aca="false">'Price History'!I3+('Price History'!I158-'Price History'!I3)*0.435064935064935</f>
        <v>110.416883116883</v>
      </c>
      <c r="AE70" s="137" t="n">
        <f aca="false">'Price History'!J3+('Price History'!J158-'Price History'!J3)*0.435064935064935</f>
        <v>132.68987012987</v>
      </c>
      <c r="AF70" s="137" t="n">
        <f aca="false">'Price History'!K3+('Price History'!K158-'Price History'!K3)*0.435064935064935</f>
        <v>62.2447402597403</v>
      </c>
      <c r="AG70" s="137" t="n">
        <f aca="false">'Price History'!L3+('Price History'!L158-'Price History'!L3)*0.435064935064935</f>
        <v>227.843376623377</v>
      </c>
      <c r="AH70" s="137" t="n">
        <f aca="false">'Price History'!M3+('Price History'!M158-'Price History'!M3)*0.435064935064935</f>
        <v>124.02961038961</v>
      </c>
      <c r="AI70" s="137" t="n">
        <f aca="false">'Price History'!N3+('Price History'!N158-'Price History'!N3)*0.435064935064935</f>
        <v>405.217662337662</v>
      </c>
      <c r="AJ70" s="137" t="n">
        <f aca="false">'Price History'!O3+('Price History'!O158-'Price History'!O3)*0.435064935064935</f>
        <v>101.309805194805</v>
      </c>
      <c r="AK70" s="137" t="n">
        <f aca="false">'Price History'!Q3+('Price History'!Q151-'Price History'!Q3)*0.435064935064935</f>
        <v>57.9365584415585</v>
      </c>
      <c r="AL70" s="137" t="n">
        <f aca="false">'Price History'!R3+('Price History'!R158-'Price History'!R3)*0.435064935064935</f>
        <v>52.3577272727273</v>
      </c>
      <c r="AM70" s="137" t="n">
        <f aca="false">'Price History'!S3+('Price History'!S158-'Price History'!S3)*0.435064935064935</f>
        <v>95.6466883116883</v>
      </c>
      <c r="AN70" s="137" t="n">
        <f aca="false">'Price History'!T3+('Price History'!T158-'Price History'!T3)*0.435064935064935</f>
        <v>36.8425324675325</v>
      </c>
    </row>
    <row r="71" customFormat="false" ht="15" hidden="false" customHeight="true" outlineLevel="0" collapsed="false">
      <c r="A71" s="135" t="n">
        <f aca="false">IF('Price History'!A72="","",'Price History'!A72)</f>
        <v>45632</v>
      </c>
      <c r="B71" s="136" t="n">
        <f aca="false">IFERROR(IF(OR(NOT(ISNUMBER('Price History'!B72)),NOT(ISNUMBER('Price History'!B71)),'Price History'!B71=0),"",'Price History'!B72/'Price History'!B71-1),"")</f>
        <v>0.0717733025798075</v>
      </c>
      <c r="C71" s="136" t="n">
        <f aca="false">IFERROR(IF(OR(NOT(ISNUMBER('Price History'!C72)),NOT(ISNUMBER('Price History'!C71)),'Price History'!C71=0),"",'Price History'!C72/'Price History'!C71-1),"")</f>
        <v>0.0669229252907551</v>
      </c>
      <c r="D71" s="136" t="n">
        <f aca="false">IFERROR(IF(OR(NOT(ISNUMBER('Price History'!D72)),NOT(ISNUMBER('Price History'!D71)),'Price History'!D71=0),"",'Price History'!D72/'Price History'!D71-1),"")</f>
        <v>0.0325803585732802</v>
      </c>
      <c r="E71" s="136" t="n">
        <f aca="false">IFERROR(IF(OR(NOT(ISNUMBER('Price History'!E72)),NOT(ISNUMBER('Price History'!E71)),'Price History'!E71=0),"",'Price History'!E72/'Price History'!E71-1),"")</f>
        <v>0.107662882527147</v>
      </c>
      <c r="F71" s="136" t="n">
        <f aca="false">IFERROR(IF(OR(NOT(ISNUMBER('Price History'!F72)),NOT(ISNUMBER('Price History'!F71)),'Price History'!F71=0),"",'Price History'!F72/'Price History'!F71-1),"")</f>
        <v>0.0568851890391953</v>
      </c>
      <c r="G71" s="136" t="n">
        <f aca="false">IFERROR(IF(OR(NOT(ISNUMBER('Price History'!G72)),NOT(ISNUMBER('Price History'!G71)),'Price History'!G71=0),"",'Price History'!G72/'Price History'!G71-1),"")</f>
        <v>0.00200927357032454</v>
      </c>
      <c r="H71" s="136" t="n">
        <f aca="false">IFERROR(IF(OR(NOT(ISNUMBER('Price History'!H72)),NOT(ISNUMBER('Price History'!H71)),'Price History'!H71=0),"",'Price History'!H72/'Price History'!H71-1),"")</f>
        <v>0.0328739152628892</v>
      </c>
      <c r="I71" s="136" t="n">
        <f aca="false">IFERROR(IF(OR(NOT(ISNUMBER('Price History'!I72)),NOT(ISNUMBER('Price History'!I71)),'Price History'!I71=0),"",'Price History'!I72/'Price History'!I71-1),"")</f>
        <v>0.0303074141048825</v>
      </c>
      <c r="J71" s="136" t="n">
        <f aca="false">IFERROR(IF(OR(NOT(ISNUMBER('Price History'!J72)),NOT(ISNUMBER('Price History'!J71)),'Price History'!J71=0),"",'Price History'!J72/'Price History'!J71-1),"")</f>
        <v>-0.0409316663812297</v>
      </c>
      <c r="K71" s="136" t="n">
        <f aca="false">IFERROR(IF(OR(NOT(ISNUMBER('Price History'!K72)),NOT(ISNUMBER('Price History'!K71)),'Price History'!K71=0),"",'Price History'!K72/'Price History'!K71-1),"")</f>
        <v>0.13804412641622</v>
      </c>
      <c r="L71" s="136" t="n">
        <f aca="false">IFERROR(IF(OR(NOT(ISNUMBER('Price History'!L72)),NOT(ISNUMBER('Price History'!L71)),'Price History'!L71=0),"",'Price History'!L72/'Price History'!L71-1),"")</f>
        <v>0.099425972056753</v>
      </c>
      <c r="M71" s="136" t="n">
        <f aca="false">IFERROR(IF(OR(NOT(ISNUMBER('Price History'!M72)),NOT(ISNUMBER('Price History'!M71)),'Price History'!M71=0),"",'Price History'!M72/'Price History'!M71-1),"")</f>
        <v>0.0489811912225706</v>
      </c>
      <c r="N71" s="136" t="n">
        <f aca="false">IFERROR(IF(OR(NOT(ISNUMBER('Price History'!N72)),NOT(ISNUMBER('Price History'!N71)),'Price History'!N71=0),"",'Price History'!N72/'Price History'!N71-1),"")</f>
        <v>-0.0128810373186935</v>
      </c>
      <c r="O71" s="136" t="n">
        <f aca="false">IFERROR(IF(OR(NOT(ISNUMBER('Price History'!O72)),NOT(ISNUMBER('Price History'!O71)),'Price History'!O71=0),"",'Price History'!O72/'Price History'!O71-1),"")</f>
        <v>-0.0208550573514076</v>
      </c>
      <c r="P71" s="136" t="str">
        <f aca="false">IFERROR(IF(OR(NOT(ISNUMBER('Price History'!P72)),NOT(ISNUMBER('Price History'!P71)),'Price History'!P71=0),"",'Price History'!P72/'Price History'!P71-1),"")</f>
        <v/>
      </c>
      <c r="Q71" s="136" t="n">
        <f aca="false">IFERROR(IF(OR(NOT(ISNUMBER('Price History'!Q72)),NOT(ISNUMBER('Price History'!Q71)),'Price History'!Q71=0),"",'Price History'!Q72/'Price History'!Q71-1),"")</f>
        <v>0.0103668261562999</v>
      </c>
      <c r="R71" s="136" t="n">
        <f aca="false">IFERROR(IF(OR(NOT(ISNUMBER('Price History'!R72)),NOT(ISNUMBER('Price History'!R71)),'Price History'!R71=0),"",'Price History'!R72/'Price History'!R71-1),"")</f>
        <v>0.00928358731826928</v>
      </c>
      <c r="S71" s="136" t="n">
        <f aca="false">IFERROR(IF(OR(NOT(ISNUMBER('Price History'!S72)),NOT(ISNUMBER('Price History'!S71)),'Price History'!S71=0),"",'Price History'!S72/'Price History'!S71-1),"")</f>
        <v>0.0193121966332748</v>
      </c>
      <c r="T71" s="136" t="n">
        <f aca="false">IFERROR(IF(OR(NOT(ISNUMBER('Price History'!T72)),NOT(ISNUMBER('Price History'!T71)),'Price History'!T71=0),"",'Price History'!T72/'Price History'!T71-1),"")</f>
        <v>-0.00081944823818636</v>
      </c>
      <c r="U71" s="136" t="str">
        <f aca="false">IFERROR(IF(OR(NOT(ISNUMBER('Price History'!U72)),NOT(ISNUMBER('Price History'!U71)),'Price History'!U71=0),"",'Price History'!U72/'Price History'!U71-1),"")</f>
        <v/>
      </c>
      <c r="W71" s="137" t="n">
        <f aca="false">'Price History'!B3+('Price History'!B158-'Price History'!B3)*0.441558441558442</f>
        <v>394.51025974026</v>
      </c>
      <c r="X71" s="137" t="n">
        <f aca="false">'Price History'!C3+('Price History'!C158-'Price History'!C3)*0.441558441558442</f>
        <v>104.061298701299</v>
      </c>
      <c r="Y71" s="137" t="n">
        <f aca="false">'Price History'!D3+('Price History'!D158-'Price History'!D3)*0.441558441558442</f>
        <v>1088.86415584416</v>
      </c>
      <c r="Z71" s="137" t="n">
        <f aca="false">'Price History'!E3+('Price History'!E158-'Price History'!E3)*0.441558441558442</f>
        <v>218.229350649351</v>
      </c>
      <c r="AA71" s="137" t="n">
        <f aca="false">'Price History'!F3+('Price History'!F158-'Price History'!F3)*0.441558441558442</f>
        <v>104.971688311688</v>
      </c>
      <c r="AB71" s="137" t="n">
        <f aca="false">'Price History'!G3+('Price History'!G158-'Price History'!G3)*0.441558441558442</f>
        <v>107.475064935065</v>
      </c>
      <c r="AC71" s="137" t="n">
        <f aca="false">'Price History'!H3+('Price History'!H158-'Price History'!H3)*0.441558441558442</f>
        <v>399.362727272728</v>
      </c>
      <c r="AD71" s="137" t="n">
        <f aca="false">'Price History'!I3+('Price History'!I158-'Price History'!I3)*0.441558441558442</f>
        <v>111.455194805195</v>
      </c>
      <c r="AE71" s="137" t="n">
        <f aca="false">'Price History'!J3+('Price History'!J158-'Price History'!J3)*0.441558441558442</f>
        <v>132.826883116883</v>
      </c>
      <c r="AF71" s="137" t="n">
        <f aca="false">'Price History'!K3+('Price History'!K158-'Price History'!K3)*0.441558441558442</f>
        <v>62.9437662337663</v>
      </c>
      <c r="AG71" s="137" t="n">
        <f aca="false">'Price History'!L3+('Price History'!L158-'Price History'!L3)*0.441558441558442</f>
        <v>229.871038961039</v>
      </c>
      <c r="AH71" s="137" t="n">
        <f aca="false">'Price History'!M3+('Price History'!M158-'Price History'!M3)*0.441558441558442</f>
        <v>125.380649350649</v>
      </c>
      <c r="AI71" s="137" t="n">
        <f aca="false">'Price History'!N3+('Price History'!N158-'Price History'!N3)*0.441558441558442</f>
        <v>406.043896103896</v>
      </c>
      <c r="AJ71" s="137" t="n">
        <f aca="false">'Price History'!O3+('Price History'!O158-'Price History'!O3)*0.441558441558442</f>
        <v>101.585324675325</v>
      </c>
      <c r="AK71" s="137" t="n">
        <f aca="false">'Price History'!Q3+('Price History'!Q151-'Price History'!Q3)*0.441558441558442</f>
        <v>58.0574025974026</v>
      </c>
      <c r="AL71" s="137" t="n">
        <f aca="false">'Price History'!R3+('Price History'!R158-'Price History'!R3)*0.441558441558442</f>
        <v>52.4254545454546</v>
      </c>
      <c r="AM71" s="137" t="n">
        <f aca="false">'Price History'!S3+('Price History'!S158-'Price History'!S3)*0.441558441558442</f>
        <v>96.2005194805195</v>
      </c>
      <c r="AN71" s="137" t="n">
        <f aca="false">'Price History'!T3+('Price History'!T158-'Price History'!T3)*0.441558441558442</f>
        <v>36.9907792207792</v>
      </c>
    </row>
    <row r="72" customFormat="false" ht="15" hidden="false" customHeight="true" outlineLevel="0" collapsed="false">
      <c r="A72" s="135" t="n">
        <f aca="false">IF('Price History'!A73="","",'Price History'!A73)</f>
        <v>45639</v>
      </c>
      <c r="B72" s="136" t="n">
        <f aca="false">IFERROR(IF(OR(NOT(ISNUMBER('Price History'!B73)),NOT(ISNUMBER('Price History'!B72)),'Price History'!B72=0),"",'Price History'!B73/'Price History'!B72-1),"")</f>
        <v>-0.157823350694445</v>
      </c>
      <c r="C72" s="136" t="n">
        <f aca="false">IFERROR(IF(OR(NOT(ISNUMBER('Price History'!C73)),NOT(ISNUMBER('Price History'!C72)),'Price History'!C72=0),"",'Price History'!C73/'Price History'!C72-1),"")</f>
        <v>0.0380600461893765</v>
      </c>
      <c r="D72" s="136" t="n">
        <f aca="false">IFERROR(IF(OR(NOT(ISNUMBER('Price History'!D73)),NOT(ISNUMBER('Price History'!D72)),'Price History'!D72=0),"",'Price History'!D73/'Price History'!D72-1),"")</f>
        <v>0.0135405794239611</v>
      </c>
      <c r="E72" s="136" t="n">
        <f aca="false">IFERROR(IF(OR(NOT(ISNUMBER('Price History'!E73)),NOT(ISNUMBER('Price History'!E72)),'Price History'!E72=0),"",'Price History'!E73/'Price History'!E72-1),"")</f>
        <v>0.252158413635604</v>
      </c>
      <c r="F72" s="136" t="n">
        <f aca="false">IFERROR(IF(OR(NOT(ISNUMBER('Price History'!F73)),NOT(ISNUMBER('Price History'!F72)),'Price History'!F72=0),"",'Price History'!F73/'Price History'!F72-1),"")</f>
        <v>0.00656383327863486</v>
      </c>
      <c r="G72" s="136" t="n">
        <f aca="false">IFERROR(IF(OR(NOT(ISNUMBER('Price History'!G73)),NOT(ISNUMBER('Price History'!G72)),'Price History'!G72=0),"",'Price History'!G73/'Price History'!G72-1),"")</f>
        <v>0.00848372666975172</v>
      </c>
      <c r="H72" s="136" t="n">
        <f aca="false">IFERROR(IF(OR(NOT(ISNUMBER('Price History'!H73)),NOT(ISNUMBER('Price History'!H72)),'Price History'!H72=0),"",'Price History'!H73/'Price History'!H72-1),"")</f>
        <v>0.0131461895818918</v>
      </c>
      <c r="I72" s="136" t="n">
        <f aca="false">IFERROR(IF(OR(NOT(ISNUMBER('Price History'!I73)),NOT(ISNUMBER('Price History'!I72)),'Price History'!I72=0),"",'Price History'!I73/'Price History'!I72-1),"")</f>
        <v>-0.0574978938500421</v>
      </c>
      <c r="J72" s="136" t="n">
        <f aca="false">IFERROR(IF(OR(NOT(ISNUMBER('Price History'!J73)),NOT(ISNUMBER('Price History'!J72)),'Price History'!J72=0),"",'Price History'!J73/'Price History'!J72-1),"")</f>
        <v>-0.00776785714285722</v>
      </c>
      <c r="K72" s="136" t="n">
        <f aca="false">IFERROR(IF(OR(NOT(ISNUMBER('Price History'!K73)),NOT(ISNUMBER('Price History'!K72)),'Price History'!K72=0),"",'Price History'!K73/'Price History'!K72-1),"")</f>
        <v>-0.00353680901231346</v>
      </c>
      <c r="L72" s="136" t="n">
        <f aca="false">IFERROR(IF(OR(NOT(ISNUMBER('Price History'!L73)),NOT(ISNUMBER('Price History'!L72)),'Price History'!L72=0),"",'Price History'!L73/'Price History'!L72-1),"")</f>
        <v>-0.0099990148753818</v>
      </c>
      <c r="M72" s="136" t="n">
        <f aca="false">IFERROR(IF(OR(NOT(ISNUMBER('Price History'!M73)),NOT(ISNUMBER('Price History'!M72)),'Price History'!M72=0),"",'Price History'!M73/'Price History'!M72-1),"")</f>
        <v>-0.0602913709376167</v>
      </c>
      <c r="N72" s="136" t="n">
        <f aca="false">IFERROR(IF(OR(NOT(ISNUMBER('Price History'!N73)),NOT(ISNUMBER('Price History'!N72)),'Price History'!N72=0),"",'Price History'!N73/'Price History'!N72-1),"")</f>
        <v>0.00352737502705036</v>
      </c>
      <c r="O72" s="136" t="n">
        <f aca="false">IFERROR(IF(OR(NOT(ISNUMBER('Price History'!O73)),NOT(ISNUMBER('Price History'!O72)),'Price History'!O72=0),"",'Price History'!O73/'Price History'!O72-1),"")</f>
        <v>-0.0123922935424533</v>
      </c>
      <c r="P72" s="136" t="str">
        <f aca="false">IFERROR(IF(OR(NOT(ISNUMBER('Price History'!P73)),NOT(ISNUMBER('Price History'!P72)),'Price History'!P72=0),"",'Price History'!P73/'Price History'!P72-1),"")</f>
        <v/>
      </c>
      <c r="Q72" s="136" t="n">
        <f aca="false">IFERROR(IF(OR(NOT(ISNUMBER('Price History'!Q73)),NOT(ISNUMBER('Price History'!Q72)),'Price History'!Q72=0),"",'Price History'!Q73/'Price History'!Q72-1),"")</f>
        <v>-0.00868192580899774</v>
      </c>
      <c r="R72" s="136" t="n">
        <f aca="false">IFERROR(IF(OR(NOT(ISNUMBER('Price History'!R73)),NOT(ISNUMBER('Price History'!R72)),'Price History'!R72=0),"",'Price History'!R73/'Price History'!R72-1),"")</f>
        <v>0.00399166955918084</v>
      </c>
      <c r="S72" s="136" t="n">
        <f aca="false">IFERROR(IF(OR(NOT(ISNUMBER('Price History'!S73)),NOT(ISNUMBER('Price History'!S72)),'Price History'!S72=0),"",'Price History'!S73/'Price History'!S72-1),"")</f>
        <v>-0.00942249240121584</v>
      </c>
      <c r="T72" s="136" t="n">
        <f aca="false">IFERROR(IF(OR(NOT(ISNUMBER('Price History'!T73)),NOT(ISNUMBER('Price History'!T72)),'Price History'!T72=0),"",'Price History'!T73/'Price History'!T72-1),"")</f>
        <v>-0.0440131219245489</v>
      </c>
      <c r="U72" s="136" t="str">
        <f aca="false">IFERROR(IF(OR(NOT(ISNUMBER('Price History'!U73)),NOT(ISNUMBER('Price History'!U72)),'Price History'!U72=0),"",'Price History'!U73/'Price History'!U72-1),"")</f>
        <v/>
      </c>
      <c r="W72" s="137" t="n">
        <f aca="false">'Price History'!B3+('Price History'!B158-'Price History'!B3)*0.448051948051948</f>
        <v>392.834675324675</v>
      </c>
      <c r="X72" s="137" t="n">
        <f aca="false">'Price History'!C3+('Price History'!C158-'Price History'!C3)*0.448051948051948</f>
        <v>104.948376623377</v>
      </c>
      <c r="Y72" s="137" t="n">
        <f aca="false">'Price History'!D3+('Price History'!D158-'Price History'!D3)*0.448051948051948</f>
        <v>1095.14480519481</v>
      </c>
      <c r="Z72" s="137" t="n">
        <f aca="false">'Price History'!E3+('Price History'!E158-'Price History'!E3)*0.448051948051948</f>
        <v>220.218311688312</v>
      </c>
      <c r="AA72" s="137" t="n">
        <f aca="false">'Price History'!F3+('Price History'!F158-'Price History'!F3)*0.448051948051948</f>
        <v>105.97038961039</v>
      </c>
      <c r="AB72" s="137" t="n">
        <f aca="false">'Price History'!G3+('Price History'!G158-'Price History'!G3)*0.448051948051948</f>
        <v>108.351168831169</v>
      </c>
      <c r="AC72" s="137" t="n">
        <f aca="false">'Price History'!H3+('Price History'!H158-'Price History'!H3)*0.448051948051948</f>
        <v>404.289090909091</v>
      </c>
      <c r="AD72" s="137" t="n">
        <f aca="false">'Price History'!I3+('Price History'!I158-'Price History'!I3)*0.448051948051948</f>
        <v>112.493506493506</v>
      </c>
      <c r="AE72" s="137" t="n">
        <f aca="false">'Price History'!J3+('Price History'!J158-'Price History'!J3)*0.448051948051948</f>
        <v>132.963896103896</v>
      </c>
      <c r="AF72" s="137" t="n">
        <f aca="false">'Price History'!K3+('Price History'!K158-'Price History'!K3)*0.448051948051948</f>
        <v>63.6427922077922</v>
      </c>
      <c r="AG72" s="137" t="n">
        <f aca="false">'Price History'!L3+('Price History'!L158-'Price History'!L3)*0.448051948051948</f>
        <v>231.898701298701</v>
      </c>
      <c r="AH72" s="137" t="n">
        <f aca="false">'Price History'!M3+('Price History'!M158-'Price History'!M3)*0.448051948051948</f>
        <v>126.731688311688</v>
      </c>
      <c r="AI72" s="137" t="n">
        <f aca="false">'Price History'!N3+('Price History'!N158-'Price History'!N3)*0.448051948051948</f>
        <v>406.87012987013</v>
      </c>
      <c r="AJ72" s="137" t="n">
        <f aca="false">'Price History'!O3+('Price History'!O158-'Price History'!O3)*0.448051948051948</f>
        <v>101.860844155844</v>
      </c>
      <c r="AK72" s="137" t="n">
        <f aca="false">'Price History'!Q3+('Price History'!Q151-'Price History'!Q3)*0.448051948051948</f>
        <v>58.1782467532468</v>
      </c>
      <c r="AL72" s="137" t="n">
        <f aca="false">'Price History'!R3+('Price History'!R158-'Price History'!R3)*0.448051948051948</f>
        <v>52.4931818181818</v>
      </c>
      <c r="AM72" s="137" t="n">
        <f aca="false">'Price History'!S3+('Price History'!S158-'Price History'!S3)*0.448051948051948</f>
        <v>96.7543506493506</v>
      </c>
      <c r="AN72" s="137" t="n">
        <f aca="false">'Price History'!T3+('Price History'!T158-'Price History'!T3)*0.448051948051948</f>
        <v>37.139025974026</v>
      </c>
    </row>
    <row r="73" customFormat="false" ht="15" hidden="false" customHeight="true" outlineLevel="0" collapsed="false">
      <c r="A73" s="135" t="n">
        <f aca="false">IF('Price History'!A74="","",'Price History'!A74)</f>
        <v>45646</v>
      </c>
      <c r="B73" s="136" t="n">
        <f aca="false">IFERROR(IF(OR(NOT(ISNUMBER('Price History'!B74)),NOT(ISNUMBER('Price History'!B73)),'Price History'!B73=0),"",'Price History'!B74/'Price History'!B73-1),"")</f>
        <v>-0.0397689450063347</v>
      </c>
      <c r="C73" s="136" t="n">
        <f aca="false">IFERROR(IF(OR(NOT(ISNUMBER('Price History'!C74)),NOT(ISNUMBER('Price History'!C73)),'Price History'!C73=0),"",'Price History'!C74/'Price History'!C73-1),"")</f>
        <v>0.00391563584586629</v>
      </c>
      <c r="D73" s="136" t="n">
        <f aca="false">IFERROR(IF(OR(NOT(ISNUMBER('Price History'!D74)),NOT(ISNUMBER('Price History'!D73)),'Price History'!D73=0),"",'Price History'!D74/'Price History'!D73-1),"")</f>
        <v>-0.0179520721422808</v>
      </c>
      <c r="E73" s="136" t="n">
        <f aca="false">IFERROR(IF(OR(NOT(ISNUMBER('Price History'!E74)),NOT(ISNUMBER('Price History'!E73)),'Price History'!E73=0),"",'Price History'!E74/'Price History'!E73-1),"")</f>
        <v>-0.0178380782918151</v>
      </c>
      <c r="F73" s="136" t="n">
        <f aca="false">IFERROR(IF(OR(NOT(ISNUMBER('Price History'!F74)),NOT(ISNUMBER('Price History'!F73)),'Price History'!F73=0),"",'Price History'!F74/'Price History'!F73-1),"")</f>
        <v>-0.0156504727746986</v>
      </c>
      <c r="G73" s="136" t="n">
        <f aca="false">IFERROR(IF(OR(NOT(ISNUMBER('Price History'!G74)),NOT(ISNUMBER('Price History'!G73)),'Price History'!G73=0),"",'Price History'!G74/'Price History'!G73-1),"")</f>
        <v>-0.0373202814316305</v>
      </c>
      <c r="H73" s="136" t="n">
        <f aca="false">IFERROR(IF(OR(NOT(ISNUMBER('Price History'!H74)),NOT(ISNUMBER('Price History'!H73)),'Price History'!H73=0),"",'Price History'!H74/'Price History'!H73-1),"")</f>
        <v>-0.120780487804878</v>
      </c>
      <c r="I73" s="136" t="n">
        <f aca="false">IFERROR(IF(OR(NOT(ISNUMBER('Price History'!I74)),NOT(ISNUMBER('Price History'!I73)),'Price History'!I73=0),"",'Price History'!I74/'Price History'!I73-1),"")</f>
        <v>0.00335195530726251</v>
      </c>
      <c r="J73" s="136" t="n">
        <f aca="false">IFERROR(IF(OR(NOT(ISNUMBER('Price History'!J74)),NOT(ISNUMBER('Price History'!J73)),'Price History'!J73=0),"",'Price History'!J74/'Price History'!J73-1),"")</f>
        <v>-0.0702780527310357</v>
      </c>
      <c r="K73" s="136" t="n">
        <f aca="false">IFERROR(IF(OR(NOT(ISNUMBER('Price History'!K74)),NOT(ISNUMBER('Price History'!K73)),'Price History'!K73=0),"",'Price History'!K74/'Price History'!K73-1),"")</f>
        <v>0.0588931247535165</v>
      </c>
      <c r="L73" s="136" t="n">
        <f aca="false">IFERROR(IF(OR(NOT(ISNUMBER('Price History'!L74)),NOT(ISNUMBER('Price History'!L73)),'Price History'!L73=0),"",'Price History'!L74/'Price History'!L73-1),"")</f>
        <v>-0.0188069058162098</v>
      </c>
      <c r="M73" s="136" t="n">
        <f aca="false">IFERROR(IF(OR(NOT(ISNUMBER('Price History'!M74)),NOT(ISNUMBER('Price History'!M73)),'Price History'!M73=0),"",'Price History'!M74/'Price History'!M73-1),"")</f>
        <v>-0.0456352361265702</v>
      </c>
      <c r="N73" s="136" t="n">
        <f aca="false">IFERROR(IF(OR(NOT(ISNUMBER('Price History'!N74)),NOT(ISNUMBER('Price History'!N73)),'Price History'!N73=0),"",'Price History'!N74/'Price History'!N73-1),"")</f>
        <v>-0.14331615379639</v>
      </c>
      <c r="O73" s="136" t="n">
        <f aca="false">IFERROR(IF(OR(NOT(ISNUMBER('Price History'!O74)),NOT(ISNUMBER('Price History'!O73)),'Price History'!O73=0),"",'Price History'!O74/'Price History'!O73-1),"")</f>
        <v>-0.0578374669150084</v>
      </c>
      <c r="P73" s="136" t="str">
        <f aca="false">IFERROR(IF(OR(NOT(ISNUMBER('Price History'!P74)),NOT(ISNUMBER('Price History'!P73)),'Price History'!P73=0),"",'Price History'!P74/'Price History'!P73-1),"")</f>
        <v/>
      </c>
      <c r="Q73" s="136" t="n">
        <f aca="false">IFERROR(IF(OR(NOT(ISNUMBER('Price History'!Q74)),NOT(ISNUMBER('Price History'!Q73)),'Price History'!Q73=0),"",'Price History'!Q74/'Price History'!Q73-1),"")</f>
        <v>-0.000636942675159236</v>
      </c>
      <c r="R73" s="136" t="n">
        <f aca="false">IFERROR(IF(OR(NOT(ISNUMBER('Price History'!R74)),NOT(ISNUMBER('Price History'!R73)),'Price History'!R73=0),"",'Price History'!R74/'Price History'!R73-1),"")</f>
        <v>-0.0112359550561798</v>
      </c>
      <c r="S73" s="136" t="n">
        <f aca="false">IFERROR(IF(OR(NOT(ISNUMBER('Price History'!S74)),NOT(ISNUMBER('Price History'!S73)),'Price History'!S73=0),"",'Price History'!S74/'Price History'!S73-1),"")</f>
        <v>-0.0223995090518564</v>
      </c>
      <c r="T73" s="136" t="n">
        <f aca="false">IFERROR(IF(OR(NOT(ISNUMBER('Price History'!T74)),NOT(ISNUMBER('Price History'!T73)),'Price History'!T73=0),"",'Price History'!T74/'Price History'!T73-1),"")</f>
        <v>-0.0305976551329711</v>
      </c>
      <c r="U73" s="136" t="str">
        <f aca="false">IFERROR(IF(OR(NOT(ISNUMBER('Price History'!U74)),NOT(ISNUMBER('Price History'!U73)),'Price History'!U73=0),"",'Price History'!U74/'Price History'!U73-1),"")</f>
        <v/>
      </c>
      <c r="W73" s="137" t="n">
        <f aca="false">'Price History'!B3+('Price History'!B158-'Price History'!B3)*0.454545454545455</f>
        <v>391.159090909091</v>
      </c>
      <c r="X73" s="137" t="n">
        <f aca="false">'Price History'!C3+('Price History'!C158-'Price History'!C3)*0.454545454545455</f>
        <v>105.835454545455</v>
      </c>
      <c r="Y73" s="137" t="n">
        <f aca="false">'Price History'!D3+('Price History'!D158-'Price History'!D3)*0.454545454545455</f>
        <v>1101.42545454546</v>
      </c>
      <c r="Z73" s="137" t="n">
        <f aca="false">'Price History'!E3+('Price History'!E158-'Price History'!E3)*0.454545454545455</f>
        <v>222.207272727273</v>
      </c>
      <c r="AA73" s="137" t="n">
        <f aca="false">'Price History'!F3+('Price History'!F158-'Price History'!F3)*0.454545454545455</f>
        <v>106.969090909091</v>
      </c>
      <c r="AB73" s="137" t="n">
        <f aca="false">'Price History'!G3+('Price History'!G158-'Price History'!G3)*0.454545454545455</f>
        <v>109.227272727273</v>
      </c>
      <c r="AC73" s="137" t="n">
        <f aca="false">'Price History'!H3+('Price History'!H158-'Price History'!H3)*0.454545454545455</f>
        <v>409.215454545455</v>
      </c>
      <c r="AD73" s="137" t="n">
        <f aca="false">'Price History'!I3+('Price History'!I158-'Price History'!I3)*0.454545454545455</f>
        <v>113.531818181818</v>
      </c>
      <c r="AE73" s="137" t="n">
        <f aca="false">'Price History'!J3+('Price History'!J158-'Price History'!J3)*0.454545454545455</f>
        <v>133.100909090909</v>
      </c>
      <c r="AF73" s="137" t="n">
        <f aca="false">'Price History'!K3+('Price History'!K158-'Price History'!K3)*0.454545454545455</f>
        <v>64.3418181818182</v>
      </c>
      <c r="AG73" s="137" t="n">
        <f aca="false">'Price History'!L3+('Price History'!L158-'Price History'!L3)*0.454545454545455</f>
        <v>233.926363636364</v>
      </c>
      <c r="AH73" s="137" t="n">
        <f aca="false">'Price History'!M3+('Price History'!M158-'Price History'!M3)*0.454545454545455</f>
        <v>128.082727272727</v>
      </c>
      <c r="AI73" s="137" t="n">
        <f aca="false">'Price History'!N3+('Price History'!N158-'Price History'!N3)*0.454545454545455</f>
        <v>407.696363636364</v>
      </c>
      <c r="AJ73" s="137" t="n">
        <f aca="false">'Price History'!O3+('Price History'!O158-'Price History'!O3)*0.454545454545455</f>
        <v>102.136363636364</v>
      </c>
      <c r="AK73" s="137" t="n">
        <f aca="false">'Price History'!Q3+('Price History'!Q151-'Price History'!Q3)*0.454545454545455</f>
        <v>58.2990909090909</v>
      </c>
      <c r="AL73" s="137" t="n">
        <f aca="false">'Price History'!R3+('Price History'!R158-'Price History'!R3)*0.454545454545455</f>
        <v>52.5609090909091</v>
      </c>
      <c r="AM73" s="137" t="n">
        <f aca="false">'Price History'!S3+('Price History'!S158-'Price History'!S3)*0.454545454545455</f>
        <v>97.3081818181819</v>
      </c>
      <c r="AN73" s="137" t="n">
        <f aca="false">'Price History'!T3+('Price History'!T158-'Price History'!T3)*0.454545454545455</f>
        <v>37.2872727272727</v>
      </c>
    </row>
    <row r="74" customFormat="false" ht="15" hidden="false" customHeight="true" outlineLevel="0" collapsed="false">
      <c r="A74" s="135" t="n">
        <f aca="false">IF('Price History'!A75="","",'Price History'!A75)</f>
        <v>45653</v>
      </c>
      <c r="B74" s="136" t="n">
        <f aca="false">IFERROR(IF(OR(NOT(ISNUMBER('Price History'!B75)),NOT(ISNUMBER('Price History'!B74)),'Price History'!B74=0),"",'Price History'!B75/'Price History'!B74-1),"")</f>
        <v>-0.00154303732361294</v>
      </c>
      <c r="C74" s="136" t="n">
        <f aca="false">IFERROR(IF(OR(NOT(ISNUMBER('Price History'!C75)),NOT(ISNUMBER('Price History'!C74)),'Price History'!C74=0),"",'Price History'!C75/'Price History'!C74-1),"")</f>
        <v>0.00195018172147865</v>
      </c>
      <c r="D74" s="136" t="n">
        <f aca="false">IFERROR(IF(OR(NOT(ISNUMBER('Price History'!D75)),NOT(ISNUMBER('Price History'!D74)),'Price History'!D74=0),"",'Price History'!D75/'Price History'!D74-1),"")</f>
        <v>0.011209046593357</v>
      </c>
      <c r="E74" s="136" t="n">
        <f aca="false">IFERROR(IF(OR(NOT(ISNUMBER('Price History'!E75)),NOT(ISNUMBER('Price History'!E74)),'Price History'!E74=0),"",'Price History'!E75/'Price History'!E74-1),"")</f>
        <v>0.0949318356809639</v>
      </c>
      <c r="F74" s="136" t="n">
        <f aca="false">IFERROR(IF(OR(NOT(ISNUMBER('Price History'!F75)),NOT(ISNUMBER('Price History'!F74)),'Price History'!F74=0),"",'Price History'!F75/'Price History'!F74-1),"")</f>
        <v>-0.0200949541790879</v>
      </c>
      <c r="G74" s="136" t="n">
        <f aca="false">IFERROR(IF(OR(NOT(ISNUMBER('Price History'!G75)),NOT(ISNUMBER('Price History'!G74)),'Price History'!G74=0),"",'Price History'!G75/'Price History'!G74-1),"")</f>
        <v>0.0244677470606929</v>
      </c>
      <c r="H74" s="136" t="n">
        <f aca="false">IFERROR(IF(OR(NOT(ISNUMBER('Price History'!H75)),NOT(ISNUMBER('Price History'!H74)),'Price History'!H74=0),"",'Price History'!H75/'Price History'!H74-1),"")</f>
        <v>-0.0165335108743898</v>
      </c>
      <c r="I74" s="136" t="n">
        <f aca="false">IFERROR(IF(OR(NOT(ISNUMBER('Price History'!I75)),NOT(ISNUMBER('Price History'!I74)),'Price History'!I74=0),"",'Price History'!I75/'Price History'!I74-1),"")</f>
        <v>0.0171492204899777</v>
      </c>
      <c r="J74" s="136" t="n">
        <f aca="false">IFERROR(IF(OR(NOT(ISNUMBER('Price History'!J75)),NOT(ISNUMBER('Price History'!J74)),'Price History'!J74=0),"",'Price History'!J75/'Price History'!J74-1),"")</f>
        <v>0.0185830429732869</v>
      </c>
      <c r="K74" s="136" t="n">
        <f aca="false">IFERROR(IF(OR(NOT(ISNUMBER('Price History'!K75)),NOT(ISNUMBER('Price History'!K74)),'Price History'!K74=0),"",'Price History'!K75/'Price History'!K74-1),"")</f>
        <v>-0.0182495344506518</v>
      </c>
      <c r="L74" s="136" t="n">
        <f aca="false">IFERROR(IF(OR(NOT(ISNUMBER('Price History'!L75)),NOT(ISNUMBER('Price History'!L74)),'Price History'!L74=0),"",'Price History'!L75/'Price History'!L74-1),"")</f>
        <v>0.0224126565589979</v>
      </c>
      <c r="M74" s="136" t="n">
        <f aca="false">IFERROR(IF(OR(NOT(ISNUMBER('Price History'!M75)),NOT(ISNUMBER('Price History'!M74)),'Price History'!M74=0),"",'Price History'!M75/'Price History'!M74-1),"")</f>
        <v>-0.0410696434521827</v>
      </c>
      <c r="N74" s="136" t="n">
        <f aca="false">IFERROR(IF(OR(NOT(ISNUMBER('Price History'!N75)),NOT(ISNUMBER('Price History'!N74)),'Price History'!N74=0),"",'Price History'!N75/'Price History'!N74-1),"")</f>
        <v>0.0289223953482518</v>
      </c>
      <c r="O74" s="136" t="n">
        <f aca="false">IFERROR(IF(OR(NOT(ISNUMBER('Price History'!O75)),NOT(ISNUMBER('Price History'!O74)),'Price History'!O74=0),"",'Price History'!O75/'Price History'!O74-1),"")</f>
        <v>0.00395380293413794</v>
      </c>
      <c r="P74" s="136" t="str">
        <f aca="false">IFERROR(IF(OR(NOT(ISNUMBER('Price History'!P75)),NOT(ISNUMBER('Price History'!P74)),'Price History'!P74=0),"",'Price History'!P75/'Price History'!P74-1),"")</f>
        <v/>
      </c>
      <c r="Q74" s="136" t="n">
        <f aca="false">IFERROR(IF(OR(NOT(ISNUMBER('Price History'!Q75)),NOT(ISNUMBER('Price History'!Q74)),'Price History'!Q74=0),"",'Price History'!Q75/'Price History'!Q74-1),"")</f>
        <v>0.0105162523900575</v>
      </c>
      <c r="R74" s="136" t="n">
        <f aca="false">IFERROR(IF(OR(NOT(ISNUMBER('Price History'!R75)),NOT(ISNUMBER('Price History'!R74)),'Price History'!R74=0),"",'Price History'!R75/'Price History'!R74-1),"")</f>
        <v>0.00944055944055933</v>
      </c>
      <c r="S74" s="136" t="n">
        <f aca="false">IFERROR(IF(OR(NOT(ISNUMBER('Price History'!S75)),NOT(ISNUMBER('Price History'!S74)),'Price History'!S74=0),"",'Price History'!S75/'Price History'!S74-1),"")</f>
        <v>0.0105670642393807</v>
      </c>
      <c r="T74" s="136" t="n">
        <f aca="false">IFERROR(IF(OR(NOT(ISNUMBER('Price History'!T75)),NOT(ISNUMBER('Price History'!T74)),'Price History'!T74=0),"",'Price History'!T75/'Price History'!T74-1),"")</f>
        <v>0.00914454277286136</v>
      </c>
      <c r="U74" s="136" t="str">
        <f aca="false">IFERROR(IF(OR(NOT(ISNUMBER('Price History'!U75)),NOT(ISNUMBER('Price History'!U74)),'Price History'!U74=0),"",'Price History'!U75/'Price History'!U74-1),"")</f>
        <v/>
      </c>
      <c r="W74" s="137" t="n">
        <f aca="false">'Price History'!B3+('Price History'!B158-'Price History'!B3)*0.461038961038961</f>
        <v>389.483506493507</v>
      </c>
      <c r="X74" s="137" t="n">
        <f aca="false">'Price History'!C3+('Price History'!C158-'Price History'!C3)*0.461038961038961</f>
        <v>106.722532467532</v>
      </c>
      <c r="Y74" s="137" t="n">
        <f aca="false">'Price History'!D3+('Price History'!D158-'Price History'!D3)*0.461038961038961</f>
        <v>1107.7061038961</v>
      </c>
      <c r="Z74" s="137" t="n">
        <f aca="false">'Price History'!E3+('Price History'!E158-'Price History'!E3)*0.461038961038961</f>
        <v>224.196233766234</v>
      </c>
      <c r="AA74" s="137" t="n">
        <f aca="false">'Price History'!F3+('Price History'!F158-'Price History'!F3)*0.461038961038961</f>
        <v>107.967792207792</v>
      </c>
      <c r="AB74" s="137" t="n">
        <f aca="false">'Price History'!G3+('Price History'!G158-'Price History'!G3)*0.461038961038961</f>
        <v>110.103376623377</v>
      </c>
      <c r="AC74" s="137" t="n">
        <f aca="false">'Price History'!H3+('Price History'!H158-'Price History'!H3)*0.461038961038961</f>
        <v>414.141818181818</v>
      </c>
      <c r="AD74" s="137" t="n">
        <f aca="false">'Price History'!I3+('Price History'!I158-'Price History'!I3)*0.461038961038961</f>
        <v>114.57012987013</v>
      </c>
      <c r="AE74" s="137" t="n">
        <f aca="false">'Price History'!J3+('Price History'!J158-'Price History'!J3)*0.461038961038961</f>
        <v>133.237922077922</v>
      </c>
      <c r="AF74" s="137" t="n">
        <f aca="false">'Price History'!K3+('Price History'!K158-'Price History'!K3)*0.461038961038961</f>
        <v>65.0408441558442</v>
      </c>
      <c r="AG74" s="137" t="n">
        <f aca="false">'Price History'!L3+('Price History'!L158-'Price History'!L3)*0.461038961038961</f>
        <v>235.954025974026</v>
      </c>
      <c r="AH74" s="137" t="n">
        <f aca="false">'Price History'!M3+('Price History'!M158-'Price History'!M3)*0.461038961038961</f>
        <v>129.433766233766</v>
      </c>
      <c r="AI74" s="137" t="n">
        <f aca="false">'Price History'!N3+('Price History'!N158-'Price History'!N3)*0.461038961038961</f>
        <v>408.522597402597</v>
      </c>
      <c r="AJ74" s="137" t="n">
        <f aca="false">'Price History'!O3+('Price History'!O158-'Price History'!O3)*0.461038961038961</f>
        <v>102.411883116883</v>
      </c>
      <c r="AK74" s="137" t="n">
        <f aca="false">'Price History'!Q3+('Price History'!Q151-'Price History'!Q3)*0.461038961038961</f>
        <v>58.4199350649351</v>
      </c>
      <c r="AL74" s="137" t="n">
        <f aca="false">'Price History'!R3+('Price History'!R158-'Price History'!R3)*0.461038961038961</f>
        <v>52.6286363636364</v>
      </c>
      <c r="AM74" s="137" t="n">
        <f aca="false">'Price History'!S3+('Price History'!S158-'Price History'!S3)*0.461038961038961</f>
        <v>97.862012987013</v>
      </c>
      <c r="AN74" s="137" t="n">
        <f aca="false">'Price History'!T3+('Price History'!T158-'Price History'!T3)*0.461038961038961</f>
        <v>37.4355194805195</v>
      </c>
    </row>
    <row r="75" customFormat="false" ht="15" hidden="false" customHeight="true" outlineLevel="0" collapsed="false">
      <c r="A75" s="135" t="n">
        <f aca="false">IF('Price History'!A76="","",'Price History'!A76)</f>
        <v>45660</v>
      </c>
      <c r="B75" s="136" t="n">
        <f aca="false">IFERROR(IF(OR(NOT(ISNUMBER('Price History'!B76)),NOT(ISNUMBER('Price History'!B75)),'Price History'!B75=0),"",'Price History'!B76/'Price History'!B75-1),"")</f>
        <v>-0.0356342949292242</v>
      </c>
      <c r="C75" s="136" t="n">
        <f aca="false">IFERROR(IF(OR(NOT(ISNUMBER('Price History'!C76)),NOT(ISNUMBER('Price History'!C75)),'Price History'!C75=0),"",'Price History'!C76/'Price History'!C75-1),"")</f>
        <v>0.0191984428912679</v>
      </c>
      <c r="D75" s="136" t="n">
        <f aca="false">IFERROR(IF(OR(NOT(ISNUMBER('Price History'!D76)),NOT(ISNUMBER('Price History'!D75)),'Price History'!D75=0),"",'Price History'!D76/'Price History'!D75-1),"")</f>
        <v>0.00107905099566974</v>
      </c>
      <c r="E75" s="136" t="n">
        <f aca="false">IFERROR(IF(OR(NOT(ISNUMBER('Price History'!E76)),NOT(ISNUMBER('Price History'!E75)),'Price History'!E75=0),"",'Price History'!E76/'Price History'!E75-1),"")</f>
        <v>-0.0380558428128232</v>
      </c>
      <c r="F75" s="136" t="n">
        <f aca="false">IFERROR(IF(OR(NOT(ISNUMBER('Price History'!F76)),NOT(ISNUMBER('Price History'!F75)),'Price History'!F75=0),"",'Price History'!F76/'Price History'!F75-1),"")</f>
        <v>0.0113802816901409</v>
      </c>
      <c r="G75" s="136" t="n">
        <f aca="false">IFERROR(IF(OR(NOT(ISNUMBER('Price History'!G76)),NOT(ISNUMBER('Price History'!G75)),'Price History'!G75=0),"",'Price History'!G76/'Price History'!G75-1),"")</f>
        <v>0.0189205955334988</v>
      </c>
      <c r="H75" s="136" t="n">
        <f aca="false">IFERROR(IF(OR(NOT(ISNUMBER('Price History'!H76)),NOT(ISNUMBER('Price History'!H75)),'Price History'!H75=0),"",'Price History'!H76/'Price History'!H75-1),"")</f>
        <v>0.0139907480537065</v>
      </c>
      <c r="I75" s="136" t="n">
        <f aca="false">IFERROR(IF(OR(NOT(ISNUMBER('Price History'!I76)),NOT(ISNUMBER('Price History'!I75)),'Price History'!I75=0),"",'Price History'!I76/'Price History'!I75-1),"")</f>
        <v>0.0544485803955916</v>
      </c>
      <c r="J75" s="136" t="n">
        <f aca="false">IFERROR(IF(OR(NOT(ISNUMBER('Price History'!J76)),NOT(ISNUMBER('Price History'!J75)),'Price History'!J75=0),"",'Price History'!J76/'Price History'!J75-1),"")</f>
        <v>0.00370581527936142</v>
      </c>
      <c r="K75" s="136" t="n">
        <f aca="false">IFERROR(IF(OR(NOT(ISNUMBER('Price History'!K76)),NOT(ISNUMBER('Price History'!K75)),'Price History'!K75=0),"",'Price History'!K76/'Price History'!K75-1),"")</f>
        <v>0.0102427921092565</v>
      </c>
      <c r="L75" s="136" t="n">
        <f aca="false">IFERROR(IF(OR(NOT(ISNUMBER('Price History'!L76)),NOT(ISNUMBER('Price History'!L75)),'Price History'!L75=0),"",'Price History'!L76/'Price History'!L75-1),"")</f>
        <v>0.0346178644050985</v>
      </c>
      <c r="M75" s="136" t="n">
        <f aca="false">IFERROR(IF(OR(NOT(ISNUMBER('Price History'!M76)),NOT(ISNUMBER('Price History'!M75)),'Price History'!M75=0),"",'Price History'!M76/'Price History'!M75-1),"")</f>
        <v>0.0917383372426375</v>
      </c>
      <c r="N75" s="136" t="n">
        <f aca="false">IFERROR(IF(OR(NOT(ISNUMBER('Price History'!N76)),NOT(ISNUMBER('Price History'!N75)),'Price History'!N75=0),"",'Price History'!N76/'Price History'!N75-1),"")</f>
        <v>-0.0040365984930032</v>
      </c>
      <c r="O75" s="136" t="n">
        <f aca="false">IFERROR(IF(OR(NOT(ISNUMBER('Price History'!O76)),NOT(ISNUMBER('Price History'!O75)),'Price History'!O75=0),"",'Price History'!O76/'Price History'!O75-1),"")</f>
        <v>0.00777282619960618</v>
      </c>
      <c r="P75" s="136" t="str">
        <f aca="false">IFERROR(IF(OR(NOT(ISNUMBER('Price History'!P76)),NOT(ISNUMBER('Price History'!P75)),'Price History'!P75=0),"",'Price History'!P76/'Price History'!P75-1),"")</f>
        <v/>
      </c>
      <c r="Q75" s="136" t="n">
        <f aca="false">IFERROR(IF(OR(NOT(ISNUMBER('Price History'!Q76)),NOT(ISNUMBER('Price History'!Q75)),'Price History'!Q75=0),"",'Price History'!Q76/'Price History'!Q75-1),"")</f>
        <v>-0.00898770104068114</v>
      </c>
      <c r="R75" s="136" t="n">
        <f aca="false">IFERROR(IF(OR(NOT(ISNUMBER('Price History'!R76)),NOT(ISNUMBER('Price History'!R75)),'Price History'!R75=0),"",'Price History'!R76/'Price History'!R75-1),"")</f>
        <v>-0.0114305507447178</v>
      </c>
      <c r="S75" s="136" t="n">
        <f aca="false">IFERROR(IF(OR(NOT(ISNUMBER('Price History'!S76)),NOT(ISNUMBER('Price History'!S75)),'Price History'!S75=0),"",'Price History'!S76/'Price History'!S75-1),"")</f>
        <v>0.00310591158505025</v>
      </c>
      <c r="T75" s="136" t="n">
        <f aca="false">IFERROR(IF(OR(NOT(ISNUMBER('Price History'!T76)),NOT(ISNUMBER('Price History'!T75)),'Price History'!T75=0),"",'Price History'!T76/'Price History'!T75-1),"")</f>
        <v>0.00760011692487561</v>
      </c>
      <c r="U75" s="136" t="str">
        <f aca="false">IFERROR(IF(OR(NOT(ISNUMBER('Price History'!U76)),NOT(ISNUMBER('Price History'!U75)),'Price History'!U75=0),"",'Price History'!U76/'Price History'!U75-1),"")</f>
        <v/>
      </c>
      <c r="W75" s="137" t="n">
        <f aca="false">'Price History'!B3+('Price History'!B158-'Price History'!B3)*0.467532467532468</f>
        <v>387.807922077922</v>
      </c>
      <c r="X75" s="137" t="n">
        <f aca="false">'Price History'!C3+('Price History'!C158-'Price History'!C3)*0.467532467532468</f>
        <v>107.60961038961</v>
      </c>
      <c r="Y75" s="137" t="n">
        <f aca="false">'Price History'!D3+('Price History'!D158-'Price History'!D3)*0.467532467532468</f>
        <v>1113.98675324675</v>
      </c>
      <c r="Z75" s="137" t="n">
        <f aca="false">'Price History'!E3+('Price History'!E158-'Price History'!E3)*0.467532467532468</f>
        <v>226.185194805195</v>
      </c>
      <c r="AA75" s="137" t="n">
        <f aca="false">'Price History'!F3+('Price History'!F158-'Price History'!F3)*0.467532467532468</f>
        <v>108.966493506494</v>
      </c>
      <c r="AB75" s="137" t="n">
        <f aca="false">'Price History'!G3+('Price History'!G158-'Price History'!G3)*0.467532467532468</f>
        <v>110.979480519481</v>
      </c>
      <c r="AC75" s="137" t="n">
        <f aca="false">'Price History'!H3+('Price History'!H158-'Price History'!H3)*0.467532467532468</f>
        <v>419.068181818182</v>
      </c>
      <c r="AD75" s="137" t="n">
        <f aca="false">'Price History'!I3+('Price History'!I158-'Price History'!I3)*0.467532467532468</f>
        <v>115.608441558442</v>
      </c>
      <c r="AE75" s="137" t="n">
        <f aca="false">'Price History'!J3+('Price History'!J158-'Price History'!J3)*0.467532467532468</f>
        <v>133.374935064935</v>
      </c>
      <c r="AF75" s="137" t="n">
        <f aca="false">'Price History'!K3+('Price History'!K158-'Price History'!K3)*0.467532467532468</f>
        <v>65.7398701298702</v>
      </c>
      <c r="AG75" s="137" t="n">
        <f aca="false">'Price History'!L3+('Price History'!L158-'Price History'!L3)*0.467532467532468</f>
        <v>237.981688311688</v>
      </c>
      <c r="AH75" s="137" t="n">
        <f aca="false">'Price History'!M3+('Price History'!M158-'Price History'!M3)*0.467532467532468</f>
        <v>130.784805194805</v>
      </c>
      <c r="AI75" s="137" t="n">
        <f aca="false">'Price History'!N3+('Price History'!N158-'Price History'!N3)*0.467532467532468</f>
        <v>409.348831168831</v>
      </c>
      <c r="AJ75" s="137" t="n">
        <f aca="false">'Price History'!O3+('Price History'!O158-'Price History'!O3)*0.467532467532468</f>
        <v>102.687402597403</v>
      </c>
      <c r="AK75" s="137" t="n">
        <f aca="false">'Price History'!Q3+('Price History'!Q151-'Price History'!Q3)*0.467532467532468</f>
        <v>58.5407792207792</v>
      </c>
      <c r="AL75" s="137" t="n">
        <f aca="false">'Price History'!R3+('Price History'!R158-'Price History'!R3)*0.467532467532468</f>
        <v>52.6963636363636</v>
      </c>
      <c r="AM75" s="137" t="n">
        <f aca="false">'Price History'!S3+('Price History'!S158-'Price History'!S3)*0.467532467532468</f>
        <v>98.4158441558442</v>
      </c>
      <c r="AN75" s="137" t="n">
        <f aca="false">'Price History'!T3+('Price History'!T158-'Price History'!T3)*0.467532467532468</f>
        <v>37.5837662337663</v>
      </c>
    </row>
    <row r="76" customFormat="false" ht="15" hidden="false" customHeight="true" outlineLevel="0" collapsed="false">
      <c r="A76" s="135" t="n">
        <f aca="false">IF('Price History'!A77="","",'Price History'!A77)</f>
        <v>45667</v>
      </c>
      <c r="B76" s="136" t="n">
        <f aca="false">IFERROR(IF(OR(NOT(ISNUMBER('Price History'!B77)),NOT(ISNUMBER('Price History'!B76)),'Price History'!B76=0),"",'Price History'!B77/'Price History'!B76-1),"")</f>
        <v>-0.0572496922683884</v>
      </c>
      <c r="C76" s="136" t="n">
        <f aca="false">IFERROR(IF(OR(NOT(ISNUMBER('Price History'!C77)),NOT(ISNUMBER('Price History'!C76)),'Price History'!C76=0),"",'Price History'!C77/'Price History'!C76-1),"")</f>
        <v>-0.00746527777777772</v>
      </c>
      <c r="D76" s="136" t="n">
        <f aca="false">IFERROR(IF(OR(NOT(ISNUMBER('Price History'!D77)),NOT(ISNUMBER('Price History'!D76)),'Price History'!D76=0),"",'Price History'!D77/'Price History'!D76-1),"")</f>
        <v>0.0345064113332214</v>
      </c>
      <c r="E76" s="136" t="n">
        <f aca="false">IFERROR(IF(OR(NOT(ISNUMBER('Price History'!E77)),NOT(ISNUMBER('Price History'!E76)),'Price History'!E76=0),"",'Price History'!E77/'Price History'!E76-1),"")</f>
        <v>-0.0354332401634058</v>
      </c>
      <c r="F76" s="136" t="n">
        <f aca="false">IFERROR(IF(OR(NOT(ISNUMBER('Price History'!F77)),NOT(ISNUMBER('Price History'!F76)),'Price History'!F76=0),"",'Price History'!F77/'Price History'!F76-1),"")</f>
        <v>-0.0284090909090911</v>
      </c>
      <c r="G76" s="136" t="n">
        <f aca="false">IFERROR(IF(OR(NOT(ISNUMBER('Price History'!G77)),NOT(ISNUMBER('Price History'!G76)),'Price History'!G76=0),"",'Price History'!G77/'Price History'!G76-1),"")</f>
        <v>0.0397260273972602</v>
      </c>
      <c r="H76" s="136" t="n">
        <f aca="false">IFERROR(IF(OR(NOT(ISNUMBER('Price History'!H77)),NOT(ISNUMBER('Price History'!H76)),'Price History'!H76=0),"",'Price History'!H77/'Price History'!H76-1),"")</f>
        <v>0.105374429731835</v>
      </c>
      <c r="I76" s="136" t="n">
        <f aca="false">IFERROR(IF(OR(NOT(ISNUMBER('Price History'!I77)),NOT(ISNUMBER('Price History'!I76)),'Price History'!I76=0),"",'Price History'!I77/'Price History'!I76-1),"")</f>
        <v>-0.0592510555824739</v>
      </c>
      <c r="J76" s="136" t="n">
        <f aca="false">IFERROR(IF(OR(NOT(ISNUMBER('Price History'!J77)),NOT(ISNUMBER('Price History'!J76)),'Price History'!J76=0),"",'Price History'!J77/'Price History'!J76-1),"")</f>
        <v>-0.0193126952570292</v>
      </c>
      <c r="K76" s="136" t="n">
        <f aca="false">IFERROR(IF(OR(NOT(ISNUMBER('Price History'!K77)),NOT(ISNUMBER('Price History'!K76)),'Price History'!K76=0),"",'Price History'!K77/'Price History'!K76-1),"")</f>
        <v>-0.1580923770184</v>
      </c>
      <c r="L76" s="136" t="n">
        <f aca="false">IFERROR(IF(OR(NOT(ISNUMBER('Price History'!L77)),NOT(ISNUMBER('Price History'!L76)),'Price History'!L76=0),"",'Price History'!L77/'Price History'!L76-1),"")</f>
        <v>-0.00115047217295439</v>
      </c>
      <c r="M76" s="136" t="n">
        <f aca="false">IFERROR(IF(OR(NOT(ISNUMBER('Price History'!M77)),NOT(ISNUMBER('Price History'!M76)),'Price History'!M76=0),"",'Price History'!M77/'Price History'!M76-1),"")</f>
        <v>0.0259409564733031</v>
      </c>
      <c r="N76" s="136" t="n">
        <f aca="false">IFERROR(IF(OR(NOT(ISNUMBER('Price History'!N77)),NOT(ISNUMBER('Price History'!N76)),'Price History'!N76=0),"",'Price History'!N77/'Price History'!N76-1),"")</f>
        <v>0.00601802952518971</v>
      </c>
      <c r="O76" s="136" t="n">
        <f aca="false">IFERROR(IF(OR(NOT(ISNUMBER('Price History'!O77)),NOT(ISNUMBER('Price History'!O76)),'Price History'!O76=0),"",'Price History'!O77/'Price History'!O76-1),"")</f>
        <v>-0.0262237762237761</v>
      </c>
      <c r="P76" s="136" t="str">
        <f aca="false">IFERROR(IF(OR(NOT(ISNUMBER('Price History'!P77)),NOT(ISNUMBER('Price History'!P76)),'Price History'!P76=0),"",'Price History'!P77/'Price History'!P76-1),"")</f>
        <v/>
      </c>
      <c r="Q76" s="136" t="n">
        <f aca="false">IFERROR(IF(OR(NOT(ISNUMBER('Price History'!Q77)),NOT(ISNUMBER('Price History'!Q76)),'Price History'!Q76=0),"",'Price History'!Q77/'Price History'!Q76-1),"")</f>
        <v>-0.00636435958631665</v>
      </c>
      <c r="R76" s="136" t="n">
        <f aca="false">IFERROR(IF(OR(NOT(ISNUMBER('Price History'!R77)),NOT(ISNUMBER('Price History'!R76)),'Price History'!R76=0),"",'Price History'!R77/'Price History'!R76-1),"")</f>
        <v>-0.0192711983181499</v>
      </c>
      <c r="S76" s="136" t="n">
        <f aca="false">IFERROR(IF(OR(NOT(ISNUMBER('Price History'!S77)),NOT(ISNUMBER('Price History'!S76)),'Price History'!S76=0),"",'Price History'!S77/'Price History'!S76-1),"")</f>
        <v>-0.0135204871503768</v>
      </c>
      <c r="T76" s="136" t="n">
        <f aca="false">IFERROR(IF(OR(NOT(ISNUMBER('Price History'!T77)),NOT(ISNUMBER('Price History'!T76)),'Price History'!T76=0),"",'Price History'!T77/'Price History'!T76-1),"")</f>
        <v>-0.000290107339715684</v>
      </c>
      <c r="U76" s="136" t="str">
        <f aca="false">IFERROR(IF(OR(NOT(ISNUMBER('Price History'!U77)),NOT(ISNUMBER('Price History'!U76)),'Price History'!U76=0),"",'Price History'!U77/'Price History'!U76-1),"")</f>
        <v/>
      </c>
      <c r="W76" s="137" t="n">
        <f aca="false">'Price History'!B3+('Price History'!B158-'Price History'!B3)*0.474025974025974</f>
        <v>386.132337662338</v>
      </c>
      <c r="X76" s="137" t="n">
        <f aca="false">'Price History'!C3+('Price History'!C158-'Price History'!C3)*0.474025974025974</f>
        <v>108.496688311688</v>
      </c>
      <c r="Y76" s="137" t="n">
        <f aca="false">'Price History'!D3+('Price History'!D158-'Price History'!D3)*0.474025974025974</f>
        <v>1120.2674025974</v>
      </c>
      <c r="Z76" s="137" t="n">
        <f aca="false">'Price History'!E3+('Price History'!E158-'Price History'!E3)*0.474025974025974</f>
        <v>228.174155844156</v>
      </c>
      <c r="AA76" s="137" t="n">
        <f aca="false">'Price History'!F3+('Price History'!F158-'Price History'!F3)*0.474025974025974</f>
        <v>109.965194805195</v>
      </c>
      <c r="AB76" s="137" t="n">
        <f aca="false">'Price History'!G3+('Price History'!G158-'Price History'!G3)*0.474025974025974</f>
        <v>111.855584415584</v>
      </c>
      <c r="AC76" s="137" t="n">
        <f aca="false">'Price History'!H3+('Price History'!H158-'Price History'!H3)*0.474025974025974</f>
        <v>423.994545454545</v>
      </c>
      <c r="AD76" s="137" t="n">
        <f aca="false">'Price History'!I3+('Price History'!I158-'Price History'!I3)*0.474025974025974</f>
        <v>116.646753246753</v>
      </c>
      <c r="AE76" s="137" t="n">
        <f aca="false">'Price History'!J3+('Price History'!J158-'Price History'!J3)*0.474025974025974</f>
        <v>133.511948051948</v>
      </c>
      <c r="AF76" s="137" t="n">
        <f aca="false">'Price History'!K3+('Price History'!K158-'Price History'!K3)*0.474025974025974</f>
        <v>66.4388961038961</v>
      </c>
      <c r="AG76" s="137" t="n">
        <f aca="false">'Price History'!L3+('Price History'!L158-'Price History'!L3)*0.474025974025974</f>
        <v>240.009350649351</v>
      </c>
      <c r="AH76" s="137" t="n">
        <f aca="false">'Price History'!M3+('Price History'!M158-'Price History'!M3)*0.474025974025974</f>
        <v>132.135844155844</v>
      </c>
      <c r="AI76" s="137" t="n">
        <f aca="false">'Price History'!N3+('Price History'!N158-'Price History'!N3)*0.474025974025974</f>
        <v>410.175064935065</v>
      </c>
      <c r="AJ76" s="137" t="n">
        <f aca="false">'Price History'!O3+('Price History'!O158-'Price History'!O3)*0.474025974025974</f>
        <v>102.962922077922</v>
      </c>
      <c r="AK76" s="137" t="n">
        <f aca="false">'Price History'!Q3+('Price History'!Q151-'Price History'!Q3)*0.474025974025974</f>
        <v>58.6616233766234</v>
      </c>
      <c r="AL76" s="137" t="n">
        <f aca="false">'Price History'!R3+('Price History'!R158-'Price History'!R3)*0.474025974025974</f>
        <v>52.7640909090909</v>
      </c>
      <c r="AM76" s="137" t="n">
        <f aca="false">'Price History'!S3+('Price History'!S158-'Price History'!S3)*0.474025974025974</f>
        <v>98.9696753246753</v>
      </c>
      <c r="AN76" s="137" t="n">
        <f aca="false">'Price History'!T3+('Price History'!T158-'Price History'!T3)*0.474025974025974</f>
        <v>37.732012987013</v>
      </c>
    </row>
    <row r="77" customFormat="false" ht="15" hidden="false" customHeight="true" outlineLevel="0" collapsed="false">
      <c r="A77" s="135" t="n">
        <f aca="false">IF('Price History'!A78="","",'Price History'!A78)</f>
        <v>45674</v>
      </c>
      <c r="B77" s="136" t="n">
        <f aca="false">IFERROR(IF(OR(NOT(ISNUMBER('Price History'!B78)),NOT(ISNUMBER('Price History'!B77)),'Price History'!B77=0),"",'Price History'!B78/'Price History'!B77-1),"")</f>
        <v>0.0592973985021679</v>
      </c>
      <c r="C77" s="136" t="n">
        <f aca="false">IFERROR(IF(OR(NOT(ISNUMBER('Price History'!C78)),NOT(ISNUMBER('Price History'!C77)),'Price History'!C77=0),"",'Price History'!C78/'Price History'!C77-1),"")</f>
        <v>0.0490641945076089</v>
      </c>
      <c r="D77" s="136" t="n">
        <f aca="false">IFERROR(IF(OR(NOT(ISNUMBER('Price History'!D78)),NOT(ISNUMBER('Price History'!D77)),'Price History'!D77=0),"",'Price History'!D78/'Price History'!D77-1),"")</f>
        <v>0.0234367599897161</v>
      </c>
      <c r="E77" s="136" t="n">
        <f aca="false">IFERROR(IF(OR(NOT(ISNUMBER('Price History'!E78)),NOT(ISNUMBER('Price History'!E77)),'Price History'!E77=0),"",'Price History'!E78/'Price History'!E77-1),"")</f>
        <v>0.0585350630823414</v>
      </c>
      <c r="F77" s="136" t="n">
        <f aca="false">IFERROR(IF(OR(NOT(ISNUMBER('Price History'!F78)),NOT(ISNUMBER('Price History'!F77)),'Price History'!F77=0),"",'Price History'!F78/'Price History'!F77-1),"")</f>
        <v>0.0233918128654971</v>
      </c>
      <c r="G77" s="136" t="n">
        <f aca="false">IFERROR(IF(OR(NOT(ISNUMBER('Price History'!G78)),NOT(ISNUMBER('Price History'!G77)),'Price History'!G77=0),"",'Price History'!G78/'Price History'!G77-1),"")</f>
        <v>0.108915239350022</v>
      </c>
      <c r="H77" s="136" t="n">
        <f aca="false">IFERROR(IF(OR(NOT(ISNUMBER('Price History'!H78)),NOT(ISNUMBER('Price History'!H77)),'Price History'!H77=0),"",'Price History'!H78/'Price History'!H77-1),"")</f>
        <v>0.0645258707469296</v>
      </c>
      <c r="I77" s="136" t="n">
        <f aca="false">IFERROR(IF(OR(NOT(ISNUMBER('Price History'!I78)),NOT(ISNUMBER('Price History'!I77)),'Price History'!I77=0),"",'Price History'!I78/'Price History'!I77-1),"")</f>
        <v>0.0132440585681701</v>
      </c>
      <c r="J77" s="136" t="n">
        <f aca="false">IFERROR(IF(OR(NOT(ISNUMBER('Price History'!J78)),NOT(ISNUMBER('Price History'!J77)),'Price History'!J77=0),"",'Price History'!J78/'Price History'!J77-1),"")</f>
        <v>0.056858770151559</v>
      </c>
      <c r="K77" s="136" t="n">
        <f aca="false">IFERROR(IF(OR(NOT(ISNUMBER('Price History'!K78)),NOT(ISNUMBER('Price History'!K77)),'Price History'!K77=0),"",'Price History'!K78/'Price History'!K77-1),"")</f>
        <v>0.0670532262860539</v>
      </c>
      <c r="L77" s="136" t="n">
        <f aca="false">IFERROR(IF(OR(NOT(ISNUMBER('Price History'!L78)),NOT(ISNUMBER('Price History'!L77)),'Price History'!L77=0),"",'Price History'!L78/'Price History'!L77-1),"")</f>
        <v>0.0150213562413015</v>
      </c>
      <c r="M77" s="136" t="n">
        <f aca="false">IFERROR(IF(OR(NOT(ISNUMBER('Price History'!M78)),NOT(ISNUMBER('Price History'!M77)),'Price History'!M77=0),"",'Price History'!M78/'Price History'!M77-1),"")</f>
        <v>0.0539052198867602</v>
      </c>
      <c r="N77" s="136" t="n">
        <f aca="false">IFERROR(IF(OR(NOT(ISNUMBER('Price History'!N78)),NOT(ISNUMBER('Price History'!N77)),'Price History'!N77=0),"",'Price History'!N78/'Price History'!N77-1),"")</f>
        <v>0.0303740599667937</v>
      </c>
      <c r="O77" s="136" t="n">
        <f aca="false">IFERROR(IF(OR(NOT(ISNUMBER('Price History'!O78)),NOT(ISNUMBER('Price History'!O77)),'Price History'!O77=0),"",'Price History'!O78/'Price History'!O77-1),"")</f>
        <v>0.0488963987749498</v>
      </c>
      <c r="P77" s="136" t="str">
        <f aca="false">IFERROR(IF(OR(NOT(ISNUMBER('Price History'!P78)),NOT(ISNUMBER('Price History'!P77)),'Price History'!P77=0),"",'Price History'!P78/'Price History'!P77-1),"")</f>
        <v/>
      </c>
      <c r="Q77" s="136" t="n">
        <f aca="false">IFERROR(IF(OR(NOT(ISNUMBER('Price History'!Q78)),NOT(ISNUMBER('Price History'!Q77)),'Price History'!Q77=0),"",'Price History'!Q78/'Price History'!Q77-1),"")</f>
        <v>-0.0174539631705365</v>
      </c>
      <c r="R77" s="136" t="n">
        <f aca="false">IFERROR(IF(OR(NOT(ISNUMBER('Price History'!R78)),NOT(ISNUMBER('Price History'!R77)),'Price History'!R77=0),"",'Price History'!R78/'Price History'!R77-1),"")</f>
        <v>0.0230439442658092</v>
      </c>
      <c r="S77" s="136" t="n">
        <f aca="false">IFERROR(IF(OR(NOT(ISNUMBER('Price History'!S78)),NOT(ISNUMBER('Price History'!S77)),'Price History'!S77=0),"",'Price History'!S78/'Price History'!S77-1),"")</f>
        <v>0.0321196903117809</v>
      </c>
      <c r="T77" s="136" t="n">
        <f aca="false">IFERROR(IF(OR(NOT(ISNUMBER('Price History'!T78)),NOT(ISNUMBER('Price History'!T77)),'Price History'!T77=0),"",'Price History'!T78/'Price History'!T77-1),"")</f>
        <v>0.038595473012188</v>
      </c>
      <c r="U77" s="136" t="str">
        <f aca="false">IFERROR(IF(OR(NOT(ISNUMBER('Price History'!U78)),NOT(ISNUMBER('Price History'!U77)),'Price History'!U77=0),"",'Price History'!U78/'Price History'!U77-1),"")</f>
        <v/>
      </c>
      <c r="W77" s="137" t="n">
        <f aca="false">'Price History'!B3+('Price History'!B158-'Price History'!B3)*0.480519480519481</f>
        <v>384.456753246753</v>
      </c>
      <c r="X77" s="137" t="n">
        <f aca="false">'Price History'!C3+('Price History'!C158-'Price History'!C3)*0.480519480519481</f>
        <v>109.383766233766</v>
      </c>
      <c r="Y77" s="137" t="n">
        <f aca="false">'Price History'!D3+('Price History'!D158-'Price History'!D3)*0.480519480519481</f>
        <v>1126.54805194805</v>
      </c>
      <c r="Z77" s="137" t="n">
        <f aca="false">'Price History'!E3+('Price History'!E158-'Price History'!E3)*0.480519480519481</f>
        <v>230.163116883117</v>
      </c>
      <c r="AA77" s="137" t="n">
        <f aca="false">'Price History'!F3+('Price History'!F158-'Price History'!F3)*0.480519480519481</f>
        <v>110.963896103896</v>
      </c>
      <c r="AB77" s="137" t="n">
        <f aca="false">'Price History'!G3+('Price History'!G158-'Price History'!G3)*0.480519480519481</f>
        <v>112.731688311688</v>
      </c>
      <c r="AC77" s="137" t="n">
        <f aca="false">'Price History'!H3+('Price History'!H158-'Price History'!H3)*0.480519480519481</f>
        <v>428.920909090909</v>
      </c>
      <c r="AD77" s="137" t="n">
        <f aca="false">'Price History'!I3+('Price History'!I158-'Price History'!I3)*0.480519480519481</f>
        <v>117.685064935065</v>
      </c>
      <c r="AE77" s="137" t="n">
        <f aca="false">'Price History'!J3+('Price History'!J158-'Price History'!J3)*0.480519480519481</f>
        <v>133.648961038961</v>
      </c>
      <c r="AF77" s="137" t="n">
        <f aca="false">'Price History'!K3+('Price History'!K158-'Price History'!K3)*0.480519480519481</f>
        <v>67.1379220779221</v>
      </c>
      <c r="AG77" s="137" t="n">
        <f aca="false">'Price History'!L3+('Price History'!L158-'Price History'!L3)*0.480519480519481</f>
        <v>242.037012987013</v>
      </c>
      <c r="AH77" s="137" t="n">
        <f aca="false">'Price History'!M3+('Price History'!M158-'Price History'!M3)*0.480519480519481</f>
        <v>133.486883116883</v>
      </c>
      <c r="AI77" s="137" t="n">
        <f aca="false">'Price History'!N3+('Price History'!N158-'Price History'!N3)*0.480519480519481</f>
        <v>411.001298701299</v>
      </c>
      <c r="AJ77" s="137" t="n">
        <f aca="false">'Price History'!O3+('Price History'!O158-'Price History'!O3)*0.480519480519481</f>
        <v>103.238441558442</v>
      </c>
      <c r="AK77" s="137" t="n">
        <f aca="false">'Price History'!Q3+('Price History'!Q151-'Price History'!Q3)*0.480519480519481</f>
        <v>58.7824675324675</v>
      </c>
      <c r="AL77" s="137" t="n">
        <f aca="false">'Price History'!R3+('Price History'!R158-'Price History'!R3)*0.480519480519481</f>
        <v>52.8318181818182</v>
      </c>
      <c r="AM77" s="137" t="n">
        <f aca="false">'Price History'!S3+('Price History'!S158-'Price History'!S3)*0.480519480519481</f>
        <v>99.5235064935066</v>
      </c>
      <c r="AN77" s="137" t="n">
        <f aca="false">'Price History'!T3+('Price History'!T158-'Price History'!T3)*0.480519480519481</f>
        <v>37.8802597402598</v>
      </c>
    </row>
    <row r="78" customFormat="false" ht="15" hidden="false" customHeight="true" outlineLevel="0" collapsed="false">
      <c r="A78" s="135" t="n">
        <f aca="false">IF('Price History'!A79="","",'Price History'!A79)</f>
        <v>45681</v>
      </c>
      <c r="B78" s="136" t="n">
        <f aca="false">IFERROR(IF(OR(NOT(ISNUMBER('Price History'!B79)),NOT(ISNUMBER('Price History'!B78)),'Price History'!B78=0),"",'Price History'!B79/'Price History'!B78-1),"")</f>
        <v>0.0125351752366334</v>
      </c>
      <c r="C78" s="136" t="n">
        <f aca="false">IFERROR(IF(OR(NOT(ISNUMBER('Price History'!C79)),NOT(ISNUMBER('Price History'!C78)),'Price History'!C78=0),"",'Price History'!C79/'Price History'!C78-1),"")</f>
        <v>0.0768653605669027</v>
      </c>
      <c r="D78" s="136" t="n">
        <f aca="false">IFERROR(IF(OR(NOT(ISNUMBER('Price History'!D79)),NOT(ISNUMBER('Price History'!D78)),'Price History'!D78=0),"",'Price History'!D79/'Price History'!D78-1),"")</f>
        <v>-0.0318379543321038</v>
      </c>
      <c r="E78" s="136" t="n">
        <f aca="false">IFERROR(IF(OR(NOT(ISNUMBER('Price History'!E79)),NOT(ISNUMBER('Price History'!E78)),'Price History'!E78=0),"",'Price History'!E79/'Price History'!E78-1),"")</f>
        <v>0.0305761455525606</v>
      </c>
      <c r="F78" s="136" t="n">
        <f aca="false">IFERROR(IF(OR(NOT(ISNUMBER('Price History'!F79)),NOT(ISNUMBER('Price History'!F78)),'Price History'!F78=0),"",'Price History'!F79/'Price History'!F78-1),"")</f>
        <v>0.0501960784313726</v>
      </c>
      <c r="G78" s="136" t="n">
        <f aca="false">IFERROR(IF(OR(NOT(ISNUMBER('Price History'!G79)),NOT(ISNUMBER('Price History'!G78)),'Price History'!G78=0),"",'Price History'!G79/'Price History'!G78-1),"")</f>
        <v>-0.0101650165016501</v>
      </c>
      <c r="H78" s="136" t="n">
        <f aca="false">IFERROR(IF(OR(NOT(ISNUMBER('Price History'!H79)),NOT(ISNUMBER('Price History'!H78)),'Price History'!H78=0),"",'Price History'!H79/'Price History'!H78-1),"")</f>
        <v>-0.0242080378250591</v>
      </c>
      <c r="I78" s="136" t="n">
        <f aca="false">IFERROR(IF(OR(NOT(ISNUMBER('Price History'!I79)),NOT(ISNUMBER('Price History'!I78)),'Price History'!I78=0),"",'Price History'!I79/'Price History'!I78-1),"")</f>
        <v>0.0356546365550794</v>
      </c>
      <c r="J78" s="136" t="n">
        <f aca="false">IFERROR(IF(OR(NOT(ISNUMBER('Price History'!J79)),NOT(ISNUMBER('Price History'!J78)),'Price History'!J78=0),"",'Price History'!J79/'Price History'!J78-1),"")</f>
        <v>0.0863171355498722</v>
      </c>
      <c r="K78" s="136" t="n">
        <f aca="false">IFERROR(IF(OR(NOT(ISNUMBER('Price History'!K79)),NOT(ISNUMBER('Price History'!K78)),'Price History'!K78=0),"",'Price History'!K79/'Price History'!K78-1),"")</f>
        <v>0.100459802145743</v>
      </c>
      <c r="L78" s="136" t="n">
        <f aca="false">IFERROR(IF(OR(NOT(ISNUMBER('Price History'!L79)),NOT(ISNUMBER('Price History'!L78)),'Price History'!L78=0),"",'Price History'!L79/'Price History'!L78-1),"")</f>
        <v>0.0490780141843972</v>
      </c>
      <c r="M78" s="136" t="n">
        <f aca="false">IFERROR(IF(OR(NOT(ISNUMBER('Price History'!M79)),NOT(ISNUMBER('Price History'!M78)),'Price History'!M78=0),"",'Price History'!M79/'Price History'!M78-1),"")</f>
        <v>0.0768324992640566</v>
      </c>
      <c r="N78" s="136" t="n">
        <f aca="false">IFERROR(IF(OR(NOT(ISNUMBER('Price History'!N79)),NOT(ISNUMBER('Price History'!N78)),'Price History'!N78=0),"",'Price History'!N79/'Price History'!N78-1),"")</f>
        <v>0.0417535545023697</v>
      </c>
      <c r="O78" s="136" t="n">
        <f aca="false">IFERROR(IF(OR(NOT(ISNUMBER('Price History'!O79)),NOT(ISNUMBER('Price History'!O78)),'Price History'!O78=0),"",'Price History'!O79/'Price History'!O78-1),"")</f>
        <v>0.00503423278292381</v>
      </c>
      <c r="P78" s="136" t="str">
        <f aca="false">IFERROR(IF(OR(NOT(ISNUMBER('Price History'!P79)),NOT(ISNUMBER('Price History'!P78)),'Price History'!P78=0),"",'Price History'!P79/'Price History'!P78-1),"")</f>
        <v/>
      </c>
      <c r="Q78" s="136" t="n">
        <f aca="false">IFERROR(IF(OR(NOT(ISNUMBER('Price History'!Q79)),NOT(ISNUMBER('Price History'!Q78)),'Price History'!Q78=0),"",'Price History'!Q79/'Price History'!Q78-1),"")</f>
        <v>-0.0141786179921772</v>
      </c>
      <c r="R78" s="136" t="n">
        <f aca="false">IFERROR(IF(OR(NOT(ISNUMBER('Price History'!R79)),NOT(ISNUMBER('Price History'!R78)),'Price History'!R78=0),"",'Price History'!R79/'Price History'!R78-1),"")</f>
        <v>0.0139689191548804</v>
      </c>
      <c r="S78" s="136" t="n">
        <f aca="false">IFERROR(IF(OR(NOT(ISNUMBER('Price History'!S79)),NOT(ISNUMBER('Price History'!S78)),'Price History'!S78=0),"",'Price History'!S79/'Price History'!S78-1),"")</f>
        <v>0.0271667511403952</v>
      </c>
      <c r="T78" s="136" t="n">
        <f aca="false">IFERROR(IF(OR(NOT(ISNUMBER('Price History'!T79)),NOT(ISNUMBER('Price History'!T78)),'Price History'!T78=0),"",'Price History'!T79/'Price History'!T78-1),"")</f>
        <v>0.00251466890192797</v>
      </c>
      <c r="U78" s="136" t="str">
        <f aca="false">IFERROR(IF(OR(NOT(ISNUMBER('Price History'!U79)),NOT(ISNUMBER('Price History'!U78)),'Price History'!U78=0),"",'Price History'!U79/'Price History'!U78-1),"")</f>
        <v/>
      </c>
      <c r="W78" s="137" t="n">
        <f aca="false">'Price History'!B3+('Price History'!B158-'Price History'!B3)*0.487012987012987</f>
        <v>382.781168831169</v>
      </c>
      <c r="X78" s="137" t="n">
        <f aca="false">'Price History'!C3+('Price History'!C158-'Price History'!C3)*0.487012987012987</f>
        <v>110.270844155844</v>
      </c>
      <c r="Y78" s="137" t="n">
        <f aca="false">'Price History'!D3+('Price History'!D158-'Price History'!D3)*0.487012987012987</f>
        <v>1132.8287012987</v>
      </c>
      <c r="Z78" s="137" t="n">
        <f aca="false">'Price History'!E3+('Price History'!E158-'Price History'!E3)*0.487012987012987</f>
        <v>232.152077922078</v>
      </c>
      <c r="AA78" s="137" t="n">
        <f aca="false">'Price History'!F3+('Price History'!F158-'Price History'!F3)*0.487012987012987</f>
        <v>111.962597402597</v>
      </c>
      <c r="AB78" s="137" t="n">
        <f aca="false">'Price History'!G3+('Price History'!G158-'Price History'!G3)*0.487012987012987</f>
        <v>113.607792207792</v>
      </c>
      <c r="AC78" s="137" t="n">
        <f aca="false">'Price History'!H3+('Price History'!H158-'Price History'!H3)*0.487012987012987</f>
        <v>433.847272727273</v>
      </c>
      <c r="AD78" s="137" t="n">
        <f aca="false">'Price History'!I3+('Price History'!I158-'Price History'!I3)*0.487012987012987</f>
        <v>118.723376623377</v>
      </c>
      <c r="AE78" s="137" t="n">
        <f aca="false">'Price History'!J3+('Price History'!J158-'Price History'!J3)*0.487012987012987</f>
        <v>133.785974025974</v>
      </c>
      <c r="AF78" s="137" t="n">
        <f aca="false">'Price History'!K3+('Price History'!K158-'Price History'!K3)*0.487012987012987</f>
        <v>67.8369480519481</v>
      </c>
      <c r="AG78" s="137" t="n">
        <f aca="false">'Price History'!L3+('Price History'!L158-'Price History'!L3)*0.487012987012987</f>
        <v>244.064675324675</v>
      </c>
      <c r="AH78" s="137" t="n">
        <f aca="false">'Price History'!M3+('Price History'!M158-'Price History'!M3)*0.487012987012987</f>
        <v>134.837922077922</v>
      </c>
      <c r="AI78" s="137" t="n">
        <f aca="false">'Price History'!N3+('Price History'!N158-'Price History'!N3)*0.487012987012987</f>
        <v>411.827532467533</v>
      </c>
      <c r="AJ78" s="137" t="n">
        <f aca="false">'Price History'!O3+('Price History'!O158-'Price History'!O3)*0.487012987012987</f>
        <v>103.513961038961</v>
      </c>
      <c r="AK78" s="137" t="n">
        <f aca="false">'Price History'!Q3+('Price History'!Q151-'Price History'!Q3)*0.487012987012987</f>
        <v>58.9033116883117</v>
      </c>
      <c r="AL78" s="137" t="n">
        <f aca="false">'Price History'!R3+('Price History'!R158-'Price History'!R3)*0.487012987012987</f>
        <v>52.8995454545455</v>
      </c>
      <c r="AM78" s="137" t="n">
        <f aca="false">'Price History'!S3+('Price History'!S158-'Price History'!S3)*0.487012987012987</f>
        <v>100.077337662338</v>
      </c>
      <c r="AN78" s="137" t="n">
        <f aca="false">'Price History'!T3+('Price History'!T158-'Price History'!T3)*0.487012987012987</f>
        <v>38.0285064935065</v>
      </c>
    </row>
    <row r="79" customFormat="false" ht="15" hidden="false" customHeight="true" outlineLevel="0" collapsed="false">
      <c r="A79" s="135" t="n">
        <f aca="false">IF('Price History'!A80="","",'Price History'!A80)</f>
        <v>45688</v>
      </c>
      <c r="B79" s="136" t="n">
        <f aca="false">IFERROR(IF(OR(NOT(ISNUMBER('Price History'!B80)),NOT(ISNUMBER('Price History'!B79)),'Price History'!B79=0),"",'Price History'!B80/'Price History'!B79-1),"")</f>
        <v>0.00475446736184471</v>
      </c>
      <c r="C79" s="136" t="n">
        <f aca="false">IFERROR(IF(OR(NOT(ISNUMBER('Price History'!C80)),NOT(ISNUMBER('Price History'!C79)),'Price History'!C79=0),"",'Price History'!C80/'Price History'!C79-1),"")</f>
        <v>-0.107919795618177</v>
      </c>
      <c r="D79" s="136" t="n">
        <f aca="false">IFERROR(IF(OR(NOT(ISNUMBER('Price History'!D80)),NOT(ISNUMBER('Price History'!D79)),'Price History'!D79=0),"",'Price History'!D80/'Price History'!D79-1),"")</f>
        <v>0.00964151587572548</v>
      </c>
      <c r="E79" s="136" t="n">
        <f aca="false">IFERROR(IF(OR(NOT(ISNUMBER('Price History'!E80)),NOT(ISNUMBER('Price History'!E79)),'Price History'!E79=0),"",'Price History'!E80/'Price History'!E79-1),"")</f>
        <v>-0.0957498978340825</v>
      </c>
      <c r="F79" s="136" t="n">
        <f aca="false">IFERROR(IF(OR(NOT(ISNUMBER('Price History'!F80)),NOT(ISNUMBER('Price History'!F79)),'Price History'!F79=0),"",'Price History'!F80/'Price History'!F79-1),"")</f>
        <v>0.0617731782780326</v>
      </c>
      <c r="G79" s="136" t="n">
        <f aca="false">IFERROR(IF(OR(NOT(ISNUMBER('Price History'!G80)),NOT(ISNUMBER('Price History'!G79)),'Price History'!G79=0),"",'Price History'!G80/'Price History'!G79-1),"")</f>
        <v>-0.0154707922112565</v>
      </c>
      <c r="H79" s="136" t="n">
        <f aca="false">IFERROR(IF(OR(NOT(ISNUMBER('Price History'!H80)),NOT(ISNUMBER('Price History'!H79)),'Price History'!H79=0),"",'Price History'!H80/'Price History'!H79-1),"")</f>
        <v>-0.115805795135188</v>
      </c>
      <c r="I79" s="136" t="n">
        <f aca="false">IFERROR(IF(OR(NOT(ISNUMBER('Price History'!I80)),NOT(ISNUMBER('Price History'!I79)),'Price History'!I79=0),"",'Price History'!I80/'Price History'!I79-1),"")</f>
        <v>-0.158112466694713</v>
      </c>
      <c r="J79" s="136" t="n">
        <f aca="false">IFERROR(IF(OR(NOT(ISNUMBER('Price History'!J80)),NOT(ISNUMBER('Price History'!J79)),'Price History'!J79=0),"",'Price History'!J80/'Price History'!J79-1),"")</f>
        <v>0.00269065837047</v>
      </c>
      <c r="K79" s="136" t="n">
        <f aca="false">IFERROR(IF(OR(NOT(ISNUMBER('Price History'!K80)),NOT(ISNUMBER('Price History'!K79)),'Price History'!K79=0),"",'Price History'!K80/'Price History'!K79-1),"")</f>
        <v>0.0444416307926057</v>
      </c>
      <c r="L79" s="136" t="n">
        <f aca="false">IFERROR(IF(OR(NOT(ISNUMBER('Price History'!L80)),NOT(ISNUMBER('Price History'!L79)),'Price History'!L79=0),"",'Price History'!L80/'Price History'!L79-1),"")</f>
        <v>-0.0566071750495764</v>
      </c>
      <c r="M79" s="136" t="n">
        <f aca="false">IFERROR(IF(OR(NOT(ISNUMBER('Price History'!M80)),NOT(ISNUMBER('Price History'!M79)),'Price History'!M79=0),"",'Price History'!M80/'Price History'!M79-1),"")</f>
        <v>-0.200246036085292</v>
      </c>
      <c r="N79" s="136" t="n">
        <f aca="false">IFERROR(IF(OR(NOT(ISNUMBER('Price History'!N80)),NOT(ISNUMBER('Price History'!N79)),'Price History'!N79=0),"",'Price History'!N80/'Price History'!N79-1),"")</f>
        <v>0.0501797006505618</v>
      </c>
      <c r="O79" s="136" t="n">
        <f aca="false">IFERROR(IF(OR(NOT(ISNUMBER('Price History'!O80)),NOT(ISNUMBER('Price History'!O79)),'Price History'!O79=0),"",'Price History'!O80/'Price History'!O79-1),"")</f>
        <v>-0.0151272290122219</v>
      </c>
      <c r="P79" s="136" t="str">
        <f aca="false">IFERROR(IF(OR(NOT(ISNUMBER('Price History'!P80)),NOT(ISNUMBER('Price History'!P79)),'Price History'!P79=0),"",'Price History'!P80/'Price History'!P79-1),"")</f>
        <v/>
      </c>
      <c r="Q79" s="136" t="n">
        <f aca="false">IFERROR(IF(OR(NOT(ISNUMBER('Price History'!Q80)),NOT(ISNUMBER('Price History'!Q79)),'Price History'!Q79=0),"",'Price History'!Q80/'Price History'!Q79-1),"")</f>
        <v>-0.00214911555629038</v>
      </c>
      <c r="R79" s="136" t="n">
        <f aca="false">IFERROR(IF(OR(NOT(ISNUMBER('Price History'!R80)),NOT(ISNUMBER('Price History'!R79)),'Price History'!R79=0),"",'Price History'!R80/'Price History'!R79-1),"")</f>
        <v>-0.0103323574995695</v>
      </c>
      <c r="S79" s="136" t="n">
        <f aca="false">IFERROR(IF(OR(NOT(ISNUMBER('Price History'!S80)),NOT(ISNUMBER('Price History'!S79)),'Price History'!S79=0),"",'Price History'!S80/'Price History'!S79-1),"")</f>
        <v>-0.0127306819303266</v>
      </c>
      <c r="T79" s="136" t="n">
        <f aca="false">IFERROR(IF(OR(NOT(ISNUMBER('Price History'!T80)),NOT(ISNUMBER('Price History'!T79)),'Price History'!T79=0),"",'Price History'!T80/'Price History'!T79-1),"")</f>
        <v>-0.0103121516164996</v>
      </c>
      <c r="U79" s="136" t="str">
        <f aca="false">IFERROR(IF(OR(NOT(ISNUMBER('Price History'!U80)),NOT(ISNUMBER('Price History'!U79)),'Price History'!U79=0),"",'Price History'!U80/'Price History'!U79-1),"")</f>
        <v/>
      </c>
      <c r="W79" s="137" t="n">
        <f aca="false">'Price History'!B3+('Price History'!B158-'Price History'!B3)*0.493506493506494</f>
        <v>381.105584415584</v>
      </c>
      <c r="X79" s="137" t="n">
        <f aca="false">'Price History'!C3+('Price History'!C158-'Price History'!C3)*0.493506493506494</f>
        <v>111.157922077922</v>
      </c>
      <c r="Y79" s="137" t="n">
        <f aca="false">'Price History'!D3+('Price History'!D158-'Price History'!D3)*0.493506493506494</f>
        <v>1139.10935064935</v>
      </c>
      <c r="Z79" s="137" t="n">
        <f aca="false">'Price History'!E3+('Price History'!E158-'Price History'!E3)*0.493506493506494</f>
        <v>234.141038961039</v>
      </c>
      <c r="AA79" s="137" t="n">
        <f aca="false">'Price History'!F3+('Price History'!F158-'Price History'!F3)*0.493506493506494</f>
        <v>112.961298701299</v>
      </c>
      <c r="AB79" s="137" t="n">
        <f aca="false">'Price History'!G3+('Price History'!G158-'Price History'!G3)*0.493506493506494</f>
        <v>114.483896103896</v>
      </c>
      <c r="AC79" s="137" t="n">
        <f aca="false">'Price History'!H3+('Price History'!H158-'Price History'!H3)*0.493506493506494</f>
        <v>438.773636363637</v>
      </c>
      <c r="AD79" s="137" t="n">
        <f aca="false">'Price History'!I3+('Price History'!I158-'Price History'!I3)*0.493506493506494</f>
        <v>119.761688311688</v>
      </c>
      <c r="AE79" s="137" t="n">
        <f aca="false">'Price History'!J3+('Price History'!J158-'Price History'!J3)*0.493506493506494</f>
        <v>133.922987012987</v>
      </c>
      <c r="AF79" s="137" t="n">
        <f aca="false">'Price History'!K3+('Price History'!K158-'Price History'!K3)*0.493506493506494</f>
        <v>68.5359740259741</v>
      </c>
      <c r="AG79" s="137" t="n">
        <f aca="false">'Price History'!L3+('Price History'!L158-'Price History'!L3)*0.493506493506494</f>
        <v>246.092337662338</v>
      </c>
      <c r="AH79" s="137" t="n">
        <f aca="false">'Price History'!M3+('Price History'!M158-'Price History'!M3)*0.493506493506494</f>
        <v>136.188961038961</v>
      </c>
      <c r="AI79" s="137" t="n">
        <f aca="false">'Price History'!N3+('Price History'!N158-'Price History'!N3)*0.493506493506494</f>
        <v>412.653766233766</v>
      </c>
      <c r="AJ79" s="137" t="n">
        <f aca="false">'Price History'!O3+('Price History'!O158-'Price History'!O3)*0.493506493506494</f>
        <v>103.789480519481</v>
      </c>
      <c r="AK79" s="137" t="n">
        <f aca="false">'Price History'!Q3+('Price History'!Q151-'Price History'!Q3)*0.493506493506494</f>
        <v>59.0241558441559</v>
      </c>
      <c r="AL79" s="137" t="n">
        <f aca="false">'Price History'!R3+('Price History'!R158-'Price History'!R3)*0.493506493506494</f>
        <v>52.9672727272727</v>
      </c>
      <c r="AM79" s="137" t="n">
        <f aca="false">'Price History'!S3+('Price History'!S158-'Price History'!S3)*0.493506493506494</f>
        <v>100.631168831169</v>
      </c>
      <c r="AN79" s="137" t="n">
        <f aca="false">'Price History'!T3+('Price History'!T158-'Price History'!T3)*0.493506493506494</f>
        <v>38.1767532467533</v>
      </c>
    </row>
    <row r="80" customFormat="false" ht="15" hidden="false" customHeight="true" outlineLevel="0" collapsed="false">
      <c r="A80" s="135" t="n">
        <f aca="false">IF('Price History'!A81="","",'Price History'!A81)</f>
        <v>45695</v>
      </c>
      <c r="B80" s="136" t="n">
        <f aca="false">IFERROR(IF(OR(NOT(ISNUMBER('Price History'!B81)),NOT(ISNUMBER('Price History'!B80)),'Price History'!B80=0),"",'Price History'!B81/'Price History'!B80-1),"")</f>
        <v>-0.0100125728654703</v>
      </c>
      <c r="C80" s="136" t="n">
        <f aca="false">IFERROR(IF(OR(NOT(ISNUMBER('Price History'!C81)),NOT(ISNUMBER('Price History'!C80)),'Price History'!C80=0),"",'Price History'!C81/'Price History'!C80-1),"")</f>
        <v>0.028117677688102</v>
      </c>
      <c r="D80" s="136" t="n">
        <f aca="false">IFERROR(IF(OR(NOT(ISNUMBER('Price History'!D81)),NOT(ISNUMBER('Price History'!D80)),'Price History'!D80=0),"",'Price History'!D81/'Price History'!D80-1),"")</f>
        <v>-0.015703831951414</v>
      </c>
      <c r="E80" s="136" t="n">
        <f aca="false">IFERROR(IF(OR(NOT(ISNUMBER('Price History'!E81)),NOT(ISNUMBER('Price History'!E80)),'Price History'!E80=0),"",'Price History'!E81/'Price History'!E80-1),"")</f>
        <v>0.0162697157319112</v>
      </c>
      <c r="F80" s="136" t="n">
        <f aca="false">IFERROR(IF(OR(NOT(ISNUMBER('Price History'!F81)),NOT(ISNUMBER('Price History'!F80)),'Price History'!F80=0),"",'Price History'!F81/'Price History'!F80-1),"")</f>
        <v>0.0590836012861737</v>
      </c>
      <c r="G80" s="136" t="n">
        <f aca="false">IFERROR(IF(OR(NOT(ISNUMBER('Price History'!G81)),NOT(ISNUMBER('Price History'!G80)),'Price History'!G80=0),"",'Price History'!G81/'Price History'!G80-1),"")</f>
        <v>0.0128691411541588</v>
      </c>
      <c r="H80" s="136" t="n">
        <f aca="false">IFERROR(IF(OR(NOT(ISNUMBER('Price History'!H81)),NOT(ISNUMBER('Price History'!H80)),'Price History'!H80=0),"",'Price History'!H81/'Price History'!H80-1),"")</f>
        <v>0.0116177115300307</v>
      </c>
      <c r="I80" s="136" t="n">
        <f aca="false">IFERROR(IF(OR(NOT(ISNUMBER('Price History'!I81)),NOT(ISNUMBER('Price History'!I80)),'Price History'!I80=0),"",'Price History'!I81/'Price History'!I80-1),"")</f>
        <v>0.0813692012992422</v>
      </c>
      <c r="J80" s="136" t="n">
        <f aca="false">IFERROR(IF(OR(NOT(ISNUMBER('Price History'!J81)),NOT(ISNUMBER('Price History'!J80)),'Price History'!J80=0),"",'Price History'!J81/'Price History'!J80-1),"")</f>
        <v>-0.0159329140461216</v>
      </c>
      <c r="K80" s="136" t="n">
        <f aca="false">IFERROR(IF(OR(NOT(ISNUMBER('Price History'!K81)),NOT(ISNUMBER('Price History'!K80)),'Price History'!K80=0),"",'Price History'!K81/'Price History'!K80-1),"")</f>
        <v>0.343799248393745</v>
      </c>
      <c r="L80" s="136" t="n">
        <f aca="false">IFERROR(IF(OR(NOT(ISNUMBER('Price History'!L81)),NOT(ISNUMBER('Price History'!L80)),'Price History'!L80=0),"",'Price History'!L81/'Price History'!L80-1),"")</f>
        <v>-0.0152875979361742</v>
      </c>
      <c r="M80" s="136" t="n">
        <f aca="false">IFERROR(IF(OR(NOT(ISNUMBER('Price History'!M81)),NOT(ISNUMBER('Price History'!M80)),'Price History'!M80=0),"",'Price History'!M81/'Price History'!M80-1),"")</f>
        <v>0.0372585882755085</v>
      </c>
      <c r="N80" s="136" t="n">
        <f aca="false">IFERROR(IF(OR(NOT(ISNUMBER('Price History'!N81)),NOT(ISNUMBER('Price History'!N80)),'Price History'!N80=0),"",'Price History'!N81/'Price History'!N80-1),"")</f>
        <v>0.0165482585340495</v>
      </c>
      <c r="O80" s="136" t="n">
        <f aca="false">IFERROR(IF(OR(NOT(ISNUMBER('Price History'!O81)),NOT(ISNUMBER('Price History'!O80)),'Price History'!O80=0),"",'Price History'!O81/'Price History'!O80-1),"")</f>
        <v>-0.0115959719255416</v>
      </c>
      <c r="P80" s="136" t="str">
        <f aca="false">IFERROR(IF(OR(NOT(ISNUMBER('Price History'!P81)),NOT(ISNUMBER('Price History'!P80)),'Price History'!P80=0),"",'Price History'!P81/'Price History'!P80-1),"")</f>
        <v/>
      </c>
      <c r="Q80" s="136" t="n">
        <f aca="false">IFERROR(IF(OR(NOT(ISNUMBER('Price History'!Q81)),NOT(ISNUMBER('Price History'!Q80)),'Price History'!Q80=0),"",'Price History'!Q81/'Price History'!Q80-1),"")</f>
        <v>-0.0129224652087475</v>
      </c>
      <c r="R80" s="136" t="n">
        <f aca="false">IFERROR(IF(OR(NOT(ISNUMBER('Price History'!R81)),NOT(ISNUMBER('Price History'!R80)),'Price History'!R80=0),"",'Price History'!R81/'Price History'!R80-1),"")</f>
        <v>-0.00522011484252649</v>
      </c>
      <c r="S80" s="136" t="n">
        <f aca="false">IFERROR(IF(OR(NOT(ISNUMBER('Price History'!S81)),NOT(ISNUMBER('Price History'!S80)),'Price History'!S80=0),"",'Price History'!S81/'Price History'!S80-1),"")</f>
        <v>0.0198920431827268</v>
      </c>
      <c r="T80" s="136" t="n">
        <f aca="false">IFERROR(IF(OR(NOT(ISNUMBER('Price History'!T81)),NOT(ISNUMBER('Price History'!T80)),'Price History'!T80=0),"",'Price History'!T81/'Price History'!T80-1),"")</f>
        <v>-0.00872993522951271</v>
      </c>
      <c r="U80" s="136" t="str">
        <f aca="false">IFERROR(IF(OR(NOT(ISNUMBER('Price History'!U81)),NOT(ISNUMBER('Price History'!U80)),'Price History'!U80=0),"",'Price History'!U81/'Price History'!U80-1),"")</f>
        <v/>
      </c>
      <c r="W80" s="137" t="n">
        <f aca="false">'Price History'!B3+('Price History'!B158-'Price History'!B3)*0.5</f>
        <v>379.43</v>
      </c>
      <c r="X80" s="137" t="n">
        <f aca="false">'Price History'!C3+('Price History'!C158-'Price History'!C3)*0.5</f>
        <v>112.045</v>
      </c>
      <c r="Y80" s="137" t="n">
        <f aca="false">'Price History'!D3+('Price History'!D158-'Price History'!D3)*0.5</f>
        <v>1145.39</v>
      </c>
      <c r="Z80" s="137" t="n">
        <f aca="false">'Price History'!E3+('Price History'!E158-'Price History'!E3)*0.5</f>
        <v>236.13</v>
      </c>
      <c r="AA80" s="137" t="n">
        <f aca="false">'Price History'!F3+('Price History'!F158-'Price History'!F3)*0.5</f>
        <v>113.96</v>
      </c>
      <c r="AB80" s="137" t="n">
        <f aca="false">'Price History'!G3+('Price History'!G158-'Price History'!G3)*0.5</f>
        <v>115.36</v>
      </c>
      <c r="AC80" s="137" t="n">
        <f aca="false">'Price History'!H3+('Price History'!H158-'Price History'!H3)*0.5</f>
        <v>443.7</v>
      </c>
      <c r="AD80" s="137" t="n">
        <f aca="false">'Price History'!I3+('Price History'!I158-'Price History'!I3)*0.5</f>
        <v>120.8</v>
      </c>
      <c r="AE80" s="137" t="n">
        <f aca="false">'Price History'!J3+('Price History'!J158-'Price History'!J3)*0.5</f>
        <v>134.06</v>
      </c>
      <c r="AF80" s="137" t="n">
        <f aca="false">'Price History'!K3+('Price History'!K158-'Price History'!K3)*0.5</f>
        <v>69.235</v>
      </c>
      <c r="AG80" s="137" t="n">
        <f aca="false">'Price History'!L3+('Price History'!L158-'Price History'!L3)*0.5</f>
        <v>248.12</v>
      </c>
      <c r="AH80" s="137" t="n">
        <f aca="false">'Price History'!M3+('Price History'!M158-'Price History'!M3)*0.5</f>
        <v>137.54</v>
      </c>
      <c r="AI80" s="137" t="n">
        <f aca="false">'Price History'!N3+('Price History'!N158-'Price History'!N3)*0.5</f>
        <v>413.48</v>
      </c>
      <c r="AJ80" s="137" t="n">
        <f aca="false">'Price History'!O3+('Price History'!O158-'Price History'!O3)*0.5</f>
        <v>104.065</v>
      </c>
      <c r="AK80" s="137" t="n">
        <f aca="false">'Price History'!Q3+('Price History'!Q151-'Price History'!Q3)*0.5</f>
        <v>59.145</v>
      </c>
      <c r="AL80" s="137" t="n">
        <f aca="false">'Price History'!R3+('Price History'!R158-'Price History'!R3)*0.5</f>
        <v>53.035</v>
      </c>
      <c r="AM80" s="137" t="n">
        <f aca="false">'Price History'!S3+('Price History'!S158-'Price History'!S3)*0.5</f>
        <v>101.185</v>
      </c>
      <c r="AN80" s="137" t="n">
        <f aca="false">'Price History'!T3+('Price History'!T158-'Price History'!T3)*0.5</f>
        <v>38.325</v>
      </c>
    </row>
    <row r="81" customFormat="false" ht="15" hidden="false" customHeight="true" outlineLevel="0" collapsed="false">
      <c r="A81" s="135" t="n">
        <f aca="false">IF('Price History'!A82="","",'Price History'!A82)</f>
        <v>45702</v>
      </c>
      <c r="B81" s="136" t="n">
        <f aca="false">IFERROR(IF(OR(NOT(ISNUMBER('Price History'!B82)),NOT(ISNUMBER('Price History'!B81)),'Price History'!B81=0),"",'Price History'!B82/'Price History'!B81-1),"")</f>
        <v>0.0625533978340684</v>
      </c>
      <c r="C81" s="136" t="n">
        <f aca="false">IFERROR(IF(OR(NOT(ISNUMBER('Price History'!C82)),NOT(ISNUMBER('Price History'!C81)),'Price History'!C81=0),"",'Price History'!C82/'Price History'!C81-1),"")</f>
        <v>-0.0979150839875074</v>
      </c>
      <c r="D81" s="136" t="n">
        <f aca="false">IFERROR(IF(OR(NOT(ISNUMBER('Price History'!D82)),NOT(ISNUMBER('Price History'!D81)),'Price History'!D81=0),"",'Price History'!D82/'Price History'!D81-1),"")</f>
        <v>0.0327744949841966</v>
      </c>
      <c r="E81" s="136" t="n">
        <f aca="false">IFERROR(IF(OR(NOT(ISNUMBER('Price History'!E82)),NOT(ISNUMBER('Price History'!E81)),'Price History'!E81=0),"",'Price History'!E82/'Price History'!E81-1),"")</f>
        <v>0.0363321029928403</v>
      </c>
      <c r="F81" s="136" t="n">
        <f aca="false">IFERROR(IF(OR(NOT(ISNUMBER('Price History'!F82)),NOT(ISNUMBER('Price History'!F81)),'Price History'!F81=0),"",'Price History'!F82/'Price History'!F81-1),"")</f>
        <v>0.0715370018975332</v>
      </c>
      <c r="G81" s="136" t="n">
        <f aca="false">IFERROR(IF(OR(NOT(ISNUMBER('Price History'!G82)),NOT(ISNUMBER('Price History'!G81)),'Price History'!G81=0),"",'Price History'!G82/'Price History'!G81-1),"")</f>
        <v>0.00401230440016054</v>
      </c>
      <c r="H81" s="136" t="n">
        <f aca="false">IFERROR(IF(OR(NOT(ISNUMBER('Price History'!H82)),NOT(ISNUMBER('Price History'!H81)),'Price History'!H81=0),"",'Price History'!H82/'Price History'!H81-1),"")</f>
        <v>0.0782231852654387</v>
      </c>
      <c r="I81" s="136" t="n">
        <f aca="false">IFERROR(IF(OR(NOT(ISNUMBER('Price History'!I82)),NOT(ISNUMBER('Price History'!I81)),'Price History'!I81=0),"",'Price History'!I82/'Price History'!I81-1),"")</f>
        <v>0.0693930991990142</v>
      </c>
      <c r="J81" s="136" t="n">
        <f aca="false">IFERROR(IF(OR(NOT(ISNUMBER('Price History'!J82)),NOT(ISNUMBER('Price History'!J81)),'Price History'!J81=0),"",'Price History'!J82/'Price History'!J81-1),"")</f>
        <v>0.0298253089049851</v>
      </c>
      <c r="K81" s="136" t="n">
        <f aca="false">IFERROR(IF(OR(NOT(ISNUMBER('Price History'!K82)),NOT(ISNUMBER('Price History'!K81)),'Price History'!K81=0),"",'Price History'!K82/'Price History'!K81-1),"")</f>
        <v>0.0749661705006766</v>
      </c>
      <c r="L81" s="136" t="n">
        <f aca="false">IFERROR(IF(OR(NOT(ISNUMBER('Price History'!L82)),NOT(ISNUMBER('Price History'!L81)),'Price History'!L81=0),"",'Price History'!L82/'Price History'!L81-1),"")</f>
        <v>-0.0107704249951485</v>
      </c>
      <c r="M81" s="136" t="n">
        <f aca="false">IFERROR(IF(OR(NOT(ISNUMBER('Price History'!M82)),NOT(ISNUMBER('Price History'!M81)),'Price History'!M81=0),"",'Price History'!M82/'Price History'!M81-1),"")</f>
        <v>-0.109820398747734</v>
      </c>
      <c r="N81" s="136" t="n">
        <f aca="false">IFERROR(IF(OR(NOT(ISNUMBER('Price History'!N82)),NOT(ISNUMBER('Price History'!N81)),'Price History'!N81=0),"",'Price History'!N82/'Price History'!N81-1),"")</f>
        <v>-0.0219892610585528</v>
      </c>
      <c r="O81" s="136" t="n">
        <f aca="false">IFERROR(IF(OR(NOT(ISNUMBER('Price History'!O82)),NOT(ISNUMBER('Price History'!O81)),'Price History'!O81=0),"",'Price History'!O82/'Price History'!O81-1),"")</f>
        <v>0.00308737264587844</v>
      </c>
      <c r="P81" s="136" t="str">
        <f aca="false">IFERROR(IF(OR(NOT(ISNUMBER('Price History'!P82)),NOT(ISNUMBER('Price History'!P81)),'Price History'!P81=0),"",'Price History'!P82/'Price History'!P81-1),"")</f>
        <v/>
      </c>
      <c r="Q81" s="136" t="n">
        <f aca="false">IFERROR(IF(OR(NOT(ISNUMBER('Price History'!Q82)),NOT(ISNUMBER('Price History'!Q81)),'Price History'!Q81=0),"",'Price History'!Q82/'Price History'!Q81-1),"")</f>
        <v>-0.03877139979859</v>
      </c>
      <c r="R81" s="136" t="n">
        <f aca="false">IFERROR(IF(OR(NOT(ISNUMBER('Price History'!R82)),NOT(ISNUMBER('Price History'!R81)),'Price History'!R81=0),"",'Price History'!R82/'Price History'!R81-1),"")</f>
        <v>0.0192408605912191</v>
      </c>
      <c r="S81" s="136" t="n">
        <f aca="false">IFERROR(IF(OR(NOT(ISNUMBER('Price History'!S82)),NOT(ISNUMBER('Price History'!S81)),'Price History'!S81=0),"",'Price History'!S82/'Price History'!S81-1),"")</f>
        <v>0.0100950700774283</v>
      </c>
      <c r="T81" s="136" t="n">
        <f aca="false">IFERROR(IF(OR(NOT(ISNUMBER('Price History'!T82)),NOT(ISNUMBER('Price History'!T81)),'Price History'!T81=0),"",'Price History'!T82/'Price History'!T81-1),"")</f>
        <v>0.0116477272727271</v>
      </c>
      <c r="U81" s="136" t="str">
        <f aca="false">IFERROR(IF(OR(NOT(ISNUMBER('Price History'!U82)),NOT(ISNUMBER('Price History'!U81)),'Price History'!U81=0),"",'Price History'!U82/'Price History'!U81-1),"")</f>
        <v/>
      </c>
      <c r="W81" s="137" t="n">
        <f aca="false">'Price History'!B3+('Price History'!B158-'Price History'!B3)*0.506493506493506</f>
        <v>377.754415584416</v>
      </c>
      <c r="X81" s="137" t="n">
        <f aca="false">'Price History'!C3+('Price History'!C158-'Price History'!C3)*0.506493506493506</f>
        <v>112.932077922078</v>
      </c>
      <c r="Y81" s="137" t="n">
        <f aca="false">'Price History'!D3+('Price History'!D158-'Price History'!D3)*0.506493506493506</f>
        <v>1151.67064935065</v>
      </c>
      <c r="Z81" s="137" t="n">
        <f aca="false">'Price History'!E3+('Price History'!E158-'Price History'!E3)*0.506493506493506</f>
        <v>238.118961038961</v>
      </c>
      <c r="AA81" s="137" t="n">
        <f aca="false">'Price History'!F3+('Price History'!F158-'Price History'!F3)*0.506493506493506</f>
        <v>114.958701298701</v>
      </c>
      <c r="AB81" s="137" t="n">
        <f aca="false">'Price History'!G3+('Price History'!G158-'Price History'!G3)*0.506493506493506</f>
        <v>116.236103896104</v>
      </c>
      <c r="AC81" s="137" t="n">
        <f aca="false">'Price History'!H3+('Price History'!H158-'Price History'!H3)*0.506493506493506</f>
        <v>448.626363636363</v>
      </c>
      <c r="AD81" s="137" t="n">
        <f aca="false">'Price History'!I3+('Price History'!I158-'Price History'!I3)*0.506493506493506</f>
        <v>121.838311688312</v>
      </c>
      <c r="AE81" s="137" t="n">
        <f aca="false">'Price History'!J3+('Price History'!J158-'Price History'!J3)*0.506493506493506</f>
        <v>134.197012987013</v>
      </c>
      <c r="AF81" s="137" t="n">
        <f aca="false">'Price History'!K3+('Price History'!K158-'Price History'!K3)*0.506493506493506</f>
        <v>69.9340259740259</v>
      </c>
      <c r="AG81" s="137" t="n">
        <f aca="false">'Price History'!L3+('Price History'!L158-'Price History'!L3)*0.506493506493506</f>
        <v>250.147662337662</v>
      </c>
      <c r="AH81" s="137" t="n">
        <f aca="false">'Price History'!M3+('Price History'!M158-'Price History'!M3)*0.506493506493506</f>
        <v>138.891038961039</v>
      </c>
      <c r="AI81" s="137" t="n">
        <f aca="false">'Price History'!N3+('Price History'!N158-'Price History'!N3)*0.506493506493506</f>
        <v>414.306233766234</v>
      </c>
      <c r="AJ81" s="137" t="n">
        <f aca="false">'Price History'!O3+('Price History'!O158-'Price History'!O3)*0.506493506493506</f>
        <v>104.340519480519</v>
      </c>
      <c r="AK81" s="137" t="n">
        <f aca="false">'Price History'!Q3+('Price History'!Q151-'Price History'!Q3)*0.506493506493506</f>
        <v>59.2658441558442</v>
      </c>
      <c r="AL81" s="137" t="n">
        <f aca="false">'Price History'!R3+('Price History'!R158-'Price History'!R3)*0.506493506493506</f>
        <v>53.1027272727273</v>
      </c>
      <c r="AM81" s="137" t="n">
        <f aca="false">'Price History'!S3+('Price History'!S158-'Price History'!S3)*0.506493506493506</f>
        <v>101.738831168831</v>
      </c>
      <c r="AN81" s="137" t="n">
        <f aca="false">'Price History'!T3+('Price History'!T158-'Price History'!T3)*0.506493506493506</f>
        <v>38.4732467532467</v>
      </c>
    </row>
    <row r="82" customFormat="false" ht="15" hidden="false" customHeight="true" outlineLevel="0" collapsed="false">
      <c r="A82" s="135" t="n">
        <f aca="false">IF('Price History'!A83="","",'Price History'!A83)</f>
        <v>45709</v>
      </c>
      <c r="B82" s="136" t="n">
        <f aca="false">IFERROR(IF(OR(NOT(ISNUMBER('Price History'!B83)),NOT(ISNUMBER('Price History'!B82)),'Price History'!B82=0),"",'Price History'!B83/'Price History'!B82-1),"")</f>
        <v>-0.03442280945758</v>
      </c>
      <c r="C82" s="136" t="n">
        <f aca="false">IFERROR(IF(OR(NOT(ISNUMBER('Price History'!C83)),NOT(ISNUMBER('Price History'!C82)),'Price History'!C82=0),"",'Price History'!C83/'Price History'!C82-1),"")</f>
        <v>-0.0801908861233275</v>
      </c>
      <c r="D82" s="136" t="n">
        <f aca="false">IFERROR(IF(OR(NOT(ISNUMBER('Price History'!D83)),NOT(ISNUMBER('Price History'!D82)),'Price History'!D82=0),"",'Price History'!D83/'Price History'!D82-1),"")</f>
        <v>-0.0190805668285542</v>
      </c>
      <c r="E82" s="136" t="n">
        <f aca="false">IFERROR(IF(OR(NOT(ISNUMBER('Price History'!E83)),NOT(ISNUMBER('Price History'!E82)),'Price History'!E82=0),"",'Price History'!E83/'Price History'!E82-1),"")</f>
        <v>-0.0617061448678339</v>
      </c>
      <c r="F82" s="136" t="n">
        <f aca="false">IFERROR(IF(OR(NOT(ISNUMBER('Price History'!F83)),NOT(ISNUMBER('Price History'!F82)),'Price History'!F82=0),"",'Price History'!F83/'Price History'!F82-1),"")</f>
        <v>-0.0997874977864353</v>
      </c>
      <c r="G82" s="136" t="n">
        <f aca="false">IFERROR(IF(OR(NOT(ISNUMBER('Price History'!G83)),NOT(ISNUMBER('Price History'!G82)),'Price History'!G82=0),"",'Price History'!G83/'Price History'!G82-1),"")</f>
        <v>0.00479552417743467</v>
      </c>
      <c r="H82" s="136" t="n">
        <f aca="false">IFERROR(IF(OR(NOT(ISNUMBER('Price History'!H83)),NOT(ISNUMBER('Price History'!H82)),'Price History'!H82=0),"",'Price History'!H83/'Price History'!H82-1),"")</f>
        <v>-0.00683279742765264</v>
      </c>
      <c r="I82" s="136" t="n">
        <f aca="false">IFERROR(IF(OR(NOT(ISNUMBER('Price History'!I83)),NOT(ISNUMBER('Price History'!I82)),'Price History'!I82=0),"",'Price History'!I83/'Price History'!I82-1),"")</f>
        <v>-0.0318329132157003</v>
      </c>
      <c r="J82" s="136" t="n">
        <f aca="false">IFERROR(IF(OR(NOT(ISNUMBER('Price History'!J83)),NOT(ISNUMBER('Price History'!J82)),'Price History'!J82=0),"",'Price History'!J83/'Price History'!J82-1),"")</f>
        <v>0.00099296648738112</v>
      </c>
      <c r="K82" s="136" t="n">
        <f aca="false">IFERROR(IF(OR(NOT(ISNUMBER('Price History'!K83)),NOT(ISNUMBER('Price History'!K82)),'Price History'!K82=0),"",'Price History'!K83/'Price History'!K82-1),"")</f>
        <v>-0.149462907015777</v>
      </c>
      <c r="L82" s="136" t="n">
        <f aca="false">IFERROR(IF(OR(NOT(ISNUMBER('Price History'!L83)),NOT(ISNUMBER('Price History'!L82)),'Price History'!L82=0),"",'Price History'!L83/'Price History'!L82-1),"")</f>
        <v>-0.0277587052476704</v>
      </c>
      <c r="M82" s="136" t="n">
        <f aca="false">IFERROR(IF(OR(NOT(ISNUMBER('Price History'!M83)),NOT(ISNUMBER('Price History'!M82)),'Price History'!M82=0),"",'Price History'!M83/'Price History'!M82-1),"")</f>
        <v>-0.111614993058769</v>
      </c>
      <c r="N82" s="136" t="n">
        <f aca="false">IFERROR(IF(OR(NOT(ISNUMBER('Price History'!N83)),NOT(ISNUMBER('Price History'!N82)),'Price History'!N82=0),"",'Price History'!N83/'Price History'!N82-1),"")</f>
        <v>0.0549891067538126</v>
      </c>
      <c r="O82" s="136" t="n">
        <f aca="false">IFERROR(IF(OR(NOT(ISNUMBER('Price History'!O83)),NOT(ISNUMBER('Price History'!O82)),'Price History'!O82=0),"",'Price History'!O83/'Price History'!O82-1),"")</f>
        <v>-0.0365240586847235</v>
      </c>
      <c r="P82" s="136" t="str">
        <f aca="false">IFERROR(IF(OR(NOT(ISNUMBER('Price History'!P83)),NOT(ISNUMBER('Price History'!P82)),'Price History'!P82=0),"",'Price History'!P83/'Price History'!P82-1),"")</f>
        <v/>
      </c>
      <c r="Q82" s="136" t="n">
        <f aca="false">IFERROR(IF(OR(NOT(ISNUMBER('Price History'!Q83)),NOT(ISNUMBER('Price History'!Q82)),'Price History'!Q82=0),"",'Price History'!Q83/'Price History'!Q82-1),"")</f>
        <v>0.0188580408590886</v>
      </c>
      <c r="R82" s="136" t="n">
        <f aca="false">IFERROR(IF(OR(NOT(ISNUMBER('Price History'!R83)),NOT(ISNUMBER('Price History'!R82)),'Price History'!R82=0),"",'Price History'!R83/'Price History'!R82-1),"")</f>
        <v>-0.0120130427321092</v>
      </c>
      <c r="S82" s="136" t="n">
        <f aca="false">IFERROR(IF(OR(NOT(ISNUMBER('Price History'!S83)),NOT(ISNUMBER('Price History'!S82)),'Price History'!S82=0),"",'Price History'!S83/'Price History'!S82-1),"")</f>
        <v>-0.0305647195808267</v>
      </c>
      <c r="T82" s="136" t="n">
        <f aca="false">IFERROR(IF(OR(NOT(ISNUMBER('Price History'!T83)),NOT(ISNUMBER('Price History'!T82)),'Price History'!T82=0),"",'Price History'!T83/'Price History'!T82-1),"")</f>
        <v>-0.00336983993260309</v>
      </c>
      <c r="U82" s="136" t="str">
        <f aca="false">IFERROR(IF(OR(NOT(ISNUMBER('Price History'!U83)),NOT(ISNUMBER('Price History'!U82)),'Price History'!U82=0),"",'Price History'!U83/'Price History'!U82-1),"")</f>
        <v/>
      </c>
      <c r="W82" s="137" t="n">
        <f aca="false">'Price History'!B3+('Price History'!B158-'Price History'!B3)*0.512987012987013</f>
        <v>376.078831168831</v>
      </c>
      <c r="X82" s="137" t="n">
        <f aca="false">'Price History'!C3+('Price History'!C158-'Price History'!C3)*0.512987012987013</f>
        <v>113.819155844156</v>
      </c>
      <c r="Y82" s="137" t="n">
        <f aca="false">'Price History'!D3+('Price History'!D158-'Price History'!D3)*0.512987012987013</f>
        <v>1157.9512987013</v>
      </c>
      <c r="Z82" s="137" t="n">
        <f aca="false">'Price History'!E3+('Price History'!E158-'Price History'!E3)*0.512987012987013</f>
        <v>240.107922077922</v>
      </c>
      <c r="AA82" s="137" t="n">
        <f aca="false">'Price History'!F3+('Price History'!F158-'Price History'!F3)*0.512987012987013</f>
        <v>115.957402597403</v>
      </c>
      <c r="AB82" s="137" t="n">
        <f aca="false">'Price History'!G3+('Price History'!G158-'Price History'!G3)*0.512987012987013</f>
        <v>117.112207792208</v>
      </c>
      <c r="AC82" s="137" t="n">
        <f aca="false">'Price History'!H3+('Price History'!H158-'Price History'!H3)*0.512987012987013</f>
        <v>453.552727272727</v>
      </c>
      <c r="AD82" s="137" t="n">
        <f aca="false">'Price History'!I3+('Price History'!I158-'Price History'!I3)*0.512987012987013</f>
        <v>122.876623376623</v>
      </c>
      <c r="AE82" s="137" t="n">
        <f aca="false">'Price History'!J3+('Price History'!J158-'Price History'!J3)*0.512987012987013</f>
        <v>134.334025974026</v>
      </c>
      <c r="AF82" s="137" t="n">
        <f aca="false">'Price History'!K3+('Price History'!K158-'Price History'!K3)*0.512987012987013</f>
        <v>70.633051948052</v>
      </c>
      <c r="AG82" s="137" t="n">
        <f aca="false">'Price History'!L3+('Price History'!L158-'Price History'!L3)*0.512987012987013</f>
        <v>252.175324675325</v>
      </c>
      <c r="AH82" s="137" t="n">
        <f aca="false">'Price History'!M3+('Price History'!M158-'Price History'!M3)*0.512987012987013</f>
        <v>140.242077922078</v>
      </c>
      <c r="AI82" s="137" t="n">
        <f aca="false">'Price History'!N3+('Price History'!N158-'Price History'!N3)*0.512987012987013</f>
        <v>415.132467532468</v>
      </c>
      <c r="AJ82" s="137" t="n">
        <f aca="false">'Price History'!O3+('Price History'!O158-'Price History'!O3)*0.512987012987013</f>
        <v>104.616038961039</v>
      </c>
      <c r="AK82" s="137" t="n">
        <f aca="false">'Price History'!Q3+('Price History'!Q151-'Price History'!Q3)*0.512987012987013</f>
        <v>59.3866883116883</v>
      </c>
      <c r="AL82" s="137" t="n">
        <f aca="false">'Price History'!R3+('Price History'!R158-'Price History'!R3)*0.512987012987013</f>
        <v>53.1704545454546</v>
      </c>
      <c r="AM82" s="137" t="n">
        <f aca="false">'Price History'!S3+('Price History'!S158-'Price History'!S3)*0.512987012987013</f>
        <v>102.292662337662</v>
      </c>
      <c r="AN82" s="137" t="n">
        <f aca="false">'Price History'!T3+('Price History'!T158-'Price History'!T3)*0.512987012987013</f>
        <v>38.6214935064935</v>
      </c>
    </row>
    <row r="83" customFormat="false" ht="15" hidden="false" customHeight="true" outlineLevel="0" collapsed="false">
      <c r="A83" s="135" t="n">
        <f aca="false">IF('Price History'!A84="","",'Price History'!A84)</f>
        <v>45716</v>
      </c>
      <c r="B83" s="136" t="n">
        <f aca="false">IFERROR(IF(OR(NOT(ISNUMBER('Price History'!B84)),NOT(ISNUMBER('Price History'!B83)),'Price History'!B83=0),"",'Price History'!B84/'Price History'!B83-1),"")</f>
        <v>-0.0129636298163486</v>
      </c>
      <c r="C83" s="136" t="n">
        <f aca="false">IFERROR(IF(OR(NOT(ISNUMBER('Price History'!C84)),NOT(ISNUMBER('Price History'!C83)),'Price History'!C83=0),"",'Price History'!C84/'Price History'!C83-1),"")</f>
        <v>-0.0534079348931842</v>
      </c>
      <c r="D83" s="136" t="n">
        <f aca="false">IFERROR(IF(OR(NOT(ISNUMBER('Price History'!D84)),NOT(ISNUMBER('Price History'!D83)),'Price History'!D83=0),"",'Price History'!D84/'Price History'!D83-1),"")</f>
        <v>-0.0381573771381288</v>
      </c>
      <c r="E83" s="136" t="n">
        <f aca="false">IFERROR(IF(OR(NOT(ISNUMBER('Price History'!E84)),NOT(ISNUMBER('Price History'!E83)),'Price History'!E83=0),"",'Price History'!E84/'Price History'!E83-1),"")</f>
        <v>-0.0879447544132442</v>
      </c>
      <c r="F83" s="136" t="n">
        <f aca="false">IFERROR(IF(OR(NOT(ISNUMBER('Price History'!F84)),NOT(ISNUMBER('Price History'!F83)),'Price History'!F83=0),"",'Price History'!F84/'Price History'!F83-1),"")</f>
        <v>-0.0418019081341595</v>
      </c>
      <c r="G83" s="136" t="n">
        <f aca="false">IFERROR(IF(OR(NOT(ISNUMBER('Price History'!G84)),NOT(ISNUMBER('Price History'!G83)),'Price History'!G83=0),"",'Price History'!G84/'Price History'!G83-1),"")</f>
        <v>-0.0603208272570597</v>
      </c>
      <c r="H83" s="136" t="n">
        <f aca="false">IFERROR(IF(OR(NOT(ISNUMBER('Price History'!H84)),NOT(ISNUMBER('Price History'!H83)),'Price History'!H83=0),"",'Price History'!H84/'Price History'!H83-1),"")</f>
        <v>-0.052711452853096</v>
      </c>
      <c r="I83" s="136" t="n">
        <f aca="false">IFERROR(IF(OR(NOT(ISNUMBER('Price History'!I84)),NOT(ISNUMBER('Price History'!I83)),'Price History'!I83=0),"",'Price History'!I84/'Price History'!I83-1),"")</f>
        <v>-0.0707431376924794</v>
      </c>
      <c r="J83" s="136" t="n">
        <f aca="false">IFERROR(IF(OR(NOT(ISNUMBER('Price History'!J84)),NOT(ISNUMBER('Price History'!J83)),'Price History'!J83=0),"",'Price History'!J84/'Price History'!J83-1),"")</f>
        <v>0.0243862114573861</v>
      </c>
      <c r="K83" s="136" t="n">
        <f aca="false">IFERROR(IF(OR(NOT(ISNUMBER('Price History'!K84)),NOT(ISNUMBER('Price History'!K83)),'Price History'!K83=0),"",'Price History'!K84/'Price History'!K83-1),"")</f>
        <v>-0.162111494819931</v>
      </c>
      <c r="L83" s="136" t="n">
        <f aca="false">IFERROR(IF(OR(NOT(ISNUMBER('Price History'!L84)),NOT(ISNUMBER('Price History'!L83)),'Price History'!L83=0),"",'Price History'!L84/'Price History'!L83-1),"")</f>
        <v>-0.0893361581920904</v>
      </c>
      <c r="M83" s="136" t="n">
        <f aca="false">IFERROR(IF(OR(NOT(ISNUMBER('Price History'!M84)),NOT(ISNUMBER('Price History'!M83)),'Price History'!M83=0),"",'Price History'!M84/'Price History'!M83-1),"")</f>
        <v>-0.00854255651630376</v>
      </c>
      <c r="N83" s="136" t="n">
        <f aca="false">IFERROR(IF(OR(NOT(ISNUMBER('Price History'!N84)),NOT(ISNUMBER('Price History'!N83)),'Price History'!N83=0),"",'Price History'!N84/'Price History'!N83-1),"")</f>
        <v>-0.00918965802081606</v>
      </c>
      <c r="O83" s="136" t="n">
        <f aca="false">IFERROR(IF(OR(NOT(ISNUMBER('Price History'!O84)),NOT(ISNUMBER('Price History'!O83)),'Price History'!O83=0),"",'Price History'!O84/'Price History'!O83-1),"")</f>
        <v>-0.0112874028324992</v>
      </c>
      <c r="P83" s="136" t="str">
        <f aca="false">IFERROR(IF(OR(NOT(ISNUMBER('Price History'!P84)),NOT(ISNUMBER('Price History'!P83)),'Price History'!P83=0),"",'Price History'!P84/'Price History'!P83-1),"")</f>
        <v/>
      </c>
      <c r="Q83" s="136" t="n">
        <f aca="false">IFERROR(IF(OR(NOT(ISNUMBER('Price History'!Q84)),NOT(ISNUMBER('Price History'!Q83)),'Price History'!Q83=0),"",'Price History'!Q84/'Price History'!Q83-1),"")</f>
        <v>-0.00599828620394172</v>
      </c>
      <c r="R83" s="136" t="n">
        <f aca="false">IFERROR(IF(OR(NOT(ISNUMBER('Price History'!R84)),NOT(ISNUMBER('Price History'!R83)),'Price History'!R83=0),"",'Price History'!R84/'Price History'!R83-1),"")</f>
        <v>-0.0276185513288172</v>
      </c>
      <c r="S83" s="136" t="n">
        <f aca="false">IFERROR(IF(OR(NOT(ISNUMBER('Price History'!S84)),NOT(ISNUMBER('Price History'!S83)),'Price History'!S83=0),"",'Price History'!S84/'Price History'!S83-1),"")</f>
        <v>-0.0011009908918026</v>
      </c>
      <c r="T83" s="136" t="n">
        <f aca="false">IFERROR(IF(OR(NOT(ISNUMBER('Price History'!T84)),NOT(ISNUMBER('Price History'!T83)),'Price History'!T83=0),"",'Price History'!T84/'Price History'!T83-1),"")</f>
        <v>-0.00479008171315865</v>
      </c>
      <c r="U83" s="136" t="str">
        <f aca="false">IFERROR(IF(OR(NOT(ISNUMBER('Price History'!U84)),NOT(ISNUMBER('Price History'!U83)),'Price History'!U83=0),"",'Price History'!U84/'Price History'!U83-1),"")</f>
        <v/>
      </c>
      <c r="W83" s="137" t="n">
        <f aca="false">'Price History'!B3+('Price History'!B158-'Price History'!B3)*0.519480519480519</f>
        <v>374.403246753247</v>
      </c>
      <c r="X83" s="137" t="n">
        <f aca="false">'Price History'!C3+('Price History'!C158-'Price History'!C3)*0.519480519480519</f>
        <v>114.706233766234</v>
      </c>
      <c r="Y83" s="137" t="n">
        <f aca="false">'Price History'!D3+('Price History'!D158-'Price History'!D3)*0.519480519480519</f>
        <v>1164.23194805195</v>
      </c>
      <c r="Z83" s="137" t="n">
        <f aca="false">'Price History'!E3+('Price History'!E158-'Price History'!E3)*0.519480519480519</f>
        <v>242.096883116883</v>
      </c>
      <c r="AA83" s="137" t="n">
        <f aca="false">'Price History'!F3+('Price History'!F158-'Price History'!F3)*0.519480519480519</f>
        <v>116.956103896104</v>
      </c>
      <c r="AB83" s="137" t="n">
        <f aca="false">'Price History'!G3+('Price History'!G158-'Price History'!G3)*0.519480519480519</f>
        <v>117.988311688312</v>
      </c>
      <c r="AC83" s="137" t="n">
        <f aca="false">'Price History'!H3+('Price History'!H158-'Price History'!H3)*0.519480519480519</f>
        <v>458.479090909091</v>
      </c>
      <c r="AD83" s="137" t="n">
        <f aca="false">'Price History'!I3+('Price History'!I158-'Price History'!I3)*0.519480519480519</f>
        <v>123.914935064935</v>
      </c>
      <c r="AE83" s="137" t="n">
        <f aca="false">'Price History'!J3+('Price History'!J158-'Price History'!J3)*0.519480519480519</f>
        <v>134.471038961039</v>
      </c>
      <c r="AF83" s="137" t="n">
        <f aca="false">'Price History'!K3+('Price History'!K158-'Price History'!K3)*0.519480519480519</f>
        <v>71.3320779220779</v>
      </c>
      <c r="AG83" s="137" t="n">
        <f aca="false">'Price History'!L3+('Price History'!L158-'Price History'!L3)*0.519480519480519</f>
        <v>254.202987012987</v>
      </c>
      <c r="AH83" s="137" t="n">
        <f aca="false">'Price History'!M3+('Price History'!M158-'Price History'!M3)*0.519480519480519</f>
        <v>141.593116883117</v>
      </c>
      <c r="AI83" s="137" t="n">
        <f aca="false">'Price History'!N3+('Price History'!N158-'Price History'!N3)*0.519480519480519</f>
        <v>415.958701298701</v>
      </c>
      <c r="AJ83" s="137" t="n">
        <f aca="false">'Price History'!O3+('Price History'!O158-'Price History'!O3)*0.519480519480519</f>
        <v>104.891558441558</v>
      </c>
      <c r="AK83" s="137" t="n">
        <f aca="false">'Price History'!Q3+('Price History'!Q151-'Price History'!Q3)*0.519480519480519</f>
        <v>59.5075324675325</v>
      </c>
      <c r="AL83" s="137" t="n">
        <f aca="false">'Price History'!R3+('Price History'!R158-'Price History'!R3)*0.519480519480519</f>
        <v>53.2381818181818</v>
      </c>
      <c r="AM83" s="137" t="n">
        <f aca="false">'Price History'!S3+('Price History'!S158-'Price History'!S3)*0.519480519480519</f>
        <v>102.846493506493</v>
      </c>
      <c r="AN83" s="137" t="n">
        <f aca="false">'Price History'!T3+('Price History'!T158-'Price History'!T3)*0.519480519480519</f>
        <v>38.7697402597402</v>
      </c>
    </row>
    <row r="84" customFormat="false" ht="15" hidden="false" customHeight="true" outlineLevel="0" collapsed="false">
      <c r="A84" s="135" t="n">
        <f aca="false">IF('Price History'!A85="","",'Price History'!A85)</f>
        <v>45723</v>
      </c>
      <c r="B84" s="136" t="n">
        <f aca="false">IFERROR(IF(OR(NOT(ISNUMBER('Price History'!B85)),NOT(ISNUMBER('Price History'!B84)),'Price History'!B84=0),"",'Price History'!B85/'Price History'!B84-1),"")</f>
        <v>0.0247172564757387</v>
      </c>
      <c r="C84" s="136" t="n">
        <f aca="false">IFERROR(IF(OR(NOT(ISNUMBER('Price History'!C85)),NOT(ISNUMBER('Price History'!C84)),'Price History'!C84=0),"",'Price History'!C85/'Price History'!C84-1),"")</f>
        <v>-0.10413756045137</v>
      </c>
      <c r="D84" s="136" t="n">
        <f aca="false">IFERROR(IF(OR(NOT(ISNUMBER('Price History'!D85)),NOT(ISNUMBER('Price History'!D84)),'Price History'!D84=0),"",'Price History'!D85/'Price History'!D84-1),"")</f>
        <v>0.0326338353923394</v>
      </c>
      <c r="E84" s="136" t="n">
        <f aca="false">IFERROR(IF(OR(NOT(ISNUMBER('Price History'!E85)),NOT(ISNUMBER('Price History'!E84)),'Price History'!E84=0),"",'Price History'!E85/'Price History'!E84-1),"")</f>
        <v>-0.0224138795567367</v>
      </c>
      <c r="F84" s="136" t="n">
        <f aca="false">IFERROR(IF(OR(NOT(ISNUMBER('Price History'!F85)),NOT(ISNUMBER('Price History'!F84)),'Price History'!F84=0),"",'Price History'!F85/'Price History'!F84-1),"")</f>
        <v>-0.144118250872511</v>
      </c>
      <c r="G84" s="136" t="n">
        <f aca="false">IFERROR(IF(OR(NOT(ISNUMBER('Price History'!G85)),NOT(ISNUMBER('Price History'!G84)),'Price History'!G84=0),"",'Price History'!G85/'Price History'!G84-1),"")</f>
        <v>0.00352708803611734</v>
      </c>
      <c r="H84" s="136" t="n">
        <f aca="false">IFERROR(IF(OR(NOT(ISNUMBER('Price History'!H85)),NOT(ISNUMBER('Price History'!H84)),'Price History'!H84=0),"",'Price History'!H85/'Price History'!H84-1),"")</f>
        <v>-0.00715582612410559</v>
      </c>
      <c r="I84" s="136" t="n">
        <f aca="false">IFERROR(IF(OR(NOT(ISNUMBER('Price History'!I85)),NOT(ISNUMBER('Price History'!I84)),'Price History'!I84=0),"",'Price History'!I85/'Price History'!I84-1),"")</f>
        <v>-0.0979026577009287</v>
      </c>
      <c r="J84" s="136" t="n">
        <f aca="false">IFERROR(IF(OR(NOT(ISNUMBER('Price History'!J85)),NOT(ISNUMBER('Price History'!J84)),'Price History'!J84=0),"",'Price History'!J85/'Price History'!J84-1),"")</f>
        <v>-0.0323595868302131</v>
      </c>
      <c r="K84" s="136" t="n">
        <f aca="false">IFERROR(IF(OR(NOT(ISNUMBER('Price History'!K85)),NOT(ISNUMBER('Price History'!K84)),'Price History'!K84=0),"",'Price History'!K85/'Price History'!K84-1),"")</f>
        <v>-0.000117757889778636</v>
      </c>
      <c r="L84" s="136" t="n">
        <f aca="false">IFERROR(IF(OR(NOT(ISNUMBER('Price History'!L85)),NOT(ISNUMBER('Price History'!L84)),'Price History'!L84=0),"",'Price History'!L85/'Price History'!L84-1),"")</f>
        <v>-0.0189996122528112</v>
      </c>
      <c r="M84" s="136" t="n">
        <f aca="false">IFERROR(IF(OR(NOT(ISNUMBER('Price History'!M85)),NOT(ISNUMBER('Price History'!M84)),'Price History'!M84=0),"",'Price History'!M85/'Price History'!M84-1),"")</f>
        <v>-0.106441105390354</v>
      </c>
      <c r="N84" s="136" t="n">
        <f aca="false">IFERROR(IF(OR(NOT(ISNUMBER('Price History'!N85)),NOT(ISNUMBER('Price History'!N84)),'Price History'!N84=0),"",'Price History'!N85/'Price History'!N84-1),"")</f>
        <v>0.0177160841201358</v>
      </c>
      <c r="O84" s="136" t="n">
        <f aca="false">IFERROR(IF(OR(NOT(ISNUMBER('Price History'!O85)),NOT(ISNUMBER('Price History'!O84)),'Price History'!O84=0),"",'Price History'!O85/'Price History'!O84-1),"")</f>
        <v>-0.0449111470113084</v>
      </c>
      <c r="P84" s="136" t="str">
        <f aca="false">IFERROR(IF(OR(NOT(ISNUMBER('Price History'!P85)),NOT(ISNUMBER('Price History'!P84)),'Price History'!P84=0),"",'Price History'!P85/'Price History'!P84-1),"")</f>
        <v/>
      </c>
      <c r="Q84" s="136" t="n">
        <f aca="false">IFERROR(IF(OR(NOT(ISNUMBER('Price History'!Q85)),NOT(ISNUMBER('Price History'!Q84)),'Price History'!Q84=0),"",'Price History'!Q85/'Price History'!Q84-1),"")</f>
        <v>0.0177586206896552</v>
      </c>
      <c r="R84" s="136" t="n">
        <f aca="false">IFERROR(IF(OR(NOT(ISNUMBER('Price History'!R85)),NOT(ISNUMBER('Price History'!R84)),'Price History'!R84=0),"",'Price History'!R85/'Price History'!R84-1),"")</f>
        <v>-0.0396570203644159</v>
      </c>
      <c r="S84" s="136" t="n">
        <f aca="false">IFERROR(IF(OR(NOT(ISNUMBER('Price History'!S85)),NOT(ISNUMBER('Price History'!S84)),'Price History'!S84=0),"",'Price History'!S85/'Price History'!S84-1),"")</f>
        <v>-0.0527054108216432</v>
      </c>
      <c r="T84" s="136" t="n">
        <f aca="false">IFERROR(IF(OR(NOT(ISNUMBER('Price History'!T85)),NOT(ISNUMBER('Price History'!T84)),'Price History'!T84=0),"",'Price History'!T85/'Price History'!T84-1),"")</f>
        <v>-0.0144394110985276</v>
      </c>
      <c r="U84" s="136" t="str">
        <f aca="false">IFERROR(IF(OR(NOT(ISNUMBER('Price History'!U85)),NOT(ISNUMBER('Price History'!U84)),'Price History'!U84=0),"",'Price History'!U85/'Price History'!U84-1),"")</f>
        <v/>
      </c>
      <c r="W84" s="137" t="n">
        <f aca="false">'Price History'!B3+('Price History'!B158-'Price History'!B3)*0.525974025974026</f>
        <v>372.727662337662</v>
      </c>
      <c r="X84" s="137" t="n">
        <f aca="false">'Price History'!C3+('Price History'!C158-'Price History'!C3)*0.525974025974026</f>
        <v>115.593311688312</v>
      </c>
      <c r="Y84" s="137" t="n">
        <f aca="false">'Price History'!D3+('Price History'!D158-'Price History'!D3)*0.525974025974026</f>
        <v>1170.5125974026</v>
      </c>
      <c r="Z84" s="137" t="n">
        <f aca="false">'Price History'!E3+('Price History'!E158-'Price History'!E3)*0.525974025974026</f>
        <v>244.085844155844</v>
      </c>
      <c r="AA84" s="137" t="n">
        <f aca="false">'Price History'!F3+('Price History'!F158-'Price History'!F3)*0.525974025974026</f>
        <v>117.954805194805</v>
      </c>
      <c r="AB84" s="137" t="n">
        <f aca="false">'Price History'!G3+('Price History'!G158-'Price History'!G3)*0.525974025974026</f>
        <v>118.864415584416</v>
      </c>
      <c r="AC84" s="137" t="n">
        <f aca="false">'Price History'!H3+('Price History'!H158-'Price History'!H3)*0.525974025974026</f>
        <v>463.405454545455</v>
      </c>
      <c r="AD84" s="137" t="n">
        <f aca="false">'Price History'!I3+('Price History'!I158-'Price History'!I3)*0.525974025974026</f>
        <v>124.953246753247</v>
      </c>
      <c r="AE84" s="137" t="n">
        <f aca="false">'Price History'!J3+('Price History'!J158-'Price History'!J3)*0.525974025974026</f>
        <v>134.608051948052</v>
      </c>
      <c r="AF84" s="137" t="n">
        <f aca="false">'Price History'!K3+('Price History'!K158-'Price History'!K3)*0.525974025974026</f>
        <v>72.0311038961039</v>
      </c>
      <c r="AG84" s="137" t="n">
        <f aca="false">'Price History'!L3+('Price History'!L158-'Price History'!L3)*0.525974025974026</f>
        <v>256.230649350649</v>
      </c>
      <c r="AH84" s="137" t="n">
        <f aca="false">'Price History'!M3+('Price History'!M158-'Price History'!M3)*0.525974025974026</f>
        <v>142.944155844156</v>
      </c>
      <c r="AI84" s="137" t="n">
        <f aca="false">'Price History'!N3+('Price History'!N158-'Price History'!N3)*0.525974025974026</f>
        <v>416.784935064935</v>
      </c>
      <c r="AJ84" s="137" t="n">
        <f aca="false">'Price History'!O3+('Price History'!O158-'Price History'!O3)*0.525974025974026</f>
        <v>105.167077922078</v>
      </c>
      <c r="AK84" s="137" t="n">
        <f aca="false">'Price History'!Q3+('Price History'!Q151-'Price History'!Q3)*0.525974025974026</f>
        <v>59.6283766233766</v>
      </c>
      <c r="AL84" s="137" t="n">
        <f aca="false">'Price History'!R3+('Price History'!R158-'Price History'!R3)*0.525974025974026</f>
        <v>53.3059090909091</v>
      </c>
      <c r="AM84" s="137" t="n">
        <f aca="false">'Price History'!S3+('Price History'!S158-'Price History'!S3)*0.525974025974026</f>
        <v>103.400324675325</v>
      </c>
      <c r="AN84" s="137" t="n">
        <f aca="false">'Price History'!T3+('Price History'!T158-'Price History'!T3)*0.525974025974026</f>
        <v>38.917987012987</v>
      </c>
    </row>
    <row r="85" customFormat="false" ht="15" hidden="false" customHeight="true" outlineLevel="0" collapsed="false">
      <c r="A85" s="135" t="n">
        <f aca="false">IF('Price History'!A86="","",'Price History'!A86)</f>
        <v>45730</v>
      </c>
      <c r="B85" s="136" t="n">
        <f aca="false">IFERROR(IF(OR(NOT(ISNUMBER('Price History'!B86)),NOT(ISNUMBER('Price History'!B85)),'Price History'!B85=0),"",'Price History'!B86/'Price History'!B85-1),"")</f>
        <v>-0.121628838451268</v>
      </c>
      <c r="C85" s="136" t="n">
        <f aca="false">IFERROR(IF(OR(NOT(ISNUMBER('Price History'!C86)),NOT(ISNUMBER('Price History'!C85)),'Price History'!C85=0),"",'Price History'!C86/'Price History'!C85-1),"")</f>
        <v>0.00179942418426116</v>
      </c>
      <c r="D85" s="136" t="n">
        <f aca="false">IFERROR(IF(OR(NOT(ISNUMBER('Price History'!D86)),NOT(ISNUMBER('Price History'!D85)),'Price History'!D85=0),"",'Price History'!D86/'Price History'!D85-1),"")</f>
        <v>-0.0248832318155746</v>
      </c>
      <c r="E85" s="136" t="n">
        <f aca="false">IFERROR(IF(OR(NOT(ISNUMBER('Price History'!E86)),NOT(ISNUMBER('Price History'!E85)),'Price History'!E85=0),"",'Price History'!E86/'Price History'!E85-1),"")</f>
        <v>0.00297496922445628</v>
      </c>
      <c r="F85" s="136" t="n">
        <f aca="false">IFERROR(IF(OR(NOT(ISNUMBER('Price History'!F86)),NOT(ISNUMBER('Price History'!F85)),'Price History'!F85=0),"",'Price History'!F86/'Price History'!F85-1),"")</f>
        <v>0.0605660829935237</v>
      </c>
      <c r="G85" s="136" t="n">
        <f aca="false">IFERROR(IF(OR(NOT(ISNUMBER('Price History'!G86)),NOT(ISNUMBER('Price History'!G85)),'Price History'!G85=0),"",'Price History'!G86/'Price History'!G85-1),"")</f>
        <v>0.00238999015886399</v>
      </c>
      <c r="H85" s="136" t="n">
        <f aca="false">IFERROR(IF(OR(NOT(ISNUMBER('Price History'!H86)),NOT(ISNUMBER('Price History'!H85)),'Price History'!H85=0),"",'Price History'!H86/'Price History'!H85-1),"")</f>
        <v>0.0842297762478488</v>
      </c>
      <c r="I85" s="136" t="n">
        <f aca="false">IFERROR(IF(OR(NOT(ISNUMBER('Price History'!I86)),NOT(ISNUMBER('Price History'!I85)),'Price History'!I85=0),"",'Price History'!I86/'Price History'!I85-1),"")</f>
        <v>0.0796876386547165</v>
      </c>
      <c r="J85" s="136" t="n">
        <f aca="false">IFERROR(IF(OR(NOT(ISNUMBER('Price History'!J86)),NOT(ISNUMBER('Price History'!J85)),'Price History'!J85=0),"",'Price History'!J86/'Price History'!J85-1),"")</f>
        <v>-0.0668834959552997</v>
      </c>
      <c r="K85" s="136" t="n">
        <f aca="false">IFERROR(IF(OR(NOT(ISNUMBER('Price History'!K86)),NOT(ISNUMBER('Price History'!K85)),'Price History'!K85=0),"",'Price History'!K86/'Price History'!K85-1),"")</f>
        <v>0.0156636438582027</v>
      </c>
      <c r="L85" s="136" t="n">
        <f aca="false">IFERROR(IF(OR(NOT(ISNUMBER('Price History'!L86)),NOT(ISNUMBER('Price History'!L85)),'Price History'!L85=0),"",'Price History'!L86/'Price History'!L85-1),"")</f>
        <v>-0.0169960474308299</v>
      </c>
      <c r="M85" s="136" t="n">
        <f aca="false">IFERROR(IF(OR(NOT(ISNUMBER('Price History'!M86)),NOT(ISNUMBER('Price History'!M85)),'Price History'!M85=0),"",'Price History'!M86/'Price History'!M85-1),"")</f>
        <v>0.0283396048918156</v>
      </c>
      <c r="N85" s="136" t="n">
        <f aca="false">IFERROR(IF(OR(NOT(ISNUMBER('Price History'!N86)),NOT(ISNUMBER('Price History'!N85)),'Price History'!N85=0),"",'Price History'!N86/'Price History'!N85-1),"")</f>
        <v>0.0337504351922013</v>
      </c>
      <c r="O85" s="136" t="n">
        <f aca="false">IFERROR(IF(OR(NOT(ISNUMBER('Price History'!O86)),NOT(ISNUMBER('Price History'!O85)),'Price History'!O85=0),"",'Price History'!O86/'Price History'!O85-1),"")</f>
        <v>-0.0187189896256204</v>
      </c>
      <c r="P85" s="136" t="str">
        <f aca="false">IFERROR(IF(OR(NOT(ISNUMBER('Price History'!P86)),NOT(ISNUMBER('Price History'!P85)),'Price History'!P85=0),"",'Price History'!P86/'Price History'!P85-1),"")</f>
        <v/>
      </c>
      <c r="Q85" s="136" t="n">
        <f aca="false">IFERROR(IF(OR(NOT(ISNUMBER('Price History'!Q86)),NOT(ISNUMBER('Price History'!Q85)),'Price History'!Q85=0),"",'Price History'!Q86/'Price History'!Q85-1),"")</f>
        <v>0.0162629171607658</v>
      </c>
      <c r="R85" s="136" t="n">
        <f aca="false">IFERROR(IF(OR(NOT(ISNUMBER('Price History'!R86)),NOT(ISNUMBER('Price History'!R85)),'Price History'!R85=0),"",'Price History'!R86/'Price History'!R85-1),"")</f>
        <v>-0.0213913690476191</v>
      </c>
      <c r="S85" s="136" t="n">
        <f aca="false">IFERROR(IF(OR(NOT(ISNUMBER('Price History'!S86)),NOT(ISNUMBER('Price History'!S85)),'Price History'!S85=0),"",'Price History'!S86/'Price History'!S85-1),"")</f>
        <v>-0.00719272265707649</v>
      </c>
      <c r="T85" s="136" t="n">
        <f aca="false">IFERROR(IF(OR(NOT(ISNUMBER('Price History'!T86)),NOT(ISNUMBER('Price History'!T85)),'Price History'!T85=0),"",'Price History'!T86/'Price History'!T85-1),"")</f>
        <v>-0.020683711577133</v>
      </c>
      <c r="U85" s="136" t="str">
        <f aca="false">IFERROR(IF(OR(NOT(ISNUMBER('Price History'!U86)),NOT(ISNUMBER('Price History'!U85)),'Price History'!U85=0),"",'Price History'!U86/'Price History'!U85-1),"")</f>
        <v/>
      </c>
      <c r="W85" s="137" t="n">
        <f aca="false">'Price History'!B3+('Price History'!B158-'Price History'!B3)*0.532467532467532</f>
        <v>371.052077922078</v>
      </c>
      <c r="X85" s="137" t="n">
        <f aca="false">'Price History'!C3+('Price History'!C158-'Price History'!C3)*0.532467532467532</f>
        <v>116.48038961039</v>
      </c>
      <c r="Y85" s="137" t="n">
        <f aca="false">'Price History'!D3+('Price History'!D158-'Price History'!D3)*0.532467532467532</f>
        <v>1176.79324675325</v>
      </c>
      <c r="Z85" s="137" t="n">
        <f aca="false">'Price History'!E3+('Price History'!E158-'Price History'!E3)*0.532467532467532</f>
        <v>246.074805194805</v>
      </c>
      <c r="AA85" s="137" t="n">
        <f aca="false">'Price History'!F3+('Price History'!F158-'Price History'!F3)*0.532467532467532</f>
        <v>118.953506493506</v>
      </c>
      <c r="AB85" s="137" t="n">
        <f aca="false">'Price History'!G3+('Price History'!G158-'Price History'!G3)*0.532467532467532</f>
        <v>119.740519480519</v>
      </c>
      <c r="AC85" s="137" t="n">
        <f aca="false">'Price History'!H3+('Price History'!H158-'Price History'!H3)*0.532467532467532</f>
        <v>468.331818181818</v>
      </c>
      <c r="AD85" s="137" t="n">
        <f aca="false">'Price History'!I3+('Price History'!I158-'Price History'!I3)*0.532467532467532</f>
        <v>125.991558441558</v>
      </c>
      <c r="AE85" s="137" t="n">
        <f aca="false">'Price History'!J3+('Price History'!J158-'Price History'!J3)*0.532467532467532</f>
        <v>134.745064935065</v>
      </c>
      <c r="AF85" s="137" t="n">
        <f aca="false">'Price History'!K3+('Price History'!K158-'Price History'!K3)*0.532467532467532</f>
        <v>72.7301298701298</v>
      </c>
      <c r="AG85" s="137" t="n">
        <f aca="false">'Price History'!L3+('Price History'!L158-'Price History'!L3)*0.532467532467532</f>
        <v>258.258311688312</v>
      </c>
      <c r="AH85" s="137" t="n">
        <f aca="false">'Price History'!M3+('Price History'!M158-'Price History'!M3)*0.532467532467532</f>
        <v>144.295194805195</v>
      </c>
      <c r="AI85" s="137" t="n">
        <f aca="false">'Price History'!N3+('Price History'!N158-'Price History'!N3)*0.532467532467532</f>
        <v>417.611168831169</v>
      </c>
      <c r="AJ85" s="137" t="n">
        <f aca="false">'Price History'!O3+('Price History'!O158-'Price History'!O3)*0.532467532467532</f>
        <v>105.442597402597</v>
      </c>
      <c r="AK85" s="137" t="n">
        <f aca="false">'Price History'!Q3+('Price History'!Q151-'Price History'!Q3)*0.532467532467532</f>
        <v>59.7492207792208</v>
      </c>
      <c r="AL85" s="137" t="n">
        <f aca="false">'Price History'!R3+('Price History'!R158-'Price History'!R3)*0.532467532467532</f>
        <v>53.3736363636364</v>
      </c>
      <c r="AM85" s="137" t="n">
        <f aca="false">'Price History'!S3+('Price History'!S158-'Price History'!S3)*0.532467532467532</f>
        <v>103.954155844156</v>
      </c>
      <c r="AN85" s="137" t="n">
        <f aca="false">'Price History'!T3+('Price History'!T158-'Price History'!T3)*0.532467532467532</f>
        <v>39.0662337662338</v>
      </c>
    </row>
    <row r="86" customFormat="false" ht="15" hidden="false" customHeight="true" outlineLevel="0" collapsed="false">
      <c r="A86" s="135" t="n">
        <f aca="false">IF('Price History'!A87="","",'Price History'!A87)</f>
        <v>45737</v>
      </c>
      <c r="B86" s="136" t="n">
        <f aca="false">IFERROR(IF(OR(NOT(ISNUMBER('Price History'!B87)),NOT(ISNUMBER('Price History'!B86)),'Price History'!B86=0),"",'Price History'!B87/'Price History'!B86-1),"")</f>
        <v>-0.0189491817398795</v>
      </c>
      <c r="C86" s="136" t="n">
        <f aca="false">IFERROR(IF(OR(NOT(ISNUMBER('Price History'!C87)),NOT(ISNUMBER('Price History'!C86)),'Price History'!C86=0),"",'Price History'!C87/'Price History'!C86-1),"")</f>
        <v>-0.00455035325110775</v>
      </c>
      <c r="D86" s="136" t="n">
        <f aca="false">IFERROR(IF(OR(NOT(ISNUMBER('Price History'!D87)),NOT(ISNUMBER('Price History'!D86)),'Price History'!D86=0),"",'Price History'!D87/'Price History'!D86-1),"")</f>
        <v>0.00310924369747911</v>
      </c>
      <c r="E86" s="136" t="n">
        <f aca="false">IFERROR(IF(OR(NOT(ISNUMBER('Price History'!E87)),NOT(ISNUMBER('Price History'!E86)),'Price History'!E86=0),"",'Price History'!E87/'Price History'!E86-1),"")</f>
        <v>-0.0198424874705943</v>
      </c>
      <c r="F86" s="136" t="n">
        <f aca="false">IFERROR(IF(OR(NOT(ISNUMBER('Price History'!F87)),NOT(ISNUMBER('Price History'!F86)),'Price History'!F86=0),"",'Price History'!F87/'Price History'!F86-1),"")</f>
        <v>0.0240868483546308</v>
      </c>
      <c r="G86" s="136" t="n">
        <f aca="false">IFERROR(IF(OR(NOT(ISNUMBER('Price History'!G87)),NOT(ISNUMBER('Price History'!G86)),'Price History'!G86=0),"",'Price History'!G87/'Price History'!G86-1),"")</f>
        <v>-0.00911640953716675</v>
      </c>
      <c r="H86" s="136" t="n">
        <f aca="false">IFERROR(IF(OR(NOT(ISNUMBER('Price History'!H87)),NOT(ISNUMBER('Price History'!H86)),'Price History'!H86=0),"",'Price History'!H87/'Price History'!H86-1),"")</f>
        <v>-0.0602242285941066</v>
      </c>
      <c r="I86" s="136" t="n">
        <f aca="false">IFERROR(IF(OR(NOT(ISNUMBER('Price History'!I87)),NOT(ISNUMBER('Price History'!I86)),'Price History'!I86=0),"",'Price History'!I87/'Price History'!I86-1),"")</f>
        <v>-0.0326292430344374</v>
      </c>
      <c r="J86" s="136" t="n">
        <f aca="false">IFERROR(IF(OR(NOT(ISNUMBER('Price History'!J87)),NOT(ISNUMBER('Price History'!J86)),'Price History'!J86=0),"",'Price History'!J87/'Price History'!J86-1),"")</f>
        <v>-0.031012601662347</v>
      </c>
      <c r="K86" s="136" t="n">
        <f aca="false">IFERROR(IF(OR(NOT(ISNUMBER('Price History'!K87)),NOT(ISNUMBER('Price History'!K86)),'Price History'!K86=0),"",'Price History'!K87/'Price History'!K86-1),"")</f>
        <v>0.0547309833024119</v>
      </c>
      <c r="L86" s="136" t="n">
        <f aca="false">IFERROR(IF(OR(NOT(ISNUMBER('Price History'!L87)),NOT(ISNUMBER('Price History'!L86)),'Price History'!L86=0),"",'Price History'!L87/'Price History'!L86-1),"")</f>
        <v>0.0151645700499741</v>
      </c>
      <c r="M86" s="136" t="n">
        <f aca="false">IFERROR(IF(OR(NOT(ISNUMBER('Price History'!M87)),NOT(ISNUMBER('Price History'!M86)),'Price History'!M86=0),"",'Price History'!M87/'Price History'!M86-1),"")</f>
        <v>0.0134934248141794</v>
      </c>
      <c r="N86" s="136" t="n">
        <f aca="false">IFERROR(IF(OR(NOT(ISNUMBER('Price History'!N87)),NOT(ISNUMBER('Price History'!N86)),'Price History'!N86=0),"",'Price History'!N87/'Price History'!N86-1),"")</f>
        <v>-0.00311032747588014</v>
      </c>
      <c r="O86" s="136" t="n">
        <f aca="false">IFERROR(IF(OR(NOT(ISNUMBER('Price History'!O87)),NOT(ISNUMBER('Price History'!O86)),'Price History'!O86=0),"",'Price History'!O87/'Price History'!O86-1),"")</f>
        <v>0.0096529533440588</v>
      </c>
      <c r="P86" s="136" t="str">
        <f aca="false">IFERROR(IF(OR(NOT(ISNUMBER('Price History'!P87)),NOT(ISNUMBER('Price History'!P86)),'Price History'!P86=0),"",'Price History'!P87/'Price History'!P86-1),"")</f>
        <v/>
      </c>
      <c r="Q86" s="136" t="n">
        <f aca="false">IFERROR(IF(OR(NOT(ISNUMBER('Price History'!Q87)),NOT(ISNUMBER('Price History'!Q86)),'Price History'!Q86=0),"",'Price History'!Q87/'Price History'!Q86-1),"")</f>
        <v>-0.00250041673612267</v>
      </c>
      <c r="R86" s="136" t="n">
        <f aca="false">IFERROR(IF(OR(NOT(ISNUMBER('Price History'!R87)),NOT(ISNUMBER('Price History'!R86)),'Price History'!R86=0),"",'Price History'!R87/'Price History'!R86-1),"")</f>
        <v>0.00361148070708994</v>
      </c>
      <c r="S86" s="136" t="n">
        <f aca="false">IFERROR(IF(OR(NOT(ISNUMBER('Price History'!S87)),NOT(ISNUMBER('Price History'!S86)),'Price History'!S86=0),"",'Price History'!S87/'Price History'!S86-1),"")</f>
        <v>0.00383549968037511</v>
      </c>
      <c r="T86" s="136" t="n">
        <f aca="false">IFERROR(IF(OR(NOT(ISNUMBER('Price History'!T87)),NOT(ISNUMBER('Price History'!T86)),'Price History'!T86=0),"",'Price History'!T87/'Price History'!T86-1),"")</f>
        <v>0.0170137870343208</v>
      </c>
      <c r="U86" s="136" t="str">
        <f aca="false">IFERROR(IF(OR(NOT(ISNUMBER('Price History'!U87)),NOT(ISNUMBER('Price History'!U86)),'Price History'!U86=0),"",'Price History'!U87/'Price History'!U86-1),"")</f>
        <v/>
      </c>
      <c r="W86" s="137" t="n">
        <f aca="false">'Price History'!B3+('Price History'!B158-'Price History'!B3)*0.538961038961039</f>
        <v>369.376493506494</v>
      </c>
      <c r="X86" s="137" t="n">
        <f aca="false">'Price History'!C3+('Price History'!C158-'Price History'!C3)*0.538961038961039</f>
        <v>117.367467532468</v>
      </c>
      <c r="Y86" s="137" t="n">
        <f aca="false">'Price History'!D3+('Price History'!D158-'Price History'!D3)*0.538961038961039</f>
        <v>1183.0738961039</v>
      </c>
      <c r="Z86" s="137" t="n">
        <f aca="false">'Price History'!E3+('Price History'!E158-'Price History'!E3)*0.538961038961039</f>
        <v>248.063766233766</v>
      </c>
      <c r="AA86" s="137" t="n">
        <f aca="false">'Price History'!F3+('Price History'!F158-'Price History'!F3)*0.538961038961039</f>
        <v>119.952207792208</v>
      </c>
      <c r="AB86" s="137" t="n">
        <f aca="false">'Price History'!G3+('Price History'!G158-'Price History'!G3)*0.538961038961039</f>
        <v>120.616623376623</v>
      </c>
      <c r="AC86" s="137" t="n">
        <f aca="false">'Price History'!H3+('Price History'!H158-'Price History'!H3)*0.538961038961039</f>
        <v>473.258181818182</v>
      </c>
      <c r="AD86" s="137" t="n">
        <f aca="false">'Price History'!I3+('Price History'!I158-'Price History'!I3)*0.538961038961039</f>
        <v>127.02987012987</v>
      </c>
      <c r="AE86" s="137" t="n">
        <f aca="false">'Price History'!J3+('Price History'!J158-'Price History'!J3)*0.538961038961039</f>
        <v>134.882077922078</v>
      </c>
      <c r="AF86" s="137" t="n">
        <f aca="false">'Price History'!K3+('Price History'!K158-'Price History'!K3)*0.538961038961039</f>
        <v>73.4291558441558</v>
      </c>
      <c r="AG86" s="137" t="n">
        <f aca="false">'Price History'!L3+('Price History'!L158-'Price History'!L3)*0.538961038961039</f>
        <v>260.285974025974</v>
      </c>
      <c r="AH86" s="137" t="n">
        <f aca="false">'Price History'!M3+('Price History'!M158-'Price History'!M3)*0.538961038961039</f>
        <v>145.646233766234</v>
      </c>
      <c r="AI86" s="137" t="n">
        <f aca="false">'Price History'!N3+('Price History'!N158-'Price History'!N3)*0.538961038961039</f>
        <v>418.437402597403</v>
      </c>
      <c r="AJ86" s="137" t="n">
        <f aca="false">'Price History'!O3+('Price History'!O158-'Price History'!O3)*0.538961038961039</f>
        <v>105.718116883117</v>
      </c>
      <c r="AK86" s="137" t="n">
        <f aca="false">'Price History'!Q3+('Price History'!Q151-'Price History'!Q3)*0.538961038961039</f>
        <v>59.8700649350649</v>
      </c>
      <c r="AL86" s="137" t="n">
        <f aca="false">'Price History'!R3+('Price History'!R158-'Price History'!R3)*0.538961038961039</f>
        <v>53.4413636363636</v>
      </c>
      <c r="AM86" s="137" t="n">
        <f aca="false">'Price History'!S3+('Price History'!S158-'Price History'!S3)*0.538961038961039</f>
        <v>104.507987012987</v>
      </c>
      <c r="AN86" s="137" t="n">
        <f aca="false">'Price History'!T3+('Price History'!T158-'Price History'!T3)*0.538961038961039</f>
        <v>39.2144805194805</v>
      </c>
    </row>
    <row r="87" customFormat="false" ht="15" hidden="false" customHeight="true" outlineLevel="0" collapsed="false">
      <c r="A87" s="135" t="n">
        <f aca="false">IF('Price History'!A88="","",'Price History'!A88)</f>
        <v>45744</v>
      </c>
      <c r="B87" s="136" t="n">
        <f aca="false">IFERROR(IF(OR(NOT(ISNUMBER('Price History'!B88)),NOT(ISNUMBER('Price History'!B87)),'Price History'!B87=0),"",'Price History'!B88/'Price History'!B87-1),"")</f>
        <v>-0.00400247895470751</v>
      </c>
      <c r="C87" s="136" t="n">
        <f aca="false">IFERROR(IF(OR(NOT(ISNUMBER('Price History'!C88)),NOT(ISNUMBER('Price History'!C87)),'Price History'!C87=0),"",'Price History'!C88/'Price History'!C87-1),"")</f>
        <v>-0.0624323348971491</v>
      </c>
      <c r="D87" s="136" t="n">
        <f aca="false">IFERROR(IF(OR(NOT(ISNUMBER('Price History'!D88)),NOT(ISNUMBER('Price History'!D87)),'Price History'!D87=0),"",'Price History'!D88/'Price History'!D87-1),"")</f>
        <v>-0.0581385607774148</v>
      </c>
      <c r="E87" s="136" t="n">
        <f aca="false">IFERROR(IF(OR(NOT(ISNUMBER('Price History'!E88)),NOT(ISNUMBER('Price History'!E87)),'Price History'!E87=0),"",'Price History'!E88/'Price History'!E87-1),"")</f>
        <v>-0.117604090577064</v>
      </c>
      <c r="F87" s="136" t="n">
        <f aca="false">IFERROR(IF(OR(NOT(ISNUMBER('Price History'!F88)),NOT(ISNUMBER('Price History'!F87)),'Price History'!F87=0),"",'Price History'!F88/'Price History'!F87-1),"")</f>
        <v>-0.0141342756183745</v>
      </c>
      <c r="G87" s="136" t="n">
        <f aca="false">IFERROR(IF(OR(NOT(ISNUMBER('Price History'!G88)),NOT(ISNUMBER('Price History'!G87)),'Price History'!G87=0),"",'Price History'!G88/'Price History'!G87-1),"")</f>
        <v>-0.0465675866949753</v>
      </c>
      <c r="H87" s="136" t="n">
        <f aca="false">IFERROR(IF(OR(NOT(ISNUMBER('Price History'!H88)),NOT(ISNUMBER('Price History'!H87)),'Price History'!H87=0),"",'Price History'!H88/'Price History'!H87-1),"")</f>
        <v>-0.0663006756756757</v>
      </c>
      <c r="I87" s="136" t="n">
        <f aca="false">IFERROR(IF(OR(NOT(ISNUMBER('Price History'!I88)),NOT(ISNUMBER('Price History'!I87)),'Price History'!I87=0),"",'Price History'!I88/'Price History'!I87-1),"")</f>
        <v>-0.0682242990654206</v>
      </c>
      <c r="J87" s="136" t="n">
        <f aca="false">IFERROR(IF(OR(NOT(ISNUMBER('Price History'!J88)),NOT(ISNUMBER('Price History'!J87)),'Price History'!J87=0),"",'Price History'!J88/'Price History'!J87-1),"")</f>
        <v>0.0187234827522598</v>
      </c>
      <c r="K87" s="136" t="n">
        <f aca="false">IFERROR(IF(OR(NOT(ISNUMBER('Price History'!K88)),NOT(ISNUMBER('Price History'!K87)),'Price History'!K87=0),"",'Price History'!K88/'Price History'!K87-1),"")</f>
        <v>-0.0561785400175902</v>
      </c>
      <c r="L87" s="136" t="n">
        <f aca="false">IFERROR(IF(OR(NOT(ISNUMBER('Price History'!L88)),NOT(ISNUMBER('Price History'!L87)),'Price History'!L87=0),"",'Price History'!L88/'Price History'!L87-1),"")</f>
        <v>-0.0649578453007412</v>
      </c>
      <c r="M87" s="136" t="n">
        <f aca="false">IFERROR(IF(OR(NOT(ISNUMBER('Price History'!M88)),NOT(ISNUMBER('Price History'!M87)),'Price History'!M87=0),"",'Price History'!M88/'Price History'!M87-1),"")</f>
        <v>-0.16224754597766</v>
      </c>
      <c r="N87" s="136" t="n">
        <f aca="false">IFERROR(IF(OR(NOT(ISNUMBER('Price History'!N88)),NOT(ISNUMBER('Price History'!N87)),'Price History'!N87=0),"",'Price History'!N88/'Price History'!N87-1),"")</f>
        <v>-0.0208863275039746</v>
      </c>
      <c r="O87" s="136" t="n">
        <f aca="false">IFERROR(IF(OR(NOT(ISNUMBER('Price History'!O88)),NOT(ISNUMBER('Price History'!O87)),'Price History'!O87=0),"",'Price History'!O88/'Price History'!O87-1),"")</f>
        <v>-0.00842249032551778</v>
      </c>
      <c r="P87" s="136" t="str">
        <f aca="false">IFERROR(IF(OR(NOT(ISNUMBER('Price History'!P88)),NOT(ISNUMBER('Price History'!P87)),'Price History'!P87=0),"",'Price History'!P88/'Price History'!P87-1),"")</f>
        <v/>
      </c>
      <c r="Q87" s="136" t="n">
        <f aca="false">IFERROR(IF(OR(NOT(ISNUMBER('Price History'!Q88)),NOT(ISNUMBER('Price History'!Q87)),'Price History'!Q87=0),"",'Price History'!Q88/'Price History'!Q87-1),"")</f>
        <v>0.0294117647058823</v>
      </c>
      <c r="R87" s="136" t="n">
        <f aca="false">IFERROR(IF(OR(NOT(ISNUMBER('Price History'!R88)),NOT(ISNUMBER('Price History'!R87)),'Price History'!R87=0),"",'Price History'!R88/'Price History'!R87-1),"")</f>
        <v>-0.0187499999999999</v>
      </c>
      <c r="S87" s="136" t="n">
        <f aca="false">IFERROR(IF(OR(NOT(ISNUMBER('Price History'!S88)),NOT(ISNUMBER('Price History'!S87)),'Price History'!S87=0),"",'Price History'!S88/'Price History'!S87-1),"")</f>
        <v>-0.0215453194650818</v>
      </c>
      <c r="T87" s="136" t="n">
        <f aca="false">IFERROR(IF(OR(NOT(ISNUMBER('Price History'!T88)),NOT(ISNUMBER('Price History'!T87)),'Price History'!T87=0),"",'Price History'!T88/'Price History'!T87-1),"")</f>
        <v>-0.0164407268531872</v>
      </c>
      <c r="U87" s="136" t="str">
        <f aca="false">IFERROR(IF(OR(NOT(ISNUMBER('Price History'!U88)),NOT(ISNUMBER('Price History'!U87)),'Price History'!U87=0),"",'Price History'!U88/'Price History'!U87-1),"")</f>
        <v/>
      </c>
      <c r="W87" s="137" t="n">
        <f aca="false">'Price History'!B3+('Price History'!B158-'Price History'!B3)*0.545454545454545</f>
        <v>367.700909090909</v>
      </c>
      <c r="X87" s="137" t="n">
        <f aca="false">'Price History'!C3+('Price History'!C158-'Price History'!C3)*0.545454545454545</f>
        <v>118.254545454545</v>
      </c>
      <c r="Y87" s="137" t="n">
        <f aca="false">'Price History'!D3+('Price History'!D158-'Price History'!D3)*0.545454545454545</f>
        <v>1189.35454545455</v>
      </c>
      <c r="Z87" s="137" t="n">
        <f aca="false">'Price History'!E3+('Price History'!E158-'Price History'!E3)*0.545454545454545</f>
        <v>250.052727272727</v>
      </c>
      <c r="AA87" s="137" t="n">
        <f aca="false">'Price History'!F3+('Price History'!F158-'Price History'!F3)*0.545454545454545</f>
        <v>120.950909090909</v>
      </c>
      <c r="AB87" s="137" t="n">
        <f aca="false">'Price History'!G3+('Price History'!G158-'Price History'!G3)*0.545454545454545</f>
        <v>121.492727272727</v>
      </c>
      <c r="AC87" s="137" t="n">
        <f aca="false">'Price History'!H3+('Price History'!H158-'Price History'!H3)*0.545454545454545</f>
        <v>478.184545454545</v>
      </c>
      <c r="AD87" s="137" t="n">
        <f aca="false">'Price History'!I3+('Price History'!I158-'Price History'!I3)*0.545454545454545</f>
        <v>128.068181818182</v>
      </c>
      <c r="AE87" s="137" t="n">
        <f aca="false">'Price History'!J3+('Price History'!J158-'Price History'!J3)*0.545454545454545</f>
        <v>135.019090909091</v>
      </c>
      <c r="AF87" s="137" t="n">
        <f aca="false">'Price History'!K3+('Price History'!K158-'Price History'!K3)*0.545454545454545</f>
        <v>74.1281818181818</v>
      </c>
      <c r="AG87" s="137" t="n">
        <f aca="false">'Price History'!L3+('Price History'!L158-'Price History'!L3)*0.545454545454545</f>
        <v>262.313636363636</v>
      </c>
      <c r="AH87" s="137" t="n">
        <f aca="false">'Price History'!M3+('Price History'!M158-'Price History'!M3)*0.545454545454545</f>
        <v>146.997272727273</v>
      </c>
      <c r="AI87" s="137" t="n">
        <f aca="false">'Price History'!N3+('Price History'!N158-'Price History'!N3)*0.545454545454545</f>
        <v>419.263636363636</v>
      </c>
      <c r="AJ87" s="137" t="n">
        <f aca="false">'Price History'!O3+('Price History'!O158-'Price History'!O3)*0.545454545454545</f>
        <v>105.993636363636</v>
      </c>
      <c r="AK87" s="137" t="n">
        <f aca="false">'Price History'!Q3+('Price History'!Q151-'Price History'!Q3)*0.545454545454545</f>
        <v>59.9909090909091</v>
      </c>
      <c r="AL87" s="137" t="n">
        <f aca="false">'Price History'!R3+('Price History'!R158-'Price History'!R3)*0.545454545454545</f>
        <v>53.5090909090909</v>
      </c>
      <c r="AM87" s="137" t="n">
        <f aca="false">'Price History'!S3+('Price History'!S158-'Price History'!S3)*0.545454545454545</f>
        <v>105.061818181818</v>
      </c>
      <c r="AN87" s="137" t="n">
        <f aca="false">'Price History'!T3+('Price History'!T158-'Price History'!T3)*0.545454545454545</f>
        <v>39.3627272727273</v>
      </c>
    </row>
    <row r="88" customFormat="false" ht="15" hidden="false" customHeight="true" outlineLevel="0" collapsed="false">
      <c r="A88" s="135" t="n">
        <f aca="false">IF('Price History'!A89="","",'Price History'!A89)</f>
        <v>45751</v>
      </c>
      <c r="B88" s="136" t="n">
        <f aca="false">IFERROR(IF(OR(NOT(ISNUMBER('Price History'!B89)),NOT(ISNUMBER('Price History'!B88)),'Price History'!B88=0),"",'Price History'!B89/'Price History'!B88-1),"")</f>
        <v>-0.0949936480775712</v>
      </c>
      <c r="C88" s="136" t="n">
        <f aca="false">IFERROR(IF(OR(NOT(ISNUMBER('Price History'!C89)),NOT(ISNUMBER('Price History'!C88)),'Price History'!C88=0),"",'Price History'!C89/'Price History'!C88-1),"")</f>
        <v>-0.174108288426995</v>
      </c>
      <c r="D88" s="136" t="n">
        <f aca="false">IFERROR(IF(OR(NOT(ISNUMBER('Price History'!D89)),NOT(ISNUMBER('Price History'!D88)),'Price History'!D88=0),"",'Price History'!D89/'Price History'!D88-1),"")</f>
        <v>-0.102330338877524</v>
      </c>
      <c r="E88" s="136" t="n">
        <f aca="false">IFERROR(IF(OR(NOT(ISNUMBER('Price History'!E89)),NOT(ISNUMBER('Price History'!E88)),'Price History'!E88=0),"",'Price History'!E89/'Price History'!E88-1),"")</f>
        <v>-0.134992904446547</v>
      </c>
      <c r="F88" s="136" t="n">
        <f aca="false">IFERROR(IF(OR(NOT(ISNUMBER('Price History'!F89)),NOT(ISNUMBER('Price History'!F88)),'Price History'!F88=0),"",'Price History'!F89/'Price History'!F88-1),"")</f>
        <v>-0.0993503584229392</v>
      </c>
      <c r="G88" s="136" t="n">
        <f aca="false">IFERROR(IF(OR(NOT(ISNUMBER('Price History'!G89)),NOT(ISNUMBER('Price History'!G88)),'Price History'!G88=0),"",'Price History'!G89/'Price History'!G88-1),"")</f>
        <v>-0.144150831353919</v>
      </c>
      <c r="H88" s="136" t="n">
        <f aca="false">IFERROR(IF(OR(NOT(ISNUMBER('Price History'!H89)),NOT(ISNUMBER('Price History'!H88)),'Price History'!H88=0),"",'Price History'!H89/'Price History'!H88-1),"")</f>
        <v>-0.268204432383537</v>
      </c>
      <c r="I88" s="136" t="n">
        <f aca="false">IFERROR(IF(OR(NOT(ISNUMBER('Price History'!I89)),NOT(ISNUMBER('Price History'!I88)),'Price History'!I88=0),"",'Price History'!I89/'Price History'!I88-1),"")</f>
        <v>-0.140056533236072</v>
      </c>
      <c r="J88" s="136" t="n">
        <f aca="false">IFERROR(IF(OR(NOT(ISNUMBER('Price History'!J89)),NOT(ISNUMBER('Price History'!J88)),'Price History'!J88=0),"",'Price History'!J89/'Price History'!J88-1),"")</f>
        <v>-0.11063829787234</v>
      </c>
      <c r="K88" s="136" t="n">
        <f aca="false">IFERROR(IF(OR(NOT(ISNUMBER('Price History'!K89)),NOT(ISNUMBER('Price History'!K88)),'Price History'!K88=0),"",'Price History'!K89/'Price History'!K88-1),"")</f>
        <v>-0.137914967967385</v>
      </c>
      <c r="L88" s="136" t="n">
        <f aca="false">IFERROR(IF(OR(NOT(ISNUMBER('Price History'!L89)),NOT(ISNUMBER('Price History'!L88)),'Price History'!L88=0),"",'Price History'!L89/'Price History'!L88-1),"")</f>
        <v>-0.111649016641452</v>
      </c>
      <c r="M88" s="136" t="n">
        <f aca="false">IFERROR(IF(OR(NOT(ISNUMBER('Price History'!M89)),NOT(ISNUMBER('Price History'!M88)),'Price History'!M88=0),"",'Price History'!M89/'Price History'!M88-1),"")</f>
        <v>-0.19986531986532</v>
      </c>
      <c r="N88" s="136" t="n">
        <f aca="false">IFERROR(IF(OR(NOT(ISNUMBER('Price History'!N89)),NOT(ISNUMBER('Price History'!N88)),'Price History'!N88=0),"",'Price History'!N89/'Price History'!N88-1),"")</f>
        <v>-0.0366762061336743</v>
      </c>
      <c r="O88" s="136" t="n">
        <f aca="false">IFERROR(IF(OR(NOT(ISNUMBER('Price History'!O89)),NOT(ISNUMBER('Price History'!O88)),'Price History'!O88=0),"",'Price History'!O89/'Price History'!O88-1),"")</f>
        <v>-0.104683195592287</v>
      </c>
      <c r="P88" s="136" t="str">
        <f aca="false">IFERROR(IF(OR(NOT(ISNUMBER('Price History'!P89)),NOT(ISNUMBER('Price History'!P88)),'Price History'!P88=0),"",'Price History'!P89/'Price History'!P88-1),"")</f>
        <v/>
      </c>
      <c r="Q88" s="136" t="n">
        <f aca="false">IFERROR(IF(OR(NOT(ISNUMBER('Price History'!Q89)),NOT(ISNUMBER('Price History'!Q88)),'Price History'!Q88=0),"",'Price History'!Q89/'Price History'!Q88-1),"")</f>
        <v>-0.0165584415584417</v>
      </c>
      <c r="R88" s="136" t="n">
        <f aca="false">IFERROR(IF(OR(NOT(ISNUMBER('Price History'!R89)),NOT(ISNUMBER('Price History'!R88)),'Price History'!R88=0),"",'Price History'!R89/'Price History'!R88-1),"")</f>
        <v>-0.100559737502413</v>
      </c>
      <c r="S88" s="136" t="n">
        <f aca="false">IFERROR(IF(OR(NOT(ISNUMBER('Price History'!S89)),NOT(ISNUMBER('Price History'!S88)),'Price History'!S88=0),"",'Price History'!S89/'Price History'!S88-1),"")</f>
        <v>-0.107061503416857</v>
      </c>
      <c r="T88" s="136" t="n">
        <f aca="false">IFERROR(IF(OR(NOT(ISNUMBER('Price History'!T89)),NOT(ISNUMBER('Price History'!T88)),'Price History'!T88=0),"",'Price History'!T89/'Price History'!T88-1),"")</f>
        <v>-0.092375366568915</v>
      </c>
      <c r="U88" s="136" t="str">
        <f aca="false">IFERROR(IF(OR(NOT(ISNUMBER('Price History'!U89)),NOT(ISNUMBER('Price History'!U88)),'Price History'!U88=0),"",'Price History'!U89/'Price History'!U88-1),"")</f>
        <v/>
      </c>
      <c r="W88" s="137" t="n">
        <f aca="false">'Price History'!B3+('Price History'!B158-'Price History'!B3)*0.551948051948052</f>
        <v>366.025324675325</v>
      </c>
      <c r="X88" s="137" t="n">
        <f aca="false">'Price History'!C3+('Price History'!C158-'Price History'!C3)*0.551948051948052</f>
        <v>119.141623376623</v>
      </c>
      <c r="Y88" s="137" t="n">
        <f aca="false">'Price History'!D3+('Price History'!D158-'Price History'!D3)*0.551948051948052</f>
        <v>1195.63519480519</v>
      </c>
      <c r="Z88" s="137" t="n">
        <f aca="false">'Price History'!E3+('Price History'!E158-'Price History'!E3)*0.551948051948052</f>
        <v>252.041688311688</v>
      </c>
      <c r="AA88" s="137" t="n">
        <f aca="false">'Price History'!F3+('Price History'!F158-'Price History'!F3)*0.551948051948052</f>
        <v>121.94961038961</v>
      </c>
      <c r="AB88" s="137" t="n">
        <f aca="false">'Price History'!G3+('Price History'!G158-'Price History'!G3)*0.551948051948052</f>
        <v>122.368831168831</v>
      </c>
      <c r="AC88" s="137" t="n">
        <f aca="false">'Price History'!H3+('Price History'!H158-'Price History'!H3)*0.551948051948052</f>
        <v>483.110909090909</v>
      </c>
      <c r="AD88" s="137" t="n">
        <f aca="false">'Price History'!I3+('Price History'!I158-'Price History'!I3)*0.551948051948052</f>
        <v>129.106493506494</v>
      </c>
      <c r="AE88" s="137" t="n">
        <f aca="false">'Price History'!J3+('Price History'!J158-'Price History'!J3)*0.551948051948052</f>
        <v>135.156103896104</v>
      </c>
      <c r="AF88" s="137" t="n">
        <f aca="false">'Price History'!K3+('Price History'!K158-'Price History'!K3)*0.551948051948052</f>
        <v>74.8272077922078</v>
      </c>
      <c r="AG88" s="137" t="n">
        <f aca="false">'Price History'!L3+('Price History'!L158-'Price History'!L3)*0.551948051948052</f>
        <v>264.341298701299</v>
      </c>
      <c r="AH88" s="137" t="n">
        <f aca="false">'Price History'!M3+('Price History'!M158-'Price History'!M3)*0.551948051948052</f>
        <v>148.348311688312</v>
      </c>
      <c r="AI88" s="137" t="n">
        <f aca="false">'Price History'!N3+('Price History'!N158-'Price History'!N3)*0.551948051948052</f>
        <v>420.08987012987</v>
      </c>
      <c r="AJ88" s="137" t="n">
        <f aca="false">'Price History'!O3+('Price History'!O158-'Price History'!O3)*0.551948051948052</f>
        <v>106.269155844156</v>
      </c>
      <c r="AK88" s="137" t="n">
        <f aca="false">'Price History'!Q3+('Price History'!Q151-'Price History'!Q3)*0.551948051948052</f>
        <v>60.1117532467533</v>
      </c>
      <c r="AL88" s="137" t="n">
        <f aca="false">'Price History'!R3+('Price History'!R158-'Price History'!R3)*0.551948051948052</f>
        <v>53.5768181818182</v>
      </c>
      <c r="AM88" s="137" t="n">
        <f aca="false">'Price History'!S3+('Price History'!S158-'Price History'!S3)*0.551948051948052</f>
        <v>105.615649350649</v>
      </c>
      <c r="AN88" s="137" t="n">
        <f aca="false">'Price History'!T3+('Price History'!T158-'Price History'!T3)*0.551948051948052</f>
        <v>39.510974025974</v>
      </c>
    </row>
    <row r="89" customFormat="false" ht="15" hidden="false" customHeight="true" outlineLevel="0" collapsed="false">
      <c r="A89" s="135" t="n">
        <f aca="false">IF('Price History'!A90="","",'Price History'!A90)</f>
        <v>45758</v>
      </c>
      <c r="B89" s="136" t="n">
        <f aca="false">IFERROR(IF(OR(NOT(ISNUMBER('Price History'!B90)),NOT(ISNUMBER('Price History'!B89)),'Price History'!B89=0),"",'Price History'!B90/'Price History'!B89-1),"")</f>
        <v>0.00974016672873646</v>
      </c>
      <c r="C89" s="136" t="n">
        <f aca="false">IFERROR(IF(OR(NOT(ISNUMBER('Price History'!C90)),NOT(ISNUMBER('Price History'!C89)),'Price History'!C89=0),"",'Price History'!C90/'Price History'!C89-1),"")</f>
        <v>0.128942053751748</v>
      </c>
      <c r="D89" s="136" t="n">
        <f aca="false">IFERROR(IF(OR(NOT(ISNUMBER('Price History'!D90)),NOT(ISNUMBER('Price History'!D89)),'Price History'!D89=0),"",'Price History'!D90/'Price History'!D89-1),"")</f>
        <v>0.104467013458839</v>
      </c>
      <c r="E89" s="136" t="n">
        <f aca="false">IFERROR(IF(OR(NOT(ISNUMBER('Price History'!E90)),NOT(ISNUMBER('Price History'!E89)),'Price History'!E89=0),"",'Price History'!E90/'Price History'!E89-1),"")</f>
        <v>0.243694032401395</v>
      </c>
      <c r="F89" s="136" t="n">
        <f aca="false">IFERROR(IF(OR(NOT(ISNUMBER('Price History'!F90)),NOT(ISNUMBER('Price History'!F89)),'Price History'!F89=0),"",'Price History'!F90/'Price History'!F89-1),"")</f>
        <v>0.174978236537744</v>
      </c>
      <c r="G89" s="136" t="n">
        <f aca="false">IFERROR(IF(OR(NOT(ISNUMBER('Price History'!G90)),NOT(ISNUMBER('Price History'!G89)),'Price History'!G89=0),"",'Price History'!G90/'Price History'!G89-1),"")</f>
        <v>0.162532523850824</v>
      </c>
      <c r="H89" s="136" t="n">
        <f aca="false">IFERROR(IF(OR(NOT(ISNUMBER('Price History'!H90)),NOT(ISNUMBER('Price History'!H89)),'Price History'!H89=0),"",'Price History'!H90/'Price History'!H89-1),"")</f>
        <v>0.074629171817058</v>
      </c>
      <c r="I89" s="136" t="n">
        <f aca="false">IFERROR(IF(OR(NOT(ISNUMBER('Price History'!I90)),NOT(ISNUMBER('Price History'!I89)),'Price History'!I89=0),"",'Price History'!I90/'Price History'!I89-1),"")</f>
        <v>0.17622733538331</v>
      </c>
      <c r="J89" s="136" t="n">
        <f aca="false">IFERROR(IF(OR(NOT(ISNUMBER('Price History'!J90)),NOT(ISNUMBER('Price History'!J89)),'Price History'!J89=0),"",'Price History'!J90/'Price History'!J89-1),"")</f>
        <v>-0.0203603787030439</v>
      </c>
      <c r="K89" s="136" t="n">
        <f aca="false">IFERROR(IF(OR(NOT(ISNUMBER('Price History'!K90)),NOT(ISNUMBER('Price History'!K89)),'Price History'!K89=0),"",'Price History'!K90/'Price History'!K89-1),"")</f>
        <v>0.196459937846237</v>
      </c>
      <c r="L89" s="136" t="n">
        <f aca="false">IFERROR(IF(OR(NOT(ISNUMBER('Price History'!L90)),NOT(ISNUMBER('Price History'!L89)),'Price History'!L89=0),"",'Price History'!L90/'Price History'!L89-1),"")</f>
        <v>0.0700272479564033</v>
      </c>
      <c r="M89" s="136" t="n">
        <f aca="false">IFERROR(IF(OR(NOT(ISNUMBER('Price History'!M90)),NOT(ISNUMBER('Price History'!M89)),'Price History'!M89=0),"",'Price History'!M90/'Price History'!M89-1),"")</f>
        <v>0.171688267968356</v>
      </c>
      <c r="N89" s="136" t="n">
        <f aca="false">IFERROR(IF(OR(NOT(ISNUMBER('Price History'!N90)),NOT(ISNUMBER('Price History'!N89)),'Price History'!N89=0),"",'Price History'!N90/'Price History'!N89-1),"")</f>
        <v>0.0202267076819351</v>
      </c>
      <c r="O89" s="136" t="n">
        <f aca="false">IFERROR(IF(OR(NOT(ISNUMBER('Price History'!O90)),NOT(ISNUMBER('Price History'!O89)),'Price History'!O89=0),"",'Price History'!O90/'Price History'!O89-1),"")</f>
        <v>0.0125641025641026</v>
      </c>
      <c r="P89" s="136" t="str">
        <f aca="false">IFERROR(IF(OR(NOT(ISNUMBER('Price History'!P90)),NOT(ISNUMBER('Price History'!P89)),'Price History'!P89=0),"",'Price History'!P90/'Price History'!P89-1),"")</f>
        <v/>
      </c>
      <c r="Q89" s="136" t="n">
        <f aca="false">IFERROR(IF(OR(NOT(ISNUMBER('Price History'!Q90)),NOT(ISNUMBER('Price History'!Q89)),'Price History'!Q89=0),"",'Price History'!Q90/'Price History'!Q89-1),"")</f>
        <v>0.0108946847144273</v>
      </c>
      <c r="R89" s="136" t="n">
        <f aca="false">IFERROR(IF(OR(NOT(ISNUMBER('Price History'!R90)),NOT(ISNUMBER('Price History'!R89)),'Price History'!R89=0),"",'Price History'!R90/'Price History'!R89-1),"")</f>
        <v>0.0630901287553647</v>
      </c>
      <c r="S89" s="136" t="n">
        <f aca="false">IFERROR(IF(OR(NOT(ISNUMBER('Price History'!S90)),NOT(ISNUMBER('Price History'!S89)),'Price History'!S89=0),"",'Price History'!S90/'Price History'!S89-1),"")</f>
        <v>0.0911078717201166</v>
      </c>
      <c r="T89" s="136" t="n">
        <f aca="false">IFERROR(IF(OR(NOT(ISNUMBER('Price History'!T90)),NOT(ISNUMBER('Price History'!T89)),'Price History'!T89=0),"",'Price History'!T90/'Price History'!T89-1),"")</f>
        <v>0.0197092084006463</v>
      </c>
      <c r="U89" s="136" t="str">
        <f aca="false">IFERROR(IF(OR(NOT(ISNUMBER('Price History'!U90)),NOT(ISNUMBER('Price History'!U89)),'Price History'!U89=0),"",'Price History'!U90/'Price History'!U89-1),"")</f>
        <v/>
      </c>
      <c r="W89" s="137" t="n">
        <f aca="false">'Price History'!B3+('Price History'!B158-'Price History'!B3)*0.558441558441558</f>
        <v>364.34974025974</v>
      </c>
      <c r="X89" s="137" t="n">
        <f aca="false">'Price History'!C3+('Price History'!C158-'Price History'!C3)*0.558441558441558</f>
        <v>120.028701298701</v>
      </c>
      <c r="Y89" s="137" t="n">
        <f aca="false">'Price History'!D3+('Price History'!D158-'Price History'!D3)*0.558441558441558</f>
        <v>1201.91584415584</v>
      </c>
      <c r="Z89" s="137" t="n">
        <f aca="false">'Price History'!E3+('Price History'!E158-'Price History'!E3)*0.558441558441558</f>
        <v>254.030649350649</v>
      </c>
      <c r="AA89" s="137" t="n">
        <f aca="false">'Price History'!F3+('Price History'!F158-'Price History'!F3)*0.558441558441558</f>
        <v>122.948311688312</v>
      </c>
      <c r="AB89" s="137" t="n">
        <f aca="false">'Price History'!G3+('Price History'!G158-'Price History'!G3)*0.558441558441558</f>
        <v>123.244935064935</v>
      </c>
      <c r="AC89" s="137" t="n">
        <f aca="false">'Price History'!H3+('Price History'!H158-'Price History'!H3)*0.558441558441558</f>
        <v>488.037272727272</v>
      </c>
      <c r="AD89" s="137" t="n">
        <f aca="false">'Price History'!I3+('Price History'!I158-'Price History'!I3)*0.558441558441558</f>
        <v>130.144805194805</v>
      </c>
      <c r="AE89" s="137" t="n">
        <f aca="false">'Price History'!J3+('Price History'!J158-'Price History'!J3)*0.558441558441558</f>
        <v>135.293116883117</v>
      </c>
      <c r="AF89" s="137" t="n">
        <f aca="false">'Price History'!K3+('Price History'!K158-'Price History'!K3)*0.558441558441558</f>
        <v>75.5262337662337</v>
      </c>
      <c r="AG89" s="137" t="n">
        <f aca="false">'Price History'!L3+('Price History'!L158-'Price History'!L3)*0.558441558441558</f>
        <v>266.368961038961</v>
      </c>
      <c r="AH89" s="137" t="n">
        <f aca="false">'Price History'!M3+('Price History'!M158-'Price History'!M3)*0.558441558441558</f>
        <v>149.699350649351</v>
      </c>
      <c r="AI89" s="137" t="n">
        <f aca="false">'Price History'!N3+('Price History'!N158-'Price History'!N3)*0.558441558441558</f>
        <v>420.916103896104</v>
      </c>
      <c r="AJ89" s="137" t="n">
        <f aca="false">'Price History'!O3+('Price History'!O158-'Price History'!O3)*0.558441558441558</f>
        <v>106.544675324675</v>
      </c>
      <c r="AK89" s="137" t="n">
        <f aca="false">'Price History'!Q3+('Price History'!Q151-'Price History'!Q3)*0.558441558441558</f>
        <v>60.2325974025974</v>
      </c>
      <c r="AL89" s="137" t="n">
        <f aca="false">'Price History'!R3+('Price History'!R158-'Price History'!R3)*0.558441558441558</f>
        <v>53.6445454545455</v>
      </c>
      <c r="AM89" s="137" t="n">
        <f aca="false">'Price History'!S3+('Price History'!S158-'Price History'!S3)*0.558441558441558</f>
        <v>106.16948051948</v>
      </c>
      <c r="AN89" s="137" t="n">
        <f aca="false">'Price History'!T3+('Price History'!T158-'Price History'!T3)*0.558441558441558</f>
        <v>39.6592207792208</v>
      </c>
    </row>
    <row r="90" customFormat="false" ht="15" hidden="false" customHeight="true" outlineLevel="0" collapsed="false">
      <c r="A90" s="135" t="n">
        <f aca="false">IF('Price History'!A91="","",'Price History'!A91)</f>
        <v>45764</v>
      </c>
      <c r="B90" s="136" t="n">
        <f aca="false">IFERROR(IF(OR(NOT(ISNUMBER('Price History'!B91)),NOT(ISNUMBER('Price History'!B90)),'Price History'!B90=0),"",'Price History'!B91/'Price History'!B90-1),"")</f>
        <v>-0.0104122336652765</v>
      </c>
      <c r="C90" s="136" t="n">
        <f aca="false">IFERROR(IF(OR(NOT(ISNUMBER('Price History'!C91)),NOT(ISNUMBER('Price History'!C90)),'Price History'!C90=0),"",'Price History'!C91/'Price History'!C90-1),"")</f>
        <v>-0.0202284298885372</v>
      </c>
      <c r="D90" s="136" t="n">
        <f aca="false">IFERROR(IF(OR(NOT(ISNUMBER('Price History'!D91)),NOT(ISNUMBER('Price History'!D90)),'Price History'!D90=0),"",'Price History'!D91/'Price History'!D90-1),"")</f>
        <v>-0.0428372781507453</v>
      </c>
      <c r="E90" s="136" t="n">
        <f aca="false">IFERROR(IF(OR(NOT(ISNUMBER('Price History'!E91)),NOT(ISNUMBER('Price History'!E90)),'Price History'!E90=0),"",'Price History'!E91/'Price History'!E90-1),"")</f>
        <v>-0.0601846762669012</v>
      </c>
      <c r="F90" s="136" t="n">
        <f aca="false">IFERROR(IF(OR(NOT(ISNUMBER('Price History'!F91)),NOT(ISNUMBER('Price History'!F90)),'Price History'!F90=0),"",'Price History'!F91/'Price History'!F90-1),"")</f>
        <v>-0.00603302286198149</v>
      </c>
      <c r="G90" s="136" t="n">
        <f aca="false">IFERROR(IF(OR(NOT(ISNUMBER('Price History'!G91)),NOT(ISNUMBER('Price History'!G90)),'Price History'!G90=0),"",'Price History'!G91/'Price History'!G90-1),"")</f>
        <v>-0.0534168904804536</v>
      </c>
      <c r="H90" s="136" t="n">
        <f aca="false">IFERROR(IF(OR(NOT(ISNUMBER('Price History'!H91)),NOT(ISNUMBER('Price History'!H90)),'Price History'!H90=0),"",'Price History'!H91/'Price History'!H90-1),"")</f>
        <v>-0.0107836089144501</v>
      </c>
      <c r="I90" s="136" t="n">
        <f aca="false">IFERROR(IF(OR(NOT(ISNUMBER('Price History'!I91)),NOT(ISNUMBER('Price History'!I90)),'Price History'!I90=0),"",'Price History'!I91/'Price History'!I90-1),"")</f>
        <v>-0.0850987108987651</v>
      </c>
      <c r="J90" s="136" t="n">
        <f aca="false">IFERROR(IF(OR(NOT(ISNUMBER('Price History'!J91)),NOT(ISNUMBER('Price History'!J90)),'Price History'!J90=0),"",'Price History'!J91/'Price History'!J90-1),"")</f>
        <v>0.0609996882469084</v>
      </c>
      <c r="K90" s="136" t="n">
        <f aca="false">IFERROR(IF(OR(NOT(ISNUMBER('Price History'!K91)),NOT(ISNUMBER('Price History'!K90)),'Price History'!K90=0),"",'Price History'!K91/'Price History'!K90-1),"")</f>
        <v>0.0590626764539808</v>
      </c>
      <c r="L90" s="136" t="n">
        <f aca="false">IFERROR(IF(OR(NOT(ISNUMBER('Price History'!L91)),NOT(ISNUMBER('Price History'!L90)),'Price History'!L90=0),"",'Price History'!L91/'Price History'!L90-1),"")</f>
        <v>-0.0339954163483576</v>
      </c>
      <c r="M90" s="136" t="n">
        <f aca="false">IFERROR(IF(OR(NOT(ISNUMBER('Price History'!M91)),NOT(ISNUMBER('Price History'!M90)),'Price History'!M90=0),"",'Price History'!M91/'Price History'!M90-1),"")</f>
        <v>0.0517167073696307</v>
      </c>
      <c r="N90" s="136" t="n">
        <f aca="false">IFERROR(IF(OR(NOT(ISNUMBER('Price History'!N91)),NOT(ISNUMBER('Price History'!N90)),'Price History'!N90=0),"",'Price History'!N91/'Price History'!N90-1),"")</f>
        <v>0.0100780636900581</v>
      </c>
      <c r="O90" s="136" t="n">
        <f aca="false">IFERROR(IF(OR(NOT(ISNUMBER('Price History'!O91)),NOT(ISNUMBER('Price History'!O90)),'Price History'!O90=0),"",'Price History'!O91/'Price History'!O90-1),"")</f>
        <v>0.0186123069131425</v>
      </c>
      <c r="P90" s="136" t="str">
        <f aca="false">IFERROR(IF(OR(NOT(ISNUMBER('Price History'!P91)),NOT(ISNUMBER('Price History'!P90)),'Price History'!P90=0),"",'Price History'!P91/'Price History'!P90-1),"")</f>
        <v/>
      </c>
      <c r="Q90" s="136" t="n">
        <f aca="false">IFERROR(IF(OR(NOT(ISNUMBER('Price History'!Q91)),NOT(ISNUMBER('Price History'!Q90)),'Price History'!Q90=0),"",'Price History'!Q91/'Price History'!Q90-1),"")</f>
        <v>0.00963422599608088</v>
      </c>
      <c r="R90" s="136" t="n">
        <f aca="false">IFERROR(IF(OR(NOT(ISNUMBER('Price History'!R91)),NOT(ISNUMBER('Price History'!R90)),'Price History'!R90=0),"",'Price History'!R91/'Price History'!R90-1),"")</f>
        <v>-0.0161485668146951</v>
      </c>
      <c r="S90" s="136" t="n">
        <f aca="false">IFERROR(IF(OR(NOT(ISNUMBER('Price History'!S91)),NOT(ISNUMBER('Price History'!S90)),'Price History'!S90=0),"",'Price History'!S91/'Price History'!S90-1),"")</f>
        <v>-0.0173680694722778</v>
      </c>
      <c r="T90" s="136" t="n">
        <f aca="false">IFERROR(IF(OR(NOT(ISNUMBER('Price History'!T91)),NOT(ISNUMBER('Price History'!T90)),'Price History'!T90=0),"",'Price History'!T91/'Price History'!T90-1),"")</f>
        <v>0.00697084917617241</v>
      </c>
      <c r="U90" s="136" t="str">
        <f aca="false">IFERROR(IF(OR(NOT(ISNUMBER('Price History'!U91)),NOT(ISNUMBER('Price History'!U90)),'Price History'!U90=0),"",'Price History'!U91/'Price History'!U90-1),"")</f>
        <v/>
      </c>
      <c r="W90" s="137" t="n">
        <f aca="false">'Price History'!B3+('Price History'!B158-'Price History'!B3)*0.564935064935065</f>
        <v>362.674155844156</v>
      </c>
      <c r="X90" s="137" t="n">
        <f aca="false">'Price History'!C3+('Price History'!C158-'Price History'!C3)*0.564935064935065</f>
        <v>120.915779220779</v>
      </c>
      <c r="Y90" s="137" t="n">
        <f aca="false">'Price History'!D3+('Price History'!D158-'Price History'!D3)*0.564935064935065</f>
        <v>1208.19649350649</v>
      </c>
      <c r="Z90" s="137" t="n">
        <f aca="false">'Price History'!E3+('Price History'!E158-'Price History'!E3)*0.564935064935065</f>
        <v>256.01961038961</v>
      </c>
      <c r="AA90" s="137" t="n">
        <f aca="false">'Price History'!F3+('Price History'!F158-'Price History'!F3)*0.564935064935065</f>
        <v>123.947012987013</v>
      </c>
      <c r="AB90" s="137" t="n">
        <f aca="false">'Price History'!G3+('Price History'!G158-'Price History'!G3)*0.564935064935065</f>
        <v>124.121038961039</v>
      </c>
      <c r="AC90" s="137" t="n">
        <f aca="false">'Price History'!H3+('Price History'!H158-'Price History'!H3)*0.564935064935065</f>
        <v>492.963636363636</v>
      </c>
      <c r="AD90" s="137" t="n">
        <f aca="false">'Price History'!I3+('Price History'!I158-'Price History'!I3)*0.564935064935065</f>
        <v>131.183116883117</v>
      </c>
      <c r="AE90" s="137" t="n">
        <f aca="false">'Price History'!J3+('Price History'!J158-'Price History'!J3)*0.564935064935065</f>
        <v>135.43012987013</v>
      </c>
      <c r="AF90" s="137" t="n">
        <f aca="false">'Price History'!K3+('Price History'!K158-'Price History'!K3)*0.564935064935065</f>
        <v>76.2252597402597</v>
      </c>
      <c r="AG90" s="137" t="n">
        <f aca="false">'Price History'!L3+('Price History'!L158-'Price History'!L3)*0.564935064935065</f>
        <v>268.396623376623</v>
      </c>
      <c r="AH90" s="137" t="n">
        <f aca="false">'Price History'!M3+('Price History'!M158-'Price History'!M3)*0.564935064935065</f>
        <v>151.05038961039</v>
      </c>
      <c r="AI90" s="137" t="n">
        <f aca="false">'Price History'!N3+('Price History'!N158-'Price History'!N3)*0.564935064935065</f>
        <v>421.742337662338</v>
      </c>
      <c r="AJ90" s="137" t="n">
        <f aca="false">'Price History'!O3+('Price History'!O158-'Price History'!O3)*0.564935064935065</f>
        <v>106.820194805195</v>
      </c>
      <c r="AK90" s="137" t="n">
        <f aca="false">'Price History'!Q3+('Price History'!Q151-'Price History'!Q3)*0.564935064935065</f>
        <v>60.3534415584416</v>
      </c>
      <c r="AL90" s="137" t="n">
        <f aca="false">'Price History'!R3+('Price History'!R158-'Price History'!R3)*0.564935064935065</f>
        <v>53.7122727272727</v>
      </c>
      <c r="AM90" s="137" t="n">
        <f aca="false">'Price History'!S3+('Price History'!S158-'Price History'!S3)*0.564935064935065</f>
        <v>106.723311688312</v>
      </c>
      <c r="AN90" s="137" t="n">
        <f aca="false">'Price History'!T3+('Price History'!T158-'Price History'!T3)*0.564935064935065</f>
        <v>39.8074675324675</v>
      </c>
    </row>
    <row r="91" customFormat="false" ht="15" hidden="false" customHeight="true" outlineLevel="0" collapsed="false">
      <c r="A91" s="135" t="n">
        <f aca="false">IF('Price History'!A92="","",'Price History'!A92)</f>
        <v>45772</v>
      </c>
      <c r="B91" s="136" t="n">
        <f aca="false">IFERROR(IF(OR(NOT(ISNUMBER('Price History'!B92)),NOT(ISNUMBER('Price History'!B91)),'Price History'!B91=0),"",'Price History'!B92/'Price History'!B91-1),"")</f>
        <v>0.0542431192660551</v>
      </c>
      <c r="C91" s="136" t="n">
        <f aca="false">IFERROR(IF(OR(NOT(ISNUMBER('Price History'!C92)),NOT(ISNUMBER('Price History'!C91)),'Price History'!C91=0),"",'Price History'!C92/'Price History'!C91-1),"")</f>
        <v>0.0942415730337078</v>
      </c>
      <c r="D91" s="136" t="n">
        <f aca="false">IFERROR(IF(OR(NOT(ISNUMBER('Price History'!D92)),NOT(ISNUMBER('Price History'!D91)),'Price History'!D91=0),"",'Price History'!D92/'Price History'!D91-1),"")</f>
        <v>0.0579698825293677</v>
      </c>
      <c r="E91" s="136" t="n">
        <f aca="false">IFERROR(IF(OR(NOT(ISNUMBER('Price History'!E92)),NOT(ISNUMBER('Price History'!E91)),'Price History'!E91=0),"",'Price History'!E92/'Price History'!E91-1),"")</f>
        <v>0.12468565413182</v>
      </c>
      <c r="F91" s="136" t="n">
        <f aca="false">IFERROR(IF(OR(NOT(ISNUMBER('Price History'!F92)),NOT(ISNUMBER('Price History'!F91)),'Price History'!F91=0),"",'Price History'!F92/'Price History'!F91-1),"")</f>
        <v>0.131082951762326</v>
      </c>
      <c r="G91" s="136" t="n">
        <f aca="false">IFERROR(IF(OR(NOT(ISNUMBER('Price History'!G92)),NOT(ISNUMBER('Price History'!G91)),'Price History'!G91=0),"",'Price History'!G92/'Price History'!G91-1),"")</f>
        <v>0.0948928121059267</v>
      </c>
      <c r="H91" s="136" t="n">
        <f aca="false">IFERROR(IF(OR(NOT(ISNUMBER('Price History'!H92)),NOT(ISNUMBER('Price History'!H91)),'Price History'!H91=0),"",'Price History'!H92/'Price History'!H91-1),"")</f>
        <v>0.159593023255814</v>
      </c>
      <c r="I91" s="136" t="n">
        <f aca="false">IFERROR(IF(OR(NOT(ISNUMBER('Price History'!I92)),NOT(ISNUMBER('Price History'!I91)),'Price History'!I91=0),"",'Price History'!I92/'Price History'!I91-1),"")</f>
        <v>0.0938023450586265</v>
      </c>
      <c r="J91" s="136" t="n">
        <f aca="false">IFERROR(IF(OR(NOT(ISNUMBER('Price History'!J92)),NOT(ISNUMBER('Price History'!J91)),'Price History'!J91=0),"",'Price History'!J92/'Price History'!J91-1),"")</f>
        <v>0.00137120470127328</v>
      </c>
      <c r="K91" s="136" t="n">
        <f aca="false">IFERROR(IF(OR(NOT(ISNUMBER('Price History'!K92)),NOT(ISNUMBER('Price History'!K91)),'Price History'!K91=0),"",'Price History'!K92/'Price History'!K91-1),"")</f>
        <v>0.202601834079761</v>
      </c>
      <c r="L91" s="136" t="n">
        <f aca="false">IFERROR(IF(OR(NOT(ISNUMBER('Price History'!L92)),NOT(ISNUMBER('Price History'!L91)),'Price History'!L91=0),"",'Price History'!L92/'Price History'!L91-1),"")</f>
        <v>0.0880453407143798</v>
      </c>
      <c r="M91" s="136" t="n">
        <f aca="false">IFERROR(IF(OR(NOT(ISNUMBER('Price History'!M92)),NOT(ISNUMBER('Price History'!M91)),'Price History'!M91=0),"",'Price History'!M92/'Price History'!M91-1),"")</f>
        <v>0.187679278787051</v>
      </c>
      <c r="N91" s="136" t="n">
        <f aca="false">IFERROR(IF(OR(NOT(ISNUMBER('Price History'!N92)),NOT(ISNUMBER('Price History'!N91)),'Price History'!N91=0),"",'Price History'!N92/'Price History'!N91-1),"")</f>
        <v>0.00969126967900214</v>
      </c>
      <c r="O91" s="136" t="n">
        <f aca="false">IFERROR(IF(OR(NOT(ISNUMBER('Price History'!O92)),NOT(ISNUMBER('Price History'!O91)),'Price History'!O91=0),"",'Price History'!O92/'Price History'!O91-1),"")</f>
        <v>0.0280919825978867</v>
      </c>
      <c r="P91" s="136" t="str">
        <f aca="false">IFERROR(IF(OR(NOT(ISNUMBER('Price History'!P92)),NOT(ISNUMBER('Price History'!P91)),'Price History'!P91=0),"",'Price History'!P92/'Price History'!P91-1),"")</f>
        <v/>
      </c>
      <c r="Q91" s="136" t="n">
        <f aca="false">IFERROR(IF(OR(NOT(ISNUMBER('Price History'!Q92)),NOT(ISNUMBER('Price History'!Q91)),'Price History'!Q91=0),"",'Price History'!Q92/'Price History'!Q91-1),"")</f>
        <v>-0.00016173378618789</v>
      </c>
      <c r="R91" s="136" t="n">
        <f aca="false">IFERROR(IF(OR(NOT(ISNUMBER('Price History'!R92)),NOT(ISNUMBER('Price History'!R91)),'Price History'!R91=0),"",'Price History'!R92/'Price History'!R91-1),"")</f>
        <v>0.0482150184653263</v>
      </c>
      <c r="S91" s="136" t="n">
        <f aca="false">IFERROR(IF(OR(NOT(ISNUMBER('Price History'!S92)),NOT(ISNUMBER('Price History'!S91)),'Price History'!S91=0),"",'Price History'!S92/'Price History'!S91-1),"")</f>
        <v>0.0652617267165192</v>
      </c>
      <c r="T91" s="136" t="n">
        <f aca="false">IFERROR(IF(OR(NOT(ISNUMBER('Price History'!T92)),NOT(ISNUMBER('Price History'!T91)),'Price History'!T91=0),"",'Price History'!T92/'Price History'!T91-1),"")</f>
        <v>0.0330396475770924</v>
      </c>
      <c r="U91" s="136" t="str">
        <f aca="false">IFERROR(IF(OR(NOT(ISNUMBER('Price History'!U92)),NOT(ISNUMBER('Price History'!U91)),'Price History'!U91=0),"",'Price History'!U92/'Price History'!U91-1),"")</f>
        <v/>
      </c>
      <c r="W91" s="137" t="n">
        <f aca="false">'Price History'!B3+('Price History'!B158-'Price History'!B3)*0.571428571428571</f>
        <v>360.998571428572</v>
      </c>
      <c r="X91" s="137" t="n">
        <f aca="false">'Price History'!C3+('Price History'!C158-'Price History'!C3)*0.571428571428571</f>
        <v>121.802857142857</v>
      </c>
      <c r="Y91" s="137" t="n">
        <f aca="false">'Price History'!D3+('Price History'!D158-'Price History'!D3)*0.571428571428571</f>
        <v>1214.47714285714</v>
      </c>
      <c r="Z91" s="137" t="n">
        <f aca="false">'Price History'!E3+('Price History'!E158-'Price History'!E3)*0.571428571428571</f>
        <v>258.008571428571</v>
      </c>
      <c r="AA91" s="137" t="n">
        <f aca="false">'Price History'!F3+('Price History'!F158-'Price History'!F3)*0.571428571428571</f>
        <v>124.945714285714</v>
      </c>
      <c r="AB91" s="137" t="n">
        <f aca="false">'Price History'!G3+('Price History'!G158-'Price History'!G3)*0.571428571428571</f>
        <v>124.997142857143</v>
      </c>
      <c r="AC91" s="137" t="n">
        <f aca="false">'Price History'!H3+('Price History'!H158-'Price History'!H3)*0.571428571428571</f>
        <v>497.89</v>
      </c>
      <c r="AD91" s="137" t="n">
        <f aca="false">'Price History'!I3+('Price History'!I158-'Price History'!I3)*0.571428571428571</f>
        <v>132.221428571429</v>
      </c>
      <c r="AE91" s="137" t="n">
        <f aca="false">'Price History'!J3+('Price History'!J158-'Price History'!J3)*0.571428571428571</f>
        <v>135.567142857143</v>
      </c>
      <c r="AF91" s="137" t="n">
        <f aca="false">'Price History'!K3+('Price History'!K158-'Price History'!K3)*0.571428571428571</f>
        <v>76.9242857142857</v>
      </c>
      <c r="AG91" s="137" t="n">
        <f aca="false">'Price History'!L3+('Price History'!L158-'Price History'!L3)*0.571428571428571</f>
        <v>270.424285714286</v>
      </c>
      <c r="AH91" s="137" t="n">
        <f aca="false">'Price History'!M3+('Price History'!M158-'Price History'!M3)*0.571428571428571</f>
        <v>152.401428571428</v>
      </c>
      <c r="AI91" s="137" t="n">
        <f aca="false">'Price History'!N3+('Price History'!N158-'Price History'!N3)*0.571428571428571</f>
        <v>422.568571428571</v>
      </c>
      <c r="AJ91" s="137" t="n">
        <f aca="false">'Price History'!O3+('Price History'!O158-'Price History'!O3)*0.571428571428571</f>
        <v>107.095714285714</v>
      </c>
      <c r="AK91" s="137" t="n">
        <f aca="false">'Price History'!Q3+('Price History'!Q151-'Price History'!Q3)*0.571428571428571</f>
        <v>60.4742857142857</v>
      </c>
      <c r="AL91" s="137" t="n">
        <f aca="false">'Price History'!R3+('Price History'!R158-'Price History'!R3)*0.571428571428571</f>
        <v>53.78</v>
      </c>
      <c r="AM91" s="137" t="n">
        <f aca="false">'Price History'!S3+('Price History'!S158-'Price History'!S3)*0.571428571428571</f>
        <v>107.277142857143</v>
      </c>
      <c r="AN91" s="137" t="n">
        <f aca="false">'Price History'!T3+('Price History'!T158-'Price History'!T3)*0.571428571428571</f>
        <v>39.9557142857143</v>
      </c>
    </row>
    <row r="92" customFormat="false" ht="15" hidden="false" customHeight="true" outlineLevel="0" collapsed="false">
      <c r="A92" s="135" t="n">
        <f aca="false">IF('Price History'!A93="","",'Price History'!A93)</f>
        <v>45779</v>
      </c>
      <c r="B92" s="136" t="n">
        <f aca="false">IFERROR(IF(OR(NOT(ISNUMBER('Price History'!B93)),NOT(ISNUMBER('Price History'!B92)),'Price History'!B92=0),"",'Price History'!B93/'Price History'!B92-1),"")</f>
        <v>0.0357609050364407</v>
      </c>
      <c r="C92" s="136" t="n">
        <f aca="false">IFERROR(IF(OR(NOT(ISNUMBER('Price History'!C93)),NOT(ISNUMBER('Price History'!C92)),'Price History'!C92=0),"",'Price History'!C93/'Price History'!C92-1),"")</f>
        <v>0.168271082017713</v>
      </c>
      <c r="D92" s="136" t="n">
        <f aca="false">IFERROR(IF(OR(NOT(ISNUMBER('Price History'!D93)),NOT(ISNUMBER('Price History'!D92)),'Price History'!D92=0),"",'Price History'!D93/'Price History'!D92-1),"")</f>
        <v>0.019283299127379</v>
      </c>
      <c r="E92" s="136" t="n">
        <f aca="false">IFERROR(IF(OR(NOT(ISNUMBER('Price History'!E93)),NOT(ISNUMBER('Price History'!E92)),'Price History'!E92=0),"",'Price History'!E93/'Price History'!E92-1),"")</f>
        <v>0.0589152930164838</v>
      </c>
      <c r="F92" s="136" t="n">
        <f aca="false">IFERROR(IF(OR(NOT(ISNUMBER('Price History'!F93)),NOT(ISNUMBER('Price History'!F92)),'Price History'!F92=0),"",'Price History'!F93/'Price History'!F92-1),"")</f>
        <v>0.0369986819807946</v>
      </c>
      <c r="G92" s="136" t="n">
        <f aca="false">IFERROR(IF(OR(NOT(ISNUMBER('Price History'!G93)),NOT(ISNUMBER('Price History'!G92)),'Price History'!G92=0),"",'Price History'!G93/'Price History'!G92-1),"")</f>
        <v>0.00518283904405403</v>
      </c>
      <c r="H92" s="136" t="n">
        <f aca="false">IFERROR(IF(OR(NOT(ISNUMBER('Price History'!H93)),NOT(ISNUMBER('Price History'!H92)),'Price History'!H92=0),"",'Price History'!H93/'Price History'!H92-1),"")</f>
        <v>0.0117824016044121</v>
      </c>
      <c r="I92" s="136" t="n">
        <f aca="false">IFERROR(IF(OR(NOT(ISNUMBER('Price History'!I93)),NOT(ISNUMBER('Price History'!I92)),'Price History'!I92=0),"",'Price History'!I93/'Price History'!I92-1),"")</f>
        <v>0.0314386091343122</v>
      </c>
      <c r="J92" s="136" t="n">
        <f aca="false">IFERROR(IF(OR(NOT(ISNUMBER('Price History'!J93)),NOT(ISNUMBER('Price History'!J92)),'Price History'!J92=0),"",'Price History'!J93/'Price History'!J92-1),"")</f>
        <v>0.0310054773082942</v>
      </c>
      <c r="K92" s="136" t="n">
        <f aca="false">IFERROR(IF(OR(NOT(ISNUMBER('Price History'!K93)),NOT(ISNUMBER('Price History'!K92)),'Price History'!K92=0),"",'Price History'!K93/'Price History'!K92-1),"")</f>
        <v>0.101968434119525</v>
      </c>
      <c r="L92" s="136" t="n">
        <f aca="false">IFERROR(IF(OR(NOT(ISNUMBER('Price History'!L93)),NOT(ISNUMBER('Price History'!L92)),'Price History'!L92=0),"",'Price History'!L93/'Price History'!L92-1),"")</f>
        <v>0.0858873410054513</v>
      </c>
      <c r="M92" s="136" t="n">
        <f aca="false">IFERROR(IF(OR(NOT(ISNUMBER('Price History'!M93)),NOT(ISNUMBER('Price History'!M92)),'Price History'!M92=0),"",'Price History'!M93/'Price History'!M92-1),"")</f>
        <v>0.0925819436457733</v>
      </c>
      <c r="N92" s="136" t="n">
        <f aca="false">IFERROR(IF(OR(NOT(ISNUMBER('Price History'!N93)),NOT(ISNUMBER('Price History'!N92)),'Price History'!N92=0),"",'Price History'!N93/'Price History'!N92-1),"")</f>
        <v>0.0148023651385063</v>
      </c>
      <c r="O92" s="136" t="n">
        <f aca="false">IFERROR(IF(OR(NOT(ISNUMBER('Price History'!O93)),NOT(ISNUMBER('Price History'!O92)),'Price History'!O92=0),"",'Price History'!O93/'Price History'!O92-1),"")</f>
        <v>0.0339741264659654</v>
      </c>
      <c r="P92" s="136" t="str">
        <f aca="false">IFERROR(IF(OR(NOT(ISNUMBER('Price History'!P93)),NOT(ISNUMBER('Price History'!P92)),'Price History'!P92=0),"",'Price History'!P93/'Price History'!P92-1),"")</f>
        <v/>
      </c>
      <c r="Q92" s="136" t="n">
        <f aca="false">IFERROR(IF(OR(NOT(ISNUMBER('Price History'!Q93)),NOT(ISNUMBER('Price History'!Q92)),'Price History'!Q92=0),"",'Price History'!Q93/'Price History'!Q92-1),"")</f>
        <v>0.000808799741184085</v>
      </c>
      <c r="R92" s="136" t="n">
        <f aca="false">IFERROR(IF(OR(NOT(ISNUMBER('Price History'!R93)),NOT(ISNUMBER('Price History'!R92)),'Price History'!R92=0),"",'Price History'!R93/'Price History'!R92-1),"")</f>
        <v>0.00782932080641996</v>
      </c>
      <c r="S92" s="136" t="n">
        <f aca="false">IFERROR(IF(OR(NOT(ISNUMBER('Price History'!S93)),NOT(ISNUMBER('Price History'!S92)),'Price History'!S92=0),"",'Price History'!S93/'Price History'!S92-1),"")</f>
        <v>0.0402042118698149</v>
      </c>
      <c r="T92" s="136" t="n">
        <f aca="false">IFERROR(IF(OR(NOT(ISNUMBER('Price History'!T93)),NOT(ISNUMBER('Price History'!T92)),'Price History'!T92=0),"",'Price History'!T93/'Price History'!T92-1),"")</f>
        <v>0.0191897654584223</v>
      </c>
      <c r="U92" s="136" t="str">
        <f aca="false">IFERROR(IF(OR(NOT(ISNUMBER('Price History'!U93)),NOT(ISNUMBER('Price History'!U92)),'Price History'!U92=0),"",'Price History'!U93/'Price History'!U92-1),"")</f>
        <v/>
      </c>
      <c r="W92" s="137" t="n">
        <f aca="false">'Price History'!B3+('Price History'!B158-'Price History'!B3)*0.577922077922078</f>
        <v>359.322987012987</v>
      </c>
      <c r="X92" s="137" t="n">
        <f aca="false">'Price History'!C3+('Price History'!C158-'Price History'!C3)*0.577922077922078</f>
        <v>122.689935064935</v>
      </c>
      <c r="Y92" s="137" t="n">
        <f aca="false">'Price History'!D3+('Price History'!D158-'Price History'!D3)*0.577922077922078</f>
        <v>1220.75779220779</v>
      </c>
      <c r="Z92" s="137" t="n">
        <f aca="false">'Price History'!E3+('Price History'!E158-'Price History'!E3)*0.577922077922078</f>
        <v>259.997532467532</v>
      </c>
      <c r="AA92" s="137" t="n">
        <f aca="false">'Price History'!F3+('Price History'!F158-'Price History'!F3)*0.577922077922078</f>
        <v>125.944415584416</v>
      </c>
      <c r="AB92" s="137" t="n">
        <f aca="false">'Price History'!G3+('Price History'!G158-'Price History'!G3)*0.577922077922078</f>
        <v>125.873246753247</v>
      </c>
      <c r="AC92" s="137" t="n">
        <f aca="false">'Price History'!H3+('Price History'!H158-'Price History'!H3)*0.577922077922078</f>
        <v>502.816363636364</v>
      </c>
      <c r="AD92" s="137" t="n">
        <f aca="false">'Price History'!I3+('Price History'!I158-'Price History'!I3)*0.577922077922078</f>
        <v>133.25974025974</v>
      </c>
      <c r="AE92" s="137" t="n">
        <f aca="false">'Price History'!J3+('Price History'!J158-'Price History'!J3)*0.577922077922078</f>
        <v>135.704155844156</v>
      </c>
      <c r="AF92" s="137" t="n">
        <f aca="false">'Price History'!K3+('Price History'!K158-'Price History'!K3)*0.577922077922078</f>
        <v>77.6233116883117</v>
      </c>
      <c r="AG92" s="137" t="n">
        <f aca="false">'Price History'!L3+('Price History'!L158-'Price History'!L3)*0.577922077922078</f>
        <v>272.451948051948</v>
      </c>
      <c r="AH92" s="137" t="n">
        <f aca="false">'Price History'!M3+('Price History'!M158-'Price History'!M3)*0.577922077922078</f>
        <v>153.752467532468</v>
      </c>
      <c r="AI92" s="137" t="n">
        <f aca="false">'Price History'!N3+('Price History'!N158-'Price History'!N3)*0.577922077922078</f>
        <v>423.394805194805</v>
      </c>
      <c r="AJ92" s="137" t="n">
        <f aca="false">'Price History'!O3+('Price History'!O158-'Price History'!O3)*0.577922077922078</f>
        <v>107.371233766234</v>
      </c>
      <c r="AK92" s="137" t="n">
        <f aca="false">'Price History'!Q3+('Price History'!Q151-'Price History'!Q3)*0.577922077922078</f>
        <v>60.5951298701299</v>
      </c>
      <c r="AL92" s="137" t="n">
        <f aca="false">'Price History'!R3+('Price History'!R158-'Price History'!R3)*0.577922077922078</f>
        <v>53.8477272727273</v>
      </c>
      <c r="AM92" s="137" t="n">
        <f aca="false">'Price History'!S3+('Price History'!S158-'Price History'!S3)*0.577922077922078</f>
        <v>107.830974025974</v>
      </c>
      <c r="AN92" s="137" t="n">
        <f aca="false">'Price History'!T3+('Price History'!T158-'Price History'!T3)*0.577922077922078</f>
        <v>40.103961038961</v>
      </c>
    </row>
    <row r="93" customFormat="false" ht="15" hidden="false" customHeight="true" outlineLevel="0" collapsed="false">
      <c r="A93" s="135" t="n">
        <f aca="false">IF('Price History'!A94="","",'Price History'!A94)</f>
        <v>45786</v>
      </c>
      <c r="B93" s="136" t="n">
        <f aca="false">IFERROR(IF(OR(NOT(ISNUMBER('Price History'!B94)),NOT(ISNUMBER('Price History'!B93)),'Price History'!B93=0),"",'Price History'!B94/'Price History'!B93-1),"")</f>
        <v>0.00632761834746765</v>
      </c>
      <c r="C93" s="136" t="n">
        <f aca="false">IFERROR(IF(OR(NOT(ISNUMBER('Price History'!C94)),NOT(ISNUMBER('Price History'!C93)),'Price History'!C93=0),"",'Price History'!C94/'Price History'!C93-1),"")</f>
        <v>-0.049439683586025</v>
      </c>
      <c r="D93" s="136" t="n">
        <f aca="false">IFERROR(IF(OR(NOT(ISNUMBER('Price History'!D94)),NOT(ISNUMBER('Price History'!D93)),'Price History'!D93=0),"",'Price History'!D94/'Price History'!D93-1),"")</f>
        <v>0.0230034910839743</v>
      </c>
      <c r="E93" s="136" t="n">
        <f aca="false">IFERROR(IF(OR(NOT(ISNUMBER('Price History'!E94)),NOT(ISNUMBER('Price History'!E93)),'Price History'!E93=0),"",'Price History'!E94/'Price History'!E93-1),"")</f>
        <v>0.0223924572775487</v>
      </c>
      <c r="F93" s="136" t="n">
        <f aca="false">IFERROR(IF(OR(NOT(ISNUMBER('Price History'!F94)),NOT(ISNUMBER('Price History'!F93)),'Price History'!F93=0),"",'Price History'!F94/'Price History'!F93-1),"")</f>
        <v>-0.0681797548797095</v>
      </c>
      <c r="G93" s="136" t="n">
        <f aca="false">IFERROR(IF(OR(NOT(ISNUMBER('Price History'!G94)),NOT(ISNUMBER('Price History'!G93)),'Price History'!G93=0),"",'Price History'!G94/'Price History'!G93-1),"")</f>
        <v>0.00429676310512761</v>
      </c>
      <c r="H93" s="136" t="n">
        <f aca="false">IFERROR(IF(OR(NOT(ISNUMBER('Price History'!H94)),NOT(ISNUMBER('Price History'!H93)),'Price History'!H93=0),"",'Price History'!H94/'Price History'!H93-1),"")</f>
        <v>0.0636769078295343</v>
      </c>
      <c r="I93" s="136" t="n">
        <f aca="false">IFERROR(IF(OR(NOT(ISNUMBER('Price History'!I94)),NOT(ISNUMBER('Price History'!I93)),'Price History'!I93=0),"",'Price History'!I94/'Price History'!I93-1),"")</f>
        <v>0.0187772925764194</v>
      </c>
      <c r="J93" s="136" t="n">
        <f aca="false">IFERROR(IF(OR(NOT(ISNUMBER('Price History'!J94)),NOT(ISNUMBER('Price History'!J93)),'Price History'!J93=0),"",'Price History'!J94/'Price History'!J93-1),"")</f>
        <v>0.0142301489422256</v>
      </c>
      <c r="K93" s="136" t="n">
        <f aca="false">IFERROR(IF(OR(NOT(ISNUMBER('Price History'!K94)),NOT(ISNUMBER('Price History'!K93)),'Price History'!K93=0),"",'Price History'!K94/'Price History'!K93-1),"")</f>
        <v>-0.0561635017701964</v>
      </c>
      <c r="L93" s="136" t="n">
        <f aca="false">IFERROR(IF(OR(NOT(ISNUMBER('Price History'!L94)),NOT(ISNUMBER('Price History'!L93)),'Price History'!L93=0),"",'Price History'!L94/'Price History'!L93-1),"")</f>
        <v>-0.0153949129852744</v>
      </c>
      <c r="M93" s="136" t="n">
        <f aca="false">IFERROR(IF(OR(NOT(ISNUMBER('Price History'!M94)),NOT(ISNUMBER('Price History'!M93)),'Price History'!M93=0),"",'Price History'!M94/'Price History'!M93-1),"")</f>
        <v>-0.00989473684210529</v>
      </c>
      <c r="N93" s="136" t="n">
        <f aca="false">IFERROR(IF(OR(NOT(ISNUMBER('Price History'!N94)),NOT(ISNUMBER('Price History'!N93)),'Price History'!N93=0),"",'Price History'!N94/'Price History'!N93-1),"")</f>
        <v>-0.151970467923775</v>
      </c>
      <c r="O93" s="136" t="n">
        <f aca="false">IFERROR(IF(OR(NOT(ISNUMBER('Price History'!O94)),NOT(ISNUMBER('Price History'!O93)),'Price History'!O93=0),"",'Price History'!O94/'Price History'!O93-1),"")</f>
        <v>0.0115762394761461</v>
      </c>
      <c r="P93" s="136" t="str">
        <f aca="false">IFERROR(IF(OR(NOT(ISNUMBER('Price History'!P94)),NOT(ISNUMBER('Price History'!P93)),'Price History'!P93=0),"",'Price History'!P94/'Price History'!P93-1),"")</f>
        <v/>
      </c>
      <c r="Q93" s="136" t="n">
        <f aca="false">IFERROR(IF(OR(NOT(ISNUMBER('Price History'!Q94)),NOT(ISNUMBER('Price History'!Q93)),'Price History'!Q93=0),"",'Price History'!Q94/'Price History'!Q93-1),"")</f>
        <v>0.0108291579117505</v>
      </c>
      <c r="R93" s="136" t="n">
        <f aca="false">IFERROR(IF(OR(NOT(ISNUMBER('Price History'!R94)),NOT(ISNUMBER('Price History'!R93)),'Price History'!R93=0),"",'Price History'!R94/'Price History'!R93-1),"")</f>
        <v>0.00271897455816661</v>
      </c>
      <c r="S93" s="136" t="n">
        <f aca="false">IFERROR(IF(OR(NOT(ISNUMBER('Price History'!S94)),NOT(ISNUMBER('Price History'!S93)),'Price History'!S93=0),"",'Price History'!S94/'Price History'!S93-1),"")</f>
        <v>0.00695296523517386</v>
      </c>
      <c r="T93" s="136" t="n">
        <f aca="false">IFERROR(IF(OR(NOT(ISNUMBER('Price History'!T94)),NOT(ISNUMBER('Price History'!T93)),'Price History'!T93=0),"",'Price History'!T94/'Price History'!T93-1),"")</f>
        <v>-0.00179318589360433</v>
      </c>
      <c r="U93" s="136" t="str">
        <f aca="false">IFERROR(IF(OR(NOT(ISNUMBER('Price History'!U94)),NOT(ISNUMBER('Price History'!U93)),'Price History'!U93=0),"",'Price History'!U94/'Price History'!U93-1),"")</f>
        <v/>
      </c>
      <c r="W93" s="137" t="n">
        <f aca="false">'Price History'!B3+('Price History'!B158-'Price History'!B3)*0.584415584415584</f>
        <v>357.647402597403</v>
      </c>
      <c r="X93" s="137" t="n">
        <f aca="false">'Price History'!C3+('Price History'!C158-'Price History'!C3)*0.584415584415584</f>
        <v>123.577012987013</v>
      </c>
      <c r="Y93" s="137" t="n">
        <f aca="false">'Price History'!D3+('Price History'!D158-'Price History'!D3)*0.584415584415584</f>
        <v>1227.03844155844</v>
      </c>
      <c r="Z93" s="137" t="n">
        <f aca="false">'Price History'!E3+('Price History'!E158-'Price History'!E3)*0.584415584415584</f>
        <v>261.986493506493</v>
      </c>
      <c r="AA93" s="137" t="n">
        <f aca="false">'Price History'!F3+('Price History'!F158-'Price History'!F3)*0.584415584415584</f>
        <v>126.943116883117</v>
      </c>
      <c r="AB93" s="137" t="n">
        <f aca="false">'Price History'!G3+('Price History'!G158-'Price History'!G3)*0.584415584415584</f>
        <v>126.749350649351</v>
      </c>
      <c r="AC93" s="137" t="n">
        <f aca="false">'Price History'!H3+('Price History'!H158-'Price History'!H3)*0.584415584415584</f>
        <v>507.742727272727</v>
      </c>
      <c r="AD93" s="137" t="n">
        <f aca="false">'Price History'!I3+('Price History'!I158-'Price History'!I3)*0.584415584415584</f>
        <v>134.298051948052</v>
      </c>
      <c r="AE93" s="137" t="n">
        <f aca="false">'Price History'!J3+('Price History'!J158-'Price History'!J3)*0.584415584415584</f>
        <v>135.841168831169</v>
      </c>
      <c r="AF93" s="137" t="n">
        <f aca="false">'Price History'!K3+('Price History'!K158-'Price History'!K3)*0.584415584415584</f>
        <v>78.3223376623376</v>
      </c>
      <c r="AG93" s="137" t="n">
        <f aca="false">'Price History'!L3+('Price History'!L158-'Price History'!L3)*0.584415584415584</f>
        <v>274.47961038961</v>
      </c>
      <c r="AH93" s="137" t="n">
        <f aca="false">'Price History'!M3+('Price History'!M158-'Price History'!M3)*0.584415584415584</f>
        <v>155.103506493506</v>
      </c>
      <c r="AI93" s="137" t="n">
        <f aca="false">'Price History'!N3+('Price History'!N158-'Price History'!N3)*0.584415584415584</f>
        <v>424.221038961039</v>
      </c>
      <c r="AJ93" s="137" t="n">
        <f aca="false">'Price History'!O3+('Price History'!O158-'Price History'!O3)*0.584415584415584</f>
        <v>107.646753246753</v>
      </c>
      <c r="AK93" s="137" t="n">
        <f aca="false">'Price History'!Q3+('Price History'!Q151-'Price History'!Q3)*0.584415584415584</f>
        <v>60.715974025974</v>
      </c>
      <c r="AL93" s="137" t="n">
        <f aca="false">'Price History'!R3+('Price History'!R158-'Price History'!R3)*0.584415584415584</f>
        <v>53.9154545454545</v>
      </c>
      <c r="AM93" s="137" t="n">
        <f aca="false">'Price History'!S3+('Price History'!S158-'Price History'!S3)*0.584415584415584</f>
        <v>108.384805194805</v>
      </c>
      <c r="AN93" s="137" t="n">
        <f aca="false">'Price History'!T3+('Price History'!T158-'Price History'!T3)*0.584415584415584</f>
        <v>40.2522077922078</v>
      </c>
    </row>
    <row r="94" customFormat="false" ht="15" hidden="false" customHeight="true" outlineLevel="0" collapsed="false">
      <c r="A94" s="135" t="n">
        <f aca="false">IF('Price History'!A95="","",'Price History'!A95)</f>
        <v>45793</v>
      </c>
      <c r="B94" s="136" t="n">
        <f aca="false">IFERROR(IF(OR(NOT(ISNUMBER('Price History'!B95)),NOT(ISNUMBER('Price History'!B94)),'Price History'!B94=0),"",'Price History'!B95/'Price History'!B94-1),"")</f>
        <v>0.088316635357963</v>
      </c>
      <c r="C94" s="136" t="n">
        <f aca="false">IFERROR(IF(OR(NOT(ISNUMBER('Price History'!C95)),NOT(ISNUMBER('Price History'!C94)),'Price History'!C94=0),"",'Price History'!C95/'Price History'!C94-1),"")</f>
        <v>0.114424410540916</v>
      </c>
      <c r="D94" s="136" t="n">
        <f aca="false">IFERROR(IF(OR(NOT(ISNUMBER('Price History'!D95)),NOT(ISNUMBER('Price History'!D94)),'Price History'!D94=0),"",'Price History'!D95/'Price History'!D94-1),"")</f>
        <v>0.0593166338624489</v>
      </c>
      <c r="E94" s="136" t="n">
        <f aca="false">IFERROR(IF(OR(NOT(ISNUMBER('Price History'!E95)),NOT(ISNUMBER('Price History'!E94)),'Price History'!E94=0),"",'Price History'!E95/'Price History'!E94-1),"")</f>
        <v>0.098030739673391</v>
      </c>
      <c r="F94" s="136" t="n">
        <f aca="false">IFERROR(IF(OR(NOT(ISNUMBER('Price History'!F95)),NOT(ISNUMBER('Price History'!F94)),'Price History'!F94=0),"",'Price History'!F95/'Price History'!F94-1),"")</f>
        <v>0.0699532346063911</v>
      </c>
      <c r="G94" s="136" t="n">
        <f aca="false">IFERROR(IF(OR(NOT(ISNUMBER('Price History'!G95)),NOT(ISNUMBER('Price History'!G94)),'Price History'!G94=0),"",'Price History'!G95/'Price History'!G94-1),"")</f>
        <v>0.128351397604107</v>
      </c>
      <c r="H94" s="136" t="n">
        <f aca="false">IFERROR(IF(OR(NOT(ISNUMBER('Price History'!H95)),NOT(ISNUMBER('Price History'!H94)),'Price History'!H94=0),"",'Price History'!H95/'Price History'!H94-1),"")</f>
        <v>0.141392965292336</v>
      </c>
      <c r="I94" s="136" t="n">
        <f aca="false">IFERROR(IF(OR(NOT(ISNUMBER('Price History'!I95)),NOT(ISNUMBER('Price History'!I94)),'Price History'!I94=0),"",'Price History'!I95/'Price History'!I94-1),"")</f>
        <v>0.160737248178311</v>
      </c>
      <c r="J94" s="136" t="n">
        <f aca="false">IFERROR(IF(OR(NOT(ISNUMBER('Price History'!J95)),NOT(ISNUMBER('Price History'!J94)),'Price History'!J94=0),"",'Price History'!J95/'Price History'!J94-1),"")</f>
        <v>0.0340473295295107</v>
      </c>
      <c r="K94" s="136" t="n">
        <f aca="false">IFERROR(IF(OR(NOT(ISNUMBER('Price History'!K95)),NOT(ISNUMBER('Price History'!K94)),'Price History'!K94=0),"",'Price History'!K95/'Price History'!K94-1),"")</f>
        <v>0.104177323103154</v>
      </c>
      <c r="L94" s="136" t="n">
        <f aca="false">IFERROR(IF(OR(NOT(ISNUMBER('Price History'!L95)),NOT(ISNUMBER('Price History'!L94)),'Price History'!L94=0),"",'Price History'!L95/'Price History'!L94-1),"")</f>
        <v>0.100271923861319</v>
      </c>
      <c r="M94" s="136" t="n">
        <f aca="false">IFERROR(IF(OR(NOT(ISNUMBER('Price History'!M95)),NOT(ISNUMBER('Price History'!M94)),'Price History'!M94=0),"",'Price History'!M95/'Price History'!M94-1),"")</f>
        <v>0.127365511375718</v>
      </c>
      <c r="N94" s="136" t="n">
        <f aca="false">IFERROR(IF(OR(NOT(ISNUMBER('Price History'!N95)),NOT(ISNUMBER('Price History'!N94)),'Price History'!N94=0),"",'Price History'!N95/'Price History'!N94-1),"")</f>
        <v>0.0321419327513588</v>
      </c>
      <c r="O94" s="136" t="n">
        <f aca="false">IFERROR(IF(OR(NOT(ISNUMBER('Price History'!O95)),NOT(ISNUMBER('Price History'!O94)),'Price History'!O94=0),"",'Price History'!O95/'Price History'!O94-1),"")</f>
        <v>0.0488960813778754</v>
      </c>
      <c r="P94" s="136" t="str">
        <f aca="false">IFERROR(IF(OR(NOT(ISNUMBER('Price History'!P95)),NOT(ISNUMBER('Price History'!P94)),'Price History'!P94=0),"",'Price History'!P95/'Price History'!P94-1),"")</f>
        <v/>
      </c>
      <c r="Q94" s="136" t="n">
        <f aca="false">IFERROR(IF(OR(NOT(ISNUMBER('Price History'!Q95)),NOT(ISNUMBER('Price History'!Q94)),'Price History'!Q94=0),"",'Price History'!Q95/'Price History'!Q94-1),"")</f>
        <v>0.00655580428525759</v>
      </c>
      <c r="R94" s="136" t="n">
        <f aca="false">IFERROR(IF(OR(NOT(ISNUMBER('Price History'!R95)),NOT(ISNUMBER('Price History'!R94)),'Price History'!R94=0),"",'Price History'!R95/'Price History'!R94-1),"")</f>
        <v>0.0172380398992833</v>
      </c>
      <c r="S94" s="136" t="n">
        <f aca="false">IFERROR(IF(OR(NOT(ISNUMBER('Price History'!S95)),NOT(ISNUMBER('Price History'!S94)),'Price History'!S94=0),"",'Price History'!S95/'Price History'!S94-1),"")</f>
        <v>0.0682372055239642</v>
      </c>
      <c r="T94" s="136" t="n">
        <f aca="false">IFERROR(IF(OR(NOT(ISNUMBER('Price History'!T95)),NOT(ISNUMBER('Price History'!T94)),'Price History'!T94=0),"",'Price History'!T95/'Price History'!T94-1),"")</f>
        <v>0.0431137724550901</v>
      </c>
      <c r="U94" s="136" t="str">
        <f aca="false">IFERROR(IF(OR(NOT(ISNUMBER('Price History'!U95)),NOT(ISNUMBER('Price History'!U94)),'Price History'!U94=0),"",'Price History'!U95/'Price History'!U94-1),"")</f>
        <v/>
      </c>
      <c r="W94" s="137" t="n">
        <f aca="false">'Price History'!B3+('Price History'!B158-'Price History'!B3)*0.590909090909091</f>
        <v>355.971818181818</v>
      </c>
      <c r="X94" s="137" t="n">
        <f aca="false">'Price History'!C3+('Price History'!C158-'Price History'!C3)*0.590909090909091</f>
        <v>124.464090909091</v>
      </c>
      <c r="Y94" s="137" t="n">
        <f aca="false">'Price History'!D3+('Price History'!D158-'Price History'!D3)*0.590909090909091</f>
        <v>1233.31909090909</v>
      </c>
      <c r="Z94" s="137" t="n">
        <f aca="false">'Price History'!E3+('Price History'!E158-'Price History'!E3)*0.590909090909091</f>
        <v>263.975454545455</v>
      </c>
      <c r="AA94" s="137" t="n">
        <f aca="false">'Price History'!F3+('Price History'!F158-'Price History'!F3)*0.590909090909091</f>
        <v>127.941818181818</v>
      </c>
      <c r="AB94" s="137" t="n">
        <f aca="false">'Price History'!G3+('Price History'!G158-'Price History'!G3)*0.590909090909091</f>
        <v>127.625454545455</v>
      </c>
      <c r="AC94" s="137" t="n">
        <f aca="false">'Price History'!H3+('Price History'!H158-'Price History'!H3)*0.590909090909091</f>
        <v>512.669090909091</v>
      </c>
      <c r="AD94" s="137" t="n">
        <f aca="false">'Price History'!I3+('Price History'!I158-'Price History'!I3)*0.590909090909091</f>
        <v>135.336363636364</v>
      </c>
      <c r="AE94" s="137" t="n">
        <f aca="false">'Price History'!J3+('Price History'!J158-'Price History'!J3)*0.590909090909091</f>
        <v>135.978181818182</v>
      </c>
      <c r="AF94" s="137" t="n">
        <f aca="false">'Price History'!K3+('Price History'!K158-'Price History'!K3)*0.590909090909091</f>
        <v>79.0213636363637</v>
      </c>
      <c r="AG94" s="137" t="n">
        <f aca="false">'Price History'!L3+('Price History'!L158-'Price History'!L3)*0.590909090909091</f>
        <v>276.507272727273</v>
      </c>
      <c r="AH94" s="137" t="n">
        <f aca="false">'Price History'!M3+('Price History'!M158-'Price History'!M3)*0.590909090909091</f>
        <v>156.454545454546</v>
      </c>
      <c r="AI94" s="137" t="n">
        <f aca="false">'Price History'!N3+('Price History'!N158-'Price History'!N3)*0.590909090909091</f>
        <v>425.047272727273</v>
      </c>
      <c r="AJ94" s="137" t="n">
        <f aca="false">'Price History'!O3+('Price History'!O158-'Price History'!O3)*0.590909090909091</f>
        <v>107.922272727273</v>
      </c>
      <c r="AK94" s="137" t="n">
        <f aca="false">'Price History'!Q3+('Price History'!Q151-'Price History'!Q3)*0.590909090909091</f>
        <v>60.8368181818182</v>
      </c>
      <c r="AL94" s="137" t="n">
        <f aca="false">'Price History'!R3+('Price History'!R158-'Price History'!R3)*0.590909090909091</f>
        <v>53.9831818181818</v>
      </c>
      <c r="AM94" s="137" t="n">
        <f aca="false">'Price History'!S3+('Price History'!S158-'Price History'!S3)*0.590909090909091</f>
        <v>108.938636363636</v>
      </c>
      <c r="AN94" s="137" t="n">
        <f aca="false">'Price History'!T3+('Price History'!T158-'Price History'!T3)*0.590909090909091</f>
        <v>40.4004545454546</v>
      </c>
    </row>
    <row r="95" customFormat="false" ht="15" hidden="false" customHeight="true" outlineLevel="0" collapsed="false">
      <c r="A95" s="135" t="n">
        <f aca="false">IF('Price History'!A96="","",'Price History'!A96)</f>
        <v>45800</v>
      </c>
      <c r="B95" s="136" t="n">
        <f aca="false">IFERROR(IF(OR(NOT(ISNUMBER('Price History'!B96)),NOT(ISNUMBER('Price History'!B95)),'Price History'!B95=0),"",'Price History'!B96/'Price History'!B95-1),"")</f>
        <v>-0.0226308345120226</v>
      </c>
      <c r="C95" s="136" t="n">
        <f aca="false">IFERROR(IF(OR(NOT(ISNUMBER('Price History'!C96)),NOT(ISNUMBER('Price History'!C95)),'Price History'!C95=0),"",'Price History'!C96/'Price History'!C95-1),"")</f>
        <v>-0.0541381456129434</v>
      </c>
      <c r="D95" s="136" t="n">
        <f aca="false">IFERROR(IF(OR(NOT(ISNUMBER('Price History'!D96)),NOT(ISNUMBER('Price History'!D95)),'Price History'!D95=0),"",'Price History'!D96/'Price History'!D95-1),"")</f>
        <v>-0.0208661943590429</v>
      </c>
      <c r="E95" s="136" t="n">
        <f aca="false">IFERROR(IF(OR(NOT(ISNUMBER('Price History'!E96)),NOT(ISNUMBER('Price History'!E95)),'Price History'!E95=0),"",'Price History'!E96/'Price History'!E95-1),"")</f>
        <v>0.000481168802764387</v>
      </c>
      <c r="F95" s="136" t="n">
        <f aca="false">IFERROR(IF(OR(NOT(ISNUMBER('Price History'!F96)),NOT(ISNUMBER('Price History'!F95)),'Price History'!F95=0),"",'Price History'!F96/'Price History'!F95-1),"")</f>
        <v>0.0371517027863779</v>
      </c>
      <c r="G95" s="136" t="n">
        <f aca="false">IFERROR(IF(OR(NOT(ISNUMBER('Price History'!G96)),NOT(ISNUMBER('Price History'!G95)),'Price History'!G95=0),"",'Price History'!G96/'Price History'!G95-1),"")</f>
        <v>-0.0429726996966634</v>
      </c>
      <c r="H95" s="136" t="n">
        <f aca="false">IFERROR(IF(OR(NOT(ISNUMBER('Price History'!H96)),NOT(ISNUMBER('Price History'!H95)),'Price History'!H95=0),"",'Price History'!H96/'Price History'!H95-1),"")</f>
        <v>-0.0472448979591836</v>
      </c>
      <c r="I95" s="136" t="n">
        <f aca="false">IFERROR(IF(OR(NOT(ISNUMBER('Price History'!I96)),NOT(ISNUMBER('Price History'!I95)),'Price History'!I95=0),"",'Price History'!I96/'Price History'!I95-1),"")</f>
        <v>-0.0303545051698672</v>
      </c>
      <c r="J95" s="136" t="n">
        <f aca="false">IFERROR(IF(OR(NOT(ISNUMBER('Price History'!J96)),NOT(ISNUMBER('Price History'!J95)),'Price History'!J95=0),"",'Price History'!J96/'Price History'!J95-1),"")</f>
        <v>-0.0588873812754409</v>
      </c>
      <c r="K95" s="136" t="n">
        <f aca="false">IFERROR(IF(OR(NOT(ISNUMBER('Price History'!K96)),NOT(ISNUMBER('Price History'!K95)),'Price History'!K95=0),"",'Price History'!K96/'Price History'!K95-1),"")</f>
        <v>-0.0479462631253861</v>
      </c>
      <c r="L95" s="136" t="n">
        <f aca="false">IFERROR(IF(OR(NOT(ISNUMBER('Price History'!L96)),NOT(ISNUMBER('Price History'!L95)),'Price History'!L95=0),"",'Price History'!L96/'Price History'!L95-1),"")</f>
        <v>-0.0115333127381321</v>
      </c>
      <c r="M95" s="136" t="n">
        <f aca="false">IFERROR(IF(OR(NOT(ISNUMBER('Price History'!M96)),NOT(ISNUMBER('Price History'!M95)),'Price History'!M95=0),"",'Price History'!M96/'Price History'!M95-1),"")</f>
        <v>-0.0179177668804226</v>
      </c>
      <c r="N95" s="136" t="n">
        <f aca="false">IFERROR(IF(OR(NOT(ISNUMBER('Price History'!N96)),NOT(ISNUMBER('Price History'!N95)),'Price History'!N95=0),"",'Price History'!N96/'Price History'!N95-1),"")</f>
        <v>-0.00604126296591812</v>
      </c>
      <c r="O95" s="136" t="n">
        <f aca="false">IFERROR(IF(OR(NOT(ISNUMBER('Price History'!O96)),NOT(ISNUMBER('Price History'!O95)),'Price History'!O95=0),"",'Price History'!O96/'Price History'!O95-1),"")</f>
        <v>-0.0400044081992506</v>
      </c>
      <c r="P95" s="136" t="str">
        <f aca="false">IFERROR(IF(OR(NOT(ISNUMBER('Price History'!P96)),NOT(ISNUMBER('Price History'!P95)),'Price History'!P95=0),"",'Price History'!P96/'Price History'!P95-1),"")</f>
        <v/>
      </c>
      <c r="Q95" s="136" t="n">
        <f aca="false">IFERROR(IF(OR(NOT(ISNUMBER('Price History'!Q96)),NOT(ISNUMBER('Price History'!Q95)),'Price History'!Q95=0),"",'Price History'!Q96/'Price History'!Q95-1),"")</f>
        <v>0.0015885623510723</v>
      </c>
      <c r="R95" s="136" t="n">
        <f aca="false">IFERROR(IF(OR(NOT(ISNUMBER('Price History'!R96)),NOT(ISNUMBER('Price History'!R95)),'Price History'!R95=0),"",'Price History'!R96/'Price History'!R95-1),"")</f>
        <v>-0.00913937547600918</v>
      </c>
      <c r="S95" s="136" t="n">
        <f aca="false">IFERROR(IF(OR(NOT(ISNUMBER('Price History'!S96)),NOT(ISNUMBER('Price History'!S95)),'Price History'!S95=0),"",'Price History'!S96/'Price History'!S95-1),"")</f>
        <v>-0.0223384030418252</v>
      </c>
      <c r="T95" s="136" t="n">
        <f aca="false">IFERROR(IF(OR(NOT(ISNUMBER('Price History'!T96)),NOT(ISNUMBER('Price History'!T95)),'Price History'!T95=0),"",'Price History'!T96/'Price History'!T95-1),"")</f>
        <v>-0.0347301951779564</v>
      </c>
      <c r="U95" s="136" t="str">
        <f aca="false">IFERROR(IF(OR(NOT(ISNUMBER('Price History'!U96)),NOT(ISNUMBER('Price History'!U95)),'Price History'!U95=0),"",'Price History'!U96/'Price History'!U95-1),"")</f>
        <v/>
      </c>
      <c r="W95" s="137" t="n">
        <f aca="false">'Price History'!B3+('Price History'!B158-'Price History'!B3)*0.597402597402597</f>
        <v>354.296233766234</v>
      </c>
      <c r="X95" s="137" t="n">
        <f aca="false">'Price History'!C3+('Price History'!C158-'Price History'!C3)*0.597402597402597</f>
        <v>125.351168831169</v>
      </c>
      <c r="Y95" s="137" t="n">
        <f aca="false">'Price History'!D3+('Price History'!D158-'Price History'!D3)*0.597402597402597</f>
        <v>1239.59974025974</v>
      </c>
      <c r="Z95" s="137" t="n">
        <f aca="false">'Price History'!E3+('Price History'!E158-'Price History'!E3)*0.597402597402597</f>
        <v>265.964415584415</v>
      </c>
      <c r="AA95" s="137" t="n">
        <f aca="false">'Price History'!F3+('Price History'!F158-'Price History'!F3)*0.597402597402597</f>
        <v>128.940519480519</v>
      </c>
      <c r="AB95" s="137" t="n">
        <f aca="false">'Price History'!G3+('Price History'!G158-'Price History'!G3)*0.597402597402597</f>
        <v>128.501558441558</v>
      </c>
      <c r="AC95" s="137" t="n">
        <f aca="false">'Price History'!H3+('Price History'!H158-'Price History'!H3)*0.597402597402597</f>
        <v>517.595454545454</v>
      </c>
      <c r="AD95" s="137" t="n">
        <f aca="false">'Price History'!I3+('Price History'!I158-'Price History'!I3)*0.597402597402597</f>
        <v>136.374675324675</v>
      </c>
      <c r="AE95" s="137" t="n">
        <f aca="false">'Price History'!J3+('Price History'!J158-'Price History'!J3)*0.597402597402597</f>
        <v>136.115194805195</v>
      </c>
      <c r="AF95" s="137" t="n">
        <f aca="false">'Price History'!K3+('Price History'!K158-'Price History'!K3)*0.597402597402597</f>
        <v>79.7203896103896</v>
      </c>
      <c r="AG95" s="137" t="n">
        <f aca="false">'Price History'!L3+('Price History'!L158-'Price History'!L3)*0.597402597402597</f>
        <v>278.534935064935</v>
      </c>
      <c r="AH95" s="137" t="n">
        <f aca="false">'Price History'!M3+('Price History'!M158-'Price History'!M3)*0.597402597402597</f>
        <v>157.805584415584</v>
      </c>
      <c r="AI95" s="137" t="n">
        <f aca="false">'Price History'!N3+('Price History'!N158-'Price History'!N3)*0.597402597402597</f>
        <v>425.873506493506</v>
      </c>
      <c r="AJ95" s="137" t="n">
        <f aca="false">'Price History'!O3+('Price History'!O158-'Price History'!O3)*0.597402597402597</f>
        <v>108.197792207792</v>
      </c>
      <c r="AK95" s="137" t="n">
        <f aca="false">'Price History'!Q3+('Price History'!Q151-'Price History'!Q3)*0.597402597402597</f>
        <v>60.9576623376623</v>
      </c>
      <c r="AL95" s="137" t="n">
        <f aca="false">'Price History'!R3+('Price History'!R158-'Price History'!R3)*0.597402597402597</f>
        <v>54.0509090909091</v>
      </c>
      <c r="AM95" s="137" t="n">
        <f aca="false">'Price History'!S3+('Price History'!S158-'Price History'!S3)*0.597402597402597</f>
        <v>109.492467532468</v>
      </c>
      <c r="AN95" s="137" t="n">
        <f aca="false">'Price History'!T3+('Price History'!T158-'Price History'!T3)*0.597402597402597</f>
        <v>40.5487012987013</v>
      </c>
    </row>
    <row r="96" customFormat="false" ht="15" hidden="false" customHeight="true" outlineLevel="0" collapsed="false">
      <c r="A96" s="135" t="n">
        <f aca="false">IF('Price History'!A97="","",'Price History'!A97)</f>
        <v>45807</v>
      </c>
      <c r="B96" s="136" t="n">
        <f aca="false">IFERROR(IF(OR(NOT(ISNUMBER('Price History'!B97)),NOT(ISNUMBER('Price History'!B96)),'Price History'!B96=0),"",'Price History'!B97/'Price History'!B96-1),"")</f>
        <v>0.018151046137997</v>
      </c>
      <c r="C96" s="136" t="n">
        <f aca="false">IFERROR(IF(OR(NOT(ISNUMBER('Price History'!C97)),NOT(ISNUMBER('Price History'!C96)),'Price History'!C96=0),"",'Price History'!C97/'Price History'!C96-1),"")</f>
        <v>-0.05</v>
      </c>
      <c r="D96" s="136" t="n">
        <f aca="false">IFERROR(IF(OR(NOT(ISNUMBER('Price History'!D97)),NOT(ISNUMBER('Price History'!D96)),'Price History'!D96=0),"",'Price History'!D97/'Price History'!D96-1),"")</f>
        <v>0.00584308318202287</v>
      </c>
      <c r="E96" s="136" t="n">
        <f aca="false">IFERROR(IF(OR(NOT(ISNUMBER('Price History'!E97)),NOT(ISNUMBER('Price History'!E96)),'Price History'!E96=0),"",'Price History'!E97/'Price History'!E96-1),"")</f>
        <v>0.0583683105981112</v>
      </c>
      <c r="F96" s="136" t="n">
        <f aca="false">IFERROR(IF(OR(NOT(ISNUMBER('Price History'!F97)),NOT(ISNUMBER('Price History'!F96)),'Price History'!F96=0),"",'Price History'!F97/'Price History'!F96-1),"")</f>
        <v>0.0345917471466197</v>
      </c>
      <c r="G96" s="136" t="n">
        <f aca="false">IFERROR(IF(OR(NOT(ISNUMBER('Price History'!G97)),NOT(ISNUMBER('Price History'!G96)),'Price History'!G96=0),"",'Price History'!G97/'Price History'!G96-1),"")</f>
        <v>-0.00039619651347067</v>
      </c>
      <c r="H96" s="136" t="n">
        <f aca="false">IFERROR(IF(OR(NOT(ISNUMBER('Price History'!H97)),NOT(ISNUMBER('Price History'!H96)),'Price History'!H96=0),"",'Price History'!H97/'Price History'!H96-1),"")</f>
        <v>0.011673985220092</v>
      </c>
      <c r="I96" s="136" t="n">
        <f aca="false">IFERROR(IF(OR(NOT(ISNUMBER('Price History'!I97)),NOT(ISNUMBER('Price History'!I96)),'Price History'!I96=0),"",'Price History'!I97/'Price History'!I96-1),"")</f>
        <v>0.029248229111128</v>
      </c>
      <c r="J96" s="136" t="n">
        <f aca="false">IFERROR(IF(OR(NOT(ISNUMBER('Price History'!J97)),NOT(ISNUMBER('Price History'!J96)),'Price History'!J96=0),"",'Price History'!J97/'Price History'!J96-1),"")</f>
        <v>0.043829296424452</v>
      </c>
      <c r="K96" s="136" t="n">
        <f aca="false">IFERROR(IF(OR(NOT(ISNUMBER('Price History'!K97)),NOT(ISNUMBER('Price History'!K96)),'Price History'!K96=0),"",'Price History'!K97/'Price History'!K96-1),"")</f>
        <v>0.0686886708296164</v>
      </c>
      <c r="L96" s="136" t="n">
        <f aca="false">IFERROR(IF(OR(NOT(ISNUMBER('Price History'!L97)),NOT(ISNUMBER('Price History'!L96)),'Price History'!L96=0),"",'Price History'!L97/'Price History'!L96-1),"")</f>
        <v>0.00697989373893115</v>
      </c>
      <c r="M96" s="136" t="n">
        <f aca="false">IFERROR(IF(OR(NOT(ISNUMBER('Price History'!M97)),NOT(ISNUMBER('Price History'!M96)),'Price History'!M96=0),"",'Price History'!M97/'Price History'!M96-1),"")</f>
        <v>0.0363933166890724</v>
      </c>
      <c r="N96" s="136" t="n">
        <f aca="false">IFERROR(IF(OR(NOT(ISNUMBER('Price History'!N97)),NOT(ISNUMBER('Price History'!N96)),'Price History'!N96=0),"",'Price History'!N97/'Price History'!N96-1),"")</f>
        <v>0.013876146788991</v>
      </c>
      <c r="O96" s="136" t="n">
        <f aca="false">IFERROR(IF(OR(NOT(ISNUMBER('Price History'!O97)),NOT(ISNUMBER('Price History'!O96)),'Price History'!O96=0),"",'Price History'!O97/'Price History'!O96-1),"")</f>
        <v>0.0117093330272069</v>
      </c>
      <c r="P96" s="136" t="str">
        <f aca="false">IFERROR(IF(OR(NOT(ISNUMBER('Price History'!P97)),NOT(ISNUMBER('Price History'!P96)),'Price History'!P96=0),"",'Price History'!P97/'Price History'!P96-1),"")</f>
        <v/>
      </c>
      <c r="Q96" s="136" t="n">
        <f aca="false">IFERROR(IF(OR(NOT(ISNUMBER('Price History'!Q97)),NOT(ISNUMBER('Price History'!Q96)),'Price History'!Q96=0),"",'Price History'!Q97/'Price History'!Q96-1),"")</f>
        <v>0.00348929421094368</v>
      </c>
      <c r="R96" s="136" t="n">
        <f aca="false">IFERROR(IF(OR(NOT(ISNUMBER('Price History'!R97)),NOT(ISNUMBER('Price History'!R96)),'Price History'!R96=0),"",'Price History'!R97/'Price History'!R96-1),"")</f>
        <v>0.0113374327440432</v>
      </c>
      <c r="S96" s="136" t="n">
        <f aca="false">IFERROR(IF(OR(NOT(ISNUMBER('Price History'!S97)),NOT(ISNUMBER('Price History'!S96)),'Price History'!S96=0),"",'Price History'!S97/'Price History'!S96-1),"")</f>
        <v>0.0243072435585805</v>
      </c>
      <c r="T96" s="136" t="n">
        <f aca="false">IFERROR(IF(OR(NOT(ISNUMBER('Price History'!T97)),NOT(ISNUMBER('Price History'!T96)),'Price History'!T96=0),"",'Price History'!T97/'Price History'!T96-1),"")</f>
        <v>0.007731192387749</v>
      </c>
      <c r="U96" s="136" t="str">
        <f aca="false">IFERROR(IF(OR(NOT(ISNUMBER('Price History'!U97)),NOT(ISNUMBER('Price History'!U96)),'Price History'!U96=0),"",'Price History'!U97/'Price History'!U96-1),"")</f>
        <v/>
      </c>
      <c r="W96" s="137" t="n">
        <f aca="false">'Price History'!B3+('Price History'!B158-'Price History'!B3)*0.603896103896104</f>
        <v>352.620649350649</v>
      </c>
      <c r="X96" s="137" t="n">
        <f aca="false">'Price History'!C3+('Price History'!C158-'Price History'!C3)*0.603896103896104</f>
        <v>126.238246753247</v>
      </c>
      <c r="Y96" s="137" t="n">
        <f aca="false">'Price History'!D3+('Price History'!D158-'Price History'!D3)*0.603896103896104</f>
        <v>1245.88038961039</v>
      </c>
      <c r="Z96" s="137" t="n">
        <f aca="false">'Price History'!E3+('Price History'!E158-'Price History'!E3)*0.603896103896104</f>
        <v>267.953376623377</v>
      </c>
      <c r="AA96" s="137" t="n">
        <f aca="false">'Price History'!F3+('Price History'!F158-'Price History'!F3)*0.603896103896104</f>
        <v>129.939220779221</v>
      </c>
      <c r="AB96" s="137" t="n">
        <f aca="false">'Price History'!G3+('Price History'!G158-'Price History'!G3)*0.603896103896104</f>
        <v>129.377662337662</v>
      </c>
      <c r="AC96" s="137" t="n">
        <f aca="false">'Price History'!H3+('Price History'!H158-'Price History'!H3)*0.603896103896104</f>
        <v>522.521818181818</v>
      </c>
      <c r="AD96" s="137" t="n">
        <f aca="false">'Price History'!I3+('Price History'!I158-'Price History'!I3)*0.603896103896104</f>
        <v>137.412987012987</v>
      </c>
      <c r="AE96" s="137" t="n">
        <f aca="false">'Price History'!J3+('Price History'!J158-'Price History'!J3)*0.603896103896104</f>
        <v>136.252207792208</v>
      </c>
      <c r="AF96" s="137" t="n">
        <f aca="false">'Price History'!K3+('Price History'!K158-'Price History'!K3)*0.603896103896104</f>
        <v>80.4194155844156</v>
      </c>
      <c r="AG96" s="137" t="n">
        <f aca="false">'Price History'!L3+('Price History'!L158-'Price History'!L3)*0.603896103896104</f>
        <v>280.562597402597</v>
      </c>
      <c r="AH96" s="137" t="n">
        <f aca="false">'Price History'!M3+('Price History'!M158-'Price History'!M3)*0.603896103896104</f>
        <v>159.156623376623</v>
      </c>
      <c r="AI96" s="137" t="n">
        <f aca="false">'Price History'!N3+('Price History'!N158-'Price History'!N3)*0.603896103896104</f>
        <v>426.69974025974</v>
      </c>
      <c r="AJ96" s="137" t="n">
        <f aca="false">'Price History'!O3+('Price History'!O158-'Price History'!O3)*0.603896103896104</f>
        <v>108.473311688312</v>
      </c>
      <c r="AK96" s="137" t="n">
        <f aca="false">'Price History'!Q3+('Price History'!Q151-'Price History'!Q3)*0.603896103896104</f>
        <v>61.0785064935065</v>
      </c>
      <c r="AL96" s="137" t="n">
        <f aca="false">'Price History'!R3+('Price History'!R158-'Price History'!R3)*0.603896103896104</f>
        <v>54.1186363636364</v>
      </c>
      <c r="AM96" s="137" t="n">
        <f aca="false">'Price History'!S3+('Price History'!S158-'Price History'!S3)*0.603896103896104</f>
        <v>110.046298701299</v>
      </c>
      <c r="AN96" s="137" t="n">
        <f aca="false">'Price History'!T3+('Price History'!T158-'Price History'!T3)*0.603896103896104</f>
        <v>40.6969480519481</v>
      </c>
    </row>
    <row r="97" customFormat="false" ht="15" hidden="false" customHeight="true" outlineLevel="0" collapsed="false">
      <c r="A97" s="135" t="n">
        <f aca="false">IF('Price History'!A98="","",'Price History'!A98)</f>
        <v>45814</v>
      </c>
      <c r="B97" s="136" t="n">
        <f aca="false">IFERROR(IF(OR(NOT(ISNUMBER('Price History'!B98)),NOT(ISNUMBER('Price History'!B97)),'Price History'!B97=0),"",'Price History'!B98/'Price History'!B97-1),"")</f>
        <v>0.00440868245440762</v>
      </c>
      <c r="C97" s="136" t="n">
        <f aca="false">IFERROR(IF(OR(NOT(ISNUMBER('Price History'!C98)),NOT(ISNUMBER('Price History'!C97)),'Price History'!C97=0),"",'Price History'!C98/'Price History'!C97-1),"")</f>
        <v>0.122460757156048</v>
      </c>
      <c r="D97" s="136" t="n">
        <f aca="false">IFERROR(IF(OR(NOT(ISNUMBER('Price History'!D98)),NOT(ISNUMBER('Price History'!D97)),'Price History'!D97=0),"",'Price History'!D98/'Price History'!D97-1),"")</f>
        <v>0.0220557297392674</v>
      </c>
      <c r="E97" s="136" t="n">
        <f aca="false">IFERROR(IF(OR(NOT(ISNUMBER('Price History'!E98)),NOT(ISNUMBER('Price History'!E97)),'Price History'!E97=0),"",'Price History'!E98/'Price History'!E97-1),"")</f>
        <v>0.0200768372784732</v>
      </c>
      <c r="F97" s="136" t="n">
        <f aca="false">IFERROR(IF(OR(NOT(ISNUMBER('Price History'!F98)),NOT(ISNUMBER('Price History'!F97)),'Price History'!F97=0),"",'Price History'!F98/'Price History'!F97-1),"")</f>
        <v>-0.00627970128988464</v>
      </c>
      <c r="G97" s="136" t="n">
        <f aca="false">IFERROR(IF(OR(NOT(ISNUMBER('Price History'!G98)),NOT(ISNUMBER('Price History'!G97)),'Price History'!G97=0),"",'Price History'!G98/'Price History'!G97-1),"")</f>
        <v>0.0675122209010437</v>
      </c>
      <c r="H97" s="136" t="n">
        <f aca="false">IFERROR(IF(OR(NOT(ISNUMBER('Price History'!H98)),NOT(ISNUMBER('Price History'!H97)),'Price History'!H97=0),"",'Price History'!H98/'Price History'!H97-1),"")</f>
        <v>0.14926953207707</v>
      </c>
      <c r="I97" s="136" t="n">
        <f aca="false">IFERROR(IF(OR(NOT(ISNUMBER('Price History'!I98)),NOT(ISNUMBER('Price History'!I97)),'Price History'!I97=0),"",'Price History'!I98/'Price History'!I97-1),"")</f>
        <v>0.0487678531784208</v>
      </c>
      <c r="J97" s="136" t="n">
        <f aca="false">IFERROR(IF(OR(NOT(ISNUMBER('Price History'!J98)),NOT(ISNUMBER('Price History'!J97)),'Price History'!J97=0),"",'Price History'!J98/'Price History'!J97-1),"")</f>
        <v>0.00174953959484347</v>
      </c>
      <c r="K97" s="136" t="n">
        <f aca="false">IFERROR(IF(OR(NOT(ISNUMBER('Price History'!K98)),NOT(ISNUMBER('Price History'!K97)),'Price History'!K97=0),"",'Price History'!K98/'Price History'!K97-1),"")</f>
        <v>-0.0308089239641828</v>
      </c>
      <c r="L97" s="136" t="n">
        <f aca="false">IFERROR(IF(OR(NOT(ISNUMBER('Price History'!L98)),NOT(ISNUMBER('Price History'!L97)),'Price History'!L97=0),"",'Price History'!L98/'Price History'!L97-1),"")</f>
        <v>0.0613490585557626</v>
      </c>
      <c r="M97" s="136" t="n">
        <f aca="false">IFERROR(IF(OR(NOT(ISNUMBER('Price History'!M98)),NOT(ISNUMBER('Price History'!M97)),'Price History'!M97=0),"",'Price History'!M98/'Price History'!M97-1),"")</f>
        <v>0.0688409154081349</v>
      </c>
      <c r="N97" s="136" t="n">
        <f aca="false">IFERROR(IF(OR(NOT(ISNUMBER('Price History'!N98)),NOT(ISNUMBER('Price History'!N97)),'Price History'!N97=0),"",'Price History'!N98/'Price History'!N97-1),"")</f>
        <v>0.0191154846736794</v>
      </c>
      <c r="O97" s="136" t="n">
        <f aca="false">IFERROR(IF(OR(NOT(ISNUMBER('Price History'!O98)),NOT(ISNUMBER('Price History'!O97)),'Price History'!O97=0),"",'Price History'!O98/'Price History'!O97-1),"")</f>
        <v>0.0184954045160559</v>
      </c>
      <c r="P97" s="136" t="str">
        <f aca="false">IFERROR(IF(OR(NOT(ISNUMBER('Price History'!P98)),NOT(ISNUMBER('Price History'!P97)),'Price History'!P97=0),"",'Price History'!P98/'Price History'!P97-1),"")</f>
        <v/>
      </c>
      <c r="Q97" s="136" t="n">
        <f aca="false">IFERROR(IF(OR(NOT(ISNUMBER('Price History'!Q98)),NOT(ISNUMBER('Price History'!Q97)),'Price History'!Q97=0),"",'Price History'!Q98/'Price History'!Q97-1),"")</f>
        <v>0.00221273905484432</v>
      </c>
      <c r="R97" s="136" t="n">
        <f aca="false">IFERROR(IF(OR(NOT(ISNUMBER('Price History'!R98)),NOT(ISNUMBER('Price History'!R97)),'Price History'!R97=0),"",'Price History'!R98/'Price History'!R97-1),"")</f>
        <v>0.00133003990119707</v>
      </c>
      <c r="S97" s="136" t="n">
        <f aca="false">IFERROR(IF(OR(NOT(ISNUMBER('Price History'!S98)),NOT(ISNUMBER('Price History'!S97)),'Price History'!S97=0),"",'Price History'!S98/'Price History'!S97-1),"")</f>
        <v>0.0149027052681538</v>
      </c>
      <c r="T97" s="136" t="n">
        <f aca="false">IFERROR(IF(OR(NOT(ISNUMBER('Price History'!T98)),NOT(ISNUMBER('Price History'!T97)),'Price History'!T97=0),"",'Price History'!T98/'Price History'!T97-1),"")</f>
        <v>0.023605783416937</v>
      </c>
      <c r="U97" s="136" t="str">
        <f aca="false">IFERROR(IF(OR(NOT(ISNUMBER('Price History'!U98)),NOT(ISNUMBER('Price History'!U97)),'Price History'!U97=0),"",'Price History'!U98/'Price History'!U97-1),"")</f>
        <v/>
      </c>
      <c r="W97" s="137" t="n">
        <f aca="false">'Price History'!B3+('Price History'!B158-'Price History'!B3)*0.61038961038961</f>
        <v>350.945064935065</v>
      </c>
      <c r="X97" s="137" t="n">
        <f aca="false">'Price History'!C3+('Price History'!C158-'Price History'!C3)*0.61038961038961</f>
        <v>127.125324675325</v>
      </c>
      <c r="Y97" s="137" t="n">
        <f aca="false">'Price History'!D3+('Price History'!D158-'Price History'!D3)*0.61038961038961</f>
        <v>1252.16103896104</v>
      </c>
      <c r="Z97" s="137" t="n">
        <f aca="false">'Price History'!E3+('Price History'!E158-'Price History'!E3)*0.61038961038961</f>
        <v>269.942337662338</v>
      </c>
      <c r="AA97" s="137" t="n">
        <f aca="false">'Price History'!F3+('Price History'!F158-'Price History'!F3)*0.61038961038961</f>
        <v>130.937922077922</v>
      </c>
      <c r="AB97" s="137" t="n">
        <f aca="false">'Price History'!G3+('Price History'!G158-'Price History'!G3)*0.61038961038961</f>
        <v>130.253766233766</v>
      </c>
      <c r="AC97" s="137" t="n">
        <f aca="false">'Price History'!H3+('Price History'!H158-'Price History'!H3)*0.61038961038961</f>
        <v>527.448181818182</v>
      </c>
      <c r="AD97" s="137" t="n">
        <f aca="false">'Price History'!I3+('Price History'!I158-'Price History'!I3)*0.61038961038961</f>
        <v>138.451298701299</v>
      </c>
      <c r="AE97" s="137" t="n">
        <f aca="false">'Price History'!J3+('Price History'!J158-'Price History'!J3)*0.61038961038961</f>
        <v>136.389220779221</v>
      </c>
      <c r="AF97" s="137" t="n">
        <f aca="false">'Price History'!K3+('Price History'!K158-'Price History'!K3)*0.61038961038961</f>
        <v>81.1184415584415</v>
      </c>
      <c r="AG97" s="137" t="n">
        <f aca="false">'Price History'!L3+('Price History'!L158-'Price History'!L3)*0.61038961038961</f>
        <v>282.59025974026</v>
      </c>
      <c r="AH97" s="137" t="n">
        <f aca="false">'Price History'!M3+('Price History'!M158-'Price History'!M3)*0.61038961038961</f>
        <v>160.507662337662</v>
      </c>
      <c r="AI97" s="137" t="n">
        <f aca="false">'Price History'!N3+('Price History'!N158-'Price History'!N3)*0.61038961038961</f>
        <v>427.525974025974</v>
      </c>
      <c r="AJ97" s="137" t="n">
        <f aca="false">'Price History'!O3+('Price History'!O158-'Price History'!O3)*0.61038961038961</f>
        <v>108.748831168831</v>
      </c>
      <c r="AK97" s="137" t="n">
        <f aca="false">'Price History'!Q3+('Price History'!Q151-'Price History'!Q3)*0.61038961038961</f>
        <v>61.1993506493507</v>
      </c>
      <c r="AL97" s="137" t="n">
        <f aca="false">'Price History'!R3+('Price History'!R158-'Price History'!R3)*0.61038961038961</f>
        <v>54.1863636363636</v>
      </c>
      <c r="AM97" s="137" t="n">
        <f aca="false">'Price History'!S3+('Price History'!S158-'Price History'!S3)*0.61038961038961</f>
        <v>110.60012987013</v>
      </c>
      <c r="AN97" s="137" t="n">
        <f aca="false">'Price History'!T3+('Price History'!T158-'Price History'!T3)*0.61038961038961</f>
        <v>40.8451948051948</v>
      </c>
    </row>
    <row r="98" customFormat="false" ht="15" hidden="false" customHeight="true" outlineLevel="0" collapsed="false">
      <c r="A98" s="135" t="n">
        <f aca="false">IF('Price History'!A99="","",'Price History'!A99)</f>
        <v>45821</v>
      </c>
      <c r="B98" s="136" t="n">
        <f aca="false">IFERROR(IF(OR(NOT(ISNUMBER('Price History'!B99)),NOT(ISNUMBER('Price History'!B98)),'Price History'!B98=0),"",'Price History'!B99/'Price History'!B98-1),"")</f>
        <v>-0.06053919217116</v>
      </c>
      <c r="C98" s="136" t="n">
        <f aca="false">IFERROR(IF(OR(NOT(ISNUMBER('Price History'!C99)),NOT(ISNUMBER('Price History'!C98)),'Price History'!C98=0),"",'Price History'!C99/'Price History'!C98-1),"")</f>
        <v>-0.0503856041131106</v>
      </c>
      <c r="D98" s="136" t="n">
        <f aca="false">IFERROR(IF(OR(NOT(ISNUMBER('Price History'!D99)),NOT(ISNUMBER('Price History'!D98)),'Price History'!D98=0),"",'Price History'!D99/'Price History'!D98-1),"")</f>
        <v>0.0105973280922154</v>
      </c>
      <c r="E98" s="136" t="n">
        <f aca="false">IFERROR(IF(OR(NOT(ISNUMBER('Price History'!E99)),NOT(ISNUMBER('Price History'!E98)),'Price History'!E98=0),"",'Price History'!E99/'Price History'!E98-1),"")</f>
        <v>0.00716802332644861</v>
      </c>
      <c r="F98" s="136" t="n">
        <f aca="false">IFERROR(IF(OR(NOT(ISNUMBER('Price History'!F99)),NOT(ISNUMBER('Price History'!F98)),'Price History'!F98=0),"",'Price History'!F99/'Price History'!F98-1),"")</f>
        <v>0.026131511528608</v>
      </c>
      <c r="G98" s="136" t="n">
        <f aca="false">IFERROR(IF(OR(NOT(ISNUMBER('Price History'!G99)),NOT(ISNUMBER('Price History'!G98)),'Price History'!G98=0),"",'Price History'!G99/'Price History'!G98-1),"")</f>
        <v>0.0738861386138614</v>
      </c>
      <c r="H98" s="136" t="n">
        <f aca="false">IFERROR(IF(OR(NOT(ISNUMBER('Price History'!H99)),NOT(ISNUMBER('Price History'!H98)),'Price History'!H98=0),"",'Price History'!H99/'Price History'!H98-1),"")</f>
        <v>0.06484893146647</v>
      </c>
      <c r="I98" s="136" t="n">
        <f aca="false">IFERROR(IF(OR(NOT(ISNUMBER('Price History'!I99)),NOT(ISNUMBER('Price History'!I98)),'Price History'!I98=0),"",'Price History'!I99/'Price History'!I98-1),"")</f>
        <v>0.00176404177250911</v>
      </c>
      <c r="J98" s="136" t="n">
        <f aca="false">IFERROR(IF(OR(NOT(ISNUMBER('Price History'!J99)),NOT(ISNUMBER('Price History'!J98)),'Price History'!J98=0),"",'Price History'!J99/'Price History'!J98-1),"")</f>
        <v>-0.0138799522014892</v>
      </c>
      <c r="K98" s="136" t="n">
        <f aca="false">IFERROR(IF(OR(NOT(ISNUMBER('Price History'!K99)),NOT(ISNUMBER('Price History'!K98)),'Price History'!K98=0),"",'Price History'!K99/'Price History'!K98-1),"")</f>
        <v>0.0757907923582839</v>
      </c>
      <c r="L98" s="136" t="n">
        <f aca="false">IFERROR(IF(OR(NOT(ISNUMBER('Price History'!L99)),NOT(ISNUMBER('Price History'!L98)),'Price History'!L98=0),"",'Price History'!L99/'Price History'!L98-1),"")</f>
        <v>0.0288527146895408</v>
      </c>
      <c r="M98" s="136" t="n">
        <f aca="false">IFERROR(IF(OR(NOT(ISNUMBER('Price History'!M99)),NOT(ISNUMBER('Price History'!M98)),'Price History'!M98=0),"",'Price History'!M99/'Price History'!M98-1),"")</f>
        <v>-0.0380547850208044</v>
      </c>
      <c r="N98" s="136" t="n">
        <f aca="false">IFERROR(IF(OR(NOT(ISNUMBER('Price History'!N99)),NOT(ISNUMBER('Price History'!N98)),'Price History'!N98=0),"",'Price History'!N99/'Price History'!N98-1),"")</f>
        <v>0.0109877913429524</v>
      </c>
      <c r="O98" s="136" t="n">
        <f aca="false">IFERROR(IF(OR(NOT(ISNUMBER('Price History'!O99)),NOT(ISNUMBER('Price History'!O98)),'Price History'!O98=0),"",'Price History'!O99/'Price History'!O98-1),"")</f>
        <v>-0.00601604278074874</v>
      </c>
      <c r="P98" s="136" t="str">
        <f aca="false">IFERROR(IF(OR(NOT(ISNUMBER('Price History'!P99)),NOT(ISNUMBER('Price History'!P98)),'Price History'!P98=0),"",'Price History'!P99/'Price History'!P98-1),"")</f>
        <v/>
      </c>
      <c r="Q98" s="136" t="n">
        <f aca="false">IFERROR(IF(OR(NOT(ISNUMBER('Price History'!Q99)),NOT(ISNUMBER('Price History'!Q98)),'Price History'!Q98=0),"",'Price History'!Q99/'Price History'!Q98-1),"")</f>
        <v>-0.010408452925406</v>
      </c>
      <c r="R98" s="136" t="n">
        <f aca="false">IFERROR(IF(OR(NOT(ISNUMBER('Price History'!R99)),NOT(ISNUMBER('Price History'!R98)),'Price History'!R98=0),"",'Price History'!R99/'Price History'!R98-1),"")</f>
        <v>-0.00208728652751422</v>
      </c>
      <c r="S98" s="136" t="n">
        <f aca="false">IFERROR(IF(OR(NOT(ISNUMBER('Price History'!S99)),NOT(ISNUMBER('Price History'!S98)),'Price History'!S98=0),"",'Price History'!S99/'Price History'!S98-1),"")</f>
        <v>-0.00710811821922941</v>
      </c>
      <c r="T98" s="136" t="n">
        <f aca="false">IFERROR(IF(OR(NOT(ISNUMBER('Price History'!T99)),NOT(ISNUMBER('Price History'!T98)),'Price History'!T98=0),"",'Price History'!T99/'Price History'!T98-1),"")</f>
        <v>0.0109541654655521</v>
      </c>
      <c r="U98" s="136" t="str">
        <f aca="false">IFERROR(IF(OR(NOT(ISNUMBER('Price History'!U99)),NOT(ISNUMBER('Price History'!U98)),'Price History'!U98=0),"",'Price History'!U99/'Price History'!U98-1),"")</f>
        <v/>
      </c>
      <c r="W98" s="137" t="n">
        <f aca="false">'Price History'!B3+('Price History'!B158-'Price History'!B3)*0.616883116883117</f>
        <v>349.26948051948</v>
      </c>
      <c r="X98" s="137" t="n">
        <f aca="false">'Price History'!C3+('Price History'!C158-'Price History'!C3)*0.616883116883117</f>
        <v>128.012402597403</v>
      </c>
      <c r="Y98" s="137" t="n">
        <f aca="false">'Price History'!D3+('Price History'!D158-'Price History'!D3)*0.616883116883117</f>
        <v>1258.44168831169</v>
      </c>
      <c r="Z98" s="137" t="n">
        <f aca="false">'Price History'!E3+('Price History'!E158-'Price History'!E3)*0.616883116883117</f>
        <v>271.931298701299</v>
      </c>
      <c r="AA98" s="137" t="n">
        <f aca="false">'Price History'!F3+('Price History'!F158-'Price History'!F3)*0.616883116883117</f>
        <v>131.936623376623</v>
      </c>
      <c r="AB98" s="137" t="n">
        <f aca="false">'Price History'!G3+('Price History'!G158-'Price History'!G3)*0.616883116883117</f>
        <v>131.12987012987</v>
      </c>
      <c r="AC98" s="137" t="n">
        <f aca="false">'Price History'!H3+('Price History'!H158-'Price History'!H3)*0.616883116883117</f>
        <v>532.374545454546</v>
      </c>
      <c r="AD98" s="137" t="n">
        <f aca="false">'Price History'!I3+('Price History'!I158-'Price History'!I3)*0.616883116883117</f>
        <v>139.48961038961</v>
      </c>
      <c r="AE98" s="137" t="n">
        <f aca="false">'Price History'!J3+('Price History'!J158-'Price History'!J3)*0.616883116883117</f>
        <v>136.526233766234</v>
      </c>
      <c r="AF98" s="137" t="n">
        <f aca="false">'Price History'!K3+('Price History'!K158-'Price History'!K3)*0.616883116883117</f>
        <v>81.8174675324676</v>
      </c>
      <c r="AG98" s="137" t="n">
        <f aca="false">'Price History'!L3+('Price History'!L158-'Price History'!L3)*0.616883116883117</f>
        <v>284.617922077922</v>
      </c>
      <c r="AH98" s="137" t="n">
        <f aca="false">'Price History'!M3+('Price History'!M158-'Price History'!M3)*0.616883116883117</f>
        <v>161.858701298701</v>
      </c>
      <c r="AI98" s="137" t="n">
        <f aca="false">'Price History'!N3+('Price History'!N158-'Price History'!N3)*0.616883116883117</f>
        <v>428.352207792208</v>
      </c>
      <c r="AJ98" s="137" t="n">
        <f aca="false">'Price History'!O3+('Price History'!O158-'Price History'!O3)*0.616883116883117</f>
        <v>109.024350649351</v>
      </c>
      <c r="AK98" s="137" t="n">
        <f aca="false">'Price History'!Q3+('Price History'!Q151-'Price History'!Q3)*0.616883116883117</f>
        <v>61.3201948051948</v>
      </c>
      <c r="AL98" s="137" t="n">
        <f aca="false">'Price History'!R3+('Price History'!R158-'Price History'!R3)*0.616883116883117</f>
        <v>54.2540909090909</v>
      </c>
      <c r="AM98" s="137" t="n">
        <f aca="false">'Price History'!S3+('Price History'!S158-'Price History'!S3)*0.616883116883117</f>
        <v>111.153961038961</v>
      </c>
      <c r="AN98" s="137" t="n">
        <f aca="false">'Price History'!T3+('Price History'!T158-'Price History'!T3)*0.616883116883117</f>
        <v>40.9934415584416</v>
      </c>
    </row>
    <row r="99" customFormat="false" ht="15" hidden="false" customHeight="true" outlineLevel="0" collapsed="false">
      <c r="A99" s="135" t="n">
        <f aca="false">IF('Price History'!A100="","",'Price History'!A100)</f>
        <v>45828</v>
      </c>
      <c r="B99" s="136" t="n">
        <f aca="false">IFERROR(IF(OR(NOT(ISNUMBER('Price History'!B100)),NOT(ISNUMBER('Price History'!B99)),'Price History'!B99=0),"",'Price History'!B100/'Price History'!B99-1),"")</f>
        <v>-0.0376838235294117</v>
      </c>
      <c r="C99" s="136" t="n">
        <f aca="false">IFERROR(IF(OR(NOT(ISNUMBER('Price History'!C100)),NOT(ISNUMBER('Price History'!C99)),'Price History'!C99=0),"",'Price History'!C100/'Price History'!C99-1),"")</f>
        <v>-0.0660530590146182</v>
      </c>
      <c r="D99" s="136" t="n">
        <f aca="false">IFERROR(IF(OR(NOT(ISNUMBER('Price History'!D100)),NOT(ISNUMBER('Price History'!D99)),'Price History'!D99=0),"",'Price History'!D100/'Price History'!D99-1),"")</f>
        <v>-0.00587385019710907</v>
      </c>
      <c r="E99" s="136" t="n">
        <f aca="false">IFERROR(IF(OR(NOT(ISNUMBER('Price History'!E100)),NOT(ISNUMBER('Price History'!E99)),'Price History'!E99=0),"",'Price History'!E100/'Price History'!E99-1),"")</f>
        <v>0.00518697225572984</v>
      </c>
      <c r="F99" s="136" t="n">
        <f aca="false">IFERROR(IF(OR(NOT(ISNUMBER('Price History'!F100)),NOT(ISNUMBER('Price History'!F99)),'Price History'!F99=0),"",'Price History'!F100/'Price History'!F99-1),"")</f>
        <v>-0.00898801597869503</v>
      </c>
      <c r="G99" s="136" t="n">
        <f aca="false">IFERROR(IF(OR(NOT(ISNUMBER('Price History'!G100)),NOT(ISNUMBER('Price History'!G99)),'Price History'!G99=0),"",'Price History'!G100/'Price History'!G99-1),"")</f>
        <v>-0.0203987553301832</v>
      </c>
      <c r="H99" s="136" t="n">
        <f aca="false">IFERROR(IF(OR(NOT(ISNUMBER('Price History'!H100)),NOT(ISNUMBER('Price History'!H99)),'Price History'!H99=0),"",'Price History'!H100/'Price History'!H99-1),"")</f>
        <v>0.0692041522491349</v>
      </c>
      <c r="I99" s="136" t="n">
        <f aca="false">IFERROR(IF(OR(NOT(ISNUMBER('Price History'!I100)),NOT(ISNUMBER('Price History'!I99)),'Price History'!I99=0),"",'Price History'!I100/'Price History'!I99-1),"")</f>
        <v>0.0132422342748468</v>
      </c>
      <c r="J99" s="136" t="n">
        <f aca="false">IFERROR(IF(OR(NOT(ISNUMBER('Price History'!J100)),NOT(ISNUMBER('Price History'!J99)),'Price History'!J99=0),"",'Price History'!J100/'Price History'!J99-1),"")</f>
        <v>-0.0148210290827741</v>
      </c>
      <c r="K99" s="136" t="n">
        <f aca="false">IFERROR(IF(OR(NOT(ISNUMBER('Price History'!K100)),NOT(ISNUMBER('Price History'!K99)),'Price History'!K99=0),"",'Price History'!K100/'Price History'!K99-1),"")</f>
        <v>-0.000727802037845615</v>
      </c>
      <c r="L99" s="136" t="n">
        <f aca="false">IFERROR(IF(OR(NOT(ISNUMBER('Price History'!L100)),NOT(ISNUMBER('Price History'!L99)),'Price History'!L99=0),"",'Price History'!L100/'Price History'!L99-1),"")</f>
        <v>-0.00753197536712458</v>
      </c>
      <c r="M99" s="136" t="n">
        <f aca="false">IFERROR(IF(OR(NOT(ISNUMBER('Price History'!M100)),NOT(ISNUMBER('Price History'!M99)),'Price History'!M99=0),"",'Price History'!M100/'Price History'!M99-1),"")</f>
        <v>0.0682166351266109</v>
      </c>
      <c r="N99" s="136" t="n">
        <f aca="false">IFERROR(IF(OR(NOT(ISNUMBER('Price History'!N100)),NOT(ISNUMBER('Price History'!N99)),'Price History'!N99=0),"",'Price History'!N100/'Price History'!N99-1),"")</f>
        <v>-0.0320122955318916</v>
      </c>
      <c r="O99" s="136" t="n">
        <f aca="false">IFERROR(IF(OR(NOT(ISNUMBER('Price History'!O100)),NOT(ISNUMBER('Price History'!O99)),'Price History'!O99=0),"",'Price History'!O100/'Price History'!O99-1),"")</f>
        <v>0.00168123739071957</v>
      </c>
      <c r="P99" s="136" t="str">
        <f aca="false">IFERROR(IF(OR(NOT(ISNUMBER('Price History'!P100)),NOT(ISNUMBER('Price History'!P99)),'Price History'!P99=0),"",'Price History'!P100/'Price History'!P99-1),"")</f>
        <v/>
      </c>
      <c r="Q99" s="136" t="n">
        <f aca="false">IFERROR(IF(OR(NOT(ISNUMBER('Price History'!Q100)),NOT(ISNUMBER('Price History'!Q99)),'Price History'!Q99=0),"",'Price History'!Q100/'Price History'!Q99-1),"")</f>
        <v>0.0114741035856574</v>
      </c>
      <c r="R99" s="136" t="n">
        <f aca="false">IFERROR(IF(OR(NOT(ISNUMBER('Price History'!R100)),NOT(ISNUMBER('Price History'!R99)),'Price History'!R99=0),"",'Price History'!R100/'Price History'!R99-1),"")</f>
        <v>0.00304240349876395</v>
      </c>
      <c r="S99" s="136" t="n">
        <f aca="false">IFERROR(IF(OR(NOT(ISNUMBER('Price History'!S100)),NOT(ISNUMBER('Price History'!S99)),'Price History'!S99=0),"",'Price History'!S100/'Price History'!S99-1),"")</f>
        <v>0.00706480783722685</v>
      </c>
      <c r="T99" s="136" t="n">
        <f aca="false">IFERROR(IF(OR(NOT(ISNUMBER('Price History'!T100)),NOT(ISNUMBER('Price History'!T99)),'Price History'!T99=0),"",'Price History'!T100/'Price History'!T99-1),"")</f>
        <v>-0.00114057599087536</v>
      </c>
      <c r="U99" s="136" t="str">
        <f aca="false">IFERROR(IF(OR(NOT(ISNUMBER('Price History'!U100)),NOT(ISNUMBER('Price History'!U99)),'Price History'!U99=0),"",'Price History'!U100/'Price History'!U99-1),"")</f>
        <v/>
      </c>
      <c r="W99" s="137" t="n">
        <f aca="false">'Price History'!B3+('Price History'!B158-'Price History'!B3)*0.623376623376623</f>
        <v>347.593896103896</v>
      </c>
      <c r="X99" s="137" t="n">
        <f aca="false">'Price History'!C3+('Price History'!C158-'Price History'!C3)*0.623376623376623</f>
        <v>128.89948051948</v>
      </c>
      <c r="Y99" s="137" t="n">
        <f aca="false">'Price History'!D3+('Price History'!D158-'Price History'!D3)*0.623376623376623</f>
        <v>1264.72233766234</v>
      </c>
      <c r="Z99" s="137" t="n">
        <f aca="false">'Price History'!E3+('Price History'!E158-'Price History'!E3)*0.623376623376623</f>
        <v>273.92025974026</v>
      </c>
      <c r="AA99" s="137" t="n">
        <f aca="false">'Price History'!F3+('Price History'!F158-'Price History'!F3)*0.623376623376623</f>
        <v>132.935324675325</v>
      </c>
      <c r="AB99" s="137" t="n">
        <f aca="false">'Price History'!G3+('Price History'!G158-'Price History'!G3)*0.623376623376623</f>
        <v>132.005974025974</v>
      </c>
      <c r="AC99" s="137" t="n">
        <f aca="false">'Price History'!H3+('Price History'!H158-'Price History'!H3)*0.623376623376623</f>
        <v>537.300909090909</v>
      </c>
      <c r="AD99" s="137" t="n">
        <f aca="false">'Price History'!I3+('Price History'!I158-'Price History'!I3)*0.623376623376623</f>
        <v>140.527922077922</v>
      </c>
      <c r="AE99" s="137" t="n">
        <f aca="false">'Price History'!J3+('Price History'!J158-'Price History'!J3)*0.623376623376623</f>
        <v>136.663246753247</v>
      </c>
      <c r="AF99" s="137" t="n">
        <f aca="false">'Price History'!K3+('Price History'!K158-'Price History'!K3)*0.623376623376623</f>
        <v>82.5164935064935</v>
      </c>
      <c r="AG99" s="137" t="n">
        <f aca="false">'Price History'!L3+('Price History'!L158-'Price History'!L3)*0.623376623376623</f>
        <v>286.645584415584</v>
      </c>
      <c r="AH99" s="137" t="n">
        <f aca="false">'Price History'!M3+('Price History'!M158-'Price History'!M3)*0.623376623376623</f>
        <v>163.20974025974</v>
      </c>
      <c r="AI99" s="137" t="n">
        <f aca="false">'Price History'!N3+('Price History'!N158-'Price History'!N3)*0.623376623376623</f>
        <v>429.178441558442</v>
      </c>
      <c r="AJ99" s="137" t="n">
        <f aca="false">'Price History'!O3+('Price History'!O158-'Price History'!O3)*0.623376623376623</f>
        <v>109.29987012987</v>
      </c>
      <c r="AK99" s="137" t="n">
        <f aca="false">'Price History'!Q3+('Price History'!Q151-'Price History'!Q3)*0.623376623376623</f>
        <v>61.441038961039</v>
      </c>
      <c r="AL99" s="137" t="n">
        <f aca="false">'Price History'!R3+('Price History'!R158-'Price History'!R3)*0.623376623376623</f>
        <v>54.3218181818182</v>
      </c>
      <c r="AM99" s="137" t="n">
        <f aca="false">'Price History'!S3+('Price History'!S158-'Price History'!S3)*0.623376623376623</f>
        <v>111.707792207792</v>
      </c>
      <c r="AN99" s="137" t="n">
        <f aca="false">'Price History'!T3+('Price History'!T158-'Price History'!T3)*0.623376623376623</f>
        <v>41.1416883116883</v>
      </c>
    </row>
    <row r="100" customFormat="false" ht="15" hidden="false" customHeight="true" outlineLevel="0" collapsed="false">
      <c r="A100" s="135" t="n">
        <f aca="false">IF('Price History'!A101="","",'Price History'!A101)</f>
        <v>45835</v>
      </c>
      <c r="B100" s="136" t="n">
        <f aca="false">IFERROR(IF(OR(NOT(ISNUMBER('Price History'!B101)),NOT(ISNUMBER('Price History'!B100)),'Price History'!B100=0),"",'Price History'!B101/'Price History'!B100-1),"")</f>
        <v>0.0236389684813754</v>
      </c>
      <c r="C100" s="136" t="n">
        <f aca="false">IFERROR(IF(OR(NOT(ISNUMBER('Price History'!C101)),NOT(ISNUMBER('Price History'!C100)),'Price History'!C100=0),"",'Price History'!C101/'Price History'!C100-1),"")</f>
        <v>0.152347826086957</v>
      </c>
      <c r="D100" s="136" t="n">
        <f aca="false">IFERROR(IF(OR(NOT(ISNUMBER('Price History'!D101)),NOT(ISNUMBER('Price History'!D100)),'Price History'!D100=0),"",'Price History'!D101/'Price History'!D100-1),"")</f>
        <v>0.0521063275745841</v>
      </c>
      <c r="E100" s="136" t="n">
        <f aca="false">IFERROR(IF(OR(NOT(ISNUMBER('Price History'!E101)),NOT(ISNUMBER('Price History'!E100)),'Price History'!E100=0),"",'Price History'!E101/'Price History'!E100-1),"")</f>
        <v>0.0774430977239091</v>
      </c>
      <c r="F100" s="136" t="n">
        <f aca="false">IFERROR(IF(OR(NOT(ISNUMBER('Price History'!F101)),NOT(ISNUMBER('Price History'!F100)),'Price History'!F100=0),"",'Price History'!F101/'Price History'!F100-1),"")</f>
        <v>0.0482868659724556</v>
      </c>
      <c r="G100" s="136" t="n">
        <f aca="false">IFERROR(IF(OR(NOT(ISNUMBER('Price History'!G101)),NOT(ISNUMBER('Price History'!G100)),'Price History'!G100=0),"",'Price History'!G101/'Price History'!G100-1),"")</f>
        <v>0.0469411764705883</v>
      </c>
      <c r="H100" s="136" t="n">
        <f aca="false">IFERROR(IF(OR(NOT(ISNUMBER('Price History'!H101)),NOT(ISNUMBER('Price History'!H100)),'Price History'!H100=0),"",'Price History'!H101/'Price History'!H100-1),"")</f>
        <v>0.00938511326860847</v>
      </c>
      <c r="I100" s="136" t="n">
        <f aca="false">IFERROR(IF(OR(NOT(ISNUMBER('Price History'!I101)),NOT(ISNUMBER('Price History'!I100)),'Price History'!I100=0),"",'Price History'!I101/'Price History'!I100-1),"")</f>
        <v>0.0966284323948559</v>
      </c>
      <c r="J100" s="136" t="n">
        <f aca="false">IFERROR(IF(OR(NOT(ISNUMBER('Price History'!J101)),NOT(ISNUMBER('Price History'!J100)),'Price History'!J100=0),"",'Price History'!J101/'Price History'!J100-1),"")</f>
        <v>-0.000662314315450829</v>
      </c>
      <c r="K100" s="136" t="n">
        <f aca="false">IFERROR(IF(OR(NOT(ISNUMBER('Price History'!K101)),NOT(ISNUMBER('Price History'!K100)),'Price History'!K100=0),"",'Price History'!K101/'Price History'!K100-1),"")</f>
        <v>-0.0477785870356883</v>
      </c>
      <c r="L100" s="136" t="n">
        <f aca="false">IFERROR(IF(OR(NOT(ISNUMBER('Price History'!L101)),NOT(ISNUMBER('Price History'!L100)),'Price History'!L100=0),"",'Price History'!L101/'Price History'!L100-1),"")</f>
        <v>0.0909741778435398</v>
      </c>
      <c r="M100" s="136" t="n">
        <f aca="false">IFERROR(IF(OR(NOT(ISNUMBER('Price History'!M101)),NOT(ISNUMBER('Price History'!M100)),'Price History'!M100=0),"",'Price History'!M101/'Price History'!M100-1),"")</f>
        <v>0.0727180698498395</v>
      </c>
      <c r="N100" s="136" t="n">
        <f aca="false">IFERROR(IF(OR(NOT(ISNUMBER('Price History'!N101)),NOT(ISNUMBER('Price History'!N100)),'Price History'!N100=0),"",'Price History'!N101/'Price History'!N100-1),"")</f>
        <v>0.000975344205774942</v>
      </c>
      <c r="O100" s="136" t="n">
        <f aca="false">IFERROR(IF(OR(NOT(ISNUMBER('Price History'!O101)),NOT(ISNUMBER('Price History'!O100)),'Price History'!O100=0),"",'Price History'!O101/'Price History'!O100-1),"")</f>
        <v>0.0205885643952108</v>
      </c>
      <c r="P100" s="136" t="str">
        <f aca="false">IFERROR(IF(OR(NOT(ISNUMBER('Price History'!P101)),NOT(ISNUMBER('Price History'!P100)),'Price History'!P100=0),"",'Price History'!P101/'Price History'!P100-1),"")</f>
        <v/>
      </c>
      <c r="Q100" s="136" t="n">
        <f aca="false">IFERROR(IF(OR(NOT(ISNUMBER('Price History'!Q101)),NOT(ISNUMBER('Price History'!Q100)),'Price History'!Q100=0),"",'Price History'!Q101/'Price History'!Q100-1),"")</f>
        <v>0.00740507326295892</v>
      </c>
      <c r="R100" s="136" t="n">
        <f aca="false">IFERROR(IF(OR(NOT(ISNUMBER('Price History'!R101)),NOT(ISNUMBER('Price History'!R100)),'Price History'!R100=0),"",'Price History'!R101/'Price History'!R100-1),"")</f>
        <v>0.0288151658767772</v>
      </c>
      <c r="S100" s="136" t="n">
        <f aca="false">IFERROR(IF(OR(NOT(ISNUMBER('Price History'!S101)),NOT(ISNUMBER('Price History'!S100)),'Price History'!S100=0),"",'Price History'!S101/'Price History'!S100-1),"")</f>
        <v>0.0461135534561781</v>
      </c>
      <c r="T100" s="136" t="n">
        <f aca="false">IFERROR(IF(OR(NOT(ISNUMBER('Price History'!T101)),NOT(ISNUMBER('Price History'!T100)),'Price History'!T100=0),"",'Price History'!T101/'Price History'!T100-1),"")</f>
        <v>0.00856408792463603</v>
      </c>
      <c r="U100" s="136" t="str">
        <f aca="false">IFERROR(IF(OR(NOT(ISNUMBER('Price History'!U101)),NOT(ISNUMBER('Price History'!U100)),'Price History'!U100=0),"",'Price History'!U101/'Price History'!U100-1),"")</f>
        <v/>
      </c>
      <c r="W100" s="137" t="n">
        <f aca="false">'Price History'!B3+('Price History'!B158-'Price History'!B3)*0.62987012987013</f>
        <v>345.918311688312</v>
      </c>
      <c r="X100" s="137" t="n">
        <f aca="false">'Price History'!C3+('Price History'!C158-'Price History'!C3)*0.62987012987013</f>
        <v>129.786558441558</v>
      </c>
      <c r="Y100" s="137" t="n">
        <f aca="false">'Price History'!D3+('Price History'!D158-'Price History'!D3)*0.62987012987013</f>
        <v>1271.00298701299</v>
      </c>
      <c r="Z100" s="137" t="n">
        <f aca="false">'Price History'!E3+('Price History'!E158-'Price History'!E3)*0.62987012987013</f>
        <v>275.909220779221</v>
      </c>
      <c r="AA100" s="137" t="n">
        <f aca="false">'Price History'!F3+('Price History'!F158-'Price History'!F3)*0.62987012987013</f>
        <v>133.934025974026</v>
      </c>
      <c r="AB100" s="137" t="n">
        <f aca="false">'Price History'!G3+('Price History'!G158-'Price History'!G3)*0.62987012987013</f>
        <v>132.882077922078</v>
      </c>
      <c r="AC100" s="137" t="n">
        <f aca="false">'Price History'!H3+('Price History'!H158-'Price History'!H3)*0.62987012987013</f>
        <v>542.227272727273</v>
      </c>
      <c r="AD100" s="137" t="n">
        <f aca="false">'Price History'!I3+('Price History'!I158-'Price History'!I3)*0.62987012987013</f>
        <v>141.566233766234</v>
      </c>
      <c r="AE100" s="137" t="n">
        <f aca="false">'Price History'!J3+('Price History'!J158-'Price History'!J3)*0.62987012987013</f>
        <v>136.80025974026</v>
      </c>
      <c r="AF100" s="137" t="n">
        <f aca="false">'Price History'!K3+('Price History'!K158-'Price History'!K3)*0.62987012987013</f>
        <v>83.2155194805195</v>
      </c>
      <c r="AG100" s="137" t="n">
        <f aca="false">'Price History'!L3+('Price History'!L158-'Price History'!L3)*0.62987012987013</f>
        <v>288.673246753247</v>
      </c>
      <c r="AH100" s="137" t="n">
        <f aca="false">'Price History'!M3+('Price History'!M158-'Price History'!M3)*0.62987012987013</f>
        <v>164.560779220779</v>
      </c>
      <c r="AI100" s="137" t="n">
        <f aca="false">'Price History'!N3+('Price History'!N158-'Price History'!N3)*0.62987012987013</f>
        <v>430.004675324675</v>
      </c>
      <c r="AJ100" s="137" t="n">
        <f aca="false">'Price History'!O3+('Price History'!O158-'Price History'!O3)*0.62987012987013</f>
        <v>109.57538961039</v>
      </c>
      <c r="AK100" s="137" t="n">
        <f aca="false">'Price History'!Q3+('Price History'!Q151-'Price History'!Q3)*0.62987012987013</f>
        <v>61.5618831168831</v>
      </c>
      <c r="AL100" s="137" t="n">
        <f aca="false">'Price History'!R3+('Price History'!R158-'Price History'!R3)*0.62987012987013</f>
        <v>54.3895454545455</v>
      </c>
      <c r="AM100" s="137" t="n">
        <f aca="false">'Price History'!S3+('Price History'!S158-'Price History'!S3)*0.62987012987013</f>
        <v>112.261623376623</v>
      </c>
      <c r="AN100" s="137" t="n">
        <f aca="false">'Price History'!T3+('Price History'!T158-'Price History'!T3)*0.62987012987013</f>
        <v>41.2899350649351</v>
      </c>
    </row>
    <row r="101" customFormat="false" ht="15" hidden="false" customHeight="true" outlineLevel="0" collapsed="false">
      <c r="A101" s="135" t="n">
        <f aca="false">IF('Price History'!A102="","",'Price History'!A102)</f>
        <v>45841</v>
      </c>
      <c r="B101" s="136" t="n">
        <f aca="false">IFERROR(IF(OR(NOT(ISNUMBER('Price History'!B102)),NOT(ISNUMBER('Price History'!B101)),'Price History'!B101=0),"",'Price History'!B102/'Price History'!B101-1),"")</f>
        <v>-0.0168986341134696</v>
      </c>
      <c r="C101" s="136" t="n">
        <f aca="false">IFERROR(IF(OR(NOT(ISNUMBER('Price History'!C102)),NOT(ISNUMBER('Price History'!C101)),'Price History'!C101=0),"",'Price History'!C102/'Price History'!C101-1),"")</f>
        <v>0.0314921018211087</v>
      </c>
      <c r="D101" s="136" t="n">
        <f aca="false">IFERROR(IF(OR(NOT(ISNUMBER('Price History'!D102)),NOT(ISNUMBER('Price History'!D101)),'Price History'!D101=0),"",'Price History'!D102/'Price History'!D101-1),"")</f>
        <v>-0.00182172247000445</v>
      </c>
      <c r="E101" s="136" t="n">
        <f aca="false">IFERROR(IF(OR(NOT(ISNUMBER('Price History'!E102)),NOT(ISNUMBER('Price History'!E101)),'Price History'!E101=0),"",'Price History'!E102/'Price History'!E101-1),"")</f>
        <v>0.0216447002041953</v>
      </c>
      <c r="F101" s="136" t="n">
        <f aca="false">IFERROR(IF(OR(NOT(ISNUMBER('Price History'!F102)),NOT(ISNUMBER('Price History'!F101)),'Price History'!F101=0),"",'Price History'!F102/'Price History'!F101-1),"")</f>
        <v>0.029640310822719</v>
      </c>
      <c r="G101" s="136" t="n">
        <f aca="false">IFERROR(IF(OR(NOT(ISNUMBER('Price History'!G102)),NOT(ISNUMBER('Price History'!G101)),'Price History'!G101=0),"",'Price History'!G102/'Price History'!G101-1),"")</f>
        <v>0.0389931452972243</v>
      </c>
      <c r="H101" s="136" t="n">
        <f aca="false">IFERROR(IF(OR(NOT(ISNUMBER('Price History'!H102)),NOT(ISNUMBER('Price History'!H101)),'Price History'!H101=0),"",'Price History'!H102/'Price History'!H101-1),"")</f>
        <v>-0.0197980121833921</v>
      </c>
      <c r="I101" s="136" t="n">
        <f aca="false">IFERROR(IF(OR(NOT(ISNUMBER('Price History'!I102)),NOT(ISNUMBER('Price History'!I101)),'Price History'!I101=0),"",'Price History'!I102/'Price History'!I101-1),"")</f>
        <v>0.0100792393026941</v>
      </c>
      <c r="J101" s="136" t="n">
        <f aca="false">IFERROR(IF(OR(NOT(ISNUMBER('Price History'!J102)),NOT(ISNUMBER('Price History'!J101)),'Price History'!J101=0),"",'Price History'!J102/'Price History'!J101-1),"")</f>
        <v>0.0227229691346336</v>
      </c>
      <c r="K101" s="136" t="n">
        <f aca="false">IFERROR(IF(OR(NOT(ISNUMBER('Price History'!K102)),NOT(ISNUMBER('Price History'!K101)),'Price History'!K101=0),"",'Price History'!K102/'Price History'!K101-1),"")</f>
        <v>0.0276885421447148</v>
      </c>
      <c r="L101" s="136" t="n">
        <f aca="false">IFERROR(IF(OR(NOT(ISNUMBER('Price History'!L102)),NOT(ISNUMBER('Price History'!L101)),'Price History'!L101=0),"",'Price History'!L102/'Price History'!L101-1),"")</f>
        <v>0.0272564203526273</v>
      </c>
      <c r="M101" s="136" t="n">
        <f aca="false">IFERROR(IF(OR(NOT(ISNUMBER('Price History'!M102)),NOT(ISNUMBER('Price History'!M101)),'Price History'!M101=0),"",'Price History'!M102/'Price History'!M101-1),"")</f>
        <v>0.00534759358288772</v>
      </c>
      <c r="N101" s="136" t="n">
        <f aca="false">IFERROR(IF(OR(NOT(ISNUMBER('Price History'!N102)),NOT(ISNUMBER('Price History'!N101)),'Price History'!N101=0),"",'Price History'!N102/'Price History'!N101-1),"")</f>
        <v>0.0415137094946747</v>
      </c>
      <c r="O101" s="136" t="n">
        <f aca="false">IFERROR(IF(OR(NOT(ISNUMBER('Price History'!O102)),NOT(ISNUMBER('Price History'!O101)),'Price History'!O101=0),"",'Price History'!O102/'Price History'!O101-1),"")</f>
        <v>0.041662098454117</v>
      </c>
      <c r="P101" s="136" t="str">
        <f aca="false">IFERROR(IF(OR(NOT(ISNUMBER('Price History'!P102)),NOT(ISNUMBER('Price History'!P101)),'Price History'!P101=0),"",'Price History'!P102/'Price History'!P101-1),"")</f>
        <v/>
      </c>
      <c r="Q101" s="136" t="n">
        <f aca="false">IFERROR(IF(OR(NOT(ISNUMBER('Price History'!Q102)),NOT(ISNUMBER('Price History'!Q101)),'Price History'!Q101=0),"",'Price History'!Q102/'Price History'!Q101-1),"")</f>
        <v>0.00359712230215825</v>
      </c>
      <c r="R101" s="136" t="n">
        <f aca="false">IFERROR(IF(OR(NOT(ISNUMBER('Price History'!R102)),NOT(ISNUMBER('Price History'!R101)),'Price History'!R101=0),"",'Price History'!R102/'Price History'!R101-1),"")</f>
        <v>-0.00202690252441506</v>
      </c>
      <c r="S101" s="136" t="n">
        <f aca="false">IFERROR(IF(OR(NOT(ISNUMBER('Price History'!S102)),NOT(ISNUMBER('Price History'!S101)),'Price History'!S101=0),"",'Price History'!S102/'Price History'!S101-1),"")</f>
        <v>0.00599070100143062</v>
      </c>
      <c r="T101" s="136" t="n">
        <f aca="false">IFERROR(IF(OR(NOT(ISNUMBER('Price History'!T102)),NOT(ISNUMBER('Price History'!T101)),'Price History'!T101=0),"",'Price History'!T102/'Price History'!T101-1),"")</f>
        <v>0.0124540050948203</v>
      </c>
      <c r="U101" s="136" t="str">
        <f aca="false">IFERROR(IF(OR(NOT(ISNUMBER('Price History'!U102)),NOT(ISNUMBER('Price History'!U101)),'Price History'!U101=0),"",'Price History'!U102/'Price History'!U101-1),"")</f>
        <v/>
      </c>
      <c r="W101" s="137" t="n">
        <f aca="false">'Price History'!B3+('Price History'!B158-'Price History'!B3)*0.636363636363636</f>
        <v>344.242727272727</v>
      </c>
      <c r="X101" s="137" t="n">
        <f aca="false">'Price History'!C3+('Price History'!C158-'Price History'!C3)*0.636363636363636</f>
        <v>130.673636363636</v>
      </c>
      <c r="Y101" s="137" t="n">
        <f aca="false">'Price History'!D3+('Price History'!D158-'Price History'!D3)*0.636363636363636</f>
        <v>1277.28363636364</v>
      </c>
      <c r="Z101" s="137" t="n">
        <f aca="false">'Price History'!E3+('Price History'!E158-'Price History'!E3)*0.636363636363636</f>
        <v>277.898181818182</v>
      </c>
      <c r="AA101" s="137" t="n">
        <f aca="false">'Price History'!F3+('Price History'!F158-'Price History'!F3)*0.636363636363636</f>
        <v>134.932727272727</v>
      </c>
      <c r="AB101" s="137" t="n">
        <f aca="false">'Price History'!G3+('Price History'!G158-'Price History'!G3)*0.636363636363636</f>
        <v>133.758181818182</v>
      </c>
      <c r="AC101" s="137" t="n">
        <f aca="false">'Price History'!H3+('Price History'!H158-'Price History'!H3)*0.636363636363636</f>
        <v>547.153636363636</v>
      </c>
      <c r="AD101" s="137" t="n">
        <f aca="false">'Price History'!I3+('Price History'!I158-'Price History'!I3)*0.636363636363636</f>
        <v>142.604545454545</v>
      </c>
      <c r="AE101" s="137" t="n">
        <f aca="false">'Price History'!J3+('Price History'!J158-'Price History'!J3)*0.636363636363636</f>
        <v>136.937272727273</v>
      </c>
      <c r="AF101" s="137" t="n">
        <f aca="false">'Price History'!K3+('Price History'!K158-'Price History'!K3)*0.636363636363636</f>
        <v>83.9145454545454</v>
      </c>
      <c r="AG101" s="137" t="n">
        <f aca="false">'Price History'!L3+('Price History'!L158-'Price History'!L3)*0.636363636363636</f>
        <v>290.700909090909</v>
      </c>
      <c r="AH101" s="137" t="n">
        <f aca="false">'Price History'!M3+('Price History'!M158-'Price History'!M3)*0.636363636363636</f>
        <v>165.911818181818</v>
      </c>
      <c r="AI101" s="137" t="n">
        <f aca="false">'Price History'!N3+('Price History'!N158-'Price History'!N3)*0.636363636363636</f>
        <v>430.830909090909</v>
      </c>
      <c r="AJ101" s="137" t="n">
        <f aca="false">'Price History'!O3+('Price History'!O158-'Price History'!O3)*0.636363636363636</f>
        <v>109.850909090909</v>
      </c>
      <c r="AK101" s="137" t="n">
        <f aca="false">'Price History'!Q3+('Price History'!Q151-'Price History'!Q3)*0.636363636363636</f>
        <v>61.6827272727273</v>
      </c>
      <c r="AL101" s="137" t="n">
        <f aca="false">'Price History'!R3+('Price History'!R158-'Price History'!R3)*0.636363636363636</f>
        <v>54.4572727272727</v>
      </c>
      <c r="AM101" s="137" t="n">
        <f aca="false">'Price History'!S3+('Price History'!S158-'Price History'!S3)*0.636363636363636</f>
        <v>112.815454545455</v>
      </c>
      <c r="AN101" s="137" t="n">
        <f aca="false">'Price History'!T3+('Price History'!T158-'Price History'!T3)*0.636363636363636</f>
        <v>41.4381818181818</v>
      </c>
    </row>
    <row r="102" customFormat="false" ht="15" hidden="false" customHeight="true" outlineLevel="0" collapsed="false">
      <c r="A102" s="135" t="n">
        <f aca="false">IF('Price History'!A103="","",'Price History'!A103)</f>
        <v>45849</v>
      </c>
      <c r="B102" s="136" t="n">
        <f aca="false">IFERROR(IF(OR(NOT(ISNUMBER('Price History'!B103)),NOT(ISNUMBER('Price History'!B102)),'Price History'!B102=0),"",'Price History'!B103/'Price History'!B102-1),"")</f>
        <v>-0.0420764018876381</v>
      </c>
      <c r="C102" s="136" t="n">
        <f aca="false">IFERROR(IF(OR(NOT(ISNUMBER('Price History'!C103)),NOT(ISNUMBER('Price History'!C102)),'Price History'!C102=0),"",'Price History'!C103/'Price History'!C102-1),"")</f>
        <v>0.0590128755364807</v>
      </c>
      <c r="D102" s="136" t="n">
        <f aca="false">IFERROR(IF(OR(NOT(ISNUMBER('Price History'!D103)),NOT(ISNUMBER('Price History'!D102)),'Price History'!D102=0),"",'Price History'!D103/'Price History'!D102-1),"")</f>
        <v>0.00935179358086846</v>
      </c>
      <c r="E102" s="136" t="n">
        <f aca="false">IFERROR(IF(OR(NOT(ISNUMBER('Price History'!E103)),NOT(ISNUMBER('Price History'!E102)),'Price History'!E102=0),"",'Price History'!E103/'Price History'!E102-1),"")</f>
        <v>-0.00290718802238543</v>
      </c>
      <c r="F102" s="136" t="n">
        <f aca="false">IFERROR(IF(OR(NOT(ISNUMBER('Price History'!F103)),NOT(ISNUMBER('Price History'!F102)),'Price History'!F102=0),"",'Price History'!F103/'Price History'!F102-1),"")</f>
        <v>-0.0694001400451256</v>
      </c>
      <c r="G102" s="136" t="n">
        <f aca="false">IFERROR(IF(OR(NOT(ISNUMBER('Price History'!G103)),NOT(ISNUMBER('Price History'!G102)),'Price History'!G102=0),"",'Price History'!G103/'Price History'!G102-1),"")</f>
        <v>0</v>
      </c>
      <c r="H102" s="136" t="n">
        <f aca="false">IFERROR(IF(OR(NOT(ISNUMBER('Price History'!H103)),NOT(ISNUMBER('Price History'!H102)),'Price History'!H102=0),"",'Price History'!H103/'Price History'!H102-1),"")</f>
        <v>0.0183171150543788</v>
      </c>
      <c r="I102" s="136" t="n">
        <f aca="false">IFERROR(IF(OR(NOT(ISNUMBER('Price History'!I103)),NOT(ISNUMBER('Price History'!I102)),'Price History'!I102=0),"",'Price History'!I103/'Price History'!I102-1),"")</f>
        <v>0.0350194552529182</v>
      </c>
      <c r="J102" s="136" t="n">
        <f aca="false">IFERROR(IF(OR(NOT(ISNUMBER('Price History'!J103)),NOT(ISNUMBER('Price History'!J102)),'Price History'!J102=0),"",'Price History'!J103/'Price History'!J102-1),"")</f>
        <v>0.0106461766339567</v>
      </c>
      <c r="K102" s="136" t="n">
        <f aca="false">IFERROR(IF(OR(NOT(ISNUMBER('Price History'!K103)),NOT(ISNUMBER('Price History'!K102)),'Price History'!K102=0),"",'Price History'!K103/'Price History'!K102-1),"")</f>
        <v>0.0576064304852633</v>
      </c>
      <c r="L102" s="136" t="n">
        <f aca="false">IFERROR(IF(OR(NOT(ISNUMBER('Price History'!L103)),NOT(ISNUMBER('Price History'!L102)),'Price History'!L102=0),"",'Price History'!L103/'Price History'!L102-1),"")</f>
        <v>-0.0187393526405452</v>
      </c>
      <c r="M102" s="136" t="n">
        <f aca="false">IFERROR(IF(OR(NOT(ISNUMBER('Price History'!M103)),NOT(ISNUMBER('Price History'!M102)),'Price History'!M102=0),"",'Price History'!M103/'Price History'!M102-1),"")</f>
        <v>-0.0355131414267835</v>
      </c>
      <c r="N102" s="136" t="n">
        <f aca="false">IFERROR(IF(OR(NOT(ISNUMBER('Price History'!N103)),NOT(ISNUMBER('Price History'!N102)),'Price History'!N102=0),"",'Price History'!N103/'Price History'!N102-1),"")</f>
        <v>0.0200818067098909</v>
      </c>
      <c r="O102" s="136" t="n">
        <f aca="false">IFERROR(IF(OR(NOT(ISNUMBER('Price History'!O103)),NOT(ISNUMBER('Price History'!O102)),'Price History'!O102=0),"",'Price History'!O103/'Price History'!O102-1),"")</f>
        <v>-0.00136827702347131</v>
      </c>
      <c r="P102" s="136" t="str">
        <f aca="false">IFERROR(IF(OR(NOT(ISNUMBER('Price History'!P103)),NOT(ISNUMBER('Price History'!P102)),'Price History'!P102=0),"",'Price History'!P103/'Price History'!P102-1),"")</f>
        <v/>
      </c>
      <c r="Q102" s="136" t="n">
        <f aca="false">IFERROR(IF(OR(NOT(ISNUMBER('Price History'!Q103)),NOT(ISNUMBER('Price History'!Q102)),'Price History'!Q102=0),"",'Price History'!Q103/'Price History'!Q102-1),"")</f>
        <v>0.000155836060464543</v>
      </c>
      <c r="R102" s="136" t="n">
        <f aca="false">IFERROR(IF(OR(NOT(ISNUMBER('Price History'!R103)),NOT(ISNUMBER('Price History'!R102)),'Price History'!R102=0),"",'Price History'!R103/'Price History'!R102-1),"")</f>
        <v>0.00369276218611536</v>
      </c>
      <c r="S102" s="136" t="n">
        <f aca="false">IFERROR(IF(OR(NOT(ISNUMBER('Price History'!S103)),NOT(ISNUMBER('Price History'!S102)),'Price History'!S102=0),"",'Price History'!S103/'Price History'!S102-1),"")</f>
        <v>-0.00302195360412416</v>
      </c>
      <c r="T102" s="136" t="n">
        <f aca="false">IFERROR(IF(OR(NOT(ISNUMBER('Price History'!T103)),NOT(ISNUMBER('Price History'!T102)),'Price History'!T102=0),"",'Price History'!T103/'Price History'!T102-1),"")</f>
        <v>0.00195694716242656</v>
      </c>
      <c r="U102" s="136" t="str">
        <f aca="false">IFERROR(IF(OR(NOT(ISNUMBER('Price History'!U103)),NOT(ISNUMBER('Price History'!U102)),'Price History'!U102=0),"",'Price History'!U103/'Price History'!U102-1),"")</f>
        <v/>
      </c>
      <c r="W102" s="137" t="n">
        <f aca="false">'Price History'!B3+('Price History'!B158-'Price History'!B3)*0.642857142857143</f>
        <v>342.567142857143</v>
      </c>
      <c r="X102" s="137" t="n">
        <f aca="false">'Price History'!C3+('Price History'!C158-'Price History'!C3)*0.642857142857143</f>
        <v>131.560714285714</v>
      </c>
      <c r="Y102" s="137" t="n">
        <f aca="false">'Price History'!D3+('Price History'!D158-'Price History'!D3)*0.642857142857143</f>
        <v>1283.56428571429</v>
      </c>
      <c r="Z102" s="137" t="n">
        <f aca="false">'Price History'!E3+('Price History'!E158-'Price History'!E3)*0.642857142857143</f>
        <v>279.887142857143</v>
      </c>
      <c r="AA102" s="137" t="n">
        <f aca="false">'Price History'!F3+('Price History'!F158-'Price History'!F3)*0.642857142857143</f>
        <v>135.931428571429</v>
      </c>
      <c r="AB102" s="137" t="n">
        <f aca="false">'Price History'!G3+('Price History'!G158-'Price History'!G3)*0.642857142857143</f>
        <v>134.634285714286</v>
      </c>
      <c r="AC102" s="137" t="n">
        <f aca="false">'Price History'!H3+('Price History'!H158-'Price History'!H3)*0.642857142857143</f>
        <v>552.08</v>
      </c>
      <c r="AD102" s="137" t="n">
        <f aca="false">'Price History'!I3+('Price History'!I158-'Price History'!I3)*0.642857142857143</f>
        <v>143.642857142857</v>
      </c>
      <c r="AE102" s="137" t="n">
        <f aca="false">'Price History'!J3+('Price History'!J158-'Price History'!J3)*0.642857142857143</f>
        <v>137.074285714286</v>
      </c>
      <c r="AF102" s="137" t="n">
        <f aca="false">'Price History'!K3+('Price History'!K158-'Price History'!K3)*0.642857142857143</f>
        <v>84.6135714285715</v>
      </c>
      <c r="AG102" s="137" t="n">
        <f aca="false">'Price History'!L3+('Price History'!L158-'Price History'!L3)*0.642857142857143</f>
        <v>292.728571428571</v>
      </c>
      <c r="AH102" s="137" t="n">
        <f aca="false">'Price History'!M3+('Price History'!M158-'Price History'!M3)*0.642857142857143</f>
        <v>167.262857142857</v>
      </c>
      <c r="AI102" s="137" t="n">
        <f aca="false">'Price History'!N3+('Price History'!N158-'Price History'!N3)*0.642857142857143</f>
        <v>431.657142857143</v>
      </c>
      <c r="AJ102" s="137" t="n">
        <f aca="false">'Price History'!O3+('Price History'!O158-'Price History'!O3)*0.642857142857143</f>
        <v>110.126428571429</v>
      </c>
      <c r="AK102" s="137" t="n">
        <f aca="false">'Price History'!Q3+('Price History'!Q151-'Price History'!Q3)*0.642857142857143</f>
        <v>61.8035714285714</v>
      </c>
      <c r="AL102" s="137" t="n">
        <f aca="false">'Price History'!R3+('Price History'!R158-'Price History'!R3)*0.642857142857143</f>
        <v>54.525</v>
      </c>
      <c r="AM102" s="137" t="n">
        <f aca="false">'Price History'!S3+('Price History'!S158-'Price History'!S3)*0.642857142857143</f>
        <v>113.369285714286</v>
      </c>
      <c r="AN102" s="137" t="n">
        <f aca="false">'Price History'!T3+('Price History'!T158-'Price History'!T3)*0.642857142857143</f>
        <v>41.5864285714286</v>
      </c>
    </row>
    <row r="103" customFormat="false" ht="15" hidden="false" customHeight="true" outlineLevel="0" collapsed="false">
      <c r="A103" s="135" t="n">
        <f aca="false">IF('Price History'!A104="","",'Price History'!A104)</f>
        <v>45856</v>
      </c>
      <c r="B103" s="136" t="n">
        <f aca="false">IFERROR(IF(OR(NOT(ISNUMBER('Price History'!B104)),NOT(ISNUMBER('Price History'!B103)),'Price History'!B103=0),"",'Price History'!B104/'Price History'!B103-1),"")</f>
        <v>0.00671528828952805</v>
      </c>
      <c r="C103" s="136" t="n">
        <f aca="false">IFERROR(IF(OR(NOT(ISNUMBER('Price History'!C104)),NOT(ISNUMBER('Price History'!C103)),'Price History'!C103=0),"",'Price History'!C104/'Price History'!C103-1),"")</f>
        <v>0.0295661785023489</v>
      </c>
      <c r="D103" s="136" t="n">
        <f aca="false">IFERROR(IF(OR(NOT(ISNUMBER('Price History'!D104)),NOT(ISNUMBER('Price History'!D103)),'Price History'!D103=0),"",'Price History'!D104/'Price History'!D103-1),"")</f>
        <v>-0.0839848864614118</v>
      </c>
      <c r="E103" s="136" t="n">
        <f aca="false">IFERROR(IF(OR(NOT(ISNUMBER('Price History'!E104)),NOT(ISNUMBER('Price History'!E103)),'Price History'!E103=0),"",'Price History'!E104/'Price History'!E103-1),"")</f>
        <v>0.0326554413586995</v>
      </c>
      <c r="F103" s="136" t="n">
        <f aca="false">IFERROR(IF(OR(NOT(ISNUMBER('Price History'!F104)),NOT(ISNUMBER('Price History'!F103)),'Price History'!F103=0),"",'Price History'!F104/'Price History'!F103-1),"")</f>
        <v>-0.00518351308419029</v>
      </c>
      <c r="G103" s="136" t="n">
        <f aca="false">IFERROR(IF(OR(NOT(ISNUMBER('Price History'!G104)),NOT(ISNUMBER('Price History'!G103)),'Price History'!G103=0),"",'Price History'!G104/'Price History'!G103-1),"")</f>
        <v>0.00703006705602438</v>
      </c>
      <c r="H103" s="136" t="n">
        <f aca="false">IFERROR(IF(OR(NOT(ISNUMBER('Price History'!H104)),NOT(ISNUMBER('Price History'!H103)),'Price History'!H103=0),"",'Price History'!H104/'Price History'!H103-1),"")</f>
        <v>-0.0814261623705131</v>
      </c>
      <c r="I103" s="136" t="n">
        <f aca="false">IFERROR(IF(OR(NOT(ISNUMBER('Price History'!I104)),NOT(ISNUMBER('Price History'!I103)),'Price History'!I103=0),"",'Price History'!I104/'Price History'!I103-1),"")</f>
        <v>0.0454159592529713</v>
      </c>
      <c r="J103" s="136" t="n">
        <f aca="false">IFERROR(IF(OR(NOT(ISNUMBER('Price History'!J104)),NOT(ISNUMBER('Price History'!J103)),'Price History'!J103=0),"",'Price History'!J104/'Price History'!J103-1),"")</f>
        <v>-0.0218924612988917</v>
      </c>
      <c r="K103" s="136" t="n">
        <f aca="false">IFERROR(IF(OR(NOT(ISNUMBER('Price History'!K104)),NOT(ISNUMBER('Price History'!K103)),'Price History'!K103=0),"",'Price History'!K104/'Price History'!K103-1),"")</f>
        <v>0.08036593947924</v>
      </c>
      <c r="L103" s="136" t="n">
        <f aca="false">IFERROR(IF(OR(NOT(ISNUMBER('Price History'!L104)),NOT(ISNUMBER('Price History'!L103)),'Price History'!L103=0),"",'Price History'!L104/'Price History'!L103-1),"")</f>
        <v>0.0434027777777777</v>
      </c>
      <c r="M103" s="136" t="n">
        <f aca="false">IFERROR(IF(OR(NOT(ISNUMBER('Price History'!M104)),NOT(ISNUMBER('Price History'!M103)),'Price History'!M103=0),"",'Price History'!M104/'Price History'!M103-1),"")</f>
        <v>0.0467153284671533</v>
      </c>
      <c r="N103" s="136" t="n">
        <f aca="false">IFERROR(IF(OR(NOT(ISNUMBER('Price History'!N104)),NOT(ISNUMBER('Price History'!N103)),'Price History'!N103=0),"",'Price History'!N104/'Price History'!N103-1),"")</f>
        <v>-0.0192812200063986</v>
      </c>
      <c r="O103" s="136" t="n">
        <f aca="false">IFERROR(IF(OR(NOT(ISNUMBER('Price History'!O104)),NOT(ISNUMBER('Price History'!O103)),'Price History'!O103=0),"",'Price History'!O104/'Price History'!O103-1),"")</f>
        <v>-0.0116989881956155</v>
      </c>
      <c r="P103" s="136" t="str">
        <f aca="false">IFERROR(IF(OR(NOT(ISNUMBER('Price History'!P104)),NOT(ISNUMBER('Price History'!P103)),'Price History'!P103=0),"",'Price History'!P104/'Price History'!P103-1),"")</f>
        <v/>
      </c>
      <c r="Q103" s="136" t="n">
        <f aca="false">IFERROR(IF(OR(NOT(ISNUMBER('Price History'!Q104)),NOT(ISNUMBER('Price History'!Q103)),'Price History'!Q103=0),"",'Price History'!Q104/'Price History'!Q103-1),"")</f>
        <v>0.00218136491118703</v>
      </c>
      <c r="R103" s="136" t="n">
        <f aca="false">IFERROR(IF(OR(NOT(ISNUMBER('Price History'!R104)),NOT(ISNUMBER('Price History'!R103)),'Price History'!R103=0),"",'Price History'!R104/'Price History'!R103-1),"")</f>
        <v>0.00607064017660042</v>
      </c>
      <c r="S103" s="136" t="n">
        <f aca="false">IFERROR(IF(OR(NOT(ISNUMBER('Price History'!S104)),NOT(ISNUMBER('Price History'!S103)),'Price History'!S103=0),"",'Price History'!S104/'Price History'!S103-1),"")</f>
        <v>0.014798965855398</v>
      </c>
      <c r="T103" s="136" t="n">
        <f aca="false">IFERROR(IF(OR(NOT(ISNUMBER('Price History'!T104)),NOT(ISNUMBER('Price History'!T103)),'Price History'!T103=0),"",'Price History'!T104/'Price History'!T103-1),"")</f>
        <v>-0.0212053571428573</v>
      </c>
      <c r="U103" s="136" t="str">
        <f aca="false">IFERROR(IF(OR(NOT(ISNUMBER('Price History'!U104)),NOT(ISNUMBER('Price History'!U103)),'Price History'!U103=0),"",'Price History'!U104/'Price History'!U103-1),"")</f>
        <v/>
      </c>
      <c r="W103" s="137" t="n">
        <f aca="false">'Price History'!B3+('Price History'!B158-'Price History'!B3)*0.649350649350649</f>
        <v>340.891558441559</v>
      </c>
      <c r="X103" s="137" t="n">
        <f aca="false">'Price History'!C3+('Price History'!C158-'Price History'!C3)*0.649350649350649</f>
        <v>132.447792207792</v>
      </c>
      <c r="Y103" s="137" t="n">
        <f aca="false">'Price History'!D3+('Price History'!D158-'Price History'!D3)*0.649350649350649</f>
        <v>1289.84493506493</v>
      </c>
      <c r="Z103" s="137" t="n">
        <f aca="false">'Price History'!E3+('Price History'!E158-'Price History'!E3)*0.649350649350649</f>
        <v>281.876103896104</v>
      </c>
      <c r="AA103" s="137" t="n">
        <f aca="false">'Price History'!F3+('Price History'!F158-'Price History'!F3)*0.649350649350649</f>
        <v>136.93012987013</v>
      </c>
      <c r="AB103" s="137" t="n">
        <f aca="false">'Price History'!G3+('Price History'!G158-'Price History'!G3)*0.649350649350649</f>
        <v>135.51038961039</v>
      </c>
      <c r="AC103" s="137" t="n">
        <f aca="false">'Price History'!H3+('Price History'!H158-'Price History'!H3)*0.649350649350649</f>
        <v>557.006363636363</v>
      </c>
      <c r="AD103" s="137" t="n">
        <f aca="false">'Price History'!I3+('Price History'!I158-'Price History'!I3)*0.649350649350649</f>
        <v>144.681168831169</v>
      </c>
      <c r="AE103" s="137" t="n">
        <f aca="false">'Price History'!J3+('Price History'!J158-'Price History'!J3)*0.649350649350649</f>
        <v>137.211298701299</v>
      </c>
      <c r="AF103" s="137" t="n">
        <f aca="false">'Price History'!K3+('Price History'!K158-'Price History'!K3)*0.649350649350649</f>
        <v>85.3125974025974</v>
      </c>
      <c r="AG103" s="137" t="n">
        <f aca="false">'Price History'!L3+('Price History'!L158-'Price History'!L3)*0.649350649350649</f>
        <v>294.756233766234</v>
      </c>
      <c r="AH103" s="137" t="n">
        <f aca="false">'Price History'!M3+('Price History'!M158-'Price History'!M3)*0.649350649350649</f>
        <v>168.613896103896</v>
      </c>
      <c r="AI103" s="137" t="n">
        <f aca="false">'Price History'!N3+('Price History'!N158-'Price History'!N3)*0.649350649350649</f>
        <v>432.483376623377</v>
      </c>
      <c r="AJ103" s="137" t="n">
        <f aca="false">'Price History'!O3+('Price History'!O158-'Price History'!O3)*0.649350649350649</f>
        <v>110.401948051948</v>
      </c>
      <c r="AK103" s="137" t="n">
        <f aca="false">'Price History'!Q3+('Price History'!Q151-'Price History'!Q3)*0.649350649350649</f>
        <v>61.9244155844156</v>
      </c>
      <c r="AL103" s="137" t="n">
        <f aca="false">'Price History'!R3+('Price History'!R158-'Price History'!R3)*0.649350649350649</f>
        <v>54.5927272727273</v>
      </c>
      <c r="AM103" s="137" t="n">
        <f aca="false">'Price History'!S3+('Price History'!S158-'Price History'!S3)*0.649350649350649</f>
        <v>113.923116883117</v>
      </c>
      <c r="AN103" s="137" t="n">
        <f aca="false">'Price History'!T3+('Price History'!T158-'Price History'!T3)*0.649350649350649</f>
        <v>41.7346753246753</v>
      </c>
    </row>
    <row r="104" customFormat="false" ht="15" hidden="false" customHeight="true" outlineLevel="0" collapsed="false">
      <c r="A104" s="135" t="n">
        <f aca="false">IF('Price History'!A105="","",'Price History'!A105)</f>
        <v>45863</v>
      </c>
      <c r="B104" s="136" t="n">
        <f aca="false">IFERROR(IF(OR(NOT(ISNUMBER('Price History'!B105)),NOT(ISNUMBER('Price History'!B104)),'Price History'!B104=0),"",'Price History'!B105/'Price History'!B104-1),"")</f>
        <v>0.0135323546297055</v>
      </c>
      <c r="C104" s="136" t="n">
        <f aca="false">IFERROR(IF(OR(NOT(ISNUMBER('Price History'!C105)),NOT(ISNUMBER('Price History'!C104)),'Price History'!C104=0),"",'Price History'!C105/'Price History'!C104-1),"")</f>
        <v>0.0223653605296117</v>
      </c>
      <c r="D104" s="136" t="n">
        <f aca="false">IFERROR(IF(OR(NOT(ISNUMBER('Price History'!D105)),NOT(ISNUMBER('Price History'!D104)),'Price History'!D104=0),"",'Price History'!D105/'Price History'!D104-1),"")</f>
        <v>-0.0317596449671922</v>
      </c>
      <c r="E104" s="136" t="n">
        <f aca="false">IFERROR(IF(OR(NOT(ISNUMBER('Price History'!E105)),NOT(ISNUMBER('Price History'!E104)),'Price History'!E104=0),"",'Price History'!E105/'Price History'!E104-1),"")</f>
        <v>0.0241406084562716</v>
      </c>
      <c r="F104" s="136" t="n">
        <f aca="false">IFERROR(IF(OR(NOT(ISNUMBER('Price History'!F105)),NOT(ISNUMBER('Price History'!F104)),'Price History'!F104=0),"",'Price History'!F105/'Price History'!F104-1),"")</f>
        <v>-0.0168921758130934</v>
      </c>
      <c r="G104" s="136" t="n">
        <f aca="false">IFERROR(IF(OR(NOT(ISNUMBER('Price History'!G105)),NOT(ISNUMBER('Price History'!G104)),'Price History'!G104=0),"",'Price History'!G105/'Price History'!G104-1),"")</f>
        <v>-0.0311459563956611</v>
      </c>
      <c r="H104" s="136" t="n">
        <f aca="false">IFERROR(IF(OR(NOT(ISNUMBER('Price History'!H105)),NOT(ISNUMBER('Price History'!H104)),'Price History'!H104=0),"",'Price History'!H105/'Price History'!H104-1),"")</f>
        <v>-0.0273625316898329</v>
      </c>
      <c r="I104" s="136" t="n">
        <f aca="false">IFERROR(IF(OR(NOT(ISNUMBER('Price History'!I105)),NOT(ISNUMBER('Price History'!I104)),'Price History'!I104=0),"",'Price History'!I105/'Price History'!I104-1),"")</f>
        <v>0.00632213908706003</v>
      </c>
      <c r="J104" s="136" t="n">
        <f aca="false">IFERROR(IF(OR(NOT(ISNUMBER('Price History'!J105)),NOT(ISNUMBER('Price History'!J104)),'Price History'!J104=0),"",'Price History'!J105/'Price History'!J104-1),"")</f>
        <v>0.0328713242180183</v>
      </c>
      <c r="K104" s="136" t="n">
        <f aca="false">IFERROR(IF(OR(NOT(ISNUMBER('Price History'!K105)),NOT(ISNUMBER('Price History'!K104)),'Price History'!K104=0),"",'Price History'!K105/'Price History'!K104-1),"")</f>
        <v>0.0343929129755081</v>
      </c>
      <c r="L104" s="136" t="n">
        <f aca="false">IFERROR(IF(OR(NOT(ISNUMBER('Price History'!L105)),NOT(ISNUMBER('Price History'!L104)),'Price History'!L104=0),"",'Price History'!L105/'Price History'!L104-1),"")</f>
        <v>0.021630615640599</v>
      </c>
      <c r="M104" s="136" t="n">
        <f aca="false">IFERROR(IF(OR(NOT(ISNUMBER('Price History'!M105)),NOT(ISNUMBER('Price History'!M104)),'Price History'!M104=0),"",'Price History'!M105/'Price History'!M104-1),"")</f>
        <v>0.0651634898496822</v>
      </c>
      <c r="N104" s="136" t="n">
        <f aca="false">IFERROR(IF(OR(NOT(ISNUMBER('Price History'!N105)),NOT(ISNUMBER('Price History'!N104)),'Price History'!N104=0),"",'Price History'!N105/'Price History'!N104-1),"")</f>
        <v>0.0214001435375482</v>
      </c>
      <c r="O104" s="136" t="n">
        <f aca="false">IFERROR(IF(OR(NOT(ISNUMBER('Price History'!O105)),NOT(ISNUMBER('Price History'!O104)),'Price History'!O104=0),"",'Price History'!O105/'Price History'!O104-1),"")</f>
        <v>0.014716860403114</v>
      </c>
      <c r="P104" s="136" t="str">
        <f aca="false">IFERROR(IF(OR(NOT(ISNUMBER('Price History'!P105)),NOT(ISNUMBER('Price History'!P104)),'Price History'!P104=0),"",'Price History'!P105/'Price History'!P104-1),"")</f>
        <v/>
      </c>
      <c r="Q104" s="136" t="n">
        <f aca="false">IFERROR(IF(OR(NOT(ISNUMBER('Price History'!Q105)),NOT(ISNUMBER('Price History'!Q104)),'Price History'!Q104=0),"",'Price History'!Q105/'Price History'!Q104-1),"")</f>
        <v>0.00855099502487589</v>
      </c>
      <c r="R104" s="136" t="n">
        <f aca="false">IFERROR(IF(OR(NOT(ISNUMBER('Price History'!R105)),NOT(ISNUMBER('Price History'!R104)),'Price History'!R104=0),"",'Price History'!R105/'Price History'!R104-1),"")</f>
        <v>0.00713110257816796</v>
      </c>
      <c r="S104" s="136" t="n">
        <f aca="false">IFERROR(IF(OR(NOT(ISNUMBER('Price History'!S105)),NOT(ISNUMBER('Price History'!S104)),'Price History'!S104=0),"",'Price History'!S105/'Price History'!S104-1),"")</f>
        <v>0.0105420363700255</v>
      </c>
      <c r="T104" s="136" t="n">
        <f aca="false">IFERROR(IF(OR(NOT(ISNUMBER('Price History'!T105)),NOT(ISNUMBER('Price History'!T104)),'Price History'!T104=0),"",'Price History'!T105/'Price History'!T104-1),"")</f>
        <v>0.0219498289623719</v>
      </c>
      <c r="U104" s="136" t="str">
        <f aca="false">IFERROR(IF(OR(NOT(ISNUMBER('Price History'!U105)),NOT(ISNUMBER('Price History'!U104)),'Price History'!U104=0),"",'Price History'!U105/'Price History'!U104-1),"")</f>
        <v/>
      </c>
      <c r="W104" s="137" t="n">
        <f aca="false">'Price History'!B3+('Price History'!B158-'Price History'!B3)*0.655844155844156</f>
        <v>339.215974025974</v>
      </c>
      <c r="X104" s="137" t="n">
        <f aca="false">'Price History'!C3+('Price History'!C158-'Price History'!C3)*0.655844155844156</f>
        <v>133.33487012987</v>
      </c>
      <c r="Y104" s="137" t="n">
        <f aca="false">'Price History'!D3+('Price History'!D158-'Price History'!D3)*0.655844155844156</f>
        <v>1296.12558441558</v>
      </c>
      <c r="Z104" s="137" t="n">
        <f aca="false">'Price History'!E3+('Price History'!E158-'Price History'!E3)*0.655844155844156</f>
        <v>283.865064935065</v>
      </c>
      <c r="AA104" s="137" t="n">
        <f aca="false">'Price History'!F3+('Price History'!F158-'Price History'!F3)*0.655844155844156</f>
        <v>137.928831168831</v>
      </c>
      <c r="AB104" s="137" t="n">
        <f aca="false">'Price History'!G3+('Price History'!G158-'Price History'!G3)*0.655844155844156</f>
        <v>136.386493506494</v>
      </c>
      <c r="AC104" s="137" t="n">
        <f aca="false">'Price History'!H3+('Price History'!H158-'Price History'!H3)*0.655844155844156</f>
        <v>561.932727272727</v>
      </c>
      <c r="AD104" s="137" t="n">
        <f aca="false">'Price History'!I3+('Price History'!I158-'Price History'!I3)*0.655844155844156</f>
        <v>145.719480519481</v>
      </c>
      <c r="AE104" s="137" t="n">
        <f aca="false">'Price History'!J3+('Price History'!J158-'Price History'!J3)*0.655844155844156</f>
        <v>137.348311688312</v>
      </c>
      <c r="AF104" s="137" t="n">
        <f aca="false">'Price History'!K3+('Price History'!K158-'Price History'!K3)*0.655844155844156</f>
        <v>86.0116233766234</v>
      </c>
      <c r="AG104" s="137" t="n">
        <f aca="false">'Price History'!L3+('Price History'!L158-'Price History'!L3)*0.655844155844156</f>
        <v>296.783896103896</v>
      </c>
      <c r="AH104" s="137" t="n">
        <f aca="false">'Price History'!M3+('Price History'!M158-'Price History'!M3)*0.655844155844156</f>
        <v>169.964935064935</v>
      </c>
      <c r="AI104" s="137" t="n">
        <f aca="false">'Price History'!N3+('Price History'!N158-'Price History'!N3)*0.655844155844156</f>
        <v>433.30961038961</v>
      </c>
      <c r="AJ104" s="137" t="n">
        <f aca="false">'Price History'!O3+('Price History'!O158-'Price History'!O3)*0.655844155844156</f>
        <v>110.677467532468</v>
      </c>
      <c r="AK104" s="137" t="n">
        <f aca="false">'Price History'!Q3+('Price History'!Q151-'Price History'!Q3)*0.655844155844156</f>
        <v>62.0452597402597</v>
      </c>
      <c r="AL104" s="137" t="n">
        <f aca="false">'Price History'!R3+('Price History'!R158-'Price History'!R3)*0.655844155844156</f>
        <v>54.6604545454546</v>
      </c>
      <c r="AM104" s="137" t="n">
        <f aca="false">'Price History'!S3+('Price History'!S158-'Price History'!S3)*0.655844155844156</f>
        <v>114.476948051948</v>
      </c>
      <c r="AN104" s="137" t="n">
        <f aca="false">'Price History'!T3+('Price History'!T158-'Price History'!T3)*0.655844155844156</f>
        <v>41.8829220779221</v>
      </c>
    </row>
    <row r="105" customFormat="false" ht="15" hidden="false" customHeight="true" outlineLevel="0" collapsed="false">
      <c r="A105" s="135" t="n">
        <f aca="false">IF('Price History'!A106="","",'Price History'!A106)</f>
        <v>45870</v>
      </c>
      <c r="B105" s="136" t="n">
        <f aca="false">IFERROR(IF(OR(NOT(ISNUMBER('Price History'!B106)),NOT(ISNUMBER('Price History'!B105)),'Price History'!B105=0),"",'Price History'!B106/'Price History'!B105-1),"")</f>
        <v>-0.06187624750499</v>
      </c>
      <c r="C105" s="136" t="n">
        <f aca="false">IFERROR(IF(OR(NOT(ISNUMBER('Price History'!C106)),NOT(ISNUMBER('Price History'!C105)),'Price History'!C105=0),"",'Price History'!C106/'Price History'!C105-1),"")</f>
        <v>0.0287889394469723</v>
      </c>
      <c r="D105" s="136" t="n">
        <f aca="false">IFERROR(IF(OR(NOT(ISNUMBER('Price History'!D106)),NOT(ISNUMBER('Price History'!D105)),'Price History'!D105=0),"",'Price History'!D106/'Price History'!D105-1),"")</f>
        <v>-0.0301300527240772</v>
      </c>
      <c r="E105" s="136" t="n">
        <f aca="false">IFERROR(IF(OR(NOT(ISNUMBER('Price History'!E106)),NOT(ISNUMBER('Price History'!E105)),'Price History'!E105=0),"",'Price History'!E106/'Price History'!E105-1),"")</f>
        <v>-0.00530705079605764</v>
      </c>
      <c r="F105" s="136" t="n">
        <f aca="false">IFERROR(IF(OR(NOT(ISNUMBER('Price History'!F106)),NOT(ISNUMBER('Price History'!F105)),'Price History'!F105=0),"",'Price History'!F106/'Price History'!F105-1),"")</f>
        <v>-0.0453923747649171</v>
      </c>
      <c r="G105" s="136" t="n">
        <f aca="false">IFERROR(IF(OR(NOT(ISNUMBER('Price History'!G106)),NOT(ISNUMBER('Price History'!G105)),'Price History'!G105=0),"",'Price History'!G106/'Price History'!G105-1),"")</f>
        <v>-0.0171821305841924</v>
      </c>
      <c r="H105" s="136" t="n">
        <f aca="false">IFERROR(IF(OR(NOT(ISNUMBER('Price History'!H106)),NOT(ISNUMBER('Price History'!H105)),'Price History'!H105=0),"",'Price History'!H106/'Price History'!H105-1),"")</f>
        <v>-0.0573431601653784</v>
      </c>
      <c r="I105" s="136" t="n">
        <f aca="false">IFERROR(IF(OR(NOT(ISNUMBER('Price History'!I106)),NOT(ISNUMBER('Price History'!I105)),'Price History'!I105=0),"",'Price History'!I106/'Price History'!I105-1),"")</f>
        <v>0.00126801152737754</v>
      </c>
      <c r="J105" s="136" t="n">
        <f aca="false">IFERROR(IF(OR(NOT(ISNUMBER('Price History'!J106)),NOT(ISNUMBER('Price History'!J105)),'Price History'!J105=0),"",'Price History'!J106/'Price History'!J105-1),"")</f>
        <v>-0.0487804878048781</v>
      </c>
      <c r="K105" s="136" t="n">
        <f aca="false">IFERROR(IF(OR(NOT(ISNUMBER('Price History'!K106)),NOT(ISNUMBER('Price History'!K105)),'Price History'!K105=0),"",'Price History'!K106/'Price History'!K105-1),"")</f>
        <v>-0.0285264483627204</v>
      </c>
      <c r="L105" s="136" t="n">
        <f aca="false">IFERROR(IF(OR(NOT(ISNUMBER('Price History'!L106)),NOT(ISNUMBER('Price History'!L105)),'Price History'!L105=0),"",'Price History'!L106/'Price History'!L105-1),"")</f>
        <v>-0.0423045602605863</v>
      </c>
      <c r="M105" s="136" t="n">
        <f aca="false">IFERROR(IF(OR(NOT(ISNUMBER('Price History'!M106)),NOT(ISNUMBER('Price History'!M105)),'Price History'!M105=0),"",'Price History'!M106/'Price History'!M105-1),"")</f>
        <v>0.0299701753109769</v>
      </c>
      <c r="N105" s="136" t="n">
        <f aca="false">IFERROR(IF(OR(NOT(ISNUMBER('Price History'!N106)),NOT(ISNUMBER('Price History'!N105)),'Price History'!N105=0),"",'Price History'!N106/'Price History'!N105-1),"")</f>
        <v>-0.0160119237730224</v>
      </c>
      <c r="O105" s="136" t="n">
        <f aca="false">IFERROR(IF(OR(NOT(ISNUMBER('Price History'!O106)),NOT(ISNUMBER('Price History'!O105)),'Price History'!O105=0),"",'Price History'!O106/'Price History'!O105-1),"")</f>
        <v>-0.0502364687335786</v>
      </c>
      <c r="P105" s="136" t="str">
        <f aca="false">IFERROR(IF(OR(NOT(ISNUMBER('Price History'!P106)),NOT(ISNUMBER('Price History'!P105)),'Price History'!P105=0),"",'Price History'!P106/'Price History'!P105-1),"")</f>
        <v/>
      </c>
      <c r="Q105" s="136" t="n">
        <f aca="false">IFERROR(IF(OR(NOT(ISNUMBER('Price History'!Q106)),NOT(ISNUMBER('Price History'!Q105)),'Price History'!Q105=0),"",'Price History'!Q106/'Price History'!Q105-1),"")</f>
        <v>0.00200400801603196</v>
      </c>
      <c r="R105" s="136" t="n">
        <f aca="false">IFERROR(IF(OR(NOT(ISNUMBER('Price History'!R106)),NOT(ISNUMBER('Price History'!R105)),'Price History'!R105=0),"",'Price History'!R106/'Price History'!R105-1),"")</f>
        <v>-0.0230573710965867</v>
      </c>
      <c r="S105" s="136" t="n">
        <f aca="false">IFERROR(IF(OR(NOT(ISNUMBER('Price History'!S106)),NOT(ISNUMBER('Price History'!S105)),'Price History'!S105=0),"",'Price History'!S106/'Price History'!S105-1),"")</f>
        <v>-0.0156480918021386</v>
      </c>
      <c r="T105" s="136" t="n">
        <f aca="false">IFERROR(IF(OR(NOT(ISNUMBER('Price History'!T106)),NOT(ISNUMBER('Price History'!T105)),'Price History'!T105=0),"",'Price History'!T106/'Price History'!T105-1),"")</f>
        <v>-0.0418410041841004</v>
      </c>
      <c r="U105" s="136" t="str">
        <f aca="false">IFERROR(IF(OR(NOT(ISNUMBER('Price History'!U106)),NOT(ISNUMBER('Price History'!U105)),'Price History'!U105=0),"",'Price History'!U106/'Price History'!U105-1),"")</f>
        <v/>
      </c>
      <c r="W105" s="137" t="n">
        <f aca="false">'Price History'!B3+('Price History'!B158-'Price History'!B3)*0.662337662337662</f>
        <v>337.54038961039</v>
      </c>
      <c r="X105" s="137" t="n">
        <f aca="false">'Price History'!C3+('Price History'!C158-'Price History'!C3)*0.662337662337662</f>
        <v>134.221948051948</v>
      </c>
      <c r="Y105" s="137" t="n">
        <f aca="false">'Price History'!D3+('Price History'!D158-'Price History'!D3)*0.662337662337662</f>
        <v>1302.40623376623</v>
      </c>
      <c r="Z105" s="137" t="n">
        <f aca="false">'Price History'!E3+('Price History'!E158-'Price History'!E3)*0.662337662337662</f>
        <v>285.854025974026</v>
      </c>
      <c r="AA105" s="137" t="n">
        <f aca="false">'Price History'!F3+('Price History'!F158-'Price History'!F3)*0.662337662337662</f>
        <v>138.927532467532</v>
      </c>
      <c r="AB105" s="137" t="n">
        <f aca="false">'Price History'!G3+('Price History'!G158-'Price History'!G3)*0.662337662337662</f>
        <v>137.262597402597</v>
      </c>
      <c r="AC105" s="137" t="n">
        <f aca="false">'Price History'!H3+('Price History'!H158-'Price History'!H3)*0.662337662337662</f>
        <v>566.859090909091</v>
      </c>
      <c r="AD105" s="137" t="n">
        <f aca="false">'Price History'!I3+('Price History'!I158-'Price History'!I3)*0.662337662337662</f>
        <v>146.757792207792</v>
      </c>
      <c r="AE105" s="137" t="n">
        <f aca="false">'Price History'!J3+('Price History'!J158-'Price History'!J3)*0.662337662337662</f>
        <v>137.485324675325</v>
      </c>
      <c r="AF105" s="137" t="n">
        <f aca="false">'Price History'!K3+('Price History'!K158-'Price History'!K3)*0.662337662337662</f>
        <v>86.7106493506493</v>
      </c>
      <c r="AG105" s="137" t="n">
        <f aca="false">'Price History'!L3+('Price History'!L158-'Price History'!L3)*0.662337662337662</f>
        <v>298.811558441558</v>
      </c>
      <c r="AH105" s="137" t="n">
        <f aca="false">'Price History'!M3+('Price History'!M158-'Price History'!M3)*0.662337662337662</f>
        <v>171.315974025974</v>
      </c>
      <c r="AI105" s="137" t="n">
        <f aca="false">'Price History'!N3+('Price History'!N158-'Price History'!N3)*0.662337662337662</f>
        <v>434.135844155844</v>
      </c>
      <c r="AJ105" s="137" t="n">
        <f aca="false">'Price History'!O3+('Price History'!O158-'Price History'!O3)*0.662337662337662</f>
        <v>110.952987012987</v>
      </c>
      <c r="AK105" s="137" t="n">
        <f aca="false">'Price History'!Q3+('Price History'!Q151-'Price History'!Q3)*0.662337662337662</f>
        <v>62.1661038961039</v>
      </c>
      <c r="AL105" s="137" t="n">
        <f aca="false">'Price History'!R3+('Price History'!R158-'Price History'!R3)*0.662337662337662</f>
        <v>54.7281818181818</v>
      </c>
      <c r="AM105" s="137" t="n">
        <f aca="false">'Price History'!S3+('Price History'!S158-'Price History'!S3)*0.662337662337662</f>
        <v>115.030779220779</v>
      </c>
      <c r="AN105" s="137" t="n">
        <f aca="false">'Price History'!T3+('Price History'!T158-'Price History'!T3)*0.662337662337662</f>
        <v>42.0311688311688</v>
      </c>
    </row>
    <row r="106" customFormat="false" ht="15" hidden="false" customHeight="true" outlineLevel="0" collapsed="false">
      <c r="A106" s="135" t="n">
        <f aca="false">IF('Price History'!A107="","",'Price History'!A107)</f>
        <v>45877</v>
      </c>
      <c r="B106" s="136" t="n">
        <f aca="false">IFERROR(IF(OR(NOT(ISNUMBER('Price History'!B107)),NOT(ISNUMBER('Price History'!B106)),'Price History'!B106=0),"",'Price History'!B107/'Price History'!B106-1),"")</f>
        <v>-0.0194077055779184</v>
      </c>
      <c r="C106" s="136" t="n">
        <f aca="false">IFERROR(IF(OR(NOT(ISNUMBER('Price History'!C107)),NOT(ISNUMBER('Price History'!C106)),'Price History'!C106=0),"",'Price History'!C107/'Price History'!C106-1),"")</f>
        <v>0.183805392532109</v>
      </c>
      <c r="D106" s="136" t="n">
        <f aca="false">IFERROR(IF(OR(NOT(ISNUMBER('Price History'!D107)),NOT(ISNUMBER('Price History'!D106)),'Price History'!D106=0),"",'Price History'!D107/'Price History'!D106-1),"")</f>
        <v>0.0471137398161838</v>
      </c>
      <c r="E106" s="136" t="n">
        <f aca="false">IFERROR(IF(OR(NOT(ISNUMBER('Price History'!E107)),NOT(ISNUMBER('Price History'!E106)),'Price History'!E106=0),"",'Price History'!E107/'Price History'!E106-1),"")</f>
        <v>0.0565756651884701</v>
      </c>
      <c r="F106" s="136" t="n">
        <f aca="false">IFERROR(IF(OR(NOT(ISNUMBER('Price History'!F107)),NOT(ISNUMBER('Price History'!F106)),'Price History'!F106=0),"",'Price History'!F107/'Price History'!F106-1),"")</f>
        <v>-0.0497000089549565</v>
      </c>
      <c r="G106" s="136" t="n">
        <f aca="false">IFERROR(IF(OR(NOT(ISNUMBER('Price History'!G107)),NOT(ISNUMBER('Price History'!G106)),'Price History'!G106=0),"",'Price History'!G107/'Price History'!G106-1),"")</f>
        <v>0.0318069027746448</v>
      </c>
      <c r="H106" s="136" t="n">
        <f aca="false">IFERROR(IF(OR(NOT(ISNUMBER('Price History'!H107)),NOT(ISNUMBER('Price History'!H106)),'Price History'!H106=0),"",'Price History'!H107/'Price History'!H106-1),"")</f>
        <v>0.13358123569794</v>
      </c>
      <c r="I106" s="136" t="n">
        <f aca="false">IFERROR(IF(OR(NOT(ISNUMBER('Price History'!I107)),NOT(ISNUMBER('Price History'!I106)),'Price History'!I106=0),"",'Price History'!I107/'Price History'!I106-1),"")</f>
        <v>0.0516923785401795</v>
      </c>
      <c r="J106" s="136" t="n">
        <f aca="false">IFERROR(IF(OR(NOT(ISNUMBER('Price History'!J107)),NOT(ISNUMBER('Price History'!J106)),'Price History'!J106=0),"",'Price History'!J107/'Price History'!J106-1),"")</f>
        <v>0.00733962443999636</v>
      </c>
      <c r="K106" s="136" t="n">
        <f aca="false">IFERROR(IF(OR(NOT(ISNUMBER('Price History'!K107)),NOT(ISNUMBER('Price History'!K106)),'Price History'!K106=0),"",'Price History'!K107/'Price History'!K106-1),"")</f>
        <v>0.211901212160498</v>
      </c>
      <c r="L106" s="136" t="n">
        <f aca="false">IFERROR(IF(OR(NOT(ISNUMBER('Price History'!L107)),NOT(ISNUMBER('Price History'!L106)),'Price History'!L106=0),"",'Price History'!L107/'Price History'!L106-1),"")</f>
        <v>0.0281450618596149</v>
      </c>
      <c r="M106" s="136" t="n">
        <f aca="false">IFERROR(IF(OR(NOT(ISNUMBER('Price History'!M107)),NOT(ISNUMBER('Price History'!M106)),'Price History'!M106=0),"",'Price History'!M107/'Price History'!M106-1),"")</f>
        <v>-0.011723991807331</v>
      </c>
      <c r="N106" s="136" t="n">
        <f aca="false">IFERROR(IF(OR(NOT(ISNUMBER('Price History'!N107)),NOT(ISNUMBER('Price History'!N106)),'Price History'!N106=0),"",'Price History'!N107/'Price History'!N106-1),"")</f>
        <v>-0.206846558327743</v>
      </c>
      <c r="O106" s="136" t="n">
        <f aca="false">IFERROR(IF(OR(NOT(ISNUMBER('Price History'!O107)),NOT(ISNUMBER('Price History'!O106)),'Price History'!O106=0),"",'Price History'!O107/'Price History'!O106-1),"")</f>
        <v>0.0232378001549185</v>
      </c>
      <c r="P106" s="136" t="str">
        <f aca="false">IFERROR(IF(OR(NOT(ISNUMBER('Price History'!P107)),NOT(ISNUMBER('Price History'!P106)),'Price History'!P106=0),"",'Price History'!P107/'Price History'!P106-1),"")</f>
        <v/>
      </c>
      <c r="Q106" s="136" t="n">
        <f aca="false">IFERROR(IF(OR(NOT(ISNUMBER('Price History'!Q107)),NOT(ISNUMBER('Price History'!Q106)),'Price History'!Q106=0),"",'Price History'!Q107/'Price History'!Q106-1),"")</f>
        <v>-0.00169230769230766</v>
      </c>
      <c r="R106" s="136" t="n">
        <f aca="false">IFERROR(IF(OR(NOT(ISNUMBER('Price History'!R107)),NOT(ISNUMBER('Price History'!R106)),'Price History'!R106=0),"",'Price History'!R107/'Price History'!R106-1),"")</f>
        <v>0.0280616985690392</v>
      </c>
      <c r="S106" s="136" t="n">
        <f aca="false">IFERROR(IF(OR(NOT(ISNUMBER('Price History'!S107)),NOT(ISNUMBER('Price History'!S106)),'Price History'!S106=0),"",'Price History'!S107/'Price History'!S106-1),"")</f>
        <v>0.0349730636757042</v>
      </c>
      <c r="T106" s="136" t="n">
        <f aca="false">IFERROR(IF(OR(NOT(ISNUMBER('Price History'!T107)),NOT(ISNUMBER('Price History'!T106)),'Price History'!T106=0),"",'Price History'!T107/'Price History'!T106-1),"")</f>
        <v>0.00989810771470157</v>
      </c>
      <c r="U106" s="136" t="str">
        <f aca="false">IFERROR(IF(OR(NOT(ISNUMBER('Price History'!U107)),NOT(ISNUMBER('Price History'!U106)),'Price History'!U106=0),"",'Price History'!U107/'Price History'!U106-1),"")</f>
        <v/>
      </c>
      <c r="W106" s="137" t="n">
        <f aca="false">'Price History'!B3+('Price History'!B158-'Price History'!B3)*0.668831168831169</f>
        <v>335.864805194805</v>
      </c>
      <c r="X106" s="137" t="n">
        <f aca="false">'Price History'!C3+('Price History'!C158-'Price History'!C3)*0.668831168831169</f>
        <v>135.109025974026</v>
      </c>
      <c r="Y106" s="137" t="n">
        <f aca="false">'Price History'!D3+('Price History'!D158-'Price History'!D3)*0.668831168831169</f>
        <v>1308.68688311688</v>
      </c>
      <c r="Z106" s="137" t="n">
        <f aca="false">'Price History'!E3+('Price History'!E158-'Price History'!E3)*0.668831168831169</f>
        <v>287.842987012987</v>
      </c>
      <c r="AA106" s="137" t="n">
        <f aca="false">'Price History'!F3+('Price History'!F158-'Price History'!F3)*0.668831168831169</f>
        <v>139.926233766234</v>
      </c>
      <c r="AB106" s="137" t="n">
        <f aca="false">'Price History'!G3+('Price History'!G158-'Price History'!G3)*0.668831168831169</f>
        <v>138.138701298701</v>
      </c>
      <c r="AC106" s="137" t="n">
        <f aca="false">'Price History'!H3+('Price History'!H158-'Price History'!H3)*0.668831168831169</f>
        <v>571.785454545455</v>
      </c>
      <c r="AD106" s="137" t="n">
        <f aca="false">'Price History'!I3+('Price History'!I158-'Price History'!I3)*0.668831168831169</f>
        <v>147.796103896104</v>
      </c>
      <c r="AE106" s="137" t="n">
        <f aca="false">'Price History'!J3+('Price History'!J158-'Price History'!J3)*0.668831168831169</f>
        <v>137.622337662338</v>
      </c>
      <c r="AF106" s="137" t="n">
        <f aca="false">'Price History'!K3+('Price History'!K158-'Price History'!K3)*0.668831168831169</f>
        <v>87.4096753246754</v>
      </c>
      <c r="AG106" s="137" t="n">
        <f aca="false">'Price History'!L3+('Price History'!L158-'Price History'!L3)*0.668831168831169</f>
        <v>300.839220779221</v>
      </c>
      <c r="AH106" s="137" t="n">
        <f aca="false">'Price History'!M3+('Price History'!M158-'Price History'!M3)*0.668831168831169</f>
        <v>172.667012987013</v>
      </c>
      <c r="AI106" s="137" t="n">
        <f aca="false">'Price History'!N3+('Price History'!N158-'Price History'!N3)*0.668831168831169</f>
        <v>434.962077922078</v>
      </c>
      <c r="AJ106" s="137" t="n">
        <f aca="false">'Price History'!O3+('Price History'!O158-'Price History'!O3)*0.668831168831169</f>
        <v>111.228506493507</v>
      </c>
      <c r="AK106" s="137" t="n">
        <f aca="false">'Price History'!Q3+('Price History'!Q151-'Price History'!Q3)*0.668831168831169</f>
        <v>62.2869480519481</v>
      </c>
      <c r="AL106" s="137" t="n">
        <f aca="false">'Price History'!R3+('Price History'!R158-'Price History'!R3)*0.668831168831169</f>
        <v>54.7959090909091</v>
      </c>
      <c r="AM106" s="137" t="n">
        <f aca="false">'Price History'!S3+('Price History'!S158-'Price History'!S3)*0.668831168831169</f>
        <v>115.58461038961</v>
      </c>
      <c r="AN106" s="137" t="n">
        <f aca="false">'Price History'!T3+('Price History'!T158-'Price History'!T3)*0.668831168831169</f>
        <v>42.1794155844156</v>
      </c>
    </row>
    <row r="107" customFormat="false" ht="15" hidden="false" customHeight="true" outlineLevel="0" collapsed="false">
      <c r="A107" s="135" t="n">
        <f aca="false">IF('Price History'!A108="","",'Price History'!A108)</f>
        <v>45884</v>
      </c>
      <c r="B107" s="136" t="n">
        <f aca="false">IFERROR(IF(OR(NOT(ISNUMBER('Price History'!B108)),NOT(ISNUMBER('Price History'!B107)),'Price History'!B107=0),"",'Price History'!B108/'Price History'!B107-1),"")</f>
        <v>0.0404632751795924</v>
      </c>
      <c r="C107" s="136" t="n">
        <f aca="false">IFERROR(IF(OR(NOT(ISNUMBER('Price History'!C108)),NOT(ISNUMBER('Price History'!C107)),'Price History'!C107=0),"",'Price History'!C108/'Price History'!C107-1),"")</f>
        <v>-0.0135076878861905</v>
      </c>
      <c r="D107" s="136" t="n">
        <f aca="false">IFERROR(IF(OR(NOT(ISNUMBER('Price History'!D108)),NOT(ISNUMBER('Price History'!D107)),'Price History'!D107=0),"",'Price History'!D108/'Price History'!D107-1),"")</f>
        <v>0.0274670506146859</v>
      </c>
      <c r="E107" s="136" t="n">
        <f aca="false">IFERROR(IF(OR(NOT(ISNUMBER('Price History'!E108)),NOT(ISNUMBER('Price History'!E107)),'Price History'!E107=0),"",'Price History'!E108/'Price History'!E107-1),"")</f>
        <v>0.00449224513886604</v>
      </c>
      <c r="F107" s="136" t="n">
        <f aca="false">IFERROR(IF(OR(NOT(ISNUMBER('Price History'!F108)),NOT(ISNUMBER('Price History'!F107)),'Price History'!F107=0),"",'Price History'!F108/'Price History'!F107-1),"")</f>
        <v>0.00810403316999619</v>
      </c>
      <c r="G107" s="136" t="n">
        <f aca="false">IFERROR(IF(OR(NOT(ISNUMBER('Price History'!G108)),NOT(ISNUMBER('Price History'!G107)),'Price History'!G107=0),"",'Price History'!G108/'Price History'!G107-1),"")</f>
        <v>-0.0436160909488413</v>
      </c>
      <c r="H107" s="136" t="n">
        <f aca="false">IFERROR(IF(OR(NOT(ISNUMBER('Price History'!H108)),NOT(ISNUMBER('Price History'!H107)),'Price History'!H107=0),"",'Price History'!H108/'Price History'!H107-1),"")</f>
        <v>0.0166540499621499</v>
      </c>
      <c r="I107" s="136" t="n">
        <f aca="false">IFERROR(IF(OR(NOT(ISNUMBER('Price History'!I108)),NOT(ISNUMBER('Price History'!I107)),'Price History'!I107=0),"",'Price History'!I108/'Price History'!I107-1),"")</f>
        <v>-0.0123152709359606</v>
      </c>
      <c r="J107" s="136" t="n">
        <f aca="false">IFERROR(IF(OR(NOT(ISNUMBER('Price History'!J108)),NOT(ISNUMBER('Price History'!J107)),'Price History'!J107=0),"",'Price History'!J108/'Price History'!J107-1),"")</f>
        <v>0.00861090083270244</v>
      </c>
      <c r="K107" s="136" t="n">
        <f aca="false">IFERROR(IF(OR(NOT(ISNUMBER('Price History'!K108)),NOT(ISNUMBER('Price History'!K107)),'Price History'!K107=0),"",'Price History'!K108/'Price History'!K107-1),"")</f>
        <v>-0.0523641420624734</v>
      </c>
      <c r="L107" s="136" t="n">
        <f aca="false">IFERROR(IF(OR(NOT(ISNUMBER('Price History'!L108)),NOT(ISNUMBER('Price History'!L107)),'Price History'!L107=0),"",'Price History'!L108/'Price History'!L107-1),"")</f>
        <v>-0.0121986519455817</v>
      </c>
      <c r="M107" s="136" t="n">
        <f aca="false">IFERROR(IF(OR(NOT(ISNUMBER('Price History'!M108)),NOT(ISNUMBER('Price History'!M107)),'Price History'!M107=0),"",'Price History'!M108/'Price History'!M107-1),"")</f>
        <v>-0.0490245122561281</v>
      </c>
      <c r="N107" s="136" t="n">
        <f aca="false">IFERROR(IF(OR(NOT(ISNUMBER('Price History'!N108)),NOT(ISNUMBER('Price History'!N107)),'Price History'!N107=0),"",'Price History'!N108/'Price History'!N107-1),"")</f>
        <v>0.0716156490423965</v>
      </c>
      <c r="O107" s="136" t="n">
        <f aca="false">IFERROR(IF(OR(NOT(ISNUMBER('Price History'!O108)),NOT(ISNUMBER('Price History'!O107)),'Price History'!O107=0),"",'Price History'!O108/'Price History'!O107-1),"")</f>
        <v>0.029847518113983</v>
      </c>
      <c r="P107" s="136" t="str">
        <f aca="false">IFERROR(IF(OR(NOT(ISNUMBER('Price History'!P108)),NOT(ISNUMBER('Price History'!P107)),'Price History'!P107=0),"",'Price History'!P108/'Price History'!P107-1),"")</f>
        <v/>
      </c>
      <c r="Q107" s="136" t="n">
        <f aca="false">IFERROR(IF(OR(NOT(ISNUMBER('Price History'!Q108)),NOT(ISNUMBER('Price History'!Q107)),'Price History'!Q107=0),"",'Price History'!Q108/'Price History'!Q107-1),"")</f>
        <v>0.00323624595469241</v>
      </c>
      <c r="R107" s="136" t="n">
        <f aca="false">IFERROR(IF(OR(NOT(ISNUMBER('Price History'!R108)),NOT(ISNUMBER('Price History'!R107)),'Price History'!R107=0),"",'Price History'!R108/'Price History'!R107-1),"")</f>
        <v>0.00867678958785234</v>
      </c>
      <c r="S107" s="136" t="n">
        <f aca="false">IFERROR(IF(OR(NOT(ISNUMBER('Price History'!S108)),NOT(ISNUMBER('Price History'!S107)),'Price History'!S107=0),"",'Price History'!S108/'Price History'!S107-1),"")</f>
        <v>0.00102397815513267</v>
      </c>
      <c r="T107" s="136" t="n">
        <f aca="false">IFERROR(IF(OR(NOT(ISNUMBER('Price History'!T108)),NOT(ISNUMBER('Price History'!T107)),'Price History'!T107=0),"",'Price History'!T108/'Price History'!T107-1),"")</f>
        <v>0.0394926491784378</v>
      </c>
      <c r="U107" s="136" t="str">
        <f aca="false">IFERROR(IF(OR(NOT(ISNUMBER('Price History'!U108)),NOT(ISNUMBER('Price History'!U107)),'Price History'!U107=0),"",'Price History'!U108/'Price History'!U107-1),"")</f>
        <v/>
      </c>
      <c r="W107" s="137" t="n">
        <f aca="false">'Price History'!B3+('Price History'!B158-'Price History'!B3)*0.675324675324675</f>
        <v>334.189220779221</v>
      </c>
      <c r="X107" s="137" t="n">
        <f aca="false">'Price History'!C3+('Price History'!C158-'Price History'!C3)*0.675324675324675</f>
        <v>135.996103896104</v>
      </c>
      <c r="Y107" s="137" t="n">
        <f aca="false">'Price History'!D3+('Price History'!D158-'Price History'!D3)*0.675324675324675</f>
        <v>1314.96753246753</v>
      </c>
      <c r="Z107" s="137" t="n">
        <f aca="false">'Price History'!E3+('Price History'!E158-'Price History'!E3)*0.675324675324675</f>
        <v>289.831948051948</v>
      </c>
      <c r="AA107" s="137" t="n">
        <f aca="false">'Price History'!F3+('Price History'!F158-'Price History'!F3)*0.675324675324675</f>
        <v>140.924935064935</v>
      </c>
      <c r="AB107" s="137" t="n">
        <f aca="false">'Price History'!G3+('Price History'!G158-'Price History'!G3)*0.675324675324675</f>
        <v>139.014805194805</v>
      </c>
      <c r="AC107" s="137" t="n">
        <f aca="false">'Price History'!H3+('Price History'!H158-'Price History'!H3)*0.675324675324675</f>
        <v>576.711818181818</v>
      </c>
      <c r="AD107" s="137" t="n">
        <f aca="false">'Price History'!I3+('Price History'!I158-'Price History'!I3)*0.675324675324675</f>
        <v>148.834415584416</v>
      </c>
      <c r="AE107" s="137" t="n">
        <f aca="false">'Price History'!J3+('Price History'!J158-'Price History'!J3)*0.675324675324675</f>
        <v>137.759350649351</v>
      </c>
      <c r="AF107" s="137" t="n">
        <f aca="false">'Price History'!K3+('Price History'!K158-'Price History'!K3)*0.675324675324675</f>
        <v>88.1087012987013</v>
      </c>
      <c r="AG107" s="137" t="n">
        <f aca="false">'Price History'!L3+('Price History'!L158-'Price History'!L3)*0.675324675324675</f>
        <v>302.866883116883</v>
      </c>
      <c r="AH107" s="137" t="n">
        <f aca="false">'Price History'!M3+('Price History'!M158-'Price History'!M3)*0.675324675324675</f>
        <v>174.018051948052</v>
      </c>
      <c r="AI107" s="137" t="n">
        <f aca="false">'Price History'!N3+('Price History'!N158-'Price History'!N3)*0.675324675324675</f>
        <v>435.788311688312</v>
      </c>
      <c r="AJ107" s="137" t="n">
        <f aca="false">'Price History'!O3+('Price History'!O158-'Price History'!O3)*0.675324675324675</f>
        <v>111.504025974026</v>
      </c>
      <c r="AK107" s="137" t="n">
        <f aca="false">'Price History'!Q3+('Price History'!Q151-'Price History'!Q3)*0.675324675324675</f>
        <v>62.4077922077922</v>
      </c>
      <c r="AL107" s="137" t="n">
        <f aca="false">'Price History'!R3+('Price History'!R158-'Price History'!R3)*0.675324675324675</f>
        <v>54.8636363636364</v>
      </c>
      <c r="AM107" s="137" t="n">
        <f aca="false">'Price History'!S3+('Price History'!S158-'Price History'!S3)*0.675324675324675</f>
        <v>116.138441558442</v>
      </c>
      <c r="AN107" s="137" t="n">
        <f aca="false">'Price History'!T3+('Price History'!T158-'Price History'!T3)*0.675324675324675</f>
        <v>42.3276623376623</v>
      </c>
    </row>
    <row r="108" customFormat="false" ht="15" hidden="false" customHeight="true" outlineLevel="0" collapsed="false">
      <c r="A108" s="135" t="n">
        <f aca="false">IF('Price History'!A109="","",'Price History'!A109)</f>
        <v>45891</v>
      </c>
      <c r="B108" s="136" t="n">
        <f aca="false">IFERROR(IF(OR(NOT(ISNUMBER('Price History'!B109)),NOT(ISNUMBER('Price History'!B108)),'Price History'!B108=0),"",'Price History'!B109/'Price History'!B108-1),"")</f>
        <v>0.0204029871776805</v>
      </c>
      <c r="C108" s="136" t="n">
        <f aca="false">IFERROR(IF(OR(NOT(ISNUMBER('Price History'!C109)),NOT(ISNUMBER('Price History'!C108)),'Price History'!C108=0),"",'Price History'!C109/'Price History'!C108-1),"")</f>
        <v>-0.029497450837582</v>
      </c>
      <c r="D108" s="136" t="n">
        <f aca="false">IFERROR(IF(OR(NOT(ISNUMBER('Price History'!D109)),NOT(ISNUMBER('Price History'!D108)),'Price History'!D108=0),"",'Price History'!D109/'Price History'!D108-1),"")</f>
        <v>0.0171526355502858</v>
      </c>
      <c r="E108" s="136" t="n">
        <f aca="false">IFERROR(IF(OR(NOT(ISNUMBER('Price History'!E109)),NOT(ISNUMBER('Price History'!E108)),'Price History'!E108=0),"",'Price History'!E109/'Price History'!E108-1),"")</f>
        <v>-0.0402820395638832</v>
      </c>
      <c r="F108" s="136" t="n">
        <f aca="false">IFERROR(IF(OR(NOT(ISNUMBER('Price History'!F109)),NOT(ISNUMBER('Price History'!F108)),'Price History'!F108=0),"",'Price History'!F109/'Price History'!F108-1),"")</f>
        <v>-0.0171994765376706</v>
      </c>
      <c r="G108" s="136" t="n">
        <f aca="false">IFERROR(IF(OR(NOT(ISNUMBER('Price History'!G109)),NOT(ISNUMBER('Price History'!G108)),'Price History'!G108=0),"",'Price History'!G109/'Price History'!G108-1),"")</f>
        <v>-0.00525774374214194</v>
      </c>
      <c r="H108" s="136" t="n">
        <f aca="false">IFERROR(IF(OR(NOT(ISNUMBER('Price History'!H109)),NOT(ISNUMBER('Price History'!H108)),'Price History'!H108=0),"",'Price History'!H109/'Price History'!H108-1),"")</f>
        <v>-0.0263919913957144</v>
      </c>
      <c r="I108" s="136" t="n">
        <f aca="false">IFERROR(IF(OR(NOT(ISNUMBER('Price History'!I109)),NOT(ISNUMBER('Price History'!I108)),'Price History'!I108=0),"",'Price History'!I109/'Price History'!I108-1),"")</f>
        <v>-0.0136325852036574</v>
      </c>
      <c r="J108" s="136" t="n">
        <f aca="false">IFERROR(IF(OR(NOT(ISNUMBER('Price History'!J109)),NOT(ISNUMBER('Price History'!J108)),'Price History'!J108=0),"",'Price History'!J109/'Price History'!J108-1),"")</f>
        <v>0.0533821183975982</v>
      </c>
      <c r="K108" s="136" t="n">
        <f aca="false">IFERROR(IF(OR(NOT(ISNUMBER('Price History'!K109)),NOT(ISNUMBER('Price History'!K108)),'Price History'!K108=0),"",'Price History'!K109/'Price History'!K108-1),"")</f>
        <v>-0.104024383360614</v>
      </c>
      <c r="L108" s="136" t="n">
        <f aca="false">IFERROR(IF(OR(NOT(ISNUMBER('Price History'!L109)),NOT(ISNUMBER('Price History'!L108)),'Price History'!L108=0),"",'Price History'!L109/'Price History'!L108-1),"")</f>
        <v>-0.0246567314132619</v>
      </c>
      <c r="M108" s="136" t="n">
        <f aca="false">IFERROR(IF(OR(NOT(ISNUMBER('Price History'!M109)),NOT(ISNUMBER('Price History'!M108)),'Price History'!M108=0),"",'Price History'!M109/'Price History'!M108-1),"")</f>
        <v>-0.0533553768693169</v>
      </c>
      <c r="N108" s="136" t="n">
        <f aca="false">IFERROR(IF(OR(NOT(ISNUMBER('Price History'!N109)),NOT(ISNUMBER('Price History'!N108)),'Price History'!N108=0),"",'Price History'!N109/'Price History'!N108-1),"")</f>
        <v>0.00593192291046107</v>
      </c>
      <c r="O108" s="136" t="n">
        <f aca="false">IFERROR(IF(OR(NOT(ISNUMBER('Price History'!O109)),NOT(ISNUMBER('Price History'!O108)),'Price History'!O108=0),"",'Price History'!O109/'Price History'!O108-1),"")</f>
        <v>0.0397983828625432</v>
      </c>
      <c r="P108" s="136" t="str">
        <f aca="false">IFERROR(IF(OR(NOT(ISNUMBER('Price History'!P109)),NOT(ISNUMBER('Price History'!P108)),'Price History'!P108=0),"",'Price History'!P109/'Price History'!P108-1),"")</f>
        <v/>
      </c>
      <c r="Q108" s="136" t="n">
        <f aca="false">IFERROR(IF(OR(NOT(ISNUMBER('Price History'!Q109)),NOT(ISNUMBER('Price History'!Q108)),'Price History'!Q108=0),"",'Price History'!Q109/'Price History'!Q108-1),"")</f>
        <v>-0.0125960061443932</v>
      </c>
      <c r="R108" s="136" t="n">
        <f aca="false">IFERROR(IF(OR(NOT(ISNUMBER('Price History'!R109)),NOT(ISNUMBER('Price History'!R108)),'Price History'!R108=0),"",'Price History'!R109/'Price History'!R108-1),"")</f>
        <v>-0.00232974910394257</v>
      </c>
      <c r="S108" s="136" t="n">
        <f aca="false">IFERROR(IF(OR(NOT(ISNUMBER('Price History'!S109)),NOT(ISNUMBER('Price History'!S108)),'Price History'!S108=0),"",'Price History'!S109/'Price History'!S108-1),"")</f>
        <v>-0.00681953797630208</v>
      </c>
      <c r="T108" s="136" t="n">
        <f aca="false">IFERROR(IF(OR(NOT(ISNUMBER('Price History'!T109)),NOT(ISNUMBER('Price History'!T108)),'Price History'!T108=0),"",'Price History'!T109/'Price History'!T108-1),"")</f>
        <v>0.0257903494176373</v>
      </c>
      <c r="U108" s="136" t="str">
        <f aca="false">IFERROR(IF(OR(NOT(ISNUMBER('Price History'!U109)),NOT(ISNUMBER('Price History'!U108)),'Price History'!U108=0),"",'Price History'!U109/'Price History'!U108-1),"")</f>
        <v/>
      </c>
      <c r="W108" s="137" t="n">
        <f aca="false">'Price History'!B3+('Price History'!B158-'Price History'!B3)*0.681818181818182</f>
        <v>332.513636363636</v>
      </c>
      <c r="X108" s="137" t="n">
        <f aca="false">'Price History'!C3+('Price History'!C158-'Price History'!C3)*0.681818181818182</f>
        <v>136.883181818182</v>
      </c>
      <c r="Y108" s="137" t="n">
        <f aca="false">'Price History'!D3+('Price History'!D158-'Price History'!D3)*0.681818181818182</f>
        <v>1321.24818181818</v>
      </c>
      <c r="Z108" s="137" t="n">
        <f aca="false">'Price History'!E3+('Price History'!E158-'Price History'!E3)*0.681818181818182</f>
        <v>291.820909090909</v>
      </c>
      <c r="AA108" s="137" t="n">
        <f aca="false">'Price History'!F3+('Price History'!F158-'Price History'!F3)*0.681818181818182</f>
        <v>141.923636363636</v>
      </c>
      <c r="AB108" s="137" t="n">
        <f aca="false">'Price History'!G3+('Price History'!G158-'Price History'!G3)*0.681818181818182</f>
        <v>139.890909090909</v>
      </c>
      <c r="AC108" s="137" t="n">
        <f aca="false">'Price History'!H3+('Price History'!H158-'Price History'!H3)*0.681818181818182</f>
        <v>581.638181818182</v>
      </c>
      <c r="AD108" s="137" t="n">
        <f aca="false">'Price History'!I3+('Price History'!I158-'Price History'!I3)*0.681818181818182</f>
        <v>149.872727272727</v>
      </c>
      <c r="AE108" s="137" t="n">
        <f aca="false">'Price History'!J3+('Price History'!J158-'Price History'!J3)*0.681818181818182</f>
        <v>137.896363636364</v>
      </c>
      <c r="AF108" s="137" t="n">
        <f aca="false">'Price History'!K3+('Price History'!K158-'Price History'!K3)*0.681818181818182</f>
        <v>88.8077272727273</v>
      </c>
      <c r="AG108" s="137" t="n">
        <f aca="false">'Price History'!L3+('Price History'!L158-'Price History'!L3)*0.681818181818182</f>
        <v>304.894545454546</v>
      </c>
      <c r="AH108" s="137" t="n">
        <f aca="false">'Price History'!M3+('Price History'!M158-'Price History'!M3)*0.681818181818182</f>
        <v>175.369090909091</v>
      </c>
      <c r="AI108" s="137" t="n">
        <f aca="false">'Price History'!N3+('Price History'!N158-'Price History'!N3)*0.681818181818182</f>
        <v>436.614545454545</v>
      </c>
      <c r="AJ108" s="137" t="n">
        <f aca="false">'Price History'!O3+('Price History'!O158-'Price History'!O3)*0.681818181818182</f>
        <v>111.779545454545</v>
      </c>
      <c r="AK108" s="137" t="n">
        <f aca="false">'Price History'!Q3+('Price History'!Q151-'Price History'!Q3)*0.681818181818182</f>
        <v>62.5286363636364</v>
      </c>
      <c r="AL108" s="137" t="n">
        <f aca="false">'Price History'!R3+('Price History'!R158-'Price History'!R3)*0.681818181818182</f>
        <v>54.9313636363636</v>
      </c>
      <c r="AM108" s="137" t="n">
        <f aca="false">'Price History'!S3+('Price History'!S158-'Price History'!S3)*0.681818181818182</f>
        <v>116.692272727273</v>
      </c>
      <c r="AN108" s="137" t="n">
        <f aca="false">'Price History'!T3+('Price History'!T158-'Price History'!T3)*0.681818181818182</f>
        <v>42.4759090909091</v>
      </c>
    </row>
    <row r="109" customFormat="false" ht="15" hidden="false" customHeight="true" outlineLevel="0" collapsed="false">
      <c r="A109" s="135" t="n">
        <f aca="false">IF('Price History'!A110="","",'Price History'!A110)</f>
        <v>45898</v>
      </c>
      <c r="B109" s="136" t="n">
        <f aca="false">IFERROR(IF(OR(NOT(ISNUMBER('Price History'!B110)),NOT(ISNUMBER('Price History'!B109)),'Price History'!B109=0),"",'Price History'!B110/'Price History'!B109-1),"")</f>
        <v>-0.0148858018724626</v>
      </c>
      <c r="C109" s="136" t="n">
        <f aca="false">IFERROR(IF(OR(NOT(ISNUMBER('Price History'!C110)),NOT(ISNUMBER('Price History'!C109)),'Price History'!C109=0),"",'Price History'!C110/'Price History'!C109-1),"")</f>
        <v>0.024765478424015</v>
      </c>
      <c r="D109" s="136" t="n">
        <f aca="false">IFERROR(IF(OR(NOT(ISNUMBER('Price History'!D110)),NOT(ISNUMBER('Price History'!D109)),'Price History'!D109=0),"",'Price History'!D110/'Price History'!D109-1),"")</f>
        <v>-0.0162540237650518</v>
      </c>
      <c r="E109" s="136" t="n">
        <f aca="false">IFERROR(IF(OR(NOT(ISNUMBER('Price History'!E110)),NOT(ISNUMBER('Price History'!E109)),'Price History'!E109=0),"",'Price History'!E110/'Price History'!E109-1),"")</f>
        <v>0.0115306122448979</v>
      </c>
      <c r="F109" s="136" t="n">
        <f aca="false">IFERROR(IF(OR(NOT(ISNUMBER('Price History'!F110)),NOT(ISNUMBER('Price History'!F109)),'Price History'!F109=0),"",'Price History'!F110/'Price History'!F109-1),"")</f>
        <v>0.00751379113562867</v>
      </c>
      <c r="G109" s="136" t="n">
        <f aca="false">IFERROR(IF(OR(NOT(ISNUMBER('Price History'!G110)),NOT(ISNUMBER('Price History'!G109)),'Price History'!G109=0),"",'Price History'!G110/'Price History'!G109-1),"")</f>
        <v>0.00195334941974035</v>
      </c>
      <c r="H109" s="136" t="n">
        <f aca="false">IFERROR(IF(OR(NOT(ISNUMBER('Price History'!H110)),NOT(ISNUMBER('Price History'!H109)),'Price History'!H109=0),"",'Price History'!H110/'Price History'!H109-1),"")</f>
        <v>0.0113018354860639</v>
      </c>
      <c r="I109" s="136" t="n">
        <f aca="false">IFERROR(IF(OR(NOT(ISNUMBER('Price History'!I110)),NOT(ISNUMBER('Price History'!I109)),'Price History'!I109=0),"",'Price History'!I110/'Price History'!I109-1),"")</f>
        <v>-0.0214056969492669</v>
      </c>
      <c r="J109" s="136" t="n">
        <f aca="false">IFERROR(IF(OR(NOT(ISNUMBER('Price History'!J110)),NOT(ISNUMBER('Price History'!J109)),'Price History'!J109=0),"",'Price History'!J110/'Price History'!J109-1),"")</f>
        <v>0.0133594584966157</v>
      </c>
      <c r="K109" s="136" t="n">
        <f aca="false">IFERROR(IF(OR(NOT(ISNUMBER('Price History'!K110)),NOT(ISNUMBER('Price History'!K109)),'Price History'!K109=0),"",'Price History'!K110/'Price History'!K109-1),"")</f>
        <v>-0.0127882071311579</v>
      </c>
      <c r="L109" s="136" t="n">
        <f aca="false">IFERROR(IF(OR(NOT(ISNUMBER('Price History'!L110)),NOT(ISNUMBER('Price History'!L109)),'Price History'!L109=0),"",'Price History'!L110/'Price History'!L109-1),"")</f>
        <v>-0.00909910296579253</v>
      </c>
      <c r="M109" s="136" t="n">
        <f aca="false">IFERROR(IF(OR(NOT(ISNUMBER('Price History'!M110)),NOT(ISNUMBER('Price History'!M109)),'Price History'!M109=0),"",'Price History'!M110/'Price History'!M109-1),"")</f>
        <v>0.0125426688894181</v>
      </c>
      <c r="N109" s="136" t="n">
        <f aca="false">IFERROR(IF(OR(NOT(ISNUMBER('Price History'!N110)),NOT(ISNUMBER('Price History'!N109)),'Price History'!N109=0),"",'Price History'!N110/'Price History'!N109-1),"")</f>
        <v>-0.0103765944523183</v>
      </c>
      <c r="O109" s="136" t="n">
        <f aca="false">IFERROR(IF(OR(NOT(ISNUMBER('Price History'!O110)),NOT(ISNUMBER('Price History'!O109)),'Price History'!O109=0),"",'Price History'!O110/'Price History'!O109-1),"")</f>
        <v>0.00838214502120782</v>
      </c>
      <c r="P109" s="136" t="str">
        <f aca="false">IFERROR(IF(OR(NOT(ISNUMBER('Price History'!P110)),NOT(ISNUMBER('Price History'!P109)),'Price History'!P109=0),"",'Price History'!P110/'Price History'!P109-1),"")</f>
        <v/>
      </c>
      <c r="Q109" s="136" t="n">
        <f aca="false">IFERROR(IF(OR(NOT(ISNUMBER('Price History'!Q110)),NOT(ISNUMBER('Price History'!Q109)),'Price History'!Q109=0),"",'Price History'!Q110/'Price History'!Q109-1),"")</f>
        <v>0.00980087118855</v>
      </c>
      <c r="R109" s="136" t="n">
        <f aca="false">IFERROR(IF(OR(NOT(ISNUMBER('Price History'!R110)),NOT(ISNUMBER('Price History'!R109)),'Price History'!R109=0),"",'Price History'!R110/'Price History'!R109-1),"")</f>
        <v>0.000179629962277605</v>
      </c>
      <c r="S109" s="136" t="n">
        <f aca="false">IFERROR(IF(OR(NOT(ISNUMBER('Price History'!S110)),NOT(ISNUMBER('Price History'!S109)),'Price History'!S109=0),"",'Price History'!S110/'Price History'!S109-1),"")</f>
        <v>-0.000257488627585678</v>
      </c>
      <c r="T109" s="136" t="n">
        <f aca="false">IFERROR(IF(OR(NOT(ISNUMBER('Price History'!T110)),NOT(ISNUMBER('Price History'!T109)),'Price History'!T109=0),"",'Price History'!T110/'Price History'!T109-1),"")</f>
        <v>0.00919167342524996</v>
      </c>
      <c r="U109" s="136" t="str">
        <f aca="false">IFERROR(IF(OR(NOT(ISNUMBER('Price History'!U110)),NOT(ISNUMBER('Price History'!U109)),'Price History'!U109=0),"",'Price History'!U110/'Price History'!U109-1),"")</f>
        <v/>
      </c>
      <c r="W109" s="137" t="n">
        <f aca="false">'Price History'!B3+('Price History'!B158-'Price History'!B3)*0.688311688311688</f>
        <v>330.838051948052</v>
      </c>
      <c r="X109" s="137" t="n">
        <f aca="false">'Price History'!C3+('Price History'!C158-'Price History'!C3)*0.688311688311688</f>
        <v>137.77025974026</v>
      </c>
      <c r="Y109" s="137" t="n">
        <f aca="false">'Price History'!D3+('Price History'!D158-'Price History'!D3)*0.688311688311688</f>
        <v>1327.52883116883</v>
      </c>
      <c r="Z109" s="137" t="n">
        <f aca="false">'Price History'!E3+('Price History'!E158-'Price History'!E3)*0.688311688311688</f>
        <v>293.80987012987</v>
      </c>
      <c r="AA109" s="137" t="n">
        <f aca="false">'Price History'!F3+('Price History'!F158-'Price History'!F3)*0.688311688311688</f>
        <v>142.922337662338</v>
      </c>
      <c r="AB109" s="137" t="n">
        <f aca="false">'Price History'!G3+('Price History'!G158-'Price History'!G3)*0.688311688311688</f>
        <v>140.767012987013</v>
      </c>
      <c r="AC109" s="137" t="n">
        <f aca="false">'Price History'!H3+('Price History'!H158-'Price History'!H3)*0.688311688311688</f>
        <v>586.564545454545</v>
      </c>
      <c r="AD109" s="137" t="n">
        <f aca="false">'Price History'!I3+('Price History'!I158-'Price History'!I3)*0.688311688311688</f>
        <v>150.911038961039</v>
      </c>
      <c r="AE109" s="137" t="n">
        <f aca="false">'Price History'!J3+('Price History'!J158-'Price History'!J3)*0.688311688311688</f>
        <v>138.033376623377</v>
      </c>
      <c r="AF109" s="137" t="n">
        <f aca="false">'Price History'!K3+('Price History'!K158-'Price History'!K3)*0.688311688311688</f>
        <v>89.5067532467532</v>
      </c>
      <c r="AG109" s="137" t="n">
        <f aca="false">'Price History'!L3+('Price History'!L158-'Price History'!L3)*0.688311688311688</f>
        <v>306.922207792208</v>
      </c>
      <c r="AH109" s="137" t="n">
        <f aca="false">'Price History'!M3+('Price History'!M158-'Price History'!M3)*0.688311688311688</f>
        <v>176.72012987013</v>
      </c>
      <c r="AI109" s="137" t="n">
        <f aca="false">'Price History'!N3+('Price History'!N158-'Price History'!N3)*0.688311688311688</f>
        <v>437.440779220779</v>
      </c>
      <c r="AJ109" s="137" t="n">
        <f aca="false">'Price History'!O3+('Price History'!O158-'Price History'!O3)*0.688311688311688</f>
        <v>112.055064935065</v>
      </c>
      <c r="AK109" s="137" t="n">
        <f aca="false">'Price History'!Q3+('Price History'!Q151-'Price History'!Q3)*0.688311688311688</f>
        <v>62.6494805194805</v>
      </c>
      <c r="AL109" s="137" t="n">
        <f aca="false">'Price History'!R3+('Price History'!R158-'Price History'!R3)*0.688311688311688</f>
        <v>54.9990909090909</v>
      </c>
      <c r="AM109" s="137" t="n">
        <f aca="false">'Price History'!S3+('Price History'!S158-'Price History'!S3)*0.688311688311688</f>
        <v>117.246103896104</v>
      </c>
      <c r="AN109" s="137" t="n">
        <f aca="false">'Price History'!T3+('Price History'!T158-'Price History'!T3)*0.688311688311688</f>
        <v>42.6241558441558</v>
      </c>
    </row>
    <row r="110" customFormat="false" ht="15" hidden="false" customHeight="true" outlineLevel="0" collapsed="false">
      <c r="A110" s="135" t="n">
        <f aca="false">IF('Price History'!A111="","",'Price History'!A111)</f>
        <v>45905</v>
      </c>
      <c r="B110" s="136" t="n">
        <f aca="false">IFERROR(IF(OR(NOT(ISNUMBER('Price History'!B111)),NOT(ISNUMBER('Price History'!B110)),'Price History'!B110=0),"",'Price History'!B111/'Price History'!B110-1),"")</f>
        <v>-0.0216708718811325</v>
      </c>
      <c r="C110" s="136" t="n">
        <f aca="false">IFERROR(IF(OR(NOT(ISNUMBER('Price History'!C111)),NOT(ISNUMBER('Price History'!C110)),'Price History'!C110=0),"",'Price History'!C111/'Price History'!C110-1),"")</f>
        <v>0.0461369461735626</v>
      </c>
      <c r="D110" s="136" t="n">
        <f aca="false">IFERROR(IF(OR(NOT(ISNUMBER('Price History'!D111)),NOT(ISNUMBER('Price History'!D110)),'Price History'!D110=0),"",'Price History'!D111/'Price History'!D110-1),"")</f>
        <v>0.0526244916646468</v>
      </c>
      <c r="E110" s="136" t="n">
        <f aca="false">IFERROR(IF(OR(NOT(ISNUMBER('Price History'!E111)),NOT(ISNUMBER('Price History'!E110)),'Price History'!E110=0),"",'Price History'!E111/'Price History'!E110-1),"")</f>
        <v>0.126097044285282</v>
      </c>
      <c r="F110" s="136" t="n">
        <f aca="false">IFERROR(IF(OR(NOT(ISNUMBER('Price History'!F111)),NOT(ISNUMBER('Price History'!F110)),'Price History'!F110=0),"",'Price History'!F111/'Price History'!F110-1),"")</f>
        <v>-0.0143490984612481</v>
      </c>
      <c r="G110" s="136" t="n">
        <f aca="false">IFERROR(IF(OR(NOT(ISNUMBER('Price History'!G111)),NOT(ISNUMBER('Price History'!G110)),'Price History'!G110=0),"",'Price History'!G111/'Price History'!G110-1),"")</f>
        <v>0.0379587155963304</v>
      </c>
      <c r="H110" s="136" t="n">
        <f aca="false">IFERROR(IF(OR(NOT(ISNUMBER('Price History'!H111)),NOT(ISNUMBER('Price History'!H110)),'Price History'!H110=0),"",'Price History'!H111/'Price History'!H110-1),"")</f>
        <v>0.103856818754726</v>
      </c>
      <c r="I110" s="136" t="n">
        <f aca="false">IFERROR(IF(OR(NOT(ISNUMBER('Price History'!I111)),NOT(ISNUMBER('Price History'!I110)),'Price History'!I110=0),"",'Price History'!I111/'Price History'!I110-1),"")</f>
        <v>-0.0411069009071076</v>
      </c>
      <c r="J110" s="136" t="n">
        <f aca="false">IFERROR(IF(OR(NOT(ISNUMBER('Price History'!J111)),NOT(ISNUMBER('Price History'!J110)),'Price History'!J110=0),"",'Price History'!J111/'Price History'!J110-1),"")</f>
        <v>-0.00114255580945677</v>
      </c>
      <c r="K110" s="136" t="n">
        <f aca="false">IFERROR(IF(OR(NOT(ISNUMBER('Price History'!K111)),NOT(ISNUMBER('Price History'!K110)),'Price History'!K110=0),"",'Price History'!K111/'Price History'!K110-1),"")</f>
        <v>-0.0229723693446493</v>
      </c>
      <c r="L110" s="136" t="n">
        <f aca="false">IFERROR(IF(OR(NOT(ISNUMBER('Price History'!L111)),NOT(ISNUMBER('Price History'!L110)),'Price History'!L110=0),"",'Price History'!L111/'Price History'!L110-1),"")</f>
        <v>0.0543162818902412</v>
      </c>
      <c r="M110" s="136" t="n">
        <f aca="false">IFERROR(IF(OR(NOT(ISNUMBER('Price History'!M111)),NOT(ISNUMBER('Price History'!M110)),'Price History'!M110=0),"",'Price History'!M111/'Price History'!M110-1),"")</f>
        <v>-0.0278322226577813</v>
      </c>
      <c r="N110" s="136" t="n">
        <f aca="false">IFERROR(IF(OR(NOT(ISNUMBER('Price History'!N111)),NOT(ISNUMBER('Price History'!N110)),'Price History'!N110=0),"",'Price History'!N111/'Price History'!N110-1),"")</f>
        <v>0.0130428111094063</v>
      </c>
      <c r="O110" s="136" t="n">
        <f aca="false">IFERROR(IF(OR(NOT(ISNUMBER('Price History'!O111)),NOT(ISNUMBER('Price History'!O110)),'Price History'!O110=0),"",'Price History'!O111/'Price History'!O110-1),"")</f>
        <v>0.0109163745618428</v>
      </c>
      <c r="P110" s="136" t="str">
        <f aca="false">IFERROR(IF(OR(NOT(ISNUMBER('Price History'!P111)),NOT(ISNUMBER('Price History'!P110)),'Price History'!P110=0),"",'Price History'!P111/'Price History'!P110-1),"")</f>
        <v/>
      </c>
      <c r="Q110" s="136" t="n">
        <f aca="false">IFERROR(IF(OR(NOT(ISNUMBER('Price History'!Q111)),NOT(ISNUMBER('Price History'!Q110)),'Price History'!Q110=0),"",'Price History'!Q111/'Price History'!Q110-1),"")</f>
        <v>0.0100138653520259</v>
      </c>
      <c r="R110" s="136" t="n">
        <f aca="false">IFERROR(IF(OR(NOT(ISNUMBER('Price History'!R111)),NOT(ISNUMBER('Price History'!R110)),'Price History'!R110=0),"",'Price History'!R111/'Price History'!R110-1),"")</f>
        <v>0.00179597701149437</v>
      </c>
      <c r="S110" s="136" t="n">
        <f aca="false">IFERROR(IF(OR(NOT(ISNUMBER('Price History'!S111)),NOT(ISNUMBER('Price History'!S110)),'Price History'!S110=0),"",'Price History'!S111/'Price History'!S110-1),"")</f>
        <v>0.0048935439560438</v>
      </c>
      <c r="T110" s="136" t="n">
        <f aca="false">IFERROR(IF(OR(NOT(ISNUMBER('Price History'!T111)),NOT(ISNUMBER('Price History'!T110)),'Price History'!T110=0),"",'Price History'!T111/'Price History'!T110-1),"")</f>
        <v>0.00750066970265206</v>
      </c>
      <c r="U110" s="136" t="str">
        <f aca="false">IFERROR(IF(OR(NOT(ISNUMBER('Price History'!U111)),NOT(ISNUMBER('Price History'!U110)),'Price History'!U110=0),"",'Price History'!U111/'Price History'!U110-1),"")</f>
        <v/>
      </c>
      <c r="W110" s="137" t="n">
        <f aca="false">'Price History'!B3+('Price History'!B158-'Price History'!B3)*0.694805194805195</f>
        <v>329.162467532468</v>
      </c>
      <c r="X110" s="137" t="n">
        <f aca="false">'Price History'!C3+('Price History'!C158-'Price History'!C3)*0.694805194805195</f>
        <v>138.657337662338</v>
      </c>
      <c r="Y110" s="137" t="n">
        <f aca="false">'Price History'!D3+('Price History'!D158-'Price History'!D3)*0.694805194805195</f>
        <v>1333.80948051948</v>
      </c>
      <c r="Z110" s="137" t="n">
        <f aca="false">'Price History'!E3+('Price History'!E158-'Price History'!E3)*0.694805194805195</f>
        <v>295.798831168831</v>
      </c>
      <c r="AA110" s="137" t="n">
        <f aca="false">'Price History'!F3+('Price History'!F158-'Price History'!F3)*0.694805194805195</f>
        <v>143.921038961039</v>
      </c>
      <c r="AB110" s="137" t="n">
        <f aca="false">'Price History'!G3+('Price History'!G158-'Price History'!G3)*0.694805194805195</f>
        <v>141.643116883117</v>
      </c>
      <c r="AC110" s="137" t="n">
        <f aca="false">'Price History'!H3+('Price History'!H158-'Price History'!H3)*0.694805194805195</f>
        <v>591.490909090909</v>
      </c>
      <c r="AD110" s="137" t="n">
        <f aca="false">'Price History'!I3+('Price History'!I158-'Price History'!I3)*0.694805194805195</f>
        <v>151.949350649351</v>
      </c>
      <c r="AE110" s="137" t="n">
        <f aca="false">'Price History'!J3+('Price History'!J158-'Price History'!J3)*0.694805194805195</f>
        <v>138.17038961039</v>
      </c>
      <c r="AF110" s="137" t="n">
        <f aca="false">'Price History'!K3+('Price History'!K158-'Price History'!K3)*0.694805194805195</f>
        <v>90.2057792207792</v>
      </c>
      <c r="AG110" s="137" t="n">
        <f aca="false">'Price History'!L3+('Price History'!L158-'Price History'!L3)*0.694805194805195</f>
        <v>308.94987012987</v>
      </c>
      <c r="AH110" s="137" t="n">
        <f aca="false">'Price History'!M3+('Price History'!M158-'Price History'!M3)*0.694805194805195</f>
        <v>178.071168831169</v>
      </c>
      <c r="AI110" s="137" t="n">
        <f aca="false">'Price History'!N3+('Price History'!N158-'Price History'!N3)*0.694805194805195</f>
        <v>438.267012987013</v>
      </c>
      <c r="AJ110" s="137" t="n">
        <f aca="false">'Price History'!O3+('Price History'!O158-'Price History'!O3)*0.694805194805195</f>
        <v>112.330584415584</v>
      </c>
      <c r="AK110" s="137" t="n">
        <f aca="false">'Price History'!Q3+('Price History'!Q151-'Price History'!Q3)*0.694805194805195</f>
        <v>62.7703246753247</v>
      </c>
      <c r="AL110" s="137" t="n">
        <f aca="false">'Price History'!R3+('Price History'!R158-'Price History'!R3)*0.694805194805195</f>
        <v>55.0668181818182</v>
      </c>
      <c r="AM110" s="137" t="n">
        <f aca="false">'Price History'!S3+('Price History'!S158-'Price History'!S3)*0.694805194805195</f>
        <v>117.799935064935</v>
      </c>
      <c r="AN110" s="137" t="n">
        <f aca="false">'Price History'!T3+('Price History'!T158-'Price History'!T3)*0.694805194805195</f>
        <v>42.7724025974026</v>
      </c>
    </row>
    <row r="111" customFormat="false" ht="15" hidden="false" customHeight="true" outlineLevel="0" collapsed="false">
      <c r="A111" s="135" t="n">
        <f aca="false">IF('Price History'!A112="","",'Price History'!A112)</f>
        <v>45912</v>
      </c>
      <c r="B111" s="136" t="n">
        <f aca="false">IFERROR(IF(OR(NOT(ISNUMBER('Price History'!B112)),NOT(ISNUMBER('Price History'!B111)),'Price History'!B111=0),"",'Price History'!B112/'Price History'!B111-1),"")</f>
        <v>0.00111757457661121</v>
      </c>
      <c r="C111" s="136" t="n">
        <f aca="false">IFERROR(IF(OR(NOT(ISNUMBER('Price History'!C112)),NOT(ISNUMBER('Price History'!C111)),'Price History'!C111=0),"",'Price History'!C112/'Price History'!C111-1),"")</f>
        <v>-0.0242212110605531</v>
      </c>
      <c r="D111" s="136" t="n">
        <f aca="false">IFERROR(IF(OR(NOT(ISNUMBER('Price History'!D112)),NOT(ISNUMBER('Price History'!D111)),'Price History'!D111=0),"",'Price History'!D112/'Price History'!D111-1),"")</f>
        <v>0.0411538953562747</v>
      </c>
      <c r="E111" s="136" t="n">
        <f aca="false">IFERROR(IF(OR(NOT(ISNUMBER('Price History'!E112)),NOT(ISNUMBER('Price History'!E111)),'Price History'!E111=0),"",'Price History'!E112/'Price History'!E111-1),"")</f>
        <v>0.0745916569619876</v>
      </c>
      <c r="F111" s="136" t="n">
        <f aca="false">IFERROR(IF(OR(NOT(ISNUMBER('Price History'!F112)),NOT(ISNUMBER('Price History'!F111)),'Price History'!F111=0),"",'Price History'!F112/'Price History'!F111-1),"")</f>
        <v>0.0442486351882003</v>
      </c>
      <c r="G111" s="136" t="n">
        <f aca="false">IFERROR(IF(OR(NOT(ISNUMBER('Price History'!G112)),NOT(ISNUMBER('Price History'!G111)),'Price History'!G111=0),"",'Price History'!G112/'Price History'!G111-1),"")</f>
        <v>0.0650756822450558</v>
      </c>
      <c r="H111" s="136" t="n">
        <f aca="false">IFERROR(IF(OR(NOT(ISNUMBER('Price History'!H112)),NOT(ISNUMBER('Price History'!H111)),'Price History'!H111=0),"",'Price History'!H112/'Price History'!H111-1),"")</f>
        <v>0.196848595569765</v>
      </c>
      <c r="I111" s="136" t="n">
        <f aca="false">IFERROR(IF(OR(NOT(ISNUMBER('Price History'!I112)),NOT(ISNUMBER('Price History'!I111)),'Price History'!I111=0),"",'Price History'!I112/'Price History'!I111-1),"")</f>
        <v>0.0646629146210034</v>
      </c>
      <c r="J111" s="136" t="n">
        <f aca="false">IFERROR(IF(OR(NOT(ISNUMBER('Price History'!J112)),NOT(ISNUMBER('Price History'!J111)),'Price History'!J111=0),"",'Price History'!J112/'Price History'!J111-1),"")</f>
        <v>0.014958205015398</v>
      </c>
      <c r="K111" s="136" t="n">
        <f aca="false">IFERROR(IF(OR(NOT(ISNUMBER('Price History'!K112)),NOT(ISNUMBER('Price History'!K111)),'Price History'!K111=0),"",'Price History'!K112/'Price History'!K111-1),"")</f>
        <v>0.119652537391418</v>
      </c>
      <c r="L111" s="136" t="n">
        <f aca="false">IFERROR(IF(OR(NOT(ISNUMBER('Price History'!L112)),NOT(ISNUMBER('Price History'!L111)),'Price History'!L111=0),"",'Price History'!L112/'Price History'!L111-1),"")</f>
        <v>0.0654040507785219</v>
      </c>
      <c r="M111" s="136" t="n">
        <f aca="false">IFERROR(IF(OR(NOT(ISNUMBER('Price History'!M112)),NOT(ISNUMBER('Price History'!M111)),'Price History'!M111=0),"",'Price History'!M112/'Price History'!M111-1),"")</f>
        <v>0.0874193548387097</v>
      </c>
      <c r="N111" s="136" t="n">
        <f aca="false">IFERROR(IF(OR(NOT(ISNUMBER('Price History'!N112)),NOT(ISNUMBER('Price History'!N111)),'Price History'!N111=0),"",'Price History'!N112/'Price History'!N111-1),"")</f>
        <v>-0.00401393517116033</v>
      </c>
      <c r="O111" s="136" t="n">
        <f aca="false">IFERROR(IF(OR(NOT(ISNUMBER('Price History'!O112)),NOT(ISNUMBER('Price History'!O111)),'Price History'!O111=0),"",'Price History'!O112/'Price History'!O111-1),"")</f>
        <v>-0.00792550029720618</v>
      </c>
      <c r="P111" s="136" t="str">
        <f aca="false">IFERROR(IF(OR(NOT(ISNUMBER('Price History'!P112)),NOT(ISNUMBER('Price History'!P111)),'Price History'!P111=0),"",'Price History'!P112/'Price History'!P111-1),"")</f>
        <v/>
      </c>
      <c r="Q111" s="136" t="n">
        <f aca="false">IFERROR(IF(OR(NOT(ISNUMBER('Price History'!Q112)),NOT(ISNUMBER('Price History'!Q111)),'Price History'!Q111=0),"",'Price History'!Q112/'Price History'!Q111-1),"")</f>
        <v>0.000610128126906639</v>
      </c>
      <c r="R111" s="136" t="n">
        <f aca="false">IFERROR(IF(OR(NOT(ISNUMBER('Price History'!R112)),NOT(ISNUMBER('Price History'!R111)),'Price History'!R111=0),"",'Price History'!R112/'Price History'!R111-1),"")</f>
        <v>0.0136249551810685</v>
      </c>
      <c r="S111" s="136" t="n">
        <f aca="false">IFERROR(IF(OR(NOT(ISNUMBER('Price History'!S112)),NOT(ISNUMBER('Price History'!S111)),'Price History'!S111=0),"",'Price History'!S112/'Price History'!S111-1),"")</f>
        <v>0.0293037163605296</v>
      </c>
      <c r="T111" s="136" t="n">
        <f aca="false">IFERROR(IF(OR(NOT(ISNUMBER('Price History'!T112)),NOT(ISNUMBER('Price History'!T111)),'Price History'!T111=0),"",'Price History'!T112/'Price History'!T111-1),"")</f>
        <v>-0.00292475405477266</v>
      </c>
      <c r="U111" s="136" t="str">
        <f aca="false">IFERROR(IF(OR(NOT(ISNUMBER('Price History'!U112)),NOT(ISNUMBER('Price History'!U111)),'Price History'!U111=0),"",'Price History'!U112/'Price History'!U111-1),"")</f>
        <v/>
      </c>
      <c r="W111" s="137" t="n">
        <f aca="false">'Price History'!B3+('Price History'!B158-'Price History'!B3)*0.701298701298701</f>
        <v>327.486883116883</v>
      </c>
      <c r="X111" s="137" t="n">
        <f aca="false">'Price History'!C3+('Price History'!C158-'Price History'!C3)*0.701298701298701</f>
        <v>139.544415584416</v>
      </c>
      <c r="Y111" s="137" t="n">
        <f aca="false">'Price History'!D3+('Price History'!D158-'Price History'!D3)*0.701298701298701</f>
        <v>1340.09012987013</v>
      </c>
      <c r="Z111" s="137" t="n">
        <f aca="false">'Price History'!E3+('Price History'!E158-'Price History'!E3)*0.701298701298701</f>
        <v>297.787792207792</v>
      </c>
      <c r="AA111" s="137" t="n">
        <f aca="false">'Price History'!F3+('Price History'!F158-'Price History'!F3)*0.701298701298701</f>
        <v>144.91974025974</v>
      </c>
      <c r="AB111" s="137" t="n">
        <f aca="false">'Price History'!G3+('Price History'!G158-'Price History'!G3)*0.701298701298701</f>
        <v>142.519220779221</v>
      </c>
      <c r="AC111" s="137" t="n">
        <f aca="false">'Price History'!H3+('Price History'!H158-'Price History'!H3)*0.701298701298701</f>
        <v>596.417272727273</v>
      </c>
      <c r="AD111" s="137" t="n">
        <f aca="false">'Price History'!I3+('Price History'!I158-'Price History'!I3)*0.701298701298701</f>
        <v>152.987662337662</v>
      </c>
      <c r="AE111" s="137" t="n">
        <f aca="false">'Price History'!J3+('Price History'!J158-'Price History'!J3)*0.701298701298701</f>
        <v>138.307402597403</v>
      </c>
      <c r="AF111" s="137" t="n">
        <f aca="false">'Price History'!K3+('Price History'!K158-'Price History'!K3)*0.701298701298701</f>
        <v>90.9048051948052</v>
      </c>
      <c r="AG111" s="137" t="n">
        <f aca="false">'Price History'!L3+('Price History'!L158-'Price History'!L3)*0.701298701298701</f>
        <v>310.977532467532</v>
      </c>
      <c r="AH111" s="137" t="n">
        <f aca="false">'Price History'!M3+('Price History'!M158-'Price History'!M3)*0.701298701298701</f>
        <v>179.422207792208</v>
      </c>
      <c r="AI111" s="137" t="n">
        <f aca="false">'Price History'!N3+('Price History'!N158-'Price History'!N3)*0.701298701298701</f>
        <v>439.093246753247</v>
      </c>
      <c r="AJ111" s="137" t="n">
        <f aca="false">'Price History'!O3+('Price History'!O158-'Price History'!O3)*0.701298701298701</f>
        <v>112.606103896104</v>
      </c>
      <c r="AK111" s="137" t="n">
        <f aca="false">'Price History'!Q3+('Price History'!Q151-'Price History'!Q3)*0.701298701298701</f>
        <v>62.8911688311688</v>
      </c>
      <c r="AL111" s="137" t="n">
        <f aca="false">'Price History'!R3+('Price History'!R158-'Price History'!R3)*0.701298701298701</f>
        <v>55.1345454545455</v>
      </c>
      <c r="AM111" s="137" t="n">
        <f aca="false">'Price History'!S3+('Price History'!S158-'Price History'!S3)*0.701298701298701</f>
        <v>118.353766233766</v>
      </c>
      <c r="AN111" s="137" t="n">
        <f aca="false">'Price History'!T3+('Price History'!T158-'Price History'!T3)*0.701298701298701</f>
        <v>42.9206493506493</v>
      </c>
    </row>
    <row r="112" customFormat="false" ht="15" hidden="false" customHeight="true" outlineLevel="0" collapsed="false">
      <c r="A112" s="135" t="n">
        <f aca="false">IF('Price History'!A113="","",'Price History'!A113)</f>
        <v>45919</v>
      </c>
      <c r="B112" s="136" t="n">
        <f aca="false">IFERROR(IF(OR(NOT(ISNUMBER('Price History'!B113)),NOT(ISNUMBER('Price History'!B112)),'Price History'!B112=0),"",'Price History'!B113/'Price History'!B112-1),"")</f>
        <v>0.0473437142202884</v>
      </c>
      <c r="C112" s="136" t="n">
        <f aca="false">IFERROR(IF(OR(NOT(ISNUMBER('Price History'!C113)),NOT(ISNUMBER('Price History'!C112)),'Price History'!C112=0),"",'Price History'!C113/'Price History'!C112-1),"")</f>
        <v>0.0733194633761392</v>
      </c>
      <c r="D112" s="136" t="n">
        <f aca="false">IFERROR(IF(OR(NOT(ISNUMBER('Price History'!D113)),NOT(ISNUMBER('Price History'!D112)),'Price History'!D112=0),"",'Price History'!D113/'Price History'!D112-1),"")</f>
        <v>0.145330335311536</v>
      </c>
      <c r="E112" s="136" t="n">
        <f aca="false">IFERROR(IF(OR(NOT(ISNUMBER('Price History'!E113)),NOT(ISNUMBER('Price History'!E112)),'Price History'!E112=0),"",'Price History'!E113/'Price History'!E112-1),"")</f>
        <v>-0.0414872037124517</v>
      </c>
      <c r="F112" s="136" t="n">
        <f aca="false">IFERROR(IF(OR(NOT(ISNUMBER('Price History'!F113)),NOT(ISNUMBER('Price History'!F112)),'Price History'!F112=0),"",'Price History'!F113/'Price History'!F112-1),"")</f>
        <v>0.152343391727048</v>
      </c>
      <c r="G112" s="136" t="n">
        <f aca="false">IFERROR(IF(OR(NOT(ISNUMBER('Price History'!G113)),NOT(ISNUMBER('Price History'!G112)),'Price History'!G112=0),"",'Price History'!G113/'Price History'!G112-1),"")</f>
        <v>0.083817427385892</v>
      </c>
      <c r="H112" s="136" t="n">
        <f aca="false">IFERROR(IF(OR(NOT(ISNUMBER('Price History'!H113)),NOT(ISNUMBER('Price History'!H112)),'Price History'!H112=0),"",'Price History'!H113/'Price History'!H112-1),"")</f>
        <v>0.0349806016663488</v>
      </c>
      <c r="I112" s="136" t="n">
        <f aca="false">IFERROR(IF(OR(NOT(ISNUMBER('Price History'!I113)),NOT(ISNUMBER('Price History'!I112)),'Price History'!I112=0),"",'Price History'!I113/'Price History'!I112-1),"")</f>
        <v>-0.00646721403666628</v>
      </c>
      <c r="J112" s="136" t="n">
        <f aca="false">IFERROR(IF(OR(NOT(ISNUMBER('Price History'!J113)),NOT(ISNUMBER('Price History'!J112)),'Price History'!J112=0),"",'Price History'!J113/'Price History'!J112-1),"")</f>
        <v>-0.0159514521022973</v>
      </c>
      <c r="K112" s="136" t="n">
        <f aca="false">IFERROR(IF(OR(NOT(ISNUMBER('Price History'!K113)),NOT(ISNUMBER('Price History'!K112)),'Price History'!K112=0),"",'Price History'!K113/'Price History'!K112-1),"")</f>
        <v>0.0639328005599953</v>
      </c>
      <c r="L112" s="136" t="n">
        <f aca="false">IFERROR(IF(OR(NOT(ISNUMBER('Price History'!L113)),NOT(ISNUMBER('Price History'!L112)),'Price History'!L112=0),"",'Price History'!L113/'Price History'!L112-1),"")</f>
        <v>0.0213627424517024</v>
      </c>
      <c r="M112" s="136" t="n">
        <f aca="false">IFERROR(IF(OR(NOT(ISNUMBER('Price History'!M113)),NOT(ISNUMBER('Price History'!M112)),'Price History'!M112=0),"",'Price History'!M113/'Price History'!M112-1),"")</f>
        <v>0.0649658854939186</v>
      </c>
      <c r="N112" s="136" t="n">
        <f aca="false">IFERROR(IF(OR(NOT(ISNUMBER('Price History'!N113)),NOT(ISNUMBER('Price History'!N112)),'Price History'!N112=0),"",'Price History'!N113/'Price History'!N112-1),"")</f>
        <v>-0.0289204876688718</v>
      </c>
      <c r="O112" s="136" t="n">
        <f aca="false">IFERROR(IF(OR(NOT(ISNUMBER('Price History'!O113)),NOT(ISNUMBER('Price History'!O112)),'Price History'!O112=0),"",'Price History'!O113/'Price History'!O112-1),"")</f>
        <v>0.00569203115638106</v>
      </c>
      <c r="P112" s="136" t="str">
        <f aca="false">IFERROR(IF(OR(NOT(ISNUMBER('Price History'!P113)),NOT(ISNUMBER('Price History'!P112)),'Price History'!P112=0),"",'Price History'!P113/'Price History'!P112-1),"")</f>
        <v/>
      </c>
      <c r="Q112" s="136" t="n">
        <f aca="false">IFERROR(IF(OR(NOT(ISNUMBER('Price History'!Q113)),NOT(ISNUMBER('Price History'!Q112)),'Price History'!Q112=0),"",'Price History'!Q113/'Price History'!Q112-1),"")</f>
        <v>-0.00503048780487803</v>
      </c>
      <c r="R112" s="136" t="n">
        <f aca="false">IFERROR(IF(OR(NOT(ISNUMBER('Price History'!R113)),NOT(ISNUMBER('Price History'!R112)),'Price History'!R112=0),"",'Price History'!R113/'Price History'!R112-1),"")</f>
        <v>0.0109656880084896</v>
      </c>
      <c r="S112" s="136" t="n">
        <f aca="false">IFERROR(IF(OR(NOT(ISNUMBER('Price History'!S113)),NOT(ISNUMBER('Price History'!S112)),'Price History'!S112=0),"",'Price History'!S113/'Price History'!S112-1),"")</f>
        <v>0.0120351925630811</v>
      </c>
      <c r="T112" s="136" t="n">
        <f aca="false">IFERROR(IF(OR(NOT(ISNUMBER('Price History'!T113)),NOT(ISNUMBER('Price History'!T112)),'Price History'!T112=0),"",'Price History'!T113/'Price History'!T112-1),"")</f>
        <v>-0.0013333333333333</v>
      </c>
      <c r="U112" s="136" t="str">
        <f aca="false">IFERROR(IF(OR(NOT(ISNUMBER('Price History'!U113)),NOT(ISNUMBER('Price History'!U112)),'Price History'!U112=0),"",'Price History'!U113/'Price History'!U112-1),"")</f>
        <v/>
      </c>
      <c r="W112" s="137" t="n">
        <f aca="false">'Price History'!B3+('Price History'!B158-'Price History'!B3)*0.707792207792208</f>
        <v>325.811298701299</v>
      </c>
      <c r="X112" s="137" t="n">
        <f aca="false">'Price History'!C3+('Price History'!C158-'Price History'!C3)*0.707792207792208</f>
        <v>140.431493506494</v>
      </c>
      <c r="Y112" s="137" t="n">
        <f aca="false">'Price History'!D3+('Price History'!D158-'Price History'!D3)*0.707792207792208</f>
        <v>1346.37077922078</v>
      </c>
      <c r="Z112" s="137" t="n">
        <f aca="false">'Price History'!E3+('Price History'!E158-'Price History'!E3)*0.707792207792208</f>
        <v>299.776753246753</v>
      </c>
      <c r="AA112" s="137" t="n">
        <f aca="false">'Price History'!F3+('Price History'!F158-'Price History'!F3)*0.707792207792208</f>
        <v>145.918441558442</v>
      </c>
      <c r="AB112" s="137" t="n">
        <f aca="false">'Price History'!G3+('Price History'!G158-'Price History'!G3)*0.707792207792208</f>
        <v>143.395324675325</v>
      </c>
      <c r="AC112" s="137" t="n">
        <f aca="false">'Price History'!H3+('Price History'!H158-'Price History'!H3)*0.707792207792208</f>
        <v>601.343636363637</v>
      </c>
      <c r="AD112" s="137" t="n">
        <f aca="false">'Price History'!I3+('Price History'!I158-'Price History'!I3)*0.707792207792208</f>
        <v>154.025974025974</v>
      </c>
      <c r="AE112" s="137" t="n">
        <f aca="false">'Price History'!J3+('Price History'!J158-'Price History'!J3)*0.707792207792208</f>
        <v>138.444415584416</v>
      </c>
      <c r="AF112" s="137" t="n">
        <f aca="false">'Price History'!K3+('Price History'!K158-'Price History'!K3)*0.707792207792208</f>
        <v>91.6038311688312</v>
      </c>
      <c r="AG112" s="137" t="n">
        <f aca="false">'Price History'!L3+('Price History'!L158-'Price History'!L3)*0.707792207792208</f>
        <v>313.005194805195</v>
      </c>
      <c r="AH112" s="137" t="n">
        <f aca="false">'Price History'!M3+('Price History'!M158-'Price History'!M3)*0.707792207792208</f>
        <v>180.773246753247</v>
      </c>
      <c r="AI112" s="137" t="n">
        <f aca="false">'Price History'!N3+('Price History'!N158-'Price History'!N3)*0.707792207792208</f>
        <v>439.919480519481</v>
      </c>
      <c r="AJ112" s="137" t="n">
        <f aca="false">'Price History'!O3+('Price History'!O158-'Price History'!O3)*0.707792207792208</f>
        <v>112.881623376623</v>
      </c>
      <c r="AK112" s="137" t="n">
        <f aca="false">'Price History'!Q3+('Price History'!Q151-'Price History'!Q3)*0.707792207792208</f>
        <v>63.012012987013</v>
      </c>
      <c r="AL112" s="137" t="n">
        <f aca="false">'Price History'!R3+('Price History'!R158-'Price History'!R3)*0.707792207792208</f>
        <v>55.2022727272727</v>
      </c>
      <c r="AM112" s="137" t="n">
        <f aca="false">'Price History'!S3+('Price History'!S158-'Price History'!S3)*0.707792207792208</f>
        <v>118.907597402597</v>
      </c>
      <c r="AN112" s="137" t="n">
        <f aca="false">'Price History'!T3+('Price History'!T158-'Price History'!T3)*0.707792207792208</f>
        <v>43.0688961038961</v>
      </c>
    </row>
    <row r="113" customFormat="false" ht="15" hidden="false" customHeight="true" outlineLevel="0" collapsed="false">
      <c r="A113" s="135" t="n">
        <f aca="false">IF('Price History'!A114="","",'Price History'!A114)</f>
        <v>45926</v>
      </c>
      <c r="B113" s="136" t="n">
        <f aca="false">IFERROR(IF(OR(NOT(ISNUMBER('Price History'!B114)),NOT(ISNUMBER('Price History'!B113)),'Price History'!B113=0),"",'Price History'!B114/'Price History'!B113-1),"")</f>
        <v>-0.0151134189669307</v>
      </c>
      <c r="C113" s="136" t="n">
        <f aca="false">IFERROR(IF(OR(NOT(ISNUMBER('Price History'!C114)),NOT(ISNUMBER('Price History'!C113)),'Price History'!C113=0),"",'Price History'!C114/'Price History'!C113-1),"")</f>
        <v>-0.0475235612592742</v>
      </c>
      <c r="D113" s="136" t="n">
        <f aca="false">IFERROR(IF(OR(NOT(ISNUMBER('Price History'!D114)),NOT(ISNUMBER('Price History'!D113)),'Price History'!D113=0),"",'Price History'!D114/'Price History'!D113-1),"")</f>
        <v>0.020779917395269</v>
      </c>
      <c r="E113" s="136" t="n">
        <f aca="false">IFERROR(IF(OR(NOT(ISNUMBER('Price History'!E114)),NOT(ISNUMBER('Price History'!E113)),'Price History'!E113=0),"",'Price History'!E114/'Price History'!E113-1),"")</f>
        <v>-0.0301791615933207</v>
      </c>
      <c r="F113" s="136" t="n">
        <f aca="false">IFERROR(IF(OR(NOT(ISNUMBER('Price History'!F114)),NOT(ISNUMBER('Price History'!F113)),'Price History'!F113=0),"",'Price History'!F114/'Price History'!F113-1),"")</f>
        <v>-0.0420248328557784</v>
      </c>
      <c r="G113" s="136" t="n">
        <f aca="false">IFERROR(IF(OR(NOT(ISNUMBER('Price History'!G114)),NOT(ISNUMBER('Price History'!G113)),'Price History'!G113=0),"",'Price History'!G114/'Price History'!G113-1),"")</f>
        <v>0.0186638591117918</v>
      </c>
      <c r="H113" s="136" t="n">
        <f aca="false">IFERROR(IF(OR(NOT(ISNUMBER('Price History'!H114)),NOT(ISNUMBER('Price History'!H113)),'Price History'!H113=0),"",'Price History'!H114/'Price History'!H113-1),"")</f>
        <v>-0.0335525102931235</v>
      </c>
      <c r="I113" s="136" t="n">
        <f aca="false">IFERROR(IF(OR(NOT(ISNUMBER('Price History'!I114)),NOT(ISNUMBER('Price History'!I113)),'Price History'!I113=0),"",'Price History'!I114/'Price History'!I113-1),"")</f>
        <v>0.00860361125261799</v>
      </c>
      <c r="J113" s="136" t="n">
        <f aca="false">IFERROR(IF(OR(NOT(ISNUMBER('Price History'!J114)),NOT(ISNUMBER('Price History'!J113)),'Price History'!J113=0),"",'Price History'!J114/'Price History'!J113-1),"")</f>
        <v>0.0059906616157166</v>
      </c>
      <c r="K113" s="136" t="n">
        <f aca="false">IFERROR(IF(OR(NOT(ISNUMBER('Price History'!K114)),NOT(ISNUMBER('Price History'!K113)),'Price History'!K113=0),"",'Price History'!K114/'Price History'!K113-1),"")</f>
        <v>-0.0264268874390043</v>
      </c>
      <c r="L113" s="136" t="n">
        <f aca="false">IFERROR(IF(OR(NOT(ISNUMBER('Price History'!L114)),NOT(ISNUMBER('Price History'!L113)),'Price History'!L113=0),"",'Price History'!L114/'Price History'!L113-1),"")</f>
        <v>0.0320534601880167</v>
      </c>
      <c r="M113" s="136" t="n">
        <f aca="false">IFERROR(IF(OR(NOT(ISNUMBER('Price History'!M114)),NOT(ISNUMBER('Price History'!M113)),'Price History'!M113=0),"",'Price History'!M114/'Price History'!M113-1),"")</f>
        <v>-0.0346796657381615</v>
      </c>
      <c r="N113" s="136" t="n">
        <f aca="false">IFERROR(IF(OR(NOT(ISNUMBER('Price History'!N114)),NOT(ISNUMBER('Price History'!N113)),'Price History'!N113=0),"",'Price History'!N114/'Price History'!N113-1),"")</f>
        <v>0.00683858843182295</v>
      </c>
      <c r="O113" s="136" t="n">
        <f aca="false">IFERROR(IF(OR(NOT(ISNUMBER('Price History'!O114)),NOT(ISNUMBER('Price History'!O113)),'Price History'!O113=0),"",'Price History'!O114/'Price History'!O113-1),"")</f>
        <v>-0.00158872008737954</v>
      </c>
      <c r="P113" s="136" t="str">
        <f aca="false">IFERROR(IF(OR(NOT(ISNUMBER('Price History'!P114)),NOT(ISNUMBER('Price History'!P113)),'Price History'!P113=0),"",'Price History'!P114/'Price History'!P113-1),"")</f>
        <v/>
      </c>
      <c r="Q113" s="136" t="n">
        <f aca="false">IFERROR(IF(OR(NOT(ISNUMBER('Price History'!Q114)),NOT(ISNUMBER('Price History'!Q113)),'Price History'!Q113=0),"",'Price History'!Q114/'Price History'!Q113-1),"")</f>
        <v>0.00153209744139748</v>
      </c>
      <c r="R113" s="136" t="n">
        <f aca="false">IFERROR(IF(OR(NOT(ISNUMBER('Price History'!R114)),NOT(ISNUMBER('Price History'!R113)),'Price History'!R113=0),"",'Price History'!R114/'Price History'!R113-1),"")</f>
        <v>0.00157452764170762</v>
      </c>
      <c r="S113" s="136" t="n">
        <f aca="false">IFERROR(IF(OR(NOT(ISNUMBER('Price History'!S114)),NOT(ISNUMBER('Price History'!S113)),'Price History'!S113=0),"",'Price History'!S114/'Price History'!S113-1),"")</f>
        <v>-0.0110719265152137</v>
      </c>
      <c r="T113" s="136" t="n">
        <f aca="false">IFERROR(IF(OR(NOT(ISNUMBER('Price History'!T114)),NOT(ISNUMBER('Price History'!T113)),'Price History'!T113=0),"",'Price History'!T114/'Price History'!T113-1),"")</f>
        <v>0.0077436582109478</v>
      </c>
      <c r="U113" s="136" t="str">
        <f aca="false">IFERROR(IF(OR(NOT(ISNUMBER('Price History'!U114)),NOT(ISNUMBER('Price History'!U113)),'Price History'!U113=0),"",'Price History'!U114/'Price History'!U113-1),"")</f>
        <v/>
      </c>
      <c r="W113" s="137" t="n">
        <f aca="false">'Price History'!B3+('Price History'!B158-'Price History'!B3)*0.714285714285714</f>
        <v>324.135714285714</v>
      </c>
      <c r="X113" s="137" t="n">
        <f aca="false">'Price History'!C3+('Price History'!C158-'Price History'!C3)*0.714285714285714</f>
        <v>141.318571428571</v>
      </c>
      <c r="Y113" s="137" t="n">
        <f aca="false">'Price History'!D3+('Price History'!D158-'Price History'!D3)*0.714285714285714</f>
        <v>1352.65142857143</v>
      </c>
      <c r="Z113" s="137" t="n">
        <f aca="false">'Price History'!E3+('Price History'!E158-'Price History'!E3)*0.714285714285714</f>
        <v>301.765714285714</v>
      </c>
      <c r="AA113" s="137" t="n">
        <f aca="false">'Price History'!F3+('Price History'!F158-'Price History'!F3)*0.714285714285714</f>
        <v>146.917142857143</v>
      </c>
      <c r="AB113" s="137" t="n">
        <f aca="false">'Price History'!G3+('Price History'!G158-'Price History'!G3)*0.714285714285714</f>
        <v>144.271428571429</v>
      </c>
      <c r="AC113" s="137" t="n">
        <f aca="false">'Price History'!H3+('Price History'!H158-'Price History'!H3)*0.714285714285714</f>
        <v>606.27</v>
      </c>
      <c r="AD113" s="137" t="n">
        <f aca="false">'Price History'!I3+('Price History'!I158-'Price History'!I3)*0.714285714285714</f>
        <v>155.064285714286</v>
      </c>
      <c r="AE113" s="137" t="n">
        <f aca="false">'Price History'!J3+('Price History'!J158-'Price History'!J3)*0.714285714285714</f>
        <v>138.581428571429</v>
      </c>
      <c r="AF113" s="137" t="n">
        <f aca="false">'Price History'!K3+('Price History'!K158-'Price History'!K3)*0.714285714285714</f>
        <v>92.3028571428571</v>
      </c>
      <c r="AG113" s="137" t="n">
        <f aca="false">'Price History'!L3+('Price History'!L158-'Price History'!L3)*0.714285714285714</f>
        <v>315.032857142857</v>
      </c>
      <c r="AH113" s="137" t="n">
        <f aca="false">'Price History'!M3+('Price History'!M158-'Price History'!M3)*0.714285714285714</f>
        <v>182.124285714286</v>
      </c>
      <c r="AI113" s="137" t="n">
        <f aca="false">'Price History'!N3+('Price History'!N158-'Price History'!N3)*0.714285714285714</f>
        <v>440.745714285714</v>
      </c>
      <c r="AJ113" s="137" t="n">
        <f aca="false">'Price History'!O3+('Price History'!O158-'Price History'!O3)*0.714285714285714</f>
        <v>113.157142857143</v>
      </c>
      <c r="AK113" s="137" t="n">
        <f aca="false">'Price History'!Q3+('Price History'!Q151-'Price History'!Q3)*0.714285714285714</f>
        <v>63.1328571428571</v>
      </c>
      <c r="AL113" s="137" t="n">
        <f aca="false">'Price History'!R3+('Price History'!R158-'Price History'!R3)*0.714285714285714</f>
        <v>55.27</v>
      </c>
      <c r="AM113" s="137" t="n">
        <f aca="false">'Price History'!S3+('Price History'!S158-'Price History'!S3)*0.714285714285714</f>
        <v>119.461428571429</v>
      </c>
      <c r="AN113" s="137" t="n">
        <f aca="false">'Price History'!T3+('Price History'!T158-'Price History'!T3)*0.714285714285714</f>
        <v>43.2171428571428</v>
      </c>
    </row>
    <row r="114" customFormat="false" ht="15" hidden="false" customHeight="true" outlineLevel="0" collapsed="false">
      <c r="A114" s="135" t="n">
        <f aca="false">IF('Price History'!A115="","",'Price History'!A115)</f>
        <v>45933</v>
      </c>
      <c r="B114" s="136" t="n">
        <f aca="false">IFERROR(IF(OR(NOT(ISNUMBER('Price History'!B115)),NOT(ISNUMBER('Price History'!B114)),'Price History'!B114=0),"",'Price History'!B115/'Price History'!B114-1),"")</f>
        <v>-0.0378222382551267</v>
      </c>
      <c r="C114" s="136" t="n">
        <f aca="false">IFERROR(IF(OR(NOT(ISNUMBER('Price History'!C115)),NOT(ISNUMBER('Price History'!C114)),'Price History'!C114=0),"",'Price History'!C115/'Price History'!C114-1),"")</f>
        <v>0.0210526315789474</v>
      </c>
      <c r="D114" s="136" t="n">
        <f aca="false">IFERROR(IF(OR(NOT(ISNUMBER('Price History'!D115)),NOT(ISNUMBER('Price History'!D114)),'Price History'!D114=0),"",'Price History'!D115/'Price History'!D114-1),"")</f>
        <v>0.0848116697494536</v>
      </c>
      <c r="E114" s="136" t="n">
        <f aca="false">IFERROR(IF(OR(NOT(ISNUMBER('Price History'!E115)),NOT(ISNUMBER('Price History'!E114)),'Price History'!E114=0),"",'Price History'!E115/'Price History'!E114-1),"")</f>
        <v>0.0114787911398082</v>
      </c>
      <c r="F114" s="136" t="n">
        <f aca="false">IFERROR(IF(OR(NOT(ISNUMBER('Price History'!F115)),NOT(ISNUMBER('Price History'!F114)),'Price History'!F114=0),"",'Price History'!F115/'Price History'!F114-1),"")</f>
        <v>0.0175307411100034</v>
      </c>
      <c r="G114" s="136" t="n">
        <f aca="false">IFERROR(IF(OR(NOT(ISNUMBER('Price History'!G115)),NOT(ISNUMBER('Price History'!G114)),'Price History'!G114=0),"",'Price History'!G115/'Price History'!G114-1),"")</f>
        <v>0.0350465094428263</v>
      </c>
      <c r="H114" s="136" t="n">
        <f aca="false">IFERROR(IF(OR(NOT(ISNUMBER('Price History'!H115)),NOT(ISNUMBER('Price History'!H114)),'Price History'!H114=0),"",'Price History'!H115/'Price History'!H114-1),"")</f>
        <v>0.194315508361417</v>
      </c>
      <c r="I114" s="136" t="n">
        <f aca="false">IFERROR(IF(OR(NOT(ISNUMBER('Price History'!I115)),NOT(ISNUMBER('Price History'!I114)),'Price History'!I114=0),"",'Price History'!I115/'Price History'!I114-1),"")</f>
        <v>0.0529210393400303</v>
      </c>
      <c r="J114" s="136" t="n">
        <f aca="false">IFERROR(IF(OR(NOT(ISNUMBER('Price History'!J115)),NOT(ISNUMBER('Price History'!J114)),'Price History'!J114=0),"",'Price History'!J115/'Price History'!J114-1),"")</f>
        <v>0.0251335493475786</v>
      </c>
      <c r="K114" s="136" t="n">
        <f aca="false">IFERROR(IF(OR(NOT(ISNUMBER('Price History'!K115)),NOT(ISNUMBER('Price History'!K114)),'Price History'!K114=0),"",'Price History'!K115/'Price History'!K114-1),"")</f>
        <v>-0.025342118601115</v>
      </c>
      <c r="L114" s="136" t="n">
        <f aca="false">IFERROR(IF(OR(NOT(ISNUMBER('Price History'!L115)),NOT(ISNUMBER('Price History'!L114)),'Price History'!L114=0),"",'Price History'!L115/'Price History'!L114-1),"")</f>
        <v>0.0688835235586771</v>
      </c>
      <c r="M114" s="136" t="n">
        <f aca="false">IFERROR(IF(OR(NOT(ISNUMBER('Price History'!M115)),NOT(ISNUMBER('Price History'!M114)),'Price History'!M114=0),"",'Price History'!M115/'Price History'!M114-1),"")</f>
        <v>0.155677391429808</v>
      </c>
      <c r="N114" s="136" t="n">
        <f aca="false">IFERROR(IF(OR(NOT(ISNUMBER('Price History'!N115)),NOT(ISNUMBER('Price History'!N114)),'Price History'!N114=0),"",'Price History'!N115/'Price History'!N114-1),"")</f>
        <v>0.0455228910665215</v>
      </c>
      <c r="O114" s="136" t="n">
        <f aca="false">IFERROR(IF(OR(NOT(ISNUMBER('Price History'!O115)),NOT(ISNUMBER('Price History'!O114)),'Price History'!O114=0),"",'Price History'!O115/'Price History'!O114-1),"")</f>
        <v>0.00109398309298858</v>
      </c>
      <c r="P114" s="136" t="str">
        <f aca="false">IFERROR(IF(OR(NOT(ISNUMBER('Price History'!P115)),NOT(ISNUMBER('Price History'!P114)),'Price History'!P114=0),"",'Price History'!P115/'Price History'!P114-1),"")</f>
        <v/>
      </c>
      <c r="Q114" s="136" t="n">
        <f aca="false">IFERROR(IF(OR(NOT(ISNUMBER('Price History'!Q115)),NOT(ISNUMBER('Price History'!Q114)),'Price History'!Q114=0),"",'Price History'!Q115/'Price History'!Q114-1),"")</f>
        <v>-0.00887257151598586</v>
      </c>
      <c r="R114" s="136" t="n">
        <f aca="false">IFERROR(IF(OR(NOT(ISNUMBER('Price History'!R115)),NOT(ISNUMBER('Price History'!R114)),'Price History'!R114=0),"",'Price History'!R115/'Price History'!R114-1),"")</f>
        <v>0.00052401746724895</v>
      </c>
      <c r="S114" s="136" t="n">
        <f aca="false">IFERROR(IF(OR(NOT(ISNUMBER('Price History'!S115)),NOT(ISNUMBER('Price History'!S114)),'Price History'!S114=0),"",'Price History'!S115/'Price History'!S114-1),"")</f>
        <v>-0.00406369215458613</v>
      </c>
      <c r="T114" s="136" t="n">
        <f aca="false">IFERROR(IF(OR(NOT(ISNUMBER('Price History'!T115)),NOT(ISNUMBER('Price History'!T114)),'Price History'!T114=0),"",'Price History'!T115/'Price History'!T114-1),"")</f>
        <v>0.00344462109167987</v>
      </c>
      <c r="U114" s="136" t="str">
        <f aca="false">IFERROR(IF(OR(NOT(ISNUMBER('Price History'!U115)),NOT(ISNUMBER('Price History'!U114)),'Price History'!U114=0),"",'Price History'!U115/'Price History'!U114-1),"")</f>
        <v/>
      </c>
      <c r="W114" s="137" t="n">
        <f aca="false">'Price History'!B3+('Price History'!B158-'Price History'!B3)*0.720779220779221</f>
        <v>322.46012987013</v>
      </c>
      <c r="X114" s="137" t="n">
        <f aca="false">'Price History'!C3+('Price History'!C158-'Price History'!C3)*0.720779220779221</f>
        <v>142.205649350649</v>
      </c>
      <c r="Y114" s="137" t="n">
        <f aca="false">'Price History'!D3+('Price History'!D158-'Price History'!D3)*0.720779220779221</f>
        <v>1358.93207792208</v>
      </c>
      <c r="Z114" s="137" t="n">
        <f aca="false">'Price History'!E3+('Price History'!E158-'Price History'!E3)*0.720779220779221</f>
        <v>303.754675324675</v>
      </c>
      <c r="AA114" s="137" t="n">
        <f aca="false">'Price History'!F3+('Price History'!F158-'Price History'!F3)*0.720779220779221</f>
        <v>147.915844155844</v>
      </c>
      <c r="AB114" s="137" t="n">
        <f aca="false">'Price History'!G3+('Price History'!G158-'Price History'!G3)*0.720779220779221</f>
        <v>145.147532467532</v>
      </c>
      <c r="AC114" s="137" t="n">
        <f aca="false">'Price History'!H3+('Price History'!H158-'Price History'!H3)*0.720779220779221</f>
        <v>611.196363636364</v>
      </c>
      <c r="AD114" s="137" t="n">
        <f aca="false">'Price History'!I3+('Price History'!I158-'Price History'!I3)*0.720779220779221</f>
        <v>156.102597402597</v>
      </c>
      <c r="AE114" s="137" t="n">
        <f aca="false">'Price History'!J3+('Price History'!J158-'Price History'!J3)*0.720779220779221</f>
        <v>138.718441558442</v>
      </c>
      <c r="AF114" s="137" t="n">
        <f aca="false">'Price History'!K3+('Price History'!K158-'Price History'!K3)*0.720779220779221</f>
        <v>93.0018831168831</v>
      </c>
      <c r="AG114" s="137" t="n">
        <f aca="false">'Price History'!L3+('Price History'!L158-'Price History'!L3)*0.720779220779221</f>
        <v>317.06051948052</v>
      </c>
      <c r="AH114" s="137" t="n">
        <f aca="false">'Price History'!M3+('Price History'!M158-'Price History'!M3)*0.720779220779221</f>
        <v>183.475324675325</v>
      </c>
      <c r="AI114" s="137" t="n">
        <f aca="false">'Price History'!N3+('Price History'!N158-'Price History'!N3)*0.720779220779221</f>
        <v>441.571948051948</v>
      </c>
      <c r="AJ114" s="137" t="n">
        <f aca="false">'Price History'!O3+('Price History'!O158-'Price History'!O3)*0.720779220779221</f>
        <v>113.432662337662</v>
      </c>
      <c r="AK114" s="137" t="n">
        <f aca="false">'Price History'!Q3+('Price History'!Q151-'Price History'!Q3)*0.720779220779221</f>
        <v>63.2537012987013</v>
      </c>
      <c r="AL114" s="137" t="n">
        <f aca="false">'Price History'!R3+('Price History'!R158-'Price History'!R3)*0.720779220779221</f>
        <v>55.3377272727273</v>
      </c>
      <c r="AM114" s="137" t="n">
        <f aca="false">'Price History'!S3+('Price History'!S158-'Price History'!S3)*0.720779220779221</f>
        <v>120.01525974026</v>
      </c>
      <c r="AN114" s="137" t="n">
        <f aca="false">'Price History'!T3+('Price History'!T158-'Price History'!T3)*0.720779220779221</f>
        <v>43.3653896103896</v>
      </c>
    </row>
    <row r="115" customFormat="false" ht="15" hidden="false" customHeight="true" outlineLevel="0" collapsed="false">
      <c r="A115" s="135" t="n">
        <f aca="false">IF('Price History'!A116="","",'Price History'!A116)</f>
        <v>45940</v>
      </c>
      <c r="B115" s="136" t="n">
        <f aca="false">IFERROR(IF(OR(NOT(ISNUMBER('Price History'!B116)),NOT(ISNUMBER('Price History'!B115)),'Price History'!B115=0),"",'Price History'!B116/'Price History'!B115-1),"")</f>
        <v>-0.026619368979639</v>
      </c>
      <c r="C115" s="136" t="n">
        <f aca="false">IFERROR(IF(OR(NOT(ISNUMBER('Price History'!C116)),NOT(ISNUMBER('Price History'!C115)),'Price History'!C115=0),"",'Price History'!C116/'Price History'!C115-1),"")</f>
        <v>0.059106529209622</v>
      </c>
      <c r="D115" s="136" t="n">
        <f aca="false">IFERROR(IF(OR(NOT(ISNUMBER('Price History'!D116)),NOT(ISNUMBER('Price History'!D115)),'Price History'!D115=0),"",'Price History'!D116/'Price History'!D115-1),"")</f>
        <v>-0.0930324930731821</v>
      </c>
      <c r="E115" s="136" t="n">
        <f aca="false">IFERROR(IF(OR(NOT(ISNUMBER('Price History'!E116)),NOT(ISNUMBER('Price History'!E115)),'Price History'!E115=0),"",'Price History'!E116/'Price History'!E115-1),"")</f>
        <v>-0.0406064367408459</v>
      </c>
      <c r="F115" s="136" t="n">
        <f aca="false">IFERROR(IF(OR(NOT(ISNUMBER('Price History'!F116)),NOT(ISNUMBER('Price History'!F115)),'Price History'!F115=0),"",'Price History'!F116/'Price History'!F115-1),"")</f>
        <v>0.00775700171470573</v>
      </c>
      <c r="G115" s="136" t="n">
        <f aca="false">IFERROR(IF(OR(NOT(ISNUMBER('Price History'!G116)),NOT(ISNUMBER('Price History'!G115)),'Price History'!G115=0),"",'Price History'!G116/'Price History'!G115-1),"")</f>
        <v>-0.107843137254902</v>
      </c>
      <c r="H115" s="136" t="n">
        <f aca="false">IFERROR(IF(OR(NOT(ISNUMBER('Price History'!H116)),NOT(ISNUMBER('Price History'!H115)),'Price History'!H115=0),"",'Price History'!H116/'Price History'!H115-1),"")</f>
        <v>-0.03316829047543</v>
      </c>
      <c r="I115" s="136" t="n">
        <f aca="false">IFERROR(IF(OR(NOT(ISNUMBER('Price History'!I116)),NOT(ISNUMBER('Price History'!I115)),'Price History'!I115=0),"",'Price History'!I116/'Price History'!I115-1),"")</f>
        <v>-0.0237714529367872</v>
      </c>
      <c r="J115" s="136" t="n">
        <f aca="false">IFERROR(IF(OR(NOT(ISNUMBER('Price History'!J116)),NOT(ISNUMBER('Price History'!J115)),'Price History'!J115=0),"",'Price History'!J116/'Price History'!J115-1),"")</f>
        <v>-0.0498035195626174</v>
      </c>
      <c r="K115" s="136" t="n">
        <f aca="false">IFERROR(IF(OR(NOT(ISNUMBER('Price History'!K116)),NOT(ISNUMBER('Price History'!K115)),'Price History'!K115=0),"",'Price History'!K116/'Price History'!K115-1),"")</f>
        <v>0.0136938810885769</v>
      </c>
      <c r="L115" s="136" t="n">
        <f aca="false">IFERROR(IF(OR(NOT(ISNUMBER('Price History'!L116)),NOT(ISNUMBER('Price History'!L115)),'Price History'!L115=0),"",'Price History'!L116/'Price History'!L115-1),"")</f>
        <v>-0.0394606249358294</v>
      </c>
      <c r="M115" s="136" t="n">
        <f aca="false">IFERROR(IF(OR(NOT(ISNUMBER('Price History'!M116)),NOT(ISNUMBER('Price History'!M115)),'Price History'!M115=0),"",'Price History'!M116/'Price History'!M115-1),"")</f>
        <v>0.0549937578027466</v>
      </c>
      <c r="N115" s="136" t="n">
        <f aca="false">IFERROR(IF(OR(NOT(ISNUMBER('Price History'!N116)),NOT(ISNUMBER('Price History'!N115)),'Price History'!N115=0),"",'Price History'!N116/'Price History'!N115-1),"")</f>
        <v>0.0111331515001241</v>
      </c>
      <c r="O115" s="136" t="n">
        <f aca="false">IFERROR(IF(OR(NOT(ISNUMBER('Price History'!O116)),NOT(ISNUMBER('Price History'!O115)),'Price History'!O115=0),"",'Price History'!O116/'Price History'!O115-1),"")</f>
        <v>-0.05434134710908</v>
      </c>
      <c r="P115" s="136" t="str">
        <f aca="false">IFERROR(IF(OR(NOT(ISNUMBER('Price History'!P116)),NOT(ISNUMBER('Price History'!P115)),'Price History'!P115=0),"",'Price History'!P116/'Price History'!P115-1),"")</f>
        <v/>
      </c>
      <c r="Q115" s="136" t="n">
        <f aca="false">IFERROR(IF(OR(NOT(ISNUMBER('Price History'!Q116)),NOT(ISNUMBER('Price History'!Q115)),'Price History'!Q115=0),"",'Price History'!Q116/'Price History'!Q115-1),"")</f>
        <v>0.0217626176879147</v>
      </c>
      <c r="R115" s="136" t="n">
        <f aca="false">IFERROR(IF(OR(NOT(ISNUMBER('Price History'!R116)),NOT(ISNUMBER('Price History'!R115)),'Price History'!R115=0),"",'Price History'!R116/'Price History'!R115-1),"")</f>
        <v>-0.0165851955307264</v>
      </c>
      <c r="S115" s="136" t="n">
        <f aca="false">IFERROR(IF(OR(NOT(ISNUMBER('Price History'!S116)),NOT(ISNUMBER('Price History'!S115)),'Price History'!S115=0),"",'Price History'!S116/'Price History'!S115-1),"")</f>
        <v>-0.0132400699475393</v>
      </c>
      <c r="T115" s="136" t="n">
        <f aca="false">IFERROR(IF(OR(NOT(ISNUMBER('Price History'!T116)),NOT(ISNUMBER('Price History'!T115)),'Price History'!T115=0),"",'Price History'!T116/'Price History'!T115-1),"")</f>
        <v>-0.0340639028254555</v>
      </c>
      <c r="U115" s="136" t="str">
        <f aca="false">IFERROR(IF(OR(NOT(ISNUMBER('Price History'!U116)),NOT(ISNUMBER('Price History'!U115)),'Price History'!U115=0),"",'Price History'!U116/'Price History'!U115-1),"")</f>
        <v/>
      </c>
      <c r="W115" s="137" t="n">
        <f aca="false">'Price History'!B3+('Price History'!B158-'Price History'!B3)*0.727272727272727</f>
        <v>320.784545454546</v>
      </c>
      <c r="X115" s="137" t="n">
        <f aca="false">'Price History'!C3+('Price History'!C158-'Price History'!C3)*0.727272727272727</f>
        <v>143.092727272727</v>
      </c>
      <c r="Y115" s="137" t="n">
        <f aca="false">'Price History'!D3+('Price History'!D158-'Price History'!D3)*0.727272727272727</f>
        <v>1365.21272727273</v>
      </c>
      <c r="Z115" s="137" t="n">
        <f aca="false">'Price History'!E3+('Price History'!E158-'Price History'!E3)*0.727272727272727</f>
        <v>305.743636363636</v>
      </c>
      <c r="AA115" s="137" t="n">
        <f aca="false">'Price History'!F3+('Price History'!F158-'Price History'!F3)*0.727272727272727</f>
        <v>148.914545454545</v>
      </c>
      <c r="AB115" s="137" t="n">
        <f aca="false">'Price History'!G3+('Price History'!G158-'Price History'!G3)*0.727272727272727</f>
        <v>146.023636363636</v>
      </c>
      <c r="AC115" s="137" t="n">
        <f aca="false">'Price History'!H3+('Price History'!H158-'Price History'!H3)*0.727272727272727</f>
        <v>616.122727272727</v>
      </c>
      <c r="AD115" s="137" t="n">
        <f aca="false">'Price History'!I3+('Price History'!I158-'Price History'!I3)*0.727272727272727</f>
        <v>157.140909090909</v>
      </c>
      <c r="AE115" s="137" t="n">
        <f aca="false">'Price History'!J3+('Price History'!J158-'Price History'!J3)*0.727272727272727</f>
        <v>138.855454545455</v>
      </c>
      <c r="AF115" s="137" t="n">
        <f aca="false">'Price History'!K3+('Price History'!K158-'Price History'!K3)*0.727272727272727</f>
        <v>93.7009090909091</v>
      </c>
      <c r="AG115" s="137" t="n">
        <f aca="false">'Price History'!L3+('Price History'!L158-'Price History'!L3)*0.727272727272727</f>
        <v>319.088181818182</v>
      </c>
      <c r="AH115" s="137" t="n">
        <f aca="false">'Price History'!M3+('Price History'!M158-'Price History'!M3)*0.727272727272727</f>
        <v>184.826363636364</v>
      </c>
      <c r="AI115" s="137" t="n">
        <f aca="false">'Price History'!N3+('Price History'!N158-'Price History'!N3)*0.727272727272727</f>
        <v>442.398181818182</v>
      </c>
      <c r="AJ115" s="137" t="n">
        <f aca="false">'Price History'!O3+('Price History'!O158-'Price History'!O3)*0.727272727272727</f>
        <v>113.708181818182</v>
      </c>
      <c r="AK115" s="137" t="n">
        <f aca="false">'Price History'!Q3+('Price History'!Q151-'Price History'!Q3)*0.727272727272727</f>
        <v>63.3745454545455</v>
      </c>
      <c r="AL115" s="137" t="n">
        <f aca="false">'Price History'!R3+('Price History'!R158-'Price History'!R3)*0.727272727272727</f>
        <v>55.4054545454545</v>
      </c>
      <c r="AM115" s="137" t="n">
        <f aca="false">'Price History'!S3+('Price History'!S158-'Price History'!S3)*0.727272727272727</f>
        <v>120.569090909091</v>
      </c>
      <c r="AN115" s="137" t="n">
        <f aca="false">'Price History'!T3+('Price History'!T158-'Price History'!T3)*0.727272727272727</f>
        <v>43.5136363636364</v>
      </c>
    </row>
    <row r="116" customFormat="false" ht="15" hidden="false" customHeight="true" outlineLevel="0" collapsed="false">
      <c r="A116" s="135" t="n">
        <f aca="false">IF('Price History'!A117="","",'Price History'!A117)</f>
        <v>45947</v>
      </c>
      <c r="B116" s="136" t="n">
        <f aca="false">IFERROR(IF(OR(NOT(ISNUMBER('Price History'!B117)),NOT(ISNUMBER('Price History'!B116)),'Price History'!B116=0),"",'Price History'!B117/'Price History'!B116-1),"")</f>
        <v>-0.0125922194897929</v>
      </c>
      <c r="C116" s="136" t="n">
        <f aca="false">IFERROR(IF(OR(NOT(ISNUMBER('Price History'!C117)),NOT(ISNUMBER('Price History'!C116)),'Price History'!C116=0),"",'Price History'!C117/'Price History'!C116-1),"")</f>
        <v>-0.0713822193380922</v>
      </c>
      <c r="D116" s="136" t="n">
        <f aca="false">IFERROR(IF(OR(NOT(ISNUMBER('Price History'!D117)),NOT(ISNUMBER('Price History'!D116)),'Price History'!D116=0),"",'Price History'!D117/'Price History'!D116-1),"")</f>
        <v>0.099424262169004</v>
      </c>
      <c r="E116" s="136" t="n">
        <f aca="false">IFERROR(IF(OR(NOT(ISNUMBER('Price History'!E117)),NOT(ISNUMBER('Price History'!E116)),'Price History'!E116=0),"",'Price History'!E117/'Price History'!E116-1),"")</f>
        <v>0.0760866216923883</v>
      </c>
      <c r="F116" s="136" t="n">
        <f aca="false">IFERROR(IF(OR(NOT(ISNUMBER('Price History'!F117)),NOT(ISNUMBER('Price History'!F116)),'Price History'!F116=0),"",'Price History'!F117/'Price History'!F116-1),"")</f>
        <v>-0.0183114568141306</v>
      </c>
      <c r="G116" s="136" t="n">
        <f aca="false">IFERROR(IF(OR(NOT(ISNUMBER('Price History'!G117)),NOT(ISNUMBER('Price History'!G116)),'Price History'!G116=0),"",'Price History'!G117/'Price History'!G116-1),"")</f>
        <v>0.126068376068376</v>
      </c>
      <c r="H116" s="136" t="n">
        <f aca="false">IFERROR(IF(OR(NOT(ISNUMBER('Price History'!H117)),NOT(ISNUMBER('Price History'!H116)),'Price History'!H116=0),"",'Price History'!H117/'Price History'!H116-1),"")</f>
        <v>0.11442731277533</v>
      </c>
      <c r="I116" s="136" t="n">
        <f aca="false">IFERROR(IF(OR(NOT(ISNUMBER('Price History'!I117)),NOT(ISNUMBER('Price History'!I116)),'Price History'!I116=0),"",'Price History'!I117/'Price History'!I116-1),"")</f>
        <v>0.000327582441581153</v>
      </c>
      <c r="J116" s="136" t="n">
        <f aca="false">IFERROR(IF(OR(NOT(ISNUMBER('Price History'!J117)),NOT(ISNUMBER('Price History'!J116)),'Price History'!J116=0),"",'Price History'!J117/'Price History'!J116-1),"")</f>
        <v>0.11552638676616</v>
      </c>
      <c r="K116" s="136" t="n">
        <f aca="false">IFERROR(IF(OR(NOT(ISNUMBER('Price History'!K117)),NOT(ISNUMBER('Price History'!K116)),'Price History'!K116=0),"",'Price History'!K117/'Price History'!K116-1),"")</f>
        <v>0.0154468764249887</v>
      </c>
      <c r="L116" s="136" t="n">
        <f aca="false">IFERROR(IF(OR(NOT(ISNUMBER('Price History'!L117)),NOT(ISNUMBER('Price History'!L116)),'Price History'!L116=0),"",'Price History'!L117/'Price History'!L116-1),"")</f>
        <v>0.0513788926102756</v>
      </c>
      <c r="M116" s="136" t="n">
        <f aca="false">IFERROR(IF(OR(NOT(ISNUMBER('Price History'!M117)),NOT(ISNUMBER('Price History'!M116)),'Price History'!M116=0),"",'Price History'!M117/'Price History'!M116-1),"")</f>
        <v>0.0295248801846044</v>
      </c>
      <c r="N116" s="136" t="n">
        <f aca="false">IFERROR(IF(OR(NOT(ISNUMBER('Price History'!N117)),NOT(ISNUMBER('Price History'!N116)),'Price History'!N116=0),"",'Price History'!N117/'Price History'!N116-1),"")</f>
        <v>0.022119228034037</v>
      </c>
      <c r="O116" s="136" t="n">
        <f aca="false">IFERROR(IF(OR(NOT(ISNUMBER('Price History'!O117)),NOT(ISNUMBER('Price History'!O116)),'Price History'!O116=0),"",'Price History'!O117/'Price History'!O116-1),"")</f>
        <v>0.0196449206849461</v>
      </c>
      <c r="P116" s="136" t="str">
        <f aca="false">IFERROR(IF(OR(NOT(ISNUMBER('Price History'!P117)),NOT(ISNUMBER('Price History'!P116)),'Price History'!P116=0),"",'Price History'!P117/'Price History'!P116-1),"")</f>
        <v/>
      </c>
      <c r="Q116" s="136" t="n">
        <f aca="false">IFERROR(IF(OR(NOT(ISNUMBER('Price History'!Q117)),NOT(ISNUMBER('Price History'!Q116)),'Price History'!Q116=0),"",'Price History'!Q117/'Price History'!Q116-1),"")</f>
        <v>0.00226586102719017</v>
      </c>
      <c r="R116" s="136" t="n">
        <f aca="false">IFERROR(IF(OR(NOT(ISNUMBER('Price History'!R117)),NOT(ISNUMBER('Price History'!R116)),'Price History'!R116=0),"",'Price History'!R117/'Price History'!R116-1),"")</f>
        <v>0.0204154091958104</v>
      </c>
      <c r="S116" s="136" t="n">
        <f aca="false">IFERROR(IF(OR(NOT(ISNUMBER('Price History'!S117)),NOT(ISNUMBER('Price History'!S116)),'Price History'!S116=0),"",'Price History'!S117/'Price History'!S116-1),"")</f>
        <v>0.0162025316455696</v>
      </c>
      <c r="T116" s="136" t="n">
        <f aca="false">IFERROR(IF(OR(NOT(ISNUMBER('Price History'!T117)),NOT(ISNUMBER('Price History'!T116)),'Price History'!T116=0),"",'Price History'!T117/'Price History'!T116-1),"")</f>
        <v>0.0139420448332424</v>
      </c>
      <c r="U116" s="136" t="str">
        <f aca="false">IFERROR(IF(OR(NOT(ISNUMBER('Price History'!U117)),NOT(ISNUMBER('Price History'!U116)),'Price History'!U116=0),"",'Price History'!U117/'Price History'!U116-1),"")</f>
        <v/>
      </c>
      <c r="W116" s="137" t="n">
        <f aca="false">'Price History'!B3+('Price History'!B158-'Price History'!B3)*0.733766233766234</f>
        <v>319.108961038961</v>
      </c>
      <c r="X116" s="137" t="n">
        <f aca="false">'Price History'!C3+('Price History'!C158-'Price History'!C3)*0.733766233766234</f>
        <v>143.979805194805</v>
      </c>
      <c r="Y116" s="137" t="n">
        <f aca="false">'Price History'!D3+('Price History'!D158-'Price History'!D3)*0.733766233766234</f>
        <v>1371.49337662338</v>
      </c>
      <c r="Z116" s="137" t="n">
        <f aca="false">'Price History'!E3+('Price History'!E158-'Price History'!E3)*0.733766233766234</f>
        <v>307.732597402597</v>
      </c>
      <c r="AA116" s="137" t="n">
        <f aca="false">'Price History'!F3+('Price History'!F158-'Price History'!F3)*0.733766233766234</f>
        <v>149.913246753247</v>
      </c>
      <c r="AB116" s="137" t="n">
        <f aca="false">'Price History'!G3+('Price History'!G158-'Price History'!G3)*0.733766233766234</f>
        <v>146.89974025974</v>
      </c>
      <c r="AC116" s="137" t="n">
        <f aca="false">'Price History'!H3+('Price History'!H158-'Price History'!H3)*0.733766233766234</f>
        <v>621.049090909091</v>
      </c>
      <c r="AD116" s="137" t="n">
        <f aca="false">'Price History'!I3+('Price History'!I158-'Price History'!I3)*0.733766233766234</f>
        <v>158.179220779221</v>
      </c>
      <c r="AE116" s="137" t="n">
        <f aca="false">'Price History'!J3+('Price History'!J158-'Price History'!J3)*0.733766233766234</f>
        <v>138.992467532468</v>
      </c>
      <c r="AF116" s="137" t="n">
        <f aca="false">'Price History'!K3+('Price History'!K158-'Price History'!K3)*0.733766233766234</f>
        <v>94.3999350649351</v>
      </c>
      <c r="AG116" s="137" t="n">
        <f aca="false">'Price History'!L3+('Price History'!L158-'Price History'!L3)*0.733766233766234</f>
        <v>321.115844155844</v>
      </c>
      <c r="AH116" s="137" t="n">
        <f aca="false">'Price History'!M3+('Price History'!M158-'Price History'!M3)*0.733766233766234</f>
        <v>186.177402597403</v>
      </c>
      <c r="AI116" s="137" t="n">
        <f aca="false">'Price History'!N3+('Price History'!N158-'Price History'!N3)*0.733766233766234</f>
        <v>443.224415584416</v>
      </c>
      <c r="AJ116" s="137" t="n">
        <f aca="false">'Price History'!O3+('Price History'!O158-'Price History'!O3)*0.733766233766234</f>
        <v>113.983701298701</v>
      </c>
      <c r="AK116" s="137" t="n">
        <f aca="false">'Price History'!Q3+('Price History'!Q151-'Price History'!Q3)*0.733766233766234</f>
        <v>63.4953896103896</v>
      </c>
      <c r="AL116" s="137" t="n">
        <f aca="false">'Price History'!R3+('Price History'!R158-'Price History'!R3)*0.733766233766234</f>
        <v>55.4731818181818</v>
      </c>
      <c r="AM116" s="137" t="n">
        <f aca="false">'Price History'!S3+('Price History'!S158-'Price History'!S3)*0.733766233766234</f>
        <v>121.122922077922</v>
      </c>
      <c r="AN116" s="137" t="n">
        <f aca="false">'Price History'!T3+('Price History'!T158-'Price History'!T3)*0.733766233766234</f>
        <v>43.6618831168831</v>
      </c>
    </row>
    <row r="117" customFormat="false" ht="15" hidden="false" customHeight="true" outlineLevel="0" collapsed="false">
      <c r="A117" s="135" t="n">
        <f aca="false">IF('Price History'!A118="","",'Price History'!A118)</f>
        <v>45954</v>
      </c>
      <c r="B117" s="136" t="n">
        <f aca="false">IFERROR(IF(OR(NOT(ISNUMBER('Price History'!B118)),NOT(ISNUMBER('Price History'!B117)),'Price History'!B117=0),"",'Price History'!B118/'Price History'!B117-1),"")</f>
        <v>0.0607933745423992</v>
      </c>
      <c r="C117" s="136" t="n">
        <f aca="false">IFERROR(IF(OR(NOT(ISNUMBER('Price History'!C118)),NOT(ISNUMBER('Price History'!C117)),'Price History'!C117=0),"",'Price History'!C118/'Price History'!C117-1),"")</f>
        <v>0.0749126484975542</v>
      </c>
      <c r="D117" s="136" t="n">
        <f aca="false">IFERROR(IF(OR(NOT(ISNUMBER('Price History'!D118)),NOT(ISNUMBER('Price History'!D117)),'Price History'!D117=0),"",'Price History'!D118/'Price History'!D117-1),"")</f>
        <v>0.00372108387497927</v>
      </c>
      <c r="E117" s="136" t="n">
        <f aca="false">IFERROR(IF(OR(NOT(ISNUMBER('Price History'!E118)),NOT(ISNUMBER('Price History'!E117)),'Price History'!E117=0),"",'Price History'!E118/'Price History'!E117-1),"")</f>
        <v>0.0137405891277589</v>
      </c>
      <c r="F117" s="136" t="n">
        <f aca="false">IFERROR(IF(OR(NOT(ISNUMBER('Price History'!F118)),NOT(ISNUMBER('Price History'!F117)),'Price History'!F117=0),"",'Price History'!F118/'Price History'!F117-1),"")</f>
        <v>0.0880653681082868</v>
      </c>
      <c r="G117" s="136" t="n">
        <f aca="false">IFERROR(IF(OR(NOT(ISNUMBER('Price History'!G118)),NOT(ISNUMBER('Price History'!G117)),'Price History'!G117=0),"",'Price History'!G118/'Price History'!G117-1),"")</f>
        <v>0.0687629890665944</v>
      </c>
      <c r="H117" s="136" t="n">
        <f aca="false">IFERROR(IF(OR(NOT(ISNUMBER('Price History'!H118)),NOT(ISNUMBER('Price History'!H117)),'Price History'!H117=0),"",'Price History'!H118/'Price History'!H117-1),"")</f>
        <v>0.0822215633955925</v>
      </c>
      <c r="I117" s="136" t="n">
        <f aca="false">IFERROR(IF(OR(NOT(ISNUMBER('Price History'!I118)),NOT(ISNUMBER('Price History'!I117)),'Price History'!I117=0),"",'Price History'!I118/'Price History'!I117-1),"")</f>
        <v>0.0165920751009714</v>
      </c>
      <c r="J117" s="136" t="n">
        <f aca="false">IFERROR(IF(OR(NOT(ISNUMBER('Price History'!J118)),NOT(ISNUMBER('Price History'!J117)),'Price History'!J117=0),"",'Price History'!J118/'Price History'!J117-1),"")</f>
        <v>0.018939393939394</v>
      </c>
      <c r="K117" s="136" t="n">
        <f aca="false">IFERROR(IF(OR(NOT(ISNUMBER('Price History'!K118)),NOT(ISNUMBER('Price History'!K117)),'Price History'!K117=0),"",'Price History'!K118/'Price History'!K117-1),"")</f>
        <v>0.0363738422677518</v>
      </c>
      <c r="L117" s="136" t="n">
        <f aca="false">IFERROR(IF(OR(NOT(ISNUMBER('Price History'!L118)),NOT(ISNUMBER('Price History'!L117)),'Price History'!L117=0),"",'Price History'!L118/'Price History'!L117-1),"")</f>
        <v>-0.000406669377795876</v>
      </c>
      <c r="M117" s="136" t="n">
        <f aca="false">IFERROR(IF(OR(NOT(ISNUMBER('Price History'!M118)),NOT(ISNUMBER('Price History'!M117)),'Price History'!M117=0),"",'Price History'!M118/'Price History'!M117-1),"")</f>
        <v>0.0693103448275863</v>
      </c>
      <c r="N117" s="136" t="n">
        <f aca="false">IFERROR(IF(OR(NOT(ISNUMBER('Price History'!N118)),NOT(ISNUMBER('Price History'!N117)),'Price History'!N117=0),"",'Price History'!N118/'Price History'!N117-1),"")</f>
        <v>0.0109882200523019</v>
      </c>
      <c r="O117" s="136" t="n">
        <f aca="false">IFERROR(IF(OR(NOT(ISNUMBER('Price History'!O118)),NOT(ISNUMBER('Price History'!O117)),'Price History'!O117=0),"",'Price History'!O118/'Price History'!O117-1),"")</f>
        <v>0.0293632804450854</v>
      </c>
      <c r="P117" s="136" t="str">
        <f aca="false">IFERROR(IF(OR(NOT(ISNUMBER('Price History'!P118)),NOT(ISNUMBER('Price History'!P117)),'Price History'!P117=0),"",'Price History'!P118/'Price History'!P117-1),"")</f>
        <v/>
      </c>
      <c r="Q117" s="136" t="n">
        <f aca="false">IFERROR(IF(OR(NOT(ISNUMBER('Price History'!Q118)),NOT(ISNUMBER('Price History'!Q117)),'Price History'!Q117=0),"",'Price History'!Q118/'Price History'!Q117-1),"")</f>
        <v>-0.00120572720422008</v>
      </c>
      <c r="R117" s="136" t="n">
        <f aca="false">IFERROR(IF(OR(NOT(ISNUMBER('Price History'!R118)),NOT(ISNUMBER('Price History'!R117)),'Price History'!R117=0),"",'Price History'!R118/'Price History'!R117-1),"")</f>
        <v>0.0186151704940849</v>
      </c>
      <c r="S117" s="136" t="n">
        <f aca="false">IFERROR(IF(OR(NOT(ISNUMBER('Price History'!S118)),NOT(ISNUMBER('Price History'!S117)),'Price History'!S117=0),"",'Price History'!S118/'Price History'!S117-1),"")</f>
        <v>0.0107125062282012</v>
      </c>
      <c r="T117" s="136" t="n">
        <f aca="false">IFERROR(IF(OR(NOT(ISNUMBER('Price History'!T118)),NOT(ISNUMBER('Price History'!T117)),'Price History'!T117=0),"",'Price History'!T118/'Price History'!T117-1),"")</f>
        <v>0.0261526017794553</v>
      </c>
      <c r="U117" s="136" t="str">
        <f aca="false">IFERROR(IF(OR(NOT(ISNUMBER('Price History'!U118)),NOT(ISNUMBER('Price History'!U117)),'Price History'!U117=0),"",'Price History'!U118/'Price History'!U117-1),"")</f>
        <v/>
      </c>
      <c r="W117" s="137" t="n">
        <f aca="false">'Price History'!B3+('Price History'!B158-'Price History'!B3)*0.74025974025974</f>
        <v>317.433376623377</v>
      </c>
      <c r="X117" s="137" t="n">
        <f aca="false">'Price History'!C3+('Price History'!C158-'Price History'!C3)*0.74025974025974</f>
        <v>144.866883116883</v>
      </c>
      <c r="Y117" s="137" t="n">
        <f aca="false">'Price History'!D3+('Price History'!D158-'Price History'!D3)*0.74025974025974</f>
        <v>1377.77402597403</v>
      </c>
      <c r="Z117" s="137" t="n">
        <f aca="false">'Price History'!E3+('Price History'!E158-'Price History'!E3)*0.74025974025974</f>
        <v>309.721558441558</v>
      </c>
      <c r="AA117" s="137" t="n">
        <f aca="false">'Price History'!F3+('Price History'!F158-'Price History'!F3)*0.74025974025974</f>
        <v>150.911948051948</v>
      </c>
      <c r="AB117" s="137" t="n">
        <f aca="false">'Price History'!G3+('Price History'!G158-'Price History'!G3)*0.74025974025974</f>
        <v>147.775844155844</v>
      </c>
      <c r="AC117" s="137" t="n">
        <f aca="false">'Price History'!H3+('Price History'!H158-'Price History'!H3)*0.74025974025974</f>
        <v>625.975454545454</v>
      </c>
      <c r="AD117" s="137" t="n">
        <f aca="false">'Price History'!I3+('Price History'!I158-'Price History'!I3)*0.74025974025974</f>
        <v>159.217532467532</v>
      </c>
      <c r="AE117" s="137" t="n">
        <f aca="false">'Price History'!J3+('Price History'!J158-'Price History'!J3)*0.74025974025974</f>
        <v>139.129480519481</v>
      </c>
      <c r="AF117" s="137" t="n">
        <f aca="false">'Price History'!K3+('Price History'!K158-'Price History'!K3)*0.74025974025974</f>
        <v>95.098961038961</v>
      </c>
      <c r="AG117" s="137" t="n">
        <f aca="false">'Price History'!L3+('Price History'!L158-'Price History'!L3)*0.74025974025974</f>
        <v>323.143506493506</v>
      </c>
      <c r="AH117" s="137" t="n">
        <f aca="false">'Price History'!M3+('Price History'!M158-'Price History'!M3)*0.74025974025974</f>
        <v>187.528441558442</v>
      </c>
      <c r="AI117" s="137" t="n">
        <f aca="false">'Price History'!N3+('Price History'!N158-'Price History'!N3)*0.74025974025974</f>
        <v>444.050649350649</v>
      </c>
      <c r="AJ117" s="137" t="n">
        <f aca="false">'Price History'!O3+('Price History'!O158-'Price History'!O3)*0.74025974025974</f>
        <v>114.259220779221</v>
      </c>
      <c r="AK117" s="137" t="n">
        <f aca="false">'Price History'!Q3+('Price History'!Q151-'Price History'!Q3)*0.74025974025974</f>
        <v>63.6162337662338</v>
      </c>
      <c r="AL117" s="137" t="n">
        <f aca="false">'Price History'!R3+('Price History'!R158-'Price History'!R3)*0.74025974025974</f>
        <v>55.5409090909091</v>
      </c>
      <c r="AM117" s="137" t="n">
        <f aca="false">'Price History'!S3+('Price History'!S158-'Price History'!S3)*0.74025974025974</f>
        <v>121.676753246753</v>
      </c>
      <c r="AN117" s="137" t="n">
        <f aca="false">'Price History'!T3+('Price History'!T158-'Price History'!T3)*0.74025974025974</f>
        <v>43.8101298701299</v>
      </c>
    </row>
    <row r="118" customFormat="false" ht="15" hidden="false" customHeight="true" outlineLevel="0" collapsed="false">
      <c r="A118" s="135" t="n">
        <f aca="false">IF('Price History'!A119="","",'Price History'!A119)</f>
        <v>45961</v>
      </c>
      <c r="B118" s="136" t="n">
        <f aca="false">IFERROR(IF(OR(NOT(ISNUMBER('Price History'!B119)),NOT(ISNUMBER('Price History'!B118)),'Price History'!B118=0),"",'Price History'!B119/'Price History'!B118-1),"")</f>
        <v>-0.037367051369088</v>
      </c>
      <c r="C118" s="136" t="n">
        <f aca="false">IFERROR(IF(OR(NOT(ISNUMBER('Price History'!C119)),NOT(ISNUMBER('Price History'!C118)),'Price History'!C118=0),"",'Price History'!C119/'Price History'!C118-1),"")</f>
        <v>0.0251592770771032</v>
      </c>
      <c r="D118" s="136" t="n">
        <f aca="false">IFERROR(IF(OR(NOT(ISNUMBER('Price History'!D119)),NOT(ISNUMBER('Price History'!D118)),'Price History'!D118=0),"",'Price History'!D119/'Price History'!D118-1),"")</f>
        <v>0.0252928080534316</v>
      </c>
      <c r="E118" s="136" t="n">
        <f aca="false">IFERROR(IF(OR(NOT(ISNUMBER('Price History'!E119)),NOT(ISNUMBER('Price History'!E118)),'Price History'!E118=0),"",'Price History'!E119/'Price History'!E118-1),"")</f>
        <v>0.0437692372857426</v>
      </c>
      <c r="F118" s="136" t="n">
        <f aca="false">IFERROR(IF(OR(NOT(ISNUMBER('Price History'!F119)),NOT(ISNUMBER('Price History'!F118)),'Price History'!F118=0),"",'Price History'!F119/'Price History'!F118-1),"")</f>
        <v>0.029735265114162</v>
      </c>
      <c r="G118" s="136" t="n">
        <f aca="false">IFERROR(IF(OR(NOT(ISNUMBER('Price History'!G119)),NOT(ISNUMBER('Price History'!G118)),'Price History'!G118=0),"",'Price History'!G119/'Price History'!G118-1),"")</f>
        <v>0.021897193101116</v>
      </c>
      <c r="H118" s="136" t="n">
        <f aca="false">IFERROR(IF(OR(NOT(ISNUMBER('Price History'!H119)),NOT(ISNUMBER('Price History'!H118)),'Price History'!H118=0),"",'Price History'!H119/'Price History'!H118-1),"")</f>
        <v>0.0216875171217241</v>
      </c>
      <c r="I118" s="136" t="n">
        <f aca="false">IFERROR(IF(OR(NOT(ISNUMBER('Price History'!I119)),NOT(ISNUMBER('Price History'!I118)),'Price History'!I118=0),"",'Price History'!I119/'Price History'!I118-1),"")</f>
        <v>0.0871362611403415</v>
      </c>
      <c r="J118" s="136" t="n">
        <f aca="false">IFERROR(IF(OR(NOT(ISNUMBER('Price History'!J119)),NOT(ISNUMBER('Price History'!J118)),'Price History'!J118=0),"",'Price History'!J119/'Price History'!J118-1),"")</f>
        <v>-0.0185082654433284</v>
      </c>
      <c r="K118" s="136" t="n">
        <f aca="false">IFERROR(IF(OR(NOT(ISNUMBER('Price History'!K119)),NOT(ISNUMBER('Price History'!K118)),'Price History'!K118=0),"",'Price History'!K119/'Price History'!K118-1),"")</f>
        <v>0.0857932080376971</v>
      </c>
      <c r="L118" s="136" t="n">
        <f aca="false">IFERROR(IF(OR(NOT(ISNUMBER('Price History'!L119)),NOT(ISNUMBER('Price History'!L118)),'Price History'!L118=0),"",'Price History'!L119/'Price History'!L118-1),"")</f>
        <v>0.0185448874423653</v>
      </c>
      <c r="M118" s="136" t="n">
        <f aca="false">IFERROR(IF(OR(NOT(ISNUMBER('Price History'!M119)),NOT(ISNUMBER('Price History'!M118)),'Price History'!M118=0),"",'Price History'!M119/'Price History'!M118-1),"")</f>
        <v>0.0365473503171021</v>
      </c>
      <c r="N118" s="136" t="n">
        <f aca="false">IFERROR(IF(OR(NOT(ISNUMBER('Price History'!N119)),NOT(ISNUMBER('Price History'!N118)),'Price History'!N118=0),"",'Price History'!N119/'Price History'!N118-1),"")</f>
        <v>0.00991955195899297</v>
      </c>
      <c r="O118" s="136" t="n">
        <f aca="false">IFERROR(IF(OR(NOT(ISNUMBER('Price History'!O119)),NOT(ISNUMBER('Price History'!O118)),'Price History'!O118=0),"",'Price History'!O119/'Price History'!O118-1),"")</f>
        <v>-0.0211190071063958</v>
      </c>
      <c r="P118" s="136" t="str">
        <f aca="false">IFERROR(IF(OR(NOT(ISNUMBER('Price History'!P119)),NOT(ISNUMBER('Price History'!P118)),'Price History'!P118=0),"",'Price History'!P119/'Price History'!P118-1),"")</f>
        <v/>
      </c>
      <c r="Q118" s="136" t="n">
        <f aca="false">IFERROR(IF(OR(NOT(ISNUMBER('Price History'!Q119)),NOT(ISNUMBER('Price History'!Q118)),'Price History'!Q118=0),"",'Price History'!Q119/'Price History'!Q118-1),"")</f>
        <v>0.000301795684321871</v>
      </c>
      <c r="R118" s="136" t="n">
        <f aca="false">IFERROR(IF(OR(NOT(ISNUMBER('Price History'!R119)),NOT(ISNUMBER('Price History'!R118)),'Price History'!R118=0),"",'Price History'!R119/'Price History'!R118-1),"")</f>
        <v>0.00939368061485912</v>
      </c>
      <c r="S118" s="136" t="n">
        <f aca="false">IFERROR(IF(OR(NOT(ISNUMBER('Price History'!S119)),NOT(ISNUMBER('Price History'!S118)),'Price History'!S118=0),"",'Price History'!S119/'Price History'!S118-1),"")</f>
        <v>-8.21625174594054E-005</v>
      </c>
      <c r="T118" s="136" t="n">
        <f aca="false">IFERROR(IF(OR(NOT(ISNUMBER('Price History'!T119)),NOT(ISNUMBER('Price History'!T118)),'Price History'!T118=0),"",'Price History'!T119/'Price History'!T118-1),"")</f>
        <v>-0.0063058328954283</v>
      </c>
      <c r="U118" s="136" t="str">
        <f aca="false">IFERROR(IF(OR(NOT(ISNUMBER('Price History'!U119)),NOT(ISNUMBER('Price History'!U118)),'Price History'!U118=0),"",'Price History'!U119/'Price History'!U118-1),"")</f>
        <v/>
      </c>
      <c r="W118" s="137" t="n">
        <f aca="false">'Price History'!B3+('Price History'!B158-'Price History'!B3)*0.746753246753247</f>
        <v>315.757792207792</v>
      </c>
      <c r="X118" s="137" t="n">
        <f aca="false">'Price History'!C3+('Price History'!C158-'Price History'!C3)*0.746753246753247</f>
        <v>145.753961038961</v>
      </c>
      <c r="Y118" s="137" t="n">
        <f aca="false">'Price History'!D3+('Price History'!D158-'Price History'!D3)*0.746753246753247</f>
        <v>1384.05467532468</v>
      </c>
      <c r="Z118" s="137" t="n">
        <f aca="false">'Price History'!E3+('Price History'!E158-'Price History'!E3)*0.746753246753247</f>
        <v>311.71051948052</v>
      </c>
      <c r="AA118" s="137" t="n">
        <f aca="false">'Price History'!F3+('Price History'!F158-'Price History'!F3)*0.746753246753247</f>
        <v>151.910649350649</v>
      </c>
      <c r="AB118" s="137" t="n">
        <f aca="false">'Price History'!G3+('Price History'!G158-'Price History'!G3)*0.746753246753247</f>
        <v>148.651948051948</v>
      </c>
      <c r="AC118" s="137" t="n">
        <f aca="false">'Price History'!H3+('Price History'!H158-'Price History'!H3)*0.746753246753247</f>
        <v>630.901818181818</v>
      </c>
      <c r="AD118" s="137" t="n">
        <f aca="false">'Price History'!I3+('Price History'!I158-'Price History'!I3)*0.746753246753247</f>
        <v>160.255844155844</v>
      </c>
      <c r="AE118" s="137" t="n">
        <f aca="false">'Price History'!J3+('Price History'!J158-'Price History'!J3)*0.746753246753247</f>
        <v>139.266493506494</v>
      </c>
      <c r="AF118" s="137" t="n">
        <f aca="false">'Price History'!K3+('Price History'!K158-'Price History'!K3)*0.746753246753247</f>
        <v>95.797987012987</v>
      </c>
      <c r="AG118" s="137" t="n">
        <f aca="false">'Price History'!L3+('Price History'!L158-'Price History'!L3)*0.746753246753247</f>
        <v>325.171168831169</v>
      </c>
      <c r="AH118" s="137" t="n">
        <f aca="false">'Price History'!M3+('Price History'!M158-'Price History'!M3)*0.746753246753247</f>
        <v>188.879480519481</v>
      </c>
      <c r="AI118" s="137" t="n">
        <f aca="false">'Price History'!N3+('Price History'!N158-'Price History'!N3)*0.746753246753247</f>
        <v>444.876883116883</v>
      </c>
      <c r="AJ118" s="137" t="n">
        <f aca="false">'Price History'!O3+('Price History'!O158-'Price History'!O3)*0.746753246753247</f>
        <v>114.53474025974</v>
      </c>
      <c r="AK118" s="137" t="n">
        <f aca="false">'Price History'!Q3+('Price History'!Q151-'Price History'!Q3)*0.746753246753247</f>
        <v>63.7370779220779</v>
      </c>
      <c r="AL118" s="137" t="n">
        <f aca="false">'Price History'!R3+('Price History'!R158-'Price History'!R3)*0.746753246753247</f>
        <v>55.6086363636364</v>
      </c>
      <c r="AM118" s="137" t="n">
        <f aca="false">'Price History'!S3+('Price History'!S158-'Price History'!S3)*0.746753246753247</f>
        <v>122.230584415584</v>
      </c>
      <c r="AN118" s="137" t="n">
        <f aca="false">'Price History'!T3+('Price History'!T158-'Price History'!T3)*0.746753246753247</f>
        <v>43.9583766233766</v>
      </c>
    </row>
    <row r="119" customFormat="false" ht="15" hidden="false" customHeight="true" outlineLevel="0" collapsed="false">
      <c r="A119" s="135" t="n">
        <f aca="false">IF('Price History'!A120="","",'Price History'!A120)</f>
        <v>45968</v>
      </c>
      <c r="B119" s="136" t="n">
        <f aca="false">IFERROR(IF(OR(NOT(ISNUMBER('Price History'!B120)),NOT(ISNUMBER('Price History'!B119)),'Price History'!B119=0),"",'Price History'!B120/'Price History'!B119-1),"")</f>
        <v>-0.0392583232934678</v>
      </c>
      <c r="C119" s="136" t="n">
        <f aca="false">IFERROR(IF(OR(NOT(ISNUMBER('Price History'!C120)),NOT(ISNUMBER('Price History'!C119)),'Price History'!C119=0),"",'Price History'!C120/'Price History'!C119-1),"")</f>
        <v>-0.146109455260321</v>
      </c>
      <c r="D119" s="136" t="n">
        <f aca="false">IFERROR(IF(OR(NOT(ISNUMBER('Price History'!D120)),NOT(ISNUMBER('Price History'!D119)),'Price History'!D119=0),"",'Price History'!D120/'Price History'!D119-1),"")</f>
        <v>-0.0399063470634329</v>
      </c>
      <c r="E119" s="136" t="n">
        <f aca="false">IFERROR(IF(OR(NOT(ISNUMBER('Price History'!E120)),NOT(ISNUMBER('Price History'!E119)),'Price History'!E119=0),"",'Price History'!E120/'Price History'!E119-1),"")</f>
        <v>-0.054649243838433</v>
      </c>
      <c r="F119" s="136" t="n">
        <f aca="false">IFERROR(IF(OR(NOT(ISNUMBER('Price History'!F120)),NOT(ISNUMBER('Price History'!F119)),'Price History'!F119=0),"",'Price History'!F120/'Price History'!F119-1),"")</f>
        <v>-0.00589318600368327</v>
      </c>
      <c r="G119" s="136" t="n">
        <f aca="false">IFERROR(IF(OR(NOT(ISNUMBER('Price History'!G120)),NOT(ISNUMBER('Price History'!G119)),'Price History'!G119=0),"",'Price History'!G120/'Price History'!G119-1),"")</f>
        <v>-0.0126582278481012</v>
      </c>
      <c r="H119" s="136" t="n">
        <f aca="false">IFERROR(IF(OR(NOT(ISNUMBER('Price History'!H120)),NOT(ISNUMBER('Price History'!H119)),'Price History'!H119=0),"",'Price History'!H120/'Price History'!H119-1),"")</f>
        <v>0.0632345712115117</v>
      </c>
      <c r="I119" s="136" t="n">
        <f aca="false">IFERROR(IF(OR(NOT(ISNUMBER('Price History'!I120)),NOT(ISNUMBER('Price History'!I119)),'Price History'!I119=0),"",'Price History'!I120/'Price History'!I119-1),"")</f>
        <v>-0.0708183120154082</v>
      </c>
      <c r="J119" s="136" t="n">
        <f aca="false">IFERROR(IF(OR(NOT(ISNUMBER('Price History'!J120)),NOT(ISNUMBER('Price History'!J119)),'Price History'!J119=0),"",'Price History'!J120/'Price History'!J119-1),"")</f>
        <v>0.0121685873156578</v>
      </c>
      <c r="K119" s="136" t="n">
        <f aca="false">IFERROR(IF(OR(NOT(ISNUMBER('Price History'!K120)),NOT(ISNUMBER('Price History'!K119)),'Price History'!K119=0),"",'Price History'!K120/'Price History'!K119-1),"")</f>
        <v>-0.112435775926573</v>
      </c>
      <c r="L119" s="136" t="n">
        <f aca="false">IFERROR(IF(OR(NOT(ISNUMBER('Price History'!L120)),NOT(ISNUMBER('Price History'!L119)),'Price History'!L119=0),"",'Price History'!L120/'Price History'!L119-1),"")</f>
        <v>-0.0463668741470559</v>
      </c>
      <c r="M119" s="136" t="n">
        <f aca="false">IFERROR(IF(OR(NOT(ISNUMBER('Price History'!M120)),NOT(ISNUMBER('Price History'!M119)),'Price History'!M119=0),"",'Price History'!M120/'Price History'!M119-1),"")</f>
        <v>-0.0677175152960697</v>
      </c>
      <c r="N119" s="136" t="n">
        <f aca="false">IFERROR(IF(OR(NOT(ISNUMBER('Price History'!N120)),NOT(ISNUMBER('Price History'!N119)),'Price History'!N119=0),"",'Price History'!N120/'Price History'!N119-1),"")</f>
        <v>-0.0378316140705406</v>
      </c>
      <c r="O119" s="136" t="n">
        <f aca="false">IFERROR(IF(OR(NOT(ISNUMBER('Price History'!O120)),NOT(ISNUMBER('Price History'!O119)),'Price History'!O119=0),"",'Price History'!O120/'Price History'!O119-1),"")</f>
        <v>-0.000613496932515334</v>
      </c>
      <c r="P119" s="136" t="str">
        <f aca="false">IFERROR(IF(OR(NOT(ISNUMBER('Price History'!P120)),NOT(ISNUMBER('Price History'!P119)),'Price History'!P119=0),"",'Price History'!P120/'Price History'!P119-1),"")</f>
        <v/>
      </c>
      <c r="Q119" s="136" t="n">
        <f aca="false">IFERROR(IF(OR(NOT(ISNUMBER('Price History'!Q120)),NOT(ISNUMBER('Price History'!Q119)),'Price History'!Q119=0),"",'Price History'!Q120/'Price History'!Q119-1),"")</f>
        <v>0.0107105144063961</v>
      </c>
      <c r="R119" s="136" t="n">
        <f aca="false">IFERROR(IF(OR(NOT(ISNUMBER('Price History'!R120)),NOT(ISNUMBER('Price History'!R119)),'Price History'!R119=0),"",'Price History'!R120/'Price History'!R119-1),"")</f>
        <v>-0.0235194585448393</v>
      </c>
      <c r="S119" s="136" t="n">
        <f aca="false">IFERROR(IF(OR(NOT(ISNUMBER('Price History'!S120)),NOT(ISNUMBER('Price History'!S119)),'Price History'!S119=0),"",'Price History'!S120/'Price History'!S119-1),"")</f>
        <v>-0.0260476581758422</v>
      </c>
      <c r="T119" s="136" t="n">
        <f aca="false">IFERROR(IF(OR(NOT(ISNUMBER('Price History'!T120)),NOT(ISNUMBER('Price History'!T119)),'Price History'!T119=0),"",'Price History'!T120/'Price History'!T119-1),"")</f>
        <v>0.00158646218931779</v>
      </c>
      <c r="U119" s="136" t="str">
        <f aca="false">IFERROR(IF(OR(NOT(ISNUMBER('Price History'!U120)),NOT(ISNUMBER('Price History'!U119)),'Price History'!U119=0),"",'Price History'!U120/'Price History'!U119-1),"")</f>
        <v/>
      </c>
      <c r="W119" s="137" t="n">
        <f aca="false">'Price History'!B3+('Price History'!B158-'Price History'!B3)*0.753246753246753</f>
        <v>314.082207792208</v>
      </c>
      <c r="X119" s="137" t="n">
        <f aca="false">'Price History'!C3+('Price History'!C158-'Price History'!C3)*0.753246753246753</f>
        <v>146.641038961039</v>
      </c>
      <c r="Y119" s="137" t="n">
        <f aca="false">'Price History'!D3+('Price History'!D158-'Price History'!D3)*0.753246753246753</f>
        <v>1390.33532467532</v>
      </c>
      <c r="Z119" s="137" t="n">
        <f aca="false">'Price History'!E3+('Price History'!E158-'Price History'!E3)*0.753246753246753</f>
        <v>313.69948051948</v>
      </c>
      <c r="AA119" s="137" t="n">
        <f aca="false">'Price History'!F3+('Price History'!F158-'Price History'!F3)*0.753246753246753</f>
        <v>152.909350649351</v>
      </c>
      <c r="AB119" s="137" t="n">
        <f aca="false">'Price History'!G3+('Price History'!G158-'Price History'!G3)*0.753246753246753</f>
        <v>149.528051948052</v>
      </c>
      <c r="AC119" s="137" t="n">
        <f aca="false">'Price History'!H3+('Price History'!H158-'Price History'!H3)*0.753246753246753</f>
        <v>635.828181818182</v>
      </c>
      <c r="AD119" s="137" t="n">
        <f aca="false">'Price History'!I3+('Price History'!I158-'Price History'!I3)*0.753246753246753</f>
        <v>161.294155844156</v>
      </c>
      <c r="AE119" s="137" t="n">
        <f aca="false">'Price History'!J3+('Price History'!J158-'Price History'!J3)*0.753246753246753</f>
        <v>139.403506493507</v>
      </c>
      <c r="AF119" s="137" t="n">
        <f aca="false">'Price History'!K3+('Price History'!K158-'Price History'!K3)*0.753246753246753</f>
        <v>96.497012987013</v>
      </c>
      <c r="AG119" s="137" t="n">
        <f aca="false">'Price History'!L3+('Price History'!L158-'Price History'!L3)*0.753246753246753</f>
        <v>327.198831168831</v>
      </c>
      <c r="AH119" s="137" t="n">
        <f aca="false">'Price History'!M3+('Price History'!M158-'Price History'!M3)*0.753246753246753</f>
        <v>190.230519480519</v>
      </c>
      <c r="AI119" s="137" t="n">
        <f aca="false">'Price History'!N3+('Price History'!N158-'Price History'!N3)*0.753246753246753</f>
        <v>445.703116883117</v>
      </c>
      <c r="AJ119" s="137" t="n">
        <f aca="false">'Price History'!O3+('Price History'!O158-'Price History'!O3)*0.753246753246753</f>
        <v>114.81025974026</v>
      </c>
      <c r="AK119" s="137" t="n">
        <f aca="false">'Price History'!Q3+('Price History'!Q151-'Price History'!Q3)*0.753246753246753</f>
        <v>63.8579220779221</v>
      </c>
      <c r="AL119" s="137" t="n">
        <f aca="false">'Price History'!R3+('Price History'!R158-'Price History'!R3)*0.753246753246753</f>
        <v>55.6763636363636</v>
      </c>
      <c r="AM119" s="137" t="n">
        <f aca="false">'Price History'!S3+('Price History'!S158-'Price History'!S3)*0.753246753246753</f>
        <v>122.784415584416</v>
      </c>
      <c r="AN119" s="137" t="n">
        <f aca="false">'Price History'!T3+('Price History'!T158-'Price History'!T3)*0.753246753246753</f>
        <v>44.1066233766234</v>
      </c>
    </row>
    <row r="120" customFormat="false" ht="15" hidden="false" customHeight="true" outlineLevel="0" collapsed="false">
      <c r="A120" s="135" t="n">
        <f aca="false">IF('Price History'!A121="","",'Price History'!A121)</f>
        <v>45975</v>
      </c>
      <c r="B120" s="136" t="n">
        <f aca="false">IFERROR(IF(OR(NOT(ISNUMBER('Price History'!B121)),NOT(ISNUMBER('Price History'!B120)),'Price History'!B120=0),"",'Price History'!B121/'Price History'!B120-1),"")</f>
        <v>0.0127236580516898</v>
      </c>
      <c r="C120" s="136" t="n">
        <f aca="false">IFERROR(IF(OR(NOT(ISNUMBER('Price History'!C121)),NOT(ISNUMBER('Price History'!C120)),'Price History'!C120=0),"",'Price History'!C121/'Price History'!C120-1),"")</f>
        <v>-0.024359450427033</v>
      </c>
      <c r="D120" s="136" t="n">
        <f aca="false">IFERROR(IF(OR(NOT(ISNUMBER('Price History'!D121)),NOT(ISNUMBER('Price History'!D120)),'Price History'!D120=0),"",'Price History'!D121/'Price History'!D120-1),"")</f>
        <v>-0.00981356198867212</v>
      </c>
      <c r="E120" s="136" t="n">
        <f aca="false">IFERROR(IF(OR(NOT(ISNUMBER('Price History'!E121)),NOT(ISNUMBER('Price History'!E120)),'Price History'!E120=0),"",'Price History'!E121/'Price History'!E120-1),"")</f>
        <v>-0.0199467704547407</v>
      </c>
      <c r="F120" s="136" t="n">
        <f aca="false">IFERROR(IF(OR(NOT(ISNUMBER('Price History'!F121)),NOT(ISNUMBER('Price History'!F120)),'Price History'!F120=0),"",'Price History'!F121/'Price History'!F120-1),"")</f>
        <v>-0.00414968506854396</v>
      </c>
      <c r="G120" s="136" t="n">
        <f aca="false">IFERROR(IF(OR(NOT(ISNUMBER('Price History'!G121)),NOT(ISNUMBER('Price History'!G120)),'Price History'!G120=0),"",'Price History'!G121/'Price History'!G120-1),"")</f>
        <v>-0.0495223730517848</v>
      </c>
      <c r="H120" s="136" t="n">
        <f aca="false">IFERROR(IF(OR(NOT(ISNUMBER('Price History'!H121)),NOT(ISNUMBER('Price History'!H120)),'Price History'!H120=0),"",'Price History'!H121/'Price History'!H120-1),"")</f>
        <v>0.0374495628782785</v>
      </c>
      <c r="I120" s="136" t="n">
        <f aca="false">IFERROR(IF(OR(NOT(ISNUMBER('Price History'!I121)),NOT(ISNUMBER('Price History'!I120)),'Price History'!I120=0),"",'Price History'!I121/'Price History'!I120-1),"")</f>
        <v>0.0107361148020195</v>
      </c>
      <c r="J120" s="136" t="n">
        <f aca="false">IFERROR(IF(OR(NOT(ISNUMBER('Price History'!J121)),NOT(ISNUMBER('Price History'!J120)),'Price History'!J120=0),"",'Price History'!J121/'Price History'!J120-1),"")</f>
        <v>-0.0220541401273885</v>
      </c>
      <c r="K120" s="136" t="n">
        <f aca="false">IFERROR(IF(OR(NOT(ISNUMBER('Price History'!K121)),NOT(ISNUMBER('Price History'!K120)),'Price History'!K120=0),"",'Price History'!K121/'Price History'!K120-1),"")</f>
        <v>-0.0220311358399371</v>
      </c>
      <c r="L120" s="136" t="n">
        <f aca="false">IFERROR(IF(OR(NOT(ISNUMBER('Price History'!L121)),NOT(ISNUMBER('Price History'!L120)),'Price History'!L120=0),"",'Price History'!L121/'Price History'!L120-1),"")</f>
        <v>-0.0058638743455498</v>
      </c>
      <c r="M120" s="136" t="n">
        <f aca="false">IFERROR(IF(OR(NOT(ISNUMBER('Price History'!M121)),NOT(ISNUMBER('Price History'!M120)),'Price History'!M120=0),"",'Price History'!M121/'Price History'!M120-1),"")</f>
        <v>-0.0491101223581758</v>
      </c>
      <c r="N120" s="136" t="n">
        <f aca="false">IFERROR(IF(OR(NOT(ISNUMBER('Price History'!N121)),NOT(ISNUMBER('Price History'!N120)),'Price History'!N120=0),"",'Price History'!N121/'Price History'!N120-1),"")</f>
        <v>0.0675995799448066</v>
      </c>
      <c r="O120" s="136" t="n">
        <f aca="false">IFERROR(IF(OR(NOT(ISNUMBER('Price History'!O121)),NOT(ISNUMBER('Price History'!O120)),'Price History'!O120=0),"",'Price History'!O121/'Price History'!O120-1),"")</f>
        <v>-0.00153468385512578</v>
      </c>
      <c r="P120" s="136" t="str">
        <f aca="false">IFERROR(IF(OR(NOT(ISNUMBER('Price History'!P121)),NOT(ISNUMBER('Price History'!P120)),'Price History'!P120=0),"",'Price History'!P121/'Price History'!P120-1),"")</f>
        <v/>
      </c>
      <c r="Q120" s="136" t="n">
        <f aca="false">IFERROR(IF(OR(NOT(ISNUMBER('Price History'!Q121)),NOT(ISNUMBER('Price History'!Q120)),'Price History'!Q120=0),"",'Price History'!Q121/'Price History'!Q120-1),"")</f>
        <v>-0.00835820895522388</v>
      </c>
      <c r="R120" s="136" t="n">
        <f aca="false">IFERROR(IF(OR(NOT(ISNUMBER('Price History'!R121)),NOT(ISNUMBER('Price History'!R120)),'Price History'!R120=0),"",'Price History'!R121/'Price History'!R120-1),"")</f>
        <v>0.00190608213481203</v>
      </c>
      <c r="S120" s="136" t="n">
        <f aca="false">IFERROR(IF(OR(NOT(ISNUMBER('Price History'!S121)),NOT(ISNUMBER('Price History'!S120)),'Price History'!S120=0),"",'Price History'!S121/'Price History'!S120-1),"")</f>
        <v>-0.00590567788745466</v>
      </c>
      <c r="T120" s="136" t="n">
        <f aca="false">IFERROR(IF(OR(NOT(ISNUMBER('Price History'!T121)),NOT(ISNUMBER('Price History'!T120)),'Price History'!T120=0),"",'Price History'!T121/'Price History'!T120-1),"")</f>
        <v>0.0110876451953537</v>
      </c>
      <c r="U120" s="136" t="str">
        <f aca="false">IFERROR(IF(OR(NOT(ISNUMBER('Price History'!U121)),NOT(ISNUMBER('Price History'!U120)),'Price History'!U120=0),"",'Price History'!U121/'Price History'!U120-1),"")</f>
        <v/>
      </c>
      <c r="W120" s="137" t="n">
        <f aca="false">'Price History'!B3+('Price History'!B158-'Price History'!B3)*0.75974025974026</f>
        <v>312.406623376623</v>
      </c>
      <c r="X120" s="137" t="n">
        <f aca="false">'Price History'!C3+('Price History'!C158-'Price History'!C3)*0.75974025974026</f>
        <v>147.528116883117</v>
      </c>
      <c r="Y120" s="137" t="n">
        <f aca="false">'Price History'!D3+('Price History'!D158-'Price History'!D3)*0.75974025974026</f>
        <v>1396.61597402597</v>
      </c>
      <c r="Z120" s="137" t="n">
        <f aca="false">'Price History'!E3+('Price History'!E158-'Price History'!E3)*0.75974025974026</f>
        <v>315.688441558442</v>
      </c>
      <c r="AA120" s="137" t="n">
        <f aca="false">'Price History'!F3+('Price History'!F158-'Price History'!F3)*0.75974025974026</f>
        <v>153.908051948052</v>
      </c>
      <c r="AB120" s="137" t="n">
        <f aca="false">'Price History'!G3+('Price History'!G158-'Price History'!G3)*0.75974025974026</f>
        <v>150.404155844156</v>
      </c>
      <c r="AC120" s="137" t="n">
        <f aca="false">'Price History'!H3+('Price History'!H158-'Price History'!H3)*0.75974025974026</f>
        <v>640.754545454546</v>
      </c>
      <c r="AD120" s="137" t="n">
        <f aca="false">'Price History'!I3+('Price History'!I158-'Price History'!I3)*0.75974025974026</f>
        <v>162.332467532468</v>
      </c>
      <c r="AE120" s="137" t="n">
        <f aca="false">'Price History'!J3+('Price History'!J158-'Price History'!J3)*0.75974025974026</f>
        <v>139.54051948052</v>
      </c>
      <c r="AF120" s="137" t="n">
        <f aca="false">'Price History'!K3+('Price History'!K158-'Price History'!K3)*0.75974025974026</f>
        <v>97.196038961039</v>
      </c>
      <c r="AG120" s="137" t="n">
        <f aca="false">'Price History'!L3+('Price History'!L158-'Price History'!L3)*0.75974025974026</f>
        <v>329.226493506494</v>
      </c>
      <c r="AH120" s="137" t="n">
        <f aca="false">'Price History'!M3+('Price History'!M158-'Price History'!M3)*0.75974025974026</f>
        <v>191.581558441558</v>
      </c>
      <c r="AI120" s="137" t="n">
        <f aca="false">'Price History'!N3+('Price History'!N158-'Price History'!N3)*0.75974025974026</f>
        <v>446.529350649351</v>
      </c>
      <c r="AJ120" s="137" t="n">
        <f aca="false">'Price History'!O3+('Price History'!O158-'Price History'!O3)*0.75974025974026</f>
        <v>115.085779220779</v>
      </c>
      <c r="AK120" s="137" t="n">
        <f aca="false">'Price History'!Q3+('Price History'!Q151-'Price History'!Q3)*0.75974025974026</f>
        <v>63.9787662337662</v>
      </c>
      <c r="AL120" s="137" t="n">
        <f aca="false">'Price History'!R3+('Price History'!R158-'Price History'!R3)*0.75974025974026</f>
        <v>55.7440909090909</v>
      </c>
      <c r="AM120" s="137" t="n">
        <f aca="false">'Price History'!S3+('Price History'!S158-'Price History'!S3)*0.75974025974026</f>
        <v>123.338246753247</v>
      </c>
      <c r="AN120" s="137" t="n">
        <f aca="false">'Price History'!T3+('Price History'!T158-'Price History'!T3)*0.75974025974026</f>
        <v>44.2548701298701</v>
      </c>
    </row>
    <row r="121" customFormat="false" ht="15" hidden="false" customHeight="true" outlineLevel="0" collapsed="false">
      <c r="A121" s="135" t="n">
        <f aca="false">IF('Price History'!A122="","",'Price History'!A122)</f>
        <v>45982</v>
      </c>
      <c r="B121" s="136" t="n">
        <f aca="false">IFERROR(IF(OR(NOT(ISNUMBER('Price History'!B122)),NOT(ISNUMBER('Price History'!B121)),'Price History'!B121=0),"",'Price History'!B122/'Price History'!B121-1),"")</f>
        <v>-0.0208993989912718</v>
      </c>
      <c r="C121" s="136" t="n">
        <f aca="false">IFERROR(IF(OR(NOT(ISNUMBER('Price History'!C122)),NOT(ISNUMBER('Price History'!C121)),'Price History'!C121=0),"",'Price History'!C122/'Price History'!C121-1),"")</f>
        <v>-0.106112506660577</v>
      </c>
      <c r="D121" s="136" t="n">
        <f aca="false">IFERROR(IF(OR(NOT(ISNUMBER('Price History'!D122)),NOT(ISNUMBER('Price History'!D121)),'Price History'!D121=0),"",'Price History'!D122/'Price History'!D121-1),"")</f>
        <v>-0.0401298933444557</v>
      </c>
      <c r="E121" s="136" t="n">
        <f aca="false">IFERROR(IF(OR(NOT(ISNUMBER('Price History'!E122)),NOT(ISNUMBER('Price History'!E121)),'Price History'!E121=0),"",'Price History'!E122/'Price History'!E121-1),"")</f>
        <v>-0.00659931086842258</v>
      </c>
      <c r="F121" s="136" t="n">
        <f aca="false">IFERROR(IF(OR(NOT(ISNUMBER('Price History'!F122)),NOT(ISNUMBER('Price History'!F121)),'Price History'!F121=0),"",'Price History'!F122/'Price History'!F121-1),"")</f>
        <v>-0.0872088697075675</v>
      </c>
      <c r="G121" s="136" t="n">
        <f aca="false">IFERROR(IF(OR(NOT(ISNUMBER('Price History'!G122)),NOT(ISNUMBER('Price History'!G121)),'Price History'!G121=0),"",'Price History'!G122/'Price History'!G121-1),"")</f>
        <v>-0.0327955567310236</v>
      </c>
      <c r="H121" s="136" t="n">
        <f aca="false">IFERROR(IF(OR(NOT(ISNUMBER('Price History'!H122)),NOT(ISNUMBER('Price History'!H121)),'Price History'!H121=0),"",'Price History'!H122/'Price History'!H121-1),"")</f>
        <v>-0.159867115018434</v>
      </c>
      <c r="I121" s="136" t="n">
        <f aca="false">IFERROR(IF(OR(NOT(ISNUMBER('Price History'!I122)),NOT(ISNUMBER('Price History'!I121)),'Price History'!I121=0),"",'Price History'!I122/'Price History'!I121-1),"")</f>
        <v>-0.0593679339538308</v>
      </c>
      <c r="J121" s="136" t="n">
        <f aca="false">IFERROR(IF(OR(NOT(ISNUMBER('Price History'!J122)),NOT(ISNUMBER('Price History'!J121)),'Price History'!J121=0),"",'Price History'!J122/'Price History'!J121-1),"")</f>
        <v>0.0240983473092893</v>
      </c>
      <c r="K121" s="136" t="n">
        <f aca="false">IFERROR(IF(OR(NOT(ISNUMBER('Price History'!K122)),NOT(ISNUMBER('Price History'!K121)),'Price History'!K121=0),"",'Price History'!K122/'Price History'!K121-1),"")</f>
        <v>-0.110108614447446</v>
      </c>
      <c r="L121" s="136" t="n">
        <f aca="false">IFERROR(IF(OR(NOT(ISNUMBER('Price History'!L122)),NOT(ISNUMBER('Price History'!L121)),'Price History'!L121=0),"",'Price History'!L122/'Price History'!L121-1),"")</f>
        <v>-0.0342672565128853</v>
      </c>
      <c r="M121" s="136" t="n">
        <f aca="false">IFERROR(IF(OR(NOT(ISNUMBER('Price History'!M122)),NOT(ISNUMBER('Price History'!M121)),'Price History'!M121=0),"",'Price History'!M122/'Price History'!M121-1),"")</f>
        <v>-0.065157629993566</v>
      </c>
      <c r="N121" s="136" t="n">
        <f aca="false">IFERROR(IF(OR(NOT(ISNUMBER('Price History'!N122)),NOT(ISNUMBER('Price History'!N121)),'Price History'!N121=0),"",'Price History'!N122/'Price History'!N121-1),"")</f>
        <v>-0.023767585496969</v>
      </c>
      <c r="O121" s="136" t="n">
        <f aca="false">IFERROR(IF(OR(NOT(ISNUMBER('Price History'!O122)),NOT(ISNUMBER('Price History'!O121)),'Price History'!O121=0),"",'Price History'!O122/'Price History'!O121-1),"")</f>
        <v>-0.00778768316425871</v>
      </c>
      <c r="P121" s="136" t="str">
        <f aca="false">IFERROR(IF(OR(NOT(ISNUMBER('Price History'!P122)),NOT(ISNUMBER('Price History'!P121)),'Price History'!P121=0),"",'Price History'!P122/'Price History'!P121-1),"")</f>
        <v/>
      </c>
      <c r="Q121" s="136" t="n">
        <f aca="false">IFERROR(IF(OR(NOT(ISNUMBER('Price History'!Q122)),NOT(ISNUMBER('Price History'!Q121)),'Price History'!Q121=0),"",'Price History'!Q122/'Price History'!Q121-1),"")</f>
        <v>0.00918121613485856</v>
      </c>
      <c r="R121" s="136" t="n">
        <f aca="false">IFERROR(IF(OR(NOT(ISNUMBER('Price History'!R122)),NOT(ISNUMBER('Price History'!R121)),'Price History'!R121=0),"",'Price History'!R122/'Price History'!R121-1),"")</f>
        <v>-0.0273261847111725</v>
      </c>
      <c r="S121" s="136" t="n">
        <f aca="false">IFERROR(IF(OR(NOT(ISNUMBER('Price History'!S122)),NOT(ISNUMBER('Price History'!S121)),'Price History'!S121=0),"",'Price History'!S122/'Price History'!S121-1),"")</f>
        <v>-0.0299584146651957</v>
      </c>
      <c r="T121" s="136" t="n">
        <f aca="false">IFERROR(IF(OR(NOT(ISNUMBER('Price History'!T122)),NOT(ISNUMBER('Price History'!T121)),'Price History'!T121=0),"",'Price History'!T122/'Price History'!T121-1),"")</f>
        <v>-0.0201044386422975</v>
      </c>
      <c r="U121" s="136" t="str">
        <f aca="false">IFERROR(IF(OR(NOT(ISNUMBER('Price History'!U122)),NOT(ISNUMBER('Price History'!U121)),'Price History'!U121=0),"",'Price History'!U122/'Price History'!U121-1),"")</f>
        <v/>
      </c>
      <c r="W121" s="137" t="n">
        <f aca="false">'Price History'!B3+('Price History'!B158-'Price History'!B3)*0.766233766233766</f>
        <v>310.731038961039</v>
      </c>
      <c r="X121" s="137" t="n">
        <f aca="false">'Price History'!C3+('Price History'!C158-'Price History'!C3)*0.766233766233766</f>
        <v>148.415194805195</v>
      </c>
      <c r="Y121" s="137" t="n">
        <f aca="false">'Price History'!D3+('Price History'!D158-'Price History'!D3)*0.766233766233766</f>
        <v>1402.89662337662</v>
      </c>
      <c r="Z121" s="137" t="n">
        <f aca="false">'Price History'!E3+('Price History'!E158-'Price History'!E3)*0.766233766233766</f>
        <v>317.677402597403</v>
      </c>
      <c r="AA121" s="137" t="n">
        <f aca="false">'Price History'!F3+('Price History'!F158-'Price History'!F3)*0.766233766233766</f>
        <v>154.906753246753</v>
      </c>
      <c r="AB121" s="137" t="n">
        <f aca="false">'Price History'!G3+('Price History'!G158-'Price History'!G3)*0.766233766233766</f>
        <v>151.28025974026</v>
      </c>
      <c r="AC121" s="137" t="n">
        <f aca="false">'Price History'!H3+('Price History'!H158-'Price History'!H3)*0.766233766233766</f>
        <v>645.680909090909</v>
      </c>
      <c r="AD121" s="137" t="n">
        <f aca="false">'Price History'!I3+('Price History'!I158-'Price History'!I3)*0.766233766233766</f>
        <v>163.370779220779</v>
      </c>
      <c r="AE121" s="137" t="n">
        <f aca="false">'Price History'!J3+('Price History'!J158-'Price History'!J3)*0.766233766233766</f>
        <v>139.677532467532</v>
      </c>
      <c r="AF121" s="137" t="n">
        <f aca="false">'Price History'!K3+('Price History'!K158-'Price History'!K3)*0.766233766233766</f>
        <v>97.8950649350649</v>
      </c>
      <c r="AG121" s="137" t="n">
        <f aca="false">'Price History'!L3+('Price History'!L158-'Price History'!L3)*0.766233766233766</f>
        <v>331.254155844156</v>
      </c>
      <c r="AH121" s="137" t="n">
        <f aca="false">'Price History'!M3+('Price History'!M158-'Price History'!M3)*0.766233766233766</f>
        <v>192.932597402597</v>
      </c>
      <c r="AI121" s="137" t="n">
        <f aca="false">'Price History'!N3+('Price History'!N158-'Price History'!N3)*0.766233766233766</f>
        <v>447.355584415584</v>
      </c>
      <c r="AJ121" s="137" t="n">
        <f aca="false">'Price History'!O3+('Price History'!O158-'Price History'!O3)*0.766233766233766</f>
        <v>115.361298701299</v>
      </c>
      <c r="AK121" s="137" t="n">
        <f aca="false">'Price History'!Q3+('Price History'!Q151-'Price History'!Q3)*0.766233766233766</f>
        <v>64.0996103896104</v>
      </c>
      <c r="AL121" s="137" t="n">
        <f aca="false">'Price History'!R3+('Price History'!R158-'Price History'!R3)*0.766233766233766</f>
        <v>55.8118181818182</v>
      </c>
      <c r="AM121" s="137" t="n">
        <f aca="false">'Price History'!S3+('Price History'!S158-'Price History'!S3)*0.766233766233766</f>
        <v>123.892077922078</v>
      </c>
      <c r="AN121" s="137" t="n">
        <f aca="false">'Price History'!T3+('Price History'!T158-'Price History'!T3)*0.766233766233766</f>
        <v>44.4031168831169</v>
      </c>
    </row>
    <row r="122" customFormat="false" ht="15" hidden="false" customHeight="true" outlineLevel="0" collapsed="false">
      <c r="A122" s="135" t="n">
        <f aca="false">IF('Price History'!A123="","",'Price History'!A123)</f>
        <v>45989</v>
      </c>
      <c r="B122" s="136" t="n">
        <f aca="false">IFERROR(IF(OR(NOT(ISNUMBER('Price History'!B123)),NOT(ISNUMBER('Price History'!B122)),'Price History'!B122=0),"",'Price History'!B123/'Price History'!B122-1),"")</f>
        <v>-0.0125235201579321</v>
      </c>
      <c r="C122" s="136" t="n">
        <f aca="false">IFERROR(IF(OR(NOT(ISNUMBER('Price History'!C123)),NOT(ISNUMBER('Price History'!C122)),'Price History'!C122=0),"",'Price History'!C123/'Price History'!C122-1),"")</f>
        <v>0.112833177211956</v>
      </c>
      <c r="D122" s="136" t="n">
        <f aca="false">IFERROR(IF(OR(NOT(ISNUMBER('Price History'!D123)),NOT(ISNUMBER('Price History'!D122)),'Price History'!D122=0),"",'Price History'!D123/'Price History'!D122-1),"")</f>
        <v>0.0966613902769586</v>
      </c>
      <c r="E122" s="136" t="n">
        <f aca="false">IFERROR(IF(OR(NOT(ISNUMBER('Price History'!E123)),NOT(ISNUMBER('Price History'!E122)),'Price History'!E122=0),"",'Price History'!E123/'Price History'!E122-1),"")</f>
        <v>0.184479717813051</v>
      </c>
      <c r="F122" s="136" t="n">
        <f aca="false">IFERROR(IF(OR(NOT(ISNUMBER('Price History'!F123)),NOT(ISNUMBER('Price History'!F122)),'Price History'!F122=0),"",'Price History'!F123/'Price History'!F122-1),"")</f>
        <v>0.0376620200538029</v>
      </c>
      <c r="G122" s="136" t="n">
        <f aca="false">IFERROR(IF(OR(NOT(ISNUMBER('Price History'!G123)),NOT(ISNUMBER('Price History'!G122)),'Price History'!G122=0),"",'Price History'!G123/'Price History'!G122-1),"")</f>
        <v>0.0714611247835202</v>
      </c>
      <c r="H122" s="136" t="n">
        <f aca="false">IFERROR(IF(OR(NOT(ISNUMBER('Price History'!H123)),NOT(ISNUMBER('Price History'!H122)),'Price History'!H122=0),"",'Price History'!H123/'Price History'!H122-1),"")</f>
        <v>0.140377103727636</v>
      </c>
      <c r="I122" s="136" t="n">
        <f aca="false">IFERROR(IF(OR(NOT(ISNUMBER('Price History'!I123)),NOT(ISNUMBER('Price History'!I122)),'Price History'!I122=0),"",'Price History'!I123/'Price History'!I122-1),"")</f>
        <v>-0.0105098389982111</v>
      </c>
      <c r="J122" s="136" t="n">
        <f aca="false">IFERROR(IF(OR(NOT(ISNUMBER('Price History'!J123)),NOT(ISNUMBER('Price History'!J122)),'Price History'!J122=0),"",'Price History'!J123/'Price History'!J122-1),"")</f>
        <v>0.021782335638763</v>
      </c>
      <c r="K122" s="136" t="n">
        <f aca="false">IFERROR(IF(OR(NOT(ISNUMBER('Price History'!K123)),NOT(ISNUMBER('Price History'!K122)),'Price History'!K122=0),"",'Price History'!K123/'Price History'!K122-1),"")</f>
        <v>0.0878269292864062</v>
      </c>
      <c r="L122" s="136" t="n">
        <f aca="false">IFERROR(IF(OR(NOT(ISNUMBER('Price History'!L123)),NOT(ISNUMBER('Price History'!L122)),'Price History'!L122=0),"",'Price History'!L123/'Price History'!L122-1),"")</f>
        <v>0.0598051334254344</v>
      </c>
      <c r="M122" s="136" t="n">
        <f aca="false">IFERROR(IF(OR(NOT(ISNUMBER('Price History'!M123)),NOT(ISNUMBER('Price History'!M122)),'Price History'!M122=0),"",'Price History'!M123/'Price History'!M122-1),"")</f>
        <v>0.124507288994557</v>
      </c>
      <c r="N122" s="136" t="n">
        <f aca="false">IFERROR(IF(OR(NOT(ISNUMBER('Price History'!N123)),NOT(ISNUMBER('Price History'!N122)),'Price History'!N122=0),"",'Price History'!N123/'Price History'!N122-1),"")</f>
        <v>0.0160511763051834</v>
      </c>
      <c r="O122" s="136" t="n">
        <f aca="false">IFERROR(IF(OR(NOT(ISNUMBER('Price History'!O123)),NOT(ISNUMBER('Price History'!O122)),'Price History'!O122=0),"",'Price History'!O123/'Price History'!O122-1),"")</f>
        <v>0.0444077248786532</v>
      </c>
      <c r="P122" s="136" t="str">
        <f aca="false">IFERROR(IF(OR(NOT(ISNUMBER('Price History'!P123)),NOT(ISNUMBER('Price History'!P122)),'Price History'!P122=0),"",'Price History'!P123/'Price History'!P122-1),"")</f>
        <v/>
      </c>
      <c r="Q122" s="136" t="n">
        <f aca="false">IFERROR(IF(OR(NOT(ISNUMBER('Price History'!Q123)),NOT(ISNUMBER('Price History'!Q122)),'Price History'!Q122=0),"",'Price History'!Q123/'Price History'!Q122-1),"")</f>
        <v>-0.00462341536167044</v>
      </c>
      <c r="R122" s="136" t="n">
        <f aca="false">IFERROR(IF(OR(NOT(ISNUMBER('Price History'!R123)),NOT(ISNUMBER('Price History'!R122)),'Price History'!R122=0),"",'Price History'!R123/'Price History'!R122-1),"")</f>
        <v>0.045697012802276</v>
      </c>
      <c r="S122" s="136" t="n">
        <f aca="false">IFERROR(IF(OR(NOT(ISNUMBER('Price History'!S123)),NOT(ISNUMBER('Price History'!S122)),'Price History'!S122=0),"",'Price History'!S123/'Price History'!S122-1),"")</f>
        <v>0.0509186351706037</v>
      </c>
      <c r="T122" s="136" t="n">
        <f aca="false">IFERROR(IF(OR(NOT(ISNUMBER('Price History'!T123)),NOT(ISNUMBER('Price History'!T122)),'Price History'!T122=0),"",'Price History'!T123/'Price History'!T122-1),"")</f>
        <v>0.0343725019984014</v>
      </c>
      <c r="U122" s="136" t="str">
        <f aca="false">IFERROR(IF(OR(NOT(ISNUMBER('Price History'!U123)),NOT(ISNUMBER('Price History'!U122)),'Price History'!U122=0),"",'Price History'!U123/'Price History'!U122-1),"")</f>
        <v/>
      </c>
      <c r="W122" s="137" t="n">
        <f aca="false">'Price History'!B3+('Price History'!B158-'Price History'!B3)*0.772727272727273</f>
        <v>309.055454545455</v>
      </c>
      <c r="X122" s="137" t="n">
        <f aca="false">'Price History'!C3+('Price History'!C158-'Price History'!C3)*0.772727272727273</f>
        <v>149.302272727273</v>
      </c>
      <c r="Y122" s="137" t="n">
        <f aca="false">'Price History'!D3+('Price History'!D158-'Price History'!D3)*0.772727272727273</f>
        <v>1409.17727272727</v>
      </c>
      <c r="Z122" s="137" t="n">
        <f aca="false">'Price History'!E3+('Price History'!E158-'Price History'!E3)*0.772727272727273</f>
        <v>319.666363636364</v>
      </c>
      <c r="AA122" s="137" t="n">
        <f aca="false">'Price History'!F3+('Price History'!F158-'Price History'!F3)*0.772727272727273</f>
        <v>155.905454545455</v>
      </c>
      <c r="AB122" s="137" t="n">
        <f aca="false">'Price History'!G3+('Price History'!G158-'Price History'!G3)*0.772727272727273</f>
        <v>152.156363636364</v>
      </c>
      <c r="AC122" s="137" t="n">
        <f aca="false">'Price History'!H3+('Price History'!H158-'Price History'!H3)*0.772727272727273</f>
        <v>650.607272727273</v>
      </c>
      <c r="AD122" s="137" t="n">
        <f aca="false">'Price History'!I3+('Price History'!I158-'Price History'!I3)*0.772727272727273</f>
        <v>164.409090909091</v>
      </c>
      <c r="AE122" s="137" t="n">
        <f aca="false">'Price History'!J3+('Price History'!J158-'Price History'!J3)*0.772727272727273</f>
        <v>139.814545454545</v>
      </c>
      <c r="AF122" s="137" t="n">
        <f aca="false">'Price History'!K3+('Price History'!K158-'Price History'!K3)*0.772727272727273</f>
        <v>98.5940909090909</v>
      </c>
      <c r="AG122" s="137" t="n">
        <f aca="false">'Price History'!L3+('Price History'!L158-'Price History'!L3)*0.772727272727273</f>
        <v>333.281818181818</v>
      </c>
      <c r="AH122" s="137" t="n">
        <f aca="false">'Price History'!M3+('Price History'!M158-'Price History'!M3)*0.772727272727273</f>
        <v>194.283636363636</v>
      </c>
      <c r="AI122" s="137" t="n">
        <f aca="false">'Price History'!N3+('Price History'!N158-'Price History'!N3)*0.772727272727273</f>
        <v>448.181818181818</v>
      </c>
      <c r="AJ122" s="137" t="n">
        <f aca="false">'Price History'!O3+('Price History'!O158-'Price History'!O3)*0.772727272727273</f>
        <v>115.636818181818</v>
      </c>
      <c r="AK122" s="137" t="n">
        <f aca="false">'Price History'!Q3+('Price History'!Q151-'Price History'!Q3)*0.772727272727273</f>
        <v>64.2204545454546</v>
      </c>
      <c r="AL122" s="137" t="n">
        <f aca="false">'Price History'!R3+('Price History'!R158-'Price History'!R3)*0.772727272727273</f>
        <v>55.8795454545455</v>
      </c>
      <c r="AM122" s="137" t="n">
        <f aca="false">'Price History'!S3+('Price History'!S158-'Price History'!S3)*0.772727272727273</f>
        <v>124.445909090909</v>
      </c>
      <c r="AN122" s="137" t="n">
        <f aca="false">'Price History'!T3+('Price History'!T158-'Price History'!T3)*0.772727272727273</f>
        <v>44.5513636363637</v>
      </c>
    </row>
    <row r="123" customFormat="false" ht="15" hidden="false" customHeight="true" outlineLevel="0" collapsed="false">
      <c r="A123" s="135" t="n">
        <f aca="false">IF('Price History'!A124="","",'Price History'!A124)</f>
        <v>45996</v>
      </c>
      <c r="B123" s="136" t="n">
        <f aca="false">IFERROR(IF(OR(NOT(ISNUMBER('Price History'!B124)),NOT(ISNUMBER('Price History'!B123)),'Price History'!B123=0),"",'Price History'!B124/'Price History'!B123-1),"")</f>
        <v>0.0816230906194357</v>
      </c>
      <c r="C123" s="136" t="n">
        <f aca="false">IFERROR(IF(OR(NOT(ISNUMBER('Price History'!C124)),NOT(ISNUMBER('Price History'!C123)),'Price History'!C123=0),"",'Price History'!C124/'Price History'!C123-1),"")</f>
        <v>-0.015993265993266</v>
      </c>
      <c r="D123" s="136" t="n">
        <f aca="false">IFERROR(IF(OR(NOT(ISNUMBER('Price History'!D124)),NOT(ISNUMBER('Price History'!D123)),'Price History'!D123=0),"",'Price History'!D124/'Price History'!D123-1),"")</f>
        <v>0.0372358490566038</v>
      </c>
      <c r="E123" s="136" t="n">
        <f aca="false">IFERROR(IF(OR(NOT(ISNUMBER('Price History'!E124)),NOT(ISNUMBER('Price History'!E123)),'Price History'!E123=0),"",'Price History'!E124/'Price History'!E123-1),"")</f>
        <v>-0.0315664085765336</v>
      </c>
      <c r="F123" s="136" t="n">
        <f aca="false">IFERROR(IF(OR(NOT(ISNUMBER('Price History'!F124)),NOT(ISNUMBER('Price History'!F123)),'Price History'!F123=0),"",'Price History'!F124/'Price History'!F123-1),"")</f>
        <v>0.00565637520622198</v>
      </c>
      <c r="G123" s="136" t="n">
        <f aca="false">IFERROR(IF(OR(NOT(ISNUMBER('Price History'!G124)),NOT(ISNUMBER('Price History'!G123)),'Price History'!G123=0),"",'Price History'!G124/'Price History'!G123-1),"")</f>
        <v>0.0331773713313484</v>
      </c>
      <c r="H123" s="136" t="n">
        <f aca="false">IFERROR(IF(OR(NOT(ISNUMBER('Price History'!H124)),NOT(ISNUMBER('Price History'!H123)),'Price History'!H123=0),"",'Price History'!H124/'Price History'!H123-1),"")</f>
        <v>0.00312922868741539</v>
      </c>
      <c r="I123" s="136" t="n">
        <f aca="false">IFERROR(IF(OR(NOT(ISNUMBER('Price History'!I124)),NOT(ISNUMBER('Price History'!I123)),'Price History'!I123=0),"",'Price History'!I124/'Price History'!I123-1),"")</f>
        <v>0.0305649717514125</v>
      </c>
      <c r="J123" s="136" t="n">
        <f aca="false">IFERROR(IF(OR(NOT(ISNUMBER('Price History'!J124)),NOT(ISNUMBER('Price History'!J123)),'Price History'!J123=0),"",'Price History'!J124/'Price History'!J123-1),"")</f>
        <v>-0.00427915661713219</v>
      </c>
      <c r="K123" s="136" t="n">
        <f aca="false">IFERROR(IF(OR(NOT(ISNUMBER('Price History'!K124)),NOT(ISNUMBER('Price History'!K123)),'Price History'!K123=0),"",'Price History'!K124/'Price History'!K123-1),"")</f>
        <v>0.0790145443751855</v>
      </c>
      <c r="L123" s="136" t="n">
        <f aca="false">IFERROR(IF(OR(NOT(ISNUMBER('Price History'!L124)),NOT(ISNUMBER('Price History'!L123)),'Price History'!L123=0),"",'Price History'!L124/'Price History'!L123-1),"")</f>
        <v>0.0110116291036328</v>
      </c>
      <c r="M123" s="136" t="n">
        <f aca="false">IFERROR(IF(OR(NOT(ISNUMBER('Price History'!M124)),NOT(ISNUMBER('Price History'!M123)),'Price History'!M123=0),"",'Price History'!M124/'Price History'!M123-1),"")</f>
        <v>0.0516886440772271</v>
      </c>
      <c r="N123" s="136" t="n">
        <f aca="false">IFERROR(IF(OR(NOT(ISNUMBER('Price History'!N124)),NOT(ISNUMBER('Price History'!N123)),'Price History'!N123=0),"",'Price History'!N124/'Price History'!N123-1),"")</f>
        <v>0.0504370286663132</v>
      </c>
      <c r="O123" s="136" t="n">
        <f aca="false">IFERROR(IF(OR(NOT(ISNUMBER('Price History'!O124)),NOT(ISNUMBER('Price History'!O123)),'Price History'!O123=0),"",'Price History'!O124/'Price History'!O123-1),"")</f>
        <v>0.0175022248590924</v>
      </c>
      <c r="P123" s="136" t="str">
        <f aca="false">IFERROR(IF(OR(NOT(ISNUMBER('Price History'!P124)),NOT(ISNUMBER('Price History'!P123)),'Price History'!P123=0),"",'Price History'!P124/'Price History'!P123-1),"")</f>
        <v/>
      </c>
      <c r="Q123" s="136" t="n">
        <f aca="false">IFERROR(IF(OR(NOT(ISNUMBER('Price History'!Q124)),NOT(ISNUMBER('Price History'!Q123)),'Price History'!Q123=0),"",'Price History'!Q124/'Price History'!Q123-1),"")</f>
        <v>-0.000299670362601034</v>
      </c>
      <c r="R123" s="136" t="n">
        <f aca="false">IFERROR(IF(OR(NOT(ISNUMBER('Price History'!R124)),NOT(ISNUMBER('Price History'!R123)),'Price History'!R123=0),"",'Price History'!R124/'Price History'!R123-1),"")</f>
        <v>0.000170039108994935</v>
      </c>
      <c r="S123" s="136" t="n">
        <f aca="false">IFERROR(IF(OR(NOT(ISNUMBER('Price History'!S124)),NOT(ISNUMBER('Price History'!S123)),'Price History'!S123=0),"",'Price History'!S124/'Price History'!S123-1),"")</f>
        <v>0.00607725607725596</v>
      </c>
      <c r="T123" s="136" t="n">
        <f aca="false">IFERROR(IF(OR(NOT(ISNUMBER('Price History'!T124)),NOT(ISNUMBER('Price History'!T123)),'Price History'!T123=0),"",'Price History'!T124/'Price History'!T123-1),"")</f>
        <v>0.0154559505409584</v>
      </c>
      <c r="U123" s="136" t="str">
        <f aca="false">IFERROR(IF(OR(NOT(ISNUMBER('Price History'!U124)),NOT(ISNUMBER('Price History'!U123)),'Price History'!U123=0),"",'Price History'!U124/'Price History'!U123-1),"")</f>
        <v/>
      </c>
      <c r="W123" s="137" t="n">
        <f aca="false">'Price History'!B3+('Price History'!B158-'Price History'!B3)*0.779220779220779</f>
        <v>307.37987012987</v>
      </c>
      <c r="X123" s="137" t="n">
        <f aca="false">'Price History'!C3+('Price History'!C158-'Price History'!C3)*0.779220779220779</f>
        <v>150.189350649351</v>
      </c>
      <c r="Y123" s="137" t="n">
        <f aca="false">'Price History'!D3+('Price History'!D158-'Price History'!D3)*0.779220779220779</f>
        <v>1415.45792207792</v>
      </c>
      <c r="Z123" s="137" t="n">
        <f aca="false">'Price History'!E3+('Price History'!E158-'Price History'!E3)*0.779220779220779</f>
        <v>321.655324675325</v>
      </c>
      <c r="AA123" s="137" t="n">
        <f aca="false">'Price History'!F3+('Price History'!F158-'Price History'!F3)*0.779220779220779</f>
        <v>156.904155844156</v>
      </c>
      <c r="AB123" s="137" t="n">
        <f aca="false">'Price History'!G3+('Price History'!G158-'Price History'!G3)*0.779220779220779</f>
        <v>153.032467532468</v>
      </c>
      <c r="AC123" s="137" t="n">
        <f aca="false">'Price History'!H3+('Price History'!H158-'Price History'!H3)*0.779220779220779</f>
        <v>655.533636363636</v>
      </c>
      <c r="AD123" s="137" t="n">
        <f aca="false">'Price History'!I3+('Price History'!I158-'Price History'!I3)*0.779220779220779</f>
        <v>165.447402597403</v>
      </c>
      <c r="AE123" s="137" t="n">
        <f aca="false">'Price History'!J3+('Price History'!J158-'Price History'!J3)*0.779220779220779</f>
        <v>139.951558441558</v>
      </c>
      <c r="AF123" s="137" t="n">
        <f aca="false">'Price History'!K3+('Price History'!K158-'Price History'!K3)*0.779220779220779</f>
        <v>99.2931168831169</v>
      </c>
      <c r="AG123" s="137" t="n">
        <f aca="false">'Price History'!L3+('Price History'!L158-'Price History'!L3)*0.779220779220779</f>
        <v>335.309480519481</v>
      </c>
      <c r="AH123" s="137" t="n">
        <f aca="false">'Price History'!M3+('Price History'!M158-'Price History'!M3)*0.779220779220779</f>
        <v>195.634675324675</v>
      </c>
      <c r="AI123" s="137" t="n">
        <f aca="false">'Price History'!N3+('Price History'!N158-'Price History'!N3)*0.779220779220779</f>
        <v>449.008051948052</v>
      </c>
      <c r="AJ123" s="137" t="n">
        <f aca="false">'Price History'!O3+('Price History'!O158-'Price History'!O3)*0.779220779220779</f>
        <v>115.912337662338</v>
      </c>
      <c r="AK123" s="137" t="n">
        <f aca="false">'Price History'!Q3+('Price History'!Q151-'Price History'!Q3)*0.779220779220779</f>
        <v>64.3412987012987</v>
      </c>
      <c r="AL123" s="137" t="n">
        <f aca="false">'Price History'!R3+('Price History'!R158-'Price History'!R3)*0.779220779220779</f>
        <v>55.9472727272727</v>
      </c>
      <c r="AM123" s="137" t="n">
        <f aca="false">'Price History'!S3+('Price History'!S158-'Price History'!S3)*0.779220779220779</f>
        <v>124.99974025974</v>
      </c>
      <c r="AN123" s="137" t="n">
        <f aca="false">'Price History'!T3+('Price History'!T158-'Price History'!T3)*0.779220779220779</f>
        <v>44.6996103896104</v>
      </c>
    </row>
    <row r="124" customFormat="false" ht="15" hidden="false" customHeight="true" outlineLevel="0" collapsed="false">
      <c r="A124" s="135" t="n">
        <f aca="false">IF('Price History'!A125="","",'Price History'!A125)</f>
        <v>46003</v>
      </c>
      <c r="B124" s="136" t="n">
        <f aca="false">IFERROR(IF(OR(NOT(ISNUMBER('Price History'!B125)),NOT(ISNUMBER('Price History'!B124)),'Price History'!B124=0),"",'Price History'!B125/'Price History'!B124-1),"")</f>
        <v>0.0293709928955122</v>
      </c>
      <c r="C124" s="136" t="n">
        <f aca="false">IFERROR(IF(OR(NOT(ISNUMBER('Price History'!C125)),NOT(ISNUMBER('Price History'!C124)),'Price History'!C124=0),"",'Price History'!C125/'Price History'!C124-1),"")</f>
        <v>-0.0297845866708142</v>
      </c>
      <c r="D124" s="136" t="n">
        <f aca="false">IFERROR(IF(OR(NOT(ISNUMBER('Price History'!D125)),NOT(ISNUMBER('Price History'!D124)),'Price History'!D124=0),"",'Price History'!D125/'Price History'!D124-1),"")</f>
        <v>-0.0169354325265811</v>
      </c>
      <c r="E124" s="136" t="n">
        <f aca="false">IFERROR(IF(OR(NOT(ISNUMBER('Price History'!E125)),NOT(ISNUMBER('Price History'!E124)),'Price History'!E124=0),"",'Price History'!E125/'Price History'!E124-1),"")</f>
        <v>-0.077670151701517</v>
      </c>
      <c r="F124" s="136" t="n">
        <f aca="false">IFERROR(IF(OR(NOT(ISNUMBER('Price History'!F125)),NOT(ISNUMBER('Price History'!F124)),'Price History'!F124=0),"",'Price History'!F125/'Price History'!F124-1),"")</f>
        <v>-0.0141395203499726</v>
      </c>
      <c r="G124" s="136" t="n">
        <f aca="false">IFERROR(IF(OR(NOT(ISNUMBER('Price History'!G125)),NOT(ISNUMBER('Price History'!G124)),'Price History'!G124=0),"",'Price History'!G125/'Price History'!G124-1),"")</f>
        <v>-0.0169617126389461</v>
      </c>
      <c r="H124" s="136" t="n">
        <f aca="false">IFERROR(IF(OR(NOT(ISNUMBER('Price History'!H125)),NOT(ISNUMBER('Price History'!H124)),'Price History'!H124=0),"",'Price History'!H125/'Price History'!H124-1),"")</f>
        <v>0.0165247449624821</v>
      </c>
      <c r="I124" s="136" t="n">
        <f aca="false">IFERROR(IF(OR(NOT(ISNUMBER('Price History'!I125)),NOT(ISNUMBER('Price History'!I124)),'Price History'!I124=0),"",'Price History'!I125/'Price History'!I124-1),"")</f>
        <v>-0.0405131297626226</v>
      </c>
      <c r="J124" s="136" t="n">
        <f aca="false">IFERROR(IF(OR(NOT(ISNUMBER('Price History'!J125)),NOT(ISNUMBER('Price History'!J124)),'Price History'!J124=0),"",'Price History'!J125/'Price History'!J124-1),"")</f>
        <v>0.0171901859665573</v>
      </c>
      <c r="K124" s="136" t="n">
        <f aca="false">IFERROR(IF(OR(NOT(ISNUMBER('Price History'!K125)),NOT(ISNUMBER('Price History'!K124)),'Price History'!K124=0),"",'Price History'!K125/'Price History'!K124-1),"")</f>
        <v>0.00995818661971826</v>
      </c>
      <c r="L124" s="136" t="n">
        <f aca="false">IFERROR(IF(OR(NOT(ISNUMBER('Price History'!L125)),NOT(ISNUMBER('Price History'!L124)),'Price History'!L124=0),"",'Price History'!L125/'Price History'!L124-1),"")</f>
        <v>-0.0090933767643866</v>
      </c>
      <c r="M124" s="136" t="n">
        <f aca="false">IFERROR(IF(OR(NOT(ISNUMBER('Price History'!M125)),NOT(ISNUMBER('Price History'!M124)),'Price History'!M124=0),"",'Price History'!M125/'Price History'!M124-1),"")</f>
        <v>-0.146809861390329</v>
      </c>
      <c r="N124" s="136" t="n">
        <f aca="false">IFERROR(IF(OR(NOT(ISNUMBER('Price History'!N125)),NOT(ISNUMBER('Price History'!N124)),'Price History'!N124=0),"",'Price History'!N125/'Price History'!N124-1),"")</f>
        <v>-0.00755247211732679</v>
      </c>
      <c r="O124" s="136" t="n">
        <f aca="false">IFERROR(IF(OR(NOT(ISNUMBER('Price History'!O125)),NOT(ISNUMBER('Price History'!O124)),'Price History'!O124=0),"",'Price History'!O125/'Price History'!O124-1),"")</f>
        <v>0.0214771622934888</v>
      </c>
      <c r="P124" s="136" t="str">
        <f aca="false">IFERROR(IF(OR(NOT(ISNUMBER('Price History'!P125)),NOT(ISNUMBER('Price History'!P124)),'Price History'!P124=0),"",'Price History'!P125/'Price History'!P124-1),"")</f>
        <v/>
      </c>
      <c r="Q124" s="136" t="n">
        <f aca="false">IFERROR(IF(OR(NOT(ISNUMBER('Price History'!Q125)),NOT(ISNUMBER('Price History'!Q124)),'Price History'!Q124=0),"",'Price History'!Q125/'Price History'!Q124-1),"")</f>
        <v>0.00374700239808146</v>
      </c>
      <c r="R124" s="136" t="n">
        <f aca="false">IFERROR(IF(OR(NOT(ISNUMBER('Price History'!R125)),NOT(ISNUMBER('Price History'!R124)),'Price History'!R124=0),"",'Price History'!R125/'Price History'!R124-1),"")</f>
        <v>-0.0108806528391704</v>
      </c>
      <c r="S124" s="136" t="n">
        <f aca="false">IFERROR(IF(OR(NOT(ISNUMBER('Price History'!S125)),NOT(ISNUMBER('Price History'!S124)),'Price History'!S124=0),"",'Price History'!S125/'Price History'!S124-1),"")</f>
        <v>-0.014480761274307</v>
      </c>
      <c r="T124" s="136" t="n">
        <f aca="false">IFERROR(IF(OR(NOT(ISNUMBER('Price History'!T125)),NOT(ISNUMBER('Price History'!T124)),'Price History'!T124=0),"",'Price History'!T125/'Price History'!T124-1),"")</f>
        <v>0.00710299340436338</v>
      </c>
      <c r="U124" s="136" t="str">
        <f aca="false">IFERROR(IF(OR(NOT(ISNUMBER('Price History'!U125)),NOT(ISNUMBER('Price History'!U124)),'Price History'!U124=0),"",'Price History'!U125/'Price History'!U124-1),"")</f>
        <v/>
      </c>
      <c r="W124" s="137" t="n">
        <f aca="false">'Price History'!B3+('Price History'!B158-'Price History'!B3)*0.785714285714286</f>
        <v>305.704285714286</v>
      </c>
      <c r="X124" s="137" t="n">
        <f aca="false">'Price History'!C3+('Price History'!C158-'Price History'!C3)*0.785714285714286</f>
        <v>151.076428571429</v>
      </c>
      <c r="Y124" s="137" t="n">
        <f aca="false">'Price History'!D3+('Price History'!D158-'Price History'!D3)*0.785714285714286</f>
        <v>1421.73857142857</v>
      </c>
      <c r="Z124" s="137" t="n">
        <f aca="false">'Price History'!E3+('Price History'!E158-'Price History'!E3)*0.785714285714286</f>
        <v>323.644285714286</v>
      </c>
      <c r="AA124" s="137" t="n">
        <f aca="false">'Price History'!F3+('Price History'!F158-'Price History'!F3)*0.785714285714286</f>
        <v>157.902857142857</v>
      </c>
      <c r="AB124" s="137" t="n">
        <f aca="false">'Price History'!G3+('Price History'!G158-'Price History'!G3)*0.785714285714286</f>
        <v>153.908571428571</v>
      </c>
      <c r="AC124" s="137" t="n">
        <f aca="false">'Price History'!H3+('Price History'!H158-'Price History'!H3)*0.785714285714286</f>
        <v>660.46</v>
      </c>
      <c r="AD124" s="137" t="n">
        <f aca="false">'Price History'!I3+('Price History'!I158-'Price History'!I3)*0.785714285714286</f>
        <v>166.485714285714</v>
      </c>
      <c r="AE124" s="137" t="n">
        <f aca="false">'Price History'!J3+('Price History'!J158-'Price History'!J3)*0.785714285714286</f>
        <v>140.088571428571</v>
      </c>
      <c r="AF124" s="137" t="n">
        <f aca="false">'Price History'!K3+('Price History'!K158-'Price History'!K3)*0.785714285714286</f>
        <v>99.9921428571429</v>
      </c>
      <c r="AG124" s="137" t="n">
        <f aca="false">'Price History'!L3+('Price History'!L158-'Price History'!L3)*0.785714285714286</f>
        <v>337.337142857143</v>
      </c>
      <c r="AH124" s="137" t="n">
        <f aca="false">'Price History'!M3+('Price History'!M158-'Price History'!M3)*0.785714285714286</f>
        <v>196.985714285714</v>
      </c>
      <c r="AI124" s="137" t="n">
        <f aca="false">'Price History'!N3+('Price History'!N158-'Price History'!N3)*0.785714285714286</f>
        <v>449.834285714286</v>
      </c>
      <c r="AJ124" s="137" t="n">
        <f aca="false">'Price History'!O3+('Price History'!O158-'Price History'!O3)*0.785714285714286</f>
        <v>116.187857142857</v>
      </c>
      <c r="AK124" s="137" t="n">
        <f aca="false">'Price History'!Q3+('Price History'!Q151-'Price History'!Q3)*0.785714285714286</f>
        <v>64.4621428571429</v>
      </c>
      <c r="AL124" s="137" t="n">
        <f aca="false">'Price History'!R3+('Price History'!R158-'Price History'!R3)*0.785714285714286</f>
        <v>56.015</v>
      </c>
      <c r="AM124" s="137" t="n">
        <f aca="false">'Price History'!S3+('Price History'!S158-'Price History'!S3)*0.785714285714286</f>
        <v>125.553571428571</v>
      </c>
      <c r="AN124" s="137" t="n">
        <f aca="false">'Price History'!T3+('Price History'!T158-'Price History'!T3)*0.785714285714286</f>
        <v>44.8478571428572</v>
      </c>
    </row>
    <row r="125" customFormat="false" ht="15" hidden="false" customHeight="true" outlineLevel="0" collapsed="false">
      <c r="A125" s="135" t="n">
        <f aca="false">IF('Price History'!A126="","",'Price History'!A126)</f>
        <v>46010</v>
      </c>
      <c r="B125" s="136" t="n">
        <f aca="false">IFERROR(IF(OR(NOT(ISNUMBER('Price History'!B126)),NOT(ISNUMBER('Price History'!B125)),'Price History'!B125=0),"",'Price History'!B126/'Price History'!B125-1),"")</f>
        <v>-0.00159919198720648</v>
      </c>
      <c r="C125" s="136" t="n">
        <f aca="false">IFERROR(IF(OR(NOT(ISNUMBER('Price History'!C126)),NOT(ISNUMBER('Price History'!C125)),'Price History'!C125=0),"",'Price History'!C126/'Price History'!C125-1),"")</f>
        <v>0.0509778775248477</v>
      </c>
      <c r="D125" s="136" t="n">
        <f aca="false">IFERROR(IF(OR(NOT(ISNUMBER('Price History'!D126)),NOT(ISNUMBER('Price History'!D125)),'Price History'!D125=0),"",'Price History'!D126/'Price History'!D125-1),"")</f>
        <v>-0.0229726604061618</v>
      </c>
      <c r="E125" s="136" t="n">
        <f aca="false">IFERROR(IF(OR(NOT(ISNUMBER('Price History'!E126)),NOT(ISNUMBER('Price History'!E125)),'Price History'!E125=0),"",'Price History'!E126/'Price History'!E125-1),"")</f>
        <v>-0.05437168338288</v>
      </c>
      <c r="F125" s="136" t="n">
        <f aca="false">IFERROR(IF(OR(NOT(ISNUMBER('Price History'!F126)),NOT(ISNUMBER('Price History'!F125)),'Price History'!F125=0),"",'Price History'!F126/'Price History'!F125-1),"")</f>
        <v>-0.0465927099841522</v>
      </c>
      <c r="G125" s="136" t="n">
        <f aca="false">IFERROR(IF(OR(NOT(ISNUMBER('Price History'!G126)),NOT(ISNUMBER('Price History'!G125)),'Price History'!G125=0),"",'Price History'!G126/'Price History'!G125-1),"")</f>
        <v>0.0433872183599966</v>
      </c>
      <c r="H125" s="136" t="n">
        <f aca="false">IFERROR(IF(OR(NOT(ISNUMBER('Price History'!H126)),NOT(ISNUMBER('Price History'!H125)),'Price History'!H125=0),"",'Price History'!H126/'Price History'!H125-1),"")</f>
        <v>0.102761881064942</v>
      </c>
      <c r="I125" s="136" t="n">
        <f aca="false">IFERROR(IF(OR(NOT(ISNUMBER('Price History'!I126)),NOT(ISNUMBER('Price History'!I125)),'Price History'!I125=0),"",'Price History'!I126/'Price History'!I125-1),"")</f>
        <v>0.0341103873842989</v>
      </c>
      <c r="J125" s="136" t="n">
        <f aca="false">IFERROR(IF(OR(NOT(ISNUMBER('Price History'!J126)),NOT(ISNUMBER('Price History'!J125)),'Price History'!J125=0),"",'Price History'!J126/'Price History'!J125-1),"")</f>
        <v>-0.0226609310185897</v>
      </c>
      <c r="K125" s="136" t="n">
        <f aca="false">IFERROR(IF(OR(NOT(ISNUMBER('Price History'!K126)),NOT(ISNUMBER('Price History'!K125)),'Price History'!K125=0),"",'Price History'!K126/'Price History'!K125-1),"")</f>
        <v>0.0534401045922537</v>
      </c>
      <c r="L125" s="136" t="n">
        <f aca="false">IFERROR(IF(OR(NOT(ISNUMBER('Price History'!L126)),NOT(ISNUMBER('Price History'!L125)),'Price History'!L125=0),"",'Price History'!L126/'Price History'!L125-1),"")</f>
        <v>-0.0105807423640598</v>
      </c>
      <c r="M125" s="136" t="n">
        <f aca="false">IFERROR(IF(OR(NOT(ISNUMBER('Price History'!M126)),NOT(ISNUMBER('Price History'!M125)),'Price History'!M125=0),"",'Price History'!M126/'Price History'!M125-1),"")</f>
        <v>-0.00899113288274334</v>
      </c>
      <c r="N125" s="136" t="n">
        <f aca="false">IFERROR(IF(OR(NOT(ISNUMBER('Price History'!N126)),NOT(ISNUMBER('Price History'!N125)),'Price History'!N125=0),"",'Price History'!N126/'Price History'!N125-1),"")</f>
        <v>0.00920272542252887</v>
      </c>
      <c r="O125" s="136" t="n">
        <f aca="false">IFERROR(IF(OR(NOT(ISNUMBER('Price History'!O126)),NOT(ISNUMBER('Price History'!O125)),'Price History'!O125=0),"",'Price History'!O126/'Price History'!O125-1),"")</f>
        <v>-0.0126534107125867</v>
      </c>
      <c r="P125" s="136" t="str">
        <f aca="false">IFERROR(IF(OR(NOT(ISNUMBER('Price History'!P126)),NOT(ISNUMBER('Price History'!P125)),'Price History'!P125=0),"",'Price History'!P126/'Price History'!P125-1),"")</f>
        <v/>
      </c>
      <c r="Q125" s="136" t="n">
        <f aca="false">IFERROR(IF(OR(NOT(ISNUMBER('Price History'!Q126)),NOT(ISNUMBER('Price History'!Q125)),'Price History'!Q125=0),"",'Price History'!Q126/'Price History'!Q125-1),"")</f>
        <v>0.00283709123488118</v>
      </c>
      <c r="R125" s="136" t="n">
        <f aca="false">IFERROR(IF(OR(NOT(ISNUMBER('Price History'!R126)),NOT(ISNUMBER('Price History'!R125)),'Price History'!R125=0),"",'Price History'!R126/'Price History'!R125-1),"")</f>
        <v>0.00756273633551041</v>
      </c>
      <c r="S125" s="136" t="n">
        <f aca="false">IFERROR(IF(OR(NOT(ISNUMBER('Price History'!S126)),NOT(ISNUMBER('Price History'!S125)),'Price History'!S125=0),"",'Price History'!S126/'Price History'!S125-1),"")</f>
        <v>0.00361041141897567</v>
      </c>
      <c r="T125" s="136" t="n">
        <f aca="false">IFERROR(IF(OR(NOT(ISNUMBER('Price History'!T126)),NOT(ISNUMBER('Price History'!T125)),'Price History'!T125=0),"",'Price History'!T126/'Price History'!T125-1),"")</f>
        <v>-0.00428211586901772</v>
      </c>
      <c r="U125" s="136" t="str">
        <f aca="false">IFERROR(IF(OR(NOT(ISNUMBER('Price History'!U126)),NOT(ISNUMBER('Price History'!U125)),'Price History'!U125=0),"",'Price History'!U126/'Price History'!U125-1),"")</f>
        <v/>
      </c>
      <c r="W125" s="137" t="n">
        <f aca="false">'Price History'!B3+('Price History'!B158-'Price History'!B3)*0.792207792207792</f>
        <v>304.028701298701</v>
      </c>
      <c r="X125" s="137" t="n">
        <f aca="false">'Price History'!C3+('Price History'!C158-'Price History'!C3)*0.792207792207792</f>
        <v>151.963506493506</v>
      </c>
      <c r="Y125" s="137" t="n">
        <f aca="false">'Price History'!D3+('Price History'!D158-'Price History'!D3)*0.792207792207792</f>
        <v>1428.01922077922</v>
      </c>
      <c r="Z125" s="137" t="n">
        <f aca="false">'Price History'!E3+('Price History'!E158-'Price History'!E3)*0.792207792207792</f>
        <v>325.633246753247</v>
      </c>
      <c r="AA125" s="137" t="n">
        <f aca="false">'Price History'!F3+('Price History'!F158-'Price History'!F3)*0.792207792207792</f>
        <v>158.901558441558</v>
      </c>
      <c r="AB125" s="137" t="n">
        <f aca="false">'Price History'!G3+('Price History'!G158-'Price History'!G3)*0.792207792207792</f>
        <v>154.784675324675</v>
      </c>
      <c r="AC125" s="137" t="n">
        <f aca="false">'Price History'!H3+('Price History'!H158-'Price History'!H3)*0.792207792207792</f>
        <v>665.386363636364</v>
      </c>
      <c r="AD125" s="137" t="n">
        <f aca="false">'Price History'!I3+('Price History'!I158-'Price History'!I3)*0.792207792207792</f>
        <v>167.524025974026</v>
      </c>
      <c r="AE125" s="137" t="n">
        <f aca="false">'Price History'!J3+('Price History'!J158-'Price History'!J3)*0.792207792207792</f>
        <v>140.225584415584</v>
      </c>
      <c r="AF125" s="137" t="n">
        <f aca="false">'Price History'!K3+('Price History'!K158-'Price History'!K3)*0.792207792207792</f>
        <v>100.691168831169</v>
      </c>
      <c r="AG125" s="137" t="n">
        <f aca="false">'Price History'!L3+('Price History'!L158-'Price History'!L3)*0.792207792207792</f>
        <v>339.364805194805</v>
      </c>
      <c r="AH125" s="137" t="n">
        <f aca="false">'Price History'!M3+('Price History'!M158-'Price History'!M3)*0.792207792207792</f>
        <v>198.336753246753</v>
      </c>
      <c r="AI125" s="137" t="n">
        <f aca="false">'Price History'!N3+('Price History'!N158-'Price History'!N3)*0.792207792207792</f>
        <v>450.66051948052</v>
      </c>
      <c r="AJ125" s="137" t="n">
        <f aca="false">'Price History'!O3+('Price History'!O158-'Price History'!O3)*0.792207792207792</f>
        <v>116.463376623377</v>
      </c>
      <c r="AK125" s="137" t="n">
        <f aca="false">'Price History'!Q3+('Price History'!Q151-'Price History'!Q3)*0.792207792207792</f>
        <v>64.582987012987</v>
      </c>
      <c r="AL125" s="137" t="n">
        <f aca="false">'Price History'!R3+('Price History'!R158-'Price History'!R3)*0.792207792207792</f>
        <v>56.0827272727273</v>
      </c>
      <c r="AM125" s="137" t="n">
        <f aca="false">'Price History'!S3+('Price History'!S158-'Price History'!S3)*0.792207792207792</f>
        <v>126.107402597403</v>
      </c>
      <c r="AN125" s="137" t="n">
        <f aca="false">'Price History'!T3+('Price History'!T158-'Price History'!T3)*0.792207792207792</f>
        <v>44.9961038961039</v>
      </c>
    </row>
    <row r="126" customFormat="false" ht="15" hidden="false" customHeight="true" outlineLevel="0" collapsed="false">
      <c r="A126" s="135" t="n">
        <f aca="false">IF('Price History'!A127="","",'Price History'!A127)</f>
        <v>46017</v>
      </c>
      <c r="B126" s="136" t="n">
        <f aca="false">IFERROR(IF(OR(NOT(ISNUMBER('Price History'!B127)),NOT(ISNUMBER('Price History'!B126)),'Price History'!B126=0),"",'Price History'!B127/'Price History'!B126-1),"")</f>
        <v>-0.00578879334569771</v>
      </c>
      <c r="C126" s="136" t="n">
        <f aca="false">IFERROR(IF(OR(NOT(ISNUMBER('Price History'!C127)),NOT(ISNUMBER('Price History'!C126)),'Price History'!C126=0),"",'Price History'!C127/'Price History'!C126-1),"")</f>
        <v>0.00549115314215976</v>
      </c>
      <c r="D126" s="136" t="n">
        <f aca="false">IFERROR(IF(OR(NOT(ISNUMBER('Price History'!D127)),NOT(ISNUMBER('Price History'!D126)),'Price History'!D126=0),"",'Price History'!D127/'Price History'!D126-1),"")</f>
        <v>0.0158425029828981</v>
      </c>
      <c r="E126" s="136" t="n">
        <f aca="false">IFERROR(IF(OR(NOT(ISNUMBER('Price History'!E127)),NOT(ISNUMBER('Price History'!E126)),'Price History'!E126=0),"",'Price History'!E127/'Price History'!E126-1),"")</f>
        <v>0.0345810318486308</v>
      </c>
      <c r="F126" s="136" t="n">
        <f aca="false">IFERROR(IF(OR(NOT(ISNUMBER('Price History'!F127)),NOT(ISNUMBER('Price History'!F126)),'Price History'!F126=0),"",'Price History'!F127/'Price History'!F126-1),"")</f>
        <v>-0.000166223404255317</v>
      </c>
      <c r="G126" s="136" t="n">
        <f aca="false">IFERROR(IF(OR(NOT(ISNUMBER('Price History'!G127)),NOT(ISNUMBER('Price History'!G126)),'Price History'!G126=0),"",'Price History'!G127/'Price History'!G126-1),"")</f>
        <v>0.0272136148350326</v>
      </c>
      <c r="H126" s="136" t="n">
        <f aca="false">IFERROR(IF(OR(NOT(ISNUMBER('Price History'!H127)),NOT(ISNUMBER('Price History'!H126)),'Price History'!H126=0),"",'Price History'!H127/'Price History'!H126-1),"")</f>
        <v>0.0709611913357402</v>
      </c>
      <c r="I126" s="136" t="n">
        <f aca="false">IFERROR(IF(OR(NOT(ISNUMBER('Price History'!I127)),NOT(ISNUMBER('Price History'!I126)),'Price History'!I126=0),"",'Price History'!I127/'Price History'!I126-1),"")</f>
        <v>0.052710094480358</v>
      </c>
      <c r="J126" s="136" t="n">
        <f aca="false">IFERROR(IF(OR(NOT(ISNUMBER('Price History'!J127)),NOT(ISNUMBER('Price History'!J126)),'Price History'!J126=0),"",'Price History'!J127/'Price History'!J126-1),"")</f>
        <v>0.0116324766171501</v>
      </c>
      <c r="K126" s="136" t="n">
        <f aca="false">IFERROR(IF(OR(NOT(ISNUMBER('Price History'!K127)),NOT(ISNUMBER('Price History'!K126)),'Price History'!K126=0),"",'Price History'!K127/'Price History'!K126-1),"")</f>
        <v>-0.0241493432619712</v>
      </c>
      <c r="L126" s="136" t="n">
        <f aca="false">IFERROR(IF(OR(NOT(ISNUMBER('Price History'!L127)),NOT(ISNUMBER('Price History'!L126)),'Price History'!L126=0),"",'Price History'!L127/'Price History'!L126-1),"")</f>
        <v>0.0480706004499047</v>
      </c>
      <c r="M126" s="136" t="n">
        <f aca="false">IFERROR(IF(OR(NOT(ISNUMBER('Price History'!M127)),NOT(ISNUMBER('Price History'!M126)),'Price History'!M126=0),"",'Price History'!M127/'Price History'!M126-1),"")</f>
        <v>0.0485546239519461</v>
      </c>
      <c r="N126" s="136" t="n">
        <f aca="false">IFERROR(IF(OR(NOT(ISNUMBER('Price History'!N127)),NOT(ISNUMBER('Price History'!N126)),'Price History'!N126=0),"",'Price History'!N127/'Price History'!N126-1),"")</f>
        <v>0.0146865409907935</v>
      </c>
      <c r="O126" s="136" t="n">
        <f aca="false">IFERROR(IF(OR(NOT(ISNUMBER('Price History'!O127)),NOT(ISNUMBER('Price History'!O126)),'Price History'!O126=0),"",'Price History'!O127/'Price History'!O126-1),"")</f>
        <v>-0.000867219117363649</v>
      </c>
      <c r="P126" s="136" t="str">
        <f aca="false">IFERROR(IF(OR(NOT(ISNUMBER('Price History'!P127)),NOT(ISNUMBER('Price History'!P126)),'Price History'!P126=0),"",'Price History'!P127/'Price History'!P126-1),"")</f>
        <v/>
      </c>
      <c r="Q126" s="136" t="n">
        <f aca="false">IFERROR(IF(OR(NOT(ISNUMBER('Price History'!Q127)),NOT(ISNUMBER('Price History'!Q126)),'Price History'!Q126=0),"",'Price History'!Q127/'Price History'!Q126-1),"")</f>
        <v>-0.00878499106611086</v>
      </c>
      <c r="R126" s="136" t="n">
        <f aca="false">IFERROR(IF(OR(NOT(ISNUMBER('Price History'!R127)),NOT(ISNUMBER('Price History'!R126)),'Price History'!R126=0),"",'Price History'!R127/'Price History'!R126-1),"")</f>
        <v>0.0122824974411464</v>
      </c>
      <c r="S126" s="136" t="n">
        <f aca="false">IFERROR(IF(OR(NOT(ISNUMBER('Price History'!S127)),NOT(ISNUMBER('Price History'!S126)),'Price History'!S126=0),"",'Price History'!S127/'Price History'!S126-1),"")</f>
        <v>0.0154772860369781</v>
      </c>
      <c r="T126" s="136" t="n">
        <f aca="false">IFERROR(IF(OR(NOT(ISNUMBER('Price History'!T127)),NOT(ISNUMBER('Price History'!T126)),'Price History'!T126=0),"",'Price History'!T127/'Price History'!T126-1),"")</f>
        <v>0.00657728307614458</v>
      </c>
      <c r="U126" s="136" t="str">
        <f aca="false">IFERROR(IF(OR(NOT(ISNUMBER('Price History'!U127)),NOT(ISNUMBER('Price History'!U126)),'Price History'!U126=0),"",'Price History'!U127/'Price History'!U126-1),"")</f>
        <v/>
      </c>
      <c r="W126" s="137" t="n">
        <f aca="false">'Price History'!B3+('Price History'!B158-'Price History'!B3)*0.798701298701299</f>
        <v>302.353116883117</v>
      </c>
      <c r="X126" s="137" t="n">
        <f aca="false">'Price History'!C3+('Price History'!C158-'Price History'!C3)*0.798701298701299</f>
        <v>152.850584415584</v>
      </c>
      <c r="Y126" s="137" t="n">
        <f aca="false">'Price History'!D3+('Price History'!D158-'Price History'!D3)*0.798701298701299</f>
        <v>1434.29987012987</v>
      </c>
      <c r="Z126" s="137" t="n">
        <f aca="false">'Price History'!E3+('Price History'!E158-'Price History'!E3)*0.798701298701299</f>
        <v>327.622207792208</v>
      </c>
      <c r="AA126" s="137" t="n">
        <f aca="false">'Price History'!F3+('Price History'!F158-'Price History'!F3)*0.798701298701299</f>
        <v>159.90025974026</v>
      </c>
      <c r="AB126" s="137" t="n">
        <f aca="false">'Price History'!G3+('Price History'!G158-'Price History'!G3)*0.798701298701299</f>
        <v>155.660779220779</v>
      </c>
      <c r="AC126" s="137" t="n">
        <f aca="false">'Price History'!H3+('Price History'!H158-'Price History'!H3)*0.798701298701299</f>
        <v>670.312727272727</v>
      </c>
      <c r="AD126" s="137" t="n">
        <f aca="false">'Price History'!I3+('Price History'!I158-'Price History'!I3)*0.798701298701299</f>
        <v>168.562337662338</v>
      </c>
      <c r="AE126" s="137" t="n">
        <f aca="false">'Price History'!J3+('Price History'!J158-'Price History'!J3)*0.798701298701299</f>
        <v>140.362597402597</v>
      </c>
      <c r="AF126" s="137" t="n">
        <f aca="false">'Price History'!K3+('Price History'!K158-'Price History'!K3)*0.798701298701299</f>
        <v>101.390194805195</v>
      </c>
      <c r="AG126" s="137" t="n">
        <f aca="false">'Price History'!L3+('Price History'!L158-'Price History'!L3)*0.798701298701299</f>
        <v>341.392467532468</v>
      </c>
      <c r="AH126" s="137" t="n">
        <f aca="false">'Price History'!M3+('Price History'!M158-'Price History'!M3)*0.798701298701299</f>
        <v>199.687792207792</v>
      </c>
      <c r="AI126" s="137" t="n">
        <f aca="false">'Price History'!N3+('Price History'!N158-'Price History'!N3)*0.798701298701299</f>
        <v>451.486753246753</v>
      </c>
      <c r="AJ126" s="137" t="n">
        <f aca="false">'Price History'!O3+('Price History'!O158-'Price History'!O3)*0.798701298701299</f>
        <v>116.738896103896</v>
      </c>
      <c r="AK126" s="137" t="n">
        <f aca="false">'Price History'!Q3+('Price History'!Q151-'Price History'!Q3)*0.798701298701299</f>
        <v>64.7038311688312</v>
      </c>
      <c r="AL126" s="137" t="n">
        <f aca="false">'Price History'!R3+('Price History'!R158-'Price History'!R3)*0.798701298701299</f>
        <v>56.1504545454546</v>
      </c>
      <c r="AM126" s="137" t="n">
        <f aca="false">'Price History'!S3+('Price History'!S158-'Price History'!S3)*0.798701298701299</f>
        <v>126.661233766234</v>
      </c>
      <c r="AN126" s="137" t="n">
        <f aca="false">'Price History'!T3+('Price History'!T158-'Price History'!T3)*0.798701298701299</f>
        <v>45.1443506493507</v>
      </c>
    </row>
    <row r="127" customFormat="false" ht="15" hidden="false" customHeight="true" outlineLevel="0" collapsed="false">
      <c r="A127" s="135" t="n">
        <f aca="false">IF('Price History'!A128="","",'Price History'!A128)</f>
        <v>46024</v>
      </c>
      <c r="B127" s="136" t="n">
        <f aca="false">IFERROR(IF(OR(NOT(ISNUMBER('Price History'!B128)),NOT(ISNUMBER('Price History'!B127)),'Price History'!B127=0),"",'Price History'!B128/'Price History'!B127-1),"")</f>
        <v>-0.0579423403052572</v>
      </c>
      <c r="C127" s="136" t="n">
        <f aca="false">IFERROR(IF(OR(NOT(ISNUMBER('Price History'!C128)),NOT(ISNUMBER('Price History'!C127)),'Price History'!C127=0),"",'Price History'!C128/'Price History'!C127-1),"")</f>
        <v>0.0133495145631066</v>
      </c>
      <c r="D127" s="136" t="n">
        <f aca="false">IFERROR(IF(OR(NOT(ISNUMBER('Price History'!D128)),NOT(ISNUMBER('Price History'!D127)),'Price History'!D127=0),"",'Price History'!D128/'Price History'!D127-1),"")</f>
        <v>0.0848566767653227</v>
      </c>
      <c r="E127" s="136" t="n">
        <f aca="false">IFERROR(IF(OR(NOT(ISNUMBER('Price History'!E128)),NOT(ISNUMBER('Price History'!E127)),'Price History'!E127=0),"",'Price History'!E128/'Price History'!E127-1),"")</f>
        <v>-0.012807769857723</v>
      </c>
      <c r="F127" s="136" t="n">
        <f aca="false">IFERROR(IF(OR(NOT(ISNUMBER('Price History'!F128)),NOT(ISNUMBER('Price History'!F127)),'Price History'!F127=0),"",'Price History'!F128/'Price History'!F127-1),"")</f>
        <v>-0.057356608478803</v>
      </c>
      <c r="G127" s="136" t="n">
        <f aca="false">IFERROR(IF(OR(NOT(ISNUMBER('Price History'!G128)),NOT(ISNUMBER('Price History'!G127)),'Price History'!G127=0),"",'Price History'!G128/'Price History'!G127-1),"")</f>
        <v>-0.00398562050640816</v>
      </c>
      <c r="H127" s="136" t="n">
        <f aca="false">IFERROR(IF(OR(NOT(ISNUMBER('Price History'!H128)),NOT(ISNUMBER('Price History'!H127)),'Price History'!H127=0),"",'Price History'!H128/'Price History'!H127-1),"")</f>
        <v>0.107552933740651</v>
      </c>
      <c r="I127" s="136" t="n">
        <f aca="false">IFERROR(IF(OR(NOT(ISNUMBER('Price History'!I128)),NOT(ISNUMBER('Price History'!I127)),'Price History'!I127=0),"",'Price History'!I128/'Price History'!I127-1),"")</f>
        <v>-0.00881750905369239</v>
      </c>
      <c r="J127" s="136" t="n">
        <f aca="false">IFERROR(IF(OR(NOT(ISNUMBER('Price History'!J128)),NOT(ISNUMBER('Price History'!J127)),'Price History'!J127=0),"",'Price History'!J128/'Price History'!J127-1),"")</f>
        <v>0.00264159738948022</v>
      </c>
      <c r="K127" s="136" t="n">
        <f aca="false">IFERROR(IF(OR(NOT(ISNUMBER('Price History'!K128)),NOT(ISNUMBER('Price History'!K127)),'Price History'!K127=0),"",'Price History'!K128/'Price History'!K127-1),"")</f>
        <v>-0.110486990620529</v>
      </c>
      <c r="L127" s="136" t="n">
        <f aca="false">IFERROR(IF(OR(NOT(ISNUMBER('Price History'!L128)),NOT(ISNUMBER('Price History'!L127)),'Price History'!L127=0),"",'Price History'!L128/'Price History'!L127-1),"")</f>
        <v>0.0553757759873201</v>
      </c>
      <c r="M127" s="136" t="n">
        <f aca="false">IFERROR(IF(OR(NOT(ISNUMBER('Price History'!M128)),NOT(ISNUMBER('Price History'!M127)),'Price History'!M127=0),"",'Price History'!M128/'Price History'!M127-1),"")</f>
        <v>0.0479174125790667</v>
      </c>
      <c r="N127" s="136" t="n">
        <f aca="false">IFERROR(IF(OR(NOT(ISNUMBER('Price History'!N128)),NOT(ISNUMBER('Price History'!N127)),'Price History'!N127=0),"",'Price History'!N128/'Price History'!N127-1),"")</f>
        <v>-0.0232663642255346</v>
      </c>
      <c r="O127" s="136" t="n">
        <f aca="false">IFERROR(IF(OR(NOT(ISNUMBER('Price History'!O128)),NOT(ISNUMBER('Price History'!O127)),'Price History'!O127=0),"",'Price History'!O128/'Price History'!O127-1),"")</f>
        <v>-0.00549715498119385</v>
      </c>
      <c r="P127" s="136" t="str">
        <f aca="false">IFERROR(IF(OR(NOT(ISNUMBER('Price History'!P128)),NOT(ISNUMBER('Price History'!P127)),'Price History'!P127=0),"",'Price History'!P128/'Price History'!P127-1),"")</f>
        <v/>
      </c>
      <c r="Q127" s="136" t="n">
        <f aca="false">IFERROR(IF(OR(NOT(ISNUMBER('Price History'!Q128)),NOT(ISNUMBER('Price History'!Q127)),'Price History'!Q127=0),"",'Price History'!Q128/'Price History'!Q127-1),"")</f>
        <v>0.00691001952831627</v>
      </c>
      <c r="R127" s="136" t="n">
        <f aca="false">IFERROR(IF(OR(NOT(ISNUMBER('Price History'!R128)),NOT(ISNUMBER('Price History'!R127)),'Price History'!R127=0),"",'Price History'!R128/'Price History'!R127-1),"")</f>
        <v>-0.0210650488709134</v>
      </c>
      <c r="S127" s="136" t="n">
        <f aca="false">IFERROR(IF(OR(NOT(ISNUMBER('Price History'!S128)),NOT(ISNUMBER('Price History'!S127)),'Price History'!S127=0),"",'Price History'!S128/'Price History'!S127-1),"")</f>
        <v>-0.014087988136431</v>
      </c>
      <c r="T127" s="136" t="n">
        <f aca="false">IFERROR(IF(OR(NOT(ISNUMBER('Price History'!T128)),NOT(ISNUMBER('Price History'!T127)),'Price History'!T127=0),"",'Price History'!T128/'Price History'!T127-1),"")</f>
        <v>-0.0092988187986931</v>
      </c>
      <c r="U127" s="136" t="str">
        <f aca="false">IFERROR(IF(OR(NOT(ISNUMBER('Price History'!U128)),NOT(ISNUMBER('Price History'!U127)),'Price History'!U127=0),"",'Price History'!U128/'Price History'!U127-1),"")</f>
        <v/>
      </c>
      <c r="W127" s="137" t="n">
        <f aca="false">'Price History'!B3+('Price History'!B158-'Price History'!B3)*0.805194805194805</f>
        <v>300.677532467533</v>
      </c>
      <c r="X127" s="137" t="n">
        <f aca="false">'Price History'!C3+('Price History'!C158-'Price History'!C3)*0.805194805194805</f>
        <v>153.737662337662</v>
      </c>
      <c r="Y127" s="137" t="n">
        <f aca="false">'Price History'!D3+('Price History'!D158-'Price History'!D3)*0.805194805194805</f>
        <v>1440.58051948052</v>
      </c>
      <c r="Z127" s="137" t="n">
        <f aca="false">'Price History'!E3+('Price History'!E158-'Price History'!E3)*0.805194805194805</f>
        <v>329.611168831169</v>
      </c>
      <c r="AA127" s="137" t="n">
        <f aca="false">'Price History'!F3+('Price History'!F158-'Price History'!F3)*0.805194805194805</f>
        <v>160.898961038961</v>
      </c>
      <c r="AB127" s="137" t="n">
        <f aca="false">'Price History'!G3+('Price History'!G158-'Price History'!G3)*0.805194805194805</f>
        <v>156.536883116883</v>
      </c>
      <c r="AC127" s="137" t="n">
        <f aca="false">'Price History'!H3+('Price History'!H158-'Price History'!H3)*0.805194805194805</f>
        <v>675.239090909091</v>
      </c>
      <c r="AD127" s="137" t="n">
        <f aca="false">'Price History'!I3+('Price History'!I158-'Price History'!I3)*0.805194805194805</f>
        <v>169.600649350649</v>
      </c>
      <c r="AE127" s="137" t="n">
        <f aca="false">'Price History'!J3+('Price History'!J158-'Price History'!J3)*0.805194805194805</f>
        <v>140.49961038961</v>
      </c>
      <c r="AF127" s="137" t="n">
        <f aca="false">'Price History'!K3+('Price History'!K158-'Price History'!K3)*0.805194805194805</f>
        <v>102.089220779221</v>
      </c>
      <c r="AG127" s="137" t="n">
        <f aca="false">'Price History'!L3+('Price History'!L158-'Price History'!L3)*0.805194805194805</f>
        <v>343.42012987013</v>
      </c>
      <c r="AH127" s="137" t="n">
        <f aca="false">'Price History'!M3+('Price History'!M158-'Price History'!M3)*0.805194805194805</f>
        <v>201.038831168831</v>
      </c>
      <c r="AI127" s="137" t="n">
        <f aca="false">'Price History'!N3+('Price History'!N158-'Price History'!N3)*0.805194805194805</f>
        <v>452.312987012987</v>
      </c>
      <c r="AJ127" s="137" t="n">
        <f aca="false">'Price History'!O3+('Price History'!O158-'Price History'!O3)*0.805194805194805</f>
        <v>117.014415584416</v>
      </c>
      <c r="AK127" s="137" t="n">
        <f aca="false">'Price History'!Q3+('Price History'!Q151-'Price History'!Q3)*0.805194805194805</f>
        <v>64.8246753246753</v>
      </c>
      <c r="AL127" s="137" t="n">
        <f aca="false">'Price History'!R3+('Price History'!R158-'Price History'!R3)*0.805194805194805</f>
        <v>56.2181818181818</v>
      </c>
      <c r="AM127" s="137" t="n">
        <f aca="false">'Price History'!S3+('Price History'!S158-'Price History'!S3)*0.805194805194805</f>
        <v>127.215064935065</v>
      </c>
      <c r="AN127" s="137" t="n">
        <f aca="false">'Price History'!T3+('Price History'!T158-'Price History'!T3)*0.805194805194805</f>
        <v>45.2925974025974</v>
      </c>
    </row>
    <row r="128" customFormat="false" ht="15" hidden="false" customHeight="true" outlineLevel="0" collapsed="false">
      <c r="A128" s="135" t="n">
        <f aca="false">IF('Price History'!A129="","",'Price History'!A129)</f>
        <v>46031</v>
      </c>
      <c r="B128" s="136" t="n">
        <f aca="false">IFERROR(IF(OR(NOT(ISNUMBER('Price History'!B129)),NOT(ISNUMBER('Price History'!B128)),'Price History'!B128=0),"",'Price History'!B129/'Price History'!B128-1),"")</f>
        <v>0.00195019501950178</v>
      </c>
      <c r="C128" s="136" t="n">
        <f aca="false">IFERROR(IF(OR(NOT(ISNUMBER('Price History'!C129)),NOT(ISNUMBER('Price History'!C128)),'Price History'!C128=0),"",'Price History'!C129/'Price History'!C128-1),"")</f>
        <v>-0.0801646706586826</v>
      </c>
      <c r="D128" s="136" t="n">
        <f aca="false">IFERROR(IF(OR(NOT(ISNUMBER('Price History'!D129)),NOT(ISNUMBER('Price History'!D128)),'Price History'!D128=0),"",'Price History'!D129/'Price History'!D128-1),"")</f>
        <v>0.0946055096324048</v>
      </c>
      <c r="E128" s="136" t="n">
        <f aca="false">IFERROR(IF(OR(NOT(ISNUMBER('Price History'!E129)),NOT(ISNUMBER('Price History'!E128)),'Price History'!E128=0),"",'Price History'!E129/'Price History'!E128-1),"")</f>
        <v>-0.00762326678557035</v>
      </c>
      <c r="F128" s="136" t="n">
        <f aca="false">IFERROR(IF(OR(NOT(ISNUMBER('Price History'!F129)),NOT(ISNUMBER('Price History'!F128)),'Price History'!F128=0),"",'Price History'!F129/'Price History'!F128-1),"")</f>
        <v>0.0374779541446209</v>
      </c>
      <c r="G128" s="136" t="n">
        <f aca="false">IFERROR(IF(OR(NOT(ISNUMBER('Price History'!G129)),NOT(ISNUMBER('Price History'!G128)),'Price History'!G128=0),"",'Price History'!G129/'Price History'!G128-1),"")</f>
        <v>0.0984699882306788</v>
      </c>
      <c r="H128" s="136" t="n">
        <f aca="false">IFERROR(IF(OR(NOT(ISNUMBER('Price History'!H129)),NOT(ISNUMBER('Price History'!H128)),'Price History'!H128=0),"",'Price History'!H129/'Price History'!H128-1),"")</f>
        <v>0.0940650561156551</v>
      </c>
      <c r="I128" s="136" t="n">
        <f aca="false">IFERROR(IF(OR(NOT(ISNUMBER('Price History'!I129)),NOT(ISNUMBER('Price History'!I128)),'Price History'!I128=0),"",'Price History'!I129/'Price History'!I128-1),"")</f>
        <v>-0.0211278792692612</v>
      </c>
      <c r="J128" s="136" t="n">
        <f aca="false">IFERROR(IF(OR(NOT(ISNUMBER('Price History'!J129)),NOT(ISNUMBER('Price History'!J128)),'Price History'!J128=0),"",'Price History'!J129/'Price History'!J128-1),"")</f>
        <v>0.00271212708252611</v>
      </c>
      <c r="K128" s="136" t="n">
        <f aca="false">IFERROR(IF(OR(NOT(ISNUMBER('Price History'!K129)),NOT(ISNUMBER('Price History'!K128)),'Price History'!K128=0),"",'Price History'!K129/'Price History'!K128-1),"")</f>
        <v>0.0573692362683189</v>
      </c>
      <c r="L128" s="136" t="n">
        <f aca="false">IFERROR(IF(OR(NOT(ISNUMBER('Price History'!L129)),NOT(ISNUMBER('Price History'!L128)),'Price History'!L128=0),"",'Price History'!L129/'Price History'!L128-1),"")</f>
        <v>0.0125778292293732</v>
      </c>
      <c r="M128" s="136" t="n">
        <f aca="false">IFERROR(IF(OR(NOT(ISNUMBER('Price History'!M129)),NOT(ISNUMBER('Price History'!M128)),'Price History'!M128=0),"",'Price History'!M129/'Price History'!M128-1),"")</f>
        <v>-0.0685040715221229</v>
      </c>
      <c r="N128" s="136" t="n">
        <f aca="false">IFERROR(IF(OR(NOT(ISNUMBER('Price History'!N129)),NOT(ISNUMBER('Price History'!N128)),'Price History'!N128=0),"",'Price History'!N129/'Price History'!N128-1),"")</f>
        <v>0.0259438657023423</v>
      </c>
      <c r="O128" s="136" t="n">
        <f aca="false">IFERROR(IF(OR(NOT(ISNUMBER('Price History'!O129)),NOT(ISNUMBER('Price History'!O128)),'Price History'!O128=0),"",'Price History'!O129/'Price History'!O128-1),"")</f>
        <v>0.0408262218774242</v>
      </c>
      <c r="P128" s="136" t="str">
        <f aca="false">IFERROR(IF(OR(NOT(ISNUMBER('Price History'!P129)),NOT(ISNUMBER('Price History'!P128)),'Price History'!P128=0),"",'Price History'!P129/'Price History'!P128-1),"")</f>
        <v/>
      </c>
      <c r="Q128" s="136" t="n">
        <f aca="false">IFERROR(IF(OR(NOT(ISNUMBER('Price History'!Q129)),NOT(ISNUMBER('Price History'!Q128)),'Price History'!Q128=0),"",'Price History'!Q129/'Price History'!Q128-1),"")</f>
        <v>-0.00581829031776815</v>
      </c>
      <c r="R128" s="136" t="n">
        <f aca="false">IFERROR(IF(OR(NOT(ISNUMBER('Price History'!R129)),NOT(ISNUMBER('Price History'!R128)),'Price History'!R128=0),"",'Price History'!R129/'Price History'!R128-1),"")</f>
        <v>0.0184196935789291</v>
      </c>
      <c r="S128" s="136" t="n">
        <f aca="false">IFERROR(IF(OR(NOT(ISNUMBER('Price History'!S129)),NOT(ISNUMBER('Price History'!S128)),'Price History'!S128=0),"",'Price History'!S129/'Price History'!S128-1),"")</f>
        <v>0.00300827275006266</v>
      </c>
      <c r="T128" s="136" t="n">
        <f aca="false">IFERROR(IF(OR(NOT(ISNUMBER('Price History'!T129)),NOT(ISNUMBER('Price History'!T128)),'Price History'!T128=0),"",'Price History'!T129/'Price History'!T128-1),"")</f>
        <v>0.0256215119228818</v>
      </c>
      <c r="U128" s="136" t="str">
        <f aca="false">IFERROR(IF(OR(NOT(ISNUMBER('Price History'!U129)),NOT(ISNUMBER('Price History'!U128)),'Price History'!U128=0),"",'Price History'!U129/'Price History'!U128-1),"")</f>
        <v/>
      </c>
      <c r="W128" s="137" t="n">
        <f aca="false">'Price History'!B3+('Price History'!B158-'Price History'!B3)*0.811688311688312</f>
        <v>299.001948051948</v>
      </c>
      <c r="X128" s="137" t="n">
        <f aca="false">'Price History'!C3+('Price History'!C158-'Price History'!C3)*0.811688311688312</f>
        <v>154.62474025974</v>
      </c>
      <c r="Y128" s="137" t="n">
        <f aca="false">'Price History'!D3+('Price History'!D158-'Price History'!D3)*0.811688311688312</f>
        <v>1446.86116883117</v>
      </c>
      <c r="Z128" s="137" t="n">
        <f aca="false">'Price History'!E3+('Price History'!E158-'Price History'!E3)*0.811688311688312</f>
        <v>331.60012987013</v>
      </c>
      <c r="AA128" s="137" t="n">
        <f aca="false">'Price History'!F3+('Price History'!F158-'Price History'!F3)*0.811688311688312</f>
        <v>161.897662337662</v>
      </c>
      <c r="AB128" s="137" t="n">
        <f aca="false">'Price History'!G3+('Price History'!G158-'Price History'!G3)*0.811688311688312</f>
        <v>157.412987012987</v>
      </c>
      <c r="AC128" s="137" t="n">
        <f aca="false">'Price History'!H3+('Price History'!H158-'Price History'!H3)*0.811688311688312</f>
        <v>680.165454545455</v>
      </c>
      <c r="AD128" s="137" t="n">
        <f aca="false">'Price History'!I3+('Price History'!I158-'Price History'!I3)*0.811688311688312</f>
        <v>170.638961038961</v>
      </c>
      <c r="AE128" s="137" t="n">
        <f aca="false">'Price History'!J3+('Price History'!J158-'Price History'!J3)*0.811688311688312</f>
        <v>140.636623376623</v>
      </c>
      <c r="AF128" s="137" t="n">
        <f aca="false">'Price History'!K3+('Price History'!K158-'Price History'!K3)*0.811688311688312</f>
        <v>102.788246753247</v>
      </c>
      <c r="AG128" s="137" t="n">
        <f aca="false">'Price History'!L3+('Price History'!L158-'Price History'!L3)*0.811688311688312</f>
        <v>345.447792207792</v>
      </c>
      <c r="AH128" s="137" t="n">
        <f aca="false">'Price History'!M3+('Price History'!M158-'Price History'!M3)*0.811688311688312</f>
        <v>202.38987012987</v>
      </c>
      <c r="AI128" s="137" t="n">
        <f aca="false">'Price History'!N3+('Price History'!N158-'Price History'!N3)*0.811688311688312</f>
        <v>453.139220779221</v>
      </c>
      <c r="AJ128" s="137" t="n">
        <f aca="false">'Price History'!O3+('Price History'!O158-'Price History'!O3)*0.811688311688312</f>
        <v>117.289935064935</v>
      </c>
      <c r="AK128" s="137" t="n">
        <f aca="false">'Price History'!Q3+('Price History'!Q151-'Price History'!Q3)*0.811688311688312</f>
        <v>64.9455194805195</v>
      </c>
      <c r="AL128" s="137" t="n">
        <f aca="false">'Price History'!R3+('Price History'!R158-'Price History'!R3)*0.811688311688312</f>
        <v>56.2859090909091</v>
      </c>
      <c r="AM128" s="137" t="n">
        <f aca="false">'Price History'!S3+('Price History'!S158-'Price History'!S3)*0.811688311688312</f>
        <v>127.768896103896</v>
      </c>
      <c r="AN128" s="137" t="n">
        <f aca="false">'Price History'!T3+('Price History'!T158-'Price History'!T3)*0.811688311688312</f>
        <v>45.4408441558442</v>
      </c>
    </row>
    <row r="129" customFormat="false" ht="15" hidden="false" customHeight="true" outlineLevel="0" collapsed="false">
      <c r="A129" s="135" t="n">
        <f aca="false">IF('Price History'!A130="","",'Price History'!A130)</f>
        <v>46038</v>
      </c>
      <c r="B129" s="136" t="n">
        <f aca="false">IFERROR(IF(OR(NOT(ISNUMBER('Price History'!B130)),NOT(ISNUMBER('Price History'!B129)),'Price History'!B129=0),"",'Price History'!B130/'Price History'!B129-1),"")</f>
        <v>-0.113280431202276</v>
      </c>
      <c r="C129" s="136" t="n">
        <f aca="false">IFERROR(IF(OR(NOT(ISNUMBER('Price History'!C130)),NOT(ISNUMBER('Price History'!C129)),'Price History'!C129=0),"",'Price History'!C130/'Price History'!C129-1),"")</f>
        <v>0.0564732687769551</v>
      </c>
      <c r="D129" s="136" t="n">
        <f aca="false">IFERROR(IF(OR(NOT(ISNUMBER('Price History'!D130)),NOT(ISNUMBER('Price History'!D129)),'Price History'!D129=0),"",'Price History'!D130/'Price History'!D129-1),"")</f>
        <v>0.0664819292241026</v>
      </c>
      <c r="E129" s="136" t="n">
        <f aca="false">IFERROR(IF(OR(NOT(ISNUMBER('Price History'!E130)),NOT(ISNUMBER('Price History'!E129)),'Price History'!E129=0),"",'Price History'!E130/'Price History'!E129-1),"")</f>
        <v>0.0195379308345651</v>
      </c>
      <c r="F129" s="136" t="n">
        <f aca="false">IFERROR(IF(OR(NOT(ISNUMBER('Price History'!F130)),NOT(ISNUMBER('Price History'!F129)),'Price History'!F129=0),"",'Price History'!F130/'Price History'!F129-1),"")</f>
        <v>-0.0355291117722057</v>
      </c>
      <c r="G129" s="136" t="n">
        <f aca="false">IFERROR(IF(OR(NOT(ISNUMBER('Price History'!G130)),NOT(ISNUMBER('Price History'!G129)),'Price History'!G129=0),"",'Price History'!G130/'Price History'!G129-1),"")</f>
        <v>0.119857142857143</v>
      </c>
      <c r="H129" s="136" t="n">
        <f aca="false">IFERROR(IF(OR(NOT(ISNUMBER('Price History'!H130)),NOT(ISNUMBER('Price History'!H129)),'Price History'!H129=0),"",'Price History'!H130/'Price History'!H129-1),"")</f>
        <v>0.0511750557825497</v>
      </c>
      <c r="I129" s="136" t="n">
        <f aca="false">IFERROR(IF(OR(NOT(ISNUMBER('Price History'!I130)),NOT(ISNUMBER('Price History'!I129)),'Price History'!I129=0),"",'Price History'!I130/'Price History'!I129-1),"")</f>
        <v>0.00741101374012754</v>
      </c>
      <c r="J129" s="136" t="n">
        <f aca="false">IFERROR(IF(OR(NOT(ISNUMBER('Price History'!J130)),NOT(ISNUMBER('Price History'!J129)),'Price History'!J129=0),"",'Price History'!J130/'Price History'!J129-1),"")</f>
        <v>0.0294435857805255</v>
      </c>
      <c r="K129" s="136" t="n">
        <f aca="false">IFERROR(IF(OR(NOT(ISNUMBER('Price History'!K130)),NOT(ISNUMBER('Price History'!K129)),'Price History'!K129=0),"",'Price History'!K130/'Price History'!K129-1),"")</f>
        <v>-0.0367908051157811</v>
      </c>
      <c r="L129" s="136" t="n">
        <f aca="false">IFERROR(IF(OR(NOT(ISNUMBER('Price History'!L130)),NOT(ISNUMBER('Price History'!L129)),'Price History'!L129=0),"",'Price History'!L130/'Price History'!L129-1),"")</f>
        <v>0.0579983314278651</v>
      </c>
      <c r="M129" s="136" t="n">
        <f aca="false">IFERROR(IF(OR(NOT(ISNUMBER('Price History'!M130)),NOT(ISNUMBER('Price History'!M129)),'Price History'!M129=0),"",'Price History'!M130/'Price History'!M129-1),"")</f>
        <v>0.0816114439418021</v>
      </c>
      <c r="N129" s="136" t="n">
        <f aca="false">IFERROR(IF(OR(NOT(ISNUMBER('Price History'!N130)),NOT(ISNUMBER('Price History'!N129)),'Price History'!N129=0),"",'Price History'!N130/'Price History'!N129-1),"")</f>
        <v>-0.0485060147458285</v>
      </c>
      <c r="O129" s="136" t="n">
        <f aca="false">IFERROR(IF(OR(NOT(ISNUMBER('Price History'!O130)),NOT(ISNUMBER('Price History'!O129)),'Price History'!O129=0),"",'Price History'!O130/'Price History'!O129-1),"")</f>
        <v>0.0109941302524923</v>
      </c>
      <c r="P129" s="136" t="str">
        <f aca="false">IFERROR(IF(OR(NOT(ISNUMBER('Price History'!P130)),NOT(ISNUMBER('Price History'!P129)),'Price History'!P129=0),"",'Price History'!P130/'Price History'!P129-1),"")</f>
        <v/>
      </c>
      <c r="Q129" s="136" t="n">
        <f aca="false">IFERROR(IF(OR(NOT(ISNUMBER('Price History'!Q130)),NOT(ISNUMBER('Price History'!Q129)),'Price History'!Q129=0),"",'Price History'!Q130/'Price History'!Q129-1),"")</f>
        <v>-0.0112545018007203</v>
      </c>
      <c r="R129" s="136" t="n">
        <f aca="false">IFERROR(IF(OR(NOT(ISNUMBER('Price History'!R130)),NOT(ISNUMBER('Price History'!R129)),'Price History'!R129=0),"",'Price History'!R130/'Price History'!R129-1),"")</f>
        <v>-0.00405679513184576</v>
      </c>
      <c r="S129" s="136" t="n">
        <f aca="false">IFERROR(IF(OR(NOT(ISNUMBER('Price History'!S130)),NOT(ISNUMBER('Price History'!S129)),'Price History'!S129=0),"",'Price History'!S130/'Price History'!S129-1),"")</f>
        <v>-0.000249937515621079</v>
      </c>
      <c r="T129" s="136" t="n">
        <f aca="false">IFERROR(IF(OR(NOT(ISNUMBER('Price History'!T130)),NOT(ISNUMBER('Price History'!T129)),'Price History'!T129=0),"",'Price History'!T130/'Price History'!T129-1),"")</f>
        <v>-0.0202819688350235</v>
      </c>
      <c r="U129" s="136" t="str">
        <f aca="false">IFERROR(IF(OR(NOT(ISNUMBER('Price History'!U130)),NOT(ISNUMBER('Price History'!U129)),'Price History'!U129=0),"",'Price History'!U130/'Price History'!U129-1),"")</f>
        <v/>
      </c>
      <c r="W129" s="137" t="n">
        <f aca="false">'Price History'!B3+('Price History'!B158-'Price History'!B3)*0.818181818181818</f>
        <v>297.326363636364</v>
      </c>
      <c r="X129" s="137" t="n">
        <f aca="false">'Price History'!C3+('Price History'!C158-'Price History'!C3)*0.818181818181818</f>
        <v>155.511818181818</v>
      </c>
      <c r="Y129" s="137" t="n">
        <f aca="false">'Price History'!D3+('Price History'!D158-'Price History'!D3)*0.818181818181818</f>
        <v>1453.14181818182</v>
      </c>
      <c r="Z129" s="137" t="n">
        <f aca="false">'Price History'!E3+('Price History'!E158-'Price History'!E3)*0.818181818181818</f>
        <v>333.589090909091</v>
      </c>
      <c r="AA129" s="137" t="n">
        <f aca="false">'Price History'!F3+('Price History'!F158-'Price History'!F3)*0.818181818181818</f>
        <v>162.896363636364</v>
      </c>
      <c r="AB129" s="137" t="n">
        <f aca="false">'Price History'!G3+('Price History'!G158-'Price History'!G3)*0.818181818181818</f>
        <v>158.289090909091</v>
      </c>
      <c r="AC129" s="137" t="n">
        <f aca="false">'Price History'!H3+('Price History'!H158-'Price History'!H3)*0.818181818181818</f>
        <v>685.091818181818</v>
      </c>
      <c r="AD129" s="137" t="n">
        <f aca="false">'Price History'!I3+('Price History'!I158-'Price History'!I3)*0.818181818181818</f>
        <v>171.677272727273</v>
      </c>
      <c r="AE129" s="137" t="n">
        <f aca="false">'Price History'!J3+('Price History'!J158-'Price History'!J3)*0.818181818181818</f>
        <v>140.773636363636</v>
      </c>
      <c r="AF129" s="137" t="n">
        <f aca="false">'Price History'!K3+('Price History'!K158-'Price History'!K3)*0.818181818181818</f>
        <v>103.487272727273</v>
      </c>
      <c r="AG129" s="137" t="n">
        <f aca="false">'Price History'!L3+('Price History'!L158-'Price History'!L3)*0.818181818181818</f>
        <v>347.475454545454</v>
      </c>
      <c r="AH129" s="137" t="n">
        <f aca="false">'Price History'!M3+('Price History'!M158-'Price History'!M3)*0.818181818181818</f>
        <v>203.740909090909</v>
      </c>
      <c r="AI129" s="137" t="n">
        <f aca="false">'Price History'!N3+('Price History'!N158-'Price History'!N3)*0.818181818181818</f>
        <v>453.965454545455</v>
      </c>
      <c r="AJ129" s="137" t="n">
        <f aca="false">'Price History'!O3+('Price History'!O158-'Price History'!O3)*0.818181818181818</f>
        <v>117.565454545455</v>
      </c>
      <c r="AK129" s="137" t="n">
        <f aca="false">'Price History'!Q3+('Price History'!Q151-'Price History'!Q3)*0.818181818181818</f>
        <v>65.0663636363636</v>
      </c>
      <c r="AL129" s="137" t="n">
        <f aca="false">'Price History'!R3+('Price History'!R158-'Price History'!R3)*0.818181818181818</f>
        <v>56.3536363636364</v>
      </c>
      <c r="AM129" s="137" t="n">
        <f aca="false">'Price History'!S3+('Price History'!S158-'Price History'!S3)*0.818181818181818</f>
        <v>128.322727272727</v>
      </c>
      <c r="AN129" s="137" t="n">
        <f aca="false">'Price History'!T3+('Price History'!T158-'Price History'!T3)*0.818181818181818</f>
        <v>45.5890909090909</v>
      </c>
    </row>
    <row r="130" customFormat="false" ht="15" hidden="false" customHeight="true" outlineLevel="0" collapsed="false">
      <c r="A130" s="135" t="n">
        <f aca="false">IF('Price History'!A131="","",'Price History'!A131)</f>
        <v>46045</v>
      </c>
      <c r="B130" s="136" t="n">
        <f aca="false">IFERROR(IF(OR(NOT(ISNUMBER('Price History'!B131)),NOT(ISNUMBER('Price History'!B130)),'Price History'!B130=0),"",'Price History'!B131/'Price History'!B130-1),"")</f>
        <v>0.0167161961367013</v>
      </c>
      <c r="C130" s="136" t="n">
        <f aca="false">IFERROR(IF(OR(NOT(ISNUMBER('Price History'!C131)),NOT(ISNUMBER('Price History'!C130)),'Price History'!C130=0),"",'Price History'!C131/'Price History'!C130-1),"")</f>
        <v>0.0501424940306554</v>
      </c>
      <c r="D130" s="136" t="n">
        <f aca="false">IFERROR(IF(OR(NOT(ISNUMBER('Price History'!D131)),NOT(ISNUMBER('Price History'!D130)),'Price History'!D130=0),"",'Price History'!D131/'Price History'!D130-1),"")</f>
        <v>0.0224279941408982</v>
      </c>
      <c r="E130" s="136" t="n">
        <f aca="false">IFERROR(IF(OR(NOT(ISNUMBER('Price History'!E131)),NOT(ISNUMBER('Price History'!E130)),'Price History'!E130=0),"",'Price History'!E131/'Price History'!E130-1),"")</f>
        <v>-0.090017343834409</v>
      </c>
      <c r="F130" s="136" t="n">
        <f aca="false">IFERROR(IF(OR(NOT(ISNUMBER('Price History'!F131)),NOT(ISNUMBER('Price History'!F130)),'Price History'!F130=0),"",'Price History'!F131/'Price History'!F130-1),"")</f>
        <v>-0.00308451573103019</v>
      </c>
      <c r="G130" s="136" t="n">
        <f aca="false">IFERROR(IF(OR(NOT(ISNUMBER('Price History'!G131)),NOT(ISNUMBER('Price History'!G130)),'Price History'!G130=0),"",'Price History'!G131/'Price History'!G130-1),"")</f>
        <v>-0.0350810052302589</v>
      </c>
      <c r="H130" s="136" t="n">
        <f aca="false">IFERROR(IF(OR(NOT(ISNUMBER('Price History'!H131)),NOT(ISNUMBER('Price History'!H130)),'Price History'!H130=0),"",'Price History'!H131/'Price History'!H130-1),"")</f>
        <v>0.101722949689869</v>
      </c>
      <c r="I130" s="136" t="n">
        <f aca="false">IFERROR(IF(OR(NOT(ISNUMBER('Price History'!I131)),NOT(ISNUMBER('Price History'!I130)),'Price History'!I130=0),"",'Price History'!I131/'Price History'!I130-1),"")</f>
        <v>0.00773237394619564</v>
      </c>
      <c r="J130" s="136" t="n">
        <f aca="false">IFERROR(IF(OR(NOT(ISNUMBER('Price History'!J131)),NOT(ISNUMBER('Price History'!J130)),'Price History'!J130=0),"",'Price History'!J131/'Price History'!J130-1),"")</f>
        <v>-0.0454920801741611</v>
      </c>
      <c r="K130" s="136" t="n">
        <f aca="false">IFERROR(IF(OR(NOT(ISNUMBER('Price History'!K131)),NOT(ISNUMBER('Price History'!K130)),'Price History'!K130=0),"",'Price History'!K131/'Price History'!K130-1),"")</f>
        <v>-0.0079550772110436</v>
      </c>
      <c r="L130" s="136" t="n">
        <f aca="false">IFERROR(IF(OR(NOT(ISNUMBER('Price History'!L131)),NOT(ISNUMBER('Price History'!L130)),'Price History'!L130=0),"",'Price History'!L131/'Price History'!L130-1),"")</f>
        <v>-0.0219918224299065</v>
      </c>
      <c r="M130" s="136" t="n">
        <f aca="false">IFERROR(IF(OR(NOT(ISNUMBER('Price History'!M131)),NOT(ISNUMBER('Price History'!M130)),'Price History'!M130=0),"",'Price History'!M131/'Price History'!M130-1),"")</f>
        <v>0.031424857288193</v>
      </c>
      <c r="N130" s="136" t="n">
        <f aca="false">IFERROR(IF(OR(NOT(ISNUMBER('Price History'!N131)),NOT(ISNUMBER('Price History'!N130)),'Price History'!N130=0),"",'Price History'!N131/'Price History'!N130-1),"")</f>
        <v>0.0612878375928947</v>
      </c>
      <c r="O130" s="136" t="n">
        <f aca="false">IFERROR(IF(OR(NOT(ISNUMBER('Price History'!O131)),NOT(ISNUMBER('Price History'!O130)),'Price History'!O130=0),"",'Price History'!O131/'Price History'!O130-1),"")</f>
        <v>-0.000184314809695052</v>
      </c>
      <c r="P130" s="136" t="str">
        <f aca="false">IFERROR(IF(OR(NOT(ISNUMBER('Price History'!P131)),NOT(ISNUMBER('Price History'!P130)),'Price History'!P130=0),"",'Price History'!P131/'Price History'!P130-1),"")</f>
        <v/>
      </c>
      <c r="Q130" s="136" t="n">
        <f aca="false">IFERROR(IF(OR(NOT(ISNUMBER('Price History'!Q131)),NOT(ISNUMBER('Price History'!Q130)),'Price History'!Q130=0),"",'Price History'!Q131/'Price History'!Q130-1),"")</f>
        <v>-0.013355592654424</v>
      </c>
      <c r="R130" s="136" t="n">
        <f aca="false">IFERROR(IF(OR(NOT(ISNUMBER('Price History'!R131)),NOT(ISNUMBER('Price History'!R130)),'Price History'!R130=0),"",'Price History'!R131/'Price History'!R130-1),"")</f>
        <v>0.00509164969450104</v>
      </c>
      <c r="S130" s="136" t="n">
        <f aca="false">IFERROR(IF(OR(NOT(ISNUMBER('Price History'!S131)),NOT(ISNUMBER('Price History'!S130)),'Price History'!S130=0),"",'Price History'!S131/'Price History'!S130-1),"")</f>
        <v>-0.0173333333333333</v>
      </c>
      <c r="T130" s="136" t="n">
        <f aca="false">IFERROR(IF(OR(NOT(ISNUMBER('Price History'!T131)),NOT(ISNUMBER('Price History'!T130)),'Price History'!T130=0),"",'Price History'!T131/'Price History'!T130-1),"")</f>
        <v>0.0063115374905327</v>
      </c>
      <c r="U130" s="136" t="str">
        <f aca="false">IFERROR(IF(OR(NOT(ISNUMBER('Price History'!U131)),NOT(ISNUMBER('Price History'!U130)),'Price History'!U130=0),"",'Price History'!U131/'Price History'!U130-1),"")</f>
        <v/>
      </c>
      <c r="W130" s="137" t="n">
        <f aca="false">'Price History'!B3+('Price History'!B158-'Price History'!B3)*0.824675324675325</f>
        <v>295.650779220779</v>
      </c>
      <c r="X130" s="137" t="n">
        <f aca="false">'Price History'!C3+('Price History'!C158-'Price History'!C3)*0.824675324675325</f>
        <v>156.398896103896</v>
      </c>
      <c r="Y130" s="137" t="n">
        <f aca="false">'Price History'!D3+('Price History'!D158-'Price History'!D3)*0.824675324675325</f>
        <v>1459.42246753247</v>
      </c>
      <c r="Z130" s="137" t="n">
        <f aca="false">'Price History'!E3+('Price History'!E158-'Price History'!E3)*0.824675324675325</f>
        <v>335.578051948052</v>
      </c>
      <c r="AA130" s="137" t="n">
        <f aca="false">'Price History'!F3+('Price History'!F158-'Price History'!F3)*0.824675324675325</f>
        <v>163.895064935065</v>
      </c>
      <c r="AB130" s="137" t="n">
        <f aca="false">'Price History'!G3+('Price History'!G158-'Price History'!G3)*0.824675324675325</f>
        <v>159.165194805195</v>
      </c>
      <c r="AC130" s="137" t="n">
        <f aca="false">'Price History'!H3+('Price History'!H158-'Price History'!H3)*0.824675324675325</f>
        <v>690.018181818182</v>
      </c>
      <c r="AD130" s="137" t="n">
        <f aca="false">'Price History'!I3+('Price History'!I158-'Price History'!I3)*0.824675324675325</f>
        <v>172.715584415584</v>
      </c>
      <c r="AE130" s="137" t="n">
        <f aca="false">'Price History'!J3+('Price History'!J158-'Price History'!J3)*0.824675324675325</f>
        <v>140.910649350649</v>
      </c>
      <c r="AF130" s="137" t="n">
        <f aca="false">'Price History'!K3+('Price History'!K158-'Price History'!K3)*0.824675324675325</f>
        <v>104.186298701299</v>
      </c>
      <c r="AG130" s="137" t="n">
        <f aca="false">'Price History'!L3+('Price History'!L158-'Price History'!L3)*0.824675324675325</f>
        <v>349.503116883117</v>
      </c>
      <c r="AH130" s="137" t="n">
        <f aca="false">'Price History'!M3+('Price History'!M158-'Price History'!M3)*0.824675324675325</f>
        <v>205.091948051948</v>
      </c>
      <c r="AI130" s="137" t="n">
        <f aca="false">'Price History'!N3+('Price History'!N158-'Price History'!N3)*0.824675324675325</f>
        <v>454.791688311688</v>
      </c>
      <c r="AJ130" s="137" t="n">
        <f aca="false">'Price History'!O3+('Price History'!O158-'Price History'!O3)*0.824675324675325</f>
        <v>117.840974025974</v>
      </c>
      <c r="AK130" s="137" t="n">
        <f aca="false">'Price History'!Q3+('Price History'!Q151-'Price History'!Q3)*0.824675324675325</f>
        <v>65.1872077922078</v>
      </c>
      <c r="AL130" s="137" t="n">
        <f aca="false">'Price History'!R3+('Price History'!R158-'Price History'!R3)*0.824675324675325</f>
        <v>56.4213636363636</v>
      </c>
      <c r="AM130" s="137" t="n">
        <f aca="false">'Price History'!S3+('Price History'!S158-'Price History'!S3)*0.824675324675325</f>
        <v>128.876558441558</v>
      </c>
      <c r="AN130" s="137" t="n">
        <f aca="false">'Price History'!T3+('Price History'!T158-'Price History'!T3)*0.824675324675325</f>
        <v>45.7373376623377</v>
      </c>
    </row>
    <row r="131" customFormat="false" ht="15" hidden="false" customHeight="true" outlineLevel="0" collapsed="false">
      <c r="A131" s="135" t="n">
        <f aca="false">IF('Price History'!A132="","",'Price History'!A132)</f>
        <v>46052</v>
      </c>
      <c r="B131" s="136" t="n">
        <f aca="false">IFERROR(IF(OR(NOT(ISNUMBER('Price History'!B132)),NOT(ISNUMBER('Price History'!B131)),'Price History'!B131=0),"",'Price History'!B132/'Price History'!B131-1),"")</f>
        <v>-0.025974025974026</v>
      </c>
      <c r="C131" s="136" t="n">
        <f aca="false">IFERROR(IF(OR(NOT(ISNUMBER('Price History'!C132)),NOT(ISNUMBER('Price History'!C131)),'Price History'!C131=0),"",'Price History'!C132/'Price History'!C131-1),"")</f>
        <v>0.0396068651899664</v>
      </c>
      <c r="D131" s="136" t="n">
        <f aca="false">IFERROR(IF(OR(NOT(ISNUMBER('Price History'!D132)),NOT(ISNUMBER('Price History'!D131)),'Price History'!D131=0),"",'Price History'!D132/'Price History'!D131-1),"")</f>
        <v>0.0244485399988481</v>
      </c>
      <c r="E131" s="136" t="n">
        <f aca="false">IFERROR(IF(OR(NOT(ISNUMBER('Price History'!E132)),NOT(ISNUMBER('Price History'!E131)),'Price History'!E131=0),"",'Price History'!E132/'Price History'!E131-1),"")</f>
        <v>0.0351507576941104</v>
      </c>
      <c r="F131" s="136" t="n">
        <f aca="false">IFERROR(IF(OR(NOT(ISNUMBER('Price History'!F132)),NOT(ISNUMBER('Price History'!F131)),'Price History'!F131=0),"",'Price History'!F132/'Price History'!F131-1),"")</f>
        <v>-0.0244872701555871</v>
      </c>
      <c r="G131" s="136" t="n">
        <f aca="false">IFERROR(IF(OR(NOT(ISNUMBER('Price History'!G132)),NOT(ISNUMBER('Price History'!G131)),'Price History'!G131=0),"",'Price History'!G132/'Price History'!G131-1),"")</f>
        <v>-0.056121099947118</v>
      </c>
      <c r="H131" s="136" t="n">
        <f aca="false">IFERROR(IF(OR(NOT(ISNUMBER('Price History'!H132)),NOT(ISNUMBER('Price History'!H131)),'Price History'!H131=0),"",'Price History'!H132/'Price History'!H131-1),"")</f>
        <v>0.0381083448017014</v>
      </c>
      <c r="I131" s="136" t="n">
        <f aca="false">IFERROR(IF(OR(NOT(ISNUMBER('Price History'!I132)),NOT(ISNUMBER('Price History'!I131)),'Price History'!I131=0),"",'Price History'!I132/'Price History'!I131-1),"")</f>
        <v>0.01843661746683</v>
      </c>
      <c r="J131" s="136" t="n">
        <f aca="false">IFERROR(IF(OR(NOT(ISNUMBER('Price History'!J132)),NOT(ISNUMBER('Price History'!J131)),'Price History'!J131=0),"",'Price History'!J132/'Price History'!J131-1),"")</f>
        <v>0.0268187180495478</v>
      </c>
      <c r="K131" s="136" t="n">
        <f aca="false">IFERROR(IF(OR(NOT(ISNUMBER('Price History'!K132)),NOT(ISNUMBER('Price History'!K131)),'Price History'!K131=0),"",'Price History'!K132/'Price History'!K131-1),"")</f>
        <v>-0.135672169811321</v>
      </c>
      <c r="L131" s="136" t="n">
        <f aca="false">IFERROR(IF(OR(NOT(ISNUMBER('Price History'!L132)),NOT(ISNUMBER('Price History'!L131)),'Price History'!L131=0),"",'Price History'!L132/'Price History'!L131-1),"")</f>
        <v>-0.0128706662286857</v>
      </c>
      <c r="M131" s="136" t="n">
        <f aca="false">IFERROR(IF(OR(NOT(ISNUMBER('Price History'!M132)),NOT(ISNUMBER('Price History'!M131)),'Price History'!M131=0),"",'Price History'!M132/'Price History'!M131-1),"")</f>
        <v>0.0202202860430709</v>
      </c>
      <c r="N131" s="136" t="n">
        <f aca="false">IFERROR(IF(OR(NOT(ISNUMBER('Price History'!N132)),NOT(ISNUMBER('Price History'!N131)),'Price History'!N131=0),"",'Price History'!N132/'Price History'!N131-1),"")</f>
        <v>0.0031809739330928</v>
      </c>
      <c r="O131" s="136" t="n">
        <f aca="false">IFERROR(IF(OR(NOT(ISNUMBER('Price History'!O132)),NOT(ISNUMBER('Price History'!O131)),'Price History'!O131=0),"",'Price History'!O132/'Price History'!O131-1),"")</f>
        <v>0.007189602728362</v>
      </c>
      <c r="P131" s="136" t="str">
        <f aca="false">IFERROR(IF(OR(NOT(ISNUMBER('Price History'!P132)),NOT(ISNUMBER('Price History'!P131)),'Price History'!P131=0),"",'Price History'!P132/'Price History'!P131-1),"")</f>
        <v/>
      </c>
      <c r="Q131" s="136" t="n">
        <f aca="false">IFERROR(IF(OR(NOT(ISNUMBER('Price History'!Q132)),NOT(ISNUMBER('Price History'!Q131)),'Price History'!Q131=0),"",'Price History'!Q132/'Price History'!Q131-1),"")</f>
        <v>-0.0112290416858946</v>
      </c>
      <c r="R131" s="136" t="n">
        <f aca="false">IFERROR(IF(OR(NOT(ISNUMBER('Price History'!R132)),NOT(ISNUMBER('Price History'!R131)),'Price History'!R131=0),"",'Price History'!R132/'Price History'!R131-1),"")</f>
        <v>0.00354609929078009</v>
      </c>
      <c r="S131" s="136" t="n">
        <f aca="false">IFERROR(IF(OR(NOT(ISNUMBER('Price History'!S132)),NOT(ISNUMBER('Price History'!S131)),'Price History'!S131=0),"",'Price History'!S132/'Price History'!S131-1),"")</f>
        <v>0.0165366350067844</v>
      </c>
      <c r="T131" s="136" t="n">
        <f aca="false">IFERROR(IF(OR(NOT(ISNUMBER('Price History'!T132)),NOT(ISNUMBER('Price History'!T131)),'Price History'!T131=0),"",'Price History'!T132/'Price History'!T131-1),"")</f>
        <v>-0.00978424485699947</v>
      </c>
      <c r="U131" s="136" t="str">
        <f aca="false">IFERROR(IF(OR(NOT(ISNUMBER('Price History'!U132)),NOT(ISNUMBER('Price History'!U131)),'Price History'!U131=0),"",'Price History'!U132/'Price History'!U131-1),"")</f>
        <v/>
      </c>
      <c r="W131" s="137" t="n">
        <f aca="false">'Price History'!B3+('Price History'!B158-'Price History'!B3)*0.831168831168831</f>
        <v>293.975194805195</v>
      </c>
      <c r="X131" s="137" t="n">
        <f aca="false">'Price History'!C3+('Price History'!C158-'Price History'!C3)*0.831168831168831</f>
        <v>157.285974025974</v>
      </c>
      <c r="Y131" s="137" t="n">
        <f aca="false">'Price History'!D3+('Price History'!D158-'Price History'!D3)*0.831168831168831</f>
        <v>1465.70311688312</v>
      </c>
      <c r="Z131" s="137" t="n">
        <f aca="false">'Price History'!E3+('Price History'!E158-'Price History'!E3)*0.831168831168831</f>
        <v>337.567012987013</v>
      </c>
      <c r="AA131" s="137" t="n">
        <f aca="false">'Price History'!F3+('Price History'!F158-'Price History'!F3)*0.831168831168831</f>
        <v>164.893766233766</v>
      </c>
      <c r="AB131" s="137" t="n">
        <f aca="false">'Price History'!G3+('Price History'!G158-'Price History'!G3)*0.831168831168831</f>
        <v>160.041298701299</v>
      </c>
      <c r="AC131" s="137" t="n">
        <f aca="false">'Price History'!H3+('Price History'!H158-'Price History'!H3)*0.831168831168831</f>
        <v>694.944545454545</v>
      </c>
      <c r="AD131" s="137" t="n">
        <f aca="false">'Price History'!I3+('Price History'!I158-'Price History'!I3)*0.831168831168831</f>
        <v>173.753896103896</v>
      </c>
      <c r="AE131" s="137" t="n">
        <f aca="false">'Price History'!J3+('Price History'!J158-'Price History'!J3)*0.831168831168831</f>
        <v>141.047662337662</v>
      </c>
      <c r="AF131" s="137" t="n">
        <f aca="false">'Price History'!K3+('Price History'!K158-'Price History'!K3)*0.831168831168831</f>
        <v>104.885324675325</v>
      </c>
      <c r="AG131" s="137" t="n">
        <f aca="false">'Price History'!L3+('Price History'!L158-'Price History'!L3)*0.831168831168831</f>
        <v>351.530779220779</v>
      </c>
      <c r="AH131" s="137" t="n">
        <f aca="false">'Price History'!M3+('Price History'!M158-'Price History'!M3)*0.831168831168831</f>
        <v>206.442987012987</v>
      </c>
      <c r="AI131" s="137" t="n">
        <f aca="false">'Price History'!N3+('Price History'!N158-'Price History'!N3)*0.831168831168831</f>
        <v>455.617922077922</v>
      </c>
      <c r="AJ131" s="137" t="n">
        <f aca="false">'Price History'!O3+('Price History'!O158-'Price History'!O3)*0.831168831168831</f>
        <v>118.116493506494</v>
      </c>
      <c r="AK131" s="137" t="n">
        <f aca="false">'Price History'!Q3+('Price History'!Q151-'Price History'!Q3)*0.831168831168831</f>
        <v>65.3080519480519</v>
      </c>
      <c r="AL131" s="137" t="n">
        <f aca="false">'Price History'!R3+('Price History'!R158-'Price History'!R3)*0.831168831168831</f>
        <v>56.4890909090909</v>
      </c>
      <c r="AM131" s="137" t="n">
        <f aca="false">'Price History'!S3+('Price History'!S158-'Price History'!S3)*0.831168831168831</f>
        <v>129.43038961039</v>
      </c>
      <c r="AN131" s="137" t="n">
        <f aca="false">'Price History'!T3+('Price History'!T158-'Price History'!T3)*0.831168831168831</f>
        <v>45.8855844155844</v>
      </c>
    </row>
    <row r="132" customFormat="false" ht="15" hidden="false" customHeight="true" outlineLevel="0" collapsed="false">
      <c r="A132" s="135" t="n">
        <f aca="false">IF('Price History'!A133="","",'Price History'!A133)</f>
        <v>46059</v>
      </c>
      <c r="B132" s="136" t="n">
        <f aca="false">IFERROR(IF(OR(NOT(ISNUMBER('Price History'!B133)),NOT(ISNUMBER('Price History'!B132)),'Price History'!B132=0),"",'Price History'!B133/'Price History'!B132-1),"")</f>
        <v>-0.0848081841432226</v>
      </c>
      <c r="C132" s="136" t="n">
        <f aca="false">IFERROR(IF(OR(NOT(ISNUMBER('Price History'!C133)),NOT(ISNUMBER('Price History'!C132)),'Price History'!C132=0),"",'Price History'!C133/'Price History'!C132-1),"")</f>
        <v>-0.0299844786228305</v>
      </c>
      <c r="D132" s="136" t="n">
        <f aca="false">IFERROR(IF(OR(NOT(ISNUMBER('Price History'!D133)),NOT(ISNUMBER('Price History'!D132)),'Price History'!D132=0),"",'Price History'!D133/'Price History'!D132-1),"")</f>
        <v>-0.00702037947997192</v>
      </c>
      <c r="E132" s="136" t="n">
        <f aca="false">IFERROR(IF(OR(NOT(ISNUMBER('Price History'!E133)),NOT(ISNUMBER('Price History'!E132)),'Price History'!E132=0),"",'Price History'!E133/'Price History'!E132-1),"")</f>
        <v>0.00488982795049808</v>
      </c>
      <c r="F132" s="136" t="n">
        <f aca="false">IFERROR(IF(OR(NOT(ISNUMBER('Price History'!F133)),NOT(ISNUMBER('Price History'!F132)),'Price History'!F132=0),"",'Price History'!F133/'Price History'!F132-1),"")</f>
        <v>-0.103942002718623</v>
      </c>
      <c r="G132" s="136" t="n">
        <f aca="false">IFERROR(IF(OR(NOT(ISNUMBER('Price History'!G133)),NOT(ISNUMBER('Price History'!G132)),'Price History'!G132=0),"",'Price History'!G133/'Price History'!G132-1),"")</f>
        <v>0.0105049373205406</v>
      </c>
      <c r="H132" s="136" t="n">
        <f aca="false">IFERROR(IF(OR(NOT(ISNUMBER('Price History'!H133)),NOT(ISNUMBER('Price History'!H132)),'Price History'!H132=0),"",'Price History'!H133/'Price History'!H132-1),"")</f>
        <v>-0.0486646741226379</v>
      </c>
      <c r="I132" s="136" t="n">
        <f aca="false">IFERROR(IF(OR(NOT(ISNUMBER('Price History'!I133)),NOT(ISNUMBER('Price History'!I132)),'Price History'!I132=0),"",'Price History'!I133/'Price History'!I132-1),"")</f>
        <v>-0.0299272746298331</v>
      </c>
      <c r="J132" s="136" t="n">
        <f aca="false">IFERROR(IF(OR(NOT(ISNUMBER('Price History'!J133)),NOT(ISNUMBER('Price History'!J132)),'Price History'!J132=0),"",'Price History'!J133/'Price History'!J132-1),"")</f>
        <v>0.0489430147058823</v>
      </c>
      <c r="K132" s="136" t="n">
        <f aca="false">IFERROR(IF(OR(NOT(ISNUMBER('Price History'!K133)),NOT(ISNUMBER('Price History'!K132)),'Price History'!K132=0),"",'Price History'!K133/'Price History'!K132-1),"")</f>
        <v>-0.0729244832526093</v>
      </c>
      <c r="L132" s="136" t="n">
        <f aca="false">IFERROR(IF(OR(NOT(ISNUMBER('Price History'!L133)),NOT(ISNUMBER('Price History'!L132)),'Price History'!L132=0),"",'Price History'!L133/'Price History'!L132-1),"")</f>
        <v>0.055330348499516</v>
      </c>
      <c r="M132" s="136" t="n">
        <f aca="false">IFERROR(IF(OR(NOT(ISNUMBER('Price History'!M133)),NOT(ISNUMBER('Price History'!M132)),'Price History'!M132=0),"",'Price History'!M133/'Price History'!M132-1),"")</f>
        <v>0.0504887743044367</v>
      </c>
      <c r="N132" s="136" t="n">
        <f aca="false">IFERROR(IF(OR(NOT(ISNUMBER('Price History'!N133)),NOT(ISNUMBER('Price History'!N132)),'Price History'!N132=0),"",'Price History'!N133/'Price History'!N132-1),"")</f>
        <v>0.0170674611619495</v>
      </c>
      <c r="O132" s="136" t="n">
        <f aca="false">IFERROR(IF(OR(NOT(ISNUMBER('Price History'!O133)),NOT(ISNUMBER('Price History'!O132)),'Price History'!O132=0),"",'Price History'!O133/'Price History'!O132-1),"")</f>
        <v>0.0541777249016198</v>
      </c>
      <c r="P132" s="136" t="str">
        <f aca="false">IFERROR(IF(OR(NOT(ISNUMBER('Price History'!P133)),NOT(ISNUMBER('Price History'!P132)),'Price History'!P132=0),"",'Price History'!P133/'Price History'!P132-1),"")</f>
        <v/>
      </c>
      <c r="Q132" s="136" t="n">
        <f aca="false">IFERROR(IF(OR(NOT(ISNUMBER('Price History'!Q133)),NOT(ISNUMBER('Price History'!Q132)),'Price History'!Q132=0),"",'Price History'!Q133/'Price History'!Q132-1),"")</f>
        <v>-0.0138456751711263</v>
      </c>
      <c r="R132" s="136" t="n">
        <f aca="false">IFERROR(IF(OR(NOT(ISNUMBER('Price History'!R133)),NOT(ISNUMBER('Price History'!R132)),'Price History'!R132=0),"",'Price History'!R133/'Price History'!R132-1),"")</f>
        <v>-0.0232205956587582</v>
      </c>
      <c r="S132" s="136" t="n">
        <f aca="false">IFERROR(IF(OR(NOT(ISNUMBER('Price History'!S133)),NOT(ISNUMBER('Price History'!S132)),'Price History'!S132=0),"",'Price History'!S133/'Price History'!S132-1),"")</f>
        <v>-0.000250271127054336</v>
      </c>
      <c r="T132" s="136" t="n">
        <f aca="false">IFERROR(IF(OR(NOT(ISNUMBER('Price History'!T133)),NOT(ISNUMBER('Price History'!T132)),'Price History'!T132=0),"",'Price History'!T133/'Price History'!T132-1),"")</f>
        <v>0.0243222700785406</v>
      </c>
      <c r="U132" s="136" t="str">
        <f aca="false">IFERROR(IF(OR(NOT(ISNUMBER('Price History'!U133)),NOT(ISNUMBER('Price History'!U132)),'Price History'!U132=0),"",'Price History'!U133/'Price History'!U132-1),"")</f>
        <v/>
      </c>
      <c r="W132" s="137" t="n">
        <f aca="false">'Price History'!B3+('Price History'!B158-'Price History'!B3)*0.837662337662338</f>
        <v>292.29961038961</v>
      </c>
      <c r="X132" s="137" t="n">
        <f aca="false">'Price History'!C3+('Price History'!C158-'Price History'!C3)*0.837662337662338</f>
        <v>158.173051948052</v>
      </c>
      <c r="Y132" s="137" t="n">
        <f aca="false">'Price History'!D3+('Price History'!D158-'Price History'!D3)*0.837662337662338</f>
        <v>1471.98376623377</v>
      </c>
      <c r="Z132" s="137" t="n">
        <f aca="false">'Price History'!E3+('Price History'!E158-'Price History'!E3)*0.837662337662338</f>
        <v>339.555974025974</v>
      </c>
      <c r="AA132" s="137" t="n">
        <f aca="false">'Price History'!F3+('Price History'!F158-'Price History'!F3)*0.837662337662338</f>
        <v>165.892467532468</v>
      </c>
      <c r="AB132" s="137" t="n">
        <f aca="false">'Price History'!G3+('Price History'!G158-'Price History'!G3)*0.837662337662338</f>
        <v>160.917402597403</v>
      </c>
      <c r="AC132" s="137" t="n">
        <f aca="false">'Price History'!H3+('Price History'!H158-'Price History'!H3)*0.837662337662338</f>
        <v>699.870909090909</v>
      </c>
      <c r="AD132" s="137" t="n">
        <f aca="false">'Price History'!I3+('Price History'!I158-'Price History'!I3)*0.837662337662338</f>
        <v>174.792207792208</v>
      </c>
      <c r="AE132" s="137" t="n">
        <f aca="false">'Price History'!J3+('Price History'!J158-'Price History'!J3)*0.837662337662338</f>
        <v>141.184675324675</v>
      </c>
      <c r="AF132" s="137" t="n">
        <f aca="false">'Price History'!K3+('Price History'!K158-'Price History'!K3)*0.837662337662338</f>
        <v>105.584350649351</v>
      </c>
      <c r="AG132" s="137" t="n">
        <f aca="false">'Price History'!L3+('Price History'!L158-'Price History'!L3)*0.837662337662338</f>
        <v>353.558441558442</v>
      </c>
      <c r="AH132" s="137" t="n">
        <f aca="false">'Price History'!M3+('Price History'!M158-'Price History'!M3)*0.837662337662338</f>
        <v>207.794025974026</v>
      </c>
      <c r="AI132" s="137" t="n">
        <f aca="false">'Price History'!N3+('Price History'!N158-'Price History'!N3)*0.837662337662338</f>
        <v>456.444155844156</v>
      </c>
      <c r="AJ132" s="137" t="n">
        <f aca="false">'Price History'!O3+('Price History'!O158-'Price History'!O3)*0.837662337662338</f>
        <v>118.392012987013</v>
      </c>
      <c r="AK132" s="137" t="n">
        <f aca="false">'Price History'!Q3+('Price History'!Q151-'Price History'!Q3)*0.837662337662338</f>
        <v>65.4288961038961</v>
      </c>
      <c r="AL132" s="137" t="n">
        <f aca="false">'Price History'!R3+('Price History'!R158-'Price History'!R3)*0.837662337662338</f>
        <v>56.5568181818182</v>
      </c>
      <c r="AM132" s="137" t="n">
        <f aca="false">'Price History'!S3+('Price History'!S158-'Price History'!S3)*0.837662337662338</f>
        <v>129.984220779221</v>
      </c>
      <c r="AN132" s="137" t="n">
        <f aca="false">'Price History'!T3+('Price History'!T158-'Price History'!T3)*0.837662337662338</f>
        <v>46.0338311688312</v>
      </c>
    </row>
    <row r="133" customFormat="false" ht="15" hidden="false" customHeight="true" outlineLevel="0" collapsed="false">
      <c r="A133" s="135" t="n">
        <f aca="false">IF('Price History'!A134="","",'Price History'!A134)</f>
        <v>46066</v>
      </c>
      <c r="B133" s="136" t="n">
        <f aca="false">IFERROR(IF(OR(NOT(ISNUMBER('Price History'!B134)),NOT(ISNUMBER('Price History'!B133)),'Price History'!B133=0),"",'Price History'!B134/'Price History'!B133-1),"")</f>
        <v>-0.016431924882629</v>
      </c>
      <c r="C133" s="136" t="n">
        <f aca="false">IFERROR(IF(OR(NOT(ISNUMBER('Price History'!C134)),NOT(ISNUMBER('Price History'!C133)),'Price History'!C133=0),"",'Price History'!C134/'Price History'!C133-1),"")</f>
        <v>0.0298203505709507</v>
      </c>
      <c r="D133" s="136" t="n">
        <f aca="false">IFERROR(IF(OR(NOT(ISNUMBER('Price History'!D134)),NOT(ISNUMBER('Price History'!D133)),'Price History'!D133=0),"",'Price History'!D134/'Price History'!D133-1),"")</f>
        <v>-0.00452933807970224</v>
      </c>
      <c r="E133" s="136" t="n">
        <f aca="false">IFERROR(IF(OR(NOT(ISNUMBER('Price History'!E134)),NOT(ISNUMBER('Price History'!E133)),'Price History'!E133=0),"",'Price History'!E134/'Price History'!E133-1),"")</f>
        <v>-0.0232788657935841</v>
      </c>
      <c r="F133" s="136" t="n">
        <f aca="false">IFERROR(IF(OR(NOT(ISNUMBER('Price History'!F134)),NOT(ISNUMBER('Price History'!F133)),'Price History'!F133=0),"",'Price History'!F134/'Price History'!F133-1),"")</f>
        <v>0.0862661812297736</v>
      </c>
      <c r="G133" s="136" t="n">
        <f aca="false">IFERROR(IF(OR(NOT(ISNUMBER('Price History'!G134)),NOT(ISNUMBER('Price History'!G133)),'Price History'!G133=0),"",'Price History'!G134/'Price History'!G133-1),"")</f>
        <v>0.0146926328920924</v>
      </c>
      <c r="H133" s="136" t="n">
        <f aca="false">IFERROR(IF(OR(NOT(ISNUMBER('Price History'!H134)),NOT(ISNUMBER('Price History'!H133)),'Price History'!H133=0),"",'Price History'!H134/'Price History'!H133-1),"")</f>
        <v>0.0429957688312348</v>
      </c>
      <c r="I133" s="136" t="n">
        <f aca="false">IFERROR(IF(OR(NOT(ISNUMBER('Price History'!I134)),NOT(ISNUMBER('Price History'!I133)),'Price History'!I133=0),"",'Price History'!I134/'Price History'!I133-1),"")</f>
        <v>-0.0140229761070061</v>
      </c>
      <c r="J133" s="136" t="n">
        <f aca="false">IFERROR(IF(OR(NOT(ISNUMBER('Price History'!J134)),NOT(ISNUMBER('Price History'!J133)),'Price History'!J133=0),"",'Price History'!J134/'Price History'!J133-1),"")</f>
        <v>0.0147499087258125</v>
      </c>
      <c r="K133" s="136" t="n">
        <f aca="false">IFERROR(IF(OR(NOT(ISNUMBER('Price History'!K134)),NOT(ISNUMBER('Price History'!K133)),'Price History'!K133=0),"",'Price History'!K134/'Price History'!K133-1),"")</f>
        <v>-0.0330389992641649</v>
      </c>
      <c r="L133" s="136" t="n">
        <f aca="false">IFERROR(IF(OR(NOT(ISNUMBER('Price History'!L134)),NOT(ISNUMBER('Price History'!L133)),'Price History'!L133=0),"",'Price History'!L134/'Price History'!L133-1),"")</f>
        <v>0.0501934929052601</v>
      </c>
      <c r="M133" s="136" t="n">
        <f aca="false">IFERROR(IF(OR(NOT(ISNUMBER('Price History'!M134)),NOT(ISNUMBER('Price History'!M133)),'Price History'!M133=0),"",'Price History'!M134/'Price History'!M133-1),"")</f>
        <v>0.199151242458329</v>
      </c>
      <c r="N133" s="136" t="n">
        <f aca="false">IFERROR(IF(OR(NOT(ISNUMBER('Price History'!N134)),NOT(ISNUMBER('Price History'!N133)),'Price History'!N133=0),"",'Price History'!N134/'Price History'!N133-1),"")</f>
        <v>0.0283520254435889</v>
      </c>
      <c r="O133" s="136" t="n">
        <f aca="false">IFERROR(IF(OR(NOT(ISNUMBER('Price History'!O134)),NOT(ISNUMBER('Price History'!O133)),'Price History'!O133=0),"",'Price History'!O134/'Price History'!O133-1),"")</f>
        <v>-0.00251757965101129</v>
      </c>
      <c r="P133" s="136" t="str">
        <f aca="false">IFERROR(IF(OR(NOT(ISNUMBER('Price History'!P134)),NOT(ISNUMBER('Price History'!P133)),'Price History'!P133=0),"",'Price History'!P134/'Price History'!P133-1),"")</f>
        <v/>
      </c>
      <c r="Q133" s="136" t="n">
        <f aca="false">IFERROR(IF(OR(NOT(ISNUMBER('Price History'!Q134)),NOT(ISNUMBER('Price History'!Q133)),'Price History'!Q133=0),"",'Price History'!Q134/'Price History'!Q133-1),"")</f>
        <v>0.0116737655781669</v>
      </c>
      <c r="R133" s="136" t="n">
        <f aca="false">IFERROR(IF(OR(NOT(ISNUMBER('Price History'!R134)),NOT(ISNUMBER('Price History'!R133)),'Price History'!R133=0),"",'Price History'!R134/'Price History'!R133-1),"")</f>
        <v>-0.00930232558139532</v>
      </c>
      <c r="S133" s="136" t="n">
        <f aca="false">IFERROR(IF(OR(NOT(ISNUMBER('Price History'!S134)),NOT(ISNUMBER('Price History'!S133)),'Price History'!S133=0),"",'Price History'!S134/'Price History'!S133-1),"")</f>
        <v>-0.0132676902536716</v>
      </c>
      <c r="T133" s="136" t="n">
        <f aca="false">IFERROR(IF(OR(NOT(ISNUMBER('Price History'!T134)),NOT(ISNUMBER('Price History'!T133)),'Price History'!T133=0),"",'Price History'!T134/'Price History'!T133-1),"")</f>
        <v>-0.00420479841701715</v>
      </c>
      <c r="U133" s="136" t="str">
        <f aca="false">IFERROR(IF(OR(NOT(ISNUMBER('Price History'!U134)),NOT(ISNUMBER('Price History'!U133)),'Price History'!U133=0),"",'Price History'!U134/'Price History'!U133-1),"")</f>
        <v/>
      </c>
      <c r="W133" s="137" t="n">
        <f aca="false">'Price History'!B3+('Price History'!B158-'Price History'!B3)*0.844155844155844</f>
        <v>290.624025974026</v>
      </c>
      <c r="X133" s="137" t="n">
        <f aca="false">'Price History'!C3+('Price History'!C158-'Price History'!C3)*0.844155844155844</f>
        <v>159.06012987013</v>
      </c>
      <c r="Y133" s="137" t="n">
        <f aca="false">'Price History'!D3+('Price History'!D158-'Price History'!D3)*0.844155844155844</f>
        <v>1478.26441558442</v>
      </c>
      <c r="Z133" s="137" t="n">
        <f aca="false">'Price History'!E3+('Price History'!E158-'Price History'!E3)*0.844155844155844</f>
        <v>341.544935064935</v>
      </c>
      <c r="AA133" s="137" t="n">
        <f aca="false">'Price History'!F3+('Price History'!F158-'Price History'!F3)*0.844155844155844</f>
        <v>166.891168831169</v>
      </c>
      <c r="AB133" s="137" t="n">
        <f aca="false">'Price History'!G3+('Price History'!G158-'Price History'!G3)*0.844155844155844</f>
        <v>161.793506493506</v>
      </c>
      <c r="AC133" s="137" t="n">
        <f aca="false">'Price History'!H3+('Price History'!H158-'Price History'!H3)*0.844155844155844</f>
        <v>704.797272727273</v>
      </c>
      <c r="AD133" s="137" t="n">
        <f aca="false">'Price History'!I3+('Price History'!I158-'Price History'!I3)*0.844155844155844</f>
        <v>175.830519480519</v>
      </c>
      <c r="AE133" s="137" t="n">
        <f aca="false">'Price History'!J3+('Price History'!J158-'Price History'!J3)*0.844155844155844</f>
        <v>141.321688311688</v>
      </c>
      <c r="AF133" s="137" t="n">
        <f aca="false">'Price History'!K3+('Price History'!K158-'Price History'!K3)*0.844155844155844</f>
        <v>106.283376623377</v>
      </c>
      <c r="AG133" s="137" t="n">
        <f aca="false">'Price History'!L3+('Price History'!L158-'Price History'!L3)*0.844155844155844</f>
        <v>355.586103896104</v>
      </c>
      <c r="AH133" s="137" t="n">
        <f aca="false">'Price History'!M3+('Price History'!M158-'Price History'!M3)*0.844155844155844</f>
        <v>209.145064935065</v>
      </c>
      <c r="AI133" s="137" t="n">
        <f aca="false">'Price History'!N3+('Price History'!N158-'Price History'!N3)*0.844155844155844</f>
        <v>457.27038961039</v>
      </c>
      <c r="AJ133" s="137" t="n">
        <f aca="false">'Price History'!O3+('Price History'!O158-'Price History'!O3)*0.844155844155844</f>
        <v>118.667532467532</v>
      </c>
      <c r="AK133" s="137" t="n">
        <f aca="false">'Price History'!Q3+('Price History'!Q151-'Price History'!Q3)*0.844155844155844</f>
        <v>65.5497402597403</v>
      </c>
      <c r="AL133" s="137" t="n">
        <f aca="false">'Price History'!R3+('Price History'!R158-'Price History'!R3)*0.844155844155844</f>
        <v>56.6245454545455</v>
      </c>
      <c r="AM133" s="137" t="n">
        <f aca="false">'Price History'!S3+('Price History'!S158-'Price History'!S3)*0.844155844155844</f>
        <v>130.538051948052</v>
      </c>
      <c r="AN133" s="137" t="n">
        <f aca="false">'Price History'!T3+('Price History'!T158-'Price History'!T3)*0.844155844155844</f>
        <v>46.1820779220779</v>
      </c>
    </row>
    <row r="134" customFormat="false" ht="15" hidden="false" customHeight="true" outlineLevel="0" collapsed="false">
      <c r="A134" s="135" t="n">
        <f aca="false">IF('Price History'!A135="","",'Price History'!A135)</f>
        <v>46073</v>
      </c>
      <c r="B134" s="136" t="n">
        <f aca="false">IFERROR(IF(OR(NOT(ISNUMBER('Price History'!B135)),NOT(ISNUMBER('Price History'!B134)),'Price History'!B134=0),"",'Price History'!B135/'Price History'!B134-1),"")</f>
        <v>-0.0203053377277721</v>
      </c>
      <c r="C134" s="136" t="n">
        <f aca="false">IFERROR(IF(OR(NOT(ISNUMBER('Price History'!C135)),NOT(ISNUMBER('Price History'!C134)),'Price History'!C134=0),"",'Price History'!C135/'Price History'!C134-1),"")</f>
        <v>-0.0621512818701887</v>
      </c>
      <c r="D134" s="136" t="n">
        <f aca="false">IFERROR(IF(OR(NOT(ISNUMBER('Price History'!D135)),NOT(ISNUMBER('Price History'!D134)),'Price History'!D134=0),"",'Price History'!D135/'Price History'!D134-1),"")</f>
        <v>0.0447743155529963</v>
      </c>
      <c r="E134" s="136" t="n">
        <f aca="false">IFERROR(IF(OR(NOT(ISNUMBER('Price History'!E135)),NOT(ISNUMBER('Price History'!E134)),'Price History'!E134=0),"",'Price History'!E135/'Price History'!E134-1),"")</f>
        <v>0.0230033520927513</v>
      </c>
      <c r="F134" s="136" t="n">
        <f aca="false">IFERROR(IF(OR(NOT(ISNUMBER('Price History'!F135)),NOT(ISNUMBER('Price History'!F134)),'Price History'!F134=0),"",'Price History'!F135/'Price History'!F134-1),"")</f>
        <v>-0.0955218322316357</v>
      </c>
      <c r="G134" s="136" t="n">
        <f aca="false">IFERROR(IF(OR(NOT(ISNUMBER('Price History'!G135)),NOT(ISNUMBER('Price History'!G134)),'Price History'!G134=0),"",'Price History'!G135/'Price History'!G134-1),"")</f>
        <v>0.0217881292261457</v>
      </c>
      <c r="H134" s="136" t="n">
        <f aca="false">IFERROR(IF(OR(NOT(ISNUMBER('Price History'!H135)),NOT(ISNUMBER('Price History'!H134)),'Price History'!H134=0),"",'Price History'!H135/'Price History'!H134-1),"")</f>
        <v>0.0401059126463585</v>
      </c>
      <c r="I134" s="136" t="n">
        <f aca="false">IFERROR(IF(OR(NOT(ISNUMBER('Price History'!I135)),NOT(ISNUMBER('Price History'!I134)),'Price History'!I134=0),"",'Price History'!I135/'Price History'!I134-1),"")</f>
        <v>0.0383458235326295</v>
      </c>
      <c r="J134" s="136" t="n">
        <f aca="false">IFERROR(IF(OR(NOT(ISNUMBER('Price History'!J135)),NOT(ISNUMBER('Price History'!J134)),'Price History'!J134=0),"",'Price History'!J135/'Price History'!J134-1),"")</f>
        <v>0.0182773260415916</v>
      </c>
      <c r="K134" s="136" t="n">
        <f aca="false">IFERROR(IF(OR(NOT(ISNUMBER('Price History'!K135)),NOT(ISNUMBER('Price History'!K134)),'Price History'!K134=0),"",'Price History'!K135/'Price History'!K134-1),"")</f>
        <v>0.0291454227227761</v>
      </c>
      <c r="L134" s="136" t="n">
        <f aca="false">IFERROR(IF(OR(NOT(ISNUMBER('Price History'!L135)),NOT(ISNUMBER('Price History'!L134)),'Price History'!L134=0),"",'Price History'!L135/'Price History'!L134-1),"")</f>
        <v>0.0114095425264766</v>
      </c>
      <c r="M134" s="136" t="n">
        <f aca="false">IFERROR(IF(OR(NOT(ISNUMBER('Price History'!M135)),NOT(ISNUMBER('Price History'!M134)),'Price History'!M134=0),"",'Price History'!M135/'Price History'!M134-1),"")</f>
        <v>0.0393126678889695</v>
      </c>
      <c r="N134" s="136" t="n">
        <f aca="false">IFERROR(IF(OR(NOT(ISNUMBER('Price History'!N135)),NOT(ISNUMBER('Price History'!N134)),'Price History'!N134=0),"",'Price History'!N135/'Price History'!N134-1),"")</f>
        <v>-0.0296457566077279</v>
      </c>
      <c r="O134" s="136" t="n">
        <f aca="false">IFERROR(IF(OR(NOT(ISNUMBER('Price History'!O135)),NOT(ISNUMBER('Price History'!O134)),'Price History'!O134=0),"",'Price History'!O135/'Price History'!O134-1),"")</f>
        <v>0.00557006092254131</v>
      </c>
      <c r="P134" s="136" t="str">
        <f aca="false">IFERROR(IF(OR(NOT(ISNUMBER('Price History'!P135)),NOT(ISNUMBER('Price History'!P134)),'Price History'!P134=0),"",'Price History'!P135/'Price History'!P134-1),"")</f>
        <v/>
      </c>
      <c r="Q134" s="136" t="n">
        <f aca="false">IFERROR(IF(OR(NOT(ISNUMBER('Price History'!Q135)),NOT(ISNUMBER('Price History'!Q134)),'Price History'!Q134=0),"",'Price History'!Q135/'Price History'!Q134-1),"")</f>
        <v>0.0204272571339468</v>
      </c>
      <c r="R134" s="136" t="n">
        <f aca="false">IFERROR(IF(OR(NOT(ISNUMBER('Price History'!R135)),NOT(ISNUMBER('Price History'!R134)),'Price History'!R134=0),"",'Price History'!R135/'Price History'!R134-1),"")</f>
        <v>0.0111284993914103</v>
      </c>
      <c r="S134" s="136" t="n">
        <f aca="false">IFERROR(IF(OR(NOT(ISNUMBER('Price History'!S135)),NOT(ISNUMBER('Price History'!S134)),'Price History'!S134=0),"",'Price History'!S135/'Price History'!S134-1),"")</f>
        <v>0.01446088794926</v>
      </c>
      <c r="T134" s="136" t="n">
        <f aca="false">IFERROR(IF(OR(NOT(ISNUMBER('Price History'!T135)),NOT(ISNUMBER('Price History'!T134)),'Price History'!T134=0),"",'Price History'!T135/'Price History'!T134-1),"")</f>
        <v>0.00198708395429725</v>
      </c>
      <c r="U134" s="136" t="str">
        <f aca="false">IFERROR(IF(OR(NOT(ISNUMBER('Price History'!U135)),NOT(ISNUMBER('Price History'!U134)),'Price History'!U134=0),"",'Price History'!U135/'Price History'!U134-1),"")</f>
        <v/>
      </c>
      <c r="W134" s="137" t="n">
        <f aca="false">'Price History'!B3+('Price History'!B158-'Price History'!B3)*0.850649350649351</f>
        <v>288.948441558441</v>
      </c>
      <c r="X134" s="137" t="n">
        <f aca="false">'Price History'!C3+('Price History'!C158-'Price History'!C3)*0.850649350649351</f>
        <v>159.947207792208</v>
      </c>
      <c r="Y134" s="137" t="n">
        <f aca="false">'Price History'!D3+('Price History'!D158-'Price History'!D3)*0.850649350649351</f>
        <v>1484.54506493507</v>
      </c>
      <c r="Z134" s="137" t="n">
        <f aca="false">'Price History'!E3+('Price History'!E158-'Price History'!E3)*0.850649350649351</f>
        <v>343.533896103896</v>
      </c>
      <c r="AA134" s="137" t="n">
        <f aca="false">'Price History'!F3+('Price History'!F158-'Price History'!F3)*0.850649350649351</f>
        <v>167.88987012987</v>
      </c>
      <c r="AB134" s="137" t="n">
        <f aca="false">'Price History'!G3+('Price History'!G158-'Price History'!G3)*0.850649350649351</f>
        <v>162.66961038961</v>
      </c>
      <c r="AC134" s="137" t="n">
        <f aca="false">'Price History'!H3+('Price History'!H158-'Price History'!H3)*0.850649350649351</f>
        <v>709.723636363637</v>
      </c>
      <c r="AD134" s="137" t="n">
        <f aca="false">'Price History'!I3+('Price History'!I158-'Price History'!I3)*0.850649350649351</f>
        <v>176.868831168831</v>
      </c>
      <c r="AE134" s="137" t="n">
        <f aca="false">'Price History'!J3+('Price History'!J158-'Price History'!J3)*0.850649350649351</f>
        <v>141.458701298701</v>
      </c>
      <c r="AF134" s="137" t="n">
        <f aca="false">'Price History'!K3+('Price History'!K158-'Price History'!K3)*0.850649350649351</f>
        <v>106.982402597403</v>
      </c>
      <c r="AG134" s="137" t="n">
        <f aca="false">'Price History'!L3+('Price History'!L158-'Price History'!L3)*0.850649350649351</f>
        <v>357.613766233766</v>
      </c>
      <c r="AH134" s="137" t="n">
        <f aca="false">'Price History'!M3+('Price History'!M158-'Price History'!M3)*0.850649350649351</f>
        <v>210.496103896104</v>
      </c>
      <c r="AI134" s="137" t="n">
        <f aca="false">'Price History'!N3+('Price History'!N158-'Price History'!N3)*0.850649350649351</f>
        <v>458.096623376623</v>
      </c>
      <c r="AJ134" s="137" t="n">
        <f aca="false">'Price History'!O3+('Price History'!O158-'Price History'!O3)*0.850649350649351</f>
        <v>118.943051948052</v>
      </c>
      <c r="AK134" s="137" t="n">
        <f aca="false">'Price History'!Q3+('Price History'!Q151-'Price History'!Q3)*0.850649350649351</f>
        <v>65.6705844155844</v>
      </c>
      <c r="AL134" s="137" t="n">
        <f aca="false">'Price History'!R3+('Price History'!R158-'Price History'!R3)*0.850649350649351</f>
        <v>56.6922727272727</v>
      </c>
      <c r="AM134" s="137" t="n">
        <f aca="false">'Price History'!S3+('Price History'!S158-'Price History'!S3)*0.850649350649351</f>
        <v>131.091883116883</v>
      </c>
      <c r="AN134" s="137" t="n">
        <f aca="false">'Price History'!T3+('Price History'!T158-'Price History'!T3)*0.850649350649351</f>
        <v>46.3303246753247</v>
      </c>
    </row>
    <row r="135" customFormat="false" ht="15" hidden="false" customHeight="true" outlineLevel="0" collapsed="false">
      <c r="A135" s="135" t="n">
        <f aca="false">IF('Price History'!A136="","",'Price History'!A136)</f>
        <v>46080</v>
      </c>
      <c r="B135" s="136" t="n">
        <f aca="false">IFERROR(IF(OR(NOT(ISNUMBER('Price History'!B136)),NOT(ISNUMBER('Price History'!B135)),'Price History'!B135=0),"",'Price History'!B136/'Price History'!B135-1),"")</f>
        <v>0.0146939406828817</v>
      </c>
      <c r="C135" s="136" t="n">
        <f aca="false">IFERROR(IF(OR(NOT(ISNUMBER('Price History'!C136)),NOT(ISNUMBER('Price History'!C135)),'Price History'!C135=0),"",'Price History'!C136/'Price History'!C135-1),"")</f>
        <v>0.00534678816175926</v>
      </c>
      <c r="D135" s="136" t="n">
        <f aca="false">IFERROR(IF(OR(NOT(ISNUMBER('Price History'!D136)),NOT(ISNUMBER('Price History'!D135)),'Price History'!D135=0),"",'Price History'!D136/'Price History'!D135-1),"")</f>
        <v>-0.012949189910111</v>
      </c>
      <c r="E135" s="136" t="n">
        <f aca="false">IFERROR(IF(OR(NOT(ISNUMBER('Price History'!E136)),NOT(ISNUMBER('Price History'!E135)),'Price History'!E135=0),"",'Price History'!E136/'Price History'!E135-1),"")</f>
        <v>-0.0393807304975198</v>
      </c>
      <c r="F135" s="136" t="n">
        <f aca="false">IFERROR(IF(OR(NOT(ISNUMBER('Price History'!F136)),NOT(ISNUMBER('Price History'!F135)),'Price History'!F135=0),"",'Price History'!F136/'Price History'!F135-1),"")</f>
        <v>-0.042717447246526</v>
      </c>
      <c r="G135" s="136" t="n">
        <f aca="false">IFERROR(IF(OR(NOT(ISNUMBER('Price History'!G136)),NOT(ISNUMBER('Price History'!G135)),'Price History'!G135=0),"",'Price History'!G136/'Price History'!G135-1),"")</f>
        <v>0.0191176470588237</v>
      </c>
      <c r="H135" s="136" t="n">
        <f aca="false">IFERROR(IF(OR(NOT(ISNUMBER('Price History'!H136)),NOT(ISNUMBER('Price History'!H135)),'Price History'!H135=0),"",'Price History'!H136/'Price History'!H135-1),"")</f>
        <v>-0.0369012308195343</v>
      </c>
      <c r="I135" s="136" t="n">
        <f aca="false">IFERROR(IF(OR(NOT(ISNUMBER('Price History'!I136)),NOT(ISNUMBER('Price History'!I135)),'Price History'!I135=0),"",'Price History'!I136/'Price History'!I135-1),"")</f>
        <v>-0.0665367189969445</v>
      </c>
      <c r="J135" s="136" t="n">
        <f aca="false">IFERROR(IF(OR(NOT(ISNUMBER('Price History'!J136)),NOT(ISNUMBER('Price History'!J135)),'Price History'!J135=0),"",'Price History'!J136/'Price History'!J135-1),"")</f>
        <v>0.00749063670411987</v>
      </c>
      <c r="K135" s="136" t="n">
        <f aca="false">IFERROR(IF(OR(NOT(ISNUMBER('Price History'!K136)),NOT(ISNUMBER('Price History'!K135)),'Price History'!K135=0),"",'Price History'!K136/'Price History'!K135-1),"")</f>
        <v>0.014418811002662</v>
      </c>
      <c r="L135" s="136" t="n">
        <f aca="false">IFERROR(IF(OR(NOT(ISNUMBER('Price History'!L136)),NOT(ISNUMBER('Price History'!L135)),'Price History'!L135=0),"",'Price History'!L136/'Price History'!L135-1),"")</f>
        <v>0.0109030064230582</v>
      </c>
      <c r="M135" s="136" t="n">
        <f aca="false">IFERROR(IF(OR(NOT(ISNUMBER('Price History'!M136)),NOT(ISNUMBER('Price History'!M135)),'Price History'!M135=0),"",'Price History'!M136/'Price History'!M135-1),"")</f>
        <v>0.0457025641025641</v>
      </c>
      <c r="N135" s="136" t="n">
        <f aca="false">IFERROR(IF(OR(NOT(ISNUMBER('Price History'!N136)),NOT(ISNUMBER('Price History'!N135)),'Price History'!N135=0),"",'Price History'!N136/'Price History'!N135-1),"")</f>
        <v>0.0417907318096038</v>
      </c>
      <c r="O135" s="136" t="n">
        <f aca="false">IFERROR(IF(OR(NOT(ISNUMBER('Price History'!O136)),NOT(ISNUMBER('Price History'!O135)),'Price History'!O135=0),"",'Price History'!O136/'Price History'!O135-1),"")</f>
        <v>-0.0221568288038775</v>
      </c>
      <c r="P135" s="136" t="str">
        <f aca="false">IFERROR(IF(OR(NOT(ISNUMBER('Price History'!P136)),NOT(ISNUMBER('Price History'!P135)),'Price History'!P135=0),"",'Price History'!P136/'Price History'!P135-1),"")</f>
        <v/>
      </c>
      <c r="Q135" s="136" t="n">
        <f aca="false">IFERROR(IF(OR(NOT(ISNUMBER('Price History'!Q136)),NOT(ISNUMBER('Price History'!Q135)),'Price History'!Q135=0),"",'Price History'!Q136/'Price History'!Q135-1),"")</f>
        <v>0.025672371638142</v>
      </c>
      <c r="R135" s="136" t="n">
        <f aca="false">IFERROR(IF(OR(NOT(ISNUMBER('Price History'!R136)),NOT(ISNUMBER('Price History'!R135)),'Price History'!R135=0),"",'Price History'!R136/'Price History'!R135-1),"")</f>
        <v>-0.00189165950128978</v>
      </c>
      <c r="S135" s="136" t="n">
        <f aca="false">IFERROR(IF(OR(NOT(ISNUMBER('Price History'!S136)),NOT(ISNUMBER('Price History'!S135)),'Price History'!S135=0),"",'Price History'!S136/'Price History'!S135-1),"")</f>
        <v>-0.00408469489829944</v>
      </c>
      <c r="T135" s="136" t="n">
        <f aca="false">IFERROR(IF(OR(NOT(ISNUMBER('Price History'!T136)),NOT(ISNUMBER('Price History'!T135)),'Price History'!T135=0),"",'Price History'!T136/'Price History'!T135-1),"")</f>
        <v>0.00347050074367861</v>
      </c>
      <c r="U135" s="136" t="str">
        <f aca="false">IFERROR(IF(OR(NOT(ISNUMBER('Price History'!U136)),NOT(ISNUMBER('Price History'!U135)),'Price History'!U135=0),"",'Price History'!U136/'Price History'!U135-1),"")</f>
        <v/>
      </c>
      <c r="W135" s="137" t="n">
        <f aca="false">'Price History'!B3+('Price History'!B158-'Price History'!B3)*0.857142857142857</f>
        <v>287.272857142857</v>
      </c>
      <c r="X135" s="137" t="n">
        <f aca="false">'Price History'!C3+('Price History'!C158-'Price History'!C3)*0.857142857142857</f>
        <v>160.834285714286</v>
      </c>
      <c r="Y135" s="137" t="n">
        <f aca="false">'Price History'!D3+('Price History'!D158-'Price History'!D3)*0.857142857142857</f>
        <v>1490.82571428571</v>
      </c>
      <c r="Z135" s="137" t="n">
        <f aca="false">'Price History'!E3+('Price History'!E158-'Price History'!E3)*0.857142857142857</f>
        <v>345.522857142857</v>
      </c>
      <c r="AA135" s="137" t="n">
        <f aca="false">'Price History'!F3+('Price History'!F158-'Price History'!F3)*0.857142857142857</f>
        <v>168.888571428571</v>
      </c>
      <c r="AB135" s="137" t="n">
        <f aca="false">'Price History'!G3+('Price History'!G158-'Price History'!G3)*0.857142857142857</f>
        <v>163.545714285714</v>
      </c>
      <c r="AC135" s="137" t="n">
        <f aca="false">'Price History'!H3+('Price History'!H158-'Price History'!H3)*0.857142857142857</f>
        <v>714.65</v>
      </c>
      <c r="AD135" s="137" t="n">
        <f aca="false">'Price History'!I3+('Price History'!I158-'Price History'!I3)*0.857142857142857</f>
        <v>177.907142857143</v>
      </c>
      <c r="AE135" s="137" t="n">
        <f aca="false">'Price History'!J3+('Price History'!J158-'Price History'!J3)*0.857142857142857</f>
        <v>141.595714285714</v>
      </c>
      <c r="AF135" s="137" t="n">
        <f aca="false">'Price History'!K3+('Price History'!K158-'Price History'!K3)*0.857142857142857</f>
        <v>107.681428571429</v>
      </c>
      <c r="AG135" s="137" t="n">
        <f aca="false">'Price History'!L3+('Price History'!L158-'Price History'!L3)*0.857142857142857</f>
        <v>359.641428571429</v>
      </c>
      <c r="AH135" s="137" t="n">
        <f aca="false">'Price History'!M3+('Price History'!M158-'Price History'!M3)*0.857142857142857</f>
        <v>211.847142857143</v>
      </c>
      <c r="AI135" s="137" t="n">
        <f aca="false">'Price History'!N3+('Price History'!N158-'Price History'!N3)*0.857142857142857</f>
        <v>458.922857142857</v>
      </c>
      <c r="AJ135" s="137" t="n">
        <f aca="false">'Price History'!O3+('Price History'!O158-'Price History'!O3)*0.857142857142857</f>
        <v>119.218571428571</v>
      </c>
      <c r="AK135" s="137" t="n">
        <f aca="false">'Price History'!Q3+('Price History'!Q151-'Price History'!Q3)*0.857142857142857</f>
        <v>65.7914285714286</v>
      </c>
      <c r="AL135" s="137" t="n">
        <f aca="false">'Price History'!R3+('Price History'!R158-'Price History'!R3)*0.857142857142857</f>
        <v>56.76</v>
      </c>
      <c r="AM135" s="137" t="n">
        <f aca="false">'Price History'!S3+('Price History'!S158-'Price History'!S3)*0.857142857142857</f>
        <v>131.645714285714</v>
      </c>
      <c r="AN135" s="137" t="n">
        <f aca="false">'Price History'!T3+('Price History'!T158-'Price History'!T3)*0.857142857142857</f>
        <v>46.4785714285714</v>
      </c>
    </row>
    <row r="136" customFormat="false" ht="15" hidden="false" customHeight="true" outlineLevel="0" collapsed="false">
      <c r="A136" s="135" t="n">
        <f aca="false">IF('Price History'!A137="","",'Price History'!A137)</f>
        <v>46087</v>
      </c>
      <c r="B136" s="136" t="n">
        <f aca="false">IFERROR(IF(OR(NOT(ISNUMBER('Price History'!B137)),NOT(ISNUMBER('Price History'!B136)),'Price History'!B136=0),"",'Price History'!B137/'Price History'!B136-1),"")</f>
        <v>0.0808277123585228</v>
      </c>
      <c r="C136" s="136" t="n">
        <f aca="false">IFERROR(IF(OR(NOT(ISNUMBER('Price History'!C137)),NOT(ISNUMBER('Price History'!C136)),'Price History'!C136=0),"",'Price History'!C137/'Price History'!C136-1),"")</f>
        <v>-0.0045692883895132</v>
      </c>
      <c r="D136" s="136" t="n">
        <f aca="false">IFERROR(IF(OR(NOT(ISNUMBER('Price History'!D137)),NOT(ISNUMBER('Price History'!D136)),'Price History'!D136=0),"",'Price History'!D137/'Price History'!D136-1),"")</f>
        <v>-0.108757996911538</v>
      </c>
      <c r="E136" s="136" t="n">
        <f aca="false">IFERROR(IF(OR(NOT(ISNUMBER('Price History'!E137)),NOT(ISNUMBER('Price History'!E136)),'Price History'!E136=0),"",'Price History'!E137/'Price History'!E136-1),"")</f>
        <v>0.0342043498670004</v>
      </c>
      <c r="F136" s="136" t="n">
        <f aca="false">IFERROR(IF(OR(NOT(ISNUMBER('Price History'!F137)),NOT(ISNUMBER('Price History'!F136)),'Price History'!F136=0),"",'Price History'!F137/'Price History'!F136-1),"")</f>
        <v>0.153225806451613</v>
      </c>
      <c r="G136" s="136" t="n">
        <f aca="false">IFERROR(IF(OR(NOT(ISNUMBER('Price History'!G137)),NOT(ISNUMBER('Price History'!G136)),'Price History'!G136=0),"",'Price History'!G137/'Price History'!G136-1),"")</f>
        <v>-0.118063754427391</v>
      </c>
      <c r="H136" s="136" t="n">
        <f aca="false">IFERROR(IF(OR(NOT(ISNUMBER('Price History'!H137)),NOT(ISNUMBER('Price History'!H136)),'Price History'!H136=0),"",'Price History'!H137/'Price History'!H136-1),"")</f>
        <v>-0.102020030555084</v>
      </c>
      <c r="I136" s="136" t="n">
        <f aca="false">IFERROR(IF(OR(NOT(ISNUMBER('Price History'!I137)),NOT(ISNUMBER('Price History'!I136)),'Price History'!I136=0),"",'Price History'!I137/'Price History'!I136-1),"")</f>
        <v>0.00355550538969474</v>
      </c>
      <c r="J136" s="136" t="n">
        <f aca="false">IFERROR(IF(OR(NOT(ISNUMBER('Price History'!J137)),NOT(ISNUMBER('Price History'!J136)),'Price History'!J136=0),"",'Price History'!J137/'Price History'!J136-1),"")</f>
        <v>-0.0563232096513994</v>
      </c>
      <c r="K136" s="136" t="n">
        <f aca="false">IFERROR(IF(OR(NOT(ISNUMBER('Price History'!K137)),NOT(ISNUMBER('Price History'!K136)),'Price History'!K136=0),"",'Price History'!K137/'Price History'!K136-1),"")</f>
        <v>0.145564545520811</v>
      </c>
      <c r="L136" s="136" t="n">
        <f aca="false">IFERROR(IF(OR(NOT(ISNUMBER('Price History'!L137)),NOT(ISNUMBER('Price History'!L136)),'Price History'!L136=0),"",'Price History'!L137/'Price History'!L136-1),"")</f>
        <v>-0.0952800469859576</v>
      </c>
      <c r="M136" s="136" t="n">
        <f aca="false">IFERROR(IF(OR(NOT(ISNUMBER('Price History'!M137)),NOT(ISNUMBER('Price History'!M136)),'Price History'!M136=0),"",'Price History'!M137/'Price History'!M136-1),"")</f>
        <v>-0.0514339519008199</v>
      </c>
      <c r="N136" s="136" t="n">
        <f aca="false">IFERROR(IF(OR(NOT(ISNUMBER('Price History'!N137)),NOT(ISNUMBER('Price History'!N136)),'Price History'!N136=0),"",'Price History'!N137/'Price History'!N136-1),"")</f>
        <v>-0.0807922226918664</v>
      </c>
      <c r="O136" s="136" t="n">
        <f aca="false">IFERROR(IF(OR(NOT(ISNUMBER('Price History'!O137)),NOT(ISNUMBER('Price History'!O136)),'Price History'!O136=0),"",'Price History'!O137/'Price History'!O136-1),"")</f>
        <v>-0.0383253673216498</v>
      </c>
      <c r="P136" s="136" t="str">
        <f aca="false">IFERROR(IF(OR(NOT(ISNUMBER('Price History'!P137)),NOT(ISNUMBER('Price History'!P136)),'Price History'!P136=0),"",'Price History'!P137/'Price History'!P136-1),"")</f>
        <v/>
      </c>
      <c r="Q136" s="136" t="n">
        <f aca="false">IFERROR(IF(OR(NOT(ISNUMBER('Price History'!Q137)),NOT(ISNUMBER('Price History'!Q136)),'Price History'!Q136=0),"",'Price History'!Q137/'Price History'!Q136-1),"")</f>
        <v>0.00223480333730608</v>
      </c>
      <c r="R136" s="136" t="n">
        <f aca="false">IFERROR(IF(OR(NOT(ISNUMBER('Price History'!R137)),NOT(ISNUMBER('Price History'!R136)),'Price History'!R136=0),"",'Price History'!R137/'Price History'!R136-1),"")</f>
        <v>-0.0205031013094418</v>
      </c>
      <c r="S136" s="136" t="n">
        <f aca="false">IFERROR(IF(OR(NOT(ISNUMBER('Price History'!S137)),NOT(ISNUMBER('Price History'!S136)),'Price History'!S136=0),"",'Price History'!S137/'Price History'!S136-1),"")</f>
        <v>-0.0102954716665272</v>
      </c>
      <c r="T136" s="136" t="n">
        <f aca="false">IFERROR(IF(OR(NOT(ISNUMBER('Price History'!T137)),NOT(ISNUMBER('Price History'!T136)),'Price History'!T136=0),"",'Price History'!T137/'Price History'!T136-1),"")</f>
        <v>-0.00914031620553357</v>
      </c>
      <c r="U136" s="136" t="str">
        <f aca="false">IFERROR(IF(OR(NOT(ISNUMBER('Price History'!U137)),NOT(ISNUMBER('Price History'!U136)),'Price History'!U136=0),"",'Price History'!U137/'Price History'!U136-1),"")</f>
        <v/>
      </c>
      <c r="W136" s="137" t="n">
        <f aca="false">'Price History'!B3+('Price History'!B158-'Price History'!B3)*0.863636363636364</f>
        <v>285.597272727273</v>
      </c>
      <c r="X136" s="137" t="n">
        <f aca="false">'Price History'!C3+('Price History'!C158-'Price History'!C3)*0.863636363636364</f>
        <v>161.721363636364</v>
      </c>
      <c r="Y136" s="137" t="n">
        <f aca="false">'Price History'!D3+('Price History'!D158-'Price History'!D3)*0.863636363636364</f>
        <v>1497.10636363636</v>
      </c>
      <c r="Z136" s="137" t="n">
        <f aca="false">'Price History'!E3+('Price History'!E158-'Price History'!E3)*0.863636363636364</f>
        <v>347.511818181818</v>
      </c>
      <c r="AA136" s="137" t="n">
        <f aca="false">'Price History'!F3+('Price History'!F158-'Price History'!F3)*0.863636363636364</f>
        <v>169.887272727273</v>
      </c>
      <c r="AB136" s="137" t="n">
        <f aca="false">'Price History'!G3+('Price History'!G158-'Price History'!G3)*0.863636363636364</f>
        <v>164.421818181818</v>
      </c>
      <c r="AC136" s="137" t="n">
        <f aca="false">'Price History'!H3+('Price History'!H158-'Price History'!H3)*0.863636363636364</f>
        <v>719.576363636364</v>
      </c>
      <c r="AD136" s="137" t="n">
        <f aca="false">'Price History'!I3+('Price History'!I158-'Price History'!I3)*0.863636363636364</f>
        <v>178.945454545455</v>
      </c>
      <c r="AE136" s="137" t="n">
        <f aca="false">'Price History'!J3+('Price History'!J158-'Price History'!J3)*0.863636363636364</f>
        <v>141.732727272727</v>
      </c>
      <c r="AF136" s="137" t="n">
        <f aca="false">'Price History'!K3+('Price History'!K158-'Price History'!K3)*0.863636363636364</f>
        <v>108.380454545455</v>
      </c>
      <c r="AG136" s="137" t="n">
        <f aca="false">'Price History'!L3+('Price History'!L158-'Price History'!L3)*0.863636363636364</f>
        <v>361.669090909091</v>
      </c>
      <c r="AH136" s="137" t="n">
        <f aca="false">'Price History'!M3+('Price History'!M158-'Price History'!M3)*0.863636363636364</f>
        <v>213.198181818182</v>
      </c>
      <c r="AI136" s="137" t="n">
        <f aca="false">'Price History'!N3+('Price History'!N158-'Price History'!N3)*0.863636363636364</f>
        <v>459.749090909091</v>
      </c>
      <c r="AJ136" s="137" t="n">
        <f aca="false">'Price History'!O3+('Price History'!O158-'Price History'!O3)*0.863636363636364</f>
        <v>119.494090909091</v>
      </c>
      <c r="AK136" s="137" t="n">
        <f aca="false">'Price History'!Q3+('Price History'!Q151-'Price History'!Q3)*0.863636363636364</f>
        <v>65.9122727272727</v>
      </c>
      <c r="AL136" s="137" t="n">
        <f aca="false">'Price History'!R3+('Price History'!R158-'Price History'!R3)*0.863636363636364</f>
        <v>56.8277272727273</v>
      </c>
      <c r="AM136" s="137" t="n">
        <f aca="false">'Price History'!S3+('Price History'!S158-'Price History'!S3)*0.863636363636364</f>
        <v>132.199545454546</v>
      </c>
      <c r="AN136" s="137" t="n">
        <f aca="false">'Price History'!T3+('Price History'!T158-'Price History'!T3)*0.863636363636364</f>
        <v>46.6268181818182</v>
      </c>
    </row>
    <row r="137" customFormat="false" ht="15" hidden="false" customHeight="true" outlineLevel="0" collapsed="false">
      <c r="A137" s="135" t="n">
        <f aca="false">IF('Price History'!A138="","",'Price History'!A138)</f>
        <v>46094</v>
      </c>
      <c r="B137" s="136" t="n">
        <f aca="false">IFERROR(IF(OR(NOT(ISNUMBER('Price History'!B138)),NOT(ISNUMBER('Price History'!B137)),'Price History'!B137=0),"",'Price History'!B138/'Price History'!B137-1),"")</f>
        <v>-0.120936464283196</v>
      </c>
      <c r="C137" s="136" t="n">
        <f aca="false">IFERROR(IF(OR(NOT(ISNUMBER('Price History'!C138)),NOT(ISNUMBER('Price History'!C137)),'Price History'!C137=0),"",'Price History'!C138/'Price History'!C137-1),"")</f>
        <v>0.00511701407178866</v>
      </c>
      <c r="D137" s="136" t="n">
        <f aca="false">IFERROR(IF(OR(NOT(ISNUMBER('Price History'!D138)),NOT(ISNUMBER('Price History'!D137)),'Price History'!D137=0),"",'Price History'!D138/'Price History'!D137-1),"")</f>
        <v>0.0409112004950496</v>
      </c>
      <c r="E137" s="136" t="n">
        <f aca="false">IFERROR(IF(OR(NOT(ISNUMBER('Price History'!E138)),NOT(ISNUMBER('Price History'!E137)),'Price History'!E137=0),"",'Price History'!E138/'Price History'!E137-1),"")</f>
        <v>-0.0251755022996852</v>
      </c>
      <c r="F137" s="136" t="n">
        <f aca="false">IFERROR(IF(OR(NOT(ISNUMBER('Price History'!F138)),NOT(ISNUMBER('Price History'!F137)),'Price History'!F137=0),"",'Price History'!F138/'Price History'!F137-1),"")</f>
        <v>0.0298368298368299</v>
      </c>
      <c r="G137" s="136" t="n">
        <f aca="false">IFERROR(IF(OR(NOT(ISNUMBER('Price History'!G138)),NOT(ISNUMBER('Price History'!G137)),'Price History'!G137=0),"",'Price History'!G138/'Price History'!G137-1),"")</f>
        <v>0.0550349546333482</v>
      </c>
      <c r="H137" s="136" t="n">
        <f aca="false">IFERROR(IF(OR(NOT(ISNUMBER('Price History'!H138)),NOT(ISNUMBER('Price History'!H137)),'Price History'!H137=0),"",'Price History'!H138/'Price History'!H137-1),"")</f>
        <v>0.150769646232784</v>
      </c>
      <c r="I137" s="136" t="n">
        <f aca="false">IFERROR(IF(OR(NOT(ISNUMBER('Price History'!I138)),NOT(ISNUMBER('Price History'!I137)),'Price History'!I137=0),"",'Price History'!I138/'Price History'!I137-1),"")</f>
        <v>0.013665504442695</v>
      </c>
      <c r="J137" s="136" t="n">
        <f aca="false">IFERROR(IF(OR(NOT(ISNUMBER('Price History'!J138)),NOT(ISNUMBER('Price History'!J137)),'Price History'!J137=0),"",'Price History'!J138/'Price History'!J137-1),"")</f>
        <v>-0.0207373271889401</v>
      </c>
      <c r="K137" s="136" t="n">
        <f aca="false">IFERROR(IF(OR(NOT(ISNUMBER('Price History'!K138)),NOT(ISNUMBER('Price History'!K137)),'Price History'!K137=0),"",'Price History'!K138/'Price History'!K137-1),"")</f>
        <v>-0.0395138712140495</v>
      </c>
      <c r="L137" s="136" t="n">
        <f aca="false">IFERROR(IF(OR(NOT(ISNUMBER('Price History'!L138)),NOT(ISNUMBER('Price History'!L137)),'Price History'!L137=0),"",'Price History'!L138/'Price History'!L137-1),"")</f>
        <v>-0.0017114697984596</v>
      </c>
      <c r="M137" s="136" t="n">
        <f aca="false">IFERROR(IF(OR(NOT(ISNUMBER('Price History'!M138)),NOT(ISNUMBER('Price History'!M137)),'Price History'!M137=0),"",'Price History'!M138/'Price History'!M137-1),"")</f>
        <v>0.0707254528910579</v>
      </c>
      <c r="N137" s="136" t="n">
        <f aca="false">IFERROR(IF(OR(NOT(ISNUMBER('Price History'!N138)),NOT(ISNUMBER('Price History'!N137)),'Price History'!N137=0),"",'Price History'!N138/'Price History'!N137-1),"")</f>
        <v>0.0276993146335589</v>
      </c>
      <c r="O137" s="136" t="n">
        <f aca="false">IFERROR(IF(OR(NOT(ISNUMBER('Price History'!O138)),NOT(ISNUMBER('Price History'!O137)),'Price History'!O137=0),"",'Price History'!O138/'Price History'!O137-1),"")</f>
        <v>-0.0217211228716061</v>
      </c>
      <c r="P137" s="136" t="str">
        <f aca="false">IFERROR(IF(OR(NOT(ISNUMBER('Price History'!P138)),NOT(ISNUMBER('Price History'!P137)),'Price History'!P137=0),"",'Price History'!P138/'Price History'!P137-1),"")</f>
        <v/>
      </c>
      <c r="Q137" s="136" t="n">
        <f aca="false">IFERROR(IF(OR(NOT(ISNUMBER('Price History'!Q138)),NOT(ISNUMBER('Price History'!Q137)),'Price History'!Q137=0),"",'Price History'!Q138/'Price History'!Q137-1),"")</f>
        <v>0.0040136762301175</v>
      </c>
      <c r="R137" s="136" t="n">
        <f aca="false">IFERROR(IF(OR(NOT(ISNUMBER('Price History'!R138)),NOT(ISNUMBER('Price History'!R137)),'Price History'!R137=0),"",'Price History'!R138/'Price History'!R137-1),"")</f>
        <v>-0.00510114335971856</v>
      </c>
      <c r="S137" s="136" t="n">
        <f aca="false">IFERROR(IF(OR(NOT(ISNUMBER('Price History'!S138)),NOT(ISNUMBER('Price History'!S137)),'Price History'!S137=0),"",'Price History'!S138/'Price History'!S137-1),"")</f>
        <v>-0.0174221921515561</v>
      </c>
      <c r="T137" s="136" t="n">
        <f aca="false">IFERROR(IF(OR(NOT(ISNUMBER('Price History'!T138)),NOT(ISNUMBER('Price History'!T137)),'Price History'!T137=0),"",'Price History'!T138/'Price History'!T137-1),"")</f>
        <v>-0.0226876090750435</v>
      </c>
      <c r="U137" s="136" t="str">
        <f aca="false">IFERROR(IF(OR(NOT(ISNUMBER('Price History'!U138)),NOT(ISNUMBER('Price History'!U137)),'Price History'!U137=0),"",'Price History'!U138/'Price History'!U137-1),"")</f>
        <v/>
      </c>
      <c r="W137" s="137" t="n">
        <f aca="false">'Price History'!B3+('Price History'!B158-'Price History'!B3)*0.87012987012987</f>
        <v>283.921688311688</v>
      </c>
      <c r="X137" s="137" t="n">
        <f aca="false">'Price History'!C3+('Price History'!C158-'Price History'!C3)*0.87012987012987</f>
        <v>162.608441558442</v>
      </c>
      <c r="Y137" s="137" t="n">
        <f aca="false">'Price History'!D3+('Price History'!D158-'Price History'!D3)*0.87012987012987</f>
        <v>1503.38701298701</v>
      </c>
      <c r="Z137" s="137" t="n">
        <f aca="false">'Price History'!E3+('Price History'!E158-'Price History'!E3)*0.87012987012987</f>
        <v>349.500779220779</v>
      </c>
      <c r="AA137" s="137" t="n">
        <f aca="false">'Price History'!F3+('Price History'!F158-'Price History'!F3)*0.87012987012987</f>
        <v>170.885974025974</v>
      </c>
      <c r="AB137" s="137" t="n">
        <f aca="false">'Price History'!G3+('Price History'!G158-'Price History'!G3)*0.87012987012987</f>
        <v>165.297922077922</v>
      </c>
      <c r="AC137" s="137" t="n">
        <f aca="false">'Price History'!H3+('Price History'!H158-'Price History'!H3)*0.87012987012987</f>
        <v>724.502727272727</v>
      </c>
      <c r="AD137" s="137" t="n">
        <f aca="false">'Price History'!I3+('Price History'!I158-'Price History'!I3)*0.87012987012987</f>
        <v>179.983766233766</v>
      </c>
      <c r="AE137" s="137" t="n">
        <f aca="false">'Price History'!J3+('Price History'!J158-'Price History'!J3)*0.87012987012987</f>
        <v>141.86974025974</v>
      </c>
      <c r="AF137" s="137" t="n">
        <f aca="false">'Price History'!K3+('Price History'!K158-'Price History'!K3)*0.87012987012987</f>
        <v>109.079480519481</v>
      </c>
      <c r="AG137" s="137" t="n">
        <f aca="false">'Price History'!L3+('Price History'!L158-'Price History'!L3)*0.87012987012987</f>
        <v>363.696753246753</v>
      </c>
      <c r="AH137" s="137" t="n">
        <f aca="false">'Price History'!M3+('Price History'!M158-'Price History'!M3)*0.87012987012987</f>
        <v>214.549220779221</v>
      </c>
      <c r="AI137" s="137" t="n">
        <f aca="false">'Price History'!N3+('Price History'!N158-'Price History'!N3)*0.87012987012987</f>
        <v>460.575324675325</v>
      </c>
      <c r="AJ137" s="137" t="n">
        <f aca="false">'Price History'!O3+('Price History'!O158-'Price History'!O3)*0.87012987012987</f>
        <v>119.76961038961</v>
      </c>
      <c r="AK137" s="137" t="n">
        <f aca="false">'Price History'!Q3+('Price History'!Q151-'Price History'!Q3)*0.87012987012987</f>
        <v>66.0331168831169</v>
      </c>
      <c r="AL137" s="137" t="n">
        <f aca="false">'Price History'!R3+('Price History'!R158-'Price History'!R3)*0.87012987012987</f>
        <v>56.8954545454545</v>
      </c>
      <c r="AM137" s="137" t="n">
        <f aca="false">'Price History'!S3+('Price History'!S158-'Price History'!S3)*0.87012987012987</f>
        <v>132.753376623377</v>
      </c>
      <c r="AN137" s="137" t="n">
        <f aca="false">'Price History'!T3+('Price History'!T158-'Price History'!T3)*0.87012987012987</f>
        <v>46.7750649350649</v>
      </c>
    </row>
    <row r="138" customFormat="false" ht="15" hidden="false" customHeight="true" outlineLevel="0" collapsed="false">
      <c r="A138" s="135" t="n">
        <f aca="false">IF('Price History'!A139="","",'Price History'!A139)</f>
        <v>46101</v>
      </c>
      <c r="B138" s="136" t="n">
        <f aca="false">IFERROR(IF(OR(NOT(ISNUMBER('Price History'!B139)),NOT(ISNUMBER('Price History'!B138)),'Price History'!B138=0),"",'Price History'!B139/'Price History'!B138-1),"")</f>
        <v>-0.0046927643189475</v>
      </c>
      <c r="C138" s="136" t="n">
        <f aca="false">IFERROR(IF(OR(NOT(ISNUMBER('Price History'!C139)),NOT(ISNUMBER('Price History'!C138)),'Price History'!C138=0),"",'Price History'!C139/'Price History'!C138-1),"")</f>
        <v>-0.0175937710563749</v>
      </c>
      <c r="D138" s="136" t="n">
        <f aca="false">IFERROR(IF(OR(NOT(ISNUMBER('Price History'!D139)),NOT(ISNUMBER('Price History'!D138)),'Price History'!D138=0),"",'Price History'!D139/'Price History'!D138-1),"")</f>
        <v>-0.0211341393634493</v>
      </c>
      <c r="E138" s="136" t="n">
        <f aca="false">IFERROR(IF(OR(NOT(ISNUMBER('Price History'!E139)),NOT(ISNUMBER('Price History'!E138)),'Price History'!E138=0),"",'Price History'!E139/'Price History'!E138-1),"")</f>
        <v>-0.0361621554507078</v>
      </c>
      <c r="F138" s="136" t="n">
        <f aca="false">IFERROR(IF(OR(NOT(ISNUMBER('Price History'!F139)),NOT(ISNUMBER('Price History'!F138)),'Price History'!F138=0),"",'Price History'!F139/'Price History'!F138-1),"")</f>
        <v>-0.0742417383431417</v>
      </c>
      <c r="G138" s="136" t="n">
        <f aca="false">IFERROR(IF(OR(NOT(ISNUMBER('Price History'!G139)),NOT(ISNUMBER('Price History'!G138)),'Price History'!G138=0),"",'Price History'!G139/'Price History'!G138-1),"")</f>
        <v>0.0564641195544904</v>
      </c>
      <c r="H138" s="136" t="n">
        <f aca="false">IFERROR(IF(OR(NOT(ISNUMBER('Price History'!H139)),NOT(ISNUMBER('Price History'!H138)),'Price History'!H138=0),"",'Price History'!H139/'Price History'!H138-1),"")</f>
        <v>-0.0075798465257082</v>
      </c>
      <c r="I138" s="136" t="n">
        <f aca="false">IFERROR(IF(OR(NOT(ISNUMBER('Price History'!I139)),NOT(ISNUMBER('Price History'!I138)),'Price History'!I138=0),"",'Price History'!I139/'Price History'!I138-1),"")</f>
        <v>-0.0418862690707351</v>
      </c>
      <c r="J138" s="136" t="n">
        <f aca="false">IFERROR(IF(OR(NOT(ISNUMBER('Price History'!J139)),NOT(ISNUMBER('Price History'!J138)),'Price History'!J138=0),"",'Price History'!J139/'Price History'!J138-1),"")</f>
        <v>-0.0283870967741936</v>
      </c>
      <c r="K138" s="136" t="n">
        <f aca="false">IFERROR(IF(OR(NOT(ISNUMBER('Price History'!K139)),NOT(ISNUMBER('Price History'!K138)),'Price History'!K138=0),"",'Price History'!K139/'Price History'!K138-1),"")</f>
        <v>-0.00178867174561104</v>
      </c>
      <c r="L138" s="136" t="n">
        <f aca="false">IFERROR(IF(OR(NOT(ISNUMBER('Price History'!L139)),NOT(ISNUMBER('Price History'!L138)),'Price History'!L138=0),"",'Price History'!L139/'Price History'!L138-1),"")</f>
        <v>-0.0268097307203452</v>
      </c>
      <c r="M138" s="136" t="n">
        <f aca="false">IFERROR(IF(OR(NOT(ISNUMBER('Price History'!M139)),NOT(ISNUMBER('Price History'!M138)),'Price History'!M138=0),"",'Price History'!M139/'Price History'!M138-1),"")</f>
        <v>-0.0115883807169345</v>
      </c>
      <c r="N138" s="136" t="n">
        <f aca="false">IFERROR(IF(OR(NOT(ISNUMBER('Price History'!N139)),NOT(ISNUMBER('Price History'!N138)),'Price History'!N138=0),"",'Price History'!N139/'Price History'!N138-1),"")</f>
        <v>-0.032684194826778</v>
      </c>
      <c r="O138" s="136" t="n">
        <f aca="false">IFERROR(IF(OR(NOT(ISNUMBER('Price History'!O139)),NOT(ISNUMBER('Price History'!O138)),'Price History'!O138=0),"",'Price History'!O139/'Price History'!O138-1),"")</f>
        <v>-0.0019757267852103</v>
      </c>
      <c r="P138" s="136" t="str">
        <f aca="false">IFERROR(IF(OR(NOT(ISNUMBER('Price History'!P139)),NOT(ISNUMBER('Price History'!P138)),'Price History'!P138=0),"",'Price History'!P139/'Price History'!P138-1),"")</f>
        <v/>
      </c>
      <c r="Q138" s="136" t="n">
        <f aca="false">IFERROR(IF(OR(NOT(ISNUMBER('Price History'!Q139)),NOT(ISNUMBER('Price History'!Q138)),'Price History'!Q138=0),"",'Price History'!Q139/'Price History'!Q138-1),"")</f>
        <v>0.00207284572105415</v>
      </c>
      <c r="R138" s="136" t="n">
        <f aca="false">IFERROR(IF(OR(NOT(ISNUMBER('Price History'!R139)),NOT(ISNUMBER('Price History'!R138)),'Price History'!R138=0),"",'Price History'!R139/'Price History'!R138-1),"")</f>
        <v>-0.0141442715700142</v>
      </c>
      <c r="S138" s="136" t="n">
        <f aca="false">IFERROR(IF(OR(NOT(ISNUMBER('Price History'!S139)),NOT(ISNUMBER('Price History'!S138)),'Price History'!S138=0),"",'Price History'!S139/'Price History'!S138-1),"")</f>
        <v>-0.0206576002754347</v>
      </c>
      <c r="T138" s="136" t="n">
        <f aca="false">IFERROR(IF(OR(NOT(ISNUMBER('Price History'!T139)),NOT(ISNUMBER('Price History'!T138)),'Price History'!T138=0),"",'Price History'!T139/'Price History'!T138-1),"")</f>
        <v>0.00102040816326521</v>
      </c>
      <c r="U138" s="136" t="str">
        <f aca="false">IFERROR(IF(OR(NOT(ISNUMBER('Price History'!U139)),NOT(ISNUMBER('Price History'!U138)),'Price History'!U138=0),"",'Price History'!U139/'Price History'!U138-1),"")</f>
        <v/>
      </c>
      <c r="W138" s="137" t="n">
        <f aca="false">'Price History'!B3+('Price History'!B158-'Price History'!B3)*0.876623376623377</f>
        <v>282.246103896104</v>
      </c>
      <c r="X138" s="137" t="n">
        <f aca="false">'Price History'!C3+('Price History'!C158-'Price History'!C3)*0.876623376623377</f>
        <v>163.49551948052</v>
      </c>
      <c r="Y138" s="137" t="n">
        <f aca="false">'Price History'!D3+('Price History'!D158-'Price History'!D3)*0.876623376623377</f>
        <v>1509.66766233766</v>
      </c>
      <c r="Z138" s="137" t="n">
        <f aca="false">'Price History'!E3+('Price History'!E158-'Price History'!E3)*0.876623376623377</f>
        <v>351.48974025974</v>
      </c>
      <c r="AA138" s="137" t="n">
        <f aca="false">'Price History'!F3+('Price History'!F158-'Price History'!F3)*0.876623376623377</f>
        <v>171.884675324675</v>
      </c>
      <c r="AB138" s="137" t="n">
        <f aca="false">'Price History'!G3+('Price History'!G158-'Price History'!G3)*0.876623376623377</f>
        <v>166.174025974026</v>
      </c>
      <c r="AC138" s="137" t="n">
        <f aca="false">'Price History'!H3+('Price History'!H158-'Price History'!H3)*0.876623376623377</f>
        <v>729.429090909091</v>
      </c>
      <c r="AD138" s="137" t="n">
        <f aca="false">'Price History'!I3+('Price History'!I158-'Price History'!I3)*0.876623376623377</f>
        <v>181.022077922078</v>
      </c>
      <c r="AE138" s="137" t="n">
        <f aca="false">'Price History'!J3+('Price History'!J158-'Price History'!J3)*0.876623376623377</f>
        <v>142.006753246753</v>
      </c>
      <c r="AF138" s="137" t="n">
        <f aca="false">'Price History'!K3+('Price History'!K158-'Price History'!K3)*0.876623376623377</f>
        <v>109.778506493507</v>
      </c>
      <c r="AG138" s="137" t="n">
        <f aca="false">'Price History'!L3+('Price History'!L158-'Price History'!L3)*0.876623376623377</f>
        <v>365.724415584416</v>
      </c>
      <c r="AH138" s="137" t="n">
        <f aca="false">'Price History'!M3+('Price History'!M158-'Price History'!M3)*0.876623376623377</f>
        <v>215.90025974026</v>
      </c>
      <c r="AI138" s="137" t="n">
        <f aca="false">'Price History'!N3+('Price History'!N158-'Price History'!N3)*0.876623376623377</f>
        <v>461.401558441559</v>
      </c>
      <c r="AJ138" s="137" t="n">
        <f aca="false">'Price History'!O3+('Price History'!O158-'Price History'!O3)*0.876623376623377</f>
        <v>120.04512987013</v>
      </c>
      <c r="AK138" s="137" t="n">
        <f aca="false">'Price History'!Q3+('Price History'!Q151-'Price History'!Q3)*0.876623376623377</f>
        <v>66.153961038961</v>
      </c>
      <c r="AL138" s="137" t="n">
        <f aca="false">'Price History'!R3+('Price History'!R158-'Price History'!R3)*0.876623376623377</f>
        <v>56.9631818181818</v>
      </c>
      <c r="AM138" s="137" t="n">
        <f aca="false">'Price History'!S3+('Price History'!S158-'Price History'!S3)*0.876623376623377</f>
        <v>133.307207792208</v>
      </c>
      <c r="AN138" s="137" t="n">
        <f aca="false">'Price History'!T3+('Price History'!T158-'Price History'!T3)*0.876623376623377</f>
        <v>46.9233116883117</v>
      </c>
    </row>
    <row r="139" customFormat="false" ht="15" hidden="false" customHeight="true" outlineLevel="0" collapsed="false">
      <c r="A139" s="135" t="n">
        <f aca="false">IF('Price History'!A140="","",'Price History'!A140)</f>
        <v>46108</v>
      </c>
      <c r="B139" s="136" t="n">
        <f aca="false">IFERROR(IF(OR(NOT(ISNUMBER('Price History'!B140)),NOT(ISNUMBER('Price History'!B139)),'Price History'!B139=0),"",'Price History'!B140/'Price History'!B139-1),"")</f>
        <v>-0.0536369131573645</v>
      </c>
      <c r="C139" s="136" t="n">
        <f aca="false">IFERROR(IF(OR(NOT(ISNUMBER('Price History'!C140)),NOT(ISNUMBER('Price History'!C139)),'Price History'!C139=0),"",'Price History'!C140/'Price History'!C139-1),"")</f>
        <v>-0.0796372504191435</v>
      </c>
      <c r="D139" s="136" t="n">
        <f aca="false">IFERROR(IF(OR(NOT(ISNUMBER('Price History'!D140)),NOT(ISNUMBER('Price History'!D139)),'Price History'!D139=0),"",'Price History'!D140/'Price History'!D139-1),"")</f>
        <v>-0.0112203454165876</v>
      </c>
      <c r="E139" s="136" t="n">
        <f aca="false">IFERROR(IF(OR(NOT(ISNUMBER('Price History'!E140)),NOT(ISNUMBER('Price History'!E139)),'Price History'!E139=0),"",'Price History'!E140/'Price History'!E139-1),"")</f>
        <v>-0.0316575955685807</v>
      </c>
      <c r="F139" s="136" t="n">
        <f aca="false">IFERROR(IF(OR(NOT(ISNUMBER('Price History'!F140)),NOT(ISNUMBER('Price History'!F139)),'Price History'!F139=0),"",'Price History'!F140/'Price History'!F139-1),"")</f>
        <v>-0.0963325183374083</v>
      </c>
      <c r="G139" s="136" t="n">
        <f aca="false">IFERROR(IF(OR(NOT(ISNUMBER('Price History'!G140)),NOT(ISNUMBER('Price History'!G139)),'Price History'!G139=0),"",'Price History'!G140/'Price History'!G139-1),"")</f>
        <v>-0.0370320944818844</v>
      </c>
      <c r="H139" s="136" t="n">
        <f aca="false">IFERROR(IF(OR(NOT(ISNUMBER('Price History'!H140)),NOT(ISNUMBER('Price History'!H139)),'Price History'!H139=0),"",'Price History'!H140/'Price History'!H139-1),"")</f>
        <v>-0.155308583589501</v>
      </c>
      <c r="I139" s="136" t="n">
        <f aca="false">IFERROR(IF(OR(NOT(ISNUMBER('Price History'!I140)),NOT(ISNUMBER('Price History'!I139)),'Price History'!I139=0),"",'Price History'!I140/'Price History'!I139-1),"")</f>
        <v>-0.0299942096120439</v>
      </c>
      <c r="J139" s="136" t="n">
        <f aca="false">IFERROR(IF(OR(NOT(ISNUMBER('Price History'!J140)),NOT(ISNUMBER('Price History'!J139)),'Price History'!J139=0),"",'Price History'!J140/'Price History'!J139-1),"")</f>
        <v>0.00695258182954461</v>
      </c>
      <c r="K139" s="136" t="n">
        <f aca="false">IFERROR(IF(OR(NOT(ISNUMBER('Price History'!K140)),NOT(ISNUMBER('Price History'!K139)),'Price History'!K139=0),"",'Price History'!K140/'Price History'!K139-1),"")</f>
        <v>-0.0505707459516858</v>
      </c>
      <c r="L139" s="136" t="n">
        <f aca="false">IFERROR(IF(OR(NOT(ISNUMBER('Price History'!L140)),NOT(ISNUMBER('Price History'!L139)),'Price History'!L139=0),"",'Price History'!L140/'Price History'!L139-1),"")</f>
        <v>-0.00759324504920422</v>
      </c>
      <c r="M139" s="136" t="n">
        <f aca="false">IFERROR(IF(OR(NOT(ISNUMBER('Price History'!M140)),NOT(ISNUMBER('Price History'!M139)),'Price History'!M139=0),"",'Price History'!M140/'Price History'!M139-1),"")</f>
        <v>-0.0187978740034391</v>
      </c>
      <c r="N139" s="136" t="n">
        <f aca="false">IFERROR(IF(OR(NOT(ISNUMBER('Price History'!N140)),NOT(ISNUMBER('Price History'!N139)),'Price History'!N139=0),"",'Price History'!N140/'Price History'!N139-1),"")</f>
        <v>-0.0461013215859031</v>
      </c>
      <c r="O139" s="136" t="n">
        <f aca="false">IFERROR(IF(OR(NOT(ISNUMBER('Price History'!O140)),NOT(ISNUMBER('Price History'!O139)),'Price History'!O139=0),"",'Price History'!O140/'Price History'!O139-1),"")</f>
        <v>0.0296945701357467</v>
      </c>
      <c r="P139" s="136" t="str">
        <f aca="false">IFERROR(IF(OR(NOT(ISNUMBER('Price History'!P140)),NOT(ISNUMBER('Price History'!P139)),'Price History'!P139=0),"",'Price History'!P140/'Price History'!P139-1),"")</f>
        <v/>
      </c>
      <c r="Q139" s="136" t="n">
        <f aca="false">IFERROR(IF(OR(NOT(ISNUMBER('Price History'!Q140)),NOT(ISNUMBER('Price History'!Q139)),'Price History'!Q139=0),"",'Price History'!Q140/'Price History'!Q139-1),"")</f>
        <v>0.000295508274231526</v>
      </c>
      <c r="R139" s="136" t="n">
        <f aca="false">IFERROR(IF(OR(NOT(ISNUMBER('Price History'!R140)),NOT(ISNUMBER('Price History'!R139)),'Price History'!R139=0),"",'Price History'!R140/'Price History'!R139-1),"")</f>
        <v>-0.0292324246771879</v>
      </c>
      <c r="S139" s="136" t="n">
        <f aca="false">IFERROR(IF(OR(NOT(ISNUMBER('Price History'!S140)),NOT(ISNUMBER('Price History'!S139)),'Price History'!S139=0),"",'Price History'!S140/'Price History'!S139-1),"")</f>
        <v>-0.0304974512216558</v>
      </c>
      <c r="T139" s="136" t="n">
        <f aca="false">IFERROR(IF(OR(NOT(ISNUMBER('Price History'!T140)),NOT(ISNUMBER('Price History'!T139)),'Price History'!T139=0),"",'Price History'!T140/'Price History'!T139-1),"")</f>
        <v>-0.012487257900102</v>
      </c>
      <c r="U139" s="136" t="str">
        <f aca="false">IFERROR(IF(OR(NOT(ISNUMBER('Price History'!U140)),NOT(ISNUMBER('Price History'!U139)),'Price History'!U139=0),"",'Price History'!U140/'Price History'!U139-1),"")</f>
        <v/>
      </c>
      <c r="W139" s="137" t="n">
        <f aca="false">'Price History'!B3+('Price History'!B158-'Price History'!B3)*0.883116883116883</f>
        <v>280.57051948052</v>
      </c>
      <c r="X139" s="137" t="n">
        <f aca="false">'Price History'!C3+('Price History'!C158-'Price History'!C3)*0.883116883116883</f>
        <v>164.382597402597</v>
      </c>
      <c r="Y139" s="137" t="n">
        <f aca="false">'Price History'!D3+('Price History'!D158-'Price History'!D3)*0.883116883116883</f>
        <v>1515.94831168831</v>
      </c>
      <c r="Z139" s="137" t="n">
        <f aca="false">'Price History'!E3+('Price History'!E158-'Price History'!E3)*0.883116883116883</f>
        <v>353.478701298701</v>
      </c>
      <c r="AA139" s="137" t="n">
        <f aca="false">'Price History'!F3+('Price History'!F158-'Price History'!F3)*0.883116883116883</f>
        <v>172.883376623377</v>
      </c>
      <c r="AB139" s="137" t="n">
        <f aca="false">'Price History'!G3+('Price History'!G158-'Price History'!G3)*0.883116883116883</f>
        <v>167.05012987013</v>
      </c>
      <c r="AC139" s="137" t="n">
        <f aca="false">'Price History'!H3+('Price History'!H158-'Price History'!H3)*0.883116883116883</f>
        <v>734.355454545454</v>
      </c>
      <c r="AD139" s="137" t="n">
        <f aca="false">'Price History'!I3+('Price History'!I158-'Price History'!I3)*0.883116883116883</f>
        <v>182.06038961039</v>
      </c>
      <c r="AE139" s="137" t="n">
        <f aca="false">'Price History'!J3+('Price History'!J158-'Price History'!J3)*0.883116883116883</f>
        <v>142.143766233766</v>
      </c>
      <c r="AF139" s="137" t="n">
        <f aca="false">'Price History'!K3+('Price History'!K158-'Price History'!K3)*0.883116883116883</f>
        <v>110.477532467532</v>
      </c>
      <c r="AG139" s="137" t="n">
        <f aca="false">'Price History'!L3+('Price History'!L158-'Price History'!L3)*0.883116883116883</f>
        <v>367.752077922078</v>
      </c>
      <c r="AH139" s="137" t="n">
        <f aca="false">'Price History'!M3+('Price History'!M158-'Price History'!M3)*0.883116883116883</f>
        <v>217.251298701299</v>
      </c>
      <c r="AI139" s="137" t="n">
        <f aca="false">'Price History'!N3+('Price History'!N158-'Price History'!N3)*0.883116883116883</f>
        <v>462.227792207792</v>
      </c>
      <c r="AJ139" s="137" t="n">
        <f aca="false">'Price History'!O3+('Price History'!O158-'Price History'!O3)*0.883116883116883</f>
        <v>120.320649350649</v>
      </c>
      <c r="AK139" s="137" t="n">
        <f aca="false">'Price History'!Q3+('Price History'!Q151-'Price History'!Q3)*0.883116883116883</f>
        <v>66.2748051948052</v>
      </c>
      <c r="AL139" s="137" t="n">
        <f aca="false">'Price History'!R3+('Price History'!R158-'Price History'!R3)*0.883116883116883</f>
        <v>57.0309090909091</v>
      </c>
      <c r="AM139" s="137" t="n">
        <f aca="false">'Price History'!S3+('Price History'!S158-'Price History'!S3)*0.883116883116883</f>
        <v>133.861038961039</v>
      </c>
      <c r="AN139" s="137" t="n">
        <f aca="false">'Price History'!T3+('Price History'!T158-'Price History'!T3)*0.883116883116883</f>
        <v>47.0715584415584</v>
      </c>
    </row>
    <row r="140" customFormat="false" ht="15" hidden="false" customHeight="true" outlineLevel="0" collapsed="false">
      <c r="A140" s="135" t="n">
        <f aca="false">IF('Price History'!A141="","",'Price History'!A141)</f>
        <v>46114</v>
      </c>
      <c r="B140" s="136" t="n">
        <f aca="false">IFERROR(IF(OR(NOT(ISNUMBER('Price History'!B141)),NOT(ISNUMBER('Price History'!B140)),'Price History'!B140=0),"",'Price History'!B141/'Price History'!B140-1),"")</f>
        <v>0.0344064043604155</v>
      </c>
      <c r="C140" s="136" t="n">
        <f aca="false">IFERROR(IF(OR(NOT(ISNUMBER('Price History'!C141)),NOT(ISNUMBER('Price History'!C140)),'Price History'!C140=0),"",'Price History'!C141/'Price History'!C140-1),"")</f>
        <v>0.0489359940382546</v>
      </c>
      <c r="D140" s="136" t="n">
        <f aca="false">IFERROR(IF(OR(NOT(ISNUMBER('Price History'!D141)),NOT(ISNUMBER('Price History'!D140)),'Price History'!D140=0),"",'Price History'!D141/'Price History'!D140-1),"")</f>
        <v>0.0113323147558102</v>
      </c>
      <c r="E140" s="136" t="n">
        <f aca="false">IFERROR(IF(OR(NOT(ISNUMBER('Price History'!E141)),NOT(ISNUMBER('Price History'!E140)),'Price History'!E140=0),"",'Price History'!E141/'Price History'!E140-1),"")</f>
        <v>0.0461287747771717</v>
      </c>
      <c r="F140" s="136" t="n">
        <f aca="false">IFERROR(IF(OR(NOT(ISNUMBER('Price History'!F141)),NOT(ISNUMBER('Price History'!F140)),'Price History'!F140=0),"",'Price History'!F141/'Price History'!F140-1),"")</f>
        <v>0.0798701298701299</v>
      </c>
      <c r="G140" s="136" t="n">
        <f aca="false">IFERROR(IF(OR(NOT(ISNUMBER('Price History'!G141)),NOT(ISNUMBER('Price History'!G140)),'Price History'!G140=0),"",'Price History'!G141/'Price History'!G140-1),"")</f>
        <v>0.0509977827050998</v>
      </c>
      <c r="H140" s="136" t="n">
        <f aca="false">IFERROR(IF(OR(NOT(ISNUMBER('Price History'!H141)),NOT(ISNUMBER('Price History'!H140)),'Price History'!H140=0),"",'Price History'!H141/'Price History'!H140-1),"")</f>
        <v>0.0252505458820895</v>
      </c>
      <c r="I140" s="136" t="n">
        <f aca="false">IFERROR(IF(OR(NOT(ISNUMBER('Price History'!I141)),NOT(ISNUMBER('Price History'!I140)),'Price History'!I140=0),"",'Price History'!I141/'Price History'!I140-1),"")</f>
        <v>0.0589183381088825</v>
      </c>
      <c r="J140" s="136" t="n">
        <f aca="false">IFERROR(IF(OR(NOT(ISNUMBER('Price History'!J141)),NOT(ISNUMBER('Price History'!J140)),'Price History'!J140=0),"",'Price History'!J141/'Price History'!J140-1),"")</f>
        <v>0.0377812257564003</v>
      </c>
      <c r="K140" s="136" t="n">
        <f aca="false">IFERROR(IF(OR(NOT(ISNUMBER('Price History'!K141)),NOT(ISNUMBER('Price History'!K140)),'Price History'!K140=0),"",'Price History'!K141/'Price History'!K140-1),"")</f>
        <v>0.0377464001118413</v>
      </c>
      <c r="L140" s="136" t="n">
        <f aca="false">IFERROR(IF(OR(NOT(ISNUMBER('Price History'!L141)),NOT(ISNUMBER('Price History'!L140)),'Price History'!L140=0),"",'Price History'!L141/'Price History'!L140-1),"")</f>
        <v>0.0376446103935852</v>
      </c>
      <c r="M140" s="136" t="n">
        <f aca="false">IFERROR(IF(OR(NOT(ISNUMBER('Price History'!M141)),NOT(ISNUMBER('Price History'!M140)),'Price History'!M140=0),"",'Price History'!M141/'Price History'!M140-1),"")</f>
        <v>0.0407057792647469</v>
      </c>
      <c r="N140" s="136" t="n">
        <f aca="false">IFERROR(IF(OR(NOT(ISNUMBER('Price History'!N141)),NOT(ISNUMBER('Price History'!N140)),'Price History'!N140=0),"",'Price History'!N141/'Price History'!N140-1),"")</f>
        <v>0.0130232987738703</v>
      </c>
      <c r="O140" s="136" t="n">
        <f aca="false">IFERROR(IF(OR(NOT(ISNUMBER('Price History'!O141)),NOT(ISNUMBER('Price History'!O140)),'Price History'!O140=0),"",'Price History'!O141/'Price History'!O140-1),"")</f>
        <v>0.0200494369678659</v>
      </c>
      <c r="P140" s="136" t="str">
        <f aca="false">IFERROR(IF(OR(NOT(ISNUMBER('Price History'!P141)),NOT(ISNUMBER('Price History'!P140)),'Price History'!P140=0),"",'Price History'!P141/'Price History'!P140-1),"")</f>
        <v/>
      </c>
      <c r="Q140" s="136" t="n">
        <f aca="false">IFERROR(IF(OR(NOT(ISNUMBER('Price History'!Q141)),NOT(ISNUMBER('Price History'!Q140)),'Price History'!Q140=0),"",'Price History'!Q141/'Price History'!Q140-1),"")</f>
        <v>0.000738552437222984</v>
      </c>
      <c r="R140" s="136" t="n">
        <f aca="false">IFERROR(IF(OR(NOT(ISNUMBER('Price History'!R141)),NOT(ISNUMBER('Price History'!R140)),'Price History'!R140=0),"",'Price History'!R141/'Price History'!R140-1),"")</f>
        <v>0.026972104193608</v>
      </c>
      <c r="S140" s="136" t="n">
        <f aca="false">IFERROR(IF(OR(NOT(ISNUMBER('Price History'!S141)),NOT(ISNUMBER('Price History'!S140)),'Price History'!S140=0),"",'Price History'!S141/'Price History'!S140-1),"")</f>
        <v>0.0401595503580816</v>
      </c>
      <c r="T140" s="136" t="n">
        <f aca="false">IFERROR(IF(OR(NOT(ISNUMBER('Price History'!T141)),NOT(ISNUMBER('Price History'!T140)),'Price History'!T140=0),"",'Price History'!T141/'Price History'!T140-1),"")</f>
        <v>0.0281290322580645</v>
      </c>
      <c r="U140" s="136" t="str">
        <f aca="false">IFERROR(IF(OR(NOT(ISNUMBER('Price History'!U141)),NOT(ISNUMBER('Price History'!U140)),'Price History'!U140=0),"",'Price History'!U141/'Price History'!U140-1),"")</f>
        <v/>
      </c>
      <c r="W140" s="137" t="n">
        <f aca="false">'Price History'!B3+('Price History'!B158-'Price History'!B3)*0.88961038961039</f>
        <v>278.894935064935</v>
      </c>
      <c r="X140" s="137" t="n">
        <f aca="false">'Price History'!C3+('Price History'!C158-'Price History'!C3)*0.88961038961039</f>
        <v>165.269675324675</v>
      </c>
      <c r="Y140" s="137" t="n">
        <f aca="false">'Price History'!D3+('Price History'!D158-'Price History'!D3)*0.88961038961039</f>
        <v>1522.22896103896</v>
      </c>
      <c r="Z140" s="137" t="n">
        <f aca="false">'Price History'!E3+('Price History'!E158-'Price History'!E3)*0.88961038961039</f>
        <v>355.467662337662</v>
      </c>
      <c r="AA140" s="137" t="n">
        <f aca="false">'Price History'!F3+('Price History'!F158-'Price History'!F3)*0.88961038961039</f>
        <v>173.882077922078</v>
      </c>
      <c r="AB140" s="137" t="n">
        <f aca="false">'Price History'!G3+('Price History'!G158-'Price History'!G3)*0.88961038961039</f>
        <v>167.926233766234</v>
      </c>
      <c r="AC140" s="137" t="n">
        <f aca="false">'Price History'!H3+('Price History'!H158-'Price History'!H3)*0.88961038961039</f>
        <v>739.281818181818</v>
      </c>
      <c r="AD140" s="137" t="n">
        <f aca="false">'Price History'!I3+('Price History'!I158-'Price History'!I3)*0.88961038961039</f>
        <v>183.098701298701</v>
      </c>
      <c r="AE140" s="137" t="n">
        <f aca="false">'Price History'!J3+('Price History'!J158-'Price History'!J3)*0.88961038961039</f>
        <v>142.280779220779</v>
      </c>
      <c r="AF140" s="137" t="n">
        <f aca="false">'Price History'!K3+('Price History'!K158-'Price History'!K3)*0.88961038961039</f>
        <v>111.176558441558</v>
      </c>
      <c r="AG140" s="137" t="n">
        <f aca="false">'Price History'!L3+('Price History'!L158-'Price History'!L3)*0.88961038961039</f>
        <v>369.77974025974</v>
      </c>
      <c r="AH140" s="137" t="n">
        <f aca="false">'Price History'!M3+('Price History'!M158-'Price History'!M3)*0.88961038961039</f>
        <v>218.602337662338</v>
      </c>
      <c r="AI140" s="137" t="n">
        <f aca="false">'Price History'!N3+('Price History'!N158-'Price History'!N3)*0.88961038961039</f>
        <v>463.054025974026</v>
      </c>
      <c r="AJ140" s="137" t="n">
        <f aca="false">'Price History'!O3+('Price History'!O158-'Price History'!O3)*0.88961038961039</f>
        <v>120.596168831169</v>
      </c>
      <c r="AK140" s="137" t="n">
        <f aca="false">'Price History'!Q3+('Price History'!Q151-'Price History'!Q3)*0.88961038961039</f>
        <v>66.3956493506494</v>
      </c>
      <c r="AL140" s="137" t="n">
        <f aca="false">'Price History'!R3+('Price History'!R158-'Price History'!R3)*0.88961038961039</f>
        <v>57.0986363636364</v>
      </c>
      <c r="AM140" s="137" t="n">
        <f aca="false">'Price History'!S3+('Price History'!S158-'Price History'!S3)*0.88961038961039</f>
        <v>134.41487012987</v>
      </c>
      <c r="AN140" s="137" t="n">
        <f aca="false">'Price History'!T3+('Price History'!T158-'Price History'!T3)*0.88961038961039</f>
        <v>47.2198051948052</v>
      </c>
    </row>
    <row r="141" customFormat="false" ht="15" hidden="false" customHeight="true" outlineLevel="0" collapsed="false">
      <c r="A141" s="135" t="n">
        <f aca="false">IF('Price History'!A142="","",'Price History'!A142)</f>
        <v>46122</v>
      </c>
      <c r="B141" s="136" t="n">
        <f aca="false">IFERROR(IF(OR(NOT(ISNUMBER('Price History'!B142)),NOT(ISNUMBER('Price History'!B141)),'Price History'!B141=0),"",'Price History'!B142/'Price History'!B141-1),"")</f>
        <v>-0.07232833854767</v>
      </c>
      <c r="C141" s="136" t="n">
        <f aca="false">IFERROR(IF(OR(NOT(ISNUMBER('Price History'!C142)),NOT(ISNUMBER('Price History'!C141)),'Price History'!C141=0),"",'Price History'!C142/'Price History'!C141-1),"")</f>
        <v>0.163167035048942</v>
      </c>
      <c r="D141" s="136" t="n">
        <f aca="false">IFERROR(IF(OR(NOT(ISNUMBER('Price History'!D142)),NOT(ISNUMBER('Price History'!D141)),'Price History'!D141=0),"",'Price History'!D142/'Price History'!D141-1),"")</f>
        <v>0.12226414521382</v>
      </c>
      <c r="E141" s="136" t="n">
        <f aca="false">IFERROR(IF(OR(NOT(ISNUMBER('Price History'!E142)),NOT(ISNUMBER('Price History'!E141)),'Price History'!E141=0),"",'Price History'!E142/'Price History'!E141-1),"")</f>
        <v>0.181211254172628</v>
      </c>
      <c r="F141" s="136" t="n">
        <f aca="false">IFERROR(IF(OR(NOT(ISNUMBER('Price History'!F142)),NOT(ISNUMBER('Price History'!F141)),'Price History'!F141=0),"",'Price History'!F142/'Price History'!F141-1),"")</f>
        <v>-0.0503106835037082</v>
      </c>
      <c r="G141" s="136" t="n">
        <f aca="false">IFERROR(IF(OR(NOT(ISNUMBER('Price History'!G142)),NOT(ISNUMBER('Price History'!G141)),'Price History'!G141=0),"",'Price History'!G142/'Price History'!G141-1),"")</f>
        <v>0.145371835443038</v>
      </c>
      <c r="H141" s="136" t="n">
        <f aca="false">IFERROR(IF(OR(NOT(ISNUMBER('Price History'!H142)),NOT(ISNUMBER('Price History'!H141)),'Price History'!H141=0),"",'Price History'!H142/'Price History'!H141-1),"")</f>
        <v>0.1483999563128</v>
      </c>
      <c r="I141" s="136" t="n">
        <f aca="false">IFERROR(IF(OR(NOT(ISNUMBER('Price History'!I142)),NOT(ISNUMBER('Price History'!I141)),'Price History'!I141=0),"",'Price History'!I142/'Price History'!I141-1),"")</f>
        <v>0.0633632110040026</v>
      </c>
      <c r="J141" s="136" t="n">
        <f aca="false">IFERROR(IF(OR(NOT(ISNUMBER('Price History'!J142)),NOT(ISNUMBER('Price History'!J141)),'Price History'!J141=0),"",'Price History'!J142/'Price History'!J141-1),"")</f>
        <v>0.0255662704642297</v>
      </c>
      <c r="K141" s="136" t="n">
        <f aca="false">IFERROR(IF(OR(NOT(ISNUMBER('Price History'!K142)),NOT(ISNUMBER('Price History'!K141)),'Price History'!K141=0),"",'Price History'!K142/'Price History'!K141-1),"")</f>
        <v>-0.13741075037047</v>
      </c>
      <c r="L141" s="136" t="n">
        <f aca="false">IFERROR(IF(OR(NOT(ISNUMBER('Price History'!L142)),NOT(ISNUMBER('Price History'!L141)),'Price History'!L141=0),"",'Price History'!L142/'Price History'!L141-1),"")</f>
        <v>0.0930863614912694</v>
      </c>
      <c r="M141" s="136" t="n">
        <f aca="false">IFERROR(IF(OR(NOT(ISNUMBER('Price History'!M142)),NOT(ISNUMBER('Price History'!M141)),'Price History'!M141=0),"",'Price History'!M142/'Price History'!M141-1),"")</f>
        <v>0.129434727697195</v>
      </c>
      <c r="N141" s="136" t="n">
        <f aca="false">IFERROR(IF(OR(NOT(ISNUMBER('Price History'!N142)),NOT(ISNUMBER('Price History'!N141)),'Price History'!N141=0),"",'Price History'!N142/'Price History'!N141-1),"")</f>
        <v>-0.0055617606163525</v>
      </c>
      <c r="O141" s="136" t="n">
        <f aca="false">IFERROR(IF(OR(NOT(ISNUMBER('Price History'!O142)),NOT(ISNUMBER('Price History'!O141)),'Price History'!O141=0),"",'Price History'!O142/'Price History'!O141-1),"")</f>
        <v>0.0297074133907738</v>
      </c>
      <c r="P141" s="136" t="str">
        <f aca="false">IFERROR(IF(OR(NOT(ISNUMBER('Price History'!P142)),NOT(ISNUMBER('Price History'!P141)),'Price History'!P141=0),"",'Price History'!P142/'Price History'!P141-1),"")</f>
        <v/>
      </c>
      <c r="Q141" s="136" t="n">
        <f aca="false">IFERROR(IF(OR(NOT(ISNUMBER('Price History'!Q142)),NOT(ISNUMBER('Price History'!Q141)),'Price History'!Q141=0),"",'Price History'!Q142/'Price History'!Q141-1),"")</f>
        <v>0.00428044280442808</v>
      </c>
      <c r="R141" s="136" t="n">
        <f aca="false">IFERROR(IF(OR(NOT(ISNUMBER('Price History'!R142)),NOT(ISNUMBER('Price History'!R141)),'Price History'!R141=0),"",'Price History'!R142/'Price History'!R141-1),"")</f>
        <v>0.0365173592372727</v>
      </c>
      <c r="S141" s="136" t="n">
        <f aca="false">IFERROR(IF(OR(NOT(ISNUMBER('Price History'!S142)),NOT(ISNUMBER('Price History'!S141)),'Price History'!S141=0),"",'Price History'!S142/'Price History'!S141-1),"")</f>
        <v>0.0749520655394806</v>
      </c>
      <c r="T141" s="136" t="n">
        <f aca="false">IFERROR(IF(OR(NOT(ISNUMBER('Price History'!T142)),NOT(ISNUMBER('Price History'!T141)),'Price History'!T141=0),"",'Price History'!T142/'Price History'!T141-1),"")</f>
        <v>-0.0050200803212852</v>
      </c>
      <c r="U141" s="136" t="str">
        <f aca="false">IFERROR(IF(OR(NOT(ISNUMBER('Price History'!U142)),NOT(ISNUMBER('Price History'!U141)),'Price History'!U141=0),"",'Price History'!U142/'Price History'!U141-1),"")</f>
        <v/>
      </c>
      <c r="W141" s="137" t="n">
        <f aca="false">'Price History'!B3+('Price History'!B158-'Price History'!B3)*0.896103896103896</f>
        <v>277.219350649351</v>
      </c>
      <c r="X141" s="137" t="n">
        <f aca="false">'Price History'!C3+('Price History'!C158-'Price History'!C3)*0.896103896103896</f>
        <v>166.156753246753</v>
      </c>
      <c r="Y141" s="137" t="n">
        <f aca="false">'Price History'!D3+('Price History'!D158-'Price History'!D3)*0.896103896103896</f>
        <v>1528.50961038961</v>
      </c>
      <c r="Z141" s="137" t="n">
        <f aca="false">'Price History'!E3+('Price History'!E158-'Price History'!E3)*0.896103896103896</f>
        <v>357.456623376623</v>
      </c>
      <c r="AA141" s="137" t="n">
        <f aca="false">'Price History'!F3+('Price History'!F158-'Price History'!F3)*0.896103896103896</f>
        <v>174.880779220779</v>
      </c>
      <c r="AB141" s="137" t="n">
        <f aca="false">'Price History'!G3+('Price History'!G158-'Price History'!G3)*0.896103896103896</f>
        <v>168.802337662338</v>
      </c>
      <c r="AC141" s="137" t="n">
        <f aca="false">'Price History'!H3+('Price History'!H158-'Price History'!H3)*0.896103896103896</f>
        <v>744.208181818182</v>
      </c>
      <c r="AD141" s="137" t="n">
        <f aca="false">'Price History'!I3+('Price History'!I158-'Price History'!I3)*0.896103896103896</f>
        <v>184.137012987013</v>
      </c>
      <c r="AE141" s="137" t="n">
        <f aca="false">'Price History'!J3+('Price History'!J158-'Price History'!J3)*0.896103896103896</f>
        <v>142.417792207792</v>
      </c>
      <c r="AF141" s="137" t="n">
        <f aca="false">'Price History'!K3+('Price History'!K158-'Price History'!K3)*0.896103896103896</f>
        <v>111.875584415584</v>
      </c>
      <c r="AG141" s="137" t="n">
        <f aca="false">'Price History'!L3+('Price History'!L158-'Price History'!L3)*0.896103896103896</f>
        <v>371.807402597403</v>
      </c>
      <c r="AH141" s="137" t="n">
        <f aca="false">'Price History'!M3+('Price History'!M158-'Price History'!M3)*0.896103896103896</f>
        <v>219.953376623377</v>
      </c>
      <c r="AI141" s="137" t="n">
        <f aca="false">'Price History'!N3+('Price History'!N158-'Price History'!N3)*0.896103896103896</f>
        <v>463.88025974026</v>
      </c>
      <c r="AJ141" s="137" t="n">
        <f aca="false">'Price History'!O3+('Price History'!O158-'Price History'!O3)*0.896103896103896</f>
        <v>120.871688311688</v>
      </c>
      <c r="AK141" s="137" t="n">
        <f aca="false">'Price History'!Q3+('Price History'!Q151-'Price History'!Q3)*0.896103896103896</f>
        <v>66.5164935064935</v>
      </c>
      <c r="AL141" s="137" t="n">
        <f aca="false">'Price History'!R3+('Price History'!R158-'Price History'!R3)*0.896103896103896</f>
        <v>57.1663636363636</v>
      </c>
      <c r="AM141" s="137" t="n">
        <f aca="false">'Price History'!S3+('Price History'!S158-'Price History'!S3)*0.896103896103896</f>
        <v>134.968701298701</v>
      </c>
      <c r="AN141" s="137" t="n">
        <f aca="false">'Price History'!T3+('Price History'!T158-'Price History'!T3)*0.896103896103896</f>
        <v>47.3680519480519</v>
      </c>
    </row>
    <row r="142" customFormat="false" ht="15" hidden="false" customHeight="true" outlineLevel="0" collapsed="false">
      <c r="A142" s="135" t="n">
        <f aca="false">IF('Price History'!A143="","",'Price History'!A143)</f>
        <v>46129</v>
      </c>
      <c r="B142" s="136" t="n">
        <f aca="false">IFERROR(IF(OR(NOT(ISNUMBER('Price History'!B143)),NOT(ISNUMBER('Price History'!B142)),'Price History'!B142=0),"",'Price History'!B143/'Price History'!B142-1),"")</f>
        <v>0.0847570445972932</v>
      </c>
      <c r="C142" s="136" t="n">
        <f aca="false">IFERROR(IF(OR(NOT(ISNUMBER('Price History'!C143)),NOT(ISNUMBER('Price History'!C142)),'Price History'!C142=0),"",'Price History'!C143/'Price History'!C142-1),"")</f>
        <v>0.114557176789956</v>
      </c>
      <c r="D142" s="136" t="n">
        <f aca="false">IFERROR(IF(OR(NOT(ISNUMBER('Price History'!D143)),NOT(ISNUMBER('Price History'!D142)),'Price History'!D142=0),"",'Price History'!D143/'Price History'!D142-1),"")</f>
        <v>-0.012501014692751</v>
      </c>
      <c r="E142" s="136" t="n">
        <f aca="false">IFERROR(IF(OR(NOT(ISNUMBER('Price History'!E143)),NOT(ISNUMBER('Price History'!E142)),'Price History'!E142=0),"",'Price History'!E143/'Price History'!E142-1),"")</f>
        <v>0.0941730588076974</v>
      </c>
      <c r="F142" s="136" t="n">
        <f aca="false">IFERROR(IF(OR(NOT(ISNUMBER('Price History'!F143)),NOT(ISNUMBER('Price History'!F142)),'Price History'!F142=0),"",'Price History'!F143/'Price History'!F142-1),"")</f>
        <v>0.118509919797383</v>
      </c>
      <c r="G142" s="136" t="n">
        <f aca="false">IFERROR(IF(OR(NOT(ISNUMBER('Price History'!G143)),NOT(ISNUMBER('Price History'!G142)),'Price History'!G142=0),"",'Price History'!G143/'Price History'!G142-1),"")</f>
        <v>0.0311402751395844</v>
      </c>
      <c r="H142" s="136" t="n">
        <f aca="false">IFERROR(IF(OR(NOT(ISNUMBER('Price History'!H143)),NOT(ISNUMBER('Price History'!H142)),'Price History'!H142=0),"",'Price History'!H143/'Price History'!H142-1),"")</f>
        <v>0.0819800756080744</v>
      </c>
      <c r="I142" s="136" t="n">
        <f aca="false">IFERROR(IF(OR(NOT(ISNUMBER('Price History'!I143)),NOT(ISNUMBER('Price History'!I142)),'Price History'!I142=0),"",'Price History'!I143/'Price History'!I142-1),"")</f>
        <v>0.0691830567778191</v>
      </c>
      <c r="J142" s="136" t="n">
        <f aca="false">IFERROR(IF(OR(NOT(ISNUMBER('Price History'!J143)),NOT(ISNUMBER('Price History'!J142)),'Price History'!J142=0),"",'Price History'!J143/'Price History'!J142-1),"")</f>
        <v>0.0576572636489541</v>
      </c>
      <c r="K142" s="136" t="n">
        <f aca="false">IFERROR(IF(OR(NOT(ISNUMBER('Price History'!K143)),NOT(ISNUMBER('Price History'!K142)),'Price History'!K142=0),"",'Price History'!K143/'Price History'!K142-1),"")</f>
        <v>0.143136029985944</v>
      </c>
      <c r="L142" s="136" t="n">
        <f aca="false">IFERROR(IF(OR(NOT(ISNUMBER('Price History'!L143)),NOT(ISNUMBER('Price History'!L142)),'Price History'!L142=0),"",'Price History'!L143/'Price History'!L142-1),"")</f>
        <v>-0.000269832703723716</v>
      </c>
      <c r="M142" s="136" t="n">
        <f aca="false">IFERROR(IF(OR(NOT(ISNUMBER('Price History'!M143)),NOT(ISNUMBER('Price History'!M142)),'Price History'!M142=0),"",'Price History'!M143/'Price History'!M142-1),"")</f>
        <v>0.041442174104571</v>
      </c>
      <c r="N142" s="136" t="n">
        <f aca="false">IFERROR(IF(OR(NOT(ISNUMBER('Price History'!N143)),NOT(ISNUMBER('Price History'!N142)),'Price History'!N142=0),"",'Price History'!N143/'Price History'!N142-1),"")</f>
        <v>0.0113003415316204</v>
      </c>
      <c r="O142" s="136" t="n">
        <f aca="false">IFERROR(IF(OR(NOT(ISNUMBER('Price History'!O143)),NOT(ISNUMBER('Price History'!O142)),'Price History'!O142=0),"",'Price History'!O143/'Price History'!O142-1),"")</f>
        <v>0.0243179639152793</v>
      </c>
      <c r="P142" s="136" t="str">
        <f aca="false">IFERROR(IF(OR(NOT(ISNUMBER('Price History'!P143)),NOT(ISNUMBER('Price History'!P142)),'Price History'!P142=0),"",'Price History'!P143/'Price History'!P142-1),"")</f>
        <v/>
      </c>
      <c r="Q142" s="136" t="n">
        <f aca="false">IFERROR(IF(OR(NOT(ISNUMBER('Price History'!Q143)),NOT(ISNUMBER('Price History'!Q142)),'Price History'!Q142=0),"",'Price History'!Q143/'Price History'!Q142-1),"")</f>
        <v>-0.0105820105820108</v>
      </c>
      <c r="R142" s="136" t="n">
        <f aca="false">IFERROR(IF(OR(NOT(ISNUMBER('Price History'!R143)),NOT(ISNUMBER('Price History'!R142)),'Price History'!R142=0),"",'Price History'!R143/'Price History'!R142-1),"")</f>
        <v>0.0180492884415133</v>
      </c>
      <c r="S142" s="136" t="n">
        <f aca="false">IFERROR(IF(OR(NOT(ISNUMBER('Price History'!S143)),NOT(ISNUMBER('Price History'!S142)),'Price History'!S142=0),"",'Price History'!S143/'Price History'!S142-1),"")</f>
        <v>0.0402140424841901</v>
      </c>
      <c r="T142" s="136" t="n">
        <f aca="false">IFERROR(IF(OR(NOT(ISNUMBER('Price History'!T143)),NOT(ISNUMBER('Price History'!T142)),'Price History'!T142=0),"",'Price History'!T143/'Price History'!T142-1),"")</f>
        <v>0.0534813319878908</v>
      </c>
      <c r="U142" s="136" t="str">
        <f aca="false">IFERROR(IF(OR(NOT(ISNUMBER('Price History'!U143)),NOT(ISNUMBER('Price History'!U142)),'Price History'!U142=0),"",'Price History'!U143/'Price History'!U142-1),"")</f>
        <v/>
      </c>
      <c r="W142" s="137" t="n">
        <f aca="false">'Price History'!B3+('Price History'!B158-'Price History'!B3)*0.902597402597403</f>
        <v>275.543766233766</v>
      </c>
      <c r="X142" s="137" t="n">
        <f aca="false">'Price History'!C3+('Price History'!C158-'Price History'!C3)*0.902597402597403</f>
        <v>167.043831168831</v>
      </c>
      <c r="Y142" s="137" t="n">
        <f aca="false">'Price History'!D3+('Price History'!D158-'Price History'!D3)*0.902597402597403</f>
        <v>1534.79025974026</v>
      </c>
      <c r="Z142" s="137" t="n">
        <f aca="false">'Price History'!E3+('Price History'!E158-'Price History'!E3)*0.902597402597403</f>
        <v>359.445584415585</v>
      </c>
      <c r="AA142" s="137" t="n">
        <f aca="false">'Price History'!F3+('Price History'!F158-'Price History'!F3)*0.902597402597403</f>
        <v>175.879480519481</v>
      </c>
      <c r="AB142" s="137" t="n">
        <f aca="false">'Price History'!G3+('Price History'!G158-'Price History'!G3)*0.902597402597403</f>
        <v>169.678441558442</v>
      </c>
      <c r="AC142" s="137" t="n">
        <f aca="false">'Price History'!H3+('Price History'!H158-'Price History'!H3)*0.902597402597403</f>
        <v>749.134545454546</v>
      </c>
      <c r="AD142" s="137" t="n">
        <f aca="false">'Price History'!I3+('Price History'!I158-'Price History'!I3)*0.902597402597403</f>
        <v>185.175324675325</v>
      </c>
      <c r="AE142" s="137" t="n">
        <f aca="false">'Price History'!J3+('Price History'!J158-'Price History'!J3)*0.902597402597403</f>
        <v>142.554805194805</v>
      </c>
      <c r="AF142" s="137" t="n">
        <f aca="false">'Price History'!K3+('Price History'!K158-'Price History'!K3)*0.902597402597403</f>
        <v>112.57461038961</v>
      </c>
      <c r="AG142" s="137" t="n">
        <f aca="false">'Price History'!L3+('Price History'!L158-'Price History'!L3)*0.902597402597403</f>
        <v>373.835064935065</v>
      </c>
      <c r="AH142" s="137" t="n">
        <f aca="false">'Price History'!M3+('Price History'!M158-'Price History'!M3)*0.902597402597403</f>
        <v>221.304415584416</v>
      </c>
      <c r="AI142" s="137" t="n">
        <f aca="false">'Price History'!N3+('Price History'!N158-'Price History'!N3)*0.902597402597403</f>
        <v>464.706493506494</v>
      </c>
      <c r="AJ142" s="137" t="n">
        <f aca="false">'Price History'!O3+('Price History'!O158-'Price History'!O3)*0.902597402597403</f>
        <v>121.147207792208</v>
      </c>
      <c r="AK142" s="137" t="n">
        <f aca="false">'Price History'!Q3+('Price History'!Q151-'Price History'!Q3)*0.902597402597403</f>
        <v>66.6373376623377</v>
      </c>
      <c r="AL142" s="137" t="n">
        <f aca="false">'Price History'!R3+('Price History'!R158-'Price History'!R3)*0.902597402597403</f>
        <v>57.2340909090909</v>
      </c>
      <c r="AM142" s="137" t="n">
        <f aca="false">'Price History'!S3+('Price History'!S158-'Price History'!S3)*0.902597402597403</f>
        <v>135.522532467533</v>
      </c>
      <c r="AN142" s="137" t="n">
        <f aca="false">'Price History'!T3+('Price History'!T158-'Price History'!T3)*0.902597402597403</f>
        <v>47.5162987012987</v>
      </c>
    </row>
    <row r="143" customFormat="false" ht="15" hidden="false" customHeight="true" outlineLevel="0" collapsed="false">
      <c r="A143" s="135" t="n">
        <f aca="false">IF('Price History'!A144="","",'Price History'!A144)</f>
        <v>46136</v>
      </c>
      <c r="B143" s="136" t="n">
        <f aca="false">IFERROR(IF(OR(NOT(ISNUMBER('Price History'!B144)),NOT(ISNUMBER('Price History'!B143)),'Price History'!B143=0),"",'Price History'!B144/'Price History'!B143-1),"")</f>
        <v>0.0040499079566374</v>
      </c>
      <c r="C143" s="136" t="n">
        <f aca="false">IFERROR(IF(OR(NOT(ISNUMBER('Price History'!C144)),NOT(ISNUMBER('Price History'!C143)),'Price History'!C143=0),"",'Price History'!C144/'Price History'!C143-1),"")</f>
        <v>0.0772087925470377</v>
      </c>
      <c r="D143" s="136" t="n">
        <f aca="false">IFERROR(IF(OR(NOT(ISNUMBER('Price History'!D144)),NOT(ISNUMBER('Price History'!D143)),'Price History'!D143=0),"",'Price History'!D144/'Price History'!D143-1),"")</f>
        <v>-0.00143855322646935</v>
      </c>
      <c r="E143" s="136" t="n">
        <f aca="false">IFERROR(IF(OR(NOT(ISNUMBER('Price History'!E144)),NOT(ISNUMBER('Price History'!E143)),'Price History'!E143=0),"",'Price History'!E144/'Price History'!E143-1),"")</f>
        <v>0.0398976730457026</v>
      </c>
      <c r="F143" s="136" t="n">
        <f aca="false">IFERROR(IF(OR(NOT(ISNUMBER('Price History'!F144)),NOT(ISNUMBER('Price History'!F143)),'Price History'!F143=0),"",'Price History'!F144/'Price History'!F143-1),"")</f>
        <v>0.0569865081611474</v>
      </c>
      <c r="G143" s="136" t="n">
        <f aca="false">IFERROR(IF(OR(NOT(ISNUMBER('Price History'!G144)),NOT(ISNUMBER('Price History'!G143)),'Price History'!G143=0),"",'Price History'!G144/'Price History'!G143-1),"")</f>
        <v>0.0801607681143242</v>
      </c>
      <c r="H143" s="136" t="n">
        <f aca="false">IFERROR(IF(OR(NOT(ISNUMBER('Price History'!H144)),NOT(ISNUMBER('Price History'!H143)),'Price History'!H143=0),"",'Price History'!H144/'Price History'!H143-1),"")</f>
        <v>0.0915243808644826</v>
      </c>
      <c r="I143" s="136" t="n">
        <f aca="false">IFERROR(IF(OR(NOT(ISNUMBER('Price History'!I144)),NOT(ISNUMBER('Price History'!I143)),'Price History'!I143=0),"",'Price History'!I144/'Price History'!I143-1),"")</f>
        <v>0.0326755255850852</v>
      </c>
      <c r="J143" s="136" t="n">
        <f aca="false">IFERROR(IF(OR(NOT(ISNUMBER('Price History'!J144)),NOT(ISNUMBER('Price History'!J143)),'Price History'!J143=0),"",'Price History'!J144/'Price History'!J143-1),"")</f>
        <v>-0.0206753962784286</v>
      </c>
      <c r="K143" s="136" t="n">
        <f aca="false">IFERROR(IF(OR(NOT(ISNUMBER('Price History'!K144)),NOT(ISNUMBER('Price History'!K143)),'Price History'!K143=0),"",'Price History'!K144/'Price History'!K143-1),"")</f>
        <v>-0.0225425233964067</v>
      </c>
      <c r="L143" s="136" t="n">
        <f aca="false">IFERROR(IF(OR(NOT(ISNUMBER('Price History'!L144)),NOT(ISNUMBER('Price History'!L143)),'Price History'!L143=0),"",'Price History'!L144/'Price History'!L143-1),"")</f>
        <v>0.0862618083670714</v>
      </c>
      <c r="M143" s="136" t="n">
        <f aca="false">IFERROR(IF(OR(NOT(ISNUMBER('Price History'!M144)),NOT(ISNUMBER('Price History'!M143)),'Price History'!M143=0),"",'Price History'!M144/'Price History'!M143-1),"")</f>
        <v>0.0524500553133338</v>
      </c>
      <c r="N143" s="136" t="n">
        <f aca="false">IFERROR(IF(OR(NOT(ISNUMBER('Price History'!N144)),NOT(ISNUMBER('Price History'!N143)),'Price History'!N143=0),"",'Price History'!N144/'Price History'!N143-1),"")</f>
        <v>-0.0247280145058929</v>
      </c>
      <c r="O143" s="136" t="n">
        <f aca="false">IFERROR(IF(OR(NOT(ISNUMBER('Price History'!O144)),NOT(ISNUMBER('Price History'!O143)),'Price History'!O143=0),"",'Price History'!O144/'Price History'!O143-1),"")</f>
        <v>0.0122532334921714</v>
      </c>
      <c r="P143" s="136" t="str">
        <f aca="false">IFERROR(IF(OR(NOT(ISNUMBER('Price History'!P144)),NOT(ISNUMBER('Price History'!P143)),'Price History'!P143=0),"",'Price History'!P144/'Price History'!P143-1),"")</f>
        <v/>
      </c>
      <c r="Q143" s="136" t="n">
        <f aca="false">IFERROR(IF(OR(NOT(ISNUMBER('Price History'!Q144)),NOT(ISNUMBER('Price History'!Q143)),'Price History'!Q143=0),"",'Price History'!Q144/'Price History'!Q143-1),"")</f>
        <v>0.000445632798574014</v>
      </c>
      <c r="R143" s="136" t="n">
        <f aca="false">IFERROR(IF(OR(NOT(ISNUMBER('Price History'!R144)),NOT(ISNUMBER('Price History'!R143)),'Price History'!R143=0),"",'Price History'!R144/'Price History'!R143-1),"")</f>
        <v>0.00562563927719073</v>
      </c>
      <c r="S143" s="136" t="n">
        <f aca="false">IFERROR(IF(OR(NOT(ISNUMBER('Price History'!S144)),NOT(ISNUMBER('Price History'!S143)),'Price History'!S143=0),"",'Price History'!S144/'Price History'!S143-1),"")</f>
        <v>0.0250974279033516</v>
      </c>
      <c r="T143" s="136" t="n">
        <f aca="false">IFERROR(IF(OR(NOT(ISNUMBER('Price History'!T144)),NOT(ISNUMBER('Price History'!T143)),'Price History'!T143=0),"",'Price History'!T144/'Price History'!T143-1),"")</f>
        <v>-0.00574712643678144</v>
      </c>
      <c r="U143" s="136" t="str">
        <f aca="false">IFERROR(IF(OR(NOT(ISNUMBER('Price History'!U144)),NOT(ISNUMBER('Price History'!U143)),'Price History'!U143=0),"",'Price History'!U144/'Price History'!U143-1),"")</f>
        <v/>
      </c>
      <c r="W143" s="137" t="n">
        <f aca="false">'Price History'!B3+('Price History'!B158-'Price History'!B3)*0.909090909090909</f>
        <v>273.868181818182</v>
      </c>
      <c r="X143" s="137" t="n">
        <f aca="false">'Price History'!C3+('Price History'!C158-'Price History'!C3)*0.909090909090909</f>
        <v>167.930909090909</v>
      </c>
      <c r="Y143" s="137" t="n">
        <f aca="false">'Price History'!D3+('Price History'!D158-'Price History'!D3)*0.909090909090909</f>
        <v>1541.07090909091</v>
      </c>
      <c r="Z143" s="137" t="n">
        <f aca="false">'Price History'!E3+('Price History'!E158-'Price History'!E3)*0.909090909090909</f>
        <v>361.434545454545</v>
      </c>
      <c r="AA143" s="137" t="n">
        <f aca="false">'Price History'!F3+('Price History'!F158-'Price History'!F3)*0.909090909090909</f>
        <v>176.878181818182</v>
      </c>
      <c r="AB143" s="137" t="n">
        <f aca="false">'Price History'!G3+('Price History'!G158-'Price History'!G3)*0.909090909090909</f>
        <v>170.554545454545</v>
      </c>
      <c r="AC143" s="137" t="n">
        <f aca="false">'Price History'!H3+('Price History'!H158-'Price History'!H3)*0.909090909090909</f>
        <v>754.060909090909</v>
      </c>
      <c r="AD143" s="137" t="n">
        <f aca="false">'Price History'!I3+('Price History'!I158-'Price History'!I3)*0.909090909090909</f>
        <v>186.213636363636</v>
      </c>
      <c r="AE143" s="137" t="n">
        <f aca="false">'Price History'!J3+('Price History'!J158-'Price History'!J3)*0.909090909090909</f>
        <v>142.691818181818</v>
      </c>
      <c r="AF143" s="137" t="n">
        <f aca="false">'Price History'!K3+('Price History'!K158-'Price History'!K3)*0.909090909090909</f>
        <v>113.273636363636</v>
      </c>
      <c r="AG143" s="137" t="n">
        <f aca="false">'Price History'!L3+('Price History'!L158-'Price History'!L3)*0.909090909090909</f>
        <v>375.862727272727</v>
      </c>
      <c r="AH143" s="137" t="n">
        <f aca="false">'Price History'!M3+('Price History'!M158-'Price History'!M3)*0.909090909090909</f>
        <v>222.655454545455</v>
      </c>
      <c r="AI143" s="137" t="n">
        <f aca="false">'Price History'!N3+('Price History'!N158-'Price History'!N3)*0.909090909090909</f>
        <v>465.532727272727</v>
      </c>
      <c r="AJ143" s="137" t="n">
        <f aca="false">'Price History'!O3+('Price History'!O158-'Price History'!O3)*0.909090909090909</f>
        <v>121.422727272727</v>
      </c>
      <c r="AK143" s="137" t="n">
        <f aca="false">'Price History'!Q3+('Price History'!Q151-'Price History'!Q3)*0.909090909090909</f>
        <v>66.7581818181818</v>
      </c>
      <c r="AL143" s="137" t="n">
        <f aca="false">'Price History'!R3+('Price History'!R158-'Price History'!R3)*0.909090909090909</f>
        <v>57.3018181818182</v>
      </c>
      <c r="AM143" s="137" t="n">
        <f aca="false">'Price History'!S3+('Price History'!S158-'Price History'!S3)*0.909090909090909</f>
        <v>136.076363636364</v>
      </c>
      <c r="AN143" s="137" t="n">
        <f aca="false">'Price History'!T3+('Price History'!T158-'Price History'!T3)*0.909090909090909</f>
        <v>47.6645454545455</v>
      </c>
    </row>
    <row r="144" customFormat="false" ht="15" hidden="false" customHeight="true" outlineLevel="0" collapsed="false">
      <c r="A144" s="135" t="n">
        <f aca="false">IF('Price History'!A145="","",'Price History'!A145)</f>
        <v>46143</v>
      </c>
      <c r="B144" s="136" t="n">
        <f aca="false">IFERROR(IF(OR(NOT(ISNUMBER('Price History'!B145)),NOT(ISNUMBER('Price History'!B144)),'Price History'!B144=0),"",'Price History'!B145/'Price History'!B144-1),"")</f>
        <v>0.0214716427640156</v>
      </c>
      <c r="C144" s="136" t="n">
        <f aca="false">IFERROR(IF(OR(NOT(ISNUMBER('Price History'!C145)),NOT(ISNUMBER('Price History'!C144)),'Price History'!C144=0),"",'Price History'!C145/'Price History'!C144-1),"")</f>
        <v>-0.0237974111129954</v>
      </c>
      <c r="D144" s="136" t="n">
        <f aca="false">IFERROR(IF(OR(NOT(ISNUMBER('Price History'!D145)),NOT(ISNUMBER('Price History'!D144)),'Price History'!D144=0),"",'Price History'!D145/'Price History'!D144-1),"")</f>
        <v>-0.0210468546340126</v>
      </c>
      <c r="E144" s="136" t="n">
        <f aca="false">IFERROR(IF(OR(NOT(ISNUMBER('Price History'!E145)),NOT(ISNUMBER('Price History'!E144)),'Price History'!E144=0),"",'Price History'!E145/'Price History'!E144-1),"")</f>
        <v>-0.00350080423881172</v>
      </c>
      <c r="F144" s="136" t="n">
        <f aca="false">IFERROR(IF(OR(NOT(ISNUMBER('Price History'!F145)),NOT(ISNUMBER('Price History'!F144)),'Price History'!F144=0),"",'Price History'!F145/'Price History'!F144-1),"")</f>
        <v>0.0167812193162544</v>
      </c>
      <c r="G144" s="136" t="n">
        <f aca="false">IFERROR(IF(OR(NOT(ISNUMBER('Price History'!G145)),NOT(ISNUMBER('Price History'!G144)),'Price History'!G144=0),"",'Price History'!G145/'Price History'!G144-1),"")</f>
        <v>-0.107855297157623</v>
      </c>
      <c r="H144" s="136" t="n">
        <f aca="false">IFERROR(IF(OR(NOT(ISNUMBER('Price History'!H145)),NOT(ISNUMBER('Price History'!H144)),'Price History'!H144=0),"",'Price History'!H145/'Price History'!H144-1),"")</f>
        <v>0.0915807698502174</v>
      </c>
      <c r="I144" s="136" t="n">
        <f aca="false">IFERROR(IF(OR(NOT(ISNUMBER('Price History'!I145)),NOT(ISNUMBER('Price History'!I144)),'Price History'!I144=0),"",'Price History'!I145/'Price History'!I144-1),"")</f>
        <v>-0.0471503337014454</v>
      </c>
      <c r="J144" s="136" t="n">
        <f aca="false">IFERROR(IF(OR(NOT(ISNUMBER('Price History'!J145)),NOT(ISNUMBER('Price History'!J144)),'Price History'!J144=0),"",'Price History'!J145/'Price History'!J144-1),"")</f>
        <v>-0.00485573539760731</v>
      </c>
      <c r="K144" s="136" t="n">
        <f aca="false">IFERROR(IF(OR(NOT(ISNUMBER('Price History'!K145)),NOT(ISNUMBER('Price History'!K144)),'Price History'!K144=0),"",'Price History'!K145/'Price History'!K144-1),"")</f>
        <v>0.00684883639667344</v>
      </c>
      <c r="L144" s="136" t="n">
        <f aca="false">IFERROR(IF(OR(NOT(ISNUMBER('Price History'!L145)),NOT(ISNUMBER('Price History'!L144)),'Price History'!L144=0),"",'Price History'!L145/'Price History'!L144-1),"")</f>
        <v>-0.0119018039059782</v>
      </c>
      <c r="M144" s="136" t="n">
        <f aca="false">IFERROR(IF(OR(NOT(ISNUMBER('Price History'!M145)),NOT(ISNUMBER('Price History'!M144)),'Price History'!M144=0),"",'Price History'!M145/'Price History'!M144-1),"")</f>
        <v>0.01499412601249</v>
      </c>
      <c r="N144" s="136" t="n">
        <f aca="false">IFERROR(IF(OR(NOT(ISNUMBER('Price History'!N145)),NOT(ISNUMBER('Price History'!N144)),'Price History'!N144=0),"",'Price History'!N145/'Price History'!N144-1),"")</f>
        <v>-0.0148039694159753</v>
      </c>
      <c r="O144" s="136" t="n">
        <f aca="false">IFERROR(IF(OR(NOT(ISNUMBER('Price History'!O145)),NOT(ISNUMBER('Price History'!O144)),'Price History'!O144=0),"",'Price History'!O145/'Price History'!O144-1),"")</f>
        <v>0.00840618695359785</v>
      </c>
      <c r="P144" s="136" t="str">
        <f aca="false">IFERROR(IF(OR(NOT(ISNUMBER('Price History'!P145)),NOT(ISNUMBER('Price History'!P144)),'Price History'!P144=0),"",'Price History'!P145/'Price History'!P144-1),"")</f>
        <v/>
      </c>
      <c r="Q144" s="136" t="n">
        <f aca="false">IFERROR(IF(OR(NOT(ISNUMBER('Price History'!Q145)),NOT(ISNUMBER('Price History'!Q144)),'Price History'!Q144=0),"",'Price History'!Q145/'Price History'!Q144-1),"")</f>
        <v>0.00846325167037865</v>
      </c>
      <c r="R144" s="136" t="n">
        <f aca="false">IFERROR(IF(OR(NOT(ISNUMBER('Price History'!R145)),NOT(ISNUMBER('Price History'!R144)),'Price History'!R144=0),"",'Price History'!R145/'Price History'!R144-1),"")</f>
        <v>-0.00220376334972039</v>
      </c>
      <c r="S144" s="136" t="n">
        <f aca="false">IFERROR(IF(OR(NOT(ISNUMBER('Price History'!S145)),NOT(ISNUMBER('Price History'!S144)),'Price History'!S144=0),"",'Price History'!S145/'Price History'!S144-1),"")</f>
        <v>0.0220498783454985</v>
      </c>
      <c r="T144" s="136" t="n">
        <f aca="false">IFERROR(IF(OR(NOT(ISNUMBER('Price History'!T145)),NOT(ISNUMBER('Price History'!T144)),'Price History'!T144=0),"",'Price History'!T145/'Price History'!T144-1),"")</f>
        <v>0.0257707129094413</v>
      </c>
      <c r="U144" s="136" t="str">
        <f aca="false">IFERROR(IF(OR(NOT(ISNUMBER('Price History'!U145)),NOT(ISNUMBER('Price History'!U144)),'Price History'!U144=0),"",'Price History'!U145/'Price History'!U144-1),"")</f>
        <v/>
      </c>
      <c r="W144" s="137" t="n">
        <f aca="false">'Price History'!B3+('Price History'!B158-'Price History'!B3)*0.915584415584416</f>
        <v>272.192597402597</v>
      </c>
      <c r="X144" s="137" t="n">
        <f aca="false">'Price History'!C3+('Price History'!C158-'Price History'!C3)*0.915584415584416</f>
        <v>168.817987012987</v>
      </c>
      <c r="Y144" s="137" t="n">
        <f aca="false">'Price History'!D3+('Price History'!D158-'Price History'!D3)*0.915584415584416</f>
        <v>1547.35155844156</v>
      </c>
      <c r="Z144" s="137" t="n">
        <f aca="false">'Price History'!E3+('Price History'!E158-'Price History'!E3)*0.915584415584416</f>
        <v>363.423506493507</v>
      </c>
      <c r="AA144" s="137" t="n">
        <f aca="false">'Price History'!F3+('Price History'!F158-'Price History'!F3)*0.915584415584416</f>
        <v>177.876883116883</v>
      </c>
      <c r="AB144" s="137" t="n">
        <f aca="false">'Price History'!G3+('Price History'!G158-'Price History'!G3)*0.915584415584416</f>
        <v>171.430649350649</v>
      </c>
      <c r="AC144" s="137" t="n">
        <f aca="false">'Price History'!H3+('Price History'!H158-'Price History'!H3)*0.915584415584416</f>
        <v>758.987272727273</v>
      </c>
      <c r="AD144" s="137" t="n">
        <f aca="false">'Price History'!I3+('Price History'!I158-'Price History'!I3)*0.915584415584416</f>
        <v>187.251948051948</v>
      </c>
      <c r="AE144" s="137" t="n">
        <f aca="false">'Price History'!J3+('Price History'!J158-'Price History'!J3)*0.915584415584416</f>
        <v>142.828831168831</v>
      </c>
      <c r="AF144" s="137" t="n">
        <f aca="false">'Price History'!K3+('Price History'!K158-'Price History'!K3)*0.915584415584416</f>
        <v>113.972662337662</v>
      </c>
      <c r="AG144" s="137" t="n">
        <f aca="false">'Price History'!L3+('Price History'!L158-'Price History'!L3)*0.915584415584416</f>
        <v>377.89038961039</v>
      </c>
      <c r="AH144" s="137" t="n">
        <f aca="false">'Price History'!M3+('Price History'!M158-'Price History'!M3)*0.915584415584416</f>
        <v>224.006493506494</v>
      </c>
      <c r="AI144" s="137" t="n">
        <f aca="false">'Price History'!N3+('Price History'!N158-'Price History'!N3)*0.915584415584416</f>
        <v>466.358961038961</v>
      </c>
      <c r="AJ144" s="137" t="n">
        <f aca="false">'Price History'!O3+('Price History'!O158-'Price History'!O3)*0.915584415584416</f>
        <v>121.698246753247</v>
      </c>
      <c r="AK144" s="137" t="n">
        <f aca="false">'Price History'!Q3+('Price History'!Q151-'Price History'!Q3)*0.915584415584416</f>
        <v>66.879025974026</v>
      </c>
      <c r="AL144" s="137" t="n">
        <f aca="false">'Price History'!R3+('Price History'!R158-'Price History'!R3)*0.915584415584416</f>
        <v>57.3695454545455</v>
      </c>
      <c r="AM144" s="137" t="n">
        <f aca="false">'Price History'!S3+('Price History'!S158-'Price History'!S3)*0.915584415584416</f>
        <v>136.630194805195</v>
      </c>
      <c r="AN144" s="137" t="n">
        <f aca="false">'Price History'!T3+('Price History'!T158-'Price History'!T3)*0.915584415584416</f>
        <v>47.8127922077922</v>
      </c>
    </row>
    <row r="145" customFormat="false" ht="15" hidden="false" customHeight="true" outlineLevel="0" collapsed="false">
      <c r="A145" s="135" t="n">
        <f aca="false">IF('Price History'!A146="","",'Price History'!A146)</f>
        <v>46150</v>
      </c>
      <c r="B145" s="136" t="n">
        <f aca="false">IFERROR(IF(OR(NOT(ISNUMBER('Price History'!B146)),NOT(ISNUMBER('Price History'!B145)),'Price History'!B145=0),"",'Price History'!B146/'Price History'!B145-1),"")</f>
        <v>0.00929360615850983</v>
      </c>
      <c r="C145" s="136" t="n">
        <f aca="false">IFERROR(IF(OR(NOT(ISNUMBER('Price History'!C146)),NOT(ISNUMBER('Price History'!C145)),'Price History'!C145=0),"",'Price History'!C146/'Price History'!C145-1),"")</f>
        <v>-0.179096699478865</v>
      </c>
      <c r="D145" s="136" t="n">
        <f aca="false">IFERROR(IF(OR(NOT(ISNUMBER('Price History'!D146)),NOT(ISNUMBER('Price History'!D145)),'Price History'!D145=0),"",'Price History'!D146/'Price History'!D145-1),"")</f>
        <v>0.115625569368334</v>
      </c>
      <c r="E145" s="136" t="n">
        <f aca="false">IFERROR(IF(OR(NOT(ISNUMBER('Price History'!E146)),NOT(ISNUMBER('Price History'!E145)),'Price History'!E145=0),"",'Price History'!E146/'Price History'!E145-1),"")</f>
        <v>0.0206988226357767</v>
      </c>
      <c r="F145" s="136" t="n">
        <f aca="false">IFERROR(IF(OR(NOT(ISNUMBER('Price History'!F146)),NOT(ISNUMBER('Price History'!F145)),'Price History'!F145=0),"",'Price History'!F146/'Price History'!F145-1),"")</f>
        <v>0.158282854885436</v>
      </c>
      <c r="G145" s="136" t="n">
        <f aca="false">IFERROR(IF(OR(NOT(ISNUMBER('Price History'!G146)),NOT(ISNUMBER('Price History'!G145)),'Price History'!G145=0),"",'Price History'!G146/'Price History'!G145-1),"")</f>
        <v>0.0827781961420377</v>
      </c>
      <c r="H145" s="136" t="n">
        <f aca="false">IFERROR(IF(OR(NOT(ISNUMBER('Price History'!H146)),NOT(ISNUMBER('Price History'!H145)),'Price History'!H145=0),"",'Price History'!H146/'Price History'!H145-1),"")</f>
        <v>0.377344571291566</v>
      </c>
      <c r="I145" s="136" t="n">
        <f aca="false">IFERROR(IF(OR(NOT(ISNUMBER('Price History'!I146)),NOT(ISNUMBER('Price History'!I145)),'Price History'!I145=0),"",'Price History'!I146/'Price History'!I145-1),"")</f>
        <v>0.0844041320231797</v>
      </c>
      <c r="J145" s="136" t="n">
        <f aca="false">IFERROR(IF(OR(NOT(ISNUMBER('Price History'!J146)),NOT(ISNUMBER('Price History'!J145)),'Price History'!J145=0),"",'Price History'!J146/'Price History'!J145-1),"")</f>
        <v>0.0189519835938052</v>
      </c>
      <c r="K145" s="136" t="n">
        <f aca="false">IFERROR(IF(OR(NOT(ISNUMBER('Price History'!K146)),NOT(ISNUMBER('Price History'!K145)),'Price History'!K145=0),"",'Price History'!K146/'Price History'!K145-1),"")</f>
        <v>-0.0435205108627749</v>
      </c>
      <c r="L145" s="136" t="n">
        <f aca="false">IFERROR(IF(OR(NOT(ISNUMBER('Price History'!L146)),NOT(ISNUMBER('Price History'!L145)),'Price History'!L145=0),"",'Price History'!L146/'Price History'!L145-1),"")</f>
        <v>0.0352302160082481</v>
      </c>
      <c r="M145" s="136" t="n">
        <f aca="false">IFERROR(IF(OR(NOT(ISNUMBER('Price History'!M146)),NOT(ISNUMBER('Price History'!M145)),'Price History'!M145=0),"",'Price History'!M146/'Price History'!M145-1),"")</f>
        <v>0.0355152142791875</v>
      </c>
      <c r="N145" s="136" t="n">
        <f aca="false">IFERROR(IF(OR(NOT(ISNUMBER('Price History'!N146)),NOT(ISNUMBER('Price History'!N145)),'Price History'!N145=0),"",'Price History'!N146/'Price History'!N145-1),"")</f>
        <v>0.0139177203245895</v>
      </c>
      <c r="O145" s="136" t="n">
        <f aca="false">IFERROR(IF(OR(NOT(ISNUMBER('Price History'!O146)),NOT(ISNUMBER('Price History'!O145)),'Price History'!O145=0),"",'Price History'!O146/'Price History'!O145-1),"")</f>
        <v>-0.00100033344448136</v>
      </c>
      <c r="P145" s="136" t="str">
        <f aca="false">IFERROR(IF(OR(NOT(ISNUMBER('Price History'!P146)),NOT(ISNUMBER('Price History'!P145)),'Price History'!P145=0),"",'Price History'!P146/'Price History'!P145-1),"")</f>
        <v/>
      </c>
      <c r="Q145" s="136" t="n">
        <f aca="false">IFERROR(IF(OR(NOT(ISNUMBER('Price History'!Q146)),NOT(ISNUMBER('Price History'!Q145)),'Price History'!Q145=0),"",'Price History'!Q146/'Price History'!Q145-1),"")</f>
        <v>-0.0123674911660778</v>
      </c>
      <c r="R145" s="136" t="n">
        <f aca="false">IFERROR(IF(OR(NOT(ISNUMBER('Price History'!R146)),NOT(ISNUMBER('Price History'!R145)),'Price History'!R145=0),"",'Price History'!R146/'Price History'!R145-1),"")</f>
        <v>0.0127420998980632</v>
      </c>
      <c r="S145" s="136" t="n">
        <f aca="false">IFERROR(IF(OR(NOT(ISNUMBER('Price History'!S146)),NOT(ISNUMBER('Price History'!S145)),'Price History'!S145=0),"",'Price History'!S146/'Price History'!S145-1),"")</f>
        <v>0.0698556762386551</v>
      </c>
      <c r="T145" s="136" t="n">
        <f aca="false">IFERROR(IF(OR(NOT(ISNUMBER('Price History'!T146)),NOT(ISNUMBER('Price History'!T145)),'Price History'!T145=0),"",'Price History'!T146/'Price History'!T145-1),"")</f>
        <v>0.0241840807701337</v>
      </c>
      <c r="U145" s="136" t="str">
        <f aca="false">IFERROR(IF(OR(NOT(ISNUMBER('Price History'!U146)),NOT(ISNUMBER('Price History'!U145)),'Price History'!U145=0),"",'Price History'!U146/'Price History'!U145-1),"")</f>
        <v/>
      </c>
      <c r="W145" s="137" t="n">
        <f aca="false">'Price History'!B3+('Price History'!B158-'Price History'!B3)*0.922077922077922</f>
        <v>270.517012987013</v>
      </c>
      <c r="X145" s="137" t="n">
        <f aca="false">'Price History'!C3+('Price History'!C158-'Price History'!C3)*0.922077922077922</f>
        <v>169.705064935065</v>
      </c>
      <c r="Y145" s="137" t="n">
        <f aca="false">'Price History'!D3+('Price History'!D158-'Price History'!D3)*0.922077922077922</f>
        <v>1553.63220779221</v>
      </c>
      <c r="Z145" s="137" t="n">
        <f aca="false">'Price History'!E3+('Price History'!E158-'Price History'!E3)*0.922077922077922</f>
        <v>365.412467532468</v>
      </c>
      <c r="AA145" s="137" t="n">
        <f aca="false">'Price History'!F3+('Price History'!F158-'Price History'!F3)*0.922077922077922</f>
        <v>178.875584415584</v>
      </c>
      <c r="AB145" s="137" t="n">
        <f aca="false">'Price History'!G3+('Price History'!G158-'Price History'!G3)*0.922077922077922</f>
        <v>172.306753246753</v>
      </c>
      <c r="AC145" s="137" t="n">
        <f aca="false">'Price History'!H3+('Price History'!H158-'Price History'!H3)*0.922077922077922</f>
        <v>763.913636363636</v>
      </c>
      <c r="AD145" s="137" t="n">
        <f aca="false">'Price History'!I3+('Price History'!I158-'Price History'!I3)*0.922077922077922</f>
        <v>188.29025974026</v>
      </c>
      <c r="AE145" s="137" t="n">
        <f aca="false">'Price History'!J3+('Price History'!J158-'Price History'!J3)*0.922077922077922</f>
        <v>142.965844155844</v>
      </c>
      <c r="AF145" s="137" t="n">
        <f aca="false">'Price History'!K3+('Price History'!K158-'Price History'!K3)*0.922077922077922</f>
        <v>114.671688311688</v>
      </c>
      <c r="AG145" s="137" t="n">
        <f aca="false">'Price History'!L3+('Price History'!L158-'Price History'!L3)*0.922077922077922</f>
        <v>379.918051948052</v>
      </c>
      <c r="AH145" s="137" t="n">
        <f aca="false">'Price History'!M3+('Price History'!M158-'Price History'!M3)*0.922077922077922</f>
        <v>225.357532467532</v>
      </c>
      <c r="AI145" s="137" t="n">
        <f aca="false">'Price History'!N3+('Price History'!N158-'Price History'!N3)*0.922077922077922</f>
        <v>467.185194805195</v>
      </c>
      <c r="AJ145" s="137" t="n">
        <f aca="false">'Price History'!O3+('Price History'!O158-'Price History'!O3)*0.922077922077922</f>
        <v>121.973766233766</v>
      </c>
      <c r="AK145" s="137" t="n">
        <f aca="false">'Price History'!Q3+('Price History'!Q151-'Price History'!Q3)*0.922077922077922</f>
        <v>66.9998701298701</v>
      </c>
      <c r="AL145" s="137" t="n">
        <f aca="false">'Price History'!R3+('Price History'!R158-'Price History'!R3)*0.922077922077922</f>
        <v>57.4372727272727</v>
      </c>
      <c r="AM145" s="137" t="n">
        <f aca="false">'Price History'!S3+('Price History'!S158-'Price History'!S3)*0.922077922077922</f>
        <v>137.184025974026</v>
      </c>
      <c r="AN145" s="137" t="n">
        <f aca="false">'Price History'!T3+('Price History'!T158-'Price History'!T3)*0.922077922077922</f>
        <v>47.961038961039</v>
      </c>
    </row>
    <row r="146" customFormat="false" ht="15" hidden="false" customHeight="true" outlineLevel="0" collapsed="false">
      <c r="A146" s="135" t="n">
        <f aca="false">IF('Price History'!A147="","",'Price History'!A147)</f>
        <v>46157</v>
      </c>
      <c r="B146" s="136" t="n">
        <f aca="false">IFERROR(IF(OR(NOT(ISNUMBER('Price History'!B147)),NOT(ISNUMBER('Price History'!B146)),'Price History'!B146=0),"",'Price History'!B147/'Price History'!B146-1),"")</f>
        <v>-0.0214985773000316</v>
      </c>
      <c r="C146" s="136" t="n">
        <f aca="false">IFERROR(IF(OR(NOT(ISNUMBER('Price History'!C147)),NOT(ISNUMBER('Price History'!C146)),'Price History'!C146=0),"",'Price History'!C147/'Price History'!C146-1),"")</f>
        <v>0.00141073569866679</v>
      </c>
      <c r="D146" s="136" t="n">
        <f aca="false">IFERROR(IF(OR(NOT(ISNUMBER('Price History'!D147)),NOT(ISNUMBER('Price History'!D146)),'Price History'!D146=0),"",'Price History'!D147/'Price History'!D146-1),"")</f>
        <v>-0.0566638610067713</v>
      </c>
      <c r="E146" s="136" t="n">
        <f aca="false">IFERROR(IF(OR(NOT(ISNUMBER('Price History'!E147)),NOT(ISNUMBER('Price History'!E146)),'Price History'!E146=0),"",'Price History'!E147/'Price History'!E146-1),"")</f>
        <v>-0.0111860465116279</v>
      </c>
      <c r="F146" s="136" t="n">
        <f aca="false">IFERROR(IF(OR(NOT(ISNUMBER('Price History'!F147)),NOT(ISNUMBER('Price History'!F146)),'Price History'!F146=0),"",'Price History'!F147/'Price History'!F146-1),"")</f>
        <v>0.12566318023344</v>
      </c>
      <c r="G146" s="136" t="n">
        <f aca="false">IFERROR(IF(OR(NOT(ISNUMBER('Price History'!G147)),NOT(ISNUMBER('Price History'!G146)),'Price History'!G146=0),"",'Price History'!G147/'Price History'!G146-1),"")</f>
        <v>-0.0347207361438048</v>
      </c>
      <c r="H146" s="136" t="n">
        <f aca="false">IFERROR(IF(OR(NOT(ISNUMBER('Price History'!H147)),NOT(ISNUMBER('Price History'!H146)),'Price History'!H146=0),"",'Price History'!H147/'Price History'!H146-1),"")</f>
        <v>-0.0296594850095741</v>
      </c>
      <c r="I146" s="136" t="n">
        <f aca="false">IFERROR(IF(OR(NOT(ISNUMBER('Price History'!I147)),NOT(ISNUMBER('Price History'!I146)),'Price History'!I146=0),"",'Price History'!I147/'Price History'!I146-1),"")</f>
        <v>0.0470260223048327</v>
      </c>
      <c r="J146" s="136" t="n">
        <f aca="false">IFERROR(IF(OR(NOT(ISNUMBER('Price History'!J147)),NOT(ISNUMBER('Price History'!J146)),'Price History'!J146=0),"",'Price History'!J147/'Price History'!J146-1),"")</f>
        <v>-0.0247067804844194</v>
      </c>
      <c r="K146" s="136" t="n">
        <f aca="false">IFERROR(IF(OR(NOT(ISNUMBER('Price History'!K147)),NOT(ISNUMBER('Price History'!K146)),'Price History'!K146=0),"",'Price History'!K147/'Price History'!K146-1),"")</f>
        <v>-0.0276487663280116</v>
      </c>
      <c r="L146" s="136" t="n">
        <f aca="false">IFERROR(IF(OR(NOT(ISNUMBER('Price History'!L147)),NOT(ISNUMBER('Price History'!L146)),'Price History'!L146=0),"",'Price History'!L147/'Price History'!L146-1),"")</f>
        <v>-0.0178050913330742</v>
      </c>
      <c r="M146" s="136" t="n">
        <f aca="false">IFERROR(IF(OR(NOT(ISNUMBER('Price History'!M147)),NOT(ISNUMBER('Price History'!M146)),'Price History'!M146=0),"",'Price History'!M147/'Price History'!M146-1),"")</f>
        <v>0.0910962732005765</v>
      </c>
      <c r="N146" s="136" t="n">
        <f aca="false">IFERROR(IF(OR(NOT(ISNUMBER('Price History'!N147)),NOT(ISNUMBER('Price History'!N146)),'Price History'!N146=0),"",'Price History'!N147/'Price History'!N146-1),"")</f>
        <v>0.0165883393048252</v>
      </c>
      <c r="O146" s="136" t="n">
        <f aca="false">IFERROR(IF(OR(NOT(ISNUMBER('Price History'!O147)),NOT(ISNUMBER('Price History'!O146)),'Price History'!O146=0),"",'Price History'!O147/'Price History'!O146-1),"")</f>
        <v>-0.0216121495327103</v>
      </c>
      <c r="P146" s="136" t="str">
        <f aca="false">IFERROR(IF(OR(NOT(ISNUMBER('Price History'!P147)),NOT(ISNUMBER('Price History'!P146)),'Price History'!P146=0),"",'Price History'!P147/'Price History'!P146-1),"")</f>
        <v/>
      </c>
      <c r="Q146" s="136" t="n">
        <f aca="false">IFERROR(IF(OR(NOT(ISNUMBER('Price History'!Q147)),NOT(ISNUMBER('Price History'!Q146)),'Price History'!Q146=0),"",'Price History'!Q147/'Price History'!Q146-1),"")</f>
        <v>0.00760286225402518</v>
      </c>
      <c r="R146" s="136" t="n">
        <f aca="false">IFERROR(IF(OR(NOT(ISNUMBER('Price History'!R147)),NOT(ISNUMBER('Price History'!R146)),'Price History'!R146=0),"",'Price History'!R147/'Price History'!R146-1),"")</f>
        <v>0.00268411340379138</v>
      </c>
      <c r="S146" s="136" t="n">
        <f aca="false">IFERROR(IF(OR(NOT(ISNUMBER('Price History'!S147)),NOT(ISNUMBER('Price History'!S146)),'Price History'!S146=0),"",'Price History'!S147/'Price History'!S146-1),"")</f>
        <v>-0.00229469438842922</v>
      </c>
      <c r="T146" s="136" t="n">
        <f aca="false">IFERROR(IF(OR(NOT(ISNUMBER('Price History'!T147)),NOT(ISNUMBER('Price History'!T146)),'Price History'!T146=0),"",'Price History'!T147/'Price History'!T146-1),"")</f>
        <v>-0.0256762952773957</v>
      </c>
      <c r="U146" s="136" t="str">
        <f aca="false">IFERROR(IF(OR(NOT(ISNUMBER('Price History'!U147)),NOT(ISNUMBER('Price History'!U146)),'Price History'!U146=0),"",'Price History'!U147/'Price History'!U146-1),"")</f>
        <v/>
      </c>
      <c r="W146" s="137" t="n">
        <f aca="false">'Price History'!B3+('Price History'!B158-'Price History'!B3)*0.928571428571429</f>
        <v>268.841428571429</v>
      </c>
      <c r="X146" s="137" t="n">
        <f aca="false">'Price History'!C3+('Price History'!C158-'Price History'!C3)*0.928571428571429</f>
        <v>170.592142857143</v>
      </c>
      <c r="Y146" s="137" t="n">
        <f aca="false">'Price History'!D3+('Price History'!D158-'Price History'!D3)*0.928571428571429</f>
        <v>1559.91285714286</v>
      </c>
      <c r="Z146" s="137" t="n">
        <f aca="false">'Price History'!E3+('Price History'!E158-'Price History'!E3)*0.928571428571429</f>
        <v>367.401428571429</v>
      </c>
      <c r="AA146" s="137" t="n">
        <f aca="false">'Price History'!F3+('Price History'!F158-'Price History'!F3)*0.928571428571429</f>
        <v>179.874285714286</v>
      </c>
      <c r="AB146" s="137" t="n">
        <f aca="false">'Price History'!G3+('Price History'!G158-'Price History'!G3)*0.928571428571429</f>
        <v>173.182857142857</v>
      </c>
      <c r="AC146" s="137" t="n">
        <f aca="false">'Price History'!H3+('Price History'!H158-'Price History'!H3)*0.928571428571429</f>
        <v>768.84</v>
      </c>
      <c r="AD146" s="137" t="n">
        <f aca="false">'Price History'!I3+('Price History'!I158-'Price History'!I3)*0.928571428571429</f>
        <v>189.328571428572</v>
      </c>
      <c r="AE146" s="137" t="n">
        <f aca="false">'Price History'!J3+('Price History'!J158-'Price History'!J3)*0.928571428571429</f>
        <v>143.102857142857</v>
      </c>
      <c r="AF146" s="137" t="n">
        <f aca="false">'Price History'!K3+('Price History'!K158-'Price History'!K3)*0.928571428571429</f>
        <v>115.370714285714</v>
      </c>
      <c r="AG146" s="137" t="n">
        <f aca="false">'Price History'!L3+('Price History'!L158-'Price History'!L3)*0.928571428571429</f>
        <v>381.945714285714</v>
      </c>
      <c r="AH146" s="137" t="n">
        <f aca="false">'Price History'!M3+('Price History'!M158-'Price History'!M3)*0.928571428571429</f>
        <v>226.708571428572</v>
      </c>
      <c r="AI146" s="137" t="n">
        <f aca="false">'Price History'!N3+('Price History'!N158-'Price History'!N3)*0.928571428571429</f>
        <v>468.011428571429</v>
      </c>
      <c r="AJ146" s="137" t="n">
        <f aca="false">'Price History'!O3+('Price History'!O158-'Price History'!O3)*0.928571428571429</f>
        <v>122.249285714286</v>
      </c>
      <c r="AK146" s="137" t="n">
        <f aca="false">'Price History'!Q3+('Price History'!Q151-'Price History'!Q3)*0.928571428571429</f>
        <v>67.1207142857143</v>
      </c>
      <c r="AL146" s="137" t="n">
        <f aca="false">'Price History'!R3+('Price History'!R158-'Price History'!R3)*0.928571428571429</f>
        <v>57.505</v>
      </c>
      <c r="AM146" s="137" t="n">
        <f aca="false">'Price History'!S3+('Price History'!S158-'Price History'!S3)*0.928571428571429</f>
        <v>137.737857142857</v>
      </c>
      <c r="AN146" s="137" t="n">
        <f aca="false">'Price History'!T3+('Price History'!T158-'Price History'!T3)*0.928571428571429</f>
        <v>48.1092857142857</v>
      </c>
    </row>
    <row r="147" customFormat="false" ht="15" hidden="false" customHeight="true" outlineLevel="0" collapsed="false">
      <c r="A147" s="135" t="n">
        <f aca="false">IF('Price History'!A148="","",'Price History'!A148)</f>
        <v>46164</v>
      </c>
      <c r="B147" s="136" t="n">
        <f aca="false">IFERROR(IF(OR(NOT(ISNUMBER('Price History'!B148)),NOT(ISNUMBER('Price History'!B147)),'Price History'!B147=0),"",'Price History'!B148/'Price History'!B147-1),"")</f>
        <v>-0.011470113085622</v>
      </c>
      <c r="C147" s="136" t="n">
        <f aca="false">IFERROR(IF(OR(NOT(ISNUMBER('Price History'!C148)),NOT(ISNUMBER('Price History'!C147)),'Price History'!C147=0),"",'Price History'!C148/'Price History'!C147-1),"")</f>
        <v>0.0849475241248152</v>
      </c>
      <c r="D147" s="136" t="n">
        <f aca="false">IFERROR(IF(OR(NOT(ISNUMBER('Price History'!D148)),NOT(ISNUMBER('Price History'!D147)),'Price History'!D147=0),"",'Price History'!D148/'Price History'!D147-1),"")</f>
        <v>0.0872880058063272</v>
      </c>
      <c r="E147" s="136" t="n">
        <f aca="false">IFERROR(IF(OR(NOT(ISNUMBER('Price History'!E148)),NOT(ISNUMBER('Price History'!E147)),'Price History'!E147=0),"",'Price History'!E148/'Price History'!E147-1),"")</f>
        <v>-0.0259883816646675</v>
      </c>
      <c r="F147" s="136" t="n">
        <f aca="false">IFERROR(IF(OR(NOT(ISNUMBER('Price History'!F148)),NOT(ISNUMBER('Price History'!F147)),'Price History'!F147=0),"",'Price History'!F148/'Price History'!F147-1),"")</f>
        <v>0.116819283598169</v>
      </c>
      <c r="G147" s="136" t="n">
        <f aca="false">IFERROR(IF(OR(NOT(ISNUMBER('Price History'!G148)),NOT(ISNUMBER('Price History'!G147)),'Price History'!G147=0),"",'Price History'!G148/'Price History'!G147-1),"")</f>
        <v>0.0466108740231668</v>
      </c>
      <c r="H147" s="136" t="n">
        <f aca="false">IFERROR(IF(OR(NOT(ISNUMBER('Price History'!H148)),NOT(ISNUMBER('Price History'!H147)),'Price History'!H147=0),"",'Price History'!H148/'Price History'!H147-1),"")</f>
        <v>0.0363480804791212</v>
      </c>
      <c r="I147" s="136" t="n">
        <f aca="false">IFERROR(IF(OR(NOT(ISNUMBER('Price History'!I148)),NOT(ISNUMBER('Price History'!I147)),'Price History'!I147=0),"",'Price History'!I148/'Price History'!I147-1),"")</f>
        <v>-0.0443369430143795</v>
      </c>
      <c r="J147" s="136" t="n">
        <f aca="false">IFERROR(IF(OR(NOT(ISNUMBER('Price History'!J148)),NOT(ISNUMBER('Price History'!J147)),'Price History'!J147=0),"",'Price History'!J148/'Price History'!J147-1),"")</f>
        <v>0.0382124813207145</v>
      </c>
      <c r="K147" s="136" t="n">
        <f aca="false">IFERROR(IF(OR(NOT(ISNUMBER('Price History'!K148)),NOT(ISNUMBER('Price History'!K147)),'Price History'!K147=0),"",'Price History'!K148/'Price History'!K147-1),"")</f>
        <v>0.0215687737890886</v>
      </c>
      <c r="L147" s="136" t="n">
        <f aca="false">IFERROR(IF(OR(NOT(ISNUMBER('Price History'!L148)),NOT(ISNUMBER('Price History'!L147)),'Price History'!L147=0),"",'Price History'!L148/'Price History'!L147-1),"")</f>
        <v>0.000420427847162008</v>
      </c>
      <c r="M147" s="136" t="n">
        <f aca="false">IFERROR(IF(OR(NOT(ISNUMBER('Price History'!M148)),NOT(ISNUMBER('Price History'!M147)),'Price History'!M147=0),"",'Price History'!M148/'Price History'!M147-1),"")</f>
        <v>-0.117215722219227</v>
      </c>
      <c r="N147" s="136" t="n">
        <f aca="false">IFERROR(IF(OR(NOT(ISNUMBER('Price History'!N148)),NOT(ISNUMBER('Price History'!N147)),'Price History'!N147=0),"",'Price History'!N148/'Price History'!N147-1),"")</f>
        <v>-0.00556127703398557</v>
      </c>
      <c r="O147" s="136" t="n">
        <f aca="false">IFERROR(IF(OR(NOT(ISNUMBER('Price History'!O148)),NOT(ISNUMBER('Price History'!O147)),'Price History'!O147=0),"",'Price History'!O148/'Price History'!O147-1),"")</f>
        <v>0.0237100213219617</v>
      </c>
      <c r="P147" s="136" t="str">
        <f aca="false">IFERROR(IF(OR(NOT(ISNUMBER('Price History'!P148)),NOT(ISNUMBER('Price History'!P147)),'Price History'!P147=0),"",'Price History'!P148/'Price History'!P147-1),"")</f>
        <v/>
      </c>
      <c r="Q147" s="136" t="n">
        <f aca="false">IFERROR(IF(OR(NOT(ISNUMBER('Price History'!Q148)),NOT(ISNUMBER('Price History'!Q147)),'Price History'!Q147=0),"",'Price History'!Q148/'Price History'!Q147-1),"")</f>
        <v>0.0109483651427724</v>
      </c>
      <c r="R147" s="136" t="n">
        <f aca="false">IFERROR(IF(OR(NOT(ISNUMBER('Price History'!R148)),NOT(ISNUMBER('Price History'!R147)),'Price History'!R147=0),"",'Price History'!R148/'Price History'!R147-1),"")</f>
        <v>0.00736155261837035</v>
      </c>
      <c r="S147" s="136" t="n">
        <f aca="false">IFERROR(IF(OR(NOT(ISNUMBER('Price History'!S148)),NOT(ISNUMBER('Price History'!S147)),'Price History'!S147=0),"",'Price History'!S148/'Price History'!S147-1),"")</f>
        <v>0.0101756342347366</v>
      </c>
      <c r="T147" s="136" t="n">
        <f aca="false">IFERROR(IF(OR(NOT(ISNUMBER('Price History'!T148)),NOT(ISNUMBER('Price History'!T147)),'Price History'!T147=0),"",'Price History'!T148/'Price History'!T147-1),"")</f>
        <v>0.0395294117647058</v>
      </c>
      <c r="U147" s="136" t="str">
        <f aca="false">IFERROR(IF(OR(NOT(ISNUMBER('Price History'!U148)),NOT(ISNUMBER('Price History'!U147)),'Price History'!U147=0),"",'Price History'!U148/'Price History'!U147-1),"")</f>
        <v/>
      </c>
      <c r="W147" s="137" t="n">
        <f aca="false">'Price History'!B3+('Price History'!B158-'Price History'!B3)*0.935064935064935</f>
        <v>267.165844155844</v>
      </c>
      <c r="X147" s="137" t="n">
        <f aca="false">'Price History'!C3+('Price History'!C158-'Price History'!C3)*0.935064935064935</f>
        <v>171.479220779221</v>
      </c>
      <c r="Y147" s="137" t="n">
        <f aca="false">'Price History'!D3+('Price History'!D158-'Price History'!D3)*0.935064935064935</f>
        <v>1566.19350649351</v>
      </c>
      <c r="Z147" s="137" t="n">
        <f aca="false">'Price History'!E3+('Price History'!E158-'Price History'!E3)*0.935064935064935</f>
        <v>369.39038961039</v>
      </c>
      <c r="AA147" s="137" t="n">
        <f aca="false">'Price History'!F3+('Price History'!F158-'Price History'!F3)*0.935064935064935</f>
        <v>180.872987012987</v>
      </c>
      <c r="AB147" s="137" t="n">
        <f aca="false">'Price History'!G3+('Price History'!G158-'Price History'!G3)*0.935064935064935</f>
        <v>174.058961038961</v>
      </c>
      <c r="AC147" s="137" t="n">
        <f aca="false">'Price History'!H3+('Price History'!H158-'Price History'!H3)*0.935064935064935</f>
        <v>773.766363636364</v>
      </c>
      <c r="AD147" s="137" t="n">
        <f aca="false">'Price History'!I3+('Price History'!I158-'Price History'!I3)*0.935064935064935</f>
        <v>190.366883116883</v>
      </c>
      <c r="AE147" s="137" t="n">
        <f aca="false">'Price History'!J3+('Price History'!J158-'Price History'!J3)*0.935064935064935</f>
        <v>143.23987012987</v>
      </c>
      <c r="AF147" s="137" t="n">
        <f aca="false">'Price History'!K3+('Price History'!K158-'Price History'!K3)*0.935064935064935</f>
        <v>116.06974025974</v>
      </c>
      <c r="AG147" s="137" t="n">
        <f aca="false">'Price History'!L3+('Price History'!L158-'Price History'!L3)*0.935064935064935</f>
        <v>383.973376623377</v>
      </c>
      <c r="AH147" s="137" t="n">
        <f aca="false">'Price History'!M3+('Price History'!M158-'Price History'!M3)*0.935064935064935</f>
        <v>228.05961038961</v>
      </c>
      <c r="AI147" s="137" t="n">
        <f aca="false">'Price History'!N3+('Price History'!N158-'Price History'!N3)*0.935064935064935</f>
        <v>468.837662337662</v>
      </c>
      <c r="AJ147" s="137" t="n">
        <f aca="false">'Price History'!O3+('Price History'!O158-'Price History'!O3)*0.935064935064935</f>
        <v>122.524805194805</v>
      </c>
      <c r="AK147" s="137" t="n">
        <f aca="false">'Price History'!Q3+('Price History'!Q151-'Price History'!Q3)*0.935064935064935</f>
        <v>67.2415584415584</v>
      </c>
      <c r="AL147" s="137" t="n">
        <f aca="false">'Price History'!R3+('Price History'!R158-'Price History'!R3)*0.935064935064935</f>
        <v>57.5727272727273</v>
      </c>
      <c r="AM147" s="137" t="n">
        <f aca="false">'Price History'!S3+('Price History'!S158-'Price History'!S3)*0.935064935064935</f>
        <v>138.291688311688</v>
      </c>
      <c r="AN147" s="137" t="n">
        <f aca="false">'Price History'!T3+('Price History'!T158-'Price History'!T3)*0.935064935064935</f>
        <v>48.2575324675325</v>
      </c>
    </row>
    <row r="148" customFormat="false" ht="15" hidden="false" customHeight="true" outlineLevel="0" collapsed="false">
      <c r="A148" s="135" t="n">
        <f aca="false">IF('Price History'!A149="","",'Price History'!A149)</f>
        <v>46171</v>
      </c>
      <c r="B148" s="136" t="n">
        <f aca="false">IFERROR(IF(OR(NOT(ISNUMBER('Price History'!B149)),NOT(ISNUMBER('Price History'!B148)),'Price History'!B148=0),"",'Price History'!B149/'Price History'!B148-1),"")</f>
        <v>0.0590374244157541</v>
      </c>
      <c r="C148" s="136" t="n">
        <f aca="false">IFERROR(IF(OR(NOT(ISNUMBER('Price History'!C149)),NOT(ISNUMBER('Price History'!C148)),'Price History'!C148=0),"",'Price History'!C149/'Price History'!C148-1),"")</f>
        <v>0.0353177952346946</v>
      </c>
      <c r="D148" s="136" t="n">
        <f aca="false">IFERROR(IF(OR(NOT(ISNUMBER('Price History'!D149)),NOT(ISNUMBER('Price History'!D148)),'Price History'!D148=0),"",'Price History'!D149/'Price History'!D148-1),"")</f>
        <v>-0.0123338844999694</v>
      </c>
      <c r="E148" s="136" t="n">
        <f aca="false">IFERROR(IF(OR(NOT(ISNUMBER('Price History'!E149)),NOT(ISNUMBER('Price History'!E148)),'Price History'!E148=0),"",'Price History'!E149/'Price History'!E148-1),"")</f>
        <v>0.0787897812333993</v>
      </c>
      <c r="F148" s="136" t="n">
        <f aca="false">IFERROR(IF(OR(NOT(ISNUMBER('Price History'!F149)),NOT(ISNUMBER('Price History'!F148)),'Price History'!F148=0),"",'Price History'!F149/'Price History'!F148-1),"")</f>
        <v>0.10176644360041</v>
      </c>
      <c r="G148" s="136" t="n">
        <f aca="false">IFERROR(IF(OR(NOT(ISNUMBER('Price History'!G149)),NOT(ISNUMBER('Price History'!G148)),'Price History'!G148=0),"",'Price History'!G149/'Price History'!G148-1),"")</f>
        <v>0.0176339758525734</v>
      </c>
      <c r="H148" s="136" t="n">
        <f aca="false">IFERROR(IF(OR(NOT(ISNUMBER('Price History'!H149)),NOT(ISNUMBER('Price History'!H148)),'Price History'!H148=0),"",'Price History'!H149/'Price History'!H148-1),"")</f>
        <v>0.292942743009321</v>
      </c>
      <c r="I148" s="136" t="n">
        <f aca="false">IFERROR(IF(OR(NOT(ISNUMBER('Price History'!I149)),NOT(ISNUMBER('Price History'!I148)),'Price History'!I148=0),"",'Price History'!I149/'Price History'!I148-1),"")</f>
        <v>-0.0194585055496216</v>
      </c>
      <c r="J148" s="136" t="n">
        <f aca="false">IFERROR(IF(OR(NOT(ISNUMBER('Price History'!J149)),NOT(ISNUMBER('Price History'!J148)),'Price History'!J148=0),"",'Price History'!J149/'Price History'!J148-1),"")</f>
        <v>-0.0166552433173407</v>
      </c>
      <c r="K148" s="136" t="n">
        <f aca="false">IFERROR(IF(OR(NOT(ISNUMBER('Price History'!K149)),NOT(ISNUMBER('Price History'!K148)),'Price History'!K148=0),"",'Price History'!K149/'Price History'!K148-1),"")</f>
        <v>0.143629456458211</v>
      </c>
      <c r="L148" s="136" t="n">
        <f aca="false">IFERROR(IF(OR(NOT(ISNUMBER('Price History'!L149)),NOT(ISNUMBER('Price History'!L148)),'Price History'!L148=0),"",'Price History'!L149/'Price History'!L148-1),"")</f>
        <v>0.0344358746168298</v>
      </c>
      <c r="M148" s="136" t="n">
        <f aca="false">IFERROR(IF(OR(NOT(ISNUMBER('Price History'!M149)),NOT(ISNUMBER('Price History'!M148)),'Price History'!M148=0),"",'Price History'!M149/'Price History'!M148-1),"")</f>
        <v>-0.0358822451597142</v>
      </c>
      <c r="N148" s="136" t="n">
        <f aca="false">IFERROR(IF(OR(NOT(ISNUMBER('Price History'!N149)),NOT(ISNUMBER('Price History'!N148)),'Price History'!N148=0),"",'Price History'!N149/'Price History'!N148-1),"")</f>
        <v>0.0299640983153826</v>
      </c>
      <c r="O148" s="136" t="n">
        <f aca="false">IFERROR(IF(OR(NOT(ISNUMBER('Price History'!O149)),NOT(ISNUMBER('Price History'!O148)),'Price History'!O148=0),"",'Price History'!O149/'Price History'!O148-1),"")</f>
        <v>0.000166625010413979</v>
      </c>
      <c r="P148" s="136" t="str">
        <f aca="false">IFERROR(IF(OR(NOT(ISNUMBER('Price History'!P149)),NOT(ISNUMBER('Price History'!P148)),'Price History'!P148=0),"",'Price History'!P149/'Price History'!P148-1),"")</f>
        <v/>
      </c>
      <c r="Q148" s="136" t="n">
        <f aca="false">IFERROR(IF(OR(NOT(ISNUMBER('Price History'!Q149)),NOT(ISNUMBER('Price History'!Q148)),'Price History'!Q148=0),"",'Price History'!Q149/'Price History'!Q148-1),"")</f>
        <v>-0.00921996194936336</v>
      </c>
      <c r="R148" s="136" t="n">
        <f aca="false">IFERROR(IF(OR(NOT(ISNUMBER('Price History'!R149)),NOT(ISNUMBER('Price History'!R148)),'Price History'!R148=0),"",'Price History'!R149/'Price History'!R148-1),"")</f>
        <v>0.0156120245806344</v>
      </c>
      <c r="S148" s="136" t="n">
        <f aca="false">IFERROR(IF(OR(NOT(ISNUMBER('Price History'!S149)),NOT(ISNUMBER('Price History'!S148)),'Price History'!S148=0),"",'Price History'!S149/'Price History'!S148-1),"")</f>
        <v>0.0389816475783082</v>
      </c>
      <c r="T148" s="136" t="n">
        <f aca="false">IFERROR(IF(OR(NOT(ISNUMBER('Price History'!T149)),NOT(ISNUMBER('Price History'!T148)),'Price History'!T148=0),"",'Price History'!T149/'Price History'!T148-1),"")</f>
        <v>0.0540968764146672</v>
      </c>
      <c r="U148" s="136" t="str">
        <f aca="false">IFERROR(IF(OR(NOT(ISNUMBER('Price History'!U149)),NOT(ISNUMBER('Price History'!U148)),'Price History'!U148=0),"",'Price History'!U149/'Price History'!U148-1),"")</f>
        <v/>
      </c>
      <c r="W148" s="137" t="n">
        <f aca="false">'Price History'!B3+('Price History'!B158-'Price History'!B3)*0.941558441558442</f>
        <v>265.49025974026</v>
      </c>
      <c r="X148" s="137" t="n">
        <f aca="false">'Price History'!C3+('Price History'!C158-'Price History'!C3)*0.941558441558442</f>
        <v>172.366298701299</v>
      </c>
      <c r="Y148" s="137" t="n">
        <f aca="false">'Price History'!D3+('Price History'!D158-'Price History'!D3)*0.941558441558442</f>
        <v>1572.47415584416</v>
      </c>
      <c r="Z148" s="137" t="n">
        <f aca="false">'Price History'!E3+('Price History'!E158-'Price History'!E3)*0.941558441558442</f>
        <v>371.379350649351</v>
      </c>
      <c r="AA148" s="137" t="n">
        <f aca="false">'Price History'!F3+('Price History'!F158-'Price History'!F3)*0.941558441558442</f>
        <v>181.871688311688</v>
      </c>
      <c r="AB148" s="137" t="n">
        <f aca="false">'Price History'!G3+('Price History'!G158-'Price History'!G3)*0.941558441558442</f>
        <v>174.935064935065</v>
      </c>
      <c r="AC148" s="137" t="n">
        <f aca="false">'Price History'!H3+('Price History'!H158-'Price History'!H3)*0.941558441558442</f>
        <v>778.692727272728</v>
      </c>
      <c r="AD148" s="137" t="n">
        <f aca="false">'Price History'!I3+('Price History'!I158-'Price History'!I3)*0.941558441558442</f>
        <v>191.405194805195</v>
      </c>
      <c r="AE148" s="137" t="n">
        <f aca="false">'Price History'!J3+('Price History'!J158-'Price History'!J3)*0.941558441558442</f>
        <v>143.376883116883</v>
      </c>
      <c r="AF148" s="137" t="n">
        <f aca="false">'Price History'!K3+('Price History'!K158-'Price History'!K3)*0.941558441558442</f>
        <v>116.768766233766</v>
      </c>
      <c r="AG148" s="137" t="n">
        <f aca="false">'Price History'!L3+('Price History'!L158-'Price History'!L3)*0.941558441558442</f>
        <v>386.001038961039</v>
      </c>
      <c r="AH148" s="137" t="n">
        <f aca="false">'Price History'!M3+('Price History'!M158-'Price History'!M3)*0.941558441558442</f>
        <v>229.410649350649</v>
      </c>
      <c r="AI148" s="137" t="n">
        <f aca="false">'Price History'!N3+('Price History'!N158-'Price History'!N3)*0.941558441558442</f>
        <v>469.663896103896</v>
      </c>
      <c r="AJ148" s="137" t="n">
        <f aca="false">'Price History'!O3+('Price History'!O158-'Price History'!O3)*0.941558441558442</f>
        <v>122.800324675325</v>
      </c>
      <c r="AK148" s="137" t="n">
        <f aca="false">'Price History'!Q3+('Price History'!Q151-'Price History'!Q3)*0.941558441558442</f>
        <v>67.3624025974026</v>
      </c>
      <c r="AL148" s="137" t="n">
        <f aca="false">'Price History'!R3+('Price History'!R158-'Price History'!R3)*0.941558441558442</f>
        <v>57.6404545454546</v>
      </c>
      <c r="AM148" s="137" t="n">
        <f aca="false">'Price History'!S3+('Price History'!S158-'Price History'!S3)*0.941558441558442</f>
        <v>138.84551948052</v>
      </c>
      <c r="AN148" s="137" t="n">
        <f aca="false">'Price History'!T3+('Price History'!T158-'Price History'!T3)*0.941558441558442</f>
        <v>48.4057792207792</v>
      </c>
    </row>
    <row r="149" customFormat="false" ht="15" hidden="false" customHeight="true" outlineLevel="0" collapsed="false">
      <c r="A149" s="135" t="n">
        <f aca="false">IF('Price History'!A150="","",'Price History'!A150)</f>
        <v>46178</v>
      </c>
      <c r="B149" s="136" t="n">
        <f aca="false">IFERROR(IF(OR(NOT(ISNUMBER('Price History'!B150)),NOT(ISNUMBER('Price History'!B149)),'Price History'!B149=0),"",'Price History'!B150/'Price History'!B149-1),"")</f>
        <v>-0.0299756953821225</v>
      </c>
      <c r="C149" s="136" t="n">
        <f aca="false">IFERROR(IF(OR(NOT(ISNUMBER('Price History'!C150)),NOT(ISNUMBER('Price History'!C149)),'Price History'!C149=0),"",'Price History'!C150/'Price History'!C149-1),"")</f>
        <v>-0.032608014046529</v>
      </c>
      <c r="D149" s="136" t="n">
        <f aca="false">IFERROR(IF(OR(NOT(ISNUMBER('Price History'!D150)),NOT(ISNUMBER('Price History'!D149)),'Price History'!D149=0),"",'Price History'!D150/'Price History'!D149-1),"")</f>
        <v>0.0179691956645751</v>
      </c>
      <c r="E149" s="136" t="n">
        <f aca="false">IFERROR(IF(OR(NOT(ISNUMBER('Price History'!E150)),NOT(ISNUMBER('Price History'!E149)),'Price History'!E149=0),"",'Price History'!E150/'Price History'!E149-1),"")</f>
        <v>-0.136625109116548</v>
      </c>
      <c r="F149" s="136" t="n">
        <f aca="false">IFERROR(IF(OR(NOT(ISNUMBER('Price History'!F150)),NOT(ISNUMBER('Price History'!F149)),'Price History'!F149=0),"",'Price History'!F150/'Price History'!F149-1),"")</f>
        <v>-0.0820246238030097</v>
      </c>
      <c r="G149" s="136" t="n">
        <f aca="false">IFERROR(IF(OR(NOT(ISNUMBER('Price History'!G150)),NOT(ISNUMBER('Price History'!G149)),'Price History'!G149=0),"",'Price History'!G150/'Price History'!G149-1),"")</f>
        <v>0.003902794400791</v>
      </c>
      <c r="H149" s="136" t="n">
        <f aca="false">IFERROR(IF(OR(NOT(ISNUMBER('Price History'!H150)),NOT(ISNUMBER('Price History'!H149)),'Price History'!H149=0),"",'Price History'!H150/'Price History'!H149-1),"")</f>
        <v>-0.110185375901133</v>
      </c>
      <c r="I149" s="136" t="n">
        <f aca="false">IFERROR(IF(OR(NOT(ISNUMBER('Price History'!I150)),NOT(ISNUMBER('Price History'!I149)),'Price History'!I149=0),"",'Price History'!I150/'Price History'!I149-1),"")</f>
        <v>-0.0286066117268163</v>
      </c>
      <c r="J149" s="136" t="n">
        <f aca="false">IFERROR(IF(OR(NOT(ISNUMBER('Price History'!J150)),NOT(ISNUMBER('Price History'!J149)),'Price History'!J149=0),"",'Price History'!J150/'Price History'!J149-1),"")</f>
        <v>0.00745800515787276</v>
      </c>
      <c r="K149" s="136" t="n">
        <f aca="false">IFERROR(IF(OR(NOT(ISNUMBER('Price History'!K150)),NOT(ISNUMBER('Price History'!K149)),'Price History'!K149=0),"",'Price History'!K150/'Price History'!K149-1),"")</f>
        <v>-0.134214897150888</v>
      </c>
      <c r="L149" s="136" t="n">
        <f aca="false">IFERROR(IF(OR(NOT(ISNUMBER('Price History'!L150)),NOT(ISNUMBER('Price History'!L149)),'Price History'!L149=0),"",'Price History'!L150/'Price History'!L149-1),"")</f>
        <v>-0.00783845142788853</v>
      </c>
      <c r="M149" s="136" t="n">
        <f aca="false">IFERROR(IF(OR(NOT(ISNUMBER('Price History'!M150)),NOT(ISNUMBER('Price History'!M149)),'Price History'!M149=0),"",'Price History'!M150/'Price History'!M149-1),"")</f>
        <v>-0.0481454499382344</v>
      </c>
      <c r="N149" s="136" t="n">
        <f aca="false">IFERROR(IF(OR(NOT(ISNUMBER('Price History'!N150)),NOT(ISNUMBER('Price History'!N149)),'Price History'!N149=0),"",'Price History'!N150/'Price History'!N149-1),"")</f>
        <v>-0.00158645037315108</v>
      </c>
      <c r="O149" s="136" t="n">
        <f aca="false">IFERROR(IF(OR(NOT(ISNUMBER('Price History'!O150)),NOT(ISNUMBER('Price History'!O149)),'Price History'!O149=0),"",'Price History'!O150/'Price History'!O149-1),"")</f>
        <v>-0.00291545189504372</v>
      </c>
      <c r="P149" s="136" t="str">
        <f aca="false">IFERROR(IF(OR(NOT(ISNUMBER('Price History'!P150)),NOT(ISNUMBER('Price History'!P149)),'Price History'!P149=0),"",'Price History'!P150/'Price History'!P149-1),"")</f>
        <v/>
      </c>
      <c r="Q149" s="136" t="n">
        <f aca="false">IFERROR(IF(OR(NOT(ISNUMBER('Price History'!Q150)),NOT(ISNUMBER('Price History'!Q149)),'Price History'!Q149=0),"",'Price History'!Q150/'Price History'!Q149-1),"")</f>
        <v>-0.0017725258493354</v>
      </c>
      <c r="R149" s="136" t="n">
        <f aca="false">IFERROR(IF(OR(NOT(ISNUMBER('Price History'!R150)),NOT(ISNUMBER('Price History'!R149)),'Price History'!R149=0),"",'Price History'!R150/'Price History'!R149-1),"")</f>
        <v>-0.0367947669664759</v>
      </c>
      <c r="S149" s="136" t="n">
        <f aca="false">IFERROR(IF(OR(NOT(ISNUMBER('Price History'!S150)),NOT(ISNUMBER('Price History'!S149)),'Price History'!S149=0),"",'Price History'!S150/'Price History'!S149-1),"")</f>
        <v>-0.0419018527126636</v>
      </c>
      <c r="T149" s="136" t="n">
        <f aca="false">IFERROR(IF(OR(NOT(ISNUMBER('Price History'!T150)),NOT(ISNUMBER('Price History'!T149)),'Price History'!T149=0),"",'Price History'!T150/'Price History'!T149-1),"")</f>
        <v>-0.0111659866867082</v>
      </c>
      <c r="U149" s="136" t="str">
        <f aca="false">IFERROR(IF(OR(NOT(ISNUMBER('Price History'!U150)),NOT(ISNUMBER('Price History'!U149)),'Price History'!U149=0),"",'Price History'!U150/'Price History'!U149-1),"")</f>
        <v/>
      </c>
      <c r="W149" s="137" t="n">
        <f aca="false">'Price History'!B3+('Price History'!B158-'Price History'!B3)*0.948051948051948</f>
        <v>263.814675324675</v>
      </c>
      <c r="X149" s="137" t="n">
        <f aca="false">'Price History'!C3+('Price History'!C158-'Price History'!C3)*0.948051948051948</f>
        <v>173.253376623377</v>
      </c>
      <c r="Y149" s="137" t="n">
        <f aca="false">'Price History'!D3+('Price History'!D158-'Price History'!D3)*0.948051948051948</f>
        <v>1578.75480519481</v>
      </c>
      <c r="Z149" s="137" t="n">
        <f aca="false">'Price History'!E3+('Price History'!E158-'Price History'!E3)*0.948051948051948</f>
        <v>373.368311688312</v>
      </c>
      <c r="AA149" s="137" t="n">
        <f aca="false">'Price History'!F3+('Price History'!F158-'Price History'!F3)*0.948051948051948</f>
        <v>182.87038961039</v>
      </c>
      <c r="AB149" s="137" t="n">
        <f aca="false">'Price History'!G3+('Price History'!G158-'Price History'!G3)*0.948051948051948</f>
        <v>175.811168831169</v>
      </c>
      <c r="AC149" s="137" t="n">
        <f aca="false">'Price History'!H3+('Price History'!H158-'Price History'!H3)*0.948051948051948</f>
        <v>783.619090909091</v>
      </c>
      <c r="AD149" s="137" t="n">
        <f aca="false">'Price History'!I3+('Price History'!I158-'Price History'!I3)*0.948051948051948</f>
        <v>192.443506493507</v>
      </c>
      <c r="AE149" s="137" t="n">
        <f aca="false">'Price History'!J3+('Price History'!J158-'Price History'!J3)*0.948051948051948</f>
        <v>143.513896103896</v>
      </c>
      <c r="AF149" s="137" t="n">
        <f aca="false">'Price History'!K3+('Price History'!K158-'Price History'!K3)*0.948051948051948</f>
        <v>117.467792207792</v>
      </c>
      <c r="AG149" s="137" t="n">
        <f aca="false">'Price History'!L3+('Price History'!L158-'Price History'!L3)*0.948051948051948</f>
        <v>388.028701298701</v>
      </c>
      <c r="AH149" s="137" t="n">
        <f aca="false">'Price History'!M3+('Price History'!M158-'Price History'!M3)*0.948051948051948</f>
        <v>230.761688311688</v>
      </c>
      <c r="AI149" s="137" t="n">
        <f aca="false">'Price History'!N3+('Price History'!N158-'Price History'!N3)*0.948051948051948</f>
        <v>470.49012987013</v>
      </c>
      <c r="AJ149" s="137" t="n">
        <f aca="false">'Price History'!O3+('Price History'!O158-'Price History'!O3)*0.948051948051948</f>
        <v>123.075844155844</v>
      </c>
      <c r="AK149" s="137" t="n">
        <f aca="false">'Price History'!Q3+('Price History'!Q151-'Price History'!Q3)*0.948051948051948</f>
        <v>67.4832467532468</v>
      </c>
      <c r="AL149" s="137" t="n">
        <f aca="false">'Price History'!R3+('Price History'!R158-'Price History'!R3)*0.948051948051948</f>
        <v>57.7081818181818</v>
      </c>
      <c r="AM149" s="137" t="n">
        <f aca="false">'Price History'!S3+('Price History'!S158-'Price History'!S3)*0.948051948051948</f>
        <v>139.399350649351</v>
      </c>
      <c r="AN149" s="137" t="n">
        <f aca="false">'Price History'!T3+('Price History'!T158-'Price History'!T3)*0.948051948051948</f>
        <v>48.554025974026</v>
      </c>
    </row>
    <row r="150" customFormat="false" ht="15" hidden="false" customHeight="true" outlineLevel="0" collapsed="false">
      <c r="A150" s="135" t="n">
        <f aca="false">IF('Price History'!A151="","",'Price History'!A151)</f>
        <v>46185</v>
      </c>
      <c r="B150" s="136" t="n">
        <f aca="false">IFERROR(IF(OR(NOT(ISNUMBER('Price History'!B151)),NOT(ISNUMBER('Price History'!B150)),'Price History'!B150=0),"",'Price History'!B151/'Price History'!B150-1),"")</f>
        <v>-0.188593700286351</v>
      </c>
      <c r="C150" s="136" t="n">
        <f aca="false">IFERROR(IF(OR(NOT(ISNUMBER('Price History'!C151)),NOT(ISNUMBER('Price History'!C150)),'Price History'!C150=0),"",'Price History'!C151/'Price History'!C150-1),"")</f>
        <v>0.0581448110455693</v>
      </c>
      <c r="D150" s="136" t="n">
        <f aca="false">IFERROR(IF(OR(NOT(ISNUMBER('Price History'!D151)),NOT(ISNUMBER('Price History'!D150)),'Price History'!D150=0),"",'Price History'!D151/'Price History'!D150-1),"")</f>
        <v>0.135106655134187</v>
      </c>
      <c r="E150" s="136" t="n">
        <f aca="false">IFERROR(IF(OR(NOT(ISNUMBER('Price History'!E151)),NOT(ISNUMBER('Price History'!E150)),'Price History'!E150=0),"",'Price History'!E151/'Price History'!E150-1),"")</f>
        <v>-0.00948850232027587</v>
      </c>
      <c r="F150" s="136" t="n">
        <f aca="false">IFERROR(IF(OR(NOT(ISNUMBER('Price History'!F151)),NOT(ISNUMBER('Price History'!F150)),'Price History'!F150=0),"",'Price History'!F151/'Price History'!F150-1),"")</f>
        <v>0.0175250357653791</v>
      </c>
      <c r="G150" s="136" t="n">
        <f aca="false">IFERROR(IF(OR(NOT(ISNUMBER('Price History'!G151)),NOT(ISNUMBER('Price History'!G150)),'Price History'!G150=0),"",'Price History'!G151/'Price History'!G150-1),"")</f>
        <v>0.319407008086253</v>
      </c>
      <c r="H150" s="136" t="n">
        <f aca="false">IFERROR(IF(OR(NOT(ISNUMBER('Price History'!H151)),NOT(ISNUMBER('Price History'!H150)),'Price History'!H150=0),"",'Price History'!H151/'Price History'!H150-1),"")</f>
        <v>0.136109535769262</v>
      </c>
      <c r="I150" s="136" t="n">
        <f aca="false">IFERROR(IF(OR(NOT(ISNUMBER('Price History'!I151)),NOT(ISNUMBER('Price History'!I150)),'Price History'!I150=0),"",'Price History'!I151/'Price History'!I150-1),"")</f>
        <v>0.000438810336421236</v>
      </c>
      <c r="J150" s="136" t="n">
        <f aca="false">IFERROR(IF(OR(NOT(ISNUMBER('Price History'!J151)),NOT(ISNUMBER('Price History'!J150)),'Price History'!J150=0),"",'Price History'!J151/'Price History'!J150-1),"")</f>
        <v>0.0290577002905772</v>
      </c>
      <c r="K150" s="136" t="n">
        <f aca="false">IFERROR(IF(OR(NOT(ISNUMBER('Price History'!K151)),NOT(ISNUMBER('Price History'!K150)),'Price History'!K150=0),"",'Price History'!K151/'Price History'!K150-1),"")</f>
        <v>-0.0556334390909762</v>
      </c>
      <c r="L150" s="136" t="n">
        <f aca="false">IFERROR(IF(OR(NOT(ISNUMBER('Price History'!L151)),NOT(ISNUMBER('Price History'!L150)),'Price History'!L150=0),"",'Price History'!L151/'Price History'!L150-1),"")</f>
        <v>0.0210997904472867</v>
      </c>
      <c r="M150" s="136" t="n">
        <f aca="false">IFERROR(IF(OR(NOT(ISNUMBER('Price History'!M151)),NOT(ISNUMBER('Price History'!M150)),'Price History'!M150=0),"",'Price History'!M151/'Price History'!M150-1),"")</f>
        <v>0.00785331602941675</v>
      </c>
      <c r="N150" s="136" t="n">
        <f aca="false">IFERROR(IF(OR(NOT(ISNUMBER('Price History'!N151)),NOT(ISNUMBER('Price History'!N150)),'Price History'!N150=0),"",'Price History'!N151/'Price History'!N150-1),"")</f>
        <v>-0.0042521764429424</v>
      </c>
      <c r="O150" s="136" t="n">
        <f aca="false">IFERROR(IF(OR(NOT(ISNUMBER('Price History'!O151)),NOT(ISNUMBER('Price History'!O150)),'Price History'!O150=0),"",'Price History'!O151/'Price History'!O150-1),"")</f>
        <v>0.0390977443609022</v>
      </c>
      <c r="P150" s="136" t="str">
        <f aca="false">IFERROR(IF(OR(NOT(ISNUMBER('Price History'!P151)),NOT(ISNUMBER('Price History'!P150)),'Price History'!P150=0),"",'Price History'!P151/'Price History'!P150-1),"")</f>
        <v/>
      </c>
      <c r="Q150" s="136" t="n">
        <f aca="false">IFERROR(IF(OR(NOT(ISNUMBER('Price History'!Q151)),NOT(ISNUMBER('Price History'!Q150)),'Price History'!Q150=0),"",'Price History'!Q151/'Price History'!Q150-1),"")</f>
        <v>0.0128736312518498</v>
      </c>
      <c r="R150" s="136" t="n">
        <f aca="false">IFERROR(IF(OR(NOT(ISNUMBER('Price History'!R151)),NOT(ISNUMBER('Price History'!R150)),'Price History'!R150=0),"",'Price History'!R151/'Price History'!R150-1),"")</f>
        <v>0.0162988115449916</v>
      </c>
      <c r="S150" s="136" t="n">
        <f aca="false">IFERROR(IF(OR(NOT(ISNUMBER('Price History'!S151)),NOT(ISNUMBER('Price History'!S150)),'Price History'!S150=0),"",'Price History'!S151/'Price History'!S150-1),"")</f>
        <v>0.0568339340171886</v>
      </c>
      <c r="T150" s="136" t="n">
        <f aca="false">IFERROR(IF(OR(NOT(ISNUMBER('Price History'!T151)),NOT(ISNUMBER('Price History'!T150)),'Price History'!T150=0),"",'Price History'!T151/'Price History'!T150-1),"")</f>
        <v>0.00521172638436496</v>
      </c>
      <c r="U150" s="136" t="str">
        <f aca="false">IFERROR(IF(OR(NOT(ISNUMBER('Price History'!U151)),NOT(ISNUMBER('Price History'!U150)),'Price History'!U150=0),"",'Price History'!U151/'Price History'!U150-1),"")</f>
        <v/>
      </c>
      <c r="W150" s="137" t="n">
        <f aca="false">'Price History'!B3+('Price History'!B158-'Price History'!B3)*0.954545454545455</f>
        <v>262.139090909091</v>
      </c>
      <c r="X150" s="137" t="n">
        <f aca="false">'Price History'!C3+('Price History'!C158-'Price History'!C3)*0.954545454545455</f>
        <v>174.140454545455</v>
      </c>
      <c r="Y150" s="137" t="n">
        <f aca="false">'Price History'!D3+('Price History'!D158-'Price History'!D3)*0.954545454545455</f>
        <v>1585.03545454546</v>
      </c>
      <c r="Z150" s="137" t="n">
        <f aca="false">'Price History'!E3+('Price History'!E158-'Price History'!E3)*0.954545454545455</f>
        <v>375.357272727273</v>
      </c>
      <c r="AA150" s="137" t="n">
        <f aca="false">'Price History'!F3+('Price History'!F158-'Price History'!F3)*0.954545454545455</f>
        <v>183.869090909091</v>
      </c>
      <c r="AB150" s="137" t="n">
        <f aca="false">'Price History'!G3+('Price History'!G158-'Price History'!G3)*0.954545454545455</f>
        <v>176.687272727273</v>
      </c>
      <c r="AC150" s="137" t="n">
        <f aca="false">'Price History'!H3+('Price History'!H158-'Price History'!H3)*0.954545454545455</f>
        <v>788.545454545455</v>
      </c>
      <c r="AD150" s="137" t="n">
        <f aca="false">'Price History'!I3+('Price History'!I158-'Price History'!I3)*0.954545454545455</f>
        <v>193.481818181818</v>
      </c>
      <c r="AE150" s="137" t="n">
        <f aca="false">'Price History'!J3+('Price History'!J158-'Price History'!J3)*0.954545454545455</f>
        <v>143.650909090909</v>
      </c>
      <c r="AF150" s="137" t="n">
        <f aca="false">'Price History'!K3+('Price History'!K158-'Price History'!K3)*0.954545454545455</f>
        <v>118.166818181818</v>
      </c>
      <c r="AG150" s="137" t="n">
        <f aca="false">'Price History'!L3+('Price History'!L158-'Price History'!L3)*0.954545454545455</f>
        <v>390.056363636364</v>
      </c>
      <c r="AH150" s="137" t="n">
        <f aca="false">'Price History'!M3+('Price History'!M158-'Price History'!M3)*0.954545454545455</f>
        <v>232.112727272727</v>
      </c>
      <c r="AI150" s="137" t="n">
        <f aca="false">'Price History'!N3+('Price History'!N158-'Price History'!N3)*0.954545454545455</f>
        <v>471.316363636364</v>
      </c>
      <c r="AJ150" s="137" t="n">
        <f aca="false">'Price History'!O3+('Price History'!O158-'Price History'!O3)*0.954545454545455</f>
        <v>123.351363636364</v>
      </c>
      <c r="AK150" s="137" t="n">
        <f aca="false">'Price History'!Q3+('Price History'!Q151-'Price History'!Q3)*0.954545454545455</f>
        <v>67.6040909090909</v>
      </c>
      <c r="AL150" s="137" t="n">
        <f aca="false">'Price History'!R3+('Price History'!R158-'Price History'!R3)*0.954545454545455</f>
        <v>57.7759090909091</v>
      </c>
      <c r="AM150" s="137" t="n">
        <f aca="false">'Price History'!S3+('Price History'!S158-'Price History'!S3)*0.954545454545455</f>
        <v>139.953181818182</v>
      </c>
      <c r="AN150" s="137" t="n">
        <f aca="false">'Price History'!T3+('Price History'!T158-'Price History'!T3)*0.954545454545455</f>
        <v>48.7022727272727</v>
      </c>
    </row>
    <row r="151" customFormat="false" ht="15" hidden="false" customHeight="true" outlineLevel="0" collapsed="false">
      <c r="A151" s="135" t="n">
        <f aca="false">IF('Price History'!A152="","",'Price History'!A152)</f>
        <v>46191</v>
      </c>
      <c r="B151" s="136" t="n">
        <f aca="false">IFERROR(IF(OR(NOT(ISNUMBER('Price History'!B152)),NOT(ISNUMBER('Price History'!B151)),'Price History'!B151=0),"",'Price History'!B152/'Price History'!B151-1),"")</f>
        <v>-0.0434271149887266</v>
      </c>
      <c r="C151" s="136" t="n">
        <f aca="false">IFERROR(IF(OR(NOT(ISNUMBER('Price History'!C152)),NOT(ISNUMBER('Price History'!C151)),'Price History'!C151=0),"",'Price History'!C152/'Price History'!C151-1),"")</f>
        <v>0.0393898554275911</v>
      </c>
      <c r="D151" s="136" t="n">
        <f aca="false">IFERROR(IF(OR(NOT(ISNUMBER('Price History'!D152)),NOT(ISNUMBER('Price History'!D151)),'Price History'!D151=0),"",'Price History'!D152/'Price History'!D151-1),"")</f>
        <v>0.0354860347186821</v>
      </c>
      <c r="E151" s="136" t="n">
        <f aca="false">IFERROR(IF(OR(NOT(ISNUMBER('Price History'!E152)),NOT(ISNUMBER('Price History'!E151)),'Price History'!E151=0),"",'Price History'!E152/'Price History'!E151-1),"")</f>
        <v>0.0766351715654201</v>
      </c>
      <c r="F151" s="136" t="n">
        <f aca="false">IFERROR(IF(OR(NOT(ISNUMBER('Price History'!F152)),NOT(ISNUMBER('Price History'!F151)),'Price History'!F151=0),"",'Price History'!F152/'Price History'!F151-1),"")</f>
        <v>0.00304628002343299</v>
      </c>
      <c r="G151" s="136" t="n">
        <f aca="false">IFERROR(IF(OR(NOT(ISNUMBER('Price History'!G152)),NOT(ISNUMBER('Price History'!G151)),'Price History'!G151=0),"",'Price History'!G152/'Price History'!G151-1),"")</f>
        <v>0.0197218511825255</v>
      </c>
      <c r="H151" s="136" t="n">
        <f aca="false">IFERROR(IF(OR(NOT(ISNUMBER('Price History'!H152)),NOT(ISNUMBER('Price History'!H151)),'Price History'!H151=0),"",'Price History'!H152/'Price History'!H151-1),"")</f>
        <v>0.155234767371971</v>
      </c>
      <c r="I151" s="136" t="n">
        <f aca="false">IFERROR(IF(OR(NOT(ISNUMBER('Price History'!I152)),NOT(ISNUMBER('Price History'!I151)),'Price History'!I151=0),"",'Price History'!I152/'Price History'!I151-1),"")</f>
        <v>0.0268044251669184</v>
      </c>
      <c r="J151" s="136" t="n">
        <f aca="false">IFERROR(IF(OR(NOT(ISNUMBER('Price History'!J152)),NOT(ISNUMBER('Price History'!J151)),'Price History'!J151=0),"",'Price History'!J152/'Price History'!J151-1),"")</f>
        <v>-0.055129756622294</v>
      </c>
      <c r="K151" s="136" t="n">
        <f aca="false">IFERROR(IF(OR(NOT(ISNUMBER('Price History'!K152)),NOT(ISNUMBER('Price History'!K151)),'Price History'!K151=0),"",'Price History'!K152/'Price History'!K151-1),"")</f>
        <v>0.00375029299163998</v>
      </c>
      <c r="L151" s="136" t="n">
        <f aca="false">IFERROR(IF(OR(NOT(ISNUMBER('Price History'!L152)),NOT(ISNUMBER('Price History'!L151)),'Price History'!L151=0),"",'Price History'!L152/'Price History'!L151-1),"")</f>
        <v>0.0900856273441371</v>
      </c>
      <c r="M151" s="136" t="n">
        <f aca="false">IFERROR(IF(OR(NOT(ISNUMBER('Price History'!M152)),NOT(ISNUMBER('Price History'!M151)),'Price History'!M151=0),"",'Price History'!M152/'Price History'!M151-1),"")</f>
        <v>0.099646713111236</v>
      </c>
      <c r="N151" s="136" t="n">
        <f aca="false">IFERROR(IF(OR(NOT(ISNUMBER('Price History'!N152)),NOT(ISNUMBER('Price History'!N151)),'Price History'!N151=0),"",'Price History'!N152/'Price History'!N151-1),"")</f>
        <v>0.0150585485357246</v>
      </c>
      <c r="O151" s="136" t="n">
        <f aca="false">IFERROR(IF(OR(NOT(ISNUMBER('Price History'!O152)),NOT(ISNUMBER('Price History'!O151)),'Price History'!O151=0),"",'Price History'!O152/'Price History'!O151-1),"")</f>
        <v>-0.0191349091493809</v>
      </c>
      <c r="P151" s="136" t="str">
        <f aca="false">IFERROR(IF(OR(NOT(ISNUMBER('Price History'!P152)),NOT(ISNUMBER('Price History'!P151)),'Price History'!P151=0),"",'Price History'!P152/'Price History'!P151-1),"")</f>
        <v/>
      </c>
      <c r="Q151" s="136" t="str">
        <f aca="false">IFERROR(IF(OR(NOT(ISNUMBER('Price History'!Q152)),NOT(ISNUMBER('Price History'!Q151)),'Price History'!Q151=0),"",'Price History'!Q152/'Price History'!Q151-1),"")</f>
        <v/>
      </c>
      <c r="R151" s="136" t="n">
        <f aca="false">IFERROR(IF(OR(NOT(ISNUMBER('Price History'!R152)),NOT(ISNUMBER('Price History'!R151)),'Price History'!R151=0),"",'Price History'!R152/'Price History'!R151-1),"")</f>
        <v>0.0247243568326094</v>
      </c>
      <c r="S151" s="136" t="n">
        <f aca="false">IFERROR(IF(OR(NOT(ISNUMBER('Price History'!S152)),NOT(ISNUMBER('Price History'!S151)),'Price History'!S151=0),"",'Price History'!S152/'Price History'!S151-1),"")</f>
        <v>0.0486621196222457</v>
      </c>
      <c r="T151" s="136" t="n">
        <f aca="false">IFERROR(IF(OR(NOT(ISNUMBER('Price History'!T152)),NOT(ISNUMBER('Price History'!T151)),'Price History'!T151=0),"",'Price History'!T152/'Price History'!T151-1),"")</f>
        <v>-0.0224670555195506</v>
      </c>
      <c r="U151" s="136" t="str">
        <f aca="false">IFERROR(IF(OR(NOT(ISNUMBER('Price History'!U152)),NOT(ISNUMBER('Price History'!U151)),'Price History'!U151=0),"",'Price History'!U152/'Price History'!U151-1),"")</f>
        <v/>
      </c>
      <c r="W151" s="137" t="n">
        <f aca="false">'Price History'!B3+('Price History'!B158-'Price History'!B3)*0.961038961038961</f>
        <v>260.463506493507</v>
      </c>
      <c r="X151" s="137" t="n">
        <f aca="false">'Price History'!C3+('Price History'!C158-'Price History'!C3)*0.961038961038961</f>
        <v>175.027532467532</v>
      </c>
      <c r="Y151" s="137" t="n">
        <f aca="false">'Price History'!D3+('Price History'!D158-'Price History'!D3)*0.961038961038961</f>
        <v>1591.3161038961</v>
      </c>
      <c r="Z151" s="137" t="n">
        <f aca="false">'Price History'!E3+('Price History'!E158-'Price History'!E3)*0.961038961038961</f>
        <v>377.346233766234</v>
      </c>
      <c r="AA151" s="137" t="n">
        <f aca="false">'Price History'!F3+('Price History'!F158-'Price History'!F3)*0.961038961038961</f>
        <v>184.867792207792</v>
      </c>
      <c r="AB151" s="137" t="n">
        <f aca="false">'Price History'!G3+('Price History'!G158-'Price History'!G3)*0.961038961038961</f>
        <v>177.563376623377</v>
      </c>
      <c r="AC151" s="137" t="n">
        <f aca="false">'Price History'!H3+('Price History'!H158-'Price History'!H3)*0.961038961038961</f>
        <v>793.471818181818</v>
      </c>
      <c r="AD151" s="137" t="n">
        <f aca="false">'Price History'!I3+('Price History'!I158-'Price History'!I3)*0.961038961038961</f>
        <v>194.52012987013</v>
      </c>
      <c r="AE151" s="137" t="n">
        <f aca="false">'Price History'!J3+('Price History'!J158-'Price History'!J3)*0.961038961038961</f>
        <v>143.787922077922</v>
      </c>
      <c r="AF151" s="137" t="n">
        <f aca="false">'Price History'!K3+('Price History'!K158-'Price History'!K3)*0.961038961038961</f>
        <v>118.865844155844</v>
      </c>
      <c r="AG151" s="137" t="n">
        <f aca="false">'Price History'!L3+('Price History'!L158-'Price History'!L3)*0.961038961038961</f>
        <v>392.084025974026</v>
      </c>
      <c r="AH151" s="137" t="n">
        <f aca="false">'Price History'!M3+('Price History'!M158-'Price History'!M3)*0.961038961038961</f>
        <v>233.463766233766</v>
      </c>
      <c r="AI151" s="137" t="n">
        <f aca="false">'Price History'!N3+('Price History'!N158-'Price History'!N3)*0.961038961038961</f>
        <v>472.142597402597</v>
      </c>
      <c r="AJ151" s="137" t="n">
        <f aca="false">'Price History'!O3+('Price History'!O158-'Price History'!O3)*0.961038961038961</f>
        <v>123.626883116883</v>
      </c>
      <c r="AK151" s="137" t="n">
        <f aca="false">'Price History'!Q3+('Price History'!Q151-'Price History'!Q3)*0.961038961038961</f>
        <v>67.7249350649351</v>
      </c>
      <c r="AL151" s="137" t="n">
        <f aca="false">'Price History'!R3+('Price History'!R158-'Price History'!R3)*0.961038961038961</f>
        <v>57.8436363636364</v>
      </c>
      <c r="AM151" s="137" t="n">
        <f aca="false">'Price History'!S3+('Price History'!S158-'Price History'!S3)*0.961038961038961</f>
        <v>140.507012987013</v>
      </c>
      <c r="AN151" s="137" t="n">
        <f aca="false">'Price History'!T3+('Price History'!T158-'Price History'!T3)*0.961038961038961</f>
        <v>48.8505194805195</v>
      </c>
    </row>
    <row r="152" customFormat="false" ht="15" hidden="false" customHeight="true" outlineLevel="0" collapsed="false">
      <c r="A152" s="135" t="n">
        <f aca="false">IF('Price History'!A153="","",'Price History'!A153)</f>
        <v>46199</v>
      </c>
      <c r="B152" s="136" t="n">
        <f aca="false">IFERROR(IF(OR(NOT(ISNUMBER('Price History'!B153)),NOT(ISNUMBER('Price History'!B152)),'Price History'!B152=0),"",'Price History'!B153/'Price History'!B152-1),"")</f>
        <v>0.0387886862061897</v>
      </c>
      <c r="C152" s="136" t="n">
        <f aca="false">IFERROR(IF(OR(NOT(ISNUMBER('Price History'!C153)),NOT(ISNUMBER('Price History'!C152)),'Price History'!C152=0),"",'Price History'!C153/'Price History'!C152-1),"")</f>
        <v>-0.0711380915895562</v>
      </c>
      <c r="D152" s="136" t="n">
        <f aca="false">IFERROR(IF(OR(NOT(ISNUMBER('Price History'!D153)),NOT(ISNUMBER('Price History'!D152)),'Price History'!D152=0),"",'Price History'!D153/'Price History'!D152-1),"")</f>
        <v>-0.0699908793167781</v>
      </c>
      <c r="E152" s="136" t="n">
        <f aca="false">IFERROR(IF(OR(NOT(ISNUMBER('Price History'!E153)),NOT(ISNUMBER('Price History'!E152)),'Price History'!E152=0),"",'Price History'!E153/'Price History'!E152-1),"")</f>
        <v>-0.112629147927556</v>
      </c>
      <c r="F152" s="136" t="n">
        <f aca="false">IFERROR(IF(OR(NOT(ISNUMBER('Price History'!F153)),NOT(ISNUMBER('Price History'!F152)),'Price History'!F152=0),"",'Price History'!F153/'Price History'!F152-1),"")</f>
        <v>0.0236537787641631</v>
      </c>
      <c r="G152" s="136" t="n">
        <f aca="false">IFERROR(IF(OR(NOT(ISNUMBER('Price History'!G153)),NOT(ISNUMBER('Price History'!G152)),'Price History'!G152=0),"",'Price History'!G153/'Price History'!G152-1),"")</f>
        <v>-0.0420711974110033</v>
      </c>
      <c r="H152" s="136" t="n">
        <f aca="false">IFERROR(IF(OR(NOT(ISNUMBER('Price History'!H153)),NOT(ISNUMBER('Price History'!H152)),'Price History'!H152=0),"",'Price History'!H153/'Price History'!H152-1),"")</f>
        <v>-0.00146385770597635</v>
      </c>
      <c r="I152" s="136" t="n">
        <f aca="false">IFERROR(IF(OR(NOT(ISNUMBER('Price History'!I153)),NOT(ISNUMBER('Price History'!I152)),'Price History'!I152=0),"",'Price History'!I153/'Price History'!I152-1),"")</f>
        <v>-0.0861929849541981</v>
      </c>
      <c r="J152" s="136" t="n">
        <f aca="false">IFERROR(IF(OR(NOT(ISNUMBER('Price History'!J153)),NOT(ISNUMBER('Price History'!J152)),'Price History'!J152=0),"",'Price History'!J153/'Price History'!J152-1),"")</f>
        <v>-0.00405578482994162</v>
      </c>
      <c r="K152" s="136" t="n">
        <f aca="false">IFERROR(IF(OR(NOT(ISNUMBER('Price History'!K153)),NOT(ISNUMBER('Price History'!K152)),'Price History'!K152=0),"",'Price History'!K153/'Price History'!K152-1),"")</f>
        <v>-0.120962092317273</v>
      </c>
      <c r="L152" s="136" t="n">
        <f aca="false">IFERROR(IF(OR(NOT(ISNUMBER('Price History'!L153)),NOT(ISNUMBER('Price History'!L152)),'Price History'!L152=0),"",'Price History'!L153/'Price History'!L152-1),"")</f>
        <v>-0.0644204968406474</v>
      </c>
      <c r="M152" s="136" t="n">
        <f aca="false">IFERROR(IF(OR(NOT(ISNUMBER('Price History'!M153)),NOT(ISNUMBER('Price History'!M152)),'Price History'!M152=0),"",'Price History'!M153/'Price History'!M152-1),"")</f>
        <v>-0.0873742681279088</v>
      </c>
      <c r="N152" s="136" t="n">
        <f aca="false">IFERROR(IF(OR(NOT(ISNUMBER('Price History'!N153)),NOT(ISNUMBER('Price History'!N152)),'Price History'!N152=0),"",'Price History'!N153/'Price History'!N152-1),"")</f>
        <v>0.0879259570887674</v>
      </c>
      <c r="O152" s="136" t="n">
        <f aca="false">IFERROR(IF(OR(NOT(ISNUMBER('Price History'!O153)),NOT(ISNUMBER('Price History'!O152)),'Price History'!O152=0),"",'Price History'!O153/'Price History'!O152-1),"")</f>
        <v>0.0240983606557377</v>
      </c>
      <c r="P152" s="136" t="str">
        <f aca="false">IFERROR(IF(OR(NOT(ISNUMBER('Price History'!P153)),NOT(ISNUMBER('Price History'!P152)),'Price History'!P152=0),"",'Price History'!P153/'Price History'!P152-1),"")</f>
        <v/>
      </c>
      <c r="Q152" s="136" t="str">
        <f aca="false">IFERROR(IF(OR(NOT(ISNUMBER('Price History'!Q153)),NOT(ISNUMBER('Price History'!Q152)),'Price History'!Q152=0),"",'Price History'!Q153/'Price History'!Q152-1),"")</f>
        <v/>
      </c>
      <c r="R152" s="136" t="n">
        <f aca="false">IFERROR(IF(OR(NOT(ISNUMBER('Price History'!R153)),NOT(ISNUMBER('Price History'!R152)),'Price History'!R152=0),"",'Price History'!R153/'Price History'!R152-1),"")</f>
        <v>-0.0313009455493969</v>
      </c>
      <c r="S152" s="136" t="n">
        <f aca="false">IFERROR(IF(OR(NOT(ISNUMBER('Price History'!S153)),NOT(ISNUMBER('Price History'!S152)),'Price History'!S152=0),"",'Price History'!S153/'Price History'!S152-1),"")</f>
        <v>-0.0356472795497187</v>
      </c>
      <c r="T152" s="136" t="n">
        <f aca="false">IFERROR(IF(OR(NOT(ISNUMBER('Price History'!T153)),NOT(ISNUMBER('Price History'!T152)),'Price History'!T152=0),"",'Price History'!T153/'Price History'!T152-1),"")</f>
        <v>0.0207734806629833</v>
      </c>
      <c r="U152" s="136" t="str">
        <f aca="false">IFERROR(IF(OR(NOT(ISNUMBER('Price History'!U153)),NOT(ISNUMBER('Price History'!U152)),'Price History'!U152=0),"",'Price History'!U153/'Price History'!U152-1),"")</f>
        <v/>
      </c>
      <c r="W152" s="137" t="n">
        <f aca="false">'Price History'!B3+('Price History'!B158-'Price History'!B3)*0.967532467532468</f>
        <v>258.787922077922</v>
      </c>
      <c r="X152" s="137" t="n">
        <f aca="false">'Price History'!C3+('Price History'!C158-'Price History'!C3)*0.967532467532468</f>
        <v>175.91461038961</v>
      </c>
      <c r="Y152" s="137" t="n">
        <f aca="false">'Price History'!D3+('Price History'!D158-'Price History'!D3)*0.967532467532468</f>
        <v>1597.59675324675</v>
      </c>
      <c r="Z152" s="137" t="n">
        <f aca="false">'Price History'!E3+('Price History'!E158-'Price History'!E3)*0.967532467532468</f>
        <v>379.335194805195</v>
      </c>
      <c r="AA152" s="137" t="n">
        <f aca="false">'Price History'!F3+('Price History'!F158-'Price History'!F3)*0.967532467532468</f>
        <v>185.866493506494</v>
      </c>
      <c r="AB152" s="137" t="n">
        <f aca="false">'Price History'!G3+('Price History'!G158-'Price History'!G3)*0.967532467532468</f>
        <v>178.439480519481</v>
      </c>
      <c r="AC152" s="137" t="n">
        <f aca="false">'Price History'!H3+('Price History'!H158-'Price History'!H3)*0.967532467532468</f>
        <v>798.398181818182</v>
      </c>
      <c r="AD152" s="137" t="n">
        <f aca="false">'Price History'!I3+('Price History'!I158-'Price History'!I3)*0.967532467532468</f>
        <v>195.558441558442</v>
      </c>
      <c r="AE152" s="137" t="n">
        <f aca="false">'Price History'!J3+('Price History'!J158-'Price History'!J3)*0.967532467532468</f>
        <v>143.924935064935</v>
      </c>
      <c r="AF152" s="137" t="n">
        <f aca="false">'Price History'!K3+('Price History'!K158-'Price History'!K3)*0.967532467532468</f>
        <v>119.56487012987</v>
      </c>
      <c r="AG152" s="137" t="n">
        <f aca="false">'Price History'!L3+('Price History'!L158-'Price History'!L3)*0.967532467532468</f>
        <v>394.111688311688</v>
      </c>
      <c r="AH152" s="137" t="n">
        <f aca="false">'Price History'!M3+('Price History'!M158-'Price History'!M3)*0.967532467532468</f>
        <v>234.814805194805</v>
      </c>
      <c r="AI152" s="137" t="n">
        <f aca="false">'Price History'!N3+('Price History'!N158-'Price History'!N3)*0.967532467532468</f>
        <v>472.968831168831</v>
      </c>
      <c r="AJ152" s="137" t="n">
        <f aca="false">'Price History'!O3+('Price History'!O158-'Price History'!O3)*0.967532467532468</f>
        <v>123.902402597403</v>
      </c>
      <c r="AK152" s="137" t="n">
        <f aca="false">'Price History'!Q3+('Price History'!Q151-'Price History'!Q3)*0.967532467532468</f>
        <v>67.8457792207792</v>
      </c>
      <c r="AL152" s="137" t="n">
        <f aca="false">'Price History'!R3+('Price History'!R158-'Price History'!R3)*0.967532467532468</f>
        <v>57.9113636363636</v>
      </c>
      <c r="AM152" s="137" t="n">
        <f aca="false">'Price History'!S3+('Price History'!S158-'Price History'!S3)*0.967532467532468</f>
        <v>141.060844155844</v>
      </c>
      <c r="AN152" s="137" t="n">
        <f aca="false">'Price History'!T3+('Price History'!T158-'Price History'!T3)*0.967532467532468</f>
        <v>48.9987662337663</v>
      </c>
    </row>
    <row r="153" customFormat="false" ht="15" hidden="false" customHeight="true" outlineLevel="0" collapsed="false">
      <c r="A153" s="135" t="n">
        <f aca="false">IF('Price History'!A154="","",'Price History'!A154)</f>
        <v>46205</v>
      </c>
      <c r="B153" s="136" t="n">
        <f aca="false">IFERROR(IF(OR(NOT(ISNUMBER('Price History'!B154)),NOT(ISNUMBER('Price History'!B153)),'Price History'!B153=0),"",'Price History'!B154/'Price History'!B153-1),"")</f>
        <v>0.0838060474522764</v>
      </c>
      <c r="C153" s="136" t="n">
        <f aca="false">IFERROR(IF(OR(NOT(ISNUMBER('Price History'!C154)),NOT(ISNUMBER('Price History'!C153)),'Price History'!C153=0),"",'Price History'!C154/'Price History'!C153-1),"")</f>
        <v>0.0151649746192895</v>
      </c>
      <c r="D153" s="136" t="n">
        <f aca="false">IFERROR(IF(OR(NOT(ISNUMBER('Price History'!D154)),NOT(ISNUMBER('Price History'!D153)),'Price History'!D153=0),"",'Price History'!D154/'Price History'!D153-1),"")</f>
        <v>-0.0140976919905049</v>
      </c>
      <c r="E153" s="136" t="n">
        <f aca="false">IFERROR(IF(OR(NOT(ISNUMBER('Price History'!E154)),NOT(ISNUMBER('Price History'!E153)),'Price History'!E153=0),"",'Price History'!E154/'Price History'!E153-1),"")</f>
        <v>-0.0125198619253739</v>
      </c>
      <c r="F153" s="136" t="n">
        <f aca="false">IFERROR(IF(OR(NOT(ISNUMBER('Price History'!F154)),NOT(ISNUMBER('Price History'!F153)),'Price History'!F153=0),"",'Price History'!F154/'Price History'!F153-1),"")</f>
        <v>0.106749586352485</v>
      </c>
      <c r="G153" s="136" t="n">
        <f aca="false">IFERROR(IF(OR(NOT(ISNUMBER('Price History'!G154)),NOT(ISNUMBER('Price History'!G153)),'Price History'!G153=0),"",'Price History'!G154/'Price History'!G153-1),"")</f>
        <v>-0.0526463963963963</v>
      </c>
      <c r="H153" s="136" t="n">
        <f aca="false">IFERROR(IF(OR(NOT(ISNUMBER('Price History'!H154)),NOT(ISNUMBER('Price History'!H153)),'Price History'!H153=0),"",'Price History'!H154/'Price History'!H153-1),"")</f>
        <v>-0.138449038707797</v>
      </c>
      <c r="I153" s="136" t="n">
        <f aca="false">IFERROR(IF(OR(NOT(ISNUMBER('Price History'!I154)),NOT(ISNUMBER('Price History'!I153)),'Price History'!I153=0),"",'Price History'!I154/'Price History'!I153-1),"")</f>
        <v>0.011946190204124</v>
      </c>
      <c r="J153" s="136" t="n">
        <f aca="false">IFERROR(IF(OR(NOT(ISNUMBER('Price History'!J154)),NOT(ISNUMBER('Price History'!J153)),'Price History'!J153=0),"",'Price History'!J154/'Price History'!J153-1),"")</f>
        <v>-0.00385796956490669</v>
      </c>
      <c r="K153" s="136" t="n">
        <f aca="false">IFERROR(IF(OR(NOT(ISNUMBER('Price History'!K154)),NOT(ISNUMBER('Price History'!K153)),'Price History'!K153=0),"",'Price History'!K154/'Price History'!K153-1),"")</f>
        <v>0.144957053041707</v>
      </c>
      <c r="L153" s="136" t="n">
        <f aca="false">IFERROR(IF(OR(NOT(ISNUMBER('Price History'!L154)),NOT(ISNUMBER('Price History'!L153)),'Price History'!L153=0),"",'Price History'!L154/'Price History'!L153-1),"")</f>
        <v>0.00418642303689132</v>
      </c>
      <c r="M153" s="136" t="n">
        <f aca="false">IFERROR(IF(OR(NOT(ISNUMBER('Price History'!M154)),NOT(ISNUMBER('Price History'!M153)),'Price History'!M153=0),"",'Price History'!M154/'Price History'!M153-1),"")</f>
        <v>-0.0112518506333279</v>
      </c>
      <c r="N153" s="136" t="n">
        <f aca="false">IFERROR(IF(OR(NOT(ISNUMBER('Price History'!N154)),NOT(ISNUMBER('Price History'!N153)),'Price History'!N153=0),"",'Price History'!N154/'Price History'!N153-1),"")</f>
        <v>0.074693694793829</v>
      </c>
      <c r="O153" s="136" t="n">
        <f aca="false">IFERROR(IF(OR(NOT(ISNUMBER('Price History'!O154)),NOT(ISNUMBER('Price History'!O153)),'Price History'!O153=0),"",'Price History'!O154/'Price History'!O153-1),"")</f>
        <v>-0.0114454938370417</v>
      </c>
      <c r="P153" s="136" t="str">
        <f aca="false">IFERROR(IF(OR(NOT(ISNUMBER('Price History'!P154)),NOT(ISNUMBER('Price History'!P153)),'Price History'!P153=0),"",'Price History'!P154/'Price History'!P153-1),"")</f>
        <v/>
      </c>
      <c r="Q153" s="136" t="str">
        <f aca="false">IFERROR(IF(OR(NOT(ISNUMBER('Price History'!Q154)),NOT(ISNUMBER('Price History'!Q153)),'Price History'!Q153=0),"",'Price History'!Q154/'Price History'!Q153-1),"")</f>
        <v/>
      </c>
      <c r="R153" s="136" t="n">
        <f aca="false">IFERROR(IF(OR(NOT(ISNUMBER('Price History'!R154)),NOT(ISNUMBER('Price History'!R153)),'Price History'!R153=0),"",'Price History'!R154/'Price History'!R153-1),"")</f>
        <v>-0.000504880511612238</v>
      </c>
      <c r="S153" s="136" t="n">
        <f aca="false">IFERROR(IF(OR(NOT(ISNUMBER('Price History'!S154)),NOT(ISNUMBER('Price History'!S153)),'Price History'!S153=0),"",'Price History'!S154/'Price History'!S153-1),"")</f>
        <v>-0.0218547341115433</v>
      </c>
      <c r="T153" s="136" t="n">
        <f aca="false">IFERROR(IF(OR(NOT(ISNUMBER('Price History'!T154)),NOT(ISNUMBER('Price History'!T153)),'Price History'!T153=0),"",'Price History'!T154/'Price History'!T153-1),"")</f>
        <v>0.0175362632604461</v>
      </c>
      <c r="U153" s="136" t="str">
        <f aca="false">IFERROR(IF(OR(NOT(ISNUMBER('Price History'!U154)),NOT(ISNUMBER('Price History'!U153)),'Price History'!U153=0),"",'Price History'!U154/'Price History'!U153-1),"")</f>
        <v/>
      </c>
      <c r="W153" s="137" t="n">
        <f aca="false">'Price History'!B3+('Price History'!B158-'Price History'!B3)*0.974025974025974</f>
        <v>257.112337662338</v>
      </c>
      <c r="X153" s="137" t="n">
        <f aca="false">'Price History'!C3+('Price History'!C158-'Price History'!C3)*0.974025974025974</f>
        <v>176.801688311688</v>
      </c>
      <c r="Y153" s="137" t="n">
        <f aca="false">'Price History'!D3+('Price History'!D158-'Price History'!D3)*0.974025974025974</f>
        <v>1603.8774025974</v>
      </c>
      <c r="Z153" s="137" t="n">
        <f aca="false">'Price History'!E3+('Price History'!E158-'Price History'!E3)*0.974025974025974</f>
        <v>381.324155844156</v>
      </c>
      <c r="AA153" s="137" t="n">
        <f aca="false">'Price History'!F3+('Price History'!F158-'Price History'!F3)*0.974025974025974</f>
        <v>186.865194805195</v>
      </c>
      <c r="AB153" s="137" t="n">
        <f aca="false">'Price History'!G3+('Price History'!G158-'Price History'!G3)*0.974025974025974</f>
        <v>179.315584415584</v>
      </c>
      <c r="AC153" s="137" t="n">
        <f aca="false">'Price History'!H3+('Price History'!H158-'Price History'!H3)*0.974025974025974</f>
        <v>803.324545454545</v>
      </c>
      <c r="AD153" s="137" t="n">
        <f aca="false">'Price History'!I3+('Price History'!I158-'Price History'!I3)*0.974025974025974</f>
        <v>196.596753246753</v>
      </c>
      <c r="AE153" s="137" t="n">
        <f aca="false">'Price History'!J3+('Price History'!J158-'Price History'!J3)*0.974025974025974</f>
        <v>144.061948051948</v>
      </c>
      <c r="AF153" s="137" t="n">
        <f aca="false">'Price History'!K3+('Price History'!K158-'Price History'!K3)*0.974025974025974</f>
        <v>120.263896103896</v>
      </c>
      <c r="AG153" s="137" t="n">
        <f aca="false">'Price History'!L3+('Price History'!L158-'Price History'!L3)*0.974025974025974</f>
        <v>396.139350649351</v>
      </c>
      <c r="AH153" s="137" t="n">
        <f aca="false">'Price History'!M3+('Price History'!M158-'Price History'!M3)*0.974025974025974</f>
        <v>236.165844155844</v>
      </c>
      <c r="AI153" s="137" t="n">
        <f aca="false">'Price History'!N3+('Price History'!N158-'Price History'!N3)*0.974025974025974</f>
        <v>473.795064935065</v>
      </c>
      <c r="AJ153" s="137" t="n">
        <f aca="false">'Price History'!O3+('Price History'!O158-'Price History'!O3)*0.974025974025974</f>
        <v>124.177922077922</v>
      </c>
      <c r="AK153" s="137" t="n">
        <f aca="false">'Price History'!Q3+('Price History'!Q151-'Price History'!Q3)*0.974025974025974</f>
        <v>67.9666233766234</v>
      </c>
      <c r="AL153" s="137" t="n">
        <f aca="false">'Price History'!R3+('Price History'!R158-'Price History'!R3)*0.974025974025974</f>
        <v>57.9790909090909</v>
      </c>
      <c r="AM153" s="137" t="n">
        <f aca="false">'Price History'!S3+('Price History'!S158-'Price History'!S3)*0.974025974025974</f>
        <v>141.614675324675</v>
      </c>
      <c r="AN153" s="137" t="n">
        <f aca="false">'Price History'!T3+('Price History'!T158-'Price History'!T3)*0.974025974025974</f>
        <v>49.147012987013</v>
      </c>
    </row>
    <row r="154" customFormat="false" ht="15" hidden="false" customHeight="true" outlineLevel="0" collapsed="false">
      <c r="A154" s="135" t="n">
        <f aca="false">IF('Price History'!A155="","",'Price History'!A155)</f>
        <v>46213</v>
      </c>
      <c r="B154" s="136" t="n">
        <f aca="false">IFERROR(IF(OR(NOT(ISNUMBER('Price History'!B155)),NOT(ISNUMBER('Price History'!B154)),'Price History'!B154=0),"",'Price History'!B155/'Price History'!B154-1),"")</f>
        <v>0.0178408884034225</v>
      </c>
      <c r="C154" s="136" t="n">
        <f aca="false">IFERROR(IF(OR(NOT(ISNUMBER('Price History'!C155)),NOT(ISNUMBER('Price History'!C154)),'Price History'!C154=0),"",'Price History'!C155/'Price History'!C154-1),"")</f>
        <v>0.168573035814738</v>
      </c>
      <c r="D154" s="136" t="n">
        <f aca="false">IFERROR(IF(OR(NOT(ISNUMBER('Price History'!D155)),NOT(ISNUMBER('Price History'!D154)),'Price History'!D154=0),"",'Price History'!D155/'Price History'!D154-1),"")</f>
        <v>0.0158252888115209</v>
      </c>
      <c r="E154" s="136" t="n">
        <f aca="false">IFERROR(IF(OR(NOT(ISNUMBER('Price History'!E155)),NOT(ISNUMBER('Price History'!E154)),'Price History'!E154=0),"",'Price History'!E155/'Price History'!E154-1),"")</f>
        <v>0.109640726869191</v>
      </c>
      <c r="F154" s="136" t="n">
        <f aca="false">IFERROR(IF(OR(NOT(ISNUMBER('Price History'!F155)),NOT(ISNUMBER('Price History'!F154)),'Price History'!F154=0),"",'Price History'!F155/'Price History'!F154-1),"")</f>
        <v>-0.0350551603258067</v>
      </c>
      <c r="G154" s="136" t="n">
        <f aca="false">IFERROR(IF(OR(NOT(ISNUMBER('Price History'!G155)),NOT(ISNUMBER('Price History'!G154)),'Price History'!G154=0),"",'Price History'!G155/'Price History'!G154-1),"")</f>
        <v>-0.0171088940776906</v>
      </c>
      <c r="H154" s="136" t="n">
        <f aca="false">IFERROR(IF(OR(NOT(ISNUMBER('Price History'!H155)),NOT(ISNUMBER('Price History'!H154)),'Price History'!H154=0),"",'Price History'!H155/'Price History'!H154-1),"")</f>
        <v>0.00383369551847146</v>
      </c>
      <c r="I154" s="136" t="n">
        <f aca="false">IFERROR(IF(OR(NOT(ISNUMBER('Price History'!I155)),NOT(ISNUMBER('Price History'!I154)),'Price History'!I154=0),"",'Price History'!I155/'Price History'!I154-1),"")</f>
        <v>0.0827901247241185</v>
      </c>
      <c r="J154" s="136" t="n">
        <f aca="false">IFERROR(IF(OR(NOT(ISNUMBER('Price History'!J155)),NOT(ISNUMBER('Price History'!J154)),'Price History'!J154=0),"",'Price History'!J155/'Price History'!J154-1),"")</f>
        <v>0.0103277630352148</v>
      </c>
      <c r="K154" s="136" t="n">
        <f aca="false">IFERROR(IF(OR(NOT(ISNUMBER('Price History'!K155)),NOT(ISNUMBER('Price History'!K154)),'Price History'!K154=0),"",'Price History'!K155/'Price History'!K154-1),"")</f>
        <v>-0.0194122196442382</v>
      </c>
      <c r="L154" s="136" t="n">
        <f aca="false">IFERROR(IF(OR(NOT(ISNUMBER('Price History'!L155)),NOT(ISNUMBER('Price History'!L154)),'Price History'!L154=0),"",'Price History'!L155/'Price History'!L154-1),"")</f>
        <v>-0.000115164916159927</v>
      </c>
      <c r="M154" s="136" t="n">
        <f aca="false">IFERROR(IF(OR(NOT(ISNUMBER('Price History'!M155)),NOT(ISNUMBER('Price History'!M154)),'Price History'!M154=0),"",'Price History'!M155/'Price History'!M154-1),"")</f>
        <v>0.0609922470302466</v>
      </c>
      <c r="N154" s="136" t="n">
        <f aca="false">IFERROR(IF(OR(NOT(ISNUMBER('Price History'!N155)),NOT(ISNUMBER('Price History'!N154)),'Price History'!N154=0),"",'Price History'!N155/'Price History'!N154-1),"")</f>
        <v>-0.0807703961821074</v>
      </c>
      <c r="O154" s="136" t="n">
        <f aca="false">IFERROR(IF(OR(NOT(ISNUMBER('Price History'!O155)),NOT(ISNUMBER('Price History'!O154)),'Price History'!O154=0),"",'Price History'!O155/'Price History'!O154-1),"")</f>
        <v>0.00356246457776699</v>
      </c>
      <c r="P154" s="136" t="str">
        <f aca="false">IFERROR(IF(OR(NOT(ISNUMBER('Price History'!P155)),NOT(ISNUMBER('Price History'!P154)),'Price History'!P154=0),"",'Price History'!P155/'Price History'!P154-1),"")</f>
        <v/>
      </c>
      <c r="Q154" s="136" t="str">
        <f aca="false">IFERROR(IF(OR(NOT(ISNUMBER('Price History'!Q155)),NOT(ISNUMBER('Price History'!Q154)),'Price History'!Q154=0),"",'Price History'!Q155/'Price History'!Q154-1),"")</f>
        <v/>
      </c>
      <c r="R154" s="136" t="n">
        <f aca="false">IFERROR(IF(OR(NOT(ISNUMBER('Price History'!R155)),NOT(ISNUMBER('Price History'!R154)),'Price History'!R154=0),"",'Price History'!R155/'Price History'!R154-1),"")</f>
        <v>0.0188583936689677</v>
      </c>
      <c r="S154" s="136" t="n">
        <f aca="false">IFERROR(IF(OR(NOT(ISNUMBER('Price History'!S155)),NOT(ISNUMBER('Price History'!S154)),'Price History'!S154=0),"",'Price History'!S155/'Price History'!S154-1),"")</f>
        <v>0.0193595438573226</v>
      </c>
      <c r="T154" s="136" t="n">
        <f aca="false">IFERROR(IF(OR(NOT(ISNUMBER('Price History'!T155)),NOT(ISNUMBER('Price History'!T154)),'Price History'!T154=0),"",'Price History'!T155/'Price History'!T154-1),"")</f>
        <v>0.00829787234042545</v>
      </c>
      <c r="U154" s="136" t="str">
        <f aca="false">IFERROR(IF(OR(NOT(ISNUMBER('Price History'!U155)),NOT(ISNUMBER('Price History'!U154)),'Price History'!U154=0),"",'Price History'!U155/'Price History'!U154-1),"")</f>
        <v/>
      </c>
      <c r="W154" s="137" t="n">
        <f aca="false">'Price History'!B3+('Price History'!B158-'Price History'!B3)*0.980519480519481</f>
        <v>255.436753246753</v>
      </c>
      <c r="X154" s="137" t="n">
        <f aca="false">'Price History'!C3+('Price History'!C158-'Price History'!C3)*0.980519480519481</f>
        <v>177.688766233766</v>
      </c>
      <c r="Y154" s="137" t="n">
        <f aca="false">'Price History'!D3+('Price History'!D158-'Price History'!D3)*0.980519480519481</f>
        <v>1610.15805194805</v>
      </c>
      <c r="Z154" s="137" t="n">
        <f aca="false">'Price History'!E3+('Price History'!E158-'Price History'!E3)*0.980519480519481</f>
        <v>383.313116883117</v>
      </c>
      <c r="AA154" s="137" t="n">
        <f aca="false">'Price History'!F3+('Price History'!F158-'Price History'!F3)*0.980519480519481</f>
        <v>187.863896103896</v>
      </c>
      <c r="AB154" s="137" t="n">
        <f aca="false">'Price History'!G3+('Price History'!G158-'Price History'!G3)*0.980519480519481</f>
        <v>180.191688311688</v>
      </c>
      <c r="AC154" s="137" t="n">
        <f aca="false">'Price History'!H3+('Price History'!H158-'Price History'!H3)*0.980519480519481</f>
        <v>808.250909090909</v>
      </c>
      <c r="AD154" s="137" t="n">
        <f aca="false">'Price History'!I3+('Price History'!I158-'Price History'!I3)*0.980519480519481</f>
        <v>197.635064935065</v>
      </c>
      <c r="AE154" s="137" t="n">
        <f aca="false">'Price History'!J3+('Price History'!J158-'Price History'!J3)*0.980519480519481</f>
        <v>144.198961038961</v>
      </c>
      <c r="AF154" s="137" t="n">
        <f aca="false">'Price History'!K3+('Price History'!K158-'Price History'!K3)*0.980519480519481</f>
        <v>120.962922077922</v>
      </c>
      <c r="AG154" s="137" t="n">
        <f aca="false">'Price History'!L3+('Price History'!L158-'Price History'!L3)*0.980519480519481</f>
        <v>398.167012987013</v>
      </c>
      <c r="AH154" s="137" t="n">
        <f aca="false">'Price History'!M3+('Price History'!M158-'Price History'!M3)*0.980519480519481</f>
        <v>237.516883116883</v>
      </c>
      <c r="AI154" s="137" t="n">
        <f aca="false">'Price History'!N3+('Price History'!N158-'Price History'!N3)*0.980519480519481</f>
        <v>474.621298701299</v>
      </c>
      <c r="AJ154" s="137" t="n">
        <f aca="false">'Price History'!O3+('Price History'!O158-'Price History'!O3)*0.980519480519481</f>
        <v>124.453441558442</v>
      </c>
      <c r="AK154" s="137" t="n">
        <f aca="false">'Price History'!Q3+('Price History'!Q151-'Price History'!Q3)*0.980519480519481</f>
        <v>68.0874675324675</v>
      </c>
      <c r="AL154" s="137" t="n">
        <f aca="false">'Price History'!R3+('Price History'!R158-'Price History'!R3)*0.980519480519481</f>
        <v>58.0468181818182</v>
      </c>
      <c r="AM154" s="137" t="n">
        <f aca="false">'Price History'!S3+('Price History'!S158-'Price History'!S3)*0.980519480519481</f>
        <v>142.168506493507</v>
      </c>
      <c r="AN154" s="137" t="n">
        <f aca="false">'Price History'!T3+('Price History'!T158-'Price History'!T3)*0.980519480519481</f>
        <v>49.2952597402598</v>
      </c>
    </row>
    <row r="155" customFormat="false" ht="15" hidden="false" customHeight="true" outlineLevel="0" collapsed="false">
      <c r="A155" s="135" t="n">
        <f aca="false">IF('Price History'!A156="","",'Price History'!A156)</f>
        <v>46220</v>
      </c>
      <c r="B155" s="136" t="n">
        <f aca="false">IFERROR(IF(OR(NOT(ISNUMBER('Price History'!B156)),NOT(ISNUMBER('Price History'!B155)),'Price History'!B155=0),"",'Price History'!B156/'Price History'!B155-1),"")</f>
        <v>0.0608567340368449</v>
      </c>
      <c r="C155" s="136" t="n">
        <f aca="false">IFERROR(IF(OR(NOT(ISNUMBER('Price History'!C156)),NOT(ISNUMBER('Price History'!C155)),'Price History'!C155=0),"",'Price History'!C156/'Price History'!C155-1),"")</f>
        <v>-0.0981493367565254</v>
      </c>
      <c r="D155" s="136" t="n">
        <f aca="false">IFERROR(IF(OR(NOT(ISNUMBER('Price History'!D156)),NOT(ISNUMBER('Price History'!D155)),'Price History'!D155=0),"",'Price History'!D156/'Price History'!D155-1),"")</f>
        <v>-0.027674537644938</v>
      </c>
      <c r="E155" s="136" t="n">
        <f aca="false">IFERROR(IF(OR(NOT(ISNUMBER('Price History'!E156)),NOT(ISNUMBER('Price History'!E155)),'Price History'!E155=0),"",'Price History'!E156/'Price History'!E155-1),"")</f>
        <v>-0.0728554641598121</v>
      </c>
      <c r="F155" s="136" t="n">
        <f aca="false">IFERROR(IF(OR(NOT(ISNUMBER('Price History'!F156)),NOT(ISNUMBER('Price History'!F155)),'Price History'!F155=0),"",'Price History'!F156/'Price History'!F155-1),"")</f>
        <v>0.0849449727534994</v>
      </c>
      <c r="G155" s="136" t="n">
        <f aca="false">IFERROR(IF(OR(NOT(ISNUMBER('Price History'!G156)),NOT(ISNUMBER('Price History'!G155)),'Price History'!G155=0),"",'Price History'!G156/'Price History'!G155-1),"")</f>
        <v>-0.0810729094678646</v>
      </c>
      <c r="H155" s="136" t="n">
        <f aca="false">IFERROR(IF(OR(NOT(ISNUMBER('Price History'!H156)),NOT(ISNUMBER('Price History'!H155)),'Price History'!H155=0),"",'Price History'!H156/'Price History'!H155-1),"")</f>
        <v>-0.133105279281119</v>
      </c>
      <c r="I155" s="136" t="n">
        <f aca="false">IFERROR(IF(OR(NOT(ISNUMBER('Price History'!I156)),NOT(ISNUMBER('Price History'!I155)),'Price History'!I155=0),"",'Price History'!I156/'Price History'!I155-1),"")</f>
        <v>-0.0386329161926432</v>
      </c>
      <c r="J155" s="136" t="n">
        <f aca="false">IFERROR(IF(OR(NOT(ISNUMBER('Price History'!J156)),NOT(ISNUMBER('Price History'!J155)),'Price History'!J155=0),"",'Price History'!J156/'Price History'!J155-1),"")</f>
        <v>0.0633207922197769</v>
      </c>
      <c r="K155" s="136" t="n">
        <f aca="false">IFERROR(IF(OR(NOT(ISNUMBER('Price History'!K156)),NOT(ISNUMBER('Price History'!K155)),'Price History'!K155=0),"",'Price History'!K156/'Price History'!K155-1),"")</f>
        <v>0.0440886505244893</v>
      </c>
      <c r="L155" s="136" t="n">
        <f aca="false">IFERROR(IF(OR(NOT(ISNUMBER('Price History'!L156)),NOT(ISNUMBER('Price History'!L155)),'Price History'!L155=0),"",'Price History'!L156/'Price History'!L155-1),"")</f>
        <v>-0.0823293635253738</v>
      </c>
      <c r="M155" s="136" t="n">
        <f aca="false">IFERROR(IF(OR(NOT(ISNUMBER('Price History'!M156)),NOT(ISNUMBER('Price History'!M155)),'Price History'!M155=0),"",'Price History'!M156/'Price History'!M155-1),"")</f>
        <v>-0.0918898576177634</v>
      </c>
      <c r="N155" s="136" t="n">
        <f aca="false">IFERROR(IF(OR(NOT(ISNUMBER('Price History'!N156)),NOT(ISNUMBER('Price History'!N155)),'Price History'!N155=0),"",'Price History'!N156/'Price History'!N155-1),"")</f>
        <v>0.000535651743958532</v>
      </c>
      <c r="O155" s="136" t="n">
        <f aca="false">IFERROR(IF(OR(NOT(ISNUMBER('Price History'!O156)),NOT(ISNUMBER('Price History'!O155)),'Price History'!O155=0),"",'Price History'!O156/'Price History'!O155-1),"")</f>
        <v>0.0112948769665187</v>
      </c>
      <c r="P155" s="136" t="str">
        <f aca="false">IFERROR(IF(OR(NOT(ISNUMBER('Price History'!P156)),NOT(ISNUMBER('Price History'!P155)),'Price History'!P155=0),"",'Price History'!P156/'Price History'!P155-1),"")</f>
        <v/>
      </c>
      <c r="Q155" s="136" t="str">
        <f aca="false">IFERROR(IF(OR(NOT(ISNUMBER('Price History'!Q156)),NOT(ISNUMBER('Price History'!Q155)),'Price History'!Q155=0),"",'Price History'!Q156/'Price History'!Q155-1),"")</f>
        <v/>
      </c>
      <c r="R155" s="136" t="n">
        <f aca="false">IFERROR(IF(OR(NOT(ISNUMBER('Price History'!R156)),NOT(ISNUMBER('Price History'!R155)),'Price History'!R155=0),"",'Price History'!R156/'Price History'!R155-1),"")</f>
        <v>-0.0330523880350355</v>
      </c>
      <c r="S155" s="136" t="n">
        <f aca="false">IFERROR(IF(OR(NOT(ISNUMBER('Price History'!S156)),NOT(ISNUMBER('Price History'!S155)),'Price History'!S155=0),"",'Price History'!S156/'Price History'!S155-1),"")</f>
        <v>-0.0641300813008131</v>
      </c>
      <c r="T155" s="136" t="n">
        <f aca="false">IFERROR(IF(OR(NOT(ISNUMBER('Price History'!T156)),NOT(ISNUMBER('Price History'!T155)),'Price History'!T155=0),"",'Price History'!T156/'Price History'!T155-1),"")</f>
        <v>0.0086516142646127</v>
      </c>
      <c r="U155" s="136" t="str">
        <f aca="false">IFERROR(IF(OR(NOT(ISNUMBER('Price History'!U156)),NOT(ISNUMBER('Price History'!U155)),'Price History'!U155=0),"",'Price History'!U156/'Price History'!U155-1),"")</f>
        <v/>
      </c>
      <c r="W155" s="137" t="n">
        <f aca="false">'Price History'!B3+('Price History'!B158-'Price History'!B3)*0.987012987012987</f>
        <v>253.761168831169</v>
      </c>
      <c r="X155" s="137" t="n">
        <f aca="false">'Price History'!C3+('Price History'!C158-'Price History'!C3)*0.987012987012987</f>
        <v>178.575844155844</v>
      </c>
      <c r="Y155" s="137" t="n">
        <f aca="false">'Price History'!D3+('Price History'!D158-'Price History'!D3)*0.987012987012987</f>
        <v>1616.4387012987</v>
      </c>
      <c r="Z155" s="137" t="n">
        <f aca="false">'Price History'!E3+('Price History'!E158-'Price History'!E3)*0.987012987012987</f>
        <v>385.302077922078</v>
      </c>
      <c r="AA155" s="137" t="n">
        <f aca="false">'Price History'!F3+('Price History'!F158-'Price History'!F3)*0.987012987012987</f>
        <v>188.862597402597</v>
      </c>
      <c r="AB155" s="137" t="n">
        <f aca="false">'Price History'!G3+('Price History'!G158-'Price History'!G3)*0.987012987012987</f>
        <v>181.067792207792</v>
      </c>
      <c r="AC155" s="137" t="n">
        <f aca="false">'Price History'!H3+('Price History'!H158-'Price History'!H3)*0.987012987012987</f>
        <v>813.177272727273</v>
      </c>
      <c r="AD155" s="137" t="n">
        <f aca="false">'Price History'!I3+('Price History'!I158-'Price History'!I3)*0.987012987012987</f>
        <v>198.673376623377</v>
      </c>
      <c r="AE155" s="137" t="n">
        <f aca="false">'Price History'!J3+('Price History'!J158-'Price History'!J3)*0.987012987012987</f>
        <v>144.335974025974</v>
      </c>
      <c r="AF155" s="137" t="n">
        <f aca="false">'Price History'!K3+('Price History'!K158-'Price History'!K3)*0.987012987012987</f>
        <v>121.661948051948</v>
      </c>
      <c r="AG155" s="137" t="n">
        <f aca="false">'Price History'!L3+('Price History'!L158-'Price History'!L3)*0.987012987012987</f>
        <v>400.194675324675</v>
      </c>
      <c r="AH155" s="137" t="n">
        <f aca="false">'Price History'!M3+('Price History'!M158-'Price History'!M3)*0.987012987012987</f>
        <v>238.867922077922</v>
      </c>
      <c r="AI155" s="137" t="n">
        <f aca="false">'Price History'!N3+('Price History'!N158-'Price History'!N3)*0.987012987012987</f>
        <v>475.447532467533</v>
      </c>
      <c r="AJ155" s="137" t="n">
        <f aca="false">'Price History'!O3+('Price History'!O158-'Price History'!O3)*0.987012987012987</f>
        <v>124.728961038961</v>
      </c>
      <c r="AK155" s="137" t="n">
        <f aca="false">'Price History'!Q3+('Price History'!Q151-'Price History'!Q3)*0.987012987012987</f>
        <v>68.2083116883117</v>
      </c>
      <c r="AL155" s="137" t="n">
        <f aca="false">'Price History'!R3+('Price History'!R158-'Price History'!R3)*0.987012987012987</f>
        <v>58.1145454545455</v>
      </c>
      <c r="AM155" s="137" t="n">
        <f aca="false">'Price History'!S3+('Price History'!S158-'Price History'!S3)*0.987012987012987</f>
        <v>142.722337662338</v>
      </c>
      <c r="AN155" s="137" t="n">
        <f aca="false">'Price History'!T3+('Price History'!T158-'Price History'!T3)*0.987012987012987</f>
        <v>49.4435064935065</v>
      </c>
    </row>
    <row r="156" customFormat="false" ht="15" hidden="false" customHeight="true" outlineLevel="0" collapsed="false">
      <c r="A156" s="135" t="n">
        <f aca="false">IF('Price History'!A157="","",'Price History'!A157)</f>
        <v>46227</v>
      </c>
      <c r="B156" s="136" t="n">
        <f aca="false">IFERROR(IF(OR(NOT(ISNUMBER('Price History'!B157)),NOT(ISNUMBER('Price History'!B156)),'Price History'!B156=0),"",'Price History'!B157/'Price History'!B156-1),"")</f>
        <v>-0.0511696522655426</v>
      </c>
      <c r="C156" s="136" t="n">
        <f aca="false">IFERROR(IF(OR(NOT(ISNUMBER('Price History'!C157)),NOT(ISNUMBER('Price History'!C156)),'Price History'!C156=0),"",'Price History'!C157/'Price History'!C156-1),"")</f>
        <v>0.0319079532649309</v>
      </c>
      <c r="D156" s="136" t="n">
        <f aca="false">IFERROR(IF(OR(NOT(ISNUMBER('Price History'!D157)),NOT(ISNUMBER('Price History'!D156)),'Price History'!D156=0),"",'Price History'!D157/'Price History'!D156-1),"")</f>
        <v>0.00544181096144381</v>
      </c>
      <c r="E156" s="136" t="n">
        <f aca="false">IFERROR(IF(OR(NOT(ISNUMBER('Price History'!E157)),NOT(ISNUMBER('Price History'!E156)),'Price History'!E156=0),"",'Price History'!E157/'Price History'!E156-1),"")</f>
        <v>0.0299058867944881</v>
      </c>
      <c r="F156" s="136" t="n">
        <f aca="false">IFERROR(IF(OR(NOT(ISNUMBER('Price History'!F157)),NOT(ISNUMBER('Price History'!F156)),'Price History'!F156=0),"",'Price History'!F157/'Price History'!F156-1),"")</f>
        <v>-0.0974985227496553</v>
      </c>
      <c r="G156" s="136" t="n">
        <f aca="false">IFERROR(IF(OR(NOT(ISNUMBER('Price History'!G157)),NOT(ISNUMBER('Price History'!G156)),'Price History'!G156=0),"",'Price History'!G157/'Price History'!G156-1),"")</f>
        <v>-0.01048178613396</v>
      </c>
      <c r="H156" s="136" t="n">
        <f aca="false">IFERROR(IF(OR(NOT(ISNUMBER('Price History'!H157)),NOT(ISNUMBER('Price History'!H156)),'Price History'!H156=0),"",'Price History'!H157/'Price History'!H156-1),"")</f>
        <v>0.0848106484480828</v>
      </c>
      <c r="I156" s="136" t="n">
        <f aca="false">IFERROR(IF(OR(NOT(ISNUMBER('Price History'!I157)),NOT(ISNUMBER('Price History'!I156)),'Price History'!I156=0),"",'Price History'!I157/'Price History'!I156-1),"")</f>
        <v>0.0198708150485676</v>
      </c>
      <c r="J156" s="136" t="n">
        <f aca="false">IFERROR(IF(OR(NOT(ISNUMBER('Price History'!J157)),NOT(ISNUMBER('Price History'!J156)),'Price History'!J156=0),"",'Price History'!J157/'Price History'!J156-1),"")</f>
        <v>-0.0144201882635689</v>
      </c>
      <c r="K156" s="136" t="n">
        <f aca="false">IFERROR(IF(OR(NOT(ISNUMBER('Price History'!K157)),NOT(ISNUMBER('Price History'!K156)),'Price History'!K156=0),"",'Price History'!K157/'Price History'!K156-1),"")</f>
        <v>-0.0714609457621996</v>
      </c>
      <c r="L156" s="136" t="n">
        <f aca="false">IFERROR(IF(OR(NOT(ISNUMBER('Price History'!L157)),NOT(ISNUMBER('Price History'!L156)),'Price History'!L156=0),"",'Price History'!L157/'Price History'!L156-1),"")</f>
        <v>0.0126515550869795</v>
      </c>
      <c r="M156" s="136" t="n">
        <f aca="false">IFERROR(IF(OR(NOT(ISNUMBER('Price History'!M157)),NOT(ISNUMBER('Price History'!M156)),'Price History'!M156=0),"",'Price History'!M157/'Price History'!M156-1),"")</f>
        <v>0.0027628125431689</v>
      </c>
      <c r="N156" s="136" t="n">
        <f aca="false">IFERROR(IF(OR(NOT(ISNUMBER('Price History'!N157)),NOT(ISNUMBER('Price History'!N156)),'Price History'!N156=0),"",'Price History'!N157/'Price History'!N156-1),"")</f>
        <v>-0.0170699063111294</v>
      </c>
      <c r="O156" s="136" t="n">
        <f aca="false">IFERROR(IF(OR(NOT(ISNUMBER('Price History'!O157)),NOT(ISNUMBER('Price History'!O156)),'Price History'!O156=0),"",'Price History'!O157/'Price History'!O156-1),"")</f>
        <v>-0.000558436378141125</v>
      </c>
      <c r="P156" s="136" t="str">
        <f aca="false">IFERROR(IF(OR(NOT(ISNUMBER('Price History'!P157)),NOT(ISNUMBER('Price History'!P156)),'Price History'!P156=0),"",'Price History'!P157/'Price History'!P156-1),"")</f>
        <v/>
      </c>
      <c r="Q156" s="136" t="str">
        <f aca="false">IFERROR(IF(OR(NOT(ISNUMBER('Price History'!Q157)),NOT(ISNUMBER('Price History'!Q156)),'Price History'!Q156=0),"",'Price History'!Q157/'Price History'!Q156-1),"")</f>
        <v/>
      </c>
      <c r="R156" s="136" t="n">
        <f aca="false">IFERROR(IF(OR(NOT(ISNUMBER('Price History'!R157)),NOT(ISNUMBER('Price History'!R156)),'Price History'!R156=0),"",'Price History'!R157/'Price History'!R156-1),"")</f>
        <v>-0.0094001025465732</v>
      </c>
      <c r="S156" s="136" t="n">
        <f aca="false">IFERROR(IF(OR(NOT(ISNUMBER('Price History'!S157)),NOT(ISNUMBER('Price History'!S156)),'Price History'!S156=0),"",'Price History'!S157/'Price History'!S156-1),"")</f>
        <v>0.0182083536034472</v>
      </c>
      <c r="T156" s="136" t="n">
        <f aca="false">IFERROR(IF(OR(NOT(ISNUMBER('Price History'!T157)),NOT(ISNUMBER('Price History'!T156)),'Price History'!T156=0),"",'Price History'!T157/'Price History'!T156-1),"")</f>
        <v>0.00711297071129713</v>
      </c>
      <c r="U156" s="136" t="str">
        <f aca="false">IFERROR(IF(OR(NOT(ISNUMBER('Price History'!U157)),NOT(ISNUMBER('Price History'!U156)),'Price History'!U156=0),"",'Price History'!U157/'Price History'!U156-1),"")</f>
        <v/>
      </c>
      <c r="W156" s="137" t="n">
        <f aca="false">'Price History'!B3+('Price History'!B158-'Price History'!B3)*0.993506493506494</f>
        <v>252.085584415584</v>
      </c>
      <c r="X156" s="137" t="n">
        <f aca="false">'Price History'!C3+('Price History'!C158-'Price History'!C3)*0.993506493506494</f>
        <v>179.462922077922</v>
      </c>
      <c r="Y156" s="137" t="n">
        <f aca="false">'Price History'!D3+('Price History'!D158-'Price History'!D3)*0.993506493506494</f>
        <v>1622.71935064935</v>
      </c>
      <c r="Z156" s="137" t="n">
        <f aca="false">'Price History'!E3+('Price History'!E158-'Price History'!E3)*0.993506493506494</f>
        <v>387.291038961039</v>
      </c>
      <c r="AA156" s="137" t="n">
        <f aca="false">'Price History'!F3+('Price History'!F158-'Price History'!F3)*0.993506493506494</f>
        <v>189.861298701299</v>
      </c>
      <c r="AB156" s="137" t="n">
        <f aca="false">'Price History'!G3+('Price History'!G158-'Price History'!G3)*0.993506493506494</f>
        <v>181.943896103896</v>
      </c>
      <c r="AC156" s="137" t="n">
        <f aca="false">'Price History'!H3+('Price History'!H158-'Price History'!H3)*0.993506493506494</f>
        <v>818.103636363637</v>
      </c>
      <c r="AD156" s="137" t="n">
        <f aca="false">'Price History'!I3+('Price History'!I158-'Price History'!I3)*0.993506493506494</f>
        <v>199.711688311688</v>
      </c>
      <c r="AE156" s="137" t="n">
        <f aca="false">'Price History'!J3+('Price History'!J158-'Price History'!J3)*0.993506493506494</f>
        <v>144.472987012987</v>
      </c>
      <c r="AF156" s="137" t="n">
        <f aca="false">'Price History'!K3+('Price History'!K158-'Price History'!K3)*0.993506493506494</f>
        <v>122.360974025974</v>
      </c>
      <c r="AG156" s="137" t="n">
        <f aca="false">'Price History'!L3+('Price History'!L158-'Price History'!L3)*0.993506493506494</f>
        <v>402.222337662338</v>
      </c>
      <c r="AH156" s="137" t="n">
        <f aca="false">'Price History'!M3+('Price History'!M158-'Price History'!M3)*0.993506493506494</f>
        <v>240.218961038961</v>
      </c>
      <c r="AI156" s="137" t="n">
        <f aca="false">'Price History'!N3+('Price History'!N158-'Price History'!N3)*0.993506493506494</f>
        <v>476.273766233766</v>
      </c>
      <c r="AJ156" s="137" t="n">
        <f aca="false">'Price History'!O3+('Price History'!O158-'Price History'!O3)*0.993506493506494</f>
        <v>125.004480519481</v>
      </c>
      <c r="AK156" s="137" t="n">
        <f aca="false">'Price History'!Q3+('Price History'!Q151-'Price History'!Q3)*0.993506493506494</f>
        <v>68.3291558441559</v>
      </c>
      <c r="AL156" s="137" t="n">
        <f aca="false">'Price History'!R3+('Price History'!R158-'Price History'!R3)*0.993506493506494</f>
        <v>58.1822727272727</v>
      </c>
      <c r="AM156" s="137" t="n">
        <f aca="false">'Price History'!S3+('Price History'!S158-'Price History'!S3)*0.993506493506494</f>
        <v>143.276168831169</v>
      </c>
      <c r="AN156" s="137" t="n">
        <f aca="false">'Price History'!T3+('Price History'!T158-'Price History'!T3)*0.993506493506494</f>
        <v>49.5917532467533</v>
      </c>
    </row>
    <row r="157" customFormat="false" ht="15" hidden="false" customHeight="true" outlineLevel="0" collapsed="false">
      <c r="A157" s="135" t="n">
        <f aca="false">IF('Price History'!A158="","",'Price History'!A158)</f>
        <v>46234</v>
      </c>
      <c r="B157" s="136" t="n">
        <f aca="false">IFERROR(IF(OR(NOT(ISNUMBER('Price History'!B158)),NOT(ISNUMBER('Price History'!B157)),'Price History'!B157=0),"",'Price History'!B158/'Price History'!B157-1),"")</f>
        <v>0.112389498467416</v>
      </c>
      <c r="C157" s="136" t="n">
        <f aca="false">IFERROR(IF(OR(NOT(ISNUMBER('Price History'!C158)),NOT(ISNUMBER('Price History'!C157)),'Price History'!C157=0),"",'Price History'!C158/'Price History'!C157-1),"")</f>
        <v>0.0365538249324673</v>
      </c>
      <c r="D157" s="136" t="n">
        <f aca="false">IFERROR(IF(OR(NOT(ISNUMBER('Price History'!D158)),NOT(ISNUMBER('Price History'!D157)),'Price History'!D157=0),"",'Price History'!D158/'Price History'!D157-1),"")</f>
        <v>-0.0728989408624486</v>
      </c>
      <c r="E157" s="136" t="n">
        <f aca="false">IFERROR(IF(OR(NOT(ISNUMBER('Price History'!E158)),NOT(ISNUMBER('Price History'!E157)),'Price History'!E157=0),"",'Price History'!E158/'Price History'!E157-1),"")</f>
        <v>0.0192710515291159</v>
      </c>
      <c r="F157" s="136" t="n">
        <f aca="false">IFERROR(IF(OR(NOT(ISNUMBER('Price History'!F158)),NOT(ISNUMBER('Price History'!F157)),'Price History'!F157=0),"",'Price History'!F158/'Price History'!F157-1),"")</f>
        <v>0.0413574858140551</v>
      </c>
      <c r="G157" s="136" t="n">
        <f aca="false">IFERROR(IF(OR(NOT(ISNUMBER('Price History'!G158)),NOT(ISNUMBER('Price History'!G157)),'Price History'!G157=0),"",'Price History'!G158/'Price History'!G157-1),"")</f>
        <v>-0.131578947368421</v>
      </c>
      <c r="H157" s="136" t="n">
        <f aca="false">IFERROR(IF(OR(NOT(ISNUMBER('Price History'!H158)),NOT(ISNUMBER('Price History'!H157)),'Price History'!H157=0),"",'Price History'!H158/'Price History'!H157-1),"")</f>
        <v>-0.106324990498941</v>
      </c>
      <c r="I157" s="136" t="n">
        <f aca="false">IFERROR(IF(OR(NOT(ISNUMBER('Price History'!I158)),NOT(ISNUMBER('Price History'!I157)),'Price History'!I157=0),"",'Price History'!I158/'Price History'!I157-1),"")</f>
        <v>-0.0294430477663895</v>
      </c>
      <c r="J157" s="136" t="n">
        <f aca="false">IFERROR(IF(OR(NOT(ISNUMBER('Price History'!J158)),NOT(ISNUMBER('Price History'!J157)),'Price History'!J157=0),"",'Price History'!J158/'Price History'!J157-1),"")</f>
        <v>-0.0204565467723361</v>
      </c>
      <c r="K157" s="136" t="n">
        <f aca="false">IFERROR(IF(OR(NOT(ISNUMBER('Price History'!K158)),NOT(ISNUMBER('Price History'!K157)),'Price History'!K157=0),"",'Price History'!K158/'Price History'!K157-1),"")</f>
        <v>0.00113895216400906</v>
      </c>
      <c r="L157" s="136" t="n">
        <f aca="false">IFERROR(IF(OR(NOT(ISNUMBER('Price History'!L158)),NOT(ISNUMBER('Price History'!L157)),'Price History'!L157=0),"",'Price History'!L158/'Price History'!L157-1),"")</f>
        <v>0.00208224882873487</v>
      </c>
      <c r="M157" s="136" t="n">
        <f aca="false">IFERROR(IF(OR(NOT(ISNUMBER('Price History'!M158)),NOT(ISNUMBER('Price History'!M157)),'Price History'!M157=0),"",'Price History'!M158/'Price History'!M157-1),"")</f>
        <v>-0.168032786885246</v>
      </c>
      <c r="N157" s="136" t="n">
        <f aca="false">IFERROR(IF(OR(NOT(ISNUMBER('Price History'!N158)),NOT(ISNUMBER('Price History'!N157)),'Price History'!N157=0),"",'Price History'!N158/'Price History'!N157-1),"")</f>
        <v>-0.000544662309368227</v>
      </c>
      <c r="O157" s="136" t="n">
        <f aca="false">IFERROR(IF(OR(NOT(ISNUMBER('Price History'!O158)),NOT(ISNUMBER('Price History'!O157)),'Price History'!O157=0),"",'Price History'!O158/'Price History'!O157-1),"")</f>
        <v>0</v>
      </c>
      <c r="P157" s="136" t="str">
        <f aca="false">IFERROR(IF(OR(NOT(ISNUMBER('Price History'!P158)),NOT(ISNUMBER('Price History'!P157)),'Price History'!P157=0),"",'Price History'!P158/'Price History'!P157-1),"")</f>
        <v/>
      </c>
      <c r="Q157" s="136" t="str">
        <f aca="false">IFERROR(IF(OR(NOT(ISNUMBER('Price History'!Q158)),NOT(ISNUMBER('Price History'!Q157)),'Price History'!Q157=0),"",'Price History'!Q158/'Price History'!Q157-1),"")</f>
        <v/>
      </c>
      <c r="R157" s="136" t="n">
        <f aca="false">IFERROR(IF(OR(NOT(ISNUMBER('Price History'!R158)),NOT(ISNUMBER('Price History'!R157)),'Price History'!R157=0),"",'Price History'!R158/'Price History'!R157-1),"")</f>
        <v>0.00500345065562446</v>
      </c>
      <c r="S157" s="136" t="n">
        <f aca="false">IFERROR(IF(OR(NOT(ISNUMBER('Price History'!S158)),NOT(ISNUMBER('Price History'!S157)),'Price History'!S157=0),"",'Price History'!S158/'Price History'!S157-1),"")</f>
        <v>-0.0182922667394716</v>
      </c>
      <c r="T157" s="136" t="n">
        <f aca="false">IFERROR(IF(OR(NOT(ISNUMBER('Price History'!T158)),NOT(ISNUMBER('Price History'!T157)),'Price History'!T157=0),"",'Price History'!T158/'Price History'!T157-1),"")</f>
        <v>0.0332363938512672</v>
      </c>
      <c r="U157" s="136" t="str">
        <f aca="false">IFERROR(IF(OR(NOT(ISNUMBER('Price History'!U158)),NOT(ISNUMBER('Price History'!U157)),'Price History'!U157=0),"",'Price History'!U158/'Price History'!U157-1),"")</f>
        <v/>
      </c>
      <c r="W157" s="137" t="n">
        <f aca="false">'Price History'!B3+('Price History'!B158-'Price History'!B3)*1</f>
        <v>250.41</v>
      </c>
      <c r="X157" s="137" t="n">
        <f aca="false">'Price History'!C3+('Price History'!C158-'Price History'!C3)*1</f>
        <v>180.35</v>
      </c>
      <c r="Y157" s="137" t="n">
        <f aca="false">'Price History'!D3+('Price History'!D158-'Price History'!D3)*1</f>
        <v>1629</v>
      </c>
      <c r="Z157" s="137" t="n">
        <f aca="false">'Price History'!E3+('Price History'!E158-'Price History'!E3)*1</f>
        <v>389.28</v>
      </c>
      <c r="AA157" s="137" t="n">
        <f aca="false">'Price History'!F3+('Price History'!F158-'Price History'!F3)*1</f>
        <v>190.86</v>
      </c>
      <c r="AB157" s="137" t="n">
        <f aca="false">'Price History'!G3+('Price History'!G158-'Price History'!G3)*1</f>
        <v>182.82</v>
      </c>
      <c r="AC157" s="137" t="n">
        <f aca="false">'Price History'!H3+('Price History'!H158-'Price History'!H3)*1</f>
        <v>823.03</v>
      </c>
      <c r="AD157" s="137" t="n">
        <f aca="false">'Price History'!I3+('Price History'!I158-'Price History'!I3)*1</f>
        <v>200.75</v>
      </c>
      <c r="AE157" s="137" t="n">
        <f aca="false">'Price History'!J3+('Price History'!J158-'Price History'!J3)*1</f>
        <v>144.61</v>
      </c>
      <c r="AF157" s="137" t="n">
        <f aca="false">'Price History'!K3+('Price History'!K158-'Price History'!K3)*1</f>
        <v>123.06</v>
      </c>
      <c r="AG157" s="137" t="n">
        <f aca="false">'Price History'!L3+('Price History'!L158-'Price History'!L3)*1</f>
        <v>404.25</v>
      </c>
      <c r="AH157" s="137" t="n">
        <f aca="false">'Price History'!M3+('Price History'!M158-'Price History'!M3)*1</f>
        <v>241.57</v>
      </c>
      <c r="AI157" s="137" t="n">
        <f aca="false">'Price History'!N3+('Price History'!N158-'Price History'!N3)*1</f>
        <v>477.1</v>
      </c>
      <c r="AJ157" s="137" t="n">
        <f aca="false">'Price History'!O3+('Price History'!O158-'Price History'!O3)*1</f>
        <v>125.28</v>
      </c>
      <c r="AK157" s="137" t="n">
        <f aca="false">'Price History'!Q3+('Price History'!Q151-'Price History'!Q3)*1</f>
        <v>68.45</v>
      </c>
      <c r="AL157" s="137" t="n">
        <f aca="false">'Price History'!R3+('Price History'!R158-'Price History'!R3)*1</f>
        <v>58.25</v>
      </c>
      <c r="AM157" s="137" t="n">
        <f aca="false">'Price History'!S3+('Price History'!S158-'Price History'!S3)*1</f>
        <v>143.83</v>
      </c>
      <c r="AN157" s="137" t="n">
        <f aca="false">'Price History'!T3+('Price History'!T158-'Price History'!T3)*1</f>
        <v>49.74</v>
      </c>
    </row>
    <row r="158" customFormat="false" ht="15" hidden="false" customHeight="true" outlineLevel="0" collapsed="false">
      <c r="A158" s="135" t="str">
        <f aca="false">IF('Price History'!A159="","",'Price History'!A159)</f>
        <v/>
      </c>
      <c r="B158" s="136" t="str">
        <f aca="false">IFERROR(IF(OR(NOT(ISNUMBER('Price History'!B159)),NOT(ISNUMBER('Price History'!B158)),'Price History'!B158=0),"",'Price History'!B159/'Price History'!B158-1),"")</f>
        <v/>
      </c>
      <c r="C158" s="136" t="str">
        <f aca="false">IFERROR(IF(OR(NOT(ISNUMBER('Price History'!C159)),NOT(ISNUMBER('Price History'!C158)),'Price History'!C158=0),"",'Price History'!C159/'Price History'!C158-1),"")</f>
        <v/>
      </c>
      <c r="D158" s="136" t="str">
        <f aca="false">IFERROR(IF(OR(NOT(ISNUMBER('Price History'!D159)),NOT(ISNUMBER('Price History'!D158)),'Price History'!D158=0),"",'Price History'!D159/'Price History'!D158-1),"")</f>
        <v/>
      </c>
      <c r="E158" s="136" t="str">
        <f aca="false">IFERROR(IF(OR(NOT(ISNUMBER('Price History'!E159)),NOT(ISNUMBER('Price History'!E158)),'Price History'!E158=0),"",'Price History'!E159/'Price History'!E158-1),"")</f>
        <v/>
      </c>
      <c r="F158" s="136" t="str">
        <f aca="false">IFERROR(IF(OR(NOT(ISNUMBER('Price History'!F159)),NOT(ISNUMBER('Price History'!F158)),'Price History'!F158=0),"",'Price History'!F159/'Price History'!F158-1),"")</f>
        <v/>
      </c>
      <c r="G158" s="136" t="str">
        <f aca="false">IFERROR(IF(OR(NOT(ISNUMBER('Price History'!G159)),NOT(ISNUMBER('Price History'!G158)),'Price History'!G158=0),"",'Price History'!G159/'Price History'!G158-1),"")</f>
        <v/>
      </c>
      <c r="H158" s="136" t="str">
        <f aca="false">IFERROR(IF(OR(NOT(ISNUMBER('Price History'!H159)),NOT(ISNUMBER('Price History'!H158)),'Price History'!H158=0),"",'Price History'!H159/'Price History'!H158-1),"")</f>
        <v/>
      </c>
      <c r="I158" s="136" t="str">
        <f aca="false">IFERROR(IF(OR(NOT(ISNUMBER('Price History'!I159)),NOT(ISNUMBER('Price History'!I158)),'Price History'!I158=0),"",'Price History'!I159/'Price History'!I158-1),"")</f>
        <v/>
      </c>
      <c r="J158" s="136" t="str">
        <f aca="false">IFERROR(IF(OR(NOT(ISNUMBER('Price History'!J159)),NOT(ISNUMBER('Price History'!J158)),'Price History'!J158=0),"",'Price History'!J159/'Price History'!J158-1),"")</f>
        <v/>
      </c>
      <c r="K158" s="136" t="str">
        <f aca="false">IFERROR(IF(OR(NOT(ISNUMBER('Price History'!K159)),NOT(ISNUMBER('Price History'!K158)),'Price History'!K158=0),"",'Price History'!K159/'Price History'!K158-1),"")</f>
        <v/>
      </c>
      <c r="L158" s="136" t="str">
        <f aca="false">IFERROR(IF(OR(NOT(ISNUMBER('Price History'!L159)),NOT(ISNUMBER('Price History'!L158)),'Price History'!L158=0),"",'Price History'!L159/'Price History'!L158-1),"")</f>
        <v/>
      </c>
      <c r="M158" s="136" t="str">
        <f aca="false">IFERROR(IF(OR(NOT(ISNUMBER('Price History'!M159)),NOT(ISNUMBER('Price History'!M158)),'Price History'!M158=0),"",'Price History'!M159/'Price History'!M158-1),"")</f>
        <v/>
      </c>
      <c r="N158" s="136" t="str">
        <f aca="false">IFERROR(IF(OR(NOT(ISNUMBER('Price History'!N159)),NOT(ISNUMBER('Price History'!N158)),'Price History'!N158=0),"",'Price History'!N159/'Price History'!N158-1),"")</f>
        <v/>
      </c>
      <c r="O158" s="136" t="str">
        <f aca="false">IFERROR(IF(OR(NOT(ISNUMBER('Price History'!O159)),NOT(ISNUMBER('Price History'!O158)),'Price History'!O158=0),"",'Price History'!O159/'Price History'!O158-1),"")</f>
        <v/>
      </c>
      <c r="P158" s="136" t="str">
        <f aca="false">IFERROR(IF(OR(NOT(ISNUMBER('Price History'!P159)),NOT(ISNUMBER('Price History'!P158)),'Price History'!P158=0),"",'Price History'!P159/'Price History'!P158-1),"")</f>
        <v/>
      </c>
      <c r="Q158" s="136" t="str">
        <f aca="false">IFERROR(IF(OR(NOT(ISNUMBER('Price History'!Q159)),NOT(ISNUMBER('Price History'!Q158)),'Price History'!Q158=0),"",'Price History'!Q159/'Price History'!Q158-1),"")</f>
        <v/>
      </c>
      <c r="R158" s="136" t="str">
        <f aca="false">IFERROR(IF(OR(NOT(ISNUMBER('Price History'!R159)),NOT(ISNUMBER('Price History'!R158)),'Price History'!R158=0),"",'Price History'!R159/'Price History'!R158-1),"")</f>
        <v/>
      </c>
      <c r="S158" s="136" t="str">
        <f aca="false">IFERROR(IF(OR(NOT(ISNUMBER('Price History'!S159)),NOT(ISNUMBER('Price History'!S158)),'Price History'!S158=0),"",'Price History'!S159/'Price History'!S158-1),"")</f>
        <v/>
      </c>
      <c r="T158" s="136" t="str">
        <f aca="false">IFERROR(IF(OR(NOT(ISNUMBER('Price History'!T159)),NOT(ISNUMBER('Price History'!T158)),'Price History'!T158=0),"",'Price History'!T159/'Price History'!T158-1),"")</f>
        <v/>
      </c>
      <c r="U158" s="136" t="str">
        <f aca="false">IFERROR(IF(OR(NOT(ISNUMBER('Price History'!U159)),NOT(ISNUMBER('Price History'!U158)),'Price History'!U158=0),"",'Price History'!U159/'Price History'!U158-1),"")</f>
        <v/>
      </c>
    </row>
    <row r="159" customFormat="false" ht="15" hidden="false" customHeight="true" outlineLevel="0" collapsed="false">
      <c r="A159" s="135" t="str">
        <f aca="false">IF('Price History'!A160="","",'Price History'!A160)</f>
        <v/>
      </c>
      <c r="B159" s="136" t="str">
        <f aca="false">IFERROR(IF(OR(NOT(ISNUMBER('Price History'!B160)),NOT(ISNUMBER('Price History'!B159)),'Price History'!B159=0),"",'Price History'!B160/'Price History'!B159-1),"")</f>
        <v/>
      </c>
      <c r="C159" s="136" t="str">
        <f aca="false">IFERROR(IF(OR(NOT(ISNUMBER('Price History'!C160)),NOT(ISNUMBER('Price History'!C159)),'Price History'!C159=0),"",'Price History'!C160/'Price History'!C159-1),"")</f>
        <v/>
      </c>
      <c r="D159" s="136" t="str">
        <f aca="false">IFERROR(IF(OR(NOT(ISNUMBER('Price History'!D160)),NOT(ISNUMBER('Price History'!D159)),'Price History'!D159=0),"",'Price History'!D160/'Price History'!D159-1),"")</f>
        <v/>
      </c>
      <c r="E159" s="136" t="str">
        <f aca="false">IFERROR(IF(OR(NOT(ISNUMBER('Price History'!E160)),NOT(ISNUMBER('Price History'!E159)),'Price History'!E159=0),"",'Price History'!E160/'Price History'!E159-1),"")</f>
        <v/>
      </c>
      <c r="F159" s="136" t="str">
        <f aca="false">IFERROR(IF(OR(NOT(ISNUMBER('Price History'!F160)),NOT(ISNUMBER('Price History'!F159)),'Price History'!F159=0),"",'Price History'!F160/'Price History'!F159-1),"")</f>
        <v/>
      </c>
      <c r="G159" s="136" t="str">
        <f aca="false">IFERROR(IF(OR(NOT(ISNUMBER('Price History'!G160)),NOT(ISNUMBER('Price History'!G159)),'Price History'!G159=0),"",'Price History'!G160/'Price History'!G159-1),"")</f>
        <v/>
      </c>
      <c r="H159" s="136" t="str">
        <f aca="false">IFERROR(IF(OR(NOT(ISNUMBER('Price History'!H160)),NOT(ISNUMBER('Price History'!H159)),'Price History'!H159=0),"",'Price History'!H160/'Price History'!H159-1),"")</f>
        <v/>
      </c>
      <c r="I159" s="136" t="str">
        <f aca="false">IFERROR(IF(OR(NOT(ISNUMBER('Price History'!I160)),NOT(ISNUMBER('Price History'!I159)),'Price History'!I159=0),"",'Price History'!I160/'Price History'!I159-1),"")</f>
        <v/>
      </c>
      <c r="J159" s="136" t="str">
        <f aca="false">IFERROR(IF(OR(NOT(ISNUMBER('Price History'!J160)),NOT(ISNUMBER('Price History'!J159)),'Price History'!J159=0),"",'Price History'!J160/'Price History'!J159-1),"")</f>
        <v/>
      </c>
      <c r="K159" s="136" t="str">
        <f aca="false">IFERROR(IF(OR(NOT(ISNUMBER('Price History'!K160)),NOT(ISNUMBER('Price History'!K159)),'Price History'!K159=0),"",'Price History'!K160/'Price History'!K159-1),"")</f>
        <v/>
      </c>
      <c r="L159" s="136" t="str">
        <f aca="false">IFERROR(IF(OR(NOT(ISNUMBER('Price History'!L160)),NOT(ISNUMBER('Price History'!L159)),'Price History'!L159=0),"",'Price History'!L160/'Price History'!L159-1),"")</f>
        <v/>
      </c>
      <c r="M159" s="136" t="str">
        <f aca="false">IFERROR(IF(OR(NOT(ISNUMBER('Price History'!M160)),NOT(ISNUMBER('Price History'!M159)),'Price History'!M159=0),"",'Price History'!M160/'Price History'!M159-1),"")</f>
        <v/>
      </c>
      <c r="N159" s="136" t="str">
        <f aca="false">IFERROR(IF(OR(NOT(ISNUMBER('Price History'!N160)),NOT(ISNUMBER('Price History'!N159)),'Price History'!N159=0),"",'Price History'!N160/'Price History'!N159-1),"")</f>
        <v/>
      </c>
      <c r="O159" s="136" t="str">
        <f aca="false">IFERROR(IF(OR(NOT(ISNUMBER('Price History'!O160)),NOT(ISNUMBER('Price History'!O159)),'Price History'!O159=0),"",'Price History'!O160/'Price History'!O159-1),"")</f>
        <v/>
      </c>
      <c r="P159" s="136" t="str">
        <f aca="false">IFERROR(IF(OR(NOT(ISNUMBER('Price History'!P160)),NOT(ISNUMBER('Price History'!P159)),'Price History'!P159=0),"",'Price History'!P160/'Price History'!P159-1),"")</f>
        <v/>
      </c>
      <c r="Q159" s="136" t="str">
        <f aca="false">IFERROR(IF(OR(NOT(ISNUMBER('Price History'!Q160)),NOT(ISNUMBER('Price History'!Q159)),'Price History'!Q159=0),"",'Price History'!Q160/'Price History'!Q159-1),"")</f>
        <v/>
      </c>
      <c r="R159" s="136" t="str">
        <f aca="false">IFERROR(IF(OR(NOT(ISNUMBER('Price History'!R160)),NOT(ISNUMBER('Price History'!R159)),'Price History'!R159=0),"",'Price History'!R160/'Price History'!R159-1),"")</f>
        <v/>
      </c>
      <c r="S159" s="136" t="str">
        <f aca="false">IFERROR(IF(OR(NOT(ISNUMBER('Price History'!S160)),NOT(ISNUMBER('Price History'!S159)),'Price History'!S159=0),"",'Price History'!S160/'Price History'!S159-1),"")</f>
        <v/>
      </c>
      <c r="T159" s="136" t="str">
        <f aca="false">IFERROR(IF(OR(NOT(ISNUMBER('Price History'!T160)),NOT(ISNUMBER('Price History'!T159)),'Price History'!T159=0),"",'Price History'!T160/'Price History'!T159-1),"")</f>
        <v/>
      </c>
      <c r="U159" s="136" t="str">
        <f aca="false">IFERROR(IF(OR(NOT(ISNUMBER('Price History'!U160)),NOT(ISNUMBER('Price History'!U159)),'Price History'!U159=0),"",'Price History'!U160/'Price History'!U159-1),"")</f>
        <v/>
      </c>
    </row>
    <row r="160" customFormat="false" ht="15" hidden="false" customHeight="true" outlineLevel="0" collapsed="false">
      <c r="A160" s="135" t="str">
        <f aca="false">IF('Price History'!A161="","",'Price History'!A161)</f>
        <v/>
      </c>
      <c r="B160" s="136" t="str">
        <f aca="false">IFERROR(IF(OR(NOT(ISNUMBER('Price History'!B161)),NOT(ISNUMBER('Price History'!B160)),'Price History'!B160=0),"",'Price History'!B161/'Price History'!B160-1),"")</f>
        <v/>
      </c>
      <c r="C160" s="136" t="str">
        <f aca="false">IFERROR(IF(OR(NOT(ISNUMBER('Price History'!C161)),NOT(ISNUMBER('Price History'!C160)),'Price History'!C160=0),"",'Price History'!C161/'Price History'!C160-1),"")</f>
        <v/>
      </c>
      <c r="D160" s="136" t="str">
        <f aca="false">IFERROR(IF(OR(NOT(ISNUMBER('Price History'!D161)),NOT(ISNUMBER('Price History'!D160)),'Price History'!D160=0),"",'Price History'!D161/'Price History'!D160-1),"")</f>
        <v/>
      </c>
      <c r="E160" s="136" t="str">
        <f aca="false">IFERROR(IF(OR(NOT(ISNUMBER('Price History'!E161)),NOT(ISNUMBER('Price History'!E160)),'Price History'!E160=0),"",'Price History'!E161/'Price History'!E160-1),"")</f>
        <v/>
      </c>
      <c r="F160" s="136" t="str">
        <f aca="false">IFERROR(IF(OR(NOT(ISNUMBER('Price History'!F161)),NOT(ISNUMBER('Price History'!F160)),'Price History'!F160=0),"",'Price History'!F161/'Price History'!F160-1),"")</f>
        <v/>
      </c>
      <c r="G160" s="136" t="str">
        <f aca="false">IFERROR(IF(OR(NOT(ISNUMBER('Price History'!G161)),NOT(ISNUMBER('Price History'!G160)),'Price History'!G160=0),"",'Price History'!G161/'Price History'!G160-1),"")</f>
        <v/>
      </c>
      <c r="H160" s="136" t="str">
        <f aca="false">IFERROR(IF(OR(NOT(ISNUMBER('Price History'!H161)),NOT(ISNUMBER('Price History'!H160)),'Price History'!H160=0),"",'Price History'!H161/'Price History'!H160-1),"")</f>
        <v/>
      </c>
      <c r="I160" s="136" t="str">
        <f aca="false">IFERROR(IF(OR(NOT(ISNUMBER('Price History'!I161)),NOT(ISNUMBER('Price History'!I160)),'Price History'!I160=0),"",'Price History'!I161/'Price History'!I160-1),"")</f>
        <v/>
      </c>
      <c r="J160" s="136" t="str">
        <f aca="false">IFERROR(IF(OR(NOT(ISNUMBER('Price History'!J161)),NOT(ISNUMBER('Price History'!J160)),'Price History'!J160=0),"",'Price History'!J161/'Price History'!J160-1),"")</f>
        <v/>
      </c>
      <c r="K160" s="136" t="str">
        <f aca="false">IFERROR(IF(OR(NOT(ISNUMBER('Price History'!K161)),NOT(ISNUMBER('Price History'!K160)),'Price History'!K160=0),"",'Price History'!K161/'Price History'!K160-1),"")</f>
        <v/>
      </c>
      <c r="L160" s="136" t="str">
        <f aca="false">IFERROR(IF(OR(NOT(ISNUMBER('Price History'!L161)),NOT(ISNUMBER('Price History'!L160)),'Price History'!L160=0),"",'Price History'!L161/'Price History'!L160-1),"")</f>
        <v/>
      </c>
      <c r="M160" s="136" t="str">
        <f aca="false">IFERROR(IF(OR(NOT(ISNUMBER('Price History'!M161)),NOT(ISNUMBER('Price History'!M160)),'Price History'!M160=0),"",'Price History'!M161/'Price History'!M160-1),"")</f>
        <v/>
      </c>
      <c r="N160" s="136" t="str">
        <f aca="false">IFERROR(IF(OR(NOT(ISNUMBER('Price History'!N161)),NOT(ISNUMBER('Price History'!N160)),'Price History'!N160=0),"",'Price History'!N161/'Price History'!N160-1),"")</f>
        <v/>
      </c>
      <c r="O160" s="136" t="str">
        <f aca="false">IFERROR(IF(OR(NOT(ISNUMBER('Price History'!O161)),NOT(ISNUMBER('Price History'!O160)),'Price History'!O160=0),"",'Price History'!O161/'Price History'!O160-1),"")</f>
        <v/>
      </c>
      <c r="P160" s="136" t="str">
        <f aca="false">IFERROR(IF(OR(NOT(ISNUMBER('Price History'!P161)),NOT(ISNUMBER('Price History'!P160)),'Price History'!P160=0),"",'Price History'!P161/'Price History'!P160-1),"")</f>
        <v/>
      </c>
      <c r="Q160" s="136" t="str">
        <f aca="false">IFERROR(IF(OR(NOT(ISNUMBER('Price History'!Q161)),NOT(ISNUMBER('Price History'!Q160)),'Price History'!Q160=0),"",'Price History'!Q161/'Price History'!Q160-1),"")</f>
        <v/>
      </c>
      <c r="R160" s="136" t="str">
        <f aca="false">IFERROR(IF(OR(NOT(ISNUMBER('Price History'!R161)),NOT(ISNUMBER('Price History'!R160)),'Price History'!R160=0),"",'Price History'!R161/'Price History'!R160-1),"")</f>
        <v/>
      </c>
      <c r="S160" s="136" t="str">
        <f aca="false">IFERROR(IF(OR(NOT(ISNUMBER('Price History'!S161)),NOT(ISNUMBER('Price History'!S160)),'Price History'!S160=0),"",'Price History'!S161/'Price History'!S160-1),"")</f>
        <v/>
      </c>
      <c r="T160" s="136" t="str">
        <f aca="false">IFERROR(IF(OR(NOT(ISNUMBER('Price History'!T161)),NOT(ISNUMBER('Price History'!T160)),'Price History'!T160=0),"",'Price History'!T161/'Price History'!T160-1),"")</f>
        <v/>
      </c>
      <c r="U160" s="136" t="str">
        <f aca="false">IFERROR(IF(OR(NOT(ISNUMBER('Price History'!U161)),NOT(ISNUMBER('Price History'!U160)),'Price History'!U160=0),"",'Price History'!U161/'Price History'!U160-1),"")</f>
        <v/>
      </c>
    </row>
    <row r="161" customFormat="false" ht="15" hidden="false" customHeight="true" outlineLevel="0" collapsed="false">
      <c r="A161" s="135" t="str">
        <f aca="false">IF('Price History'!A162="","",'Price History'!A162)</f>
        <v/>
      </c>
      <c r="B161" s="136" t="str">
        <f aca="false">IFERROR(IF(OR(NOT(ISNUMBER('Price History'!B162)),NOT(ISNUMBER('Price History'!B161)),'Price History'!B161=0),"",'Price History'!B162/'Price History'!B161-1),"")</f>
        <v/>
      </c>
      <c r="C161" s="136" t="str">
        <f aca="false">IFERROR(IF(OR(NOT(ISNUMBER('Price History'!C162)),NOT(ISNUMBER('Price History'!C161)),'Price History'!C161=0),"",'Price History'!C162/'Price History'!C161-1),"")</f>
        <v/>
      </c>
      <c r="D161" s="136" t="str">
        <f aca="false">IFERROR(IF(OR(NOT(ISNUMBER('Price History'!D162)),NOT(ISNUMBER('Price History'!D161)),'Price History'!D161=0),"",'Price History'!D162/'Price History'!D161-1),"")</f>
        <v/>
      </c>
      <c r="E161" s="136" t="str">
        <f aca="false">IFERROR(IF(OR(NOT(ISNUMBER('Price History'!E162)),NOT(ISNUMBER('Price History'!E161)),'Price History'!E161=0),"",'Price History'!E162/'Price History'!E161-1),"")</f>
        <v/>
      </c>
      <c r="F161" s="136" t="str">
        <f aca="false">IFERROR(IF(OR(NOT(ISNUMBER('Price History'!F162)),NOT(ISNUMBER('Price History'!F161)),'Price History'!F161=0),"",'Price History'!F162/'Price History'!F161-1),"")</f>
        <v/>
      </c>
      <c r="G161" s="136" t="str">
        <f aca="false">IFERROR(IF(OR(NOT(ISNUMBER('Price History'!G162)),NOT(ISNUMBER('Price History'!G161)),'Price History'!G161=0),"",'Price History'!G162/'Price History'!G161-1),"")</f>
        <v/>
      </c>
      <c r="H161" s="136" t="str">
        <f aca="false">IFERROR(IF(OR(NOT(ISNUMBER('Price History'!H162)),NOT(ISNUMBER('Price History'!H161)),'Price History'!H161=0),"",'Price History'!H162/'Price History'!H161-1),"")</f>
        <v/>
      </c>
      <c r="I161" s="136" t="str">
        <f aca="false">IFERROR(IF(OR(NOT(ISNUMBER('Price History'!I162)),NOT(ISNUMBER('Price History'!I161)),'Price History'!I161=0),"",'Price History'!I162/'Price History'!I161-1),"")</f>
        <v/>
      </c>
      <c r="J161" s="136" t="str">
        <f aca="false">IFERROR(IF(OR(NOT(ISNUMBER('Price History'!J162)),NOT(ISNUMBER('Price History'!J161)),'Price History'!J161=0),"",'Price History'!J162/'Price History'!J161-1),"")</f>
        <v/>
      </c>
      <c r="K161" s="136" t="str">
        <f aca="false">IFERROR(IF(OR(NOT(ISNUMBER('Price History'!K162)),NOT(ISNUMBER('Price History'!K161)),'Price History'!K161=0),"",'Price History'!K162/'Price History'!K161-1),"")</f>
        <v/>
      </c>
      <c r="L161" s="136" t="str">
        <f aca="false">IFERROR(IF(OR(NOT(ISNUMBER('Price History'!L162)),NOT(ISNUMBER('Price History'!L161)),'Price History'!L161=0),"",'Price History'!L162/'Price History'!L161-1),"")</f>
        <v/>
      </c>
      <c r="M161" s="136" t="str">
        <f aca="false">IFERROR(IF(OR(NOT(ISNUMBER('Price History'!M162)),NOT(ISNUMBER('Price History'!M161)),'Price History'!M161=0),"",'Price History'!M162/'Price History'!M161-1),"")</f>
        <v/>
      </c>
      <c r="N161" s="136" t="str">
        <f aca="false">IFERROR(IF(OR(NOT(ISNUMBER('Price History'!N162)),NOT(ISNUMBER('Price History'!N161)),'Price History'!N161=0),"",'Price History'!N162/'Price History'!N161-1),"")</f>
        <v/>
      </c>
      <c r="O161" s="136" t="str">
        <f aca="false">IFERROR(IF(OR(NOT(ISNUMBER('Price History'!O162)),NOT(ISNUMBER('Price History'!O161)),'Price History'!O161=0),"",'Price History'!O162/'Price History'!O161-1),"")</f>
        <v/>
      </c>
      <c r="P161" s="136" t="str">
        <f aca="false">IFERROR(IF(OR(NOT(ISNUMBER('Price History'!P162)),NOT(ISNUMBER('Price History'!P161)),'Price History'!P161=0),"",'Price History'!P162/'Price History'!P161-1),"")</f>
        <v/>
      </c>
      <c r="Q161" s="136" t="str">
        <f aca="false">IFERROR(IF(OR(NOT(ISNUMBER('Price History'!Q162)),NOT(ISNUMBER('Price History'!Q161)),'Price History'!Q161=0),"",'Price History'!Q162/'Price History'!Q161-1),"")</f>
        <v/>
      </c>
      <c r="R161" s="136" t="str">
        <f aca="false">IFERROR(IF(OR(NOT(ISNUMBER('Price History'!R162)),NOT(ISNUMBER('Price History'!R161)),'Price History'!R161=0),"",'Price History'!R162/'Price History'!R161-1),"")</f>
        <v/>
      </c>
      <c r="S161" s="136" t="str">
        <f aca="false">IFERROR(IF(OR(NOT(ISNUMBER('Price History'!S162)),NOT(ISNUMBER('Price History'!S161)),'Price History'!S161=0),"",'Price History'!S162/'Price History'!S161-1),"")</f>
        <v/>
      </c>
      <c r="T161" s="136" t="str">
        <f aca="false">IFERROR(IF(OR(NOT(ISNUMBER('Price History'!T162)),NOT(ISNUMBER('Price History'!T161)),'Price History'!T161=0),"",'Price History'!T162/'Price History'!T161-1),"")</f>
        <v/>
      </c>
      <c r="U161" s="136"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8" t="s">
        <v>425</v>
      </c>
      <c r="B1" s="138"/>
      <c r="C1" s="138"/>
      <c r="D1" s="138"/>
      <c r="E1" s="138"/>
      <c r="F1" s="138"/>
      <c r="G1" s="138"/>
      <c r="H1" s="138"/>
      <c r="I1" s="138"/>
      <c r="J1" s="138"/>
      <c r="K1" s="138"/>
      <c r="L1" s="138"/>
      <c r="M1" s="138"/>
      <c r="N1" s="138"/>
      <c r="O1" s="138"/>
      <c r="P1" s="138"/>
      <c r="Q1" s="138"/>
      <c r="R1" s="138"/>
      <c r="S1" s="138"/>
      <c r="T1" s="138"/>
      <c r="U1" s="138"/>
      <c r="V1" s="138"/>
    </row>
    <row r="2" customFormat="false" ht="27" hidden="false" customHeight="true" outlineLevel="0" collapsed="false">
      <c r="A2" s="94" t="s">
        <v>76</v>
      </c>
      <c r="B2" s="107" t="str">
        <f aca="false">'Returns (Calc)'!B2</f>
        <v>ADBE</v>
      </c>
      <c r="C2" s="107" t="str">
        <f aca="false">'Returns (Calc)'!C2</f>
        <v>ANET</v>
      </c>
      <c r="D2" s="107" t="str">
        <f aca="false">'Returns (Calc)'!D2</f>
        <v>ASML</v>
      </c>
      <c r="E2" s="107" t="str">
        <f aca="false">'Returns (Calc)'!E2</f>
        <v>AVGO</v>
      </c>
      <c r="F2" s="107" t="str">
        <f aca="false">'Returns (Calc)'!F2</f>
        <v>CRWD</v>
      </c>
      <c r="G2" s="107" t="str">
        <f aca="false">'Returns (Calc)'!G2</f>
        <v>KLAC</v>
      </c>
      <c r="H2" s="107" t="str">
        <f aca="false">'Returns (Calc)'!H2</f>
        <v>MU</v>
      </c>
      <c r="I2" s="107" t="str">
        <f aca="false">'Returns (Calc)'!I2</f>
        <v>NVDA</v>
      </c>
      <c r="J2" s="107" t="str">
        <f aca="false">'Returns (Calc)'!J2</f>
        <v>PLD</v>
      </c>
      <c r="K2" s="107" t="str">
        <f aca="false">'Returns (Calc)'!K2</f>
        <v>PLTR</v>
      </c>
      <c r="L2" s="107" t="str">
        <f aca="false">'Returns (Calc)'!L2</f>
        <v>TSM</v>
      </c>
      <c r="M2" s="107" t="str">
        <f aca="false">'Returns (Calc)'!M2</f>
        <v>VRT</v>
      </c>
      <c r="N2" s="107" t="str">
        <f aca="false">'Returns (Calc)'!N2</f>
        <v>VRTX</v>
      </c>
      <c r="O2" s="107" t="str">
        <f aca="false">'Returns (Calc)'!O2</f>
        <v>AVUV</v>
      </c>
      <c r="P2" s="107" t="n">
        <f aca="false">'Returns (Calc)'!P2</f>
        <v>0</v>
      </c>
      <c r="Q2" s="107" t="str">
        <f aca="false">'Returns (Calc)'!Q2</f>
        <v>HELO</v>
      </c>
      <c r="R2" s="107" t="str">
        <f aca="false">'Returns (Calc)'!R2</f>
        <v>JEPQ</v>
      </c>
      <c r="S2" s="107" t="str">
        <f aca="false">'Returns (Calc)'!S2</f>
        <v>SPMO</v>
      </c>
      <c r="T2" s="107" t="str">
        <f aca="false">'Returns (Calc)'!T2</f>
        <v>VFLO</v>
      </c>
      <c r="U2" s="107" t="n">
        <f aca="false">'Returns (Calc)'!U2</f>
        <v>0</v>
      </c>
      <c r="V2" s="107" t="s">
        <v>426</v>
      </c>
    </row>
    <row r="3" customFormat="false" ht="15" hidden="false" customHeight="true" outlineLevel="0" collapsed="false">
      <c r="A3" s="139" t="str">
        <f aca="false">'Returns (Calc)'!B2</f>
        <v>ADBE</v>
      </c>
      <c r="B3" s="140" t="n">
        <v>1</v>
      </c>
      <c r="C3" s="140" t="n">
        <f aca="false">IFERROR(ROUND(CORREL('Returns (Calc)'!$B$3:$B$161,'Returns (Calc)'!$C$3:$C$161),2),"")</f>
        <v>0.22</v>
      </c>
      <c r="D3" s="140" t="n">
        <f aca="false">IFERROR(ROUND(CORREL('Returns (Calc)'!$B$3:$B$161,'Returns (Calc)'!$D$3:$D$161),2),"")</f>
        <v>0.03</v>
      </c>
      <c r="E3" s="140" t="n">
        <f aca="false">IFERROR(ROUND(CORREL('Returns (Calc)'!$B$3:$B$161,'Returns (Calc)'!$E$3:$E$161),2),"")</f>
        <v>0.16</v>
      </c>
      <c r="F3" s="140" t="n">
        <f aca="false">IFERROR(ROUND(CORREL('Returns (Calc)'!$B$3:$B$161,'Returns (Calc)'!$F$3:$F$161),2),"")</f>
        <v>0.42</v>
      </c>
      <c r="G3" s="140" t="n">
        <f aca="false">IFERROR(ROUND(CORREL('Returns (Calc)'!$B$3:$B$161,'Returns (Calc)'!$G$3:$G$161),2),"")</f>
        <v>-0.03</v>
      </c>
      <c r="H3" s="140" t="n">
        <f aca="false">IFERROR(ROUND(CORREL('Returns (Calc)'!$B$3:$B$161,'Returns (Calc)'!$H$3:$H$161),2),"")</f>
        <v>0.07</v>
      </c>
      <c r="I3" s="140" t="n">
        <f aca="false">IFERROR(ROUND(CORREL('Returns (Calc)'!$B$3:$B$161,'Returns (Calc)'!$I$3:$I$161),2),"")</f>
        <v>0.23</v>
      </c>
      <c r="J3" s="140" t="n">
        <f aca="false">IFERROR(ROUND(CORREL('Returns (Calc)'!$B$3:$B$161,'Returns (Calc)'!$J$3:$J$161),2),"")</f>
        <v>0.19</v>
      </c>
      <c r="K3" s="140" t="n">
        <f aca="false">IFERROR(ROUND(CORREL('Returns (Calc)'!$B$3:$B$161,'Returns (Calc)'!$K$3:$K$161),2),"")</f>
        <v>0.36</v>
      </c>
      <c r="L3" s="140" t="n">
        <f aca="false">IFERROR(ROUND(CORREL('Returns (Calc)'!$B$3:$B$161,'Returns (Calc)'!$L$3:$L$161),2),"")</f>
        <v>0.17</v>
      </c>
      <c r="M3" s="140" t="n">
        <f aca="false">IFERROR(ROUND(CORREL('Returns (Calc)'!$B$3:$B$161,'Returns (Calc)'!$M$3:$M$161),2),"")</f>
        <v>0.08</v>
      </c>
      <c r="N3" s="140" t="n">
        <f aca="false">IFERROR(ROUND(CORREL('Returns (Calc)'!$B$3:$B$161,'Returns (Calc)'!$N$3:$N$161),2),"")</f>
        <v>0.13</v>
      </c>
      <c r="O3" s="140" t="n">
        <f aca="false">IFERROR(ROUND(CORREL('Returns (Calc)'!$B$3:$B$161,'Returns (Calc)'!$O$3:$O$161),2),"")</f>
        <v>0.17</v>
      </c>
      <c r="P3" s="140" t="str">
        <f aca="false">IFERROR(ROUND(CORREL('Returns (Calc)'!$B$3:$B$161,'Returns (Calc)'!$P$3:$P$161),2),"")</f>
        <v/>
      </c>
      <c r="Q3" s="140" t="n">
        <f aca="false">IFERROR(ROUND(CORREL('Returns (Calc)'!$B$3:$B$161,'Returns (Calc)'!$Q$3:$Q$161),2),"")</f>
        <v>-0.1</v>
      </c>
      <c r="R3" s="140" t="n">
        <f aca="false">IFERROR(ROUND(CORREL('Returns (Calc)'!$B$3:$B$161,'Returns (Calc)'!$R$3:$R$161),2),"")</f>
        <v>0.32</v>
      </c>
      <c r="S3" s="140" t="n">
        <f aca="false">IFERROR(ROUND(CORREL('Returns (Calc)'!$B$3:$B$161,'Returns (Calc)'!$S$3:$S$161),2),"")</f>
        <v>0.25</v>
      </c>
      <c r="T3" s="140" t="n">
        <f aca="false">IFERROR(ROUND(CORREL('Returns (Calc)'!$B$3:$B$161,'Returns (Calc)'!$T$3:$T$161),2),"")</f>
        <v>0.41</v>
      </c>
      <c r="U3" s="140" t="str">
        <f aca="false">IFERROR(ROUND(CORREL('Returns (Calc)'!$B$3:$B$161,'Returns (Calc)'!$U$3:$U$161),2),"")</f>
        <v/>
      </c>
      <c r="V3" s="77" t="n">
        <f aca="false">COUNTIF(B3:U3,"&gt;0.7")-1</f>
        <v>0</v>
      </c>
    </row>
    <row r="4" customFormat="false" ht="15" hidden="false" customHeight="true" outlineLevel="0" collapsed="false">
      <c r="A4" s="139" t="str">
        <f aca="false">'Returns (Calc)'!C2</f>
        <v>ANET</v>
      </c>
      <c r="B4" s="140" t="n">
        <f aca="false">IFERROR(ROUND(CORREL('Returns (Calc)'!$C$3:$C$161,'Returns (Calc)'!$B$3:$B$161),2),"")</f>
        <v>0.22</v>
      </c>
      <c r="C4" s="140" t="n">
        <v>1</v>
      </c>
      <c r="D4" s="140" t="n">
        <f aca="false">IFERROR(ROUND(CORREL('Returns (Calc)'!$C$3:$C$161,'Returns (Calc)'!$D$3:$D$161),2),"")</f>
        <v>0.39</v>
      </c>
      <c r="E4" s="140" t="n">
        <f aca="false">IFERROR(ROUND(CORREL('Returns (Calc)'!$C$3:$C$161,'Returns (Calc)'!$E$3:$E$161),2),"")</f>
        <v>0.59</v>
      </c>
      <c r="F4" s="140" t="n">
        <f aca="false">IFERROR(ROUND(CORREL('Returns (Calc)'!$C$3:$C$161,'Returns (Calc)'!$F$3:$F$161),2),"")</f>
        <v>0.38</v>
      </c>
      <c r="G4" s="140" t="n">
        <f aca="false">IFERROR(ROUND(CORREL('Returns (Calc)'!$C$3:$C$161,'Returns (Calc)'!$G$3:$G$161),2),"")</f>
        <v>0.44</v>
      </c>
      <c r="H4" s="140" t="n">
        <f aca="false">IFERROR(ROUND(CORREL('Returns (Calc)'!$C$3:$C$161,'Returns (Calc)'!$H$3:$H$161),2),"")</f>
        <v>0.35</v>
      </c>
      <c r="I4" s="140" t="n">
        <f aca="false">IFERROR(ROUND(CORREL('Returns (Calc)'!$C$3:$C$161,'Returns (Calc)'!$I$3:$I$161),2),"")</f>
        <v>0.53</v>
      </c>
      <c r="J4" s="140" t="n">
        <f aca="false">IFERROR(ROUND(CORREL('Returns (Calc)'!$C$3:$C$161,'Returns (Calc)'!$J$3:$J$161),2),"")</f>
        <v>0.19</v>
      </c>
      <c r="K4" s="140" t="n">
        <f aca="false">IFERROR(ROUND(CORREL('Returns (Calc)'!$C$3:$C$161,'Returns (Calc)'!$K$3:$K$161),2),"")</f>
        <v>0.34</v>
      </c>
      <c r="L4" s="140" t="n">
        <f aca="false">IFERROR(ROUND(CORREL('Returns (Calc)'!$C$3:$C$161,'Returns (Calc)'!$L$3:$L$161),2),"")</f>
        <v>0.55</v>
      </c>
      <c r="M4" s="140" t="n">
        <f aca="false">IFERROR(ROUND(CORREL('Returns (Calc)'!$C$3:$C$161,'Returns (Calc)'!$M$3:$M$161),2),"")</f>
        <v>0.59</v>
      </c>
      <c r="N4" s="140" t="n">
        <f aca="false">IFERROR(ROUND(CORREL('Returns (Calc)'!$C$3:$C$161,'Returns (Calc)'!$N$3:$N$161),2),"")</f>
        <v>0.05</v>
      </c>
      <c r="O4" s="140" t="n">
        <f aca="false">IFERROR(ROUND(CORREL('Returns (Calc)'!$C$3:$C$161,'Returns (Calc)'!$O$3:$O$161),2),"")</f>
        <v>0.35</v>
      </c>
      <c r="P4" s="140" t="str">
        <f aca="false">IFERROR(ROUND(CORREL('Returns (Calc)'!$C$3:$C$161,'Returns (Calc)'!$P$3:$P$161),2),"")</f>
        <v/>
      </c>
      <c r="Q4" s="140" t="n">
        <f aca="false">IFERROR(ROUND(CORREL('Returns (Calc)'!$C$3:$C$161,'Returns (Calc)'!$Q$3:$Q$161),2),"")</f>
        <v>-0.01</v>
      </c>
      <c r="R4" s="140" t="n">
        <f aca="false">IFERROR(ROUND(CORREL('Returns (Calc)'!$C$3:$C$161,'Returns (Calc)'!$R$3:$R$161),2),"")</f>
        <v>0.64</v>
      </c>
      <c r="S4" s="140" t="n">
        <f aca="false">IFERROR(ROUND(CORREL('Returns (Calc)'!$C$3:$C$161,'Returns (Calc)'!$S$3:$S$161),2),"")</f>
        <v>0.64</v>
      </c>
      <c r="T4" s="140" t="n">
        <f aca="false">IFERROR(ROUND(CORREL('Returns (Calc)'!$C$3:$C$161,'Returns (Calc)'!$T$3:$T$161),2),"")</f>
        <v>0.35</v>
      </c>
      <c r="U4" s="140" t="str">
        <f aca="false">IFERROR(ROUND(CORREL('Returns (Calc)'!$C$3:$C$161,'Returns (Calc)'!$U$3:$U$161),2),"")</f>
        <v/>
      </c>
      <c r="V4" s="77" t="n">
        <f aca="false">COUNTIF(B4:U4,"&gt;0.7")-1</f>
        <v>0</v>
      </c>
    </row>
    <row r="5" customFormat="false" ht="15" hidden="false" customHeight="true" outlineLevel="0" collapsed="false">
      <c r="A5" s="139" t="str">
        <f aca="false">'Returns (Calc)'!D2</f>
        <v>ASML</v>
      </c>
      <c r="B5" s="140" t="n">
        <f aca="false">IFERROR(ROUND(CORREL('Returns (Calc)'!$D$3:$D$161,'Returns (Calc)'!$B$3:$B$161),2),"")</f>
        <v>0.03</v>
      </c>
      <c r="C5" s="140" t="n">
        <f aca="false">IFERROR(ROUND(CORREL('Returns (Calc)'!$D$3:$D$161,'Returns (Calc)'!$C$3:$C$161),2),"")</f>
        <v>0.39</v>
      </c>
      <c r="D5" s="140" t="n">
        <v>1</v>
      </c>
      <c r="E5" s="140" t="n">
        <f aca="false">IFERROR(ROUND(CORREL('Returns (Calc)'!$D$3:$D$161,'Returns (Calc)'!$E$3:$E$161),2),"")</f>
        <v>0.5</v>
      </c>
      <c r="F5" s="140" t="n">
        <f aca="false">IFERROR(ROUND(CORREL('Returns (Calc)'!$D$3:$D$161,'Returns (Calc)'!$F$3:$F$161),2),"")</f>
        <v>0.33</v>
      </c>
      <c r="G5" s="140" t="n">
        <f aca="false">IFERROR(ROUND(CORREL('Returns (Calc)'!$D$3:$D$161,'Returns (Calc)'!$G$3:$G$161),2),"")</f>
        <v>0.77</v>
      </c>
      <c r="H5" s="140" t="n">
        <f aca="false">IFERROR(ROUND(CORREL('Returns (Calc)'!$D$3:$D$161,'Returns (Calc)'!$H$3:$H$161),2),"")</f>
        <v>0.6</v>
      </c>
      <c r="I5" s="140" t="n">
        <f aca="false">IFERROR(ROUND(CORREL('Returns (Calc)'!$D$3:$D$161,'Returns (Calc)'!$I$3:$I$161),2),"")</f>
        <v>0.48</v>
      </c>
      <c r="J5" s="140" t="n">
        <f aca="false">IFERROR(ROUND(CORREL('Returns (Calc)'!$D$3:$D$161,'Returns (Calc)'!$J$3:$J$161),2),"")</f>
        <v>0.29</v>
      </c>
      <c r="K5" s="140" t="n">
        <f aca="false">IFERROR(ROUND(CORREL('Returns (Calc)'!$D$3:$D$161,'Returns (Calc)'!$K$3:$K$161),2),"")</f>
        <v>0.2</v>
      </c>
      <c r="L5" s="140" t="n">
        <f aca="false">IFERROR(ROUND(CORREL('Returns (Calc)'!$D$3:$D$161,'Returns (Calc)'!$L$3:$L$161),2),"")</f>
        <v>0.63</v>
      </c>
      <c r="M5" s="140" t="n">
        <f aca="false">IFERROR(ROUND(CORREL('Returns (Calc)'!$D$3:$D$161,'Returns (Calc)'!$M$3:$M$161),2),"")</f>
        <v>0.41</v>
      </c>
      <c r="N5" s="140" t="n">
        <f aca="false">IFERROR(ROUND(CORREL('Returns (Calc)'!$D$3:$D$161,'Returns (Calc)'!$N$3:$N$161),2),"")</f>
        <v>0.12</v>
      </c>
      <c r="O5" s="140" t="n">
        <f aca="false">IFERROR(ROUND(CORREL('Returns (Calc)'!$D$3:$D$161,'Returns (Calc)'!$O$3:$O$161),2),"")</f>
        <v>0.38</v>
      </c>
      <c r="P5" s="140" t="str">
        <f aca="false">IFERROR(ROUND(CORREL('Returns (Calc)'!$D$3:$D$161,'Returns (Calc)'!$P$3:$P$161),2),"")</f>
        <v/>
      </c>
      <c r="Q5" s="140" t="n">
        <f aca="false">IFERROR(ROUND(CORREL('Returns (Calc)'!$D$3:$D$161,'Returns (Calc)'!$Q$3:$Q$161),2),"")</f>
        <v>-0.06</v>
      </c>
      <c r="R5" s="140" t="n">
        <f aca="false">IFERROR(ROUND(CORREL('Returns (Calc)'!$D$3:$D$161,'Returns (Calc)'!$R$3:$R$161),2),"")</f>
        <v>0.6</v>
      </c>
      <c r="S5" s="140" t="n">
        <f aca="false">IFERROR(ROUND(CORREL('Returns (Calc)'!$D$3:$D$161,'Returns (Calc)'!$S$3:$S$161),2),"")</f>
        <v>0.6</v>
      </c>
      <c r="T5" s="140" t="n">
        <f aca="false">IFERROR(ROUND(CORREL('Returns (Calc)'!$D$3:$D$161,'Returns (Calc)'!$T$3:$T$161),2),"")</f>
        <v>0.31</v>
      </c>
      <c r="U5" s="140" t="str">
        <f aca="false">IFERROR(ROUND(CORREL('Returns (Calc)'!$D$3:$D$161,'Returns (Calc)'!$U$3:$U$161),2),"")</f>
        <v/>
      </c>
      <c r="V5" s="77" t="n">
        <f aca="false">COUNTIF(B5:U5,"&gt;0.7")-1</f>
        <v>1</v>
      </c>
    </row>
    <row r="6" customFormat="false" ht="15" hidden="false" customHeight="true" outlineLevel="0" collapsed="false">
      <c r="A6" s="139" t="str">
        <f aca="false">'Returns (Calc)'!E2</f>
        <v>AVGO</v>
      </c>
      <c r="B6" s="140" t="n">
        <f aca="false">IFERROR(ROUND(CORREL('Returns (Calc)'!$E$3:$E$161,'Returns (Calc)'!$B$3:$B$161),2),"")</f>
        <v>0.16</v>
      </c>
      <c r="C6" s="140" t="n">
        <f aca="false">IFERROR(ROUND(CORREL('Returns (Calc)'!$E$3:$E$161,'Returns (Calc)'!$C$3:$C$161),2),"")</f>
        <v>0.59</v>
      </c>
      <c r="D6" s="140" t="n">
        <f aca="false">IFERROR(ROUND(CORREL('Returns (Calc)'!$E$3:$E$161,'Returns (Calc)'!$D$3:$D$161),2),"")</f>
        <v>0.5</v>
      </c>
      <c r="E6" s="140" t="n">
        <v>1</v>
      </c>
      <c r="F6" s="140" t="n">
        <f aca="false">IFERROR(ROUND(CORREL('Returns (Calc)'!$E$3:$E$161,'Returns (Calc)'!$F$3:$F$161),2),"")</f>
        <v>0.4</v>
      </c>
      <c r="G6" s="140" t="n">
        <f aca="false">IFERROR(ROUND(CORREL('Returns (Calc)'!$E$3:$E$161,'Returns (Calc)'!$G$3:$G$161),2),"")</f>
        <v>0.54</v>
      </c>
      <c r="H6" s="140" t="n">
        <f aca="false">IFERROR(ROUND(CORREL('Returns (Calc)'!$E$3:$E$161,'Returns (Calc)'!$H$3:$H$161),2),"")</f>
        <v>0.5</v>
      </c>
      <c r="I6" s="140" t="n">
        <f aca="false">IFERROR(ROUND(CORREL('Returns (Calc)'!$E$3:$E$161,'Returns (Calc)'!$I$3:$I$161),2),"")</f>
        <v>0.62</v>
      </c>
      <c r="J6" s="140" t="n">
        <f aca="false">IFERROR(ROUND(CORREL('Returns (Calc)'!$E$3:$E$161,'Returns (Calc)'!$J$3:$J$161),2),"")</f>
        <v>0.23</v>
      </c>
      <c r="K6" s="140" t="n">
        <f aca="false">IFERROR(ROUND(CORREL('Returns (Calc)'!$E$3:$E$161,'Returns (Calc)'!$K$3:$K$161),2),"")</f>
        <v>0.37</v>
      </c>
      <c r="L6" s="140" t="n">
        <f aca="false">IFERROR(ROUND(CORREL('Returns (Calc)'!$E$3:$E$161,'Returns (Calc)'!$L$3:$L$161),2),"")</f>
        <v>0.63</v>
      </c>
      <c r="M6" s="140" t="n">
        <f aca="false">IFERROR(ROUND(CORREL('Returns (Calc)'!$E$3:$E$161,'Returns (Calc)'!$M$3:$M$161),2),"")</f>
        <v>0.53</v>
      </c>
      <c r="N6" s="140" t="n">
        <f aca="false">IFERROR(ROUND(CORREL('Returns (Calc)'!$E$3:$E$161,'Returns (Calc)'!$N$3:$N$161),2),"")</f>
        <v>0.16</v>
      </c>
      <c r="O6" s="140" t="n">
        <f aca="false">IFERROR(ROUND(CORREL('Returns (Calc)'!$E$3:$E$161,'Returns (Calc)'!$O$3:$O$161),2),"")</f>
        <v>0.29</v>
      </c>
      <c r="P6" s="140" t="str">
        <f aca="false">IFERROR(ROUND(CORREL('Returns (Calc)'!$E$3:$E$161,'Returns (Calc)'!$P$3:$P$161),2),"")</f>
        <v/>
      </c>
      <c r="Q6" s="140" t="n">
        <f aca="false">IFERROR(ROUND(CORREL('Returns (Calc)'!$E$3:$E$161,'Returns (Calc)'!$Q$3:$Q$161),2),"")</f>
        <v>-0.08</v>
      </c>
      <c r="R6" s="140" t="n">
        <f aca="false">IFERROR(ROUND(CORREL('Returns (Calc)'!$E$3:$E$161,'Returns (Calc)'!$R$3:$R$161),2),"")</f>
        <v>0.73</v>
      </c>
      <c r="S6" s="140" t="n">
        <f aca="false">IFERROR(ROUND(CORREL('Returns (Calc)'!$E$3:$E$161,'Returns (Calc)'!$S$3:$S$161),2),"")</f>
        <v>0.74</v>
      </c>
      <c r="T6" s="140" t="n">
        <f aca="false">IFERROR(ROUND(CORREL('Returns (Calc)'!$E$3:$E$161,'Returns (Calc)'!$T$3:$T$161),2),"")</f>
        <v>0.29</v>
      </c>
      <c r="U6" s="140" t="str">
        <f aca="false">IFERROR(ROUND(CORREL('Returns (Calc)'!$E$3:$E$161,'Returns (Calc)'!$U$3:$U$161),2),"")</f>
        <v/>
      </c>
      <c r="V6" s="77" t="n">
        <f aca="false">COUNTIF(B6:U6,"&gt;0.7")-1</f>
        <v>2</v>
      </c>
    </row>
    <row r="7" customFormat="false" ht="15" hidden="false" customHeight="true" outlineLevel="0" collapsed="false">
      <c r="A7" s="139" t="str">
        <f aca="false">'Returns (Calc)'!F2</f>
        <v>CRWD</v>
      </c>
      <c r="B7" s="140" t="n">
        <f aca="false">IFERROR(ROUND(CORREL('Returns (Calc)'!$F$3:$F$161,'Returns (Calc)'!$B$3:$B$161),2),"")</f>
        <v>0.42</v>
      </c>
      <c r="C7" s="140" t="n">
        <f aca="false">IFERROR(ROUND(CORREL('Returns (Calc)'!$F$3:$F$161,'Returns (Calc)'!$C$3:$C$161),2),"")</f>
        <v>0.38</v>
      </c>
      <c r="D7" s="140" t="n">
        <f aca="false">IFERROR(ROUND(CORREL('Returns (Calc)'!$F$3:$F$161,'Returns (Calc)'!$D$3:$D$161),2),"")</f>
        <v>0.33</v>
      </c>
      <c r="E7" s="140" t="n">
        <f aca="false">IFERROR(ROUND(CORREL('Returns (Calc)'!$F$3:$F$161,'Returns (Calc)'!$E$3:$E$161),2),"")</f>
        <v>0.4</v>
      </c>
      <c r="F7" s="140" t="n">
        <v>1</v>
      </c>
      <c r="G7" s="140" t="n">
        <f aca="false">IFERROR(ROUND(CORREL('Returns (Calc)'!$F$3:$F$161,'Returns (Calc)'!$G$3:$G$161),2),"")</f>
        <v>0.34</v>
      </c>
      <c r="H7" s="140" t="n">
        <f aca="false">IFERROR(ROUND(CORREL('Returns (Calc)'!$F$3:$F$161,'Returns (Calc)'!$H$3:$H$161),2),"")</f>
        <v>0.34</v>
      </c>
      <c r="I7" s="140" t="n">
        <f aca="false">IFERROR(ROUND(CORREL('Returns (Calc)'!$F$3:$F$161,'Returns (Calc)'!$I$3:$I$161),2),"")</f>
        <v>0.45</v>
      </c>
      <c r="J7" s="140" t="n">
        <f aca="false">IFERROR(ROUND(CORREL('Returns (Calc)'!$F$3:$F$161,'Returns (Calc)'!$J$3:$J$161),2),"")</f>
        <v>0.12</v>
      </c>
      <c r="K7" s="140" t="n">
        <f aca="false">IFERROR(ROUND(CORREL('Returns (Calc)'!$F$3:$F$161,'Returns (Calc)'!$K$3:$K$161),2),"")</f>
        <v>0.5</v>
      </c>
      <c r="L7" s="140" t="n">
        <f aca="false">IFERROR(ROUND(CORREL('Returns (Calc)'!$F$3:$F$161,'Returns (Calc)'!$L$3:$L$161),2),"")</f>
        <v>0.39</v>
      </c>
      <c r="M7" s="140" t="n">
        <f aca="false">IFERROR(ROUND(CORREL('Returns (Calc)'!$F$3:$F$161,'Returns (Calc)'!$M$3:$M$161),2),"")</f>
        <v>0.41</v>
      </c>
      <c r="N7" s="140" t="n">
        <f aca="false">IFERROR(ROUND(CORREL('Returns (Calc)'!$F$3:$F$161,'Returns (Calc)'!$N$3:$N$161),2),"")</f>
        <v>0.21</v>
      </c>
      <c r="O7" s="140" t="n">
        <f aca="false">IFERROR(ROUND(CORREL('Returns (Calc)'!$F$3:$F$161,'Returns (Calc)'!$O$3:$O$161),2),"")</f>
        <v>0.22</v>
      </c>
      <c r="P7" s="140" t="str">
        <f aca="false">IFERROR(ROUND(CORREL('Returns (Calc)'!$F$3:$F$161,'Returns (Calc)'!$P$3:$P$161),2),"")</f>
        <v/>
      </c>
      <c r="Q7" s="140" t="n">
        <f aca="false">IFERROR(ROUND(CORREL('Returns (Calc)'!$F$3:$F$161,'Returns (Calc)'!$Q$3:$Q$161),2),"")</f>
        <v>-0.07</v>
      </c>
      <c r="R7" s="140" t="n">
        <f aca="false">IFERROR(ROUND(CORREL('Returns (Calc)'!$F$3:$F$161,'Returns (Calc)'!$R$3:$R$161),2),"")</f>
        <v>0.54</v>
      </c>
      <c r="S7" s="140" t="n">
        <f aca="false">IFERROR(ROUND(CORREL('Returns (Calc)'!$F$3:$F$161,'Returns (Calc)'!$S$3:$S$161),2),"")</f>
        <v>0.53</v>
      </c>
      <c r="T7" s="140" t="n">
        <f aca="false">IFERROR(ROUND(CORREL('Returns (Calc)'!$F$3:$F$161,'Returns (Calc)'!$T$3:$T$161),2),"")</f>
        <v>0.33</v>
      </c>
      <c r="U7" s="140" t="str">
        <f aca="false">IFERROR(ROUND(CORREL('Returns (Calc)'!$F$3:$F$161,'Returns (Calc)'!$U$3:$U$161),2),"")</f>
        <v/>
      </c>
      <c r="V7" s="77" t="n">
        <f aca="false">COUNTIF(B7:U7,"&gt;0.7")-1</f>
        <v>0</v>
      </c>
    </row>
    <row r="8" customFormat="false" ht="15" hidden="false" customHeight="true" outlineLevel="0" collapsed="false">
      <c r="A8" s="139" t="str">
        <f aca="false">'Returns (Calc)'!G2</f>
        <v>KLAC</v>
      </c>
      <c r="B8" s="140" t="n">
        <f aca="false">IFERROR(ROUND(CORREL('Returns (Calc)'!$G$3:$G$161,'Returns (Calc)'!$B$3:$B$161),2),"")</f>
        <v>-0.03</v>
      </c>
      <c r="C8" s="140" t="n">
        <f aca="false">IFERROR(ROUND(CORREL('Returns (Calc)'!$G$3:$G$161,'Returns (Calc)'!$C$3:$C$161),2),"")</f>
        <v>0.44</v>
      </c>
      <c r="D8" s="140" t="n">
        <f aca="false">IFERROR(ROUND(CORREL('Returns (Calc)'!$G$3:$G$161,'Returns (Calc)'!$D$3:$D$161),2),"")</f>
        <v>0.77</v>
      </c>
      <c r="E8" s="140" t="n">
        <f aca="false">IFERROR(ROUND(CORREL('Returns (Calc)'!$G$3:$G$161,'Returns (Calc)'!$E$3:$E$161),2),"")</f>
        <v>0.54</v>
      </c>
      <c r="F8" s="140" t="n">
        <f aca="false">IFERROR(ROUND(CORREL('Returns (Calc)'!$G$3:$G$161,'Returns (Calc)'!$F$3:$F$161),2),"")</f>
        <v>0.34</v>
      </c>
      <c r="G8" s="140" t="n">
        <v>1</v>
      </c>
      <c r="H8" s="140" t="n">
        <f aca="false">IFERROR(ROUND(CORREL('Returns (Calc)'!$G$3:$G$161,'Returns (Calc)'!$H$3:$H$161),2),"")</f>
        <v>0.6</v>
      </c>
      <c r="I8" s="140" t="n">
        <f aca="false">IFERROR(ROUND(CORREL('Returns (Calc)'!$G$3:$G$161,'Returns (Calc)'!$I$3:$I$161),2),"")</f>
        <v>0.51</v>
      </c>
      <c r="J8" s="140" t="n">
        <f aca="false">IFERROR(ROUND(CORREL('Returns (Calc)'!$G$3:$G$161,'Returns (Calc)'!$J$3:$J$161),2),"")</f>
        <v>0.29</v>
      </c>
      <c r="K8" s="140" t="n">
        <f aca="false">IFERROR(ROUND(CORREL('Returns (Calc)'!$G$3:$G$161,'Returns (Calc)'!$K$3:$K$161),2),"")</f>
        <v>0.24</v>
      </c>
      <c r="L8" s="140" t="n">
        <f aca="false">IFERROR(ROUND(CORREL('Returns (Calc)'!$G$3:$G$161,'Returns (Calc)'!$L$3:$L$161),2),"")</f>
        <v>0.61</v>
      </c>
      <c r="M8" s="140" t="n">
        <f aca="false">IFERROR(ROUND(CORREL('Returns (Calc)'!$G$3:$G$161,'Returns (Calc)'!$M$3:$M$161),2),"")</f>
        <v>0.49</v>
      </c>
      <c r="N8" s="140" t="n">
        <f aca="false">IFERROR(ROUND(CORREL('Returns (Calc)'!$G$3:$G$161,'Returns (Calc)'!$N$3:$N$161),2),"")</f>
        <v>0.18</v>
      </c>
      <c r="O8" s="140" t="n">
        <f aca="false">IFERROR(ROUND(CORREL('Returns (Calc)'!$G$3:$G$161,'Returns (Calc)'!$O$3:$O$161),2),"")</f>
        <v>0.43</v>
      </c>
      <c r="P8" s="140" t="str">
        <f aca="false">IFERROR(ROUND(CORREL('Returns (Calc)'!$G$3:$G$161,'Returns (Calc)'!$P$3:$P$161),2),"")</f>
        <v/>
      </c>
      <c r="Q8" s="140" t="n">
        <f aca="false">IFERROR(ROUND(CORREL('Returns (Calc)'!$G$3:$G$161,'Returns (Calc)'!$Q$3:$Q$161),2),"")</f>
        <v>-0.04</v>
      </c>
      <c r="R8" s="140" t="n">
        <f aca="false">IFERROR(ROUND(CORREL('Returns (Calc)'!$G$3:$G$161,'Returns (Calc)'!$R$3:$R$161),2),"")</f>
        <v>0.62</v>
      </c>
      <c r="S8" s="140" t="n">
        <f aca="false">IFERROR(ROUND(CORREL('Returns (Calc)'!$G$3:$G$161,'Returns (Calc)'!$S$3:$S$161),2),"")</f>
        <v>0.66</v>
      </c>
      <c r="T8" s="140" t="n">
        <f aca="false">IFERROR(ROUND(CORREL('Returns (Calc)'!$G$3:$G$161,'Returns (Calc)'!$T$3:$T$161),2),"")</f>
        <v>0.33</v>
      </c>
      <c r="U8" s="140" t="str">
        <f aca="false">IFERROR(ROUND(CORREL('Returns (Calc)'!$G$3:$G$161,'Returns (Calc)'!$U$3:$U$161),2),"")</f>
        <v/>
      </c>
      <c r="V8" s="77" t="n">
        <f aca="false">COUNTIF(B8:U8,"&gt;0.7")-1</f>
        <v>1</v>
      </c>
    </row>
    <row r="9" customFormat="false" ht="15" hidden="false" customHeight="true" outlineLevel="0" collapsed="false">
      <c r="A9" s="139" t="str">
        <f aca="false">'Returns (Calc)'!H2</f>
        <v>MU</v>
      </c>
      <c r="B9" s="140" t="n">
        <f aca="false">IFERROR(ROUND(CORREL('Returns (Calc)'!$H$3:$H$161,'Returns (Calc)'!$B$3:$B$161),2),"")</f>
        <v>0.07</v>
      </c>
      <c r="C9" s="140" t="n">
        <f aca="false">IFERROR(ROUND(CORREL('Returns (Calc)'!$H$3:$H$161,'Returns (Calc)'!$C$3:$C$161),2),"")</f>
        <v>0.35</v>
      </c>
      <c r="D9" s="140" t="n">
        <f aca="false">IFERROR(ROUND(CORREL('Returns (Calc)'!$H$3:$H$161,'Returns (Calc)'!$D$3:$D$161),2),"")</f>
        <v>0.6</v>
      </c>
      <c r="E9" s="140" t="n">
        <f aca="false">IFERROR(ROUND(CORREL('Returns (Calc)'!$H$3:$H$161,'Returns (Calc)'!$E$3:$E$161),2),"")</f>
        <v>0.5</v>
      </c>
      <c r="F9" s="140" t="n">
        <f aca="false">IFERROR(ROUND(CORREL('Returns (Calc)'!$H$3:$H$161,'Returns (Calc)'!$F$3:$F$161),2),"")</f>
        <v>0.34</v>
      </c>
      <c r="G9" s="140" t="n">
        <f aca="false">IFERROR(ROUND(CORREL('Returns (Calc)'!$H$3:$H$161,'Returns (Calc)'!$G$3:$G$161),2),"")</f>
        <v>0.6</v>
      </c>
      <c r="H9" s="140" t="n">
        <v>1</v>
      </c>
      <c r="I9" s="140" t="n">
        <f aca="false">IFERROR(ROUND(CORREL('Returns (Calc)'!$H$3:$H$161,'Returns (Calc)'!$I$3:$I$161),2),"")</f>
        <v>0.5</v>
      </c>
      <c r="J9" s="140" t="n">
        <f aca="false">IFERROR(ROUND(CORREL('Returns (Calc)'!$H$3:$H$161,'Returns (Calc)'!$J$3:$J$161),2),"")</f>
        <v>0.21</v>
      </c>
      <c r="K9" s="140" t="n">
        <f aca="false">IFERROR(ROUND(CORREL('Returns (Calc)'!$H$3:$H$161,'Returns (Calc)'!$K$3:$K$161),2),"")</f>
        <v>0.17</v>
      </c>
      <c r="L9" s="140" t="n">
        <f aca="false">IFERROR(ROUND(CORREL('Returns (Calc)'!$H$3:$H$161,'Returns (Calc)'!$L$3:$L$161),2),"")</f>
        <v>0.55</v>
      </c>
      <c r="M9" s="140" t="n">
        <f aca="false">IFERROR(ROUND(CORREL('Returns (Calc)'!$H$3:$H$161,'Returns (Calc)'!$M$3:$M$161),2),"")</f>
        <v>0.49</v>
      </c>
      <c r="N9" s="140" t="n">
        <f aca="false">IFERROR(ROUND(CORREL('Returns (Calc)'!$H$3:$H$161,'Returns (Calc)'!$N$3:$N$161),2),"")</f>
        <v>0.18</v>
      </c>
      <c r="O9" s="140" t="n">
        <f aca="false">IFERROR(ROUND(CORREL('Returns (Calc)'!$H$3:$H$161,'Returns (Calc)'!$O$3:$O$161),2),"")</f>
        <v>0.36</v>
      </c>
      <c r="P9" s="140" t="str">
        <f aca="false">IFERROR(ROUND(CORREL('Returns (Calc)'!$H$3:$H$161,'Returns (Calc)'!$P$3:$P$161),2),"")</f>
        <v/>
      </c>
      <c r="Q9" s="140" t="n">
        <f aca="false">IFERROR(ROUND(CORREL('Returns (Calc)'!$H$3:$H$161,'Returns (Calc)'!$Q$3:$Q$161),2),"")</f>
        <v>-0.12</v>
      </c>
      <c r="R9" s="140" t="n">
        <f aca="false">IFERROR(ROUND(CORREL('Returns (Calc)'!$H$3:$H$161,'Returns (Calc)'!$R$3:$R$161),2),"")</f>
        <v>0.61</v>
      </c>
      <c r="S9" s="140" t="n">
        <f aca="false">IFERROR(ROUND(CORREL('Returns (Calc)'!$H$3:$H$161,'Returns (Calc)'!$S$3:$S$161),2),"")</f>
        <v>0.66</v>
      </c>
      <c r="T9" s="140" t="n">
        <f aca="false">IFERROR(ROUND(CORREL('Returns (Calc)'!$H$3:$H$161,'Returns (Calc)'!$T$3:$T$161),2),"")</f>
        <v>0.43</v>
      </c>
      <c r="U9" s="140" t="str">
        <f aca="false">IFERROR(ROUND(CORREL('Returns (Calc)'!$H$3:$H$161,'Returns (Calc)'!$U$3:$U$161),2),"")</f>
        <v/>
      </c>
      <c r="V9" s="77" t="n">
        <f aca="false">COUNTIF(B9:U9,"&gt;0.7")-1</f>
        <v>0</v>
      </c>
    </row>
    <row r="10" customFormat="false" ht="15" hidden="false" customHeight="true" outlineLevel="0" collapsed="false">
      <c r="A10" s="139" t="str">
        <f aca="false">'Returns (Calc)'!I2</f>
        <v>NVDA</v>
      </c>
      <c r="B10" s="140" t="n">
        <f aca="false">IFERROR(ROUND(CORREL('Returns (Calc)'!$I$3:$I$161,'Returns (Calc)'!$B$3:$B$161),2),"")</f>
        <v>0.23</v>
      </c>
      <c r="C10" s="140" t="n">
        <f aca="false">IFERROR(ROUND(CORREL('Returns (Calc)'!$I$3:$I$161,'Returns (Calc)'!$C$3:$C$161),2),"")</f>
        <v>0.53</v>
      </c>
      <c r="D10" s="140" t="n">
        <f aca="false">IFERROR(ROUND(CORREL('Returns (Calc)'!$I$3:$I$161,'Returns (Calc)'!$D$3:$D$161),2),"")</f>
        <v>0.48</v>
      </c>
      <c r="E10" s="140" t="n">
        <f aca="false">IFERROR(ROUND(CORREL('Returns (Calc)'!$I$3:$I$161,'Returns (Calc)'!$E$3:$E$161),2),"")</f>
        <v>0.62</v>
      </c>
      <c r="F10" s="140" t="n">
        <f aca="false">IFERROR(ROUND(CORREL('Returns (Calc)'!$I$3:$I$161,'Returns (Calc)'!$F$3:$F$161),2),"")</f>
        <v>0.45</v>
      </c>
      <c r="G10" s="140" t="n">
        <f aca="false">IFERROR(ROUND(CORREL('Returns (Calc)'!$I$3:$I$161,'Returns (Calc)'!$G$3:$G$161),2),"")</f>
        <v>0.51</v>
      </c>
      <c r="H10" s="140" t="n">
        <f aca="false">IFERROR(ROUND(CORREL('Returns (Calc)'!$I$3:$I$161,'Returns (Calc)'!$H$3:$H$161),2),"")</f>
        <v>0.5</v>
      </c>
      <c r="I10" s="140" t="n">
        <v>1</v>
      </c>
      <c r="J10" s="140" t="n">
        <f aca="false">IFERROR(ROUND(CORREL('Returns (Calc)'!$I$3:$I$161,'Returns (Calc)'!$J$3:$J$161),2),"")</f>
        <v>0.19</v>
      </c>
      <c r="K10" s="140" t="n">
        <f aca="false">IFERROR(ROUND(CORREL('Returns (Calc)'!$I$3:$I$161,'Returns (Calc)'!$K$3:$K$161),2),"")</f>
        <v>0.44</v>
      </c>
      <c r="L10" s="140" t="n">
        <f aca="false">IFERROR(ROUND(CORREL('Returns (Calc)'!$I$3:$I$161,'Returns (Calc)'!$L$3:$L$161),2),"")</f>
        <v>0.64</v>
      </c>
      <c r="M10" s="140" t="n">
        <f aca="false">IFERROR(ROUND(CORREL('Returns (Calc)'!$I$3:$I$161,'Returns (Calc)'!$M$3:$M$161),2),"")</f>
        <v>0.65</v>
      </c>
      <c r="N10" s="140" t="n">
        <f aca="false">IFERROR(ROUND(CORREL('Returns (Calc)'!$I$3:$I$161,'Returns (Calc)'!$N$3:$N$161),2),"")</f>
        <v>0.14</v>
      </c>
      <c r="O10" s="140" t="n">
        <f aca="false">IFERROR(ROUND(CORREL('Returns (Calc)'!$I$3:$I$161,'Returns (Calc)'!$O$3:$O$161),2),"")</f>
        <v>0.27</v>
      </c>
      <c r="P10" s="140" t="str">
        <f aca="false">IFERROR(ROUND(CORREL('Returns (Calc)'!$I$3:$I$161,'Returns (Calc)'!$P$3:$P$161),2),"")</f>
        <v/>
      </c>
      <c r="Q10" s="140" t="n">
        <f aca="false">IFERROR(ROUND(CORREL('Returns (Calc)'!$I$3:$I$161,'Returns (Calc)'!$Q$3:$Q$161),2),"")</f>
        <v>-0.1</v>
      </c>
      <c r="R10" s="140" t="n">
        <f aca="false">IFERROR(ROUND(CORREL('Returns (Calc)'!$I$3:$I$161,'Returns (Calc)'!$R$3:$R$161),2),"")</f>
        <v>0.71</v>
      </c>
      <c r="S10" s="140" t="n">
        <f aca="false">IFERROR(ROUND(CORREL('Returns (Calc)'!$I$3:$I$161,'Returns (Calc)'!$S$3:$S$161),2),"")</f>
        <v>0.73</v>
      </c>
      <c r="T10" s="140" t="n">
        <f aca="false">IFERROR(ROUND(CORREL('Returns (Calc)'!$I$3:$I$161,'Returns (Calc)'!$T$3:$T$161),2),"")</f>
        <v>0.3</v>
      </c>
      <c r="U10" s="140" t="str">
        <f aca="false">IFERROR(ROUND(CORREL('Returns (Calc)'!$I$3:$I$161,'Returns (Calc)'!$U$3:$U$161),2),"")</f>
        <v/>
      </c>
      <c r="V10" s="77" t="n">
        <f aca="false">COUNTIF(B10:U10,"&gt;0.7")-1</f>
        <v>2</v>
      </c>
    </row>
    <row r="11" customFormat="false" ht="15" hidden="false" customHeight="true" outlineLevel="0" collapsed="false">
      <c r="A11" s="139" t="str">
        <f aca="false">'Returns (Calc)'!J2</f>
        <v>PLD</v>
      </c>
      <c r="B11" s="140" t="n">
        <f aca="false">IFERROR(ROUND(CORREL('Returns (Calc)'!$J$3:$J$161,'Returns (Calc)'!$B$3:$B$161),2),"")</f>
        <v>0.19</v>
      </c>
      <c r="C11" s="140" t="n">
        <f aca="false">IFERROR(ROUND(CORREL('Returns (Calc)'!$J$3:$J$161,'Returns (Calc)'!$C$3:$C$161),2),"")</f>
        <v>0.19</v>
      </c>
      <c r="D11" s="140" t="n">
        <f aca="false">IFERROR(ROUND(CORREL('Returns (Calc)'!$J$3:$J$161,'Returns (Calc)'!$D$3:$D$161),2),"")</f>
        <v>0.29</v>
      </c>
      <c r="E11" s="140" t="n">
        <f aca="false">IFERROR(ROUND(CORREL('Returns (Calc)'!$J$3:$J$161,'Returns (Calc)'!$E$3:$E$161),2),"")</f>
        <v>0.23</v>
      </c>
      <c r="F11" s="140" t="n">
        <f aca="false">IFERROR(ROUND(CORREL('Returns (Calc)'!$J$3:$J$161,'Returns (Calc)'!$F$3:$F$161),2),"")</f>
        <v>0.12</v>
      </c>
      <c r="G11" s="140" t="n">
        <f aca="false">IFERROR(ROUND(CORREL('Returns (Calc)'!$J$3:$J$161,'Returns (Calc)'!$G$3:$G$161),2),"")</f>
        <v>0.29</v>
      </c>
      <c r="H11" s="140" t="n">
        <f aca="false">IFERROR(ROUND(CORREL('Returns (Calc)'!$J$3:$J$161,'Returns (Calc)'!$H$3:$H$161),2),"")</f>
        <v>0.21</v>
      </c>
      <c r="I11" s="140" t="n">
        <f aca="false">IFERROR(ROUND(CORREL('Returns (Calc)'!$J$3:$J$161,'Returns (Calc)'!$I$3:$I$161),2),"")</f>
        <v>0.19</v>
      </c>
      <c r="J11" s="140" t="n">
        <v>1</v>
      </c>
      <c r="K11" s="140" t="n">
        <f aca="false">IFERROR(ROUND(CORREL('Returns (Calc)'!$J$3:$J$161,'Returns (Calc)'!$K$3:$K$161),2),"")</f>
        <v>0.16</v>
      </c>
      <c r="L11" s="140" t="n">
        <f aca="false">IFERROR(ROUND(CORREL('Returns (Calc)'!$J$3:$J$161,'Returns (Calc)'!$L$3:$L$161),2),"")</f>
        <v>0.22</v>
      </c>
      <c r="M11" s="140" t="n">
        <f aca="false">IFERROR(ROUND(CORREL('Returns (Calc)'!$J$3:$J$161,'Returns (Calc)'!$M$3:$M$161),2),"")</f>
        <v>0.16</v>
      </c>
      <c r="N11" s="140" t="n">
        <f aca="false">IFERROR(ROUND(CORREL('Returns (Calc)'!$J$3:$J$161,'Returns (Calc)'!$N$3:$N$161),2),"")</f>
        <v>0.26</v>
      </c>
      <c r="O11" s="140" t="n">
        <f aca="false">IFERROR(ROUND(CORREL('Returns (Calc)'!$J$3:$J$161,'Returns (Calc)'!$O$3:$O$161),2),"")</f>
        <v>0.62</v>
      </c>
      <c r="P11" s="140" t="str">
        <f aca="false">IFERROR(ROUND(CORREL('Returns (Calc)'!$J$3:$J$161,'Returns (Calc)'!$P$3:$P$161),2),"")</f>
        <v/>
      </c>
      <c r="Q11" s="140" t="n">
        <f aca="false">IFERROR(ROUND(CORREL('Returns (Calc)'!$J$3:$J$161,'Returns (Calc)'!$Q$3:$Q$161),2),"")</f>
        <v>-0.09</v>
      </c>
      <c r="R11" s="140" t="n">
        <f aca="false">IFERROR(ROUND(CORREL('Returns (Calc)'!$J$3:$J$161,'Returns (Calc)'!$R$3:$R$161),2),"")</f>
        <v>0.38</v>
      </c>
      <c r="S11" s="140" t="n">
        <f aca="false">IFERROR(ROUND(CORREL('Returns (Calc)'!$J$3:$J$161,'Returns (Calc)'!$S$3:$S$161),2),"")</f>
        <v>0.36</v>
      </c>
      <c r="T11" s="140" t="n">
        <f aca="false">IFERROR(ROUND(CORREL('Returns (Calc)'!$J$3:$J$161,'Returns (Calc)'!$T$3:$T$161),2),"")</f>
        <v>0.54</v>
      </c>
      <c r="U11" s="140" t="str">
        <f aca="false">IFERROR(ROUND(CORREL('Returns (Calc)'!$J$3:$J$161,'Returns (Calc)'!$U$3:$U$161),2),"")</f>
        <v/>
      </c>
      <c r="V11" s="77" t="n">
        <f aca="false">COUNTIF(B11:U11,"&gt;0.7")-1</f>
        <v>0</v>
      </c>
    </row>
    <row r="12" customFormat="false" ht="15" hidden="false" customHeight="true" outlineLevel="0" collapsed="false">
      <c r="A12" s="139" t="str">
        <f aca="false">'Returns (Calc)'!K2</f>
        <v>PLTR</v>
      </c>
      <c r="B12" s="140" t="n">
        <f aca="false">IFERROR(ROUND(CORREL('Returns (Calc)'!$K$3:$K$161,'Returns (Calc)'!$B$3:$B$161),2),"")</f>
        <v>0.36</v>
      </c>
      <c r="C12" s="140" t="n">
        <f aca="false">IFERROR(ROUND(CORREL('Returns (Calc)'!$K$3:$K$161,'Returns (Calc)'!$C$3:$C$161),2),"")</f>
        <v>0.34</v>
      </c>
      <c r="D12" s="140" t="n">
        <f aca="false">IFERROR(ROUND(CORREL('Returns (Calc)'!$K$3:$K$161,'Returns (Calc)'!$D$3:$D$161),2),"")</f>
        <v>0.2</v>
      </c>
      <c r="E12" s="140" t="n">
        <f aca="false">IFERROR(ROUND(CORREL('Returns (Calc)'!$K$3:$K$161,'Returns (Calc)'!$E$3:$E$161),2),"")</f>
        <v>0.37</v>
      </c>
      <c r="F12" s="140" t="n">
        <f aca="false">IFERROR(ROUND(CORREL('Returns (Calc)'!$K$3:$K$161,'Returns (Calc)'!$F$3:$F$161),2),"")</f>
        <v>0.5</v>
      </c>
      <c r="G12" s="140" t="n">
        <f aca="false">IFERROR(ROUND(CORREL('Returns (Calc)'!$K$3:$K$161,'Returns (Calc)'!$G$3:$G$161),2),"")</f>
        <v>0.24</v>
      </c>
      <c r="H12" s="140" t="n">
        <f aca="false">IFERROR(ROUND(CORREL('Returns (Calc)'!$K$3:$K$161,'Returns (Calc)'!$H$3:$H$161),2),"")</f>
        <v>0.17</v>
      </c>
      <c r="I12" s="140" t="n">
        <f aca="false">IFERROR(ROUND(CORREL('Returns (Calc)'!$K$3:$K$161,'Returns (Calc)'!$I$3:$I$161),2),"")</f>
        <v>0.44</v>
      </c>
      <c r="J12" s="140" t="n">
        <f aca="false">IFERROR(ROUND(CORREL('Returns (Calc)'!$K$3:$K$161,'Returns (Calc)'!$J$3:$J$161),2),"")</f>
        <v>0.16</v>
      </c>
      <c r="K12" s="140" t="n">
        <v>1</v>
      </c>
      <c r="L12" s="140" t="n">
        <f aca="false">IFERROR(ROUND(CORREL('Returns (Calc)'!$K$3:$K$161,'Returns (Calc)'!$L$3:$L$161),2),"")</f>
        <v>0.39</v>
      </c>
      <c r="M12" s="140" t="n">
        <f aca="false">IFERROR(ROUND(CORREL('Returns (Calc)'!$K$3:$K$161,'Returns (Calc)'!$M$3:$M$161),2),"")</f>
        <v>0.32</v>
      </c>
      <c r="N12" s="140" t="n">
        <f aca="false">IFERROR(ROUND(CORREL('Returns (Calc)'!$K$3:$K$161,'Returns (Calc)'!$N$3:$N$161),2),"")</f>
        <v>0.05</v>
      </c>
      <c r="O12" s="140" t="n">
        <f aca="false">IFERROR(ROUND(CORREL('Returns (Calc)'!$K$3:$K$161,'Returns (Calc)'!$O$3:$O$161),2),"")</f>
        <v>0.25</v>
      </c>
      <c r="P12" s="140" t="str">
        <f aca="false">IFERROR(ROUND(CORREL('Returns (Calc)'!$K$3:$K$161,'Returns (Calc)'!$P$3:$P$161),2),"")</f>
        <v/>
      </c>
      <c r="Q12" s="140" t="n">
        <f aca="false">IFERROR(ROUND(CORREL('Returns (Calc)'!$K$3:$K$161,'Returns (Calc)'!$Q$3:$Q$161),2),"")</f>
        <v>-0.08</v>
      </c>
      <c r="R12" s="140" t="n">
        <f aca="false">IFERROR(ROUND(CORREL('Returns (Calc)'!$K$3:$K$161,'Returns (Calc)'!$R$3:$R$161),2),"")</f>
        <v>0.48</v>
      </c>
      <c r="S12" s="140" t="n">
        <f aca="false">IFERROR(ROUND(CORREL('Returns (Calc)'!$K$3:$K$161,'Returns (Calc)'!$S$3:$S$161),2),"")</f>
        <v>0.45</v>
      </c>
      <c r="T12" s="140" t="n">
        <f aca="false">IFERROR(ROUND(CORREL('Returns (Calc)'!$K$3:$K$161,'Returns (Calc)'!$T$3:$T$161),2),"")</f>
        <v>0.34</v>
      </c>
      <c r="U12" s="140" t="str">
        <f aca="false">IFERROR(ROUND(CORREL('Returns (Calc)'!$K$3:$K$161,'Returns (Calc)'!$U$3:$U$161),2),"")</f>
        <v/>
      </c>
      <c r="V12" s="77" t="n">
        <f aca="false">COUNTIF(B12:U12,"&gt;0.7")-1</f>
        <v>0</v>
      </c>
    </row>
    <row r="13" customFormat="false" ht="15" hidden="false" customHeight="true" outlineLevel="0" collapsed="false">
      <c r="A13" s="139" t="str">
        <f aca="false">'Returns (Calc)'!L2</f>
        <v>TSM</v>
      </c>
      <c r="B13" s="140" t="n">
        <f aca="false">IFERROR(ROUND(CORREL('Returns (Calc)'!$L$3:$L$161,'Returns (Calc)'!$B$3:$B$161),2),"")</f>
        <v>0.17</v>
      </c>
      <c r="C13" s="140" t="n">
        <f aca="false">IFERROR(ROUND(CORREL('Returns (Calc)'!$L$3:$L$161,'Returns (Calc)'!$C$3:$C$161),2),"")</f>
        <v>0.55</v>
      </c>
      <c r="D13" s="140" t="n">
        <f aca="false">IFERROR(ROUND(CORREL('Returns (Calc)'!$L$3:$L$161,'Returns (Calc)'!$D$3:$D$161),2),"")</f>
        <v>0.63</v>
      </c>
      <c r="E13" s="140" t="n">
        <f aca="false">IFERROR(ROUND(CORREL('Returns (Calc)'!$L$3:$L$161,'Returns (Calc)'!$E$3:$E$161),2),"")</f>
        <v>0.63</v>
      </c>
      <c r="F13" s="140" t="n">
        <f aca="false">IFERROR(ROUND(CORREL('Returns (Calc)'!$L$3:$L$161,'Returns (Calc)'!$F$3:$F$161),2),"")</f>
        <v>0.39</v>
      </c>
      <c r="G13" s="140" t="n">
        <f aca="false">IFERROR(ROUND(CORREL('Returns (Calc)'!$L$3:$L$161,'Returns (Calc)'!$G$3:$G$161),2),"")</f>
        <v>0.61</v>
      </c>
      <c r="H13" s="140" t="n">
        <f aca="false">IFERROR(ROUND(CORREL('Returns (Calc)'!$L$3:$L$161,'Returns (Calc)'!$H$3:$H$161),2),"")</f>
        <v>0.55</v>
      </c>
      <c r="I13" s="140" t="n">
        <f aca="false">IFERROR(ROUND(CORREL('Returns (Calc)'!$L$3:$L$161,'Returns (Calc)'!$I$3:$I$161),2),"")</f>
        <v>0.64</v>
      </c>
      <c r="J13" s="140" t="n">
        <f aca="false">IFERROR(ROUND(CORREL('Returns (Calc)'!$L$3:$L$161,'Returns (Calc)'!$J$3:$J$161),2),"")</f>
        <v>0.22</v>
      </c>
      <c r="K13" s="140" t="n">
        <f aca="false">IFERROR(ROUND(CORREL('Returns (Calc)'!$L$3:$L$161,'Returns (Calc)'!$K$3:$K$161),2),"")</f>
        <v>0.39</v>
      </c>
      <c r="L13" s="140" t="n">
        <v>1</v>
      </c>
      <c r="M13" s="140" t="n">
        <f aca="false">IFERROR(ROUND(CORREL('Returns (Calc)'!$L$3:$L$161,'Returns (Calc)'!$M$3:$M$161),2),"")</f>
        <v>0.6</v>
      </c>
      <c r="N13" s="140" t="n">
        <f aca="false">IFERROR(ROUND(CORREL('Returns (Calc)'!$L$3:$L$161,'Returns (Calc)'!$N$3:$N$161),2),"")</f>
        <v>0.16</v>
      </c>
      <c r="O13" s="140" t="n">
        <f aca="false">IFERROR(ROUND(CORREL('Returns (Calc)'!$L$3:$L$161,'Returns (Calc)'!$O$3:$O$161),2),"")</f>
        <v>0.33</v>
      </c>
      <c r="P13" s="140" t="str">
        <f aca="false">IFERROR(ROUND(CORREL('Returns (Calc)'!$L$3:$L$161,'Returns (Calc)'!$P$3:$P$161),2),"")</f>
        <v/>
      </c>
      <c r="Q13" s="140" t="n">
        <f aca="false">IFERROR(ROUND(CORREL('Returns (Calc)'!$L$3:$L$161,'Returns (Calc)'!$Q$3:$Q$161),2),"")</f>
        <v>-0</v>
      </c>
      <c r="R13" s="140" t="n">
        <f aca="false">IFERROR(ROUND(CORREL('Returns (Calc)'!$L$3:$L$161,'Returns (Calc)'!$R$3:$R$161),2),"")</f>
        <v>0.66</v>
      </c>
      <c r="S13" s="140" t="n">
        <f aca="false">IFERROR(ROUND(CORREL('Returns (Calc)'!$L$3:$L$161,'Returns (Calc)'!$S$3:$S$161),2),"")</f>
        <v>0.69</v>
      </c>
      <c r="T13" s="140" t="n">
        <f aca="false">IFERROR(ROUND(CORREL('Returns (Calc)'!$L$3:$L$161,'Returns (Calc)'!$T$3:$T$161),2),"")</f>
        <v>0.29</v>
      </c>
      <c r="U13" s="140" t="str">
        <f aca="false">IFERROR(ROUND(CORREL('Returns (Calc)'!$L$3:$L$161,'Returns (Calc)'!$U$3:$U$161),2),"")</f>
        <v/>
      </c>
      <c r="V13" s="77" t="n">
        <f aca="false">COUNTIF(B13:U13,"&gt;0.7")-1</f>
        <v>0</v>
      </c>
    </row>
    <row r="14" customFormat="false" ht="15" hidden="false" customHeight="true" outlineLevel="0" collapsed="false">
      <c r="A14" s="139" t="str">
        <f aca="false">'Returns (Calc)'!M2</f>
        <v>VRT</v>
      </c>
      <c r="B14" s="140" t="n">
        <f aca="false">IFERROR(ROUND(CORREL('Returns (Calc)'!$M$3:$M$161,'Returns (Calc)'!$B$3:$B$161),2),"")</f>
        <v>0.08</v>
      </c>
      <c r="C14" s="140" t="n">
        <f aca="false">IFERROR(ROUND(CORREL('Returns (Calc)'!$M$3:$M$161,'Returns (Calc)'!$C$3:$C$161),2),"")</f>
        <v>0.59</v>
      </c>
      <c r="D14" s="140" t="n">
        <f aca="false">IFERROR(ROUND(CORREL('Returns (Calc)'!$M$3:$M$161,'Returns (Calc)'!$D$3:$D$161),2),"")</f>
        <v>0.41</v>
      </c>
      <c r="E14" s="140" t="n">
        <f aca="false">IFERROR(ROUND(CORREL('Returns (Calc)'!$M$3:$M$161,'Returns (Calc)'!$E$3:$E$161),2),"")</f>
        <v>0.53</v>
      </c>
      <c r="F14" s="140" t="n">
        <f aca="false">IFERROR(ROUND(CORREL('Returns (Calc)'!$M$3:$M$161,'Returns (Calc)'!$F$3:$F$161),2),"")</f>
        <v>0.41</v>
      </c>
      <c r="G14" s="140" t="n">
        <f aca="false">IFERROR(ROUND(CORREL('Returns (Calc)'!$M$3:$M$161,'Returns (Calc)'!$G$3:$G$161),2),"")</f>
        <v>0.49</v>
      </c>
      <c r="H14" s="140" t="n">
        <f aca="false">IFERROR(ROUND(CORREL('Returns (Calc)'!$M$3:$M$161,'Returns (Calc)'!$H$3:$H$161),2),"")</f>
        <v>0.49</v>
      </c>
      <c r="I14" s="140" t="n">
        <f aca="false">IFERROR(ROUND(CORREL('Returns (Calc)'!$M$3:$M$161,'Returns (Calc)'!$I$3:$I$161),2),"")</f>
        <v>0.65</v>
      </c>
      <c r="J14" s="140" t="n">
        <f aca="false">IFERROR(ROUND(CORREL('Returns (Calc)'!$M$3:$M$161,'Returns (Calc)'!$J$3:$J$161),2),"")</f>
        <v>0.16</v>
      </c>
      <c r="K14" s="140" t="n">
        <f aca="false">IFERROR(ROUND(CORREL('Returns (Calc)'!$M$3:$M$161,'Returns (Calc)'!$K$3:$K$161),2),"")</f>
        <v>0.32</v>
      </c>
      <c r="L14" s="140" t="n">
        <f aca="false">IFERROR(ROUND(CORREL('Returns (Calc)'!$M$3:$M$161,'Returns (Calc)'!$L$3:$L$161),2),"")</f>
        <v>0.6</v>
      </c>
      <c r="M14" s="140" t="n">
        <v>1</v>
      </c>
      <c r="N14" s="140" t="n">
        <f aca="false">IFERROR(ROUND(CORREL('Returns (Calc)'!$M$3:$M$161,'Returns (Calc)'!$N$3:$N$161),2),"")</f>
        <v>0.12</v>
      </c>
      <c r="O14" s="140" t="n">
        <f aca="false">IFERROR(ROUND(CORREL('Returns (Calc)'!$M$3:$M$161,'Returns (Calc)'!$O$3:$O$161),2),"")</f>
        <v>0.34</v>
      </c>
      <c r="P14" s="140" t="str">
        <f aca="false">IFERROR(ROUND(CORREL('Returns (Calc)'!$M$3:$M$161,'Returns (Calc)'!$P$3:$P$161),2),"")</f>
        <v/>
      </c>
      <c r="Q14" s="140" t="n">
        <f aca="false">IFERROR(ROUND(CORREL('Returns (Calc)'!$M$3:$M$161,'Returns (Calc)'!$Q$3:$Q$161),2),"")</f>
        <v>-0.02</v>
      </c>
      <c r="R14" s="140" t="n">
        <f aca="false">IFERROR(ROUND(CORREL('Returns (Calc)'!$M$3:$M$161,'Returns (Calc)'!$R$3:$R$161),2),"")</f>
        <v>0.61</v>
      </c>
      <c r="S14" s="140" t="n">
        <f aca="false">IFERROR(ROUND(CORREL('Returns (Calc)'!$M$3:$M$161,'Returns (Calc)'!$S$3:$S$161),2),"")</f>
        <v>0.65</v>
      </c>
      <c r="T14" s="140" t="n">
        <f aca="false">IFERROR(ROUND(CORREL('Returns (Calc)'!$M$3:$M$161,'Returns (Calc)'!$T$3:$T$161),2),"")</f>
        <v>0.29</v>
      </c>
      <c r="U14" s="140" t="str">
        <f aca="false">IFERROR(ROUND(CORREL('Returns (Calc)'!$M$3:$M$161,'Returns (Calc)'!$U$3:$U$161),2),"")</f>
        <v/>
      </c>
      <c r="V14" s="77" t="n">
        <f aca="false">COUNTIF(B14:U14,"&gt;0.7")-1</f>
        <v>0</v>
      </c>
    </row>
    <row r="15" customFormat="false" ht="15" hidden="false" customHeight="true" outlineLevel="0" collapsed="false">
      <c r="A15" s="139" t="str">
        <f aca="false">'Returns (Calc)'!N2</f>
        <v>VRTX</v>
      </c>
      <c r="B15" s="140" t="n">
        <f aca="false">IFERROR(ROUND(CORREL('Returns (Calc)'!$N$3:$N$161,'Returns (Calc)'!$B$3:$B$161),2),"")</f>
        <v>0.13</v>
      </c>
      <c r="C15" s="140" t="n">
        <f aca="false">IFERROR(ROUND(CORREL('Returns (Calc)'!$N$3:$N$161,'Returns (Calc)'!$C$3:$C$161),2),"")</f>
        <v>0.05</v>
      </c>
      <c r="D15" s="140" t="n">
        <f aca="false">IFERROR(ROUND(CORREL('Returns (Calc)'!$N$3:$N$161,'Returns (Calc)'!$D$3:$D$161),2),"")</f>
        <v>0.12</v>
      </c>
      <c r="E15" s="140" t="n">
        <f aca="false">IFERROR(ROUND(CORREL('Returns (Calc)'!$N$3:$N$161,'Returns (Calc)'!$E$3:$E$161),2),"")</f>
        <v>0.16</v>
      </c>
      <c r="F15" s="140" t="n">
        <f aca="false">IFERROR(ROUND(CORREL('Returns (Calc)'!$N$3:$N$161,'Returns (Calc)'!$F$3:$F$161),2),"")</f>
        <v>0.21</v>
      </c>
      <c r="G15" s="140" t="n">
        <f aca="false">IFERROR(ROUND(CORREL('Returns (Calc)'!$N$3:$N$161,'Returns (Calc)'!$G$3:$G$161),2),"")</f>
        <v>0.18</v>
      </c>
      <c r="H15" s="140" t="n">
        <f aca="false">IFERROR(ROUND(CORREL('Returns (Calc)'!$N$3:$N$161,'Returns (Calc)'!$H$3:$H$161),2),"")</f>
        <v>0.18</v>
      </c>
      <c r="I15" s="140" t="n">
        <f aca="false">IFERROR(ROUND(CORREL('Returns (Calc)'!$N$3:$N$161,'Returns (Calc)'!$I$3:$I$161),2),"")</f>
        <v>0.14</v>
      </c>
      <c r="J15" s="140" t="n">
        <f aca="false">IFERROR(ROUND(CORREL('Returns (Calc)'!$N$3:$N$161,'Returns (Calc)'!$J$3:$J$161),2),"")</f>
        <v>0.26</v>
      </c>
      <c r="K15" s="140" t="n">
        <f aca="false">IFERROR(ROUND(CORREL('Returns (Calc)'!$N$3:$N$161,'Returns (Calc)'!$K$3:$K$161),2),"")</f>
        <v>0.05</v>
      </c>
      <c r="L15" s="140" t="n">
        <f aca="false">IFERROR(ROUND(CORREL('Returns (Calc)'!$N$3:$N$161,'Returns (Calc)'!$L$3:$L$161),2),"")</f>
        <v>0.16</v>
      </c>
      <c r="M15" s="140" t="n">
        <f aca="false">IFERROR(ROUND(CORREL('Returns (Calc)'!$N$3:$N$161,'Returns (Calc)'!$M$3:$M$161),2),"")</f>
        <v>0.12</v>
      </c>
      <c r="N15" s="140" t="n">
        <v>1</v>
      </c>
      <c r="O15" s="140" t="n">
        <f aca="false">IFERROR(ROUND(CORREL('Returns (Calc)'!$N$3:$N$161,'Returns (Calc)'!$O$3:$O$161),2),"")</f>
        <v>0.24</v>
      </c>
      <c r="P15" s="140" t="str">
        <f aca="false">IFERROR(ROUND(CORREL('Returns (Calc)'!$N$3:$N$161,'Returns (Calc)'!$P$3:$P$161),2),"")</f>
        <v/>
      </c>
      <c r="Q15" s="140" t="n">
        <f aca="false">IFERROR(ROUND(CORREL('Returns (Calc)'!$N$3:$N$161,'Returns (Calc)'!$Q$3:$Q$161),2),"")</f>
        <v>0.04</v>
      </c>
      <c r="R15" s="140" t="n">
        <f aca="false">IFERROR(ROUND(CORREL('Returns (Calc)'!$N$3:$N$161,'Returns (Calc)'!$R$3:$R$161),2),"")</f>
        <v>0.2</v>
      </c>
      <c r="S15" s="140" t="n">
        <f aca="false">IFERROR(ROUND(CORREL('Returns (Calc)'!$N$3:$N$161,'Returns (Calc)'!$S$3:$S$161),2),"")</f>
        <v>0.17</v>
      </c>
      <c r="T15" s="140" t="n">
        <f aca="false">IFERROR(ROUND(CORREL('Returns (Calc)'!$N$3:$N$161,'Returns (Calc)'!$T$3:$T$161),2),"")</f>
        <v>0.31</v>
      </c>
      <c r="U15" s="140" t="str">
        <f aca="false">IFERROR(ROUND(CORREL('Returns (Calc)'!$N$3:$N$161,'Returns (Calc)'!$U$3:$U$161),2),"")</f>
        <v/>
      </c>
      <c r="V15" s="77" t="n">
        <f aca="false">COUNTIF(B15:U15,"&gt;0.7")-1</f>
        <v>0</v>
      </c>
    </row>
    <row r="16" customFormat="false" ht="15" hidden="false" customHeight="true" outlineLevel="0" collapsed="false">
      <c r="A16" s="139" t="str">
        <f aca="false">'Returns (Calc)'!O2</f>
        <v>AVUV</v>
      </c>
      <c r="B16" s="140" t="n">
        <f aca="false">IFERROR(ROUND(CORREL('Returns (Calc)'!$O$3:$O$161,'Returns (Calc)'!$B$3:$B$161),2),"")</f>
        <v>0.17</v>
      </c>
      <c r="C16" s="140" t="n">
        <f aca="false">IFERROR(ROUND(CORREL('Returns (Calc)'!$O$3:$O$161,'Returns (Calc)'!$C$3:$C$161),2),"")</f>
        <v>0.35</v>
      </c>
      <c r="D16" s="140" t="n">
        <f aca="false">IFERROR(ROUND(CORREL('Returns (Calc)'!$O$3:$O$161,'Returns (Calc)'!$D$3:$D$161),2),"")</f>
        <v>0.38</v>
      </c>
      <c r="E16" s="140" t="n">
        <f aca="false">IFERROR(ROUND(CORREL('Returns (Calc)'!$O$3:$O$161,'Returns (Calc)'!$E$3:$E$161),2),"")</f>
        <v>0.29</v>
      </c>
      <c r="F16" s="140" t="n">
        <f aca="false">IFERROR(ROUND(CORREL('Returns (Calc)'!$O$3:$O$161,'Returns (Calc)'!$F$3:$F$161),2),"")</f>
        <v>0.22</v>
      </c>
      <c r="G16" s="140" t="n">
        <f aca="false">IFERROR(ROUND(CORREL('Returns (Calc)'!$O$3:$O$161,'Returns (Calc)'!$G$3:$G$161),2),"")</f>
        <v>0.43</v>
      </c>
      <c r="H16" s="140" t="n">
        <f aca="false">IFERROR(ROUND(CORREL('Returns (Calc)'!$O$3:$O$161,'Returns (Calc)'!$H$3:$H$161),2),"")</f>
        <v>0.36</v>
      </c>
      <c r="I16" s="140" t="n">
        <f aca="false">IFERROR(ROUND(CORREL('Returns (Calc)'!$O$3:$O$161,'Returns (Calc)'!$I$3:$I$161),2),"")</f>
        <v>0.27</v>
      </c>
      <c r="J16" s="140" t="n">
        <f aca="false">IFERROR(ROUND(CORREL('Returns (Calc)'!$O$3:$O$161,'Returns (Calc)'!$J$3:$J$161),2),"")</f>
        <v>0.62</v>
      </c>
      <c r="K16" s="140" t="n">
        <f aca="false">IFERROR(ROUND(CORREL('Returns (Calc)'!$O$3:$O$161,'Returns (Calc)'!$K$3:$K$161),2),"")</f>
        <v>0.25</v>
      </c>
      <c r="L16" s="140" t="n">
        <f aca="false">IFERROR(ROUND(CORREL('Returns (Calc)'!$O$3:$O$161,'Returns (Calc)'!$L$3:$L$161),2),"")</f>
        <v>0.33</v>
      </c>
      <c r="M16" s="140" t="n">
        <f aca="false">IFERROR(ROUND(CORREL('Returns (Calc)'!$O$3:$O$161,'Returns (Calc)'!$M$3:$M$161),2),"")</f>
        <v>0.34</v>
      </c>
      <c r="N16" s="140" t="n">
        <f aca="false">IFERROR(ROUND(CORREL('Returns (Calc)'!$O$3:$O$161,'Returns (Calc)'!$N$3:$N$161),2),"")</f>
        <v>0.24</v>
      </c>
      <c r="O16" s="140" t="n">
        <v>1</v>
      </c>
      <c r="P16" s="140" t="str">
        <f aca="false">IFERROR(ROUND(CORREL('Returns (Calc)'!$O$3:$O$161,'Returns (Calc)'!$P$3:$P$161),2),"")</f>
        <v/>
      </c>
      <c r="Q16" s="140" t="n">
        <f aca="false">IFERROR(ROUND(CORREL('Returns (Calc)'!$O$3:$O$161,'Returns (Calc)'!$Q$3:$Q$161),2),"")</f>
        <v>-0.04</v>
      </c>
      <c r="R16" s="140" t="n">
        <f aca="false">IFERROR(ROUND(CORREL('Returns (Calc)'!$O$3:$O$161,'Returns (Calc)'!$R$3:$R$161),2),"")</f>
        <v>0.54</v>
      </c>
      <c r="S16" s="140" t="n">
        <f aca="false">IFERROR(ROUND(CORREL('Returns (Calc)'!$O$3:$O$161,'Returns (Calc)'!$S$3:$S$161),2),"")</f>
        <v>0.49</v>
      </c>
      <c r="T16" s="140" t="n">
        <f aca="false">IFERROR(ROUND(CORREL('Returns (Calc)'!$O$3:$O$161,'Returns (Calc)'!$T$3:$T$161),2),"")</f>
        <v>0.81</v>
      </c>
      <c r="U16" s="140" t="str">
        <f aca="false">IFERROR(ROUND(CORREL('Returns (Calc)'!$O$3:$O$161,'Returns (Calc)'!$U$3:$U$161),2),"")</f>
        <v/>
      </c>
      <c r="V16" s="77" t="n">
        <f aca="false">COUNTIF(B16:U16,"&gt;0.7")-1</f>
        <v>1</v>
      </c>
    </row>
    <row r="17" customFormat="false" ht="15" hidden="false" customHeight="true" outlineLevel="0" collapsed="false">
      <c r="A17" s="139" t="n">
        <f aca="false">'Returns (Calc)'!P2</f>
        <v>0</v>
      </c>
      <c r="B17" s="140" t="str">
        <f aca="false">IFERROR(ROUND(CORREL('Returns (Calc)'!$P$3:$P$161,'Returns (Calc)'!$B$3:$B$161),2),"")</f>
        <v/>
      </c>
      <c r="C17" s="140" t="str">
        <f aca="false">IFERROR(ROUND(CORREL('Returns (Calc)'!$P$3:$P$161,'Returns (Calc)'!$C$3:$C$161),2),"")</f>
        <v/>
      </c>
      <c r="D17" s="140" t="str">
        <f aca="false">IFERROR(ROUND(CORREL('Returns (Calc)'!$P$3:$P$161,'Returns (Calc)'!$D$3:$D$161),2),"")</f>
        <v/>
      </c>
      <c r="E17" s="140" t="str">
        <f aca="false">IFERROR(ROUND(CORREL('Returns (Calc)'!$P$3:$P$161,'Returns (Calc)'!$E$3:$E$161),2),"")</f>
        <v/>
      </c>
      <c r="F17" s="140" t="str">
        <f aca="false">IFERROR(ROUND(CORREL('Returns (Calc)'!$P$3:$P$161,'Returns (Calc)'!$F$3:$F$161),2),"")</f>
        <v/>
      </c>
      <c r="G17" s="140" t="str">
        <f aca="false">IFERROR(ROUND(CORREL('Returns (Calc)'!$P$3:$P$161,'Returns (Calc)'!$G$3:$G$161),2),"")</f>
        <v/>
      </c>
      <c r="H17" s="140" t="str">
        <f aca="false">IFERROR(ROUND(CORREL('Returns (Calc)'!$P$3:$P$161,'Returns (Calc)'!$H$3:$H$161),2),"")</f>
        <v/>
      </c>
      <c r="I17" s="140" t="str">
        <f aca="false">IFERROR(ROUND(CORREL('Returns (Calc)'!$P$3:$P$161,'Returns (Calc)'!$I$3:$I$161),2),"")</f>
        <v/>
      </c>
      <c r="J17" s="140" t="str">
        <f aca="false">IFERROR(ROUND(CORREL('Returns (Calc)'!$P$3:$P$161,'Returns (Calc)'!$J$3:$J$161),2),"")</f>
        <v/>
      </c>
      <c r="K17" s="140" t="str">
        <f aca="false">IFERROR(ROUND(CORREL('Returns (Calc)'!$P$3:$P$161,'Returns (Calc)'!$K$3:$K$161),2),"")</f>
        <v/>
      </c>
      <c r="L17" s="140" t="str">
        <f aca="false">IFERROR(ROUND(CORREL('Returns (Calc)'!$P$3:$P$161,'Returns (Calc)'!$L$3:$L$161),2),"")</f>
        <v/>
      </c>
      <c r="M17" s="140" t="str">
        <f aca="false">IFERROR(ROUND(CORREL('Returns (Calc)'!$P$3:$P$161,'Returns (Calc)'!$M$3:$M$161),2),"")</f>
        <v/>
      </c>
      <c r="N17" s="140" t="str">
        <f aca="false">IFERROR(ROUND(CORREL('Returns (Calc)'!$P$3:$P$161,'Returns (Calc)'!$N$3:$N$161),2),"")</f>
        <v/>
      </c>
      <c r="O17" s="140" t="str">
        <f aca="false">IFERROR(ROUND(CORREL('Returns (Calc)'!$P$3:$P$161,'Returns (Calc)'!$O$3:$O$161),2),"")</f>
        <v/>
      </c>
      <c r="P17" s="140" t="n">
        <v>1</v>
      </c>
      <c r="Q17" s="140" t="str">
        <f aca="false">IFERROR(ROUND(CORREL('Returns (Calc)'!$P$3:$P$161,'Returns (Calc)'!$Q$3:$Q$161),2),"")</f>
        <v/>
      </c>
      <c r="R17" s="140" t="str">
        <f aca="false">IFERROR(ROUND(CORREL('Returns (Calc)'!$P$3:$P$161,'Returns (Calc)'!$R$3:$R$161),2),"")</f>
        <v/>
      </c>
      <c r="S17" s="140" t="str">
        <f aca="false">IFERROR(ROUND(CORREL('Returns (Calc)'!$P$3:$P$161,'Returns (Calc)'!$S$3:$S$161),2),"")</f>
        <v/>
      </c>
      <c r="T17" s="140" t="str">
        <f aca="false">IFERROR(ROUND(CORREL('Returns (Calc)'!$P$3:$P$161,'Returns (Calc)'!$T$3:$T$161),2),"")</f>
        <v/>
      </c>
      <c r="U17" s="140" t="str">
        <f aca="false">IFERROR(ROUND(CORREL('Returns (Calc)'!$P$3:$P$161,'Returns (Calc)'!$U$3:$U$161),2),"")</f>
        <v/>
      </c>
      <c r="V17" s="77" t="n">
        <f aca="false">COUNTIF(B17:U17,"&gt;0.7")-1</f>
        <v>0</v>
      </c>
    </row>
    <row r="18" customFormat="false" ht="15" hidden="false" customHeight="true" outlineLevel="0" collapsed="false">
      <c r="A18" s="139" t="str">
        <f aca="false">'Returns (Calc)'!Q2</f>
        <v>HELO</v>
      </c>
      <c r="B18" s="140" t="n">
        <f aca="false">IFERROR(ROUND(CORREL('Returns (Calc)'!$Q$3:$Q$161,'Returns (Calc)'!$B$3:$B$161),2),"")</f>
        <v>-0.1</v>
      </c>
      <c r="C18" s="140" t="n">
        <f aca="false">IFERROR(ROUND(CORREL('Returns (Calc)'!$Q$3:$Q$161,'Returns (Calc)'!$C$3:$C$161),2),"")</f>
        <v>-0.01</v>
      </c>
      <c r="D18" s="140" t="n">
        <f aca="false">IFERROR(ROUND(CORREL('Returns (Calc)'!$Q$3:$Q$161,'Returns (Calc)'!$D$3:$D$161),2),"")</f>
        <v>-0.06</v>
      </c>
      <c r="E18" s="140" t="n">
        <f aca="false">IFERROR(ROUND(CORREL('Returns (Calc)'!$Q$3:$Q$161,'Returns (Calc)'!$E$3:$E$161),2),"")</f>
        <v>-0.08</v>
      </c>
      <c r="F18" s="140" t="n">
        <f aca="false">IFERROR(ROUND(CORREL('Returns (Calc)'!$Q$3:$Q$161,'Returns (Calc)'!$F$3:$F$161),2),"")</f>
        <v>-0.07</v>
      </c>
      <c r="G18" s="140" t="n">
        <f aca="false">IFERROR(ROUND(CORREL('Returns (Calc)'!$Q$3:$Q$161,'Returns (Calc)'!$G$3:$G$161),2),"")</f>
        <v>-0.04</v>
      </c>
      <c r="H18" s="140" t="n">
        <f aca="false">IFERROR(ROUND(CORREL('Returns (Calc)'!$Q$3:$Q$161,'Returns (Calc)'!$H$3:$H$161),2),"")</f>
        <v>-0.12</v>
      </c>
      <c r="I18" s="140" t="n">
        <f aca="false">IFERROR(ROUND(CORREL('Returns (Calc)'!$Q$3:$Q$161,'Returns (Calc)'!$I$3:$I$161),2),"")</f>
        <v>-0.1</v>
      </c>
      <c r="J18" s="140" t="n">
        <f aca="false">IFERROR(ROUND(CORREL('Returns (Calc)'!$Q$3:$Q$161,'Returns (Calc)'!$J$3:$J$161),2),"")</f>
        <v>-0.09</v>
      </c>
      <c r="K18" s="140" t="n">
        <f aca="false">IFERROR(ROUND(CORREL('Returns (Calc)'!$Q$3:$Q$161,'Returns (Calc)'!$K$3:$K$161),2),"")</f>
        <v>-0.08</v>
      </c>
      <c r="L18" s="140" t="n">
        <f aca="false">IFERROR(ROUND(CORREL('Returns (Calc)'!$Q$3:$Q$161,'Returns (Calc)'!$L$3:$L$161),2),"")</f>
        <v>-0</v>
      </c>
      <c r="M18" s="140" t="n">
        <f aca="false">IFERROR(ROUND(CORREL('Returns (Calc)'!$Q$3:$Q$161,'Returns (Calc)'!$M$3:$M$161),2),"")</f>
        <v>-0.02</v>
      </c>
      <c r="N18" s="140" t="n">
        <f aca="false">IFERROR(ROUND(CORREL('Returns (Calc)'!$Q$3:$Q$161,'Returns (Calc)'!$N$3:$N$161),2),"")</f>
        <v>0.04</v>
      </c>
      <c r="O18" s="140" t="n">
        <f aca="false">IFERROR(ROUND(CORREL('Returns (Calc)'!$Q$3:$Q$161,'Returns (Calc)'!$O$3:$O$161),2),"")</f>
        <v>-0.04</v>
      </c>
      <c r="P18" s="140" t="str">
        <f aca="false">IFERROR(ROUND(CORREL('Returns (Calc)'!$Q$3:$Q$161,'Returns (Calc)'!$P$3:$P$161),2),"")</f>
        <v/>
      </c>
      <c r="Q18" s="140" t="n">
        <v>1</v>
      </c>
      <c r="R18" s="140" t="n">
        <f aca="false">IFERROR(ROUND(CORREL('Returns (Calc)'!$Q$3:$Q$161,'Returns (Calc)'!$R$3:$R$161),2),"")</f>
        <v>-0.04</v>
      </c>
      <c r="S18" s="140" t="n">
        <f aca="false">IFERROR(ROUND(CORREL('Returns (Calc)'!$Q$3:$Q$161,'Returns (Calc)'!$S$3:$S$161),2),"")</f>
        <v>-0.05</v>
      </c>
      <c r="T18" s="140" t="n">
        <f aca="false">IFERROR(ROUND(CORREL('Returns (Calc)'!$Q$3:$Q$161,'Returns (Calc)'!$T$3:$T$161),2),"")</f>
        <v>-0.08</v>
      </c>
      <c r="U18" s="140" t="str">
        <f aca="false">IFERROR(ROUND(CORREL('Returns (Calc)'!$Q$3:$Q$161,'Returns (Calc)'!$U$3:$U$161),2),"")</f>
        <v/>
      </c>
      <c r="V18" s="77" t="n">
        <f aca="false">COUNTIF(B18:U18,"&gt;0.7")-1</f>
        <v>0</v>
      </c>
    </row>
    <row r="19" customFormat="false" ht="15" hidden="false" customHeight="true" outlineLevel="0" collapsed="false">
      <c r="A19" s="139" t="str">
        <f aca="false">'Returns (Calc)'!R2</f>
        <v>JEPQ</v>
      </c>
      <c r="B19" s="140" t="n">
        <f aca="false">IFERROR(ROUND(CORREL('Returns (Calc)'!$R$3:$R$161,'Returns (Calc)'!$B$3:$B$161),2),"")</f>
        <v>0.32</v>
      </c>
      <c r="C19" s="140" t="n">
        <f aca="false">IFERROR(ROUND(CORREL('Returns (Calc)'!$R$3:$R$161,'Returns (Calc)'!$C$3:$C$161),2),"")</f>
        <v>0.64</v>
      </c>
      <c r="D19" s="140" t="n">
        <f aca="false">IFERROR(ROUND(CORREL('Returns (Calc)'!$R$3:$R$161,'Returns (Calc)'!$D$3:$D$161),2),"")</f>
        <v>0.6</v>
      </c>
      <c r="E19" s="140" t="n">
        <f aca="false">IFERROR(ROUND(CORREL('Returns (Calc)'!$R$3:$R$161,'Returns (Calc)'!$E$3:$E$161),2),"")</f>
        <v>0.73</v>
      </c>
      <c r="F19" s="140" t="n">
        <f aca="false">IFERROR(ROUND(CORREL('Returns (Calc)'!$R$3:$R$161,'Returns (Calc)'!$F$3:$F$161),2),"")</f>
        <v>0.54</v>
      </c>
      <c r="G19" s="140" t="n">
        <f aca="false">IFERROR(ROUND(CORREL('Returns (Calc)'!$R$3:$R$161,'Returns (Calc)'!$G$3:$G$161),2),"")</f>
        <v>0.62</v>
      </c>
      <c r="H19" s="140" t="n">
        <f aca="false">IFERROR(ROUND(CORREL('Returns (Calc)'!$R$3:$R$161,'Returns (Calc)'!$H$3:$H$161),2),"")</f>
        <v>0.61</v>
      </c>
      <c r="I19" s="140" t="n">
        <f aca="false">IFERROR(ROUND(CORREL('Returns (Calc)'!$R$3:$R$161,'Returns (Calc)'!$I$3:$I$161),2),"")</f>
        <v>0.71</v>
      </c>
      <c r="J19" s="140" t="n">
        <f aca="false">IFERROR(ROUND(CORREL('Returns (Calc)'!$R$3:$R$161,'Returns (Calc)'!$J$3:$J$161),2),"")</f>
        <v>0.38</v>
      </c>
      <c r="K19" s="140" t="n">
        <f aca="false">IFERROR(ROUND(CORREL('Returns (Calc)'!$R$3:$R$161,'Returns (Calc)'!$K$3:$K$161),2),"")</f>
        <v>0.48</v>
      </c>
      <c r="L19" s="140" t="n">
        <f aca="false">IFERROR(ROUND(CORREL('Returns (Calc)'!$R$3:$R$161,'Returns (Calc)'!$L$3:$L$161),2),"")</f>
        <v>0.66</v>
      </c>
      <c r="M19" s="140" t="n">
        <f aca="false">IFERROR(ROUND(CORREL('Returns (Calc)'!$R$3:$R$161,'Returns (Calc)'!$M$3:$M$161),2),"")</f>
        <v>0.61</v>
      </c>
      <c r="N19" s="140" t="n">
        <f aca="false">IFERROR(ROUND(CORREL('Returns (Calc)'!$R$3:$R$161,'Returns (Calc)'!$N$3:$N$161),2),"")</f>
        <v>0.2</v>
      </c>
      <c r="O19" s="140" t="n">
        <f aca="false">IFERROR(ROUND(CORREL('Returns (Calc)'!$R$3:$R$161,'Returns (Calc)'!$O$3:$O$161),2),"")</f>
        <v>0.54</v>
      </c>
      <c r="P19" s="140" t="str">
        <f aca="false">IFERROR(ROUND(CORREL('Returns (Calc)'!$R$3:$R$161,'Returns (Calc)'!$P$3:$P$161),2),"")</f>
        <v/>
      </c>
      <c r="Q19" s="140" t="n">
        <f aca="false">IFERROR(ROUND(CORREL('Returns (Calc)'!$R$3:$R$161,'Returns (Calc)'!$Q$3:$Q$161),2),"")</f>
        <v>-0.04</v>
      </c>
      <c r="R19" s="140" t="n">
        <v>1</v>
      </c>
      <c r="S19" s="140" t="n">
        <f aca="false">IFERROR(ROUND(CORREL('Returns (Calc)'!$R$3:$R$161,'Returns (Calc)'!$S$3:$S$161),2),"")</f>
        <v>0.88</v>
      </c>
      <c r="T19" s="140" t="n">
        <f aca="false">IFERROR(ROUND(CORREL('Returns (Calc)'!$R$3:$R$161,'Returns (Calc)'!$T$3:$T$161),2),"")</f>
        <v>0.57</v>
      </c>
      <c r="U19" s="140" t="str">
        <f aca="false">IFERROR(ROUND(CORREL('Returns (Calc)'!$R$3:$R$161,'Returns (Calc)'!$U$3:$U$161),2),"")</f>
        <v/>
      </c>
      <c r="V19" s="77" t="n">
        <f aca="false">COUNTIF(B19:U19,"&gt;0.7")-1</f>
        <v>3</v>
      </c>
    </row>
    <row r="20" customFormat="false" ht="15" hidden="false" customHeight="true" outlineLevel="0" collapsed="false">
      <c r="A20" s="139" t="str">
        <f aca="false">'Returns (Calc)'!S2</f>
        <v>SPMO</v>
      </c>
      <c r="B20" s="140" t="n">
        <f aca="false">IFERROR(ROUND(CORREL('Returns (Calc)'!$S$3:$S$161,'Returns (Calc)'!$B$3:$B$161),2),"")</f>
        <v>0.25</v>
      </c>
      <c r="C20" s="140" t="n">
        <f aca="false">IFERROR(ROUND(CORREL('Returns (Calc)'!$S$3:$S$161,'Returns (Calc)'!$C$3:$C$161),2),"")</f>
        <v>0.64</v>
      </c>
      <c r="D20" s="140" t="n">
        <f aca="false">IFERROR(ROUND(CORREL('Returns (Calc)'!$S$3:$S$161,'Returns (Calc)'!$D$3:$D$161),2),"")</f>
        <v>0.6</v>
      </c>
      <c r="E20" s="140" t="n">
        <f aca="false">IFERROR(ROUND(CORREL('Returns (Calc)'!$S$3:$S$161,'Returns (Calc)'!$E$3:$E$161),2),"")</f>
        <v>0.74</v>
      </c>
      <c r="F20" s="140" t="n">
        <f aca="false">IFERROR(ROUND(CORREL('Returns (Calc)'!$S$3:$S$161,'Returns (Calc)'!$F$3:$F$161),2),"")</f>
        <v>0.53</v>
      </c>
      <c r="G20" s="140" t="n">
        <f aca="false">IFERROR(ROUND(CORREL('Returns (Calc)'!$S$3:$S$161,'Returns (Calc)'!$G$3:$G$161),2),"")</f>
        <v>0.66</v>
      </c>
      <c r="H20" s="140" t="n">
        <f aca="false">IFERROR(ROUND(CORREL('Returns (Calc)'!$S$3:$S$161,'Returns (Calc)'!$H$3:$H$161),2),"")</f>
        <v>0.66</v>
      </c>
      <c r="I20" s="140" t="n">
        <f aca="false">IFERROR(ROUND(CORREL('Returns (Calc)'!$S$3:$S$161,'Returns (Calc)'!$I$3:$I$161),2),"")</f>
        <v>0.73</v>
      </c>
      <c r="J20" s="140" t="n">
        <f aca="false">IFERROR(ROUND(CORREL('Returns (Calc)'!$S$3:$S$161,'Returns (Calc)'!$J$3:$J$161),2),"")</f>
        <v>0.36</v>
      </c>
      <c r="K20" s="140" t="n">
        <f aca="false">IFERROR(ROUND(CORREL('Returns (Calc)'!$S$3:$S$161,'Returns (Calc)'!$K$3:$K$161),2),"")</f>
        <v>0.45</v>
      </c>
      <c r="L20" s="140" t="n">
        <f aca="false">IFERROR(ROUND(CORREL('Returns (Calc)'!$S$3:$S$161,'Returns (Calc)'!$L$3:$L$161),2),"")</f>
        <v>0.69</v>
      </c>
      <c r="M20" s="140" t="n">
        <f aca="false">IFERROR(ROUND(CORREL('Returns (Calc)'!$S$3:$S$161,'Returns (Calc)'!$M$3:$M$161),2),"")</f>
        <v>0.65</v>
      </c>
      <c r="N20" s="140" t="n">
        <f aca="false">IFERROR(ROUND(CORREL('Returns (Calc)'!$S$3:$S$161,'Returns (Calc)'!$N$3:$N$161),2),"")</f>
        <v>0.17</v>
      </c>
      <c r="O20" s="140" t="n">
        <f aca="false">IFERROR(ROUND(CORREL('Returns (Calc)'!$S$3:$S$161,'Returns (Calc)'!$O$3:$O$161),2),"")</f>
        <v>0.49</v>
      </c>
      <c r="P20" s="140" t="str">
        <f aca="false">IFERROR(ROUND(CORREL('Returns (Calc)'!$S$3:$S$161,'Returns (Calc)'!$P$3:$P$161),2),"")</f>
        <v/>
      </c>
      <c r="Q20" s="140" t="n">
        <f aca="false">IFERROR(ROUND(CORREL('Returns (Calc)'!$S$3:$S$161,'Returns (Calc)'!$Q$3:$Q$161),2),"")</f>
        <v>-0.05</v>
      </c>
      <c r="R20" s="140" t="n">
        <f aca="false">IFERROR(ROUND(CORREL('Returns (Calc)'!$S$3:$S$161,'Returns (Calc)'!$R$3:$R$161),2),"")</f>
        <v>0.88</v>
      </c>
      <c r="S20" s="140" t="n">
        <v>1</v>
      </c>
      <c r="T20" s="140" t="n">
        <f aca="false">IFERROR(ROUND(CORREL('Returns (Calc)'!$S$3:$S$161,'Returns (Calc)'!$T$3:$T$161),2),"")</f>
        <v>0.53</v>
      </c>
      <c r="U20" s="140" t="str">
        <f aca="false">IFERROR(ROUND(CORREL('Returns (Calc)'!$S$3:$S$161,'Returns (Calc)'!$U$3:$U$161),2),"")</f>
        <v/>
      </c>
      <c r="V20" s="77" t="n">
        <f aca="false">COUNTIF(B20:U20,"&gt;0.7")-1</f>
        <v>3</v>
      </c>
    </row>
    <row r="21" customFormat="false" ht="15" hidden="false" customHeight="true" outlineLevel="0" collapsed="false">
      <c r="A21" s="139" t="str">
        <f aca="false">'Returns (Calc)'!T2</f>
        <v>VFLO</v>
      </c>
      <c r="B21" s="140" t="n">
        <f aca="false">IFERROR(ROUND(CORREL('Returns (Calc)'!$T$3:$T$161,'Returns (Calc)'!$B$3:$B$161),2),"")</f>
        <v>0.41</v>
      </c>
      <c r="C21" s="140" t="n">
        <f aca="false">IFERROR(ROUND(CORREL('Returns (Calc)'!$T$3:$T$161,'Returns (Calc)'!$C$3:$C$161),2),"")</f>
        <v>0.35</v>
      </c>
      <c r="D21" s="140" t="n">
        <f aca="false">IFERROR(ROUND(CORREL('Returns (Calc)'!$T$3:$T$161,'Returns (Calc)'!$D$3:$D$161),2),"")</f>
        <v>0.31</v>
      </c>
      <c r="E21" s="140" t="n">
        <f aca="false">IFERROR(ROUND(CORREL('Returns (Calc)'!$T$3:$T$161,'Returns (Calc)'!$E$3:$E$161),2),"")</f>
        <v>0.29</v>
      </c>
      <c r="F21" s="140" t="n">
        <f aca="false">IFERROR(ROUND(CORREL('Returns (Calc)'!$T$3:$T$161,'Returns (Calc)'!$F$3:$F$161),2),"")</f>
        <v>0.33</v>
      </c>
      <c r="G21" s="140" t="n">
        <f aca="false">IFERROR(ROUND(CORREL('Returns (Calc)'!$T$3:$T$161,'Returns (Calc)'!$G$3:$G$161),2),"")</f>
        <v>0.33</v>
      </c>
      <c r="H21" s="140" t="n">
        <f aca="false">IFERROR(ROUND(CORREL('Returns (Calc)'!$T$3:$T$161,'Returns (Calc)'!$H$3:$H$161),2),"")</f>
        <v>0.43</v>
      </c>
      <c r="I21" s="140" t="n">
        <f aca="false">IFERROR(ROUND(CORREL('Returns (Calc)'!$T$3:$T$161,'Returns (Calc)'!$I$3:$I$161),2),"")</f>
        <v>0.3</v>
      </c>
      <c r="J21" s="140" t="n">
        <f aca="false">IFERROR(ROUND(CORREL('Returns (Calc)'!$T$3:$T$161,'Returns (Calc)'!$J$3:$J$161),2),"")</f>
        <v>0.54</v>
      </c>
      <c r="K21" s="140" t="n">
        <f aca="false">IFERROR(ROUND(CORREL('Returns (Calc)'!$T$3:$T$161,'Returns (Calc)'!$K$3:$K$161),2),"")</f>
        <v>0.34</v>
      </c>
      <c r="L21" s="140" t="n">
        <f aca="false">IFERROR(ROUND(CORREL('Returns (Calc)'!$T$3:$T$161,'Returns (Calc)'!$L$3:$L$161),2),"")</f>
        <v>0.29</v>
      </c>
      <c r="M21" s="140" t="n">
        <f aca="false">IFERROR(ROUND(CORREL('Returns (Calc)'!$T$3:$T$161,'Returns (Calc)'!$M$3:$M$161),2),"")</f>
        <v>0.29</v>
      </c>
      <c r="N21" s="140" t="n">
        <f aca="false">IFERROR(ROUND(CORREL('Returns (Calc)'!$T$3:$T$161,'Returns (Calc)'!$N$3:$N$161),2),"")</f>
        <v>0.31</v>
      </c>
      <c r="O21" s="140" t="n">
        <f aca="false">IFERROR(ROUND(CORREL('Returns (Calc)'!$T$3:$T$161,'Returns (Calc)'!$O$3:$O$161),2),"")</f>
        <v>0.81</v>
      </c>
      <c r="P21" s="140" t="str">
        <f aca="false">IFERROR(ROUND(CORREL('Returns (Calc)'!$T$3:$T$161,'Returns (Calc)'!$P$3:$P$161),2),"")</f>
        <v/>
      </c>
      <c r="Q21" s="140" t="n">
        <f aca="false">IFERROR(ROUND(CORREL('Returns (Calc)'!$T$3:$T$161,'Returns (Calc)'!$Q$3:$Q$161),2),"")</f>
        <v>-0.08</v>
      </c>
      <c r="R21" s="140" t="n">
        <f aca="false">IFERROR(ROUND(CORREL('Returns (Calc)'!$T$3:$T$161,'Returns (Calc)'!$R$3:$R$161),2),"")</f>
        <v>0.57</v>
      </c>
      <c r="S21" s="140" t="n">
        <f aca="false">IFERROR(ROUND(CORREL('Returns (Calc)'!$T$3:$T$161,'Returns (Calc)'!$S$3:$S$161),2),"")</f>
        <v>0.53</v>
      </c>
      <c r="T21" s="140" t="n">
        <v>1</v>
      </c>
      <c r="U21" s="140" t="str">
        <f aca="false">IFERROR(ROUND(CORREL('Returns (Calc)'!$T$3:$T$161,'Returns (Calc)'!$U$3:$U$161),2),"")</f>
        <v/>
      </c>
      <c r="V21" s="77" t="n">
        <f aca="false">COUNTIF(B21:U21,"&gt;0.7")-1</f>
        <v>1</v>
      </c>
    </row>
    <row r="22" customFormat="false" ht="15" hidden="false" customHeight="true" outlineLevel="0" collapsed="false">
      <c r="A22" s="139" t="n">
        <f aca="false">'Returns (Calc)'!U2</f>
        <v>0</v>
      </c>
      <c r="B22" s="140" t="str">
        <f aca="false">IFERROR(ROUND(CORREL('Returns (Calc)'!$U$3:$U$161,'Returns (Calc)'!$B$3:$B$161),2),"")</f>
        <v/>
      </c>
      <c r="C22" s="140" t="str">
        <f aca="false">IFERROR(ROUND(CORREL('Returns (Calc)'!$U$3:$U$161,'Returns (Calc)'!$C$3:$C$161),2),"")</f>
        <v/>
      </c>
      <c r="D22" s="140" t="str">
        <f aca="false">IFERROR(ROUND(CORREL('Returns (Calc)'!$U$3:$U$161,'Returns (Calc)'!$D$3:$D$161),2),"")</f>
        <v/>
      </c>
      <c r="E22" s="140" t="str">
        <f aca="false">IFERROR(ROUND(CORREL('Returns (Calc)'!$U$3:$U$161,'Returns (Calc)'!$E$3:$E$161),2),"")</f>
        <v/>
      </c>
      <c r="F22" s="140" t="str">
        <f aca="false">IFERROR(ROUND(CORREL('Returns (Calc)'!$U$3:$U$161,'Returns (Calc)'!$F$3:$F$161),2),"")</f>
        <v/>
      </c>
      <c r="G22" s="140" t="str">
        <f aca="false">IFERROR(ROUND(CORREL('Returns (Calc)'!$U$3:$U$161,'Returns (Calc)'!$G$3:$G$161),2),"")</f>
        <v/>
      </c>
      <c r="H22" s="140" t="str">
        <f aca="false">IFERROR(ROUND(CORREL('Returns (Calc)'!$U$3:$U$161,'Returns (Calc)'!$H$3:$H$161),2),"")</f>
        <v/>
      </c>
      <c r="I22" s="140" t="str">
        <f aca="false">IFERROR(ROUND(CORREL('Returns (Calc)'!$U$3:$U$161,'Returns (Calc)'!$I$3:$I$161),2),"")</f>
        <v/>
      </c>
      <c r="J22" s="140" t="str">
        <f aca="false">IFERROR(ROUND(CORREL('Returns (Calc)'!$U$3:$U$161,'Returns (Calc)'!$J$3:$J$161),2),"")</f>
        <v/>
      </c>
      <c r="K22" s="140" t="str">
        <f aca="false">IFERROR(ROUND(CORREL('Returns (Calc)'!$U$3:$U$161,'Returns (Calc)'!$K$3:$K$161),2),"")</f>
        <v/>
      </c>
      <c r="L22" s="140" t="str">
        <f aca="false">IFERROR(ROUND(CORREL('Returns (Calc)'!$U$3:$U$161,'Returns (Calc)'!$L$3:$L$161),2),"")</f>
        <v/>
      </c>
      <c r="M22" s="140" t="str">
        <f aca="false">IFERROR(ROUND(CORREL('Returns (Calc)'!$U$3:$U$161,'Returns (Calc)'!$M$3:$M$161),2),"")</f>
        <v/>
      </c>
      <c r="N22" s="140" t="str">
        <f aca="false">IFERROR(ROUND(CORREL('Returns (Calc)'!$U$3:$U$161,'Returns (Calc)'!$N$3:$N$161),2),"")</f>
        <v/>
      </c>
      <c r="O22" s="140" t="str">
        <f aca="false">IFERROR(ROUND(CORREL('Returns (Calc)'!$U$3:$U$161,'Returns (Calc)'!$O$3:$O$161),2),"")</f>
        <v/>
      </c>
      <c r="P22" s="140" t="str">
        <f aca="false">IFERROR(ROUND(CORREL('Returns (Calc)'!$U$3:$U$161,'Returns (Calc)'!$P$3:$P$161),2),"")</f>
        <v/>
      </c>
      <c r="Q22" s="140" t="str">
        <f aca="false">IFERROR(ROUND(CORREL('Returns (Calc)'!$U$3:$U$161,'Returns (Calc)'!$Q$3:$Q$161),2),"")</f>
        <v/>
      </c>
      <c r="R22" s="140" t="str">
        <f aca="false">IFERROR(ROUND(CORREL('Returns (Calc)'!$U$3:$U$161,'Returns (Calc)'!$R$3:$R$161),2),"")</f>
        <v/>
      </c>
      <c r="S22" s="140" t="str">
        <f aca="false">IFERROR(ROUND(CORREL('Returns (Calc)'!$U$3:$U$161,'Returns (Calc)'!$S$3:$S$161),2),"")</f>
        <v/>
      </c>
      <c r="T22" s="140" t="str">
        <f aca="false">IFERROR(ROUND(CORREL('Returns (Calc)'!$U$3:$U$161,'Returns (Calc)'!$T$3:$T$161),2),"")</f>
        <v/>
      </c>
      <c r="U22" s="140" t="n">
        <v>1</v>
      </c>
      <c r="V22" s="77" t="n">
        <f aca="false">COUNTIF(B22:U22,"&gt;0.7")-1</f>
        <v>0</v>
      </c>
    </row>
    <row r="24" customFormat="false" ht="15" hidden="false" customHeight="true" outlineLevel="0" collapsed="false">
      <c r="A24" s="141" t="s">
        <v>427</v>
      </c>
      <c r="B24" s="142"/>
      <c r="I24" s="143" t="n">
        <f aca="false">COUNTIF(V3:V22,"&gt;1")</f>
        <v>4</v>
      </c>
    </row>
    <row r="25" customFormat="false" ht="15" hidden="false" customHeight="true" outlineLevel="0" collapsed="false">
      <c r="A25" s="141" t="s">
        <v>428</v>
      </c>
      <c r="B25" s="78"/>
      <c r="I25" s="144"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8">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5" t="s">
        <v>429</v>
      </c>
      <c r="B1" s="145"/>
      <c r="C1" s="145"/>
      <c r="D1" s="145"/>
      <c r="E1" s="145"/>
      <c r="F1" s="145"/>
      <c r="G1" s="145"/>
      <c r="H1" s="145"/>
    </row>
    <row r="2" customFormat="false" ht="27.75" hidden="false" customHeight="true" outlineLevel="0" collapsed="false">
      <c r="A2" s="107" t="s">
        <v>430</v>
      </c>
      <c r="B2" s="107" t="s">
        <v>431</v>
      </c>
      <c r="C2" s="107" t="s">
        <v>432</v>
      </c>
      <c r="D2" s="107" t="s">
        <v>433</v>
      </c>
      <c r="E2" s="107" t="s">
        <v>434</v>
      </c>
      <c r="F2" s="107" t="s">
        <v>435</v>
      </c>
      <c r="G2" s="107" t="s">
        <v>436</v>
      </c>
      <c r="H2" s="107" t="s">
        <v>182</v>
      </c>
    </row>
    <row r="3" customFormat="false" ht="15" hidden="false" customHeight="true" outlineLevel="0" collapsed="false">
      <c r="A3" s="111" t="n">
        <v>46245</v>
      </c>
      <c r="B3" s="129" t="n">
        <v>700739.19</v>
      </c>
      <c r="C3" s="146" t="n">
        <f aca="false">IF(B3="","",B3)</f>
        <v>700739.19</v>
      </c>
      <c r="D3" s="147" t="n">
        <f aca="false">IF(OR(B3="",C3=""),"",B3/C3-1)</f>
        <v>0</v>
      </c>
      <c r="E3" s="95"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0"/>
    </row>
    <row r="4" customFormat="false" ht="15" hidden="false" customHeight="true" outlineLevel="0" collapsed="false">
      <c r="A4" s="111"/>
      <c r="B4" s="129"/>
      <c r="C4" s="146" t="str">
        <f aca="false">IF(B4="","",MAX(C3,B4))</f>
        <v/>
      </c>
      <c r="D4" s="147" t="str">
        <f aca="false">IF(OR(B4="",C4=""),"",B4/C4-1)</f>
        <v/>
      </c>
      <c r="E4" s="95" t="str">
        <f aca="false">IF(D4="","",IF(D4&gt;=-0.1,"Normal",IF(D4&gt;=-0.2,"Elevated",IF(D4&gt;=-0.3,"Severe","Critical"))))</f>
        <v/>
      </c>
      <c r="F4" s="74" t="str">
        <f aca="false">IF(E4="","",IF(E4="Normal","5-15%",IF(E4="Elevated","15%",IF(E4="Severe","20%","25%"))))</f>
        <v/>
      </c>
      <c r="G4" s="74" t="str">
        <f aca="false">IF(E4="","",IF(E4="Normal","Standard (score &gt;=65)",IF(E4="Elevated","Restricted (score &gt;=80 only)","Suspended")))</f>
        <v/>
      </c>
      <c r="H4" s="110"/>
    </row>
    <row r="5" customFormat="false" ht="15" hidden="false" customHeight="true" outlineLevel="0" collapsed="false">
      <c r="A5" s="111"/>
      <c r="B5" s="129"/>
      <c r="C5" s="146" t="str">
        <f aca="false">IF(B5="","",MAX(C4,B5))</f>
        <v/>
      </c>
      <c r="D5" s="147" t="str">
        <f aca="false">IF(OR(B5="",C5=""),"",B5/C5-1)</f>
        <v/>
      </c>
      <c r="E5" s="95" t="str">
        <f aca="false">IF(D5="","",IF(D5&gt;=-0.1,"Normal",IF(D5&gt;=-0.2,"Elevated",IF(D5&gt;=-0.3,"Severe","Critical"))))</f>
        <v/>
      </c>
      <c r="F5" s="74" t="str">
        <f aca="false">IF(E5="","",IF(E5="Normal","5-15%",IF(E5="Elevated","15%",IF(E5="Severe","20%","25%"))))</f>
        <v/>
      </c>
      <c r="G5" s="74" t="str">
        <f aca="false">IF(E5="","",IF(E5="Normal","Standard (score &gt;=65)",IF(E5="Elevated","Restricted (score &gt;=80 only)","Suspended")))</f>
        <v/>
      </c>
      <c r="H5" s="110"/>
    </row>
    <row r="6" customFormat="false" ht="15" hidden="false" customHeight="true" outlineLevel="0" collapsed="false">
      <c r="A6" s="111"/>
      <c r="B6" s="129"/>
      <c r="C6" s="146" t="str">
        <f aca="false">IF(B6="","",MAX(C5,B6))</f>
        <v/>
      </c>
      <c r="D6" s="147" t="str">
        <f aca="false">IF(OR(B6="",C6=""),"",B6/C6-1)</f>
        <v/>
      </c>
      <c r="E6" s="95" t="str">
        <f aca="false">IF(D6="","",IF(D6&gt;=-0.1,"Normal",IF(D6&gt;=-0.2,"Elevated",IF(D6&gt;=-0.3,"Severe","Critical"))))</f>
        <v/>
      </c>
      <c r="F6" s="74" t="str">
        <f aca="false">IF(E6="","",IF(E6="Normal","5-15%",IF(E6="Elevated","15%",IF(E6="Severe","20%","25%"))))</f>
        <v/>
      </c>
      <c r="G6" s="74" t="str">
        <f aca="false">IF(E6="","",IF(E6="Normal","Standard (score &gt;=65)",IF(E6="Elevated","Restricted (score &gt;=80 only)","Suspended")))</f>
        <v/>
      </c>
      <c r="H6" s="110"/>
    </row>
    <row r="7" customFormat="false" ht="15" hidden="false" customHeight="true" outlineLevel="0" collapsed="false">
      <c r="A7" s="111"/>
      <c r="B7" s="129"/>
      <c r="C7" s="146" t="str">
        <f aca="false">IF(B7="","",MAX(C6,B7))</f>
        <v/>
      </c>
      <c r="D7" s="147" t="str">
        <f aca="false">IF(OR(B7="",C7=""),"",B7/C7-1)</f>
        <v/>
      </c>
      <c r="E7" s="95" t="str">
        <f aca="false">IF(D7="","",IF(D7&gt;=-0.1,"Normal",IF(D7&gt;=-0.2,"Elevated",IF(D7&gt;=-0.3,"Severe","Critical"))))</f>
        <v/>
      </c>
      <c r="F7" s="74" t="str">
        <f aca="false">IF(E7="","",IF(E7="Normal","5-15%",IF(E7="Elevated","15%",IF(E7="Severe","20%","25%"))))</f>
        <v/>
      </c>
      <c r="G7" s="74" t="str">
        <f aca="false">IF(E7="","",IF(E7="Normal","Standard (score &gt;=65)",IF(E7="Elevated","Restricted (score &gt;=80 only)","Suspended")))</f>
        <v/>
      </c>
      <c r="H7" s="110"/>
    </row>
    <row r="8" customFormat="false" ht="15" hidden="false" customHeight="true" outlineLevel="0" collapsed="false">
      <c r="A8" s="111"/>
      <c r="B8" s="129"/>
      <c r="C8" s="146" t="str">
        <f aca="false">IF(B8="","",MAX(C7,B8))</f>
        <v/>
      </c>
      <c r="D8" s="147" t="str">
        <f aca="false">IF(OR(B8="",C8=""),"",B8/C8-1)</f>
        <v/>
      </c>
      <c r="E8" s="95" t="str">
        <f aca="false">IF(D8="","",IF(D8&gt;=-0.1,"Normal",IF(D8&gt;=-0.2,"Elevated",IF(D8&gt;=-0.3,"Severe","Critical"))))</f>
        <v/>
      </c>
      <c r="F8" s="74" t="str">
        <f aca="false">IF(E8="","",IF(E8="Normal","5-15%",IF(E8="Elevated","15%",IF(E8="Severe","20%","25%"))))</f>
        <v/>
      </c>
      <c r="G8" s="74" t="str">
        <f aca="false">IF(E8="","",IF(E8="Normal","Standard (score &gt;=65)",IF(E8="Elevated","Restricted (score &gt;=80 only)","Suspended")))</f>
        <v/>
      </c>
      <c r="H8" s="110"/>
    </row>
    <row r="9" customFormat="false" ht="15" hidden="false" customHeight="true" outlineLevel="0" collapsed="false">
      <c r="A9" s="111"/>
      <c r="B9" s="129"/>
      <c r="C9" s="146" t="str">
        <f aca="false">IF(B9="","",MAX(C8,B9))</f>
        <v/>
      </c>
      <c r="D9" s="147" t="str">
        <f aca="false">IF(OR(B9="",C9=""),"",B9/C9-1)</f>
        <v/>
      </c>
      <c r="E9" s="95" t="str">
        <f aca="false">IF(D9="","",IF(D9&gt;=-0.1,"Normal",IF(D9&gt;=-0.2,"Elevated",IF(D9&gt;=-0.3,"Severe","Critical"))))</f>
        <v/>
      </c>
      <c r="F9" s="74" t="str">
        <f aca="false">IF(E9="","",IF(E9="Normal","5-15%",IF(E9="Elevated","15%",IF(E9="Severe","20%","25%"))))</f>
        <v/>
      </c>
      <c r="G9" s="74" t="str">
        <f aca="false">IF(E9="","",IF(E9="Normal","Standard (score &gt;=65)",IF(E9="Elevated","Restricted (score &gt;=80 only)","Suspended")))</f>
        <v/>
      </c>
      <c r="H9" s="110"/>
    </row>
    <row r="10" customFormat="false" ht="15" hidden="false" customHeight="true" outlineLevel="0" collapsed="false">
      <c r="A10" s="111"/>
      <c r="B10" s="129"/>
      <c r="C10" s="146" t="str">
        <f aca="false">IF(B10="","",MAX(C9,B10))</f>
        <v/>
      </c>
      <c r="D10" s="147" t="str">
        <f aca="false">IF(OR(B10="",C10=""),"",B10/C10-1)</f>
        <v/>
      </c>
      <c r="E10" s="95"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0"/>
    </row>
    <row r="11" customFormat="false" ht="15" hidden="false" customHeight="true" outlineLevel="0" collapsed="false">
      <c r="A11" s="111"/>
      <c r="B11" s="129"/>
      <c r="C11" s="146" t="str">
        <f aca="false">IF(B11="","",MAX(C10,B11))</f>
        <v/>
      </c>
      <c r="D11" s="147" t="str">
        <f aca="false">IF(OR(B11="",C11=""),"",B11/C11-1)</f>
        <v/>
      </c>
      <c r="E11" s="95"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0"/>
    </row>
    <row r="12" customFormat="false" ht="15" hidden="false" customHeight="true" outlineLevel="0" collapsed="false">
      <c r="A12" s="111"/>
      <c r="B12" s="129"/>
      <c r="C12" s="146" t="str">
        <f aca="false">IF(B12="","",MAX(C11,B12))</f>
        <v/>
      </c>
      <c r="D12" s="147" t="str">
        <f aca="false">IF(OR(B12="",C12=""),"",B12/C12-1)</f>
        <v/>
      </c>
      <c r="E12" s="95"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0"/>
    </row>
    <row r="13" customFormat="false" ht="15" hidden="false" customHeight="true" outlineLevel="0" collapsed="false">
      <c r="A13" s="111"/>
      <c r="B13" s="129"/>
      <c r="C13" s="146" t="str">
        <f aca="false">IF(B13="","",MAX(C12,B13))</f>
        <v/>
      </c>
      <c r="D13" s="147" t="str">
        <f aca="false">IF(OR(B13="",C13=""),"",B13/C13-1)</f>
        <v/>
      </c>
      <c r="E13" s="95"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0"/>
    </row>
    <row r="14" customFormat="false" ht="15" hidden="false" customHeight="true" outlineLevel="0" collapsed="false">
      <c r="A14" s="111"/>
      <c r="B14" s="129"/>
      <c r="C14" s="146" t="str">
        <f aca="false">IF(B14="","",MAX(C13,B14))</f>
        <v/>
      </c>
      <c r="D14" s="147" t="str">
        <f aca="false">IF(OR(B14="",C14=""),"",B14/C14-1)</f>
        <v/>
      </c>
      <c r="E14" s="95"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0"/>
    </row>
    <row r="15" customFormat="false" ht="15" hidden="false" customHeight="true" outlineLevel="0" collapsed="false">
      <c r="A15" s="111"/>
      <c r="B15" s="129"/>
      <c r="C15" s="146" t="str">
        <f aca="false">IF(B15="","",MAX(C14,B15))</f>
        <v/>
      </c>
      <c r="D15" s="147" t="str">
        <f aca="false">IF(OR(B15="",C15=""),"",B15/C15-1)</f>
        <v/>
      </c>
      <c r="E15" s="95"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0"/>
    </row>
    <row r="16" customFormat="false" ht="15" hidden="false" customHeight="true" outlineLevel="0" collapsed="false">
      <c r="A16" s="111"/>
      <c r="B16" s="129"/>
      <c r="C16" s="146" t="str">
        <f aca="false">IF(B16="","",MAX(C15,B16))</f>
        <v/>
      </c>
      <c r="D16" s="147" t="str">
        <f aca="false">IF(OR(B16="",C16=""),"",B16/C16-1)</f>
        <v/>
      </c>
      <c r="E16" s="95"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0"/>
    </row>
    <row r="17" customFormat="false" ht="15" hidden="false" customHeight="true" outlineLevel="0" collapsed="false">
      <c r="A17" s="111"/>
      <c r="B17" s="129"/>
      <c r="C17" s="146" t="str">
        <f aca="false">IF(B17="","",MAX(C16,B17))</f>
        <v/>
      </c>
      <c r="D17" s="147" t="str">
        <f aca="false">IF(OR(B17="",C17=""),"",B17/C17-1)</f>
        <v/>
      </c>
      <c r="E17" s="95"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0"/>
    </row>
    <row r="18" customFormat="false" ht="15" hidden="false" customHeight="true" outlineLevel="0" collapsed="false">
      <c r="A18" s="111"/>
      <c r="B18" s="129"/>
      <c r="C18" s="146" t="str">
        <f aca="false">IF(B18="","",MAX(C17,B18))</f>
        <v/>
      </c>
      <c r="D18" s="147" t="str">
        <f aca="false">IF(OR(B18="",C18=""),"",B18/C18-1)</f>
        <v/>
      </c>
      <c r="E18" s="95"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0"/>
    </row>
    <row r="19" customFormat="false" ht="15" hidden="false" customHeight="true" outlineLevel="0" collapsed="false">
      <c r="A19" s="111"/>
      <c r="B19" s="129"/>
      <c r="C19" s="146" t="str">
        <f aca="false">IF(B19="","",MAX(C18,B19))</f>
        <v/>
      </c>
      <c r="D19" s="147" t="str">
        <f aca="false">IF(OR(B19="",C19=""),"",B19/C19-1)</f>
        <v/>
      </c>
      <c r="E19" s="95"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0"/>
    </row>
    <row r="20" customFormat="false" ht="15" hidden="false" customHeight="true" outlineLevel="0" collapsed="false">
      <c r="A20" s="111"/>
      <c r="B20" s="129"/>
      <c r="C20" s="146" t="str">
        <f aca="false">IF(B20="","",MAX(C19,B20))</f>
        <v/>
      </c>
      <c r="D20" s="147" t="str">
        <f aca="false">IF(OR(B20="",C20=""),"",B20/C20-1)</f>
        <v/>
      </c>
      <c r="E20" s="95"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0"/>
    </row>
    <row r="21" customFormat="false" ht="15" hidden="false" customHeight="true" outlineLevel="0" collapsed="false">
      <c r="A21" s="111"/>
      <c r="B21" s="129"/>
      <c r="C21" s="146" t="str">
        <f aca="false">IF(B21="","",MAX(C20,B21))</f>
        <v/>
      </c>
      <c r="D21" s="147" t="str">
        <f aca="false">IF(OR(B21="",C21=""),"",B21/C21-1)</f>
        <v/>
      </c>
      <c r="E21" s="95"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0"/>
    </row>
    <row r="22" customFormat="false" ht="15" hidden="false" customHeight="true" outlineLevel="0" collapsed="false">
      <c r="A22" s="111"/>
      <c r="B22" s="129"/>
      <c r="C22" s="146" t="str">
        <f aca="false">IF(B22="","",MAX(C21,B22))</f>
        <v/>
      </c>
      <c r="D22" s="147" t="str">
        <f aca="false">IF(OR(B22="",C22=""),"",B22/C22-1)</f>
        <v/>
      </c>
      <c r="E22" s="95"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0"/>
    </row>
    <row r="23" customFormat="false" ht="15" hidden="false" customHeight="true" outlineLevel="0" collapsed="false">
      <c r="A23" s="111"/>
      <c r="B23" s="129"/>
      <c r="C23" s="146" t="str">
        <f aca="false">IF(B23="","",MAX(C22,B23))</f>
        <v/>
      </c>
      <c r="D23" s="147" t="str">
        <f aca="false">IF(OR(B23="",C23=""),"",B23/C23-1)</f>
        <v/>
      </c>
      <c r="E23" s="95"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0"/>
    </row>
    <row r="24" customFormat="false" ht="15" hidden="false" customHeight="true" outlineLevel="0" collapsed="false">
      <c r="A24" s="111"/>
      <c r="B24" s="129"/>
      <c r="C24" s="146" t="str">
        <f aca="false">IF(B24="","",MAX(C23,B24))</f>
        <v/>
      </c>
      <c r="D24" s="147" t="str">
        <f aca="false">IF(OR(B24="",C24=""),"",B24/C24-1)</f>
        <v/>
      </c>
      <c r="E24" s="95"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0"/>
    </row>
    <row r="25" customFormat="false" ht="15" hidden="false" customHeight="true" outlineLevel="0" collapsed="false">
      <c r="A25" s="111"/>
      <c r="B25" s="129"/>
      <c r="C25" s="146" t="str">
        <f aca="false">IF(B25="","",MAX(C24,B25))</f>
        <v/>
      </c>
      <c r="D25" s="147" t="str">
        <f aca="false">IF(OR(B25="",C25=""),"",B25/C25-1)</f>
        <v/>
      </c>
      <c r="E25" s="95"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0"/>
    </row>
    <row r="26" customFormat="false" ht="15" hidden="false" customHeight="true" outlineLevel="0" collapsed="false">
      <c r="A26" s="111"/>
      <c r="B26" s="129"/>
      <c r="C26" s="146" t="str">
        <f aca="false">IF(B26="","",MAX(C25,B26))</f>
        <v/>
      </c>
      <c r="D26" s="147" t="str">
        <f aca="false">IF(OR(B26="",C26=""),"",B26/C26-1)</f>
        <v/>
      </c>
      <c r="E26" s="95"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0"/>
    </row>
    <row r="27" customFormat="false" ht="15" hidden="false" customHeight="true" outlineLevel="0" collapsed="false">
      <c r="A27" s="111"/>
      <c r="B27" s="129"/>
      <c r="C27" s="146" t="str">
        <f aca="false">IF(B27="","",MAX(C26,B27))</f>
        <v/>
      </c>
      <c r="D27" s="147" t="str">
        <f aca="false">IF(OR(B27="",C27=""),"",B27/C27-1)</f>
        <v/>
      </c>
      <c r="E27" s="95"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0"/>
    </row>
    <row r="28" customFormat="false" ht="15" hidden="false" customHeight="true" outlineLevel="0" collapsed="false">
      <c r="A28" s="111"/>
      <c r="B28" s="129"/>
      <c r="C28" s="146" t="str">
        <f aca="false">IF(B28="","",MAX(C27,B28))</f>
        <v/>
      </c>
      <c r="D28" s="147" t="str">
        <f aca="false">IF(OR(B28="",C28=""),"",B28/C28-1)</f>
        <v/>
      </c>
      <c r="E28" s="95"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0"/>
    </row>
    <row r="29" customFormat="false" ht="15" hidden="false" customHeight="true" outlineLevel="0" collapsed="false">
      <c r="A29" s="111"/>
      <c r="B29" s="129"/>
      <c r="C29" s="146" t="str">
        <f aca="false">IF(B29="","",MAX(C28,B29))</f>
        <v/>
      </c>
      <c r="D29" s="147" t="str">
        <f aca="false">IF(OR(B29="",C29=""),"",B29/C29-1)</f>
        <v/>
      </c>
      <c r="E29" s="95"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0"/>
    </row>
    <row r="30" customFormat="false" ht="15" hidden="false" customHeight="true" outlineLevel="0" collapsed="false">
      <c r="A30" s="111"/>
      <c r="B30" s="129"/>
      <c r="C30" s="146" t="str">
        <f aca="false">IF(B30="","",MAX(C29,B30))</f>
        <v/>
      </c>
      <c r="D30" s="147" t="str">
        <f aca="false">IF(OR(B30="",C30=""),"",B30/C30-1)</f>
        <v/>
      </c>
      <c r="E30" s="95"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0"/>
    </row>
    <row r="31" customFormat="false" ht="15" hidden="false" customHeight="true" outlineLevel="0" collapsed="false">
      <c r="A31" s="111"/>
      <c r="B31" s="129"/>
      <c r="C31" s="146" t="str">
        <f aca="false">IF(B31="","",MAX(C30,B31))</f>
        <v/>
      </c>
      <c r="D31" s="147" t="str">
        <f aca="false">IF(OR(B31="",C31=""),"",B31/C31-1)</f>
        <v/>
      </c>
      <c r="E31" s="95"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0"/>
    </row>
    <row r="32" customFormat="false" ht="15" hidden="false" customHeight="true" outlineLevel="0" collapsed="false">
      <c r="A32" s="111"/>
      <c r="B32" s="129"/>
      <c r="C32" s="146" t="str">
        <f aca="false">IF(B32="","",MAX(C31,B32))</f>
        <v/>
      </c>
      <c r="D32" s="147" t="str">
        <f aca="false">IF(OR(B32="",C32=""),"",B32/C32-1)</f>
        <v/>
      </c>
      <c r="E32" s="95"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0"/>
    </row>
    <row r="33" customFormat="false" ht="15" hidden="false" customHeight="true" outlineLevel="0" collapsed="false">
      <c r="A33" s="111"/>
      <c r="B33" s="129"/>
      <c r="C33" s="146" t="str">
        <f aca="false">IF(B33="","",MAX(C32,B33))</f>
        <v/>
      </c>
      <c r="D33" s="147" t="str">
        <f aca="false">IF(OR(B33="",C33=""),"",B33/C33-1)</f>
        <v/>
      </c>
      <c r="E33" s="95"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0"/>
    </row>
    <row r="34" customFormat="false" ht="15" hidden="false" customHeight="true" outlineLevel="0" collapsed="false">
      <c r="A34" s="111"/>
      <c r="B34" s="129"/>
      <c r="C34" s="146" t="str">
        <f aca="false">IF(B34="","",MAX(C33,B34))</f>
        <v/>
      </c>
      <c r="D34" s="147" t="str">
        <f aca="false">IF(OR(B34="",C34=""),"",B34/C34-1)</f>
        <v/>
      </c>
      <c r="E34" s="95"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0"/>
    </row>
    <row r="35" customFormat="false" ht="15" hidden="false" customHeight="true" outlineLevel="0" collapsed="false">
      <c r="A35" s="111"/>
      <c r="B35" s="129"/>
      <c r="C35" s="146" t="str">
        <f aca="false">IF(B35="","",MAX(C34,B35))</f>
        <v/>
      </c>
      <c r="D35" s="147" t="str">
        <f aca="false">IF(OR(B35="",C35=""),"",B35/C35-1)</f>
        <v/>
      </c>
      <c r="E35" s="95"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0"/>
    </row>
    <row r="36" customFormat="false" ht="15" hidden="false" customHeight="true" outlineLevel="0" collapsed="false">
      <c r="A36" s="111"/>
      <c r="B36" s="129"/>
      <c r="C36" s="146" t="str">
        <f aca="false">IF(B36="","",MAX(C35,B36))</f>
        <v/>
      </c>
      <c r="D36" s="147" t="str">
        <f aca="false">IF(OR(B36="",C36=""),"",B36/C36-1)</f>
        <v/>
      </c>
      <c r="E36" s="95"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0"/>
    </row>
    <row r="37" customFormat="false" ht="15" hidden="false" customHeight="true" outlineLevel="0" collapsed="false">
      <c r="A37" s="111"/>
      <c r="B37" s="129"/>
      <c r="C37" s="146" t="str">
        <f aca="false">IF(B37="","",MAX(C36,B37))</f>
        <v/>
      </c>
      <c r="D37" s="147" t="str">
        <f aca="false">IF(OR(B37="",C37=""),"",B37/C37-1)</f>
        <v/>
      </c>
      <c r="E37" s="95"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0"/>
    </row>
    <row r="38" customFormat="false" ht="15" hidden="false" customHeight="true" outlineLevel="0" collapsed="false">
      <c r="A38" s="111"/>
      <c r="B38" s="129"/>
      <c r="C38" s="146" t="str">
        <f aca="false">IF(B38="","",MAX(C37,B38))</f>
        <v/>
      </c>
      <c r="D38" s="147" t="str">
        <f aca="false">IF(OR(B38="",C38=""),"",B38/C38-1)</f>
        <v/>
      </c>
      <c r="E38" s="95"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0"/>
    </row>
    <row r="39" customFormat="false" ht="15" hidden="false" customHeight="true" outlineLevel="0" collapsed="false">
      <c r="A39" s="111"/>
      <c r="B39" s="129"/>
      <c r="C39" s="146" t="str">
        <f aca="false">IF(B39="","",MAX(C38,B39))</f>
        <v/>
      </c>
      <c r="D39" s="147" t="str">
        <f aca="false">IF(OR(B39="",C39=""),"",B39/C39-1)</f>
        <v/>
      </c>
      <c r="E39" s="95"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0"/>
    </row>
    <row r="40" customFormat="false" ht="15" hidden="false" customHeight="true" outlineLevel="0" collapsed="false">
      <c r="A40" s="111"/>
      <c r="B40" s="129"/>
      <c r="C40" s="146" t="str">
        <f aca="false">IF(B40="","",MAX(C39,B40))</f>
        <v/>
      </c>
      <c r="D40" s="147" t="str">
        <f aca="false">IF(OR(B40="",C40=""),"",B40/C40-1)</f>
        <v/>
      </c>
      <c r="E40" s="95"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0"/>
    </row>
    <row r="41" customFormat="false" ht="15" hidden="false" customHeight="true" outlineLevel="0" collapsed="false">
      <c r="A41" s="111"/>
      <c r="B41" s="129"/>
      <c r="C41" s="146" t="str">
        <f aca="false">IF(B41="","",MAX(C40,B41))</f>
        <v/>
      </c>
      <c r="D41" s="147" t="str">
        <f aca="false">IF(OR(B41="",C41=""),"",B41/C41-1)</f>
        <v/>
      </c>
      <c r="E41" s="95"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0"/>
    </row>
    <row r="42" customFormat="false" ht="15" hidden="false" customHeight="true" outlineLevel="0" collapsed="false">
      <c r="A42" s="111"/>
      <c r="B42" s="129"/>
      <c r="C42" s="146" t="str">
        <f aca="false">IF(B42="","",MAX(C41,B42))</f>
        <v/>
      </c>
      <c r="D42" s="147" t="str">
        <f aca="false">IF(OR(B42="",C42=""),"",B42/C42-1)</f>
        <v/>
      </c>
      <c r="E42" s="95"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18">
      <formula>"Normal"</formula>
    </cfRule>
    <cfRule type="cellIs" priority="3" operator="equal" aboveAverage="0" equalAverage="0" bottom="0" percent="0" rank="0" text="" dxfId="24">
      <formula>"Elevated"</formula>
    </cfRule>
    <cfRule type="cellIs" priority="4" operator="equal" aboveAverage="0" equalAverage="0" bottom="0" percent="0" rank="0" text="" dxfId="21">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8" t="s">
        <v>437</v>
      </c>
      <c r="B1" s="148"/>
      <c r="C1" s="148"/>
      <c r="D1" s="148"/>
      <c r="E1" s="148"/>
      <c r="F1" s="148"/>
      <c r="G1" s="148"/>
      <c r="H1" s="148"/>
      <c r="I1" s="148"/>
      <c r="J1" s="148"/>
      <c r="K1" s="148"/>
      <c r="L1" s="148"/>
      <c r="M1" s="148"/>
    </row>
    <row r="2" customFormat="false" ht="45.75" hidden="false" customHeight="true" outlineLevel="0" collapsed="false">
      <c r="A2" s="20" t="s">
        <v>76</v>
      </c>
      <c r="B2" s="20" t="s">
        <v>251</v>
      </c>
      <c r="C2" s="20" t="s">
        <v>438</v>
      </c>
      <c r="D2" s="20" t="s">
        <v>439</v>
      </c>
      <c r="E2" s="20" t="s">
        <v>440</v>
      </c>
      <c r="F2" s="20" t="s">
        <v>441</v>
      </c>
      <c r="G2" s="20" t="s">
        <v>442</v>
      </c>
      <c r="H2" s="20" t="s">
        <v>443</v>
      </c>
      <c r="I2" s="20" t="s">
        <v>444</v>
      </c>
      <c r="J2" s="20" t="s">
        <v>445</v>
      </c>
      <c r="K2" s="20" t="s">
        <v>446</v>
      </c>
      <c r="L2" s="20" t="s">
        <v>447</v>
      </c>
    </row>
    <row r="3" customFormat="false" ht="15" hidden="false" customHeight="true" outlineLevel="0" collapsed="false">
      <c r="A3" s="117"/>
      <c r="B3" s="117"/>
      <c r="C3" s="117"/>
      <c r="D3" s="149"/>
      <c r="E3" s="117"/>
      <c r="F3" s="117"/>
      <c r="G3" s="149"/>
      <c r="H3" s="117"/>
      <c r="I3" s="135" t="str">
        <f aca="false">IF(D3="","",D3+90)</f>
        <v/>
      </c>
      <c r="J3" s="150" t="str">
        <f aca="true">IF(I3="","",I3-TODAY())</f>
        <v/>
      </c>
      <c r="K3" s="11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7"/>
    </row>
    <row r="4" customFormat="false" ht="15" hidden="false" customHeight="true" outlineLevel="0" collapsed="false">
      <c r="A4" s="117"/>
      <c r="B4" s="117"/>
      <c r="C4" s="117"/>
      <c r="D4" s="149"/>
      <c r="E4" s="117"/>
      <c r="F4" s="117"/>
      <c r="G4" s="149"/>
      <c r="H4" s="117"/>
      <c r="I4" s="135" t="str">
        <f aca="false">IF(D4="","",D4+90)</f>
        <v/>
      </c>
      <c r="J4" s="150" t="str">
        <f aca="true">IF(I4="","",I4-TODAY())</f>
        <v/>
      </c>
      <c r="K4" s="11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7"/>
    </row>
    <row r="5" customFormat="false" ht="15" hidden="false" customHeight="true" outlineLevel="0" collapsed="false">
      <c r="A5" s="117"/>
      <c r="B5" s="117"/>
      <c r="C5" s="117"/>
      <c r="D5" s="149"/>
      <c r="E5" s="117"/>
      <c r="F5" s="117"/>
      <c r="G5" s="149"/>
      <c r="H5" s="117"/>
      <c r="I5" s="135" t="str">
        <f aca="false">IF(D5="","",D5+90)</f>
        <v/>
      </c>
      <c r="J5" s="150" t="str">
        <f aca="true">IF(I5="","",I5-TODAY())</f>
        <v/>
      </c>
      <c r="K5" s="11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7"/>
    </row>
    <row r="6" customFormat="false" ht="15" hidden="false" customHeight="true" outlineLevel="0" collapsed="false">
      <c r="A6" s="117"/>
      <c r="B6" s="117"/>
      <c r="C6" s="117"/>
      <c r="D6" s="149"/>
      <c r="E6" s="117"/>
      <c r="F6" s="117"/>
      <c r="G6" s="149"/>
      <c r="H6" s="117"/>
      <c r="I6" s="135" t="str">
        <f aca="false">IF(D6="","",D6+90)</f>
        <v/>
      </c>
      <c r="J6" s="150" t="str">
        <f aca="true">IF(I6="","",I6-TODAY())</f>
        <v/>
      </c>
      <c r="K6" s="11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7"/>
    </row>
    <row r="7" customFormat="false" ht="15" hidden="false" customHeight="true" outlineLevel="0" collapsed="false">
      <c r="A7" s="117"/>
      <c r="B7" s="117"/>
      <c r="C7" s="117"/>
      <c r="D7" s="149"/>
      <c r="E7" s="117"/>
      <c r="F7" s="117"/>
      <c r="G7" s="149"/>
      <c r="H7" s="117"/>
      <c r="I7" s="135" t="str">
        <f aca="false">IF(D7="","",D7+90)</f>
        <v/>
      </c>
      <c r="J7" s="150" t="str">
        <f aca="true">IF(I7="","",I7-TODAY())</f>
        <v/>
      </c>
      <c r="K7" s="11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7"/>
    </row>
    <row r="8" customFormat="false" ht="15" hidden="false" customHeight="true" outlineLevel="0" collapsed="false">
      <c r="A8" s="117"/>
      <c r="B8" s="117"/>
      <c r="C8" s="117"/>
      <c r="D8" s="149"/>
      <c r="E8" s="117"/>
      <c r="F8" s="117"/>
      <c r="G8" s="149"/>
      <c r="H8" s="117"/>
      <c r="I8" s="135" t="str">
        <f aca="false">IF(D8="","",D8+90)</f>
        <v/>
      </c>
      <c r="J8" s="150" t="str">
        <f aca="true">IF(I8="","",I8-TODAY())</f>
        <v/>
      </c>
      <c r="K8" s="11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7"/>
    </row>
    <row r="9" customFormat="false" ht="15" hidden="false" customHeight="true" outlineLevel="0" collapsed="false">
      <c r="A9" s="117"/>
      <c r="B9" s="117"/>
      <c r="C9" s="117"/>
      <c r="D9" s="149"/>
      <c r="E9" s="117"/>
      <c r="F9" s="117"/>
      <c r="G9" s="149"/>
      <c r="H9" s="117"/>
      <c r="I9" s="135" t="str">
        <f aca="false">IF(D9="","",D9+90)</f>
        <v/>
      </c>
      <c r="J9" s="150" t="str">
        <f aca="true">IF(I9="","",I9-TODAY())</f>
        <v/>
      </c>
      <c r="K9" s="11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7"/>
    </row>
    <row r="10" customFormat="false" ht="15" hidden="false" customHeight="true" outlineLevel="0" collapsed="false">
      <c r="A10" s="117"/>
      <c r="B10" s="117"/>
      <c r="C10" s="117"/>
      <c r="D10" s="149"/>
      <c r="E10" s="117"/>
      <c r="F10" s="117"/>
      <c r="G10" s="149"/>
      <c r="H10" s="117"/>
      <c r="I10" s="135" t="str">
        <f aca="false">IF(D10="","",D10+90)</f>
        <v/>
      </c>
      <c r="J10" s="150" t="str">
        <f aca="true">IF(I10="","",I10-TODAY())</f>
        <v/>
      </c>
      <c r="K10" s="11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7"/>
    </row>
    <row r="11" customFormat="false" ht="15" hidden="false" customHeight="true" outlineLevel="0" collapsed="false">
      <c r="A11" s="117"/>
      <c r="B11" s="117"/>
      <c r="C11" s="117"/>
      <c r="D11" s="149"/>
      <c r="E11" s="117"/>
      <c r="F11" s="117"/>
      <c r="G11" s="149"/>
      <c r="H11" s="117"/>
      <c r="I11" s="135" t="str">
        <f aca="false">IF(D11="","",D11+90)</f>
        <v/>
      </c>
      <c r="J11" s="150" t="str">
        <f aca="true">IF(I11="","",I11-TODAY())</f>
        <v/>
      </c>
      <c r="K11" s="11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7"/>
    </row>
    <row r="12" customFormat="false" ht="15" hidden="false" customHeight="true" outlineLevel="0" collapsed="false">
      <c r="A12" s="117"/>
      <c r="B12" s="117"/>
      <c r="C12" s="117"/>
      <c r="D12" s="149"/>
      <c r="E12" s="117"/>
      <c r="F12" s="117"/>
      <c r="G12" s="149"/>
      <c r="H12" s="117"/>
      <c r="I12" s="135" t="str">
        <f aca="false">IF(D12="","",D12+90)</f>
        <v/>
      </c>
      <c r="J12" s="150" t="str">
        <f aca="true">IF(I12="","",I12-TODAY())</f>
        <v/>
      </c>
      <c r="K12" s="11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7"/>
    </row>
    <row r="13" customFormat="false" ht="15" hidden="false" customHeight="true" outlineLevel="0" collapsed="false">
      <c r="A13" s="117"/>
      <c r="B13" s="117"/>
      <c r="C13" s="117"/>
      <c r="D13" s="149"/>
      <c r="E13" s="117"/>
      <c r="F13" s="117"/>
      <c r="G13" s="149"/>
      <c r="H13" s="117"/>
      <c r="I13" s="135" t="str">
        <f aca="false">IF(D13="","",D13+90)</f>
        <v/>
      </c>
      <c r="J13" s="150" t="str">
        <f aca="true">IF(I13="","",I13-TODAY())</f>
        <v/>
      </c>
      <c r="K13" s="11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7"/>
    </row>
    <row r="14" customFormat="false" ht="15" hidden="false" customHeight="true" outlineLevel="0" collapsed="false">
      <c r="A14" s="117"/>
      <c r="B14" s="117"/>
      <c r="C14" s="117"/>
      <c r="D14" s="149"/>
      <c r="E14" s="117"/>
      <c r="F14" s="117"/>
      <c r="G14" s="149"/>
      <c r="H14" s="117"/>
      <c r="I14" s="135" t="str">
        <f aca="false">IF(D14="","",D14+90)</f>
        <v/>
      </c>
      <c r="J14" s="150" t="str">
        <f aca="true">IF(I14="","",I14-TODAY())</f>
        <v/>
      </c>
      <c r="K14" s="11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7"/>
    </row>
    <row r="15" customFormat="false" ht="15" hidden="false" customHeight="true" outlineLevel="0" collapsed="false">
      <c r="A15" s="117"/>
      <c r="B15" s="117"/>
      <c r="C15" s="117"/>
      <c r="D15" s="149"/>
      <c r="E15" s="117"/>
      <c r="F15" s="117"/>
      <c r="G15" s="149"/>
      <c r="H15" s="117"/>
      <c r="I15" s="135" t="str">
        <f aca="false">IF(D15="","",D15+90)</f>
        <v/>
      </c>
      <c r="J15" s="150" t="str">
        <f aca="true">IF(I15="","",I15-TODAY())</f>
        <v/>
      </c>
      <c r="K15" s="11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7"/>
    </row>
    <row r="16" customFormat="false" ht="15" hidden="false" customHeight="true" outlineLevel="0" collapsed="false">
      <c r="A16" s="117"/>
      <c r="B16" s="117"/>
      <c r="C16" s="117"/>
      <c r="D16" s="149"/>
      <c r="E16" s="117"/>
      <c r="F16" s="117"/>
      <c r="G16" s="149"/>
      <c r="H16" s="117"/>
      <c r="I16" s="135" t="str">
        <f aca="false">IF(D16="","",D16+90)</f>
        <v/>
      </c>
      <c r="J16" s="150" t="str">
        <f aca="true">IF(I16="","",I16-TODAY())</f>
        <v/>
      </c>
      <c r="K16" s="11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7"/>
    </row>
    <row r="17" customFormat="false" ht="15" hidden="false" customHeight="true" outlineLevel="0" collapsed="false">
      <c r="A17" s="117"/>
      <c r="B17" s="117"/>
      <c r="C17" s="117"/>
      <c r="D17" s="149"/>
      <c r="E17" s="117"/>
      <c r="F17" s="117"/>
      <c r="G17" s="149"/>
      <c r="H17" s="117"/>
      <c r="I17" s="135" t="str">
        <f aca="false">IF(D17="","",D17+90)</f>
        <v/>
      </c>
      <c r="J17" s="150" t="str">
        <f aca="true">IF(I17="","",I17-TODAY())</f>
        <v/>
      </c>
      <c r="K17" s="11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7"/>
    </row>
    <row r="18" customFormat="false" ht="15" hidden="false" customHeight="true" outlineLevel="0" collapsed="false">
      <c r="A18" s="117"/>
      <c r="B18" s="117"/>
      <c r="C18" s="117"/>
      <c r="D18" s="149"/>
      <c r="E18" s="117"/>
      <c r="F18" s="117"/>
      <c r="G18" s="149"/>
      <c r="H18" s="117"/>
      <c r="I18" s="135" t="str">
        <f aca="false">IF(D18="","",D18+90)</f>
        <v/>
      </c>
      <c r="J18" s="150" t="str">
        <f aca="true">IF(I18="","",I18-TODAY())</f>
        <v/>
      </c>
      <c r="K18" s="11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7"/>
    </row>
    <row r="19" customFormat="false" ht="15" hidden="false" customHeight="true" outlineLevel="0" collapsed="false">
      <c r="A19" s="117"/>
      <c r="B19" s="117"/>
      <c r="C19" s="117"/>
      <c r="D19" s="149"/>
      <c r="E19" s="117"/>
      <c r="F19" s="117"/>
      <c r="G19" s="149"/>
      <c r="H19" s="117"/>
      <c r="I19" s="135" t="str">
        <f aca="false">IF(D19="","",D19+90)</f>
        <v/>
      </c>
      <c r="J19" s="150" t="str">
        <f aca="true">IF(I19="","",I19-TODAY())</f>
        <v/>
      </c>
      <c r="K19" s="11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7"/>
    </row>
    <row r="20" customFormat="false" ht="15" hidden="false" customHeight="true" outlineLevel="0" collapsed="false">
      <c r="A20" s="117"/>
      <c r="B20" s="117"/>
      <c r="C20" s="117"/>
      <c r="D20" s="149"/>
      <c r="E20" s="117"/>
      <c r="F20" s="117"/>
      <c r="G20" s="149"/>
      <c r="H20" s="117"/>
      <c r="I20" s="135" t="str">
        <f aca="false">IF(D20="","",D20+90)</f>
        <v/>
      </c>
      <c r="J20" s="150" t="str">
        <f aca="true">IF(I20="","",I20-TODAY())</f>
        <v/>
      </c>
      <c r="K20" s="11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7"/>
    </row>
    <row r="21" customFormat="false" ht="15" hidden="false" customHeight="true" outlineLevel="0" collapsed="false">
      <c r="A21" s="117"/>
      <c r="B21" s="117"/>
      <c r="C21" s="117"/>
      <c r="D21" s="149"/>
      <c r="E21" s="117"/>
      <c r="F21" s="117"/>
      <c r="G21" s="149"/>
      <c r="H21" s="117"/>
      <c r="I21" s="135" t="str">
        <f aca="false">IF(D21="","",D21+90)</f>
        <v/>
      </c>
      <c r="J21" s="150" t="str">
        <f aca="true">IF(I21="","",I21-TODAY())</f>
        <v/>
      </c>
      <c r="K21" s="11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7"/>
    </row>
    <row r="22" customFormat="false" ht="15" hidden="false" customHeight="true" outlineLevel="0" collapsed="false">
      <c r="A22" s="117"/>
      <c r="B22" s="117"/>
      <c r="C22" s="117"/>
      <c r="D22" s="149"/>
      <c r="E22" s="117"/>
      <c r="F22" s="117"/>
      <c r="G22" s="149"/>
      <c r="H22" s="117"/>
      <c r="I22" s="135" t="str">
        <f aca="false">IF(D22="","",D22+90)</f>
        <v/>
      </c>
      <c r="J22" s="150" t="str">
        <f aca="true">IF(I22="","",I22-TODAY())</f>
        <v/>
      </c>
      <c r="K22" s="11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7"/>
    </row>
  </sheetData>
  <mergeCells count="1">
    <mergeCell ref="A1:M1"/>
  </mergeCells>
  <conditionalFormatting sqref="K3:K22">
    <cfRule type="expression" priority="2" aboveAverage="0" equalAverage="0" bottom="0" percent="0" rank="0" text="" dxfId="18">
      <formula>ISNUMBER(SEARCH("RECOVERED",K3))</formula>
    </cfRule>
    <cfRule type="expression" priority="3" aboveAverage="0" equalAverage="0" bottom="0" percent="0" rank="0" text="" dxfId="18">
      <formula>ISNUMBER(SEARCH("ON TRACK",K3))</formula>
    </cfRule>
    <cfRule type="expression" priority="4" aboveAverage="0" equalAverage="0" bottom="0" percent="0" rank="0" text="" dxfId="20">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3" t="s">
        <v>448</v>
      </c>
      <c r="B1" s="133"/>
      <c r="C1" s="133"/>
      <c r="D1" s="133"/>
      <c r="E1" s="133"/>
      <c r="F1" s="133"/>
      <c r="G1" s="133"/>
      <c r="H1" s="133"/>
      <c r="I1" s="133"/>
      <c r="J1" s="133"/>
      <c r="K1" s="133"/>
      <c r="L1" s="133"/>
      <c r="M1" s="133"/>
      <c r="N1" s="133"/>
      <c r="O1" s="133"/>
      <c r="P1" s="133"/>
      <c r="Q1" s="133"/>
      <c r="R1" s="133"/>
      <c r="S1" s="133"/>
      <c r="T1" s="133"/>
    </row>
    <row r="2" customFormat="false" ht="15.75" hidden="false" customHeight="true" outlineLevel="0" collapsed="false">
      <c r="D2" s="151" t="s">
        <v>449</v>
      </c>
      <c r="E2" s="151"/>
      <c r="F2" s="151"/>
      <c r="G2" s="151"/>
      <c r="H2" s="151"/>
      <c r="I2" s="152" t="s">
        <v>450</v>
      </c>
      <c r="J2" s="152"/>
      <c r="K2" s="152"/>
      <c r="L2" s="152"/>
      <c r="M2" s="152"/>
      <c r="N2" s="153" t="s">
        <v>451</v>
      </c>
      <c r="O2" s="153"/>
      <c r="P2" s="153"/>
      <c r="Q2" s="153"/>
      <c r="R2" s="153"/>
      <c r="S2" s="154" t="s">
        <v>452</v>
      </c>
      <c r="T2" s="154"/>
      <c r="U2" s="154"/>
    </row>
    <row r="3" customFormat="false" ht="42.75" hidden="false" customHeight="true" outlineLevel="0" collapsed="false">
      <c r="A3" s="107" t="s">
        <v>76</v>
      </c>
      <c r="B3" s="107" t="s">
        <v>251</v>
      </c>
      <c r="C3" s="107" t="s">
        <v>453</v>
      </c>
      <c r="D3" s="107" t="s">
        <v>454</v>
      </c>
      <c r="E3" s="107" t="s">
        <v>455</v>
      </c>
      <c r="F3" s="107" t="s">
        <v>456</v>
      </c>
      <c r="G3" s="107" t="s">
        <v>457</v>
      </c>
      <c r="H3" s="107" t="s">
        <v>458</v>
      </c>
      <c r="I3" s="107" t="s">
        <v>454</v>
      </c>
      <c r="J3" s="107" t="s">
        <v>455</v>
      </c>
      <c r="K3" s="107" t="s">
        <v>456</v>
      </c>
      <c r="L3" s="107" t="s">
        <v>457</v>
      </c>
      <c r="M3" s="107" t="s">
        <v>458</v>
      </c>
      <c r="N3" s="107" t="s">
        <v>454</v>
      </c>
      <c r="O3" s="107" t="s">
        <v>455</v>
      </c>
      <c r="P3" s="107" t="s">
        <v>456</v>
      </c>
      <c r="Q3" s="107" t="s">
        <v>457</v>
      </c>
      <c r="R3" s="107" t="s">
        <v>458</v>
      </c>
      <c r="S3" s="107" t="s">
        <v>459</v>
      </c>
      <c r="T3" s="107" t="s">
        <v>460</v>
      </c>
      <c r="U3" s="107" t="s">
        <v>461</v>
      </c>
    </row>
    <row r="4" customFormat="false" ht="15" hidden="false" customHeight="true" outlineLevel="0" collapsed="false">
      <c r="A4" s="72"/>
      <c r="B4" s="27"/>
      <c r="C4" s="30"/>
      <c r="D4" s="30"/>
      <c r="E4" s="123"/>
      <c r="F4" s="30"/>
      <c r="G4" s="75" t="str">
        <f aca="false">IF(OR(C4="",D4="",E4="",F4=""),"",IFERROR(((D4*E4+F4)/C4)^(1/5)-1,"n/a"))</f>
        <v/>
      </c>
      <c r="H4" s="27"/>
      <c r="I4" s="30"/>
      <c r="J4" s="123"/>
      <c r="K4" s="30"/>
      <c r="L4" s="75" t="str">
        <f aca="false">IF(OR(C4="",I4="",J4="",K4=""),"",IFERROR(((I4*J4+K4)/C4)^(1/5)-1,"n/a"))</f>
        <v/>
      </c>
      <c r="M4" s="27"/>
      <c r="N4" s="30"/>
      <c r="O4" s="123"/>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3"/>
      <c r="F5" s="30"/>
      <c r="G5" s="75" t="str">
        <f aca="false">IF(OR(C5="",D5="",E5="",F5=""),"",IFERROR(((D5*E5+F5)/C5)^(1/5)-1,"n/a"))</f>
        <v/>
      </c>
      <c r="H5" s="27"/>
      <c r="I5" s="30"/>
      <c r="J5" s="123"/>
      <c r="K5" s="30"/>
      <c r="L5" s="75" t="str">
        <f aca="false">IF(OR(C5="",I5="",J5="",K5=""),"",IFERROR(((I5*J5+K5)/C5)^(1/5)-1,"n/a"))</f>
        <v/>
      </c>
      <c r="M5" s="27"/>
      <c r="N5" s="30"/>
      <c r="O5" s="123"/>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3"/>
      <c r="F6" s="30"/>
      <c r="G6" s="75" t="str">
        <f aca="false">IF(OR(C6="",D6="",E6="",F6=""),"",IFERROR(((D6*E6+F6)/C6)^(1/5)-1,"n/a"))</f>
        <v/>
      </c>
      <c r="H6" s="27"/>
      <c r="I6" s="30"/>
      <c r="J6" s="123"/>
      <c r="K6" s="30"/>
      <c r="L6" s="75" t="str">
        <f aca="false">IF(OR(C6="",I6="",J6="",K6=""),"",IFERROR(((I6*J6+K6)/C6)^(1/5)-1,"n/a"))</f>
        <v/>
      </c>
      <c r="M6" s="27"/>
      <c r="N6" s="30"/>
      <c r="O6" s="123"/>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3"/>
      <c r="F7" s="30"/>
      <c r="G7" s="75" t="str">
        <f aca="false">IF(OR(C7="",D7="",E7="",F7=""),"",IFERROR(((D7*E7+F7)/C7)^(1/5)-1,"n/a"))</f>
        <v/>
      </c>
      <c r="H7" s="27"/>
      <c r="I7" s="30"/>
      <c r="J7" s="123"/>
      <c r="K7" s="30"/>
      <c r="L7" s="75" t="str">
        <f aca="false">IF(OR(C7="",I7="",J7="",K7=""),"",IFERROR(((I7*J7+K7)/C7)^(1/5)-1,"n/a"))</f>
        <v/>
      </c>
      <c r="M7" s="27"/>
      <c r="N7" s="30"/>
      <c r="O7" s="123"/>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3"/>
      <c r="F8" s="30"/>
      <c r="G8" s="75" t="str">
        <f aca="false">IF(OR(C8="",D8="",E8="",F8=""),"",IFERROR(((D8*E8+F8)/C8)^(1/5)-1,"n/a"))</f>
        <v/>
      </c>
      <c r="H8" s="27"/>
      <c r="I8" s="30"/>
      <c r="J8" s="123"/>
      <c r="K8" s="30"/>
      <c r="L8" s="75" t="str">
        <f aca="false">IF(OR(C8="",I8="",J8="",K8=""),"",IFERROR(((I8*J8+K8)/C8)^(1/5)-1,"n/a"))</f>
        <v/>
      </c>
      <c r="M8" s="27"/>
      <c r="N8" s="30"/>
      <c r="O8" s="123"/>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3"/>
      <c r="F9" s="30"/>
      <c r="G9" s="75" t="str">
        <f aca="false">IF(OR(C9="",D9="",E9="",F9=""),"",IFERROR(((D9*E9+F9)/C9)^(1/5)-1,"n/a"))</f>
        <v/>
      </c>
      <c r="H9" s="27"/>
      <c r="I9" s="30"/>
      <c r="J9" s="123"/>
      <c r="K9" s="30"/>
      <c r="L9" s="75" t="str">
        <f aca="false">IF(OR(C9="",I9="",J9="",K9=""),"",IFERROR(((I9*J9+K9)/C9)^(1/5)-1,"n/a"))</f>
        <v/>
      </c>
      <c r="M9" s="27"/>
      <c r="N9" s="30"/>
      <c r="O9" s="123"/>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3"/>
      <c r="F10" s="30"/>
      <c r="G10" s="75" t="str">
        <f aca="false">IF(OR(C10="",D10="",E10="",F10=""),"",IFERROR(((D10*E10+F10)/C10)^(1/5)-1,"n/a"))</f>
        <v/>
      </c>
      <c r="H10" s="27"/>
      <c r="I10" s="30"/>
      <c r="J10" s="123"/>
      <c r="K10" s="30"/>
      <c r="L10" s="75" t="str">
        <f aca="false">IF(OR(C10="",I10="",J10="",K10=""),"",IFERROR(((I10*J10+K10)/C10)^(1/5)-1,"n/a"))</f>
        <v/>
      </c>
      <c r="M10" s="27"/>
      <c r="N10" s="30"/>
      <c r="O10" s="123"/>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3"/>
      <c r="F11" s="30"/>
      <c r="G11" s="75" t="str">
        <f aca="false">IF(OR(C11="",D11="",E11="",F11=""),"",IFERROR(((D11*E11+F11)/C11)^(1/5)-1,"n/a"))</f>
        <v/>
      </c>
      <c r="H11" s="27"/>
      <c r="I11" s="30"/>
      <c r="J11" s="123"/>
      <c r="K11" s="30"/>
      <c r="L11" s="75" t="str">
        <f aca="false">IF(OR(C11="",I11="",J11="",K11=""),"",IFERROR(((I11*J11+K11)/C11)^(1/5)-1,"n/a"))</f>
        <v/>
      </c>
      <c r="M11" s="27"/>
      <c r="N11" s="30"/>
      <c r="O11" s="123"/>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3"/>
      <c r="F12" s="30"/>
      <c r="G12" s="75" t="str">
        <f aca="false">IF(OR(C12="",D12="",E12="",F12=""),"",IFERROR(((D12*E12+F12)/C12)^(1/5)-1,"n/a"))</f>
        <v/>
      </c>
      <c r="H12" s="27"/>
      <c r="I12" s="30"/>
      <c r="J12" s="123"/>
      <c r="K12" s="30"/>
      <c r="L12" s="75" t="str">
        <f aca="false">IF(OR(C12="",I12="",J12="",K12=""),"",IFERROR(((I12*J12+K12)/C12)^(1/5)-1,"n/a"))</f>
        <v/>
      </c>
      <c r="M12" s="27"/>
      <c r="N12" s="30"/>
      <c r="O12" s="123"/>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3"/>
      <c r="F13" s="30"/>
      <c r="G13" s="75" t="str">
        <f aca="false">IF(OR(C13="",D13="",E13="",F13=""),"",IFERROR(((D13*E13+F13)/C13)^(1/5)-1,"n/a"))</f>
        <v/>
      </c>
      <c r="H13" s="27"/>
      <c r="I13" s="30"/>
      <c r="J13" s="123"/>
      <c r="K13" s="30"/>
      <c r="L13" s="75" t="str">
        <f aca="false">IF(OR(C13="",I13="",J13="",K13=""),"",IFERROR(((I13*J13+K13)/C13)^(1/5)-1,"n/a"))</f>
        <v/>
      </c>
      <c r="M13" s="27"/>
      <c r="N13" s="30"/>
      <c r="O13" s="123"/>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3"/>
      <c r="F14" s="30"/>
      <c r="G14" s="75" t="str">
        <f aca="false">IF(OR(C14="",D14="",E14="",F14=""),"",IFERROR(((D14*E14+F14)/C14)^(1/5)-1,"n/a"))</f>
        <v/>
      </c>
      <c r="H14" s="27"/>
      <c r="I14" s="30"/>
      <c r="J14" s="123"/>
      <c r="K14" s="30"/>
      <c r="L14" s="75" t="str">
        <f aca="false">IF(OR(C14="",I14="",J14="",K14=""),"",IFERROR(((I14*J14+K14)/C14)^(1/5)-1,"n/a"))</f>
        <v/>
      </c>
      <c r="M14" s="27"/>
      <c r="N14" s="30"/>
      <c r="O14" s="123"/>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3"/>
      <c r="F15" s="30"/>
      <c r="G15" s="75" t="str">
        <f aca="false">IF(OR(C15="",D15="",E15="",F15=""),"",IFERROR(((D15*E15+F15)/C15)^(1/5)-1,"n/a"))</f>
        <v/>
      </c>
      <c r="H15" s="27"/>
      <c r="I15" s="30"/>
      <c r="J15" s="123"/>
      <c r="K15" s="30"/>
      <c r="L15" s="75" t="str">
        <f aca="false">IF(OR(C15="",I15="",J15="",K15=""),"",IFERROR(((I15*J15+K15)/C15)^(1/5)-1,"n/a"))</f>
        <v/>
      </c>
      <c r="M15" s="27"/>
      <c r="N15" s="30"/>
      <c r="O15" s="123"/>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3"/>
      <c r="F16" s="30"/>
      <c r="G16" s="75" t="str">
        <f aca="false">IF(OR(C16="",D16="",E16="",F16=""),"",IFERROR(((D16*E16+F16)/C16)^(1/5)-1,"n/a"))</f>
        <v/>
      </c>
      <c r="H16" s="27"/>
      <c r="I16" s="30"/>
      <c r="J16" s="123"/>
      <c r="K16" s="30"/>
      <c r="L16" s="75" t="str">
        <f aca="false">IF(OR(C16="",I16="",J16="",K16=""),"",IFERROR(((I16*J16+K16)/C16)^(1/5)-1,"n/a"))</f>
        <v/>
      </c>
      <c r="M16" s="27"/>
      <c r="N16" s="30"/>
      <c r="O16" s="123"/>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3"/>
      <c r="F17" s="30"/>
      <c r="G17" s="75" t="str">
        <f aca="false">IF(OR(C17="",D17="",E17="",F17=""),"",IFERROR(((D17*E17+F17)/C17)^(1/5)-1,"n/a"))</f>
        <v/>
      </c>
      <c r="H17" s="27"/>
      <c r="I17" s="30"/>
      <c r="J17" s="123"/>
      <c r="K17" s="30"/>
      <c r="L17" s="75" t="str">
        <f aca="false">IF(OR(C17="",I17="",J17="",K17=""),"",IFERROR(((I17*J17+K17)/C17)^(1/5)-1,"n/a"))</f>
        <v/>
      </c>
      <c r="M17" s="27"/>
      <c r="N17" s="30"/>
      <c r="O17" s="123"/>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3"/>
      <c r="F18" s="30"/>
      <c r="G18" s="75" t="str">
        <f aca="false">IF(OR(C18="",D18="",E18="",F18=""),"",IFERROR(((D18*E18+F18)/C18)^(1/5)-1,"n/a"))</f>
        <v/>
      </c>
      <c r="H18" s="27"/>
      <c r="I18" s="30"/>
      <c r="J18" s="123"/>
      <c r="K18" s="30"/>
      <c r="L18" s="75" t="str">
        <f aca="false">IF(OR(C18="",I18="",J18="",K18=""),"",IFERROR(((I18*J18+K18)/C18)^(1/5)-1,"n/a"))</f>
        <v/>
      </c>
      <c r="M18" s="27"/>
      <c r="N18" s="30"/>
      <c r="O18" s="123"/>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3"/>
      <c r="F19" s="30"/>
      <c r="G19" s="75" t="str">
        <f aca="false">IF(OR(C19="",D19="",E19="",F19=""),"",IFERROR(((D19*E19+F19)/C19)^(1/5)-1,"n/a"))</f>
        <v/>
      </c>
      <c r="H19" s="27"/>
      <c r="I19" s="30"/>
      <c r="J19" s="123"/>
      <c r="K19" s="30"/>
      <c r="L19" s="75" t="str">
        <f aca="false">IF(OR(C19="",I19="",J19="",K19=""),"",IFERROR(((I19*J19+K19)/C19)^(1/5)-1,"n/a"))</f>
        <v/>
      </c>
      <c r="M19" s="27"/>
      <c r="N19" s="30"/>
      <c r="O19" s="123"/>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204</v>
      </c>
      <c r="B20" s="27" t="s">
        <v>462</v>
      </c>
      <c r="C20" s="30" t="n">
        <v>967.17</v>
      </c>
      <c r="D20" s="30" t="n">
        <v>23.11</v>
      </c>
      <c r="E20" s="123" t="n">
        <v>61.48</v>
      </c>
      <c r="F20" s="30" t="n">
        <v>32</v>
      </c>
      <c r="G20" s="75" t="n">
        <f aca="false">IF(OR(C20="",D20="",E20="",F20=""),"",IFERROR(((D20*E20+F20)/C20)^(1/5)-1,"n/a"))</f>
        <v>0.0847777537329333</v>
      </c>
      <c r="H20" s="27" t="s">
        <v>463</v>
      </c>
      <c r="I20" s="30" t="n">
        <v>19.14</v>
      </c>
      <c r="J20" s="123" t="n">
        <v>50</v>
      </c>
      <c r="K20" s="30" t="n">
        <v>28</v>
      </c>
      <c r="L20" s="75" t="n">
        <f aca="false">IF(OR(C20="",I20="",J20="",K20=""),"",IFERROR(((I20*J20+K20)/C20)^(1/5)-1,"n/a"))</f>
        <v>0.00366015400817998</v>
      </c>
      <c r="M20" s="27" t="s">
        <v>463</v>
      </c>
      <c r="N20" s="30" t="n">
        <v>26.51</v>
      </c>
      <c r="O20" s="123" t="n">
        <v>61.48</v>
      </c>
      <c r="P20" s="30" t="n">
        <v>35</v>
      </c>
      <c r="Q20" s="75" t="n">
        <f aca="false">IF(OR(C20="",N20="",O20="",P20=""),"",IFERROR(((N20*O20+P20)/C20)^(1/5)-1,"n/a"))</f>
        <v>0.114740206784953</v>
      </c>
      <c r="R20" s="27" t="s">
        <v>464</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243</v>
      </c>
      <c r="B21" s="27" t="s">
        <v>324</v>
      </c>
      <c r="C21" s="30" t="n">
        <v>380.63</v>
      </c>
      <c r="D21" s="30" t="n">
        <v>17.84</v>
      </c>
      <c r="E21" s="123" t="n">
        <v>34.36</v>
      </c>
      <c r="F21" s="30" t="n">
        <v>16</v>
      </c>
      <c r="G21" s="75" t="n">
        <f aca="false">IF(OR(C21="",D21="",E21="",F21=""),"",IFERROR(((D21*E21+F21)/C21)^(1/5)-1,"n/a"))</f>
        <v>0.105673995986338</v>
      </c>
      <c r="H21" s="27" t="s">
        <v>464</v>
      </c>
      <c r="I21" s="30" t="n">
        <v>14.14</v>
      </c>
      <c r="J21" s="123" t="n">
        <v>28</v>
      </c>
      <c r="K21" s="30" t="n">
        <v>14</v>
      </c>
      <c r="L21" s="75" t="n">
        <f aca="false">IF(OR(C21="",I21="",J21="",K21=""),"",IFERROR(((I21*J21+K21)/C21)^(1/5)-1,"n/a"))</f>
        <v>0.0149373117952127</v>
      </c>
      <c r="M21" s="27" t="s">
        <v>463</v>
      </c>
      <c r="N21" s="30" t="n">
        <v>21.33</v>
      </c>
      <c r="O21" s="123" t="n">
        <v>38</v>
      </c>
      <c r="P21" s="30" t="n">
        <v>18</v>
      </c>
      <c r="Q21" s="75" t="n">
        <f aca="false">IF(OR(C21="",N21="",O21="",P21=""),"",IFERROR(((N21*O21+P21)/C21)^(1/5)-1,"n/a"))</f>
        <v>0.168320757920451</v>
      </c>
      <c r="R21" s="27" t="s">
        <v>463</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3"/>
      <c r="F22" s="30"/>
      <c r="G22" s="75" t="str">
        <f aca="false">IF(OR(C22="",D22="",E22="",F22=""),"",IFERROR(((D22*E22+F22)/C22)^(1/5)-1,"n/a"))</f>
        <v/>
      </c>
      <c r="H22" s="27"/>
      <c r="I22" s="30"/>
      <c r="J22" s="123"/>
      <c r="K22" s="30"/>
      <c r="L22" s="75" t="str">
        <f aca="false">IF(OR(C22="",I22="",J22="",K22=""),"",IFERROR(((I22*J22+K22)/C22)^(1/5)-1,"n/a"))</f>
        <v/>
      </c>
      <c r="M22" s="27"/>
      <c r="N22" s="30"/>
      <c r="O22" s="123"/>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3"/>
      <c r="F23" s="30"/>
      <c r="G23" s="75" t="str">
        <f aca="false">IF(OR(C23="",D23="",E23="",F23=""),"",IFERROR(((D23*E23+F23)/C23)^(1/5)-1,"n/a"))</f>
        <v/>
      </c>
      <c r="H23" s="27"/>
      <c r="I23" s="30"/>
      <c r="J23" s="123"/>
      <c r="K23" s="30"/>
      <c r="L23" s="75" t="str">
        <f aca="false">IF(OR(C23="",I23="",J23="",K23=""),"",IFERROR(((I23*J23+K23)/C23)^(1/5)-1,"n/a"))</f>
        <v/>
      </c>
      <c r="M23" s="27"/>
      <c r="N23" s="30"/>
      <c r="O23" s="123"/>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true" outlineLevel="0" collapsed="false">
      <c r="A24" s="155"/>
      <c r="B24" s="155"/>
      <c r="C24" s="156"/>
      <c r="D24" s="156"/>
      <c r="E24" s="157"/>
      <c r="F24" s="156"/>
      <c r="G24" s="158" t="str">
        <f aca="false">IF(OR(C24="",D24="",E24="",F24=""),"",IFERROR(((D24*E24+F24)/C24)^(1/5)-1,"n/a"))</f>
        <v/>
      </c>
      <c r="H24" s="155"/>
      <c r="I24" s="156"/>
      <c r="J24" s="157"/>
      <c r="K24" s="156"/>
      <c r="L24" s="158" t="str">
        <f aca="false">IF(OR(C24="",I24="",J24="",K24=""),"",IFERROR(((I24*J24+K24)/C24)^(1/5)-1,"n/a"))</f>
        <v/>
      </c>
      <c r="M24" s="155"/>
      <c r="N24" s="156"/>
      <c r="O24" s="157"/>
      <c r="P24" s="156"/>
      <c r="Q24" s="158" t="str">
        <f aca="false">IF(OR(C24="",N24="",O24="",P24=""),"",IFERROR(((N24*O24+P24)/C24)^(1/5)-1,"n/a"))</f>
        <v/>
      </c>
      <c r="R24" s="15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5"/>
      <c r="B25" s="155"/>
      <c r="C25" s="156"/>
      <c r="D25" s="156"/>
      <c r="E25" s="157"/>
      <c r="F25" s="156"/>
      <c r="G25" s="158" t="str">
        <f aca="false">IF(OR(C25="",D25="",E25="",F25=""),"",IFERROR(((D25*E25+F25)/C25)^(1/5)-1,"n/a"))</f>
        <v/>
      </c>
      <c r="H25" s="155"/>
      <c r="I25" s="156"/>
      <c r="J25" s="157"/>
      <c r="K25" s="156"/>
      <c r="L25" s="158" t="str">
        <f aca="false">IF(OR(C25="",I25="",J25="",K25=""),"",IFERROR(((I25*J25+K25)/C25)^(1/5)-1,"n/a"))</f>
        <v/>
      </c>
      <c r="M25" s="155"/>
      <c r="N25" s="156"/>
      <c r="O25" s="157"/>
      <c r="P25" s="156"/>
      <c r="Q25" s="158" t="str">
        <f aca="false">IF(OR(C25="",N25="",O25="",P25=""),"",IFERROR(((N25*O25+P25)/C25)^(1/5)-1,"n/a"))</f>
        <v/>
      </c>
      <c r="R25" s="15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5"/>
      <c r="B26" s="155"/>
      <c r="C26" s="156"/>
      <c r="D26" s="156"/>
      <c r="E26" s="157"/>
      <c r="F26" s="156"/>
      <c r="G26" s="158" t="str">
        <f aca="false">IF(OR(C26="",D26="",E26="",F26=""),"",IFERROR(((D26*E26+F26)/C26)^(1/5)-1,"n/a"))</f>
        <v/>
      </c>
      <c r="H26" s="155"/>
      <c r="I26" s="156"/>
      <c r="J26" s="157"/>
      <c r="K26" s="156"/>
      <c r="L26" s="158" t="str">
        <f aca="false">IF(OR(C26="",I26="",J26="",K26=""),"",IFERROR(((I26*J26+K26)/C26)^(1/5)-1,"n/a"))</f>
        <v/>
      </c>
      <c r="M26" s="155"/>
      <c r="N26" s="156"/>
      <c r="O26" s="157"/>
      <c r="P26" s="156"/>
      <c r="Q26" s="158" t="str">
        <f aca="false">IF(OR(C26="",N26="",O26="",P26=""),"",IFERROR(((N26*O26+P26)/C26)^(1/5)-1,"n/a"))</f>
        <v/>
      </c>
      <c r="R26" s="15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5"/>
      <c r="B27" s="155"/>
      <c r="C27" s="156"/>
      <c r="D27" s="156"/>
      <c r="E27" s="157"/>
      <c r="F27" s="156"/>
      <c r="G27" s="158" t="str">
        <f aca="false">IF(OR(C27="",D27="",E27="",F27=""),"",IFERROR(((D27*E27+F27)/C27)^(1/5)-1,"n/a"))</f>
        <v/>
      </c>
      <c r="H27" s="155"/>
      <c r="I27" s="156"/>
      <c r="J27" s="157"/>
      <c r="K27" s="156"/>
      <c r="L27" s="158" t="str">
        <f aca="false">IF(OR(C27="",I27="",J27="",K27=""),"",IFERROR(((I27*J27+K27)/C27)^(1/5)-1,"n/a"))</f>
        <v/>
      </c>
      <c r="M27" s="155"/>
      <c r="N27" s="156"/>
      <c r="O27" s="157"/>
      <c r="P27" s="156"/>
      <c r="Q27" s="158" t="str">
        <f aca="false">IF(OR(C27="",N27="",O27="",P27=""),"",IFERROR(((N27*O27+P27)/C27)^(1/5)-1,"n/a"))</f>
        <v/>
      </c>
      <c r="R27" s="15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5"/>
      <c r="B28" s="155"/>
      <c r="C28" s="156"/>
      <c r="D28" s="156"/>
      <c r="E28" s="157"/>
      <c r="F28" s="156"/>
      <c r="G28" s="158" t="str">
        <f aca="false">IF(OR(C28="",D28="",E28="",F28=""),"",IFERROR(((D28*E28+F28)/C28)^(1/5)-1,"n/a"))</f>
        <v/>
      </c>
      <c r="H28" s="155"/>
      <c r="I28" s="156"/>
      <c r="J28" s="157"/>
      <c r="K28" s="156"/>
      <c r="L28" s="158" t="str">
        <f aca="false">IF(OR(C28="",I28="",J28="",K28=""),"",IFERROR(((I28*J28+K28)/C28)^(1/5)-1,"n/a"))</f>
        <v/>
      </c>
      <c r="M28" s="155"/>
      <c r="N28" s="156"/>
      <c r="O28" s="157"/>
      <c r="P28" s="156"/>
      <c r="Q28" s="158" t="str">
        <f aca="false">IF(OR(C28="",N28="",O28="",P28=""),"",IFERROR(((N28*O28+P28)/C28)^(1/5)-1,"n/a"))</f>
        <v/>
      </c>
      <c r="R28" s="15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5"/>
      <c r="B29" s="155"/>
      <c r="C29" s="156"/>
      <c r="D29" s="156"/>
      <c r="E29" s="157"/>
      <c r="F29" s="156"/>
      <c r="G29" s="158" t="str">
        <f aca="false">IF(OR(C29="",D29="",E29="",F29=""),"",IFERROR(((D29*E29+F29)/C29)^(1/5)-1,"n/a"))</f>
        <v/>
      </c>
      <c r="H29" s="155"/>
      <c r="I29" s="156"/>
      <c r="J29" s="157"/>
      <c r="K29" s="156"/>
      <c r="L29" s="158" t="str">
        <f aca="false">IF(OR(C29="",I29="",J29="",K29=""),"",IFERROR(((I29*J29+K29)/C29)^(1/5)-1,"n/a"))</f>
        <v/>
      </c>
      <c r="M29" s="155"/>
      <c r="N29" s="156"/>
      <c r="O29" s="157"/>
      <c r="P29" s="156"/>
      <c r="Q29" s="158" t="str">
        <f aca="false">IF(OR(C29="",N29="",O29="",P29=""),"",IFERROR(((N29*O29+P29)/C29)^(1/5)-1,"n/a"))</f>
        <v/>
      </c>
      <c r="R29" s="15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5"/>
      <c r="B30" s="155"/>
      <c r="C30" s="156"/>
      <c r="D30" s="156"/>
      <c r="E30" s="157"/>
      <c r="F30" s="156"/>
      <c r="G30" s="158" t="str">
        <f aca="false">IF(OR(C30="",D30="",E30="",F30=""),"",IFERROR(((D30*E30+F30)/C30)^(1/5)-1,"n/a"))</f>
        <v/>
      </c>
      <c r="H30" s="155"/>
      <c r="I30" s="156"/>
      <c r="J30" s="157"/>
      <c r="K30" s="156"/>
      <c r="L30" s="158" t="str">
        <f aca="false">IF(OR(C30="",I30="",J30="",K30=""),"",IFERROR(((I30*J30+K30)/C30)^(1/5)-1,"n/a"))</f>
        <v/>
      </c>
      <c r="M30" s="155"/>
      <c r="N30" s="156"/>
      <c r="O30" s="157"/>
      <c r="P30" s="156"/>
      <c r="Q30" s="158" t="str">
        <f aca="false">IF(OR(C30="",N30="",O30="",P30=""),"",IFERROR(((N30*O30+P30)/C30)^(1/5)-1,"n/a"))</f>
        <v/>
      </c>
      <c r="R30" s="15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5"/>
      <c r="B31" s="155"/>
      <c r="C31" s="156"/>
      <c r="D31" s="156"/>
      <c r="E31" s="157"/>
      <c r="F31" s="156"/>
      <c r="G31" s="158" t="str">
        <f aca="false">IF(OR(C31="",D31="",E31="",F31=""),"",IFERROR(((D31*E31+F31)/C31)^(1/5)-1,"n/a"))</f>
        <v/>
      </c>
      <c r="H31" s="155"/>
      <c r="I31" s="156"/>
      <c r="J31" s="157"/>
      <c r="K31" s="156"/>
      <c r="L31" s="158" t="str">
        <f aca="false">IF(OR(C31="",I31="",J31="",K31=""),"",IFERROR(((I31*J31+K31)/C31)^(1/5)-1,"n/a"))</f>
        <v/>
      </c>
      <c r="M31" s="155"/>
      <c r="N31" s="156"/>
      <c r="O31" s="157"/>
      <c r="P31" s="156"/>
      <c r="Q31" s="158" t="str">
        <f aca="false">IF(OR(C31="",N31="",O31="",P31=""),"",IFERROR(((N31*O31+P31)/C31)^(1/5)-1,"n/a"))</f>
        <v/>
      </c>
      <c r="R31" s="15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5"/>
      <c r="B32" s="155"/>
      <c r="C32" s="156"/>
      <c r="D32" s="156"/>
      <c r="E32" s="157"/>
      <c r="F32" s="156"/>
      <c r="G32" s="158" t="str">
        <f aca="false">IF(OR(C32="",D32="",E32="",F32=""),"",IFERROR(((D32*E32+F32)/C32)^(1/5)-1,"n/a"))</f>
        <v/>
      </c>
      <c r="H32" s="155"/>
      <c r="I32" s="156"/>
      <c r="J32" s="157"/>
      <c r="K32" s="156"/>
      <c r="L32" s="158" t="str">
        <f aca="false">IF(OR(C32="",I32="",J32="",K32=""),"",IFERROR(((I32*J32+K32)/C32)^(1/5)-1,"n/a"))</f>
        <v/>
      </c>
      <c r="M32" s="155"/>
      <c r="N32" s="156"/>
      <c r="O32" s="157"/>
      <c r="P32" s="156"/>
      <c r="Q32" s="158" t="str">
        <f aca="false">IF(OR(C32="",N32="",O32="",P32=""),"",IFERROR(((N32*O32+P32)/C32)^(1/5)-1,"n/a"))</f>
        <v/>
      </c>
      <c r="R32" s="15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5"/>
      <c r="B33" s="155"/>
      <c r="C33" s="156"/>
      <c r="D33" s="156"/>
      <c r="E33" s="157"/>
      <c r="F33" s="156"/>
      <c r="G33" s="158" t="str">
        <f aca="false">IF(OR(C33="",D33="",E33="",F33=""),"",IFERROR(((D33*E33+F33)/C33)^(1/5)-1,"n/a"))</f>
        <v/>
      </c>
      <c r="H33" s="155"/>
      <c r="I33" s="156"/>
      <c r="J33" s="157"/>
      <c r="K33" s="156"/>
      <c r="L33" s="158" t="str">
        <f aca="false">IF(OR(C33="",I33="",J33="",K33=""),"",IFERROR(((I33*J33+K33)/C33)^(1/5)-1,"n/a"))</f>
        <v/>
      </c>
      <c r="M33" s="155"/>
      <c r="N33" s="156"/>
      <c r="O33" s="157"/>
      <c r="P33" s="156"/>
      <c r="Q33" s="158" t="str">
        <f aca="false">IF(OR(C33="",N33="",O33="",P33=""),"",IFERROR(((N33*O33+P33)/C33)^(1/5)-1,"n/a"))</f>
        <v/>
      </c>
      <c r="R33" s="15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5"/>
      <c r="B34" s="155"/>
      <c r="C34" s="156"/>
      <c r="D34" s="156"/>
      <c r="E34" s="157"/>
      <c r="F34" s="156"/>
      <c r="G34" s="158" t="str">
        <f aca="false">IF(OR(C34="",D34="",E34="",F34=""),"",IFERROR(((D34*E34+F34)/C34)^(1/5)-1,"n/a"))</f>
        <v/>
      </c>
      <c r="H34" s="155"/>
      <c r="I34" s="156"/>
      <c r="J34" s="157"/>
      <c r="K34" s="156"/>
      <c r="L34" s="158" t="str">
        <f aca="false">IF(OR(C34="",I34="",J34="",K34=""),"",IFERROR(((I34*J34+K34)/C34)^(1/5)-1,"n/a"))</f>
        <v/>
      </c>
      <c r="M34" s="155"/>
      <c r="N34" s="156"/>
      <c r="O34" s="157"/>
      <c r="P34" s="156"/>
      <c r="Q34" s="158" t="str">
        <f aca="false">IF(OR(C34="",N34="",O34="",P34=""),"",IFERROR(((N34*O34+P34)/C34)^(1/5)-1,"n/a"))</f>
        <v/>
      </c>
      <c r="R34" s="15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5"/>
      <c r="B35" s="155"/>
      <c r="C35" s="156"/>
      <c r="D35" s="156"/>
      <c r="E35" s="157"/>
      <c r="F35" s="156"/>
      <c r="G35" s="158" t="str">
        <f aca="false">IF(OR(C35="",D35="",E35="",F35=""),"",IFERROR(((D35*E35+F35)/C35)^(1/5)-1,"n/a"))</f>
        <v/>
      </c>
      <c r="H35" s="155"/>
      <c r="I35" s="156"/>
      <c r="J35" s="157"/>
      <c r="K35" s="156"/>
      <c r="L35" s="158" t="str">
        <f aca="false">IF(OR(C35="",I35="",J35="",K35=""),"",IFERROR(((I35*J35+K35)/C35)^(1/5)-1,"n/a"))</f>
        <v/>
      </c>
      <c r="M35" s="155"/>
      <c r="N35" s="156"/>
      <c r="O35" s="157"/>
      <c r="P35" s="156"/>
      <c r="Q35" s="158" t="str">
        <f aca="false">IF(OR(C35="",N35="",O35="",P35=""),"",IFERROR(((N35*O35+P35)/C35)^(1/5)-1,"n/a"))</f>
        <v/>
      </c>
      <c r="R35" s="15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5"/>
      <c r="B36" s="155"/>
      <c r="C36" s="156"/>
      <c r="D36" s="156"/>
      <c r="E36" s="157"/>
      <c r="F36" s="156"/>
      <c r="G36" s="158" t="str">
        <f aca="false">IF(OR(C36="",D36="",E36="",F36=""),"",IFERROR(((D36*E36+F36)/C36)^(1/5)-1,"n/a"))</f>
        <v/>
      </c>
      <c r="H36" s="155"/>
      <c r="I36" s="156"/>
      <c r="J36" s="157"/>
      <c r="K36" s="156"/>
      <c r="L36" s="158" t="str">
        <f aca="false">IF(OR(C36="",I36="",J36="",K36=""),"",IFERROR(((I36*J36+K36)/C36)^(1/5)-1,"n/a"))</f>
        <v/>
      </c>
      <c r="M36" s="155"/>
      <c r="N36" s="156"/>
      <c r="O36" s="157"/>
      <c r="P36" s="156"/>
      <c r="Q36" s="158" t="str">
        <f aca="false">IF(OR(C36="",N36="",O36="",P36=""),"",IFERROR(((N36*O36+P36)/C36)^(1/5)-1,"n/a"))</f>
        <v/>
      </c>
      <c r="R36" s="15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5"/>
      <c r="B37" s="155"/>
      <c r="C37" s="156"/>
      <c r="D37" s="156"/>
      <c r="E37" s="157"/>
      <c r="F37" s="156"/>
      <c r="G37" s="158" t="str">
        <f aca="false">IF(OR(C37="",D37="",E37="",F37=""),"",IFERROR(((D37*E37+F37)/C37)^(1/5)-1,"n/a"))</f>
        <v/>
      </c>
      <c r="H37" s="155"/>
      <c r="I37" s="156"/>
      <c r="J37" s="157"/>
      <c r="K37" s="156"/>
      <c r="L37" s="158" t="str">
        <f aca="false">IF(OR(C37="",I37="",J37="",K37=""),"",IFERROR(((I37*J37+K37)/C37)^(1/5)-1,"n/a"))</f>
        <v/>
      </c>
      <c r="M37" s="155"/>
      <c r="N37" s="156"/>
      <c r="O37" s="157"/>
      <c r="P37" s="156"/>
      <c r="Q37" s="158" t="str">
        <f aca="false">IF(OR(C37="",N37="",O37="",P37=""),"",IFERROR(((N37*O37+P37)/C37)^(1/5)-1,"n/a"))</f>
        <v/>
      </c>
      <c r="R37" s="15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5"/>
      <c r="B38" s="155"/>
      <c r="C38" s="156"/>
      <c r="D38" s="156"/>
      <c r="E38" s="157"/>
      <c r="F38" s="156"/>
      <c r="G38" s="158" t="str">
        <f aca="false">IF(OR(C38="",D38="",E38="",F38=""),"",IFERROR(((D38*E38+F38)/C38)^(1/5)-1,"n/a"))</f>
        <v/>
      </c>
      <c r="H38" s="155"/>
      <c r="I38" s="156"/>
      <c r="J38" s="157"/>
      <c r="K38" s="156"/>
      <c r="L38" s="158" t="str">
        <f aca="false">IF(OR(C38="",I38="",J38="",K38=""),"",IFERROR(((I38*J38+K38)/C38)^(1/5)-1,"n/a"))</f>
        <v/>
      </c>
      <c r="M38" s="155"/>
      <c r="N38" s="156"/>
      <c r="O38" s="157"/>
      <c r="P38" s="156"/>
      <c r="Q38" s="158" t="str">
        <f aca="false">IF(OR(C38="",N38="",O38="",P38=""),"",IFERROR(((N38*O38+P38)/C38)^(1/5)-1,"n/a"))</f>
        <v/>
      </c>
      <c r="R38" s="15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5"/>
      <c r="B39" s="155"/>
      <c r="C39" s="156"/>
      <c r="D39" s="156"/>
      <c r="E39" s="157"/>
      <c r="F39" s="156"/>
      <c r="G39" s="158" t="str">
        <f aca="false">IF(OR(C39="",D39="",E39="",F39=""),"",IFERROR(((D39*E39+F39)/C39)^(1/5)-1,"n/a"))</f>
        <v/>
      </c>
      <c r="H39" s="155"/>
      <c r="I39" s="156"/>
      <c r="J39" s="157"/>
      <c r="K39" s="156"/>
      <c r="L39" s="158" t="str">
        <f aca="false">IF(OR(C39="",I39="",J39="",K39=""),"",IFERROR(((I39*J39+K39)/C39)^(1/5)-1,"n/a"))</f>
        <v/>
      </c>
      <c r="M39" s="155"/>
      <c r="N39" s="156"/>
      <c r="O39" s="157"/>
      <c r="P39" s="156"/>
      <c r="Q39" s="158" t="str">
        <f aca="false">IF(OR(C39="",N39="",O39="",P39=""),"",IFERROR(((N39*O39+P39)/C39)^(1/5)-1,"n/a"))</f>
        <v/>
      </c>
      <c r="R39" s="15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5"/>
      <c r="B40" s="155"/>
      <c r="C40" s="156"/>
      <c r="D40" s="156"/>
      <c r="E40" s="157"/>
      <c r="F40" s="156"/>
      <c r="G40" s="158" t="str">
        <f aca="false">IF(OR(C40="",D40="",E40="",F40=""),"",IFERROR(((D40*E40+F40)/C40)^(1/5)-1,"n/a"))</f>
        <v/>
      </c>
      <c r="H40" s="155"/>
      <c r="I40" s="156"/>
      <c r="J40" s="157"/>
      <c r="K40" s="156"/>
      <c r="L40" s="158" t="str">
        <f aca="false">IF(OR(C40="",I40="",J40="",K40=""),"",IFERROR(((I40*J40+K40)/C40)^(1/5)-1,"n/a"))</f>
        <v/>
      </c>
      <c r="M40" s="155"/>
      <c r="N40" s="156"/>
      <c r="O40" s="157"/>
      <c r="P40" s="156"/>
      <c r="Q40" s="158" t="str">
        <f aca="false">IF(OR(C40="",N40="",O40="",P40=""),"",IFERROR(((N40*O40+P40)/C40)^(1/5)-1,"n/a"))</f>
        <v/>
      </c>
      <c r="R40" s="15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5"/>
      <c r="B41" s="155"/>
      <c r="C41" s="156"/>
      <c r="D41" s="156"/>
      <c r="E41" s="157"/>
      <c r="F41" s="156"/>
      <c r="G41" s="158" t="str">
        <f aca="false">IF(OR(C41="",D41="",E41="",F41=""),"",IFERROR(((D41*E41+F41)/C41)^(1/5)-1,"n/a"))</f>
        <v/>
      </c>
      <c r="H41" s="155"/>
      <c r="I41" s="156"/>
      <c r="J41" s="157"/>
      <c r="K41" s="156"/>
      <c r="L41" s="158" t="str">
        <f aca="false">IF(OR(C41="",I41="",J41="",K41=""),"",IFERROR(((I41*J41+K41)/C41)^(1/5)-1,"n/a"))</f>
        <v/>
      </c>
      <c r="M41" s="155"/>
      <c r="N41" s="156"/>
      <c r="O41" s="157"/>
      <c r="P41" s="156"/>
      <c r="Q41" s="158" t="str">
        <f aca="false">IF(OR(C41="",N41="",O41="",P41=""),"",IFERROR(((N41*O41+P41)/C41)^(1/5)-1,"n/a"))</f>
        <v/>
      </c>
      <c r="R41" s="15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5"/>
      <c r="B42" s="155"/>
      <c r="C42" s="156"/>
      <c r="D42" s="156"/>
      <c r="E42" s="157"/>
      <c r="F42" s="156"/>
      <c r="G42" s="158" t="str">
        <f aca="false">IF(OR(C42="",D42="",E42="",F42=""),"",IFERROR(((D42*E42+F42)/C42)^(1/5)-1,"n/a"))</f>
        <v/>
      </c>
      <c r="H42" s="155"/>
      <c r="I42" s="156"/>
      <c r="J42" s="157"/>
      <c r="K42" s="156"/>
      <c r="L42" s="158" t="str">
        <f aca="false">IF(OR(C42="",I42="",J42="",K42=""),"",IFERROR(((I42*J42+K42)/C42)^(1/5)-1,"n/a"))</f>
        <v/>
      </c>
      <c r="M42" s="155"/>
      <c r="N42" s="156"/>
      <c r="O42" s="157"/>
      <c r="P42" s="156"/>
      <c r="Q42" s="158" t="str">
        <f aca="false">IF(OR(C42="",N42="",O42="",P42=""),"",IFERROR(((N42*O42+P42)/C42)^(1/5)-1,"n/a"))</f>
        <v/>
      </c>
      <c r="R42" s="15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5"/>
      <c r="B43" s="155"/>
      <c r="C43" s="156"/>
      <c r="D43" s="156"/>
      <c r="E43" s="157"/>
      <c r="F43" s="156"/>
      <c r="G43" s="158" t="str">
        <f aca="false">IF(OR(C43="",D43="",E43="",F43=""),"",IFERROR(((D43*E43+F43)/C43)^(1/5)-1,"n/a"))</f>
        <v/>
      </c>
      <c r="H43" s="155"/>
      <c r="I43" s="156"/>
      <c r="J43" s="157"/>
      <c r="K43" s="156"/>
      <c r="L43" s="158" t="str">
        <f aca="false">IF(OR(C43="",I43="",J43="",K43=""),"",IFERROR(((I43*J43+K43)/C43)^(1/5)-1,"n/a"))</f>
        <v/>
      </c>
      <c r="M43" s="155"/>
      <c r="N43" s="156"/>
      <c r="O43" s="157"/>
      <c r="P43" s="156"/>
      <c r="Q43" s="158" t="str">
        <f aca="false">IF(OR(C43="",N43="",O43="",P43=""),"",IFERROR(((N43*O43+P43)/C43)^(1/5)-1,"n/a"))</f>
        <v/>
      </c>
      <c r="R43" s="15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5"/>
      <c r="B44" s="155"/>
      <c r="C44" s="156"/>
      <c r="D44" s="156"/>
      <c r="E44" s="157"/>
      <c r="F44" s="156"/>
      <c r="G44" s="158" t="str">
        <f aca="false">IF(OR(C44="",D44="",E44="",F44=""),"",IFERROR(((D44*E44+F44)/C44)^(1/5)-1,"n/a"))</f>
        <v/>
      </c>
      <c r="H44" s="155"/>
      <c r="I44" s="156"/>
      <c r="J44" s="157"/>
      <c r="K44" s="156"/>
      <c r="L44" s="158" t="str">
        <f aca="false">IF(OR(C44="",I44="",J44="",K44=""),"",IFERROR(((I44*J44+K44)/C44)^(1/5)-1,"n/a"))</f>
        <v/>
      </c>
      <c r="M44" s="155"/>
      <c r="N44" s="156"/>
      <c r="O44" s="157"/>
      <c r="P44" s="156"/>
      <c r="Q44" s="158" t="str">
        <f aca="false">IF(OR(C44="",N44="",O44="",P44=""),"",IFERROR(((N44*O44+P44)/C44)^(1/5)-1,"n/a"))</f>
        <v/>
      </c>
      <c r="R44" s="15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5"/>
      <c r="B45" s="155"/>
      <c r="C45" s="156"/>
      <c r="D45" s="156"/>
      <c r="E45" s="157"/>
      <c r="F45" s="156"/>
      <c r="G45" s="158" t="str">
        <f aca="false">IF(OR(C45="",D45="",E45="",F45=""),"",IFERROR(((D45*E45+F45)/C45)^(1/5)-1,"n/a"))</f>
        <v/>
      </c>
      <c r="H45" s="155"/>
      <c r="I45" s="156"/>
      <c r="J45" s="157"/>
      <c r="K45" s="156"/>
      <c r="L45" s="158" t="str">
        <f aca="false">IF(OR(C45="",I45="",J45="",K45=""),"",IFERROR(((I45*J45+K45)/C45)^(1/5)-1,"n/a"))</f>
        <v/>
      </c>
      <c r="M45" s="155"/>
      <c r="N45" s="156"/>
      <c r="O45" s="157"/>
      <c r="P45" s="156"/>
      <c r="Q45" s="158" t="str">
        <f aca="false">IF(OR(C45="",N45="",O45="",P45=""),"",IFERROR(((N45*O45+P45)/C45)^(1/5)-1,"n/a"))</f>
        <v/>
      </c>
      <c r="R45" s="15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5"/>
      <c r="B46" s="155"/>
      <c r="C46" s="156"/>
      <c r="D46" s="156"/>
      <c r="E46" s="157"/>
      <c r="F46" s="156"/>
      <c r="G46" s="158" t="str">
        <f aca="false">IF(OR(C46="",D46="",E46="",F46=""),"",IFERROR(((D46*E46+F46)/C46)^(1/5)-1,"n/a"))</f>
        <v/>
      </c>
      <c r="H46" s="155"/>
      <c r="I46" s="156"/>
      <c r="J46" s="157"/>
      <c r="K46" s="156"/>
      <c r="L46" s="158" t="str">
        <f aca="false">IF(OR(C46="",I46="",J46="",K46=""),"",IFERROR(((I46*J46+K46)/C46)^(1/5)-1,"n/a"))</f>
        <v/>
      </c>
      <c r="M46" s="155"/>
      <c r="N46" s="156"/>
      <c r="O46" s="157"/>
      <c r="P46" s="156"/>
      <c r="Q46" s="158" t="str">
        <f aca="false">IF(OR(C46="",N46="",O46="",P46=""),"",IFERROR(((N46*O46+P46)/C46)^(1/5)-1,"n/a"))</f>
        <v/>
      </c>
      <c r="R46" s="15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5"/>
      <c r="B47" s="155"/>
      <c r="C47" s="156"/>
      <c r="D47" s="156"/>
      <c r="E47" s="157"/>
      <c r="F47" s="156"/>
      <c r="G47" s="158" t="str">
        <f aca="false">IF(OR(C47="",D47="",E47="",F47=""),"",IFERROR(((D47*E47+F47)/C47)^(1/5)-1,"n/a"))</f>
        <v/>
      </c>
      <c r="H47" s="155"/>
      <c r="I47" s="156"/>
      <c r="J47" s="157"/>
      <c r="K47" s="156"/>
      <c r="L47" s="158" t="str">
        <f aca="false">IF(OR(C47="",I47="",J47="",K47=""),"",IFERROR(((I47*J47+K47)/C47)^(1/5)-1,"n/a"))</f>
        <v/>
      </c>
      <c r="M47" s="155"/>
      <c r="N47" s="156"/>
      <c r="O47" s="157"/>
      <c r="P47" s="156"/>
      <c r="Q47" s="158" t="str">
        <f aca="false">IF(OR(C47="",N47="",O47="",P47=""),"",IFERROR(((N47*O47+P47)/C47)^(1/5)-1,"n/a"))</f>
        <v/>
      </c>
      <c r="R47" s="15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5"/>
      <c r="B48" s="155"/>
      <c r="C48" s="156"/>
      <c r="D48" s="156"/>
      <c r="E48" s="157"/>
      <c r="F48" s="156"/>
      <c r="G48" s="158" t="str">
        <f aca="false">IF(OR(C48="",D48="",E48="",F48=""),"",IFERROR(((D48*E48+F48)/C48)^(1/5)-1,"n/a"))</f>
        <v/>
      </c>
      <c r="H48" s="155"/>
      <c r="I48" s="156"/>
      <c r="J48" s="157"/>
      <c r="K48" s="156"/>
      <c r="L48" s="158" t="str">
        <f aca="false">IF(OR(C48="",I48="",J48="",K48=""),"",IFERROR(((I48*J48+K48)/C48)^(1/5)-1,"n/a"))</f>
        <v/>
      </c>
      <c r="M48" s="155"/>
      <c r="N48" s="156"/>
      <c r="O48" s="157"/>
      <c r="P48" s="156"/>
      <c r="Q48" s="158" t="str">
        <f aca="false">IF(OR(C48="",N48="",O48="",P48=""),"",IFERROR(((N48*O48+P48)/C48)^(1/5)-1,"n/a"))</f>
        <v/>
      </c>
      <c r="R48" s="15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5"/>
      <c r="B49" s="155"/>
      <c r="C49" s="156"/>
      <c r="D49" s="156"/>
      <c r="E49" s="157"/>
      <c r="F49" s="156"/>
      <c r="G49" s="158" t="str">
        <f aca="false">IF(OR(C49="",D49="",E49="",F49=""),"",IFERROR(((D49*E49+F49)/C49)^(1/5)-1,"n/a"))</f>
        <v/>
      </c>
      <c r="H49" s="155"/>
      <c r="I49" s="156"/>
      <c r="J49" s="157"/>
      <c r="K49" s="156"/>
      <c r="L49" s="158" t="str">
        <f aca="false">IF(OR(C49="",I49="",J49="",K49=""),"",IFERROR(((I49*J49+K49)/C49)^(1/5)-1,"n/a"))</f>
        <v/>
      </c>
      <c r="M49" s="155"/>
      <c r="N49" s="156"/>
      <c r="O49" s="157"/>
      <c r="P49" s="156"/>
      <c r="Q49" s="158" t="str">
        <f aca="false">IF(OR(C49="",N49="",O49="",P49=""),"",IFERROR(((N49*O49+P49)/C49)^(1/5)-1,"n/a"))</f>
        <v/>
      </c>
      <c r="R49" s="15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5"/>
      <c r="B50" s="155"/>
      <c r="C50" s="156"/>
      <c r="D50" s="156"/>
      <c r="E50" s="157"/>
      <c r="F50" s="156"/>
      <c r="G50" s="158" t="str">
        <f aca="false">IF(OR(C50="",D50="",E50="",F50=""),"",IFERROR(((D50*E50+F50)/C50)^(1/5)-1,"n/a"))</f>
        <v/>
      </c>
      <c r="H50" s="155"/>
      <c r="I50" s="156"/>
      <c r="J50" s="157"/>
      <c r="K50" s="156"/>
      <c r="L50" s="158" t="str">
        <f aca="false">IF(OR(C50="",I50="",J50="",K50=""),"",IFERROR(((I50*J50+K50)/C50)^(1/5)-1,"n/a"))</f>
        <v/>
      </c>
      <c r="M50" s="155"/>
      <c r="N50" s="156"/>
      <c r="O50" s="157"/>
      <c r="P50" s="156"/>
      <c r="Q50" s="158" t="str">
        <f aca="false">IF(OR(C50="",N50="",O50="",P50=""),"",IFERROR(((N50*O50+P50)/C50)^(1/5)-1,"n/a"))</f>
        <v/>
      </c>
      <c r="R50" s="155"/>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8">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465</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59" t="s">
        <v>466</v>
      </c>
      <c r="F2" s="159"/>
      <c r="G2" s="159"/>
      <c r="H2" s="159"/>
      <c r="I2" s="159"/>
      <c r="J2" s="159"/>
      <c r="K2" s="159"/>
      <c r="L2" s="159"/>
      <c r="M2" s="159"/>
      <c r="N2" s="159"/>
      <c r="O2" s="159"/>
      <c r="P2" s="159"/>
      <c r="Q2" s="159"/>
      <c r="R2" s="159"/>
      <c r="S2" s="159"/>
      <c r="T2" s="160" t="s">
        <v>467</v>
      </c>
      <c r="U2" s="160"/>
      <c r="V2" s="160"/>
      <c r="W2" s="160"/>
      <c r="X2" s="160"/>
      <c r="Y2" s="160"/>
      <c r="Z2" s="160"/>
    </row>
    <row r="3" customFormat="false" ht="54" hidden="false" customHeight="true" outlineLevel="0" collapsed="false">
      <c r="A3" s="121" t="s">
        <v>76</v>
      </c>
      <c r="B3" s="121" t="s">
        <v>251</v>
      </c>
      <c r="C3" s="121" t="s">
        <v>468</v>
      </c>
      <c r="D3" s="121" t="s">
        <v>469</v>
      </c>
      <c r="E3" s="121" t="s">
        <v>470</v>
      </c>
      <c r="F3" s="121" t="s">
        <v>471</v>
      </c>
      <c r="G3" s="121" t="s">
        <v>472</v>
      </c>
      <c r="H3" s="121" t="s">
        <v>473</v>
      </c>
      <c r="I3" s="121" t="s">
        <v>474</v>
      </c>
      <c r="J3" s="121" t="s">
        <v>472</v>
      </c>
      <c r="K3" s="121" t="s">
        <v>475</v>
      </c>
      <c r="L3" s="121" t="s">
        <v>476</v>
      </c>
      <c r="M3" s="121" t="s">
        <v>472</v>
      </c>
      <c r="N3" s="121" t="s">
        <v>477</v>
      </c>
      <c r="O3" s="121" t="s">
        <v>478</v>
      </c>
      <c r="P3" s="121" t="s">
        <v>472</v>
      </c>
      <c r="Q3" s="121" t="s">
        <v>479</v>
      </c>
      <c r="R3" s="121" t="s">
        <v>480</v>
      </c>
      <c r="S3" s="121" t="s">
        <v>472</v>
      </c>
      <c r="T3" s="121" t="s">
        <v>481</v>
      </c>
      <c r="U3" s="121" t="s">
        <v>482</v>
      </c>
      <c r="V3" s="121" t="s">
        <v>483</v>
      </c>
      <c r="W3" s="121" t="s">
        <v>484</v>
      </c>
      <c r="X3" s="121" t="s">
        <v>485</v>
      </c>
      <c r="Y3" s="121" t="s">
        <v>486</v>
      </c>
      <c r="Z3" s="121" t="s">
        <v>487</v>
      </c>
      <c r="AA3" s="121" t="s">
        <v>488</v>
      </c>
      <c r="AB3" s="121" t="s">
        <v>446</v>
      </c>
    </row>
    <row r="4" customFormat="false" ht="15" hidden="false" customHeight="true" outlineLevel="0" collapsed="false">
      <c r="A4" s="114"/>
      <c r="B4" s="114"/>
      <c r="C4" s="161"/>
      <c r="D4" s="161"/>
      <c r="E4" s="114"/>
      <c r="F4" s="114"/>
      <c r="G4" s="162" t="str">
        <f aca="false">IF(OR(E4="",F4=""),"",IF(AND(E4&lt;=2,F4&lt;=2),"TRIGGER","OK"))</f>
        <v/>
      </c>
      <c r="H4" s="114"/>
      <c r="I4" s="114"/>
      <c r="J4" s="162" t="str">
        <f aca="false">IF(OR(H4="",I4=""),"",IF(AND(H4&lt;=2,I4&lt;=2),"TRIGGER","OK"))</f>
        <v/>
      </c>
      <c r="K4" s="114"/>
      <c r="L4" s="114"/>
      <c r="M4" s="162" t="str">
        <f aca="false">IF(OR(K4="",L4=""),"",IF(AND(K4&lt;=2,L4&lt;=2),"TRIGGER","OK"))</f>
        <v/>
      </c>
      <c r="N4" s="114"/>
      <c r="O4" s="114"/>
      <c r="P4" s="162" t="str">
        <f aca="false">IF(OR(N4="",O4=""),"",IF(AND(N4&lt;=2,O4&lt;=2),"TRIGGER","OK"))</f>
        <v/>
      </c>
      <c r="Q4" s="114"/>
      <c r="R4" s="114"/>
      <c r="S4" s="162" t="str">
        <f aca="false">IF(OR(Q4="",R4=""),"",IF(AND(Q4&lt;=2,R4&lt;=2),"TRIGGER","OK"))</f>
        <v/>
      </c>
      <c r="T4" s="163"/>
      <c r="U4" s="163"/>
      <c r="V4" s="161"/>
      <c r="W4" s="161"/>
      <c r="X4" s="114"/>
      <c r="Y4" s="114"/>
      <c r="Z4" s="16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4"/>
      <c r="AB4" s="11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4"/>
      <c r="B5" s="114"/>
      <c r="C5" s="161"/>
      <c r="D5" s="161"/>
      <c r="E5" s="114"/>
      <c r="F5" s="114"/>
      <c r="G5" s="162" t="str">
        <f aca="false">IF(OR(E5="",F5=""),"",IF(AND(E5&lt;=2,F5&lt;=2),"TRIGGER","OK"))</f>
        <v/>
      </c>
      <c r="H5" s="114"/>
      <c r="I5" s="114"/>
      <c r="J5" s="162" t="str">
        <f aca="false">IF(OR(H5="",I5=""),"",IF(AND(H5&lt;=2,I5&lt;=2),"TRIGGER","OK"))</f>
        <v/>
      </c>
      <c r="K5" s="114"/>
      <c r="L5" s="114"/>
      <c r="M5" s="162" t="str">
        <f aca="false">IF(OR(K5="",L5=""),"",IF(AND(K5&lt;=2,L5&lt;=2),"TRIGGER","OK"))</f>
        <v/>
      </c>
      <c r="N5" s="114"/>
      <c r="O5" s="114"/>
      <c r="P5" s="162" t="str">
        <f aca="false">IF(OR(N5="",O5=""),"",IF(AND(N5&lt;=2,O5&lt;=2),"TRIGGER","OK"))</f>
        <v/>
      </c>
      <c r="Q5" s="114"/>
      <c r="R5" s="114"/>
      <c r="S5" s="162" t="str">
        <f aca="false">IF(OR(Q5="",R5=""),"",IF(AND(Q5&lt;=2,R5&lt;=2),"TRIGGER","OK"))</f>
        <v/>
      </c>
      <c r="T5" s="163"/>
      <c r="U5" s="163"/>
      <c r="V5" s="161"/>
      <c r="W5" s="161"/>
      <c r="X5" s="114"/>
      <c r="Y5" s="114"/>
      <c r="Z5" s="16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4"/>
      <c r="AB5" s="11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4"/>
      <c r="B6" s="114"/>
      <c r="C6" s="161"/>
      <c r="D6" s="161"/>
      <c r="E6" s="114"/>
      <c r="F6" s="114"/>
      <c r="G6" s="162" t="str">
        <f aca="false">IF(OR(E6="",F6=""),"",IF(AND(E6&lt;=2,F6&lt;=2),"TRIGGER","OK"))</f>
        <v/>
      </c>
      <c r="H6" s="114"/>
      <c r="I6" s="114"/>
      <c r="J6" s="162" t="str">
        <f aca="false">IF(OR(H6="",I6=""),"",IF(AND(H6&lt;=2,I6&lt;=2),"TRIGGER","OK"))</f>
        <v/>
      </c>
      <c r="K6" s="114"/>
      <c r="L6" s="114"/>
      <c r="M6" s="162" t="str">
        <f aca="false">IF(OR(K6="",L6=""),"",IF(AND(K6&lt;=2,L6&lt;=2),"TRIGGER","OK"))</f>
        <v/>
      </c>
      <c r="N6" s="114"/>
      <c r="O6" s="114"/>
      <c r="P6" s="162" t="str">
        <f aca="false">IF(OR(N6="",O6=""),"",IF(AND(N6&lt;=2,O6&lt;=2),"TRIGGER","OK"))</f>
        <v/>
      </c>
      <c r="Q6" s="114"/>
      <c r="R6" s="114"/>
      <c r="S6" s="162" t="str">
        <f aca="false">IF(OR(Q6="",R6=""),"",IF(AND(Q6&lt;=2,R6&lt;=2),"TRIGGER","OK"))</f>
        <v/>
      </c>
      <c r="T6" s="163"/>
      <c r="U6" s="163"/>
      <c r="V6" s="161"/>
      <c r="W6" s="161"/>
      <c r="X6" s="114"/>
      <c r="Y6" s="114"/>
      <c r="Z6" s="16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4"/>
      <c r="AB6" s="11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4"/>
      <c r="B7" s="114"/>
      <c r="C7" s="161"/>
      <c r="D7" s="161"/>
      <c r="E7" s="114"/>
      <c r="F7" s="114"/>
      <c r="G7" s="162" t="str">
        <f aca="false">IF(OR(E7="",F7=""),"",IF(AND(E7&lt;=2,F7&lt;=2),"TRIGGER","OK"))</f>
        <v/>
      </c>
      <c r="H7" s="114"/>
      <c r="I7" s="114"/>
      <c r="J7" s="162" t="str">
        <f aca="false">IF(OR(H7="",I7=""),"",IF(AND(H7&lt;=2,I7&lt;=2),"TRIGGER","OK"))</f>
        <v/>
      </c>
      <c r="K7" s="114"/>
      <c r="L7" s="114"/>
      <c r="M7" s="162" t="str">
        <f aca="false">IF(OR(K7="",L7=""),"",IF(AND(K7&lt;=2,L7&lt;=2),"TRIGGER","OK"))</f>
        <v/>
      </c>
      <c r="N7" s="114"/>
      <c r="O7" s="114"/>
      <c r="P7" s="162" t="str">
        <f aca="false">IF(OR(N7="",O7=""),"",IF(AND(N7&lt;=2,O7&lt;=2),"TRIGGER","OK"))</f>
        <v/>
      </c>
      <c r="Q7" s="114"/>
      <c r="R7" s="114"/>
      <c r="S7" s="162" t="str">
        <f aca="false">IF(OR(Q7="",R7=""),"",IF(AND(Q7&lt;=2,R7&lt;=2),"TRIGGER","OK"))</f>
        <v/>
      </c>
      <c r="T7" s="163"/>
      <c r="U7" s="163"/>
      <c r="V7" s="161"/>
      <c r="W7" s="161"/>
      <c r="X7" s="114"/>
      <c r="Y7" s="114"/>
      <c r="Z7" s="16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4"/>
      <c r="AB7" s="11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4"/>
      <c r="B8" s="114"/>
      <c r="C8" s="161"/>
      <c r="D8" s="161"/>
      <c r="E8" s="114"/>
      <c r="F8" s="114"/>
      <c r="G8" s="162" t="str">
        <f aca="false">IF(OR(E8="",F8=""),"",IF(AND(E8&lt;=2,F8&lt;=2),"TRIGGER","OK"))</f>
        <v/>
      </c>
      <c r="H8" s="114"/>
      <c r="I8" s="114"/>
      <c r="J8" s="162" t="str">
        <f aca="false">IF(OR(H8="",I8=""),"",IF(AND(H8&lt;=2,I8&lt;=2),"TRIGGER","OK"))</f>
        <v/>
      </c>
      <c r="K8" s="114"/>
      <c r="L8" s="114"/>
      <c r="M8" s="162" t="str">
        <f aca="false">IF(OR(K8="",L8=""),"",IF(AND(K8&lt;=2,L8&lt;=2),"TRIGGER","OK"))</f>
        <v/>
      </c>
      <c r="N8" s="114"/>
      <c r="O8" s="114"/>
      <c r="P8" s="162" t="str">
        <f aca="false">IF(OR(N8="",O8=""),"",IF(AND(N8&lt;=2,O8&lt;=2),"TRIGGER","OK"))</f>
        <v/>
      </c>
      <c r="Q8" s="114"/>
      <c r="R8" s="114"/>
      <c r="S8" s="162" t="str">
        <f aca="false">IF(OR(Q8="",R8=""),"",IF(AND(Q8&lt;=2,R8&lt;=2),"TRIGGER","OK"))</f>
        <v/>
      </c>
      <c r="T8" s="163"/>
      <c r="U8" s="163"/>
      <c r="V8" s="161"/>
      <c r="W8" s="161"/>
      <c r="X8" s="114"/>
      <c r="Y8" s="114"/>
      <c r="Z8" s="16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4"/>
      <c r="AB8" s="11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4"/>
      <c r="B9" s="114"/>
      <c r="C9" s="161"/>
      <c r="D9" s="161"/>
      <c r="E9" s="114"/>
      <c r="F9" s="114"/>
      <c r="G9" s="162" t="str">
        <f aca="false">IF(OR(E9="",F9=""),"",IF(AND(E9&lt;=2,F9&lt;=2),"TRIGGER","OK"))</f>
        <v/>
      </c>
      <c r="H9" s="114"/>
      <c r="I9" s="114"/>
      <c r="J9" s="162" t="str">
        <f aca="false">IF(OR(H9="",I9=""),"",IF(AND(H9&lt;=2,I9&lt;=2),"TRIGGER","OK"))</f>
        <v/>
      </c>
      <c r="K9" s="114"/>
      <c r="L9" s="114"/>
      <c r="M9" s="162" t="str">
        <f aca="false">IF(OR(K9="",L9=""),"",IF(AND(K9&lt;=2,L9&lt;=2),"TRIGGER","OK"))</f>
        <v/>
      </c>
      <c r="N9" s="114"/>
      <c r="O9" s="114"/>
      <c r="P9" s="162" t="str">
        <f aca="false">IF(OR(N9="",O9=""),"",IF(AND(N9&lt;=2,O9&lt;=2),"TRIGGER","OK"))</f>
        <v/>
      </c>
      <c r="Q9" s="114"/>
      <c r="R9" s="114"/>
      <c r="S9" s="162" t="str">
        <f aca="false">IF(OR(Q9="",R9=""),"",IF(AND(Q9&lt;=2,R9&lt;=2),"TRIGGER","OK"))</f>
        <v/>
      </c>
      <c r="T9" s="163"/>
      <c r="U9" s="163"/>
      <c r="V9" s="161"/>
      <c r="W9" s="161"/>
      <c r="X9" s="114"/>
      <c r="Y9" s="114"/>
      <c r="Z9" s="16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4"/>
      <c r="AB9" s="11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4"/>
      <c r="B10" s="114"/>
      <c r="C10" s="161"/>
      <c r="D10" s="161"/>
      <c r="E10" s="114"/>
      <c r="F10" s="114"/>
      <c r="G10" s="162" t="str">
        <f aca="false">IF(OR(E10="",F10=""),"",IF(AND(E10&lt;=2,F10&lt;=2),"TRIGGER","OK"))</f>
        <v/>
      </c>
      <c r="H10" s="114"/>
      <c r="I10" s="114"/>
      <c r="J10" s="162" t="str">
        <f aca="false">IF(OR(H10="",I10=""),"",IF(AND(H10&lt;=2,I10&lt;=2),"TRIGGER","OK"))</f>
        <v/>
      </c>
      <c r="K10" s="114"/>
      <c r="L10" s="114"/>
      <c r="M10" s="162" t="str">
        <f aca="false">IF(OR(K10="",L10=""),"",IF(AND(K10&lt;=2,L10&lt;=2),"TRIGGER","OK"))</f>
        <v/>
      </c>
      <c r="N10" s="114"/>
      <c r="O10" s="114"/>
      <c r="P10" s="162" t="str">
        <f aca="false">IF(OR(N10="",O10=""),"",IF(AND(N10&lt;=2,O10&lt;=2),"TRIGGER","OK"))</f>
        <v/>
      </c>
      <c r="Q10" s="114"/>
      <c r="R10" s="114"/>
      <c r="S10" s="162" t="str">
        <f aca="false">IF(OR(Q10="",R10=""),"",IF(AND(Q10&lt;=2,R10&lt;=2),"TRIGGER","OK"))</f>
        <v/>
      </c>
      <c r="T10" s="163"/>
      <c r="U10" s="163"/>
      <c r="V10" s="161"/>
      <c r="W10" s="161"/>
      <c r="X10" s="114"/>
      <c r="Y10" s="114"/>
      <c r="Z10" s="16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4"/>
      <c r="AB10" s="11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4"/>
      <c r="B11" s="114"/>
      <c r="C11" s="161"/>
      <c r="D11" s="161"/>
      <c r="E11" s="114"/>
      <c r="F11" s="114"/>
      <c r="G11" s="162" t="str">
        <f aca="false">IF(OR(E11="",F11=""),"",IF(AND(E11&lt;=2,F11&lt;=2),"TRIGGER","OK"))</f>
        <v/>
      </c>
      <c r="H11" s="114"/>
      <c r="I11" s="114"/>
      <c r="J11" s="162" t="str">
        <f aca="false">IF(OR(H11="",I11=""),"",IF(AND(H11&lt;=2,I11&lt;=2),"TRIGGER","OK"))</f>
        <v/>
      </c>
      <c r="K11" s="114"/>
      <c r="L11" s="114"/>
      <c r="M11" s="162" t="str">
        <f aca="false">IF(OR(K11="",L11=""),"",IF(AND(K11&lt;=2,L11&lt;=2),"TRIGGER","OK"))</f>
        <v/>
      </c>
      <c r="N11" s="114"/>
      <c r="O11" s="114"/>
      <c r="P11" s="162" t="str">
        <f aca="false">IF(OR(N11="",O11=""),"",IF(AND(N11&lt;=2,O11&lt;=2),"TRIGGER","OK"))</f>
        <v/>
      </c>
      <c r="Q11" s="114"/>
      <c r="R11" s="114"/>
      <c r="S11" s="162" t="str">
        <f aca="false">IF(OR(Q11="",R11=""),"",IF(AND(Q11&lt;=2,R11&lt;=2),"TRIGGER","OK"))</f>
        <v/>
      </c>
      <c r="T11" s="163"/>
      <c r="U11" s="163"/>
      <c r="V11" s="161"/>
      <c r="W11" s="161"/>
      <c r="X11" s="114"/>
      <c r="Y11" s="114"/>
      <c r="Z11" s="16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4"/>
      <c r="AB11" s="11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4"/>
      <c r="B12" s="114"/>
      <c r="C12" s="161"/>
      <c r="D12" s="161"/>
      <c r="E12" s="114"/>
      <c r="F12" s="114"/>
      <c r="G12" s="162" t="str">
        <f aca="false">IF(OR(E12="",F12=""),"",IF(AND(E12&lt;=2,F12&lt;=2),"TRIGGER","OK"))</f>
        <v/>
      </c>
      <c r="H12" s="114"/>
      <c r="I12" s="114"/>
      <c r="J12" s="162" t="str">
        <f aca="false">IF(OR(H12="",I12=""),"",IF(AND(H12&lt;=2,I12&lt;=2),"TRIGGER","OK"))</f>
        <v/>
      </c>
      <c r="K12" s="114"/>
      <c r="L12" s="114"/>
      <c r="M12" s="162" t="str">
        <f aca="false">IF(OR(K12="",L12=""),"",IF(AND(K12&lt;=2,L12&lt;=2),"TRIGGER","OK"))</f>
        <v/>
      </c>
      <c r="N12" s="114"/>
      <c r="O12" s="114"/>
      <c r="P12" s="162" t="str">
        <f aca="false">IF(OR(N12="",O12=""),"",IF(AND(N12&lt;=2,O12&lt;=2),"TRIGGER","OK"))</f>
        <v/>
      </c>
      <c r="Q12" s="114"/>
      <c r="R12" s="114"/>
      <c r="S12" s="162" t="str">
        <f aca="false">IF(OR(Q12="",R12=""),"",IF(AND(Q12&lt;=2,R12&lt;=2),"TRIGGER","OK"))</f>
        <v/>
      </c>
      <c r="T12" s="163"/>
      <c r="U12" s="163"/>
      <c r="V12" s="161"/>
      <c r="W12" s="161"/>
      <c r="X12" s="114"/>
      <c r="Y12" s="114"/>
      <c r="Z12" s="16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4"/>
      <c r="AB12" s="11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4"/>
      <c r="B13" s="114"/>
      <c r="C13" s="161"/>
      <c r="D13" s="161"/>
      <c r="E13" s="114"/>
      <c r="F13" s="114"/>
      <c r="G13" s="162" t="str">
        <f aca="false">IF(OR(E13="",F13=""),"",IF(AND(E13&lt;=2,F13&lt;=2),"TRIGGER","OK"))</f>
        <v/>
      </c>
      <c r="H13" s="114"/>
      <c r="I13" s="114"/>
      <c r="J13" s="162" t="str">
        <f aca="false">IF(OR(H13="",I13=""),"",IF(AND(H13&lt;=2,I13&lt;=2),"TRIGGER","OK"))</f>
        <v/>
      </c>
      <c r="K13" s="114"/>
      <c r="L13" s="114"/>
      <c r="M13" s="162" t="str">
        <f aca="false">IF(OR(K13="",L13=""),"",IF(AND(K13&lt;=2,L13&lt;=2),"TRIGGER","OK"))</f>
        <v/>
      </c>
      <c r="N13" s="114"/>
      <c r="O13" s="114"/>
      <c r="P13" s="162" t="str">
        <f aca="false">IF(OR(N13="",O13=""),"",IF(AND(N13&lt;=2,O13&lt;=2),"TRIGGER","OK"))</f>
        <v/>
      </c>
      <c r="Q13" s="114"/>
      <c r="R13" s="114"/>
      <c r="S13" s="162" t="str">
        <f aca="false">IF(OR(Q13="",R13=""),"",IF(AND(Q13&lt;=2,R13&lt;=2),"TRIGGER","OK"))</f>
        <v/>
      </c>
      <c r="T13" s="163"/>
      <c r="U13" s="163"/>
      <c r="V13" s="161"/>
      <c r="W13" s="161"/>
      <c r="X13" s="114"/>
      <c r="Y13" s="114"/>
      <c r="Z13" s="16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4"/>
      <c r="AB13" s="11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4"/>
      <c r="B14" s="114"/>
      <c r="C14" s="161"/>
      <c r="D14" s="161"/>
      <c r="E14" s="114"/>
      <c r="F14" s="114"/>
      <c r="G14" s="162" t="str">
        <f aca="false">IF(OR(E14="",F14=""),"",IF(AND(E14&lt;=2,F14&lt;=2),"TRIGGER","OK"))</f>
        <v/>
      </c>
      <c r="H14" s="114"/>
      <c r="I14" s="114"/>
      <c r="J14" s="162" t="str">
        <f aca="false">IF(OR(H14="",I14=""),"",IF(AND(H14&lt;=2,I14&lt;=2),"TRIGGER","OK"))</f>
        <v/>
      </c>
      <c r="K14" s="114"/>
      <c r="L14" s="114"/>
      <c r="M14" s="162" t="str">
        <f aca="false">IF(OR(K14="",L14=""),"",IF(AND(K14&lt;=2,L14&lt;=2),"TRIGGER","OK"))</f>
        <v/>
      </c>
      <c r="N14" s="114"/>
      <c r="O14" s="114"/>
      <c r="P14" s="162" t="str">
        <f aca="false">IF(OR(N14="",O14=""),"",IF(AND(N14&lt;=2,O14&lt;=2),"TRIGGER","OK"))</f>
        <v/>
      </c>
      <c r="Q14" s="114"/>
      <c r="R14" s="114"/>
      <c r="S14" s="162" t="str">
        <f aca="false">IF(OR(Q14="",R14=""),"",IF(AND(Q14&lt;=2,R14&lt;=2),"TRIGGER","OK"))</f>
        <v/>
      </c>
      <c r="T14" s="163"/>
      <c r="U14" s="163"/>
      <c r="V14" s="161"/>
      <c r="W14" s="161"/>
      <c r="X14" s="114"/>
      <c r="Y14" s="114"/>
      <c r="Z14" s="16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4"/>
      <c r="AB14" s="11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4"/>
      <c r="B15" s="114"/>
      <c r="C15" s="161"/>
      <c r="D15" s="161"/>
      <c r="E15" s="114"/>
      <c r="F15" s="114"/>
      <c r="G15" s="162" t="str">
        <f aca="false">IF(OR(E15="",F15=""),"",IF(AND(E15&lt;=2,F15&lt;=2),"TRIGGER","OK"))</f>
        <v/>
      </c>
      <c r="H15" s="114"/>
      <c r="I15" s="114"/>
      <c r="J15" s="162" t="str">
        <f aca="false">IF(OR(H15="",I15=""),"",IF(AND(H15&lt;=2,I15&lt;=2),"TRIGGER","OK"))</f>
        <v/>
      </c>
      <c r="K15" s="114"/>
      <c r="L15" s="114"/>
      <c r="M15" s="162" t="str">
        <f aca="false">IF(OR(K15="",L15=""),"",IF(AND(K15&lt;=2,L15&lt;=2),"TRIGGER","OK"))</f>
        <v/>
      </c>
      <c r="N15" s="114"/>
      <c r="O15" s="114"/>
      <c r="P15" s="162" t="str">
        <f aca="false">IF(OR(N15="",O15=""),"",IF(AND(N15&lt;=2,O15&lt;=2),"TRIGGER","OK"))</f>
        <v/>
      </c>
      <c r="Q15" s="114"/>
      <c r="R15" s="114"/>
      <c r="S15" s="162" t="str">
        <f aca="false">IF(OR(Q15="",R15=""),"",IF(AND(Q15&lt;=2,R15&lt;=2),"TRIGGER","OK"))</f>
        <v/>
      </c>
      <c r="T15" s="163"/>
      <c r="U15" s="163"/>
      <c r="V15" s="161"/>
      <c r="W15" s="161"/>
      <c r="X15" s="114"/>
      <c r="Y15" s="114"/>
      <c r="Z15" s="16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4"/>
      <c r="AB15" s="11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4"/>
      <c r="B16" s="114"/>
      <c r="C16" s="161"/>
      <c r="D16" s="161"/>
      <c r="E16" s="114"/>
      <c r="F16" s="114"/>
      <c r="G16" s="162" t="str">
        <f aca="false">IF(OR(E16="",F16=""),"",IF(AND(E16&lt;=2,F16&lt;=2),"TRIGGER","OK"))</f>
        <v/>
      </c>
      <c r="H16" s="114"/>
      <c r="I16" s="114"/>
      <c r="J16" s="162" t="str">
        <f aca="false">IF(OR(H16="",I16=""),"",IF(AND(H16&lt;=2,I16&lt;=2),"TRIGGER","OK"))</f>
        <v/>
      </c>
      <c r="K16" s="114"/>
      <c r="L16" s="114"/>
      <c r="M16" s="162" t="str">
        <f aca="false">IF(OR(K16="",L16=""),"",IF(AND(K16&lt;=2,L16&lt;=2),"TRIGGER","OK"))</f>
        <v/>
      </c>
      <c r="N16" s="114"/>
      <c r="O16" s="114"/>
      <c r="P16" s="162" t="str">
        <f aca="false">IF(OR(N16="",O16=""),"",IF(AND(N16&lt;=2,O16&lt;=2),"TRIGGER","OK"))</f>
        <v/>
      </c>
      <c r="Q16" s="114"/>
      <c r="R16" s="114"/>
      <c r="S16" s="162" t="str">
        <f aca="false">IF(OR(Q16="",R16=""),"",IF(AND(Q16&lt;=2,R16&lt;=2),"TRIGGER","OK"))</f>
        <v/>
      </c>
      <c r="T16" s="163"/>
      <c r="U16" s="163"/>
      <c r="V16" s="161"/>
      <c r="W16" s="161"/>
      <c r="X16" s="114"/>
      <c r="Y16" s="114"/>
      <c r="Z16" s="16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4"/>
      <c r="AB16" s="11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4"/>
      <c r="B17" s="114"/>
      <c r="C17" s="161"/>
      <c r="D17" s="161"/>
      <c r="E17" s="114"/>
      <c r="F17" s="114"/>
      <c r="G17" s="162" t="str">
        <f aca="false">IF(OR(E17="",F17=""),"",IF(AND(E17&lt;=2,F17&lt;=2),"TRIGGER","OK"))</f>
        <v/>
      </c>
      <c r="H17" s="114"/>
      <c r="I17" s="114"/>
      <c r="J17" s="162" t="str">
        <f aca="false">IF(OR(H17="",I17=""),"",IF(AND(H17&lt;=2,I17&lt;=2),"TRIGGER","OK"))</f>
        <v/>
      </c>
      <c r="K17" s="114"/>
      <c r="L17" s="114"/>
      <c r="M17" s="162" t="str">
        <f aca="false">IF(OR(K17="",L17=""),"",IF(AND(K17&lt;=2,L17&lt;=2),"TRIGGER","OK"))</f>
        <v/>
      </c>
      <c r="N17" s="114"/>
      <c r="O17" s="114"/>
      <c r="P17" s="162" t="str">
        <f aca="false">IF(OR(N17="",O17=""),"",IF(AND(N17&lt;=2,O17&lt;=2),"TRIGGER","OK"))</f>
        <v/>
      </c>
      <c r="Q17" s="114"/>
      <c r="R17" s="114"/>
      <c r="S17" s="162" t="str">
        <f aca="false">IF(OR(Q17="",R17=""),"",IF(AND(Q17&lt;=2,R17&lt;=2),"TRIGGER","OK"))</f>
        <v/>
      </c>
      <c r="T17" s="163"/>
      <c r="U17" s="163"/>
      <c r="V17" s="161"/>
      <c r="W17" s="161"/>
      <c r="X17" s="114"/>
      <c r="Y17" s="114"/>
      <c r="Z17" s="16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4"/>
      <c r="AB17" s="11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4"/>
      <c r="B18" s="114"/>
      <c r="C18" s="161"/>
      <c r="D18" s="161"/>
      <c r="E18" s="114"/>
      <c r="F18" s="114"/>
      <c r="G18" s="162" t="str">
        <f aca="false">IF(OR(E18="",F18=""),"",IF(AND(E18&lt;=2,F18&lt;=2),"TRIGGER","OK"))</f>
        <v/>
      </c>
      <c r="H18" s="114"/>
      <c r="I18" s="114"/>
      <c r="J18" s="162" t="str">
        <f aca="false">IF(OR(H18="",I18=""),"",IF(AND(H18&lt;=2,I18&lt;=2),"TRIGGER","OK"))</f>
        <v/>
      </c>
      <c r="K18" s="114"/>
      <c r="L18" s="114"/>
      <c r="M18" s="162" t="str">
        <f aca="false">IF(OR(K18="",L18=""),"",IF(AND(K18&lt;=2,L18&lt;=2),"TRIGGER","OK"))</f>
        <v/>
      </c>
      <c r="N18" s="114"/>
      <c r="O18" s="114"/>
      <c r="P18" s="162" t="str">
        <f aca="false">IF(OR(N18="",O18=""),"",IF(AND(N18&lt;=2,O18&lt;=2),"TRIGGER","OK"))</f>
        <v/>
      </c>
      <c r="Q18" s="114"/>
      <c r="R18" s="114"/>
      <c r="S18" s="162" t="str">
        <f aca="false">IF(OR(Q18="",R18=""),"",IF(AND(Q18&lt;=2,R18&lt;=2),"TRIGGER","OK"))</f>
        <v/>
      </c>
      <c r="T18" s="163"/>
      <c r="U18" s="163"/>
      <c r="V18" s="161"/>
      <c r="W18" s="161"/>
      <c r="X18" s="114"/>
      <c r="Y18" s="114"/>
      <c r="Z18" s="16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4"/>
      <c r="AB18" s="11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4"/>
      <c r="B19" s="114"/>
      <c r="C19" s="161"/>
      <c r="D19" s="161"/>
      <c r="E19" s="114"/>
      <c r="F19" s="114"/>
      <c r="G19" s="162" t="str">
        <f aca="false">IF(OR(E19="",F19=""),"",IF(AND(E19&lt;=2,F19&lt;=2),"TRIGGER","OK"))</f>
        <v/>
      </c>
      <c r="H19" s="114"/>
      <c r="I19" s="114"/>
      <c r="J19" s="162" t="str">
        <f aca="false">IF(OR(H19="",I19=""),"",IF(AND(H19&lt;=2,I19&lt;=2),"TRIGGER","OK"))</f>
        <v/>
      </c>
      <c r="K19" s="114"/>
      <c r="L19" s="114"/>
      <c r="M19" s="162" t="str">
        <f aca="false">IF(OR(K19="",L19=""),"",IF(AND(K19&lt;=2,L19&lt;=2),"TRIGGER","OK"))</f>
        <v/>
      </c>
      <c r="N19" s="114"/>
      <c r="O19" s="114"/>
      <c r="P19" s="162" t="str">
        <f aca="false">IF(OR(N19="",O19=""),"",IF(AND(N19&lt;=2,O19&lt;=2),"TRIGGER","OK"))</f>
        <v/>
      </c>
      <c r="Q19" s="114"/>
      <c r="R19" s="114"/>
      <c r="S19" s="162" t="str">
        <f aca="false">IF(OR(Q19="",R19=""),"",IF(AND(Q19&lt;=2,R19&lt;=2),"TRIGGER","OK"))</f>
        <v/>
      </c>
      <c r="T19" s="163"/>
      <c r="U19" s="163"/>
      <c r="V19" s="161"/>
      <c r="W19" s="161"/>
      <c r="X19" s="114"/>
      <c r="Y19" s="114"/>
      <c r="Z19" s="16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4"/>
      <c r="AB19" s="11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4"/>
      <c r="B20" s="114"/>
      <c r="C20" s="161"/>
      <c r="D20" s="161"/>
      <c r="E20" s="114"/>
      <c r="F20" s="114"/>
      <c r="G20" s="162" t="str">
        <f aca="false">IF(OR(E20="",F20=""),"",IF(AND(E20&lt;=2,F20&lt;=2),"TRIGGER","OK"))</f>
        <v/>
      </c>
      <c r="H20" s="114"/>
      <c r="I20" s="114"/>
      <c r="J20" s="162" t="str">
        <f aca="false">IF(OR(H20="",I20=""),"",IF(AND(H20&lt;=2,I20&lt;=2),"TRIGGER","OK"))</f>
        <v/>
      </c>
      <c r="K20" s="114"/>
      <c r="L20" s="114"/>
      <c r="M20" s="162" t="str">
        <f aca="false">IF(OR(K20="",L20=""),"",IF(AND(K20&lt;=2,L20&lt;=2),"TRIGGER","OK"))</f>
        <v/>
      </c>
      <c r="N20" s="114"/>
      <c r="O20" s="114"/>
      <c r="P20" s="162" t="str">
        <f aca="false">IF(OR(N20="",O20=""),"",IF(AND(N20&lt;=2,O20&lt;=2),"TRIGGER","OK"))</f>
        <v/>
      </c>
      <c r="Q20" s="114"/>
      <c r="R20" s="114"/>
      <c r="S20" s="162" t="str">
        <f aca="false">IF(OR(Q20="",R20=""),"",IF(AND(Q20&lt;=2,R20&lt;=2),"TRIGGER","OK"))</f>
        <v/>
      </c>
      <c r="T20" s="163"/>
      <c r="U20" s="163"/>
      <c r="V20" s="161"/>
      <c r="W20" s="161"/>
      <c r="X20" s="114"/>
      <c r="Y20" s="114"/>
      <c r="Z20" s="16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4"/>
      <c r="AB20" s="11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4"/>
      <c r="B21" s="114"/>
      <c r="C21" s="161"/>
      <c r="D21" s="161"/>
      <c r="E21" s="114"/>
      <c r="F21" s="114"/>
      <c r="G21" s="162" t="str">
        <f aca="false">IF(OR(E21="",F21=""),"",IF(AND(E21&lt;=2,F21&lt;=2),"TRIGGER","OK"))</f>
        <v/>
      </c>
      <c r="H21" s="114"/>
      <c r="I21" s="114"/>
      <c r="J21" s="162" t="str">
        <f aca="false">IF(OR(H21="",I21=""),"",IF(AND(H21&lt;=2,I21&lt;=2),"TRIGGER","OK"))</f>
        <v/>
      </c>
      <c r="K21" s="114"/>
      <c r="L21" s="114"/>
      <c r="M21" s="162" t="str">
        <f aca="false">IF(OR(K21="",L21=""),"",IF(AND(K21&lt;=2,L21&lt;=2),"TRIGGER","OK"))</f>
        <v/>
      </c>
      <c r="N21" s="114"/>
      <c r="O21" s="114"/>
      <c r="P21" s="162" t="str">
        <f aca="false">IF(OR(N21="",O21=""),"",IF(AND(N21&lt;=2,O21&lt;=2),"TRIGGER","OK"))</f>
        <v/>
      </c>
      <c r="Q21" s="114"/>
      <c r="R21" s="114"/>
      <c r="S21" s="162" t="str">
        <f aca="false">IF(OR(Q21="",R21=""),"",IF(AND(Q21&lt;=2,R21&lt;=2),"TRIGGER","OK"))</f>
        <v/>
      </c>
      <c r="T21" s="163"/>
      <c r="U21" s="163"/>
      <c r="V21" s="161"/>
      <c r="W21" s="161"/>
      <c r="X21" s="114"/>
      <c r="Y21" s="114"/>
      <c r="Z21" s="16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4"/>
      <c r="AB21" s="11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4"/>
      <c r="B22" s="114"/>
      <c r="C22" s="161"/>
      <c r="D22" s="161"/>
      <c r="E22" s="114"/>
      <c r="F22" s="114"/>
      <c r="G22" s="162" t="str">
        <f aca="false">IF(OR(E22="",F22=""),"",IF(AND(E22&lt;=2,F22&lt;=2),"TRIGGER","OK"))</f>
        <v/>
      </c>
      <c r="H22" s="114"/>
      <c r="I22" s="114"/>
      <c r="J22" s="162" t="str">
        <f aca="false">IF(OR(H22="",I22=""),"",IF(AND(H22&lt;=2,I22&lt;=2),"TRIGGER","OK"))</f>
        <v/>
      </c>
      <c r="K22" s="114"/>
      <c r="L22" s="114"/>
      <c r="M22" s="162" t="str">
        <f aca="false">IF(OR(K22="",L22=""),"",IF(AND(K22&lt;=2,L22&lt;=2),"TRIGGER","OK"))</f>
        <v/>
      </c>
      <c r="N22" s="114"/>
      <c r="O22" s="114"/>
      <c r="P22" s="162" t="str">
        <f aca="false">IF(OR(N22="",O22=""),"",IF(AND(N22&lt;=2,O22&lt;=2),"TRIGGER","OK"))</f>
        <v/>
      </c>
      <c r="Q22" s="114"/>
      <c r="R22" s="114"/>
      <c r="S22" s="162" t="str">
        <f aca="false">IF(OR(Q22="",R22=""),"",IF(AND(Q22&lt;=2,R22&lt;=2),"TRIGGER","OK"))</f>
        <v/>
      </c>
      <c r="T22" s="163"/>
      <c r="U22" s="163"/>
      <c r="V22" s="161"/>
      <c r="W22" s="161"/>
      <c r="X22" s="114"/>
      <c r="Y22" s="114"/>
      <c r="Z22" s="16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4"/>
      <c r="AB22" s="11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4"/>
      <c r="B23" s="114"/>
      <c r="C23" s="161"/>
      <c r="D23" s="161"/>
      <c r="E23" s="114"/>
      <c r="F23" s="114"/>
      <c r="G23" s="162" t="str">
        <f aca="false">IF(OR(E23="",F23=""),"",IF(AND(E23&lt;=2,F23&lt;=2),"TRIGGER","OK"))</f>
        <v/>
      </c>
      <c r="H23" s="114"/>
      <c r="I23" s="114"/>
      <c r="J23" s="162" t="str">
        <f aca="false">IF(OR(H23="",I23=""),"",IF(AND(H23&lt;=2,I23&lt;=2),"TRIGGER","OK"))</f>
        <v/>
      </c>
      <c r="K23" s="114"/>
      <c r="L23" s="114"/>
      <c r="M23" s="162" t="str">
        <f aca="false">IF(OR(K23="",L23=""),"",IF(AND(K23&lt;=2,L23&lt;=2),"TRIGGER","OK"))</f>
        <v/>
      </c>
      <c r="N23" s="114"/>
      <c r="O23" s="114"/>
      <c r="P23" s="162" t="str">
        <f aca="false">IF(OR(N23="",O23=""),"",IF(AND(N23&lt;=2,O23&lt;=2),"TRIGGER","OK"))</f>
        <v/>
      </c>
      <c r="Q23" s="114"/>
      <c r="R23" s="114"/>
      <c r="S23" s="162" t="str">
        <f aca="false">IF(OR(Q23="",R23=""),"",IF(AND(Q23&lt;=2,R23&lt;=2),"TRIGGER","OK"))</f>
        <v/>
      </c>
      <c r="T23" s="163"/>
      <c r="U23" s="163"/>
      <c r="V23" s="161"/>
      <c r="W23" s="161"/>
      <c r="X23" s="114"/>
      <c r="Y23" s="114"/>
      <c r="Z23" s="16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4"/>
      <c r="AB23" s="11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8">
      <formula>ISNUMBER(SEARCH("OK",AB4))</formula>
    </cfRule>
    <cfRule type="expression" priority="15" aboveAverage="0" equalAverage="0" bottom="0" percent="0" rank="0" text="" dxfId="20">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8" t="s">
        <v>489</v>
      </c>
      <c r="B1" s="148"/>
      <c r="C1" s="148"/>
      <c r="D1" s="148"/>
      <c r="E1" s="148"/>
      <c r="F1" s="148"/>
      <c r="G1" s="148"/>
      <c r="H1" s="148"/>
      <c r="I1" s="148"/>
      <c r="J1" s="148"/>
      <c r="K1" s="148"/>
      <c r="L1" s="148"/>
      <c r="M1" s="148"/>
      <c r="N1" s="148"/>
      <c r="O1" s="148"/>
      <c r="P1" s="148"/>
      <c r="Q1" s="148"/>
    </row>
    <row r="2" customFormat="false" ht="42.75" hidden="false" customHeight="true" outlineLevel="0" collapsed="false">
      <c r="A2" s="20" t="s">
        <v>76</v>
      </c>
      <c r="B2" s="20" t="s">
        <v>251</v>
      </c>
      <c r="C2" s="20" t="s">
        <v>490</v>
      </c>
      <c r="D2" s="20" t="s">
        <v>491</v>
      </c>
      <c r="E2" s="20" t="s">
        <v>440</v>
      </c>
      <c r="F2" s="20" t="s">
        <v>492</v>
      </c>
      <c r="G2" s="20" t="s">
        <v>493</v>
      </c>
      <c r="H2" s="20" t="s">
        <v>494</v>
      </c>
      <c r="I2" s="20" t="s">
        <v>495</v>
      </c>
      <c r="J2" s="20" t="s">
        <v>496</v>
      </c>
      <c r="K2" s="20" t="s">
        <v>497</v>
      </c>
      <c r="L2" s="20" t="s">
        <v>498</v>
      </c>
      <c r="M2" s="20" t="s">
        <v>499</v>
      </c>
      <c r="N2" s="20" t="s">
        <v>500</v>
      </c>
      <c r="O2" s="20" t="s">
        <v>501</v>
      </c>
      <c r="P2" s="20" t="s">
        <v>502</v>
      </c>
      <c r="Q2" s="20" t="s">
        <v>503</v>
      </c>
    </row>
    <row r="3" customFormat="false" ht="15" hidden="false" customHeight="true" outlineLevel="0" collapsed="false">
      <c r="A3" s="164" t="s">
        <v>90</v>
      </c>
      <c r="B3" s="114" t="s">
        <v>91</v>
      </c>
      <c r="C3" s="165" t="n">
        <v>46241</v>
      </c>
      <c r="D3" s="166" t="n">
        <v>266.38</v>
      </c>
      <c r="E3" s="114" t="n">
        <v>85.8</v>
      </c>
      <c r="F3" s="114" t="s">
        <v>300</v>
      </c>
      <c r="G3" s="114" t="s">
        <v>504</v>
      </c>
      <c r="H3" s="166" t="n">
        <v>773.26</v>
      </c>
      <c r="I3" s="114" t="s">
        <v>505</v>
      </c>
      <c r="J3" s="165"/>
      <c r="K3" s="166"/>
      <c r="L3" s="114"/>
      <c r="M3" s="166" t="n">
        <v>259.32</v>
      </c>
      <c r="N3" s="166" t="n">
        <v>765.04</v>
      </c>
      <c r="O3" s="167" t="n">
        <f aca="false">IF(OR(D3="",M3=""),"",M3/D3-1)</f>
        <v>-0.026503491253097</v>
      </c>
      <c r="P3" s="168" t="n">
        <f aca="false">IF(OR(H3="",N3=""),"",N3/H3-1)</f>
        <v>-0.0106303183922614</v>
      </c>
      <c r="Q3" s="167" t="n">
        <f aca="false">IF(OR(O3="",P3=""),"",O3-P3)</f>
        <v>-0.0158731728608357</v>
      </c>
    </row>
    <row r="4" customFormat="false" ht="15" hidden="false" customHeight="true" outlineLevel="0" collapsed="false">
      <c r="A4" s="164" t="s">
        <v>137</v>
      </c>
      <c r="B4" s="114" t="s">
        <v>138</v>
      </c>
      <c r="C4" s="165" t="n">
        <v>46241</v>
      </c>
      <c r="D4" s="166" t="n">
        <v>488.77</v>
      </c>
      <c r="E4" s="114" t="n">
        <v>75.6</v>
      </c>
      <c r="F4" s="114" t="s">
        <v>300</v>
      </c>
      <c r="G4" s="114" t="s">
        <v>506</v>
      </c>
      <c r="H4" s="166" t="n">
        <v>773.26</v>
      </c>
      <c r="I4" s="114" t="s">
        <v>505</v>
      </c>
      <c r="J4" s="165"/>
      <c r="K4" s="166"/>
      <c r="L4" s="114"/>
      <c r="M4" s="166" t="n">
        <v>478.7</v>
      </c>
      <c r="N4" s="166" t="n">
        <v>765.04</v>
      </c>
      <c r="O4" s="167" t="n">
        <f aca="false">IF(OR(D4="",M4=""),"",M4/D4-1)</f>
        <v>-0.0206027374838881</v>
      </c>
      <c r="P4" s="168" t="n">
        <f aca="false">IF(OR(H4="",N4=""),"",N4/H4-1)</f>
        <v>-0.0106303183922614</v>
      </c>
      <c r="Q4" s="167" t="n">
        <f aca="false">IF(OR(O4="",P4=""),"",O4-P4)</f>
        <v>-0.00997241909162672</v>
      </c>
    </row>
    <row r="5" customFormat="false" ht="15" hidden="false" customHeight="true" outlineLevel="0" collapsed="false">
      <c r="A5" s="164" t="s">
        <v>144</v>
      </c>
      <c r="B5" s="114" t="s">
        <v>308</v>
      </c>
      <c r="C5" s="165" t="n">
        <v>46241</v>
      </c>
      <c r="D5" s="166" t="n">
        <v>139.92</v>
      </c>
      <c r="E5" s="114" t="n">
        <v>82</v>
      </c>
      <c r="F5" s="114" t="s">
        <v>300</v>
      </c>
      <c r="G5" s="114" t="s">
        <v>504</v>
      </c>
      <c r="H5" s="166" t="n">
        <v>773.26</v>
      </c>
      <c r="I5" s="114" t="s">
        <v>505</v>
      </c>
      <c r="J5" s="165"/>
      <c r="K5" s="166"/>
      <c r="L5" s="114"/>
      <c r="M5" s="166" t="n">
        <v>139.06</v>
      </c>
      <c r="N5" s="166" t="n">
        <v>765.04</v>
      </c>
      <c r="O5" s="167" t="n">
        <f aca="false">IF(OR(D5="",M5=""),"",M5/D5-1)</f>
        <v>-0.00614636935391644</v>
      </c>
      <c r="P5" s="168" t="n">
        <f aca="false">IF(OR(H5="",N5=""),"",N5/H5-1)</f>
        <v>-0.0106303183922614</v>
      </c>
      <c r="Q5" s="167" t="n">
        <f aca="false">IF(OR(O5="",P5=""),"",O5-P5)</f>
        <v>0.00448394903834493</v>
      </c>
    </row>
    <row r="6" customFormat="false" ht="15" hidden="false" customHeight="true" outlineLevel="0" collapsed="false">
      <c r="A6" s="164"/>
      <c r="B6" s="114"/>
      <c r="C6" s="165"/>
      <c r="D6" s="166"/>
      <c r="E6" s="114"/>
      <c r="F6" s="114"/>
      <c r="G6" s="114"/>
      <c r="H6" s="166"/>
      <c r="I6" s="114"/>
      <c r="J6" s="165"/>
      <c r="K6" s="166"/>
      <c r="L6" s="114"/>
      <c r="M6" s="166"/>
      <c r="N6" s="166"/>
      <c r="O6" s="167" t="str">
        <f aca="false">IF(OR(D6="",M6=""),"",M6/D6-1)</f>
        <v/>
      </c>
      <c r="P6" s="168" t="str">
        <f aca="false">IF(OR(H6="",N6=""),"",N6/H6-1)</f>
        <v/>
      </c>
      <c r="Q6" s="167" t="str">
        <f aca="false">IF(OR(O6="",P6=""),"",O6-P6)</f>
        <v/>
      </c>
    </row>
    <row r="7" customFormat="false" ht="15" hidden="false" customHeight="true" outlineLevel="0" collapsed="false">
      <c r="A7" s="164"/>
      <c r="B7" s="114"/>
      <c r="C7" s="165"/>
      <c r="D7" s="166"/>
      <c r="E7" s="114"/>
      <c r="F7" s="114"/>
      <c r="G7" s="114"/>
      <c r="H7" s="166"/>
      <c r="I7" s="114"/>
      <c r="J7" s="165"/>
      <c r="K7" s="166"/>
      <c r="L7" s="114"/>
      <c r="M7" s="166"/>
      <c r="N7" s="166"/>
      <c r="O7" s="167" t="str">
        <f aca="false">IF(OR(D7="",M7=""),"",M7/D7-1)</f>
        <v/>
      </c>
      <c r="P7" s="168" t="str">
        <f aca="false">IF(OR(H7="",N7=""),"",N7/H7-1)</f>
        <v/>
      </c>
      <c r="Q7" s="167" t="str">
        <f aca="false">IF(OR(O7="",P7=""),"",O7-P7)</f>
        <v/>
      </c>
    </row>
    <row r="8" customFormat="false" ht="15" hidden="false" customHeight="true" outlineLevel="0" collapsed="false">
      <c r="A8" s="164"/>
      <c r="B8" s="114"/>
      <c r="C8" s="165"/>
      <c r="D8" s="166"/>
      <c r="E8" s="114"/>
      <c r="F8" s="114"/>
      <c r="G8" s="114"/>
      <c r="H8" s="166"/>
      <c r="I8" s="114"/>
      <c r="J8" s="165"/>
      <c r="K8" s="166"/>
      <c r="L8" s="114"/>
      <c r="M8" s="166"/>
      <c r="N8" s="166"/>
      <c r="O8" s="167" t="str">
        <f aca="false">IF(OR(D8="",M8=""),"",M8/D8-1)</f>
        <v/>
      </c>
      <c r="P8" s="168" t="str">
        <f aca="false">IF(OR(H8="",N8=""),"",N8/H8-1)</f>
        <v/>
      </c>
      <c r="Q8" s="167" t="str">
        <f aca="false">IF(OR(O8="",P8=""),"",O8-P8)</f>
        <v/>
      </c>
    </row>
    <row r="9" customFormat="false" ht="15" hidden="false" customHeight="true" outlineLevel="0" collapsed="false">
      <c r="A9" s="164"/>
      <c r="B9" s="114"/>
      <c r="C9" s="165"/>
      <c r="D9" s="166"/>
      <c r="E9" s="114"/>
      <c r="F9" s="114"/>
      <c r="G9" s="114"/>
      <c r="H9" s="166"/>
      <c r="I9" s="114"/>
      <c r="J9" s="165"/>
      <c r="K9" s="166"/>
      <c r="L9" s="114"/>
      <c r="M9" s="166"/>
      <c r="N9" s="166"/>
      <c r="O9" s="167" t="str">
        <f aca="false">IF(OR(D9="",M9=""),"",M9/D9-1)</f>
        <v/>
      </c>
      <c r="P9" s="168" t="str">
        <f aca="false">IF(OR(H9="",N9=""),"",N9/H9-1)</f>
        <v/>
      </c>
      <c r="Q9" s="167" t="str">
        <f aca="false">IF(OR(O9="",P9=""),"",O9-P9)</f>
        <v/>
      </c>
    </row>
    <row r="10" customFormat="false" ht="15" hidden="false" customHeight="true" outlineLevel="0" collapsed="false">
      <c r="A10" s="164"/>
      <c r="B10" s="114"/>
      <c r="C10" s="165"/>
      <c r="D10" s="166"/>
      <c r="E10" s="114"/>
      <c r="F10" s="114"/>
      <c r="G10" s="114"/>
      <c r="H10" s="166"/>
      <c r="I10" s="114"/>
      <c r="J10" s="165"/>
      <c r="K10" s="166"/>
      <c r="L10" s="114"/>
      <c r="M10" s="166"/>
      <c r="N10" s="166"/>
      <c r="O10" s="167" t="str">
        <f aca="false">IF(OR(D10="",M10=""),"",M10/D10-1)</f>
        <v/>
      </c>
      <c r="P10" s="168" t="str">
        <f aca="false">IF(OR(H10="",N10=""),"",N10/H10-1)</f>
        <v/>
      </c>
      <c r="Q10" s="167" t="str">
        <f aca="false">IF(OR(O10="",P10=""),"",O10-P10)</f>
        <v/>
      </c>
    </row>
    <row r="11" customFormat="false" ht="15" hidden="false" customHeight="true" outlineLevel="0" collapsed="false">
      <c r="A11" s="164"/>
      <c r="B11" s="114"/>
      <c r="C11" s="165"/>
      <c r="D11" s="166"/>
      <c r="E11" s="114"/>
      <c r="F11" s="114"/>
      <c r="G11" s="114"/>
      <c r="H11" s="166"/>
      <c r="I11" s="114"/>
      <c r="J11" s="165"/>
      <c r="K11" s="166"/>
      <c r="L11" s="114"/>
      <c r="M11" s="166"/>
      <c r="N11" s="166"/>
      <c r="O11" s="167" t="str">
        <f aca="false">IF(OR(D11="",M11=""),"",M11/D11-1)</f>
        <v/>
      </c>
      <c r="P11" s="168" t="str">
        <f aca="false">IF(OR(H11="",N11=""),"",N11/H11-1)</f>
        <v/>
      </c>
      <c r="Q11" s="167" t="str">
        <f aca="false">IF(OR(O11="",P11=""),"",O11-P11)</f>
        <v/>
      </c>
    </row>
    <row r="12" customFormat="false" ht="15" hidden="false" customHeight="true" outlineLevel="0" collapsed="false">
      <c r="A12" s="164"/>
      <c r="B12" s="114"/>
      <c r="C12" s="165"/>
      <c r="D12" s="166"/>
      <c r="E12" s="114"/>
      <c r="F12" s="114"/>
      <c r="G12" s="114"/>
      <c r="H12" s="166"/>
      <c r="I12" s="114"/>
      <c r="J12" s="165"/>
      <c r="K12" s="166"/>
      <c r="L12" s="114"/>
      <c r="M12" s="166"/>
      <c r="N12" s="166"/>
      <c r="O12" s="167" t="str">
        <f aca="false">IF(OR(D12="",M12=""),"",M12/D12-1)</f>
        <v/>
      </c>
      <c r="P12" s="168" t="str">
        <f aca="false">IF(OR(H12="",N12=""),"",N12/H12-1)</f>
        <v/>
      </c>
      <c r="Q12" s="167" t="str">
        <f aca="false">IF(OR(O12="",P12=""),"",O12-P12)</f>
        <v/>
      </c>
    </row>
    <row r="13" customFormat="false" ht="15" hidden="false" customHeight="true" outlineLevel="0" collapsed="false">
      <c r="A13" s="164"/>
      <c r="B13" s="114"/>
      <c r="C13" s="165"/>
      <c r="D13" s="166"/>
      <c r="E13" s="114"/>
      <c r="F13" s="114"/>
      <c r="G13" s="114"/>
      <c r="H13" s="166"/>
      <c r="I13" s="114"/>
      <c r="J13" s="165"/>
      <c r="K13" s="166"/>
      <c r="L13" s="114"/>
      <c r="M13" s="166"/>
      <c r="N13" s="166"/>
      <c r="O13" s="167" t="str">
        <f aca="false">IF(OR(D13="",M13=""),"",M13/D13-1)</f>
        <v/>
      </c>
      <c r="P13" s="168" t="str">
        <f aca="false">IF(OR(H13="",N13=""),"",N13/H13-1)</f>
        <v/>
      </c>
      <c r="Q13" s="167" t="str">
        <f aca="false">IF(OR(O13="",P13=""),"",O13-P13)</f>
        <v/>
      </c>
    </row>
    <row r="14" customFormat="false" ht="15" hidden="false" customHeight="true" outlineLevel="0" collapsed="false">
      <c r="A14" s="164"/>
      <c r="B14" s="114"/>
      <c r="C14" s="165"/>
      <c r="D14" s="166"/>
      <c r="E14" s="114"/>
      <c r="F14" s="114"/>
      <c r="G14" s="114"/>
      <c r="H14" s="166"/>
      <c r="I14" s="114"/>
      <c r="J14" s="165"/>
      <c r="K14" s="166"/>
      <c r="L14" s="114"/>
      <c r="M14" s="166"/>
      <c r="N14" s="166"/>
      <c r="O14" s="167" t="str">
        <f aca="false">IF(OR(D14="",M14=""),"",M14/D14-1)</f>
        <v/>
      </c>
      <c r="P14" s="168" t="str">
        <f aca="false">IF(OR(H14="",N14=""),"",N14/H14-1)</f>
        <v/>
      </c>
      <c r="Q14" s="167" t="str">
        <f aca="false">IF(OR(O14="",P14=""),"",O14-P14)</f>
        <v/>
      </c>
    </row>
    <row r="15" customFormat="false" ht="15" hidden="false" customHeight="true" outlineLevel="0" collapsed="false">
      <c r="A15" s="164"/>
      <c r="B15" s="114"/>
      <c r="C15" s="165"/>
      <c r="D15" s="166"/>
      <c r="E15" s="114"/>
      <c r="F15" s="114"/>
      <c r="G15" s="114"/>
      <c r="H15" s="166"/>
      <c r="I15" s="114"/>
      <c r="J15" s="165"/>
      <c r="K15" s="166"/>
      <c r="L15" s="114"/>
      <c r="M15" s="166"/>
      <c r="N15" s="166"/>
      <c r="O15" s="167" t="str">
        <f aca="false">IF(OR(D15="",M15=""),"",M15/D15-1)</f>
        <v/>
      </c>
      <c r="P15" s="168" t="str">
        <f aca="false">IF(OR(H15="",N15=""),"",N15/H15-1)</f>
        <v/>
      </c>
      <c r="Q15" s="167" t="str">
        <f aca="false">IF(OR(O15="",P15=""),"",O15-P15)</f>
        <v/>
      </c>
    </row>
    <row r="16" customFormat="false" ht="15" hidden="false" customHeight="true" outlineLevel="0" collapsed="false">
      <c r="A16" s="164"/>
      <c r="B16" s="114"/>
      <c r="C16" s="165"/>
      <c r="D16" s="166"/>
      <c r="E16" s="114"/>
      <c r="F16" s="114"/>
      <c r="G16" s="114"/>
      <c r="H16" s="166"/>
      <c r="I16" s="114"/>
      <c r="J16" s="165"/>
      <c r="K16" s="166"/>
      <c r="L16" s="114"/>
      <c r="M16" s="166"/>
      <c r="N16" s="166"/>
      <c r="O16" s="167" t="str">
        <f aca="false">IF(OR(D16="",M16=""),"",M16/D16-1)</f>
        <v/>
      </c>
      <c r="P16" s="168" t="str">
        <f aca="false">IF(OR(H16="",N16=""),"",N16/H16-1)</f>
        <v/>
      </c>
      <c r="Q16" s="167" t="str">
        <f aca="false">IF(OR(O16="",P16=""),"",O16-P16)</f>
        <v/>
      </c>
    </row>
    <row r="17" customFormat="false" ht="15" hidden="false" customHeight="true" outlineLevel="0" collapsed="false">
      <c r="A17" s="164"/>
      <c r="B17" s="114"/>
      <c r="C17" s="165"/>
      <c r="D17" s="166"/>
      <c r="E17" s="114"/>
      <c r="F17" s="114"/>
      <c r="G17" s="114"/>
      <c r="H17" s="166"/>
      <c r="I17" s="114"/>
      <c r="J17" s="165"/>
      <c r="K17" s="166"/>
      <c r="L17" s="114"/>
      <c r="M17" s="166"/>
      <c r="N17" s="166"/>
      <c r="O17" s="167" t="str">
        <f aca="false">IF(OR(D17="",M17=""),"",M17/D17-1)</f>
        <v/>
      </c>
      <c r="P17" s="168" t="str">
        <f aca="false">IF(OR(H17="",N17=""),"",N17/H17-1)</f>
        <v/>
      </c>
      <c r="Q17" s="167" t="str">
        <f aca="false">IF(OR(O17="",P17=""),"",O17-P17)</f>
        <v/>
      </c>
    </row>
    <row r="18" customFormat="false" ht="15" hidden="false" customHeight="true" outlineLevel="0" collapsed="false">
      <c r="A18" s="164"/>
      <c r="B18" s="114"/>
      <c r="C18" s="165"/>
      <c r="D18" s="166"/>
      <c r="E18" s="114"/>
      <c r="F18" s="114"/>
      <c r="G18" s="114"/>
      <c r="H18" s="166"/>
      <c r="I18" s="114"/>
      <c r="J18" s="165"/>
      <c r="K18" s="166"/>
      <c r="L18" s="114"/>
      <c r="M18" s="166"/>
      <c r="N18" s="166"/>
      <c r="O18" s="167" t="str">
        <f aca="false">IF(OR(D18="",M18=""),"",M18/D18-1)</f>
        <v/>
      </c>
      <c r="P18" s="168" t="str">
        <f aca="false">IF(OR(H18="",N18=""),"",N18/H18-1)</f>
        <v/>
      </c>
      <c r="Q18" s="167" t="str">
        <f aca="false">IF(OR(O18="",P18=""),"",O18-P18)</f>
        <v/>
      </c>
    </row>
    <row r="19" customFormat="false" ht="15" hidden="false" customHeight="true" outlineLevel="0" collapsed="false">
      <c r="A19" s="164"/>
      <c r="B19" s="114"/>
      <c r="C19" s="165"/>
      <c r="D19" s="166"/>
      <c r="E19" s="114"/>
      <c r="F19" s="114"/>
      <c r="G19" s="114"/>
      <c r="H19" s="166"/>
      <c r="I19" s="114"/>
      <c r="J19" s="165"/>
      <c r="K19" s="166"/>
      <c r="L19" s="114"/>
      <c r="M19" s="166"/>
      <c r="N19" s="166"/>
      <c r="O19" s="167" t="str">
        <f aca="false">IF(OR(D19="",M19=""),"",M19/D19-1)</f>
        <v/>
      </c>
      <c r="P19" s="168" t="str">
        <f aca="false">IF(OR(H19="",N19=""),"",N19/H19-1)</f>
        <v/>
      </c>
      <c r="Q19" s="167" t="str">
        <f aca="false">IF(OR(O19="",P19=""),"",O19-P19)</f>
        <v/>
      </c>
    </row>
    <row r="20" customFormat="false" ht="15" hidden="false" customHeight="true" outlineLevel="0" collapsed="false">
      <c r="A20" s="164"/>
      <c r="B20" s="114"/>
      <c r="C20" s="165"/>
      <c r="D20" s="166"/>
      <c r="E20" s="114"/>
      <c r="F20" s="114"/>
      <c r="G20" s="114"/>
      <c r="H20" s="166"/>
      <c r="I20" s="114"/>
      <c r="J20" s="165"/>
      <c r="K20" s="166"/>
      <c r="L20" s="114"/>
      <c r="M20" s="166"/>
      <c r="N20" s="166"/>
      <c r="O20" s="167" t="str">
        <f aca="false">IF(OR(D20="",M20=""),"",M20/D20-1)</f>
        <v/>
      </c>
      <c r="P20" s="168" t="str">
        <f aca="false">IF(OR(H20="",N20=""),"",N20/H20-1)</f>
        <v/>
      </c>
      <c r="Q20" s="167" t="str">
        <f aca="false">IF(OR(O20="",P20=""),"",O20-P20)</f>
        <v/>
      </c>
    </row>
    <row r="21" customFormat="false" ht="15" hidden="false" customHeight="true" outlineLevel="0" collapsed="false">
      <c r="A21" s="164"/>
      <c r="B21" s="114"/>
      <c r="C21" s="165"/>
      <c r="D21" s="166"/>
      <c r="E21" s="114"/>
      <c r="F21" s="114"/>
      <c r="G21" s="114"/>
      <c r="H21" s="166"/>
      <c r="I21" s="114"/>
      <c r="J21" s="165"/>
      <c r="K21" s="166"/>
      <c r="L21" s="114"/>
      <c r="M21" s="166"/>
      <c r="N21" s="166"/>
      <c r="O21" s="167" t="str">
        <f aca="false">IF(OR(D21="",M21=""),"",M21/D21-1)</f>
        <v/>
      </c>
      <c r="P21" s="168" t="str">
        <f aca="false">IF(OR(H21="",N21=""),"",N21/H21-1)</f>
        <v/>
      </c>
      <c r="Q21" s="167" t="str">
        <f aca="false">IF(OR(O21="",P21=""),"",O21-P21)</f>
        <v/>
      </c>
    </row>
    <row r="22" customFormat="false" ht="15" hidden="false" customHeight="true" outlineLevel="0" collapsed="false">
      <c r="A22" s="164"/>
      <c r="B22" s="114"/>
      <c r="C22" s="165"/>
      <c r="D22" s="166"/>
      <c r="E22" s="114"/>
      <c r="F22" s="114"/>
      <c r="G22" s="114"/>
      <c r="H22" s="166"/>
      <c r="I22" s="114"/>
      <c r="J22" s="165"/>
      <c r="K22" s="166"/>
      <c r="L22" s="114"/>
      <c r="M22" s="166"/>
      <c r="N22" s="166"/>
      <c r="O22" s="167" t="str">
        <f aca="false">IF(OR(D22="",M22=""),"",M22/D22-1)</f>
        <v/>
      </c>
      <c r="P22" s="168" t="str">
        <f aca="false">IF(OR(H22="",N22=""),"",N22/H22-1)</f>
        <v/>
      </c>
      <c r="Q22" s="167" t="str">
        <f aca="false">IF(OR(O22="",P22=""),"",O22-P22)</f>
        <v/>
      </c>
    </row>
    <row r="23" customFormat="false" ht="15" hidden="false" customHeight="true" outlineLevel="0" collapsed="false">
      <c r="A23" s="164"/>
      <c r="B23" s="114"/>
      <c r="C23" s="165"/>
      <c r="D23" s="166"/>
      <c r="E23" s="114"/>
      <c r="F23" s="114"/>
      <c r="G23" s="114"/>
      <c r="H23" s="166"/>
      <c r="I23" s="114"/>
      <c r="J23" s="165"/>
      <c r="K23" s="166"/>
      <c r="L23" s="114"/>
      <c r="M23" s="166"/>
      <c r="N23" s="166"/>
      <c r="O23" s="167" t="str">
        <f aca="false">IF(OR(D23="",M23=""),"",M23/D23-1)</f>
        <v/>
      </c>
      <c r="P23" s="168" t="str">
        <f aca="false">IF(OR(H23="",N23=""),"",N23/H23-1)</f>
        <v/>
      </c>
      <c r="Q23" s="167" t="str">
        <f aca="false">IF(OR(O23="",P23=""),"",O23-P23)</f>
        <v/>
      </c>
    </row>
    <row r="24" customFormat="false" ht="15" hidden="false" customHeight="true" outlineLevel="0" collapsed="false">
      <c r="A24" s="164"/>
      <c r="B24" s="114"/>
      <c r="C24" s="165"/>
      <c r="D24" s="166"/>
      <c r="E24" s="114"/>
      <c r="F24" s="114"/>
      <c r="G24" s="114"/>
      <c r="H24" s="166"/>
      <c r="I24" s="114"/>
      <c r="J24" s="165"/>
      <c r="K24" s="166"/>
      <c r="L24" s="114"/>
      <c r="M24" s="166"/>
      <c r="N24" s="166"/>
      <c r="O24" s="167" t="str">
        <f aca="false">IF(OR(D24="",M24=""),"",M24/D24-1)</f>
        <v/>
      </c>
      <c r="P24" s="168" t="str">
        <f aca="false">IF(OR(H24="",N24=""),"",N24/H24-1)</f>
        <v/>
      </c>
      <c r="Q24" s="167" t="str">
        <f aca="false">IF(OR(O24="",P24=""),"",O24-P24)</f>
        <v/>
      </c>
    </row>
    <row r="25" customFormat="false" ht="15" hidden="false" customHeight="true" outlineLevel="0" collapsed="false">
      <c r="A25" s="164"/>
      <c r="B25" s="114"/>
      <c r="C25" s="165"/>
      <c r="D25" s="166"/>
      <c r="E25" s="114"/>
      <c r="F25" s="114"/>
      <c r="G25" s="114"/>
      <c r="H25" s="166"/>
      <c r="I25" s="114"/>
      <c r="J25" s="165"/>
      <c r="K25" s="166"/>
      <c r="L25" s="114"/>
      <c r="M25" s="166"/>
      <c r="N25" s="166"/>
      <c r="O25" s="167" t="str">
        <f aca="false">IF(OR(D25="",M25=""),"",M25/D25-1)</f>
        <v/>
      </c>
      <c r="P25" s="168" t="str">
        <f aca="false">IF(OR(H25="",N25=""),"",N25/H25-1)</f>
        <v/>
      </c>
      <c r="Q25" s="167" t="str">
        <f aca="false">IF(OR(O25="",P25=""),"",O25-P25)</f>
        <v/>
      </c>
    </row>
    <row r="26" customFormat="false" ht="15" hidden="false" customHeight="true" outlineLevel="0" collapsed="false">
      <c r="A26" s="164"/>
      <c r="B26" s="114"/>
      <c r="C26" s="165"/>
      <c r="D26" s="166"/>
      <c r="E26" s="114"/>
      <c r="F26" s="114"/>
      <c r="G26" s="114"/>
      <c r="H26" s="166"/>
      <c r="I26" s="114"/>
      <c r="J26" s="165"/>
      <c r="K26" s="166"/>
      <c r="L26" s="114"/>
      <c r="M26" s="166"/>
      <c r="N26" s="166"/>
      <c r="O26" s="167" t="str">
        <f aca="false">IF(OR(D26="",M26=""),"",M26/D26-1)</f>
        <v/>
      </c>
      <c r="P26" s="168" t="str">
        <f aca="false">IF(OR(H26="",N26=""),"",N26/H26-1)</f>
        <v/>
      </c>
      <c r="Q26" s="167" t="str">
        <f aca="false">IF(OR(O26="",P26=""),"",O26-P26)</f>
        <v/>
      </c>
    </row>
    <row r="27" customFormat="false" ht="15" hidden="false" customHeight="true" outlineLevel="0" collapsed="false">
      <c r="A27" s="164"/>
      <c r="B27" s="114"/>
      <c r="C27" s="165"/>
      <c r="D27" s="166"/>
      <c r="E27" s="114"/>
      <c r="F27" s="114"/>
      <c r="G27" s="114"/>
      <c r="H27" s="166"/>
      <c r="I27" s="114"/>
      <c r="J27" s="165"/>
      <c r="K27" s="166"/>
      <c r="L27" s="114"/>
      <c r="M27" s="166"/>
      <c r="N27" s="166"/>
      <c r="O27" s="167" t="str">
        <f aca="false">IF(OR(D27="",M27=""),"",M27/D27-1)</f>
        <v/>
      </c>
      <c r="P27" s="168" t="str">
        <f aca="false">IF(OR(H27="",N27=""),"",N27/H27-1)</f>
        <v/>
      </c>
      <c r="Q27" s="167" t="str">
        <f aca="false">IF(OR(O27="",P27=""),"",O27-P27)</f>
        <v/>
      </c>
    </row>
    <row r="28" customFormat="false" ht="15" hidden="false" customHeight="true" outlineLevel="0" collapsed="false">
      <c r="A28" s="164"/>
      <c r="B28" s="114"/>
      <c r="C28" s="165"/>
      <c r="D28" s="166"/>
      <c r="E28" s="114"/>
      <c r="F28" s="114"/>
      <c r="G28" s="114"/>
      <c r="H28" s="166"/>
      <c r="I28" s="114"/>
      <c r="J28" s="165"/>
      <c r="K28" s="166"/>
      <c r="L28" s="114"/>
      <c r="M28" s="166"/>
      <c r="N28" s="166"/>
      <c r="O28" s="167" t="str">
        <f aca="false">IF(OR(D28="",M28=""),"",M28/D28-1)</f>
        <v/>
      </c>
      <c r="P28" s="168" t="str">
        <f aca="false">IF(OR(H28="",N28=""),"",N28/H28-1)</f>
        <v/>
      </c>
      <c r="Q28" s="167" t="str">
        <f aca="false">IF(OR(O28="",P28=""),"",O28-P28)</f>
        <v/>
      </c>
    </row>
    <row r="29" customFormat="false" ht="15" hidden="false" customHeight="true" outlineLevel="0" collapsed="false">
      <c r="A29" s="164"/>
      <c r="B29" s="114"/>
      <c r="C29" s="165"/>
      <c r="D29" s="166"/>
      <c r="E29" s="114"/>
      <c r="F29" s="114"/>
      <c r="G29" s="114"/>
      <c r="H29" s="166"/>
      <c r="I29" s="114"/>
      <c r="J29" s="165"/>
      <c r="K29" s="166"/>
      <c r="L29" s="114"/>
      <c r="M29" s="166"/>
      <c r="N29" s="166"/>
      <c r="O29" s="167" t="str">
        <f aca="false">IF(OR(D29="",M29=""),"",M29/D29-1)</f>
        <v/>
      </c>
      <c r="P29" s="168" t="str">
        <f aca="false">IF(OR(H29="",N29=""),"",N29/H29-1)</f>
        <v/>
      </c>
      <c r="Q29" s="167" t="str">
        <f aca="false">IF(OR(O29="",P29=""),"",O29-P29)</f>
        <v/>
      </c>
    </row>
    <row r="30" customFormat="false" ht="15" hidden="false" customHeight="true" outlineLevel="0" collapsed="false">
      <c r="A30" s="164"/>
      <c r="B30" s="114"/>
      <c r="C30" s="165"/>
      <c r="D30" s="166"/>
      <c r="E30" s="114"/>
      <c r="F30" s="114"/>
      <c r="G30" s="114"/>
      <c r="H30" s="166"/>
      <c r="I30" s="114"/>
      <c r="J30" s="165"/>
      <c r="K30" s="166"/>
      <c r="L30" s="114"/>
      <c r="M30" s="166"/>
      <c r="N30" s="166"/>
      <c r="O30" s="167" t="str">
        <f aca="false">IF(OR(D30="",M30=""),"",M30/D30-1)</f>
        <v/>
      </c>
      <c r="P30" s="168" t="str">
        <f aca="false">IF(OR(H30="",N30=""),"",N30/H30-1)</f>
        <v/>
      </c>
      <c r="Q30" s="167" t="str">
        <f aca="false">IF(OR(O30="",P30=""),"",O30-P30)</f>
        <v/>
      </c>
    </row>
    <row r="31" customFormat="false" ht="15" hidden="false" customHeight="true" outlineLevel="0" collapsed="false">
      <c r="A31" s="164"/>
      <c r="B31" s="114"/>
      <c r="C31" s="165"/>
      <c r="D31" s="166"/>
      <c r="E31" s="114"/>
      <c r="F31" s="114"/>
      <c r="G31" s="114"/>
      <c r="H31" s="166"/>
      <c r="I31" s="114"/>
      <c r="J31" s="165"/>
      <c r="K31" s="166"/>
      <c r="L31" s="114"/>
      <c r="M31" s="166"/>
      <c r="N31" s="166"/>
      <c r="O31" s="167" t="str">
        <f aca="false">IF(OR(D31="",M31=""),"",M31/D31-1)</f>
        <v/>
      </c>
      <c r="P31" s="168" t="str">
        <f aca="false">IF(OR(H31="",N31=""),"",N31/H31-1)</f>
        <v/>
      </c>
      <c r="Q31" s="167" t="str">
        <f aca="false">IF(OR(O31="",P31=""),"",O31-P31)</f>
        <v/>
      </c>
    </row>
    <row r="32" customFormat="false" ht="15" hidden="false" customHeight="true" outlineLevel="0" collapsed="false">
      <c r="A32" s="164"/>
      <c r="B32" s="114"/>
      <c r="C32" s="165"/>
      <c r="D32" s="166"/>
      <c r="E32" s="114"/>
      <c r="F32" s="114"/>
      <c r="G32" s="114"/>
      <c r="H32" s="166"/>
      <c r="I32" s="114"/>
      <c r="J32" s="165"/>
      <c r="K32" s="166"/>
      <c r="L32" s="114"/>
      <c r="M32" s="166"/>
      <c r="N32" s="166"/>
      <c r="O32" s="167" t="str">
        <f aca="false">IF(OR(D32="",M32=""),"",M32/D32-1)</f>
        <v/>
      </c>
      <c r="P32" s="168" t="str">
        <f aca="false">IF(OR(H32="",N32=""),"",N32/H32-1)</f>
        <v/>
      </c>
      <c r="Q32" s="167" t="str">
        <f aca="false">IF(OR(O32="",P32=""),"",O32-P32)</f>
        <v/>
      </c>
    </row>
    <row r="34" customFormat="false" ht="25.5" hidden="false" customHeight="true" outlineLevel="0" collapsed="false">
      <c r="A34" s="169" t="s">
        <v>507</v>
      </c>
      <c r="B34" s="169"/>
      <c r="C34" s="169"/>
      <c r="D34" s="169"/>
      <c r="E34" s="169"/>
      <c r="F34" s="169"/>
      <c r="G34" s="169"/>
      <c r="H34" s="169"/>
      <c r="I34" s="169"/>
      <c r="J34" s="169"/>
      <c r="K34" s="169"/>
      <c r="L34" s="169"/>
      <c r="M34" s="169"/>
      <c r="N34" s="169"/>
      <c r="O34" s="169"/>
      <c r="P34" s="169"/>
      <c r="Q34" s="169"/>
    </row>
  </sheetData>
  <mergeCells count="2">
    <mergeCell ref="A1:Q1"/>
    <mergeCell ref="A34:Q34"/>
  </mergeCells>
  <conditionalFormatting sqref="Q3:Q32">
    <cfRule type="cellIs" priority="2" operator="greaterThan" aboveAverage="0" equalAverage="0" bottom="0" percent="0" rank="0" text="" dxfId="18">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0" width="13"/>
    <col collapsed="false" customWidth="true" hidden="false" outlineLevel="0" max="2" min="2" style="170" width="15.33"/>
    <col collapsed="false" customWidth="true" hidden="false" outlineLevel="0" max="3" min="3" style="1" width="111.51"/>
  </cols>
  <sheetData>
    <row r="1" customFormat="false" ht="27.75" hidden="false" customHeight="true" outlineLevel="0" collapsed="false">
      <c r="A1" s="126" t="s">
        <v>508</v>
      </c>
      <c r="B1" s="126"/>
      <c r="C1" s="126"/>
    </row>
    <row r="2" customFormat="false" ht="18" hidden="false" customHeight="true" outlineLevel="0" collapsed="false">
      <c r="A2" s="134" t="s">
        <v>430</v>
      </c>
      <c r="B2" s="134" t="s">
        <v>76</v>
      </c>
      <c r="C2" s="134" t="s">
        <v>182</v>
      </c>
    </row>
    <row r="3" customFormat="false" ht="15" hidden="false" customHeight="true" outlineLevel="0" collapsed="false">
      <c r="A3" s="111" t="n">
        <v>46241</v>
      </c>
      <c r="B3" s="110" t="s">
        <v>147</v>
      </c>
      <c r="C3" s="171" t="s">
        <v>509</v>
      </c>
    </row>
    <row r="4" customFormat="false" ht="15" hidden="false" customHeight="true" outlineLevel="0" collapsed="false">
      <c r="A4" s="111" t="n">
        <v>46241</v>
      </c>
      <c r="B4" s="110" t="s">
        <v>150</v>
      </c>
      <c r="C4" s="171" t="s">
        <v>510</v>
      </c>
    </row>
    <row r="5" customFormat="false" ht="15" hidden="false" customHeight="true" outlineLevel="0" collapsed="false">
      <c r="A5" s="111" t="n">
        <v>46241</v>
      </c>
      <c r="B5" s="110" t="s">
        <v>158</v>
      </c>
      <c r="C5" s="171" t="s">
        <v>511</v>
      </c>
    </row>
    <row r="6" customFormat="false" ht="27.75" hidden="false" customHeight="true" outlineLevel="0" collapsed="false">
      <c r="A6" s="111" t="n">
        <v>46241</v>
      </c>
      <c r="B6" s="110" t="s">
        <v>137</v>
      </c>
      <c r="C6" s="171" t="s">
        <v>512</v>
      </c>
    </row>
    <row r="7" customFormat="false" ht="30" hidden="false" customHeight="true" outlineLevel="0" collapsed="false">
      <c r="A7" s="111" t="n">
        <v>46241</v>
      </c>
      <c r="B7" s="110" t="s">
        <v>513</v>
      </c>
      <c r="C7" s="171" t="s">
        <v>514</v>
      </c>
    </row>
    <row r="8" customFormat="false" ht="28.5" hidden="false" customHeight="true" outlineLevel="0" collapsed="false">
      <c r="A8" s="111" t="n">
        <v>46241</v>
      </c>
      <c r="B8" s="110" t="s">
        <v>513</v>
      </c>
      <c r="C8" s="171" t="s">
        <v>515</v>
      </c>
    </row>
    <row r="9" customFormat="false" ht="30" hidden="false" customHeight="true" outlineLevel="0" collapsed="false">
      <c r="A9" s="111" t="n">
        <v>46241</v>
      </c>
      <c r="B9" s="110" t="s">
        <v>516</v>
      </c>
      <c r="C9" s="171" t="s">
        <v>517</v>
      </c>
    </row>
    <row r="10" customFormat="false" ht="28.5" hidden="false" customHeight="true" outlineLevel="0" collapsed="false">
      <c r="A10" s="111" t="n">
        <v>46241</v>
      </c>
      <c r="B10" s="110" t="s">
        <v>518</v>
      </c>
      <c r="C10" s="171" t="s">
        <v>519</v>
      </c>
    </row>
    <row r="11" customFormat="false" ht="28.5" hidden="false" customHeight="true" outlineLevel="0" collapsed="false">
      <c r="A11" s="111" t="n">
        <v>46241</v>
      </c>
      <c r="B11" s="110" t="s">
        <v>142</v>
      </c>
      <c r="C11" s="171" t="s">
        <v>520</v>
      </c>
    </row>
    <row r="12" customFormat="false" ht="75" hidden="false" customHeight="true" outlineLevel="0" collapsed="false">
      <c r="A12" s="111" t="n">
        <v>46273</v>
      </c>
      <c r="B12" s="110" t="s">
        <v>521</v>
      </c>
      <c r="C12" s="171" t="s">
        <v>522</v>
      </c>
    </row>
    <row r="13" customFormat="false" ht="60" hidden="false" customHeight="true" outlineLevel="0" collapsed="false">
      <c r="A13" s="111" t="n">
        <v>46295</v>
      </c>
      <c r="B13" s="110" t="s">
        <v>523</v>
      </c>
      <c r="C13" s="171" t="s">
        <v>524</v>
      </c>
    </row>
    <row r="14" customFormat="false" ht="57.75" hidden="false" customHeight="true" outlineLevel="0" collapsed="false">
      <c r="A14" s="111" t="n">
        <v>46302</v>
      </c>
      <c r="B14" s="110" t="s">
        <v>525</v>
      </c>
      <c r="C14" s="171" t="s">
        <v>526</v>
      </c>
    </row>
    <row r="15" customFormat="false" ht="61.5" hidden="false" customHeight="true" outlineLevel="0" collapsed="false">
      <c r="A15" s="111" t="n">
        <v>46320</v>
      </c>
      <c r="B15" s="110" t="s">
        <v>527</v>
      </c>
      <c r="C15" s="171" t="s">
        <v>528</v>
      </c>
    </row>
    <row r="16" customFormat="false" ht="30.75" hidden="false" customHeight="true" outlineLevel="0" collapsed="false">
      <c r="A16" s="111" t="n">
        <v>46335</v>
      </c>
      <c r="B16" s="110" t="s">
        <v>529</v>
      </c>
      <c r="C16" s="171" t="s">
        <v>530</v>
      </c>
    </row>
    <row r="17" customFormat="false" ht="30.75" hidden="false" customHeight="true" outlineLevel="0" collapsed="false">
      <c r="A17" s="111" t="n">
        <v>46387</v>
      </c>
      <c r="B17" s="110" t="s">
        <v>531</v>
      </c>
      <c r="C17" s="171" t="s">
        <v>532</v>
      </c>
    </row>
    <row r="18" customFormat="false" ht="43.5" hidden="false" customHeight="true" outlineLevel="0" collapsed="false">
      <c r="A18" s="111" t="n">
        <v>46412</v>
      </c>
      <c r="B18" s="110" t="s">
        <v>533</v>
      </c>
      <c r="C18" s="171" t="s">
        <v>534</v>
      </c>
    </row>
    <row r="19" customFormat="false" ht="100.5" hidden="false" customHeight="true" outlineLevel="0" collapsed="false">
      <c r="A19" s="111" t="n">
        <v>46252</v>
      </c>
      <c r="B19" s="172" t="s">
        <v>535</v>
      </c>
      <c r="C19" s="171" t="s">
        <v>536</v>
      </c>
    </row>
    <row r="20" customFormat="false" ht="75.75" hidden="false" customHeight="true" outlineLevel="0" collapsed="false">
      <c r="A20" s="111" t="n">
        <v>46258</v>
      </c>
      <c r="B20" s="172" t="s">
        <v>537</v>
      </c>
      <c r="C20" s="171" t="s">
        <v>538</v>
      </c>
    </row>
    <row r="21" customFormat="false" ht="15" hidden="false" customHeight="true" outlineLevel="0" collapsed="false">
      <c r="A21" s="111" t="n">
        <v>46260</v>
      </c>
      <c r="B21" s="110" t="s">
        <v>539</v>
      </c>
      <c r="C21" s="171" t="s">
        <v>540</v>
      </c>
    </row>
    <row r="22" customFormat="false" ht="15" hidden="false" customHeight="true" outlineLevel="0" collapsed="false">
      <c r="A22" s="111"/>
      <c r="B22" s="110"/>
      <c r="C22" s="171"/>
    </row>
    <row r="23" customFormat="false" ht="15" hidden="false" customHeight="true" outlineLevel="0" collapsed="false">
      <c r="A23" s="111"/>
      <c r="B23" s="110"/>
      <c r="C23" s="171"/>
    </row>
    <row r="24" customFormat="false" ht="15" hidden="false" customHeight="true" outlineLevel="0" collapsed="false">
      <c r="A24" s="111"/>
      <c r="B24" s="110"/>
      <c r="C24" s="171"/>
    </row>
    <row r="25" customFormat="false" ht="15" hidden="false" customHeight="true" outlineLevel="0" collapsed="false">
      <c r="A25" s="111"/>
      <c r="B25" s="110"/>
      <c r="C25" s="171"/>
    </row>
    <row r="26" customFormat="false" ht="15" hidden="false" customHeight="true" outlineLevel="0" collapsed="false">
      <c r="A26" s="111"/>
      <c r="B26" s="110"/>
      <c r="C26" s="171"/>
    </row>
    <row r="27" customFormat="false" ht="15" hidden="false" customHeight="true" outlineLevel="0" collapsed="false">
      <c r="A27" s="111"/>
      <c r="B27" s="110"/>
      <c r="C27" s="171"/>
    </row>
    <row r="28" customFormat="false" ht="15" hidden="false" customHeight="true" outlineLevel="0" collapsed="false">
      <c r="A28" s="111"/>
      <c r="B28" s="110"/>
      <c r="C28" s="171"/>
    </row>
    <row r="29" customFormat="false" ht="15" hidden="false" customHeight="true" outlineLevel="0" collapsed="false">
      <c r="A29" s="111"/>
      <c r="B29" s="110"/>
      <c r="C29" s="171"/>
    </row>
    <row r="30" customFormat="false" ht="15" hidden="false" customHeight="true" outlineLevel="0" collapsed="false">
      <c r="A30" s="111"/>
      <c r="B30" s="110"/>
      <c r="C30" s="171"/>
    </row>
    <row r="31" customFormat="false" ht="15" hidden="false" customHeight="true" outlineLevel="0" collapsed="false">
      <c r="A31" s="111"/>
      <c r="B31" s="110"/>
      <c r="C31" s="171"/>
    </row>
    <row r="32" customFormat="false" ht="15" hidden="false" customHeight="true" outlineLevel="0" collapsed="false">
      <c r="A32" s="111"/>
      <c r="B32" s="110"/>
      <c r="C32" s="171"/>
    </row>
    <row r="33" customFormat="false" ht="15" hidden="false" customHeight="true" outlineLevel="0" collapsed="false">
      <c r="A33" s="111"/>
      <c r="B33" s="110"/>
      <c r="C33" s="171"/>
    </row>
    <row r="34" customFormat="false" ht="15" hidden="false" customHeight="true" outlineLevel="0" collapsed="false">
      <c r="A34" s="111"/>
      <c r="B34" s="110"/>
      <c r="C34" s="171"/>
    </row>
    <row r="35" customFormat="false" ht="15" hidden="false" customHeight="true" outlineLevel="0" collapsed="false">
      <c r="A35" s="111"/>
      <c r="B35" s="110"/>
      <c r="C35" s="171"/>
    </row>
    <row r="36" customFormat="false" ht="15" hidden="false" customHeight="true" outlineLevel="0" collapsed="false">
      <c r="A36" s="111"/>
      <c r="B36" s="110"/>
      <c r="C36" s="171"/>
    </row>
    <row r="37" customFormat="false" ht="15" hidden="false" customHeight="true" outlineLevel="0" collapsed="false">
      <c r="A37" s="111"/>
      <c r="B37" s="110"/>
      <c r="C37" s="171"/>
    </row>
    <row r="38" customFormat="false" ht="15" hidden="false" customHeight="true" outlineLevel="0" collapsed="false">
      <c r="A38" s="111"/>
      <c r="B38" s="110"/>
      <c r="C38" s="171"/>
    </row>
    <row r="39" customFormat="false" ht="15" hidden="false" customHeight="true" outlineLevel="0" collapsed="false">
      <c r="A39" s="111"/>
      <c r="B39" s="110"/>
      <c r="C39" s="171"/>
    </row>
    <row r="40" customFormat="false" ht="15" hidden="false" customHeight="true" outlineLevel="0" collapsed="false">
      <c r="A40" s="111"/>
      <c r="B40" s="110"/>
      <c r="C40" s="171"/>
    </row>
    <row r="41" customFormat="false" ht="15" hidden="false" customHeight="true" outlineLevel="0" collapsed="false">
      <c r="A41" s="111"/>
      <c r="B41" s="110"/>
      <c r="C41" s="171"/>
    </row>
    <row r="42" customFormat="false" ht="15" hidden="false" customHeight="true" outlineLevel="0" collapsed="false">
      <c r="A42" s="111"/>
      <c r="B42" s="110"/>
      <c r="C42" s="171"/>
    </row>
    <row r="43" customFormat="false" ht="15" hidden="false" customHeight="true" outlineLevel="0" collapsed="false">
      <c r="A43" s="111"/>
      <c r="B43" s="110"/>
      <c r="C43" s="171"/>
    </row>
    <row r="44" customFormat="false" ht="15" hidden="false" customHeight="true" outlineLevel="0" collapsed="false">
      <c r="A44" s="111"/>
      <c r="B44" s="110"/>
      <c r="C44" s="171"/>
    </row>
    <row r="45" customFormat="false" ht="15" hidden="false" customHeight="true" outlineLevel="0" collapsed="false">
      <c r="A45" s="111"/>
      <c r="B45" s="110"/>
      <c r="C45" s="171"/>
    </row>
    <row r="46" customFormat="false" ht="15" hidden="false" customHeight="true" outlineLevel="0" collapsed="false">
      <c r="A46" s="111"/>
      <c r="B46" s="110"/>
      <c r="C46" s="171"/>
    </row>
    <row r="47" customFormat="false" ht="15" hidden="false" customHeight="true" outlineLevel="0" collapsed="false">
      <c r="A47" s="111"/>
      <c r="B47" s="110"/>
      <c r="C47" s="171"/>
    </row>
    <row r="48" customFormat="false" ht="15" hidden="false" customHeight="true" outlineLevel="0" collapsed="false">
      <c r="A48" s="111"/>
      <c r="B48" s="110"/>
      <c r="C48" s="171"/>
    </row>
    <row r="49" customFormat="false" ht="15" hidden="false" customHeight="true" outlineLevel="0" collapsed="false">
      <c r="A49" s="111"/>
      <c r="B49" s="110"/>
      <c r="C49" s="171"/>
    </row>
    <row r="50" customFormat="false" ht="15" hidden="false" customHeight="true" outlineLevel="0" collapsed="false">
      <c r="A50" s="111"/>
      <c r="B50" s="110"/>
      <c r="C50" s="171"/>
    </row>
    <row r="51" customFormat="false" ht="15" hidden="false" customHeight="true" outlineLevel="0" collapsed="false">
      <c r="A51" s="111"/>
      <c r="B51" s="110"/>
      <c r="C51" s="171"/>
    </row>
    <row r="52" customFormat="false" ht="15" hidden="false" customHeight="true" outlineLevel="0" collapsed="false">
      <c r="A52" s="111"/>
      <c r="B52" s="110"/>
      <c r="C52" s="171"/>
    </row>
    <row r="53" customFormat="false" ht="15" hidden="false" customHeight="true" outlineLevel="0" collapsed="false">
      <c r="A53" s="111"/>
      <c r="B53" s="110"/>
      <c r="C53" s="171"/>
    </row>
    <row r="54" customFormat="false" ht="15" hidden="false" customHeight="true" outlineLevel="0" collapsed="false">
      <c r="A54" s="111"/>
      <c r="B54" s="110"/>
      <c r="C54" s="171"/>
    </row>
    <row r="55" customFormat="false" ht="15" hidden="false" customHeight="true" outlineLevel="0" collapsed="false">
      <c r="A55" s="111"/>
      <c r="B55" s="110"/>
      <c r="C55" s="171"/>
    </row>
    <row r="56" customFormat="false" ht="15" hidden="false" customHeight="true" outlineLevel="0" collapsed="false">
      <c r="A56" s="111"/>
      <c r="B56" s="110"/>
      <c r="C56" s="171"/>
    </row>
    <row r="57" customFormat="false" ht="15" hidden="false" customHeight="true" outlineLevel="0" collapsed="false">
      <c r="A57" s="111"/>
      <c r="B57" s="110"/>
      <c r="C57" s="171"/>
    </row>
    <row r="58" customFormat="false" ht="15" hidden="false" customHeight="true" outlineLevel="0" collapsed="false">
      <c r="A58" s="111"/>
      <c r="B58" s="110"/>
      <c r="C58" s="171"/>
    </row>
    <row r="59" customFormat="false" ht="15" hidden="false" customHeight="true" outlineLevel="0" collapsed="false">
      <c r="A59" s="111"/>
      <c r="B59" s="110"/>
      <c r="C59" s="171"/>
    </row>
    <row r="60" customFormat="false" ht="15" hidden="false" customHeight="true" outlineLevel="0" collapsed="false">
      <c r="A60" s="111"/>
      <c r="B60" s="110"/>
      <c r="C60" s="171"/>
    </row>
    <row r="61" customFormat="false" ht="15" hidden="false" customHeight="true" outlineLevel="0" collapsed="false">
      <c r="A61" s="111"/>
      <c r="B61" s="110"/>
      <c r="C61" s="171"/>
    </row>
    <row r="62" customFormat="false" ht="15" hidden="false" customHeight="true" outlineLevel="0" collapsed="false">
      <c r="A62" s="111"/>
      <c r="B62" s="110"/>
      <c r="C62" s="171"/>
    </row>
    <row r="63" customFormat="false" ht="15" hidden="false" customHeight="true" outlineLevel="0" collapsed="false">
      <c r="A63" s="111"/>
      <c r="B63" s="110"/>
      <c r="C63" s="171"/>
    </row>
    <row r="64" customFormat="false" ht="15" hidden="false" customHeight="true" outlineLevel="0" collapsed="false">
      <c r="A64" s="111"/>
      <c r="B64" s="110"/>
      <c r="C64" s="171"/>
    </row>
    <row r="65" customFormat="false" ht="15" hidden="false" customHeight="true" outlineLevel="0" collapsed="false">
      <c r="A65" s="111"/>
      <c r="B65" s="110"/>
      <c r="C65" s="171"/>
    </row>
    <row r="66" customFormat="false" ht="15" hidden="false" customHeight="true" outlineLevel="0" collapsed="false">
      <c r="A66" s="111"/>
      <c r="B66" s="110"/>
      <c r="C66" s="171"/>
    </row>
    <row r="67" customFormat="false" ht="15" hidden="false" customHeight="true" outlineLevel="0" collapsed="false">
      <c r="A67" s="111"/>
      <c r="B67" s="110"/>
      <c r="C67" s="171"/>
    </row>
    <row r="68" customFormat="false" ht="15" hidden="false" customHeight="true" outlineLevel="0" collapsed="false">
      <c r="A68" s="111"/>
      <c r="B68" s="110"/>
      <c r="C68" s="171"/>
    </row>
    <row r="69" customFormat="false" ht="15" hidden="false" customHeight="true" outlineLevel="0" collapsed="false">
      <c r="A69" s="111"/>
      <c r="B69" s="110"/>
      <c r="C69" s="171"/>
    </row>
    <row r="70" customFormat="false" ht="15" hidden="false" customHeight="true" outlineLevel="0" collapsed="false">
      <c r="A70" s="111"/>
      <c r="B70" s="110"/>
      <c r="C70" s="171"/>
    </row>
    <row r="71" customFormat="false" ht="15" hidden="false" customHeight="true" outlineLevel="0" collapsed="false">
      <c r="A71" s="111"/>
      <c r="B71" s="110"/>
      <c r="C71" s="171"/>
    </row>
    <row r="72" customFormat="false" ht="15" hidden="false" customHeight="true" outlineLevel="0" collapsed="false">
      <c r="A72" s="111"/>
      <c r="B72" s="110"/>
      <c r="C72" s="171"/>
    </row>
    <row r="73" customFormat="false" ht="15" hidden="false" customHeight="true" outlineLevel="0" collapsed="false">
      <c r="A73" s="111"/>
      <c r="B73" s="110"/>
      <c r="C73" s="171"/>
    </row>
    <row r="74" customFormat="false" ht="15" hidden="false" customHeight="true" outlineLevel="0" collapsed="false">
      <c r="A74" s="111"/>
      <c r="B74" s="110"/>
      <c r="C74" s="171"/>
    </row>
    <row r="75" customFormat="false" ht="15" hidden="false" customHeight="true" outlineLevel="0" collapsed="false">
      <c r="A75" s="111"/>
      <c r="B75" s="110"/>
      <c r="C75" s="171"/>
    </row>
    <row r="76" customFormat="false" ht="15" hidden="false" customHeight="true" outlineLevel="0" collapsed="false">
      <c r="A76" s="111"/>
      <c r="B76" s="110"/>
      <c r="C76" s="171"/>
    </row>
    <row r="77" customFormat="false" ht="15" hidden="false" customHeight="true" outlineLevel="0" collapsed="false">
      <c r="A77" s="111"/>
      <c r="B77" s="110"/>
      <c r="C77" s="171"/>
    </row>
    <row r="78" customFormat="false" ht="15" hidden="false" customHeight="true" outlineLevel="0" collapsed="false">
      <c r="A78" s="111"/>
      <c r="B78" s="110"/>
      <c r="C78" s="171"/>
    </row>
    <row r="79" customFormat="false" ht="15" hidden="false" customHeight="true" outlineLevel="0" collapsed="false">
      <c r="A79" s="111"/>
      <c r="B79" s="110"/>
      <c r="C79" s="171"/>
    </row>
    <row r="80" customFormat="false" ht="15" hidden="false" customHeight="true" outlineLevel="0" collapsed="false">
      <c r="A80" s="111"/>
      <c r="B80" s="110"/>
      <c r="C80" s="171"/>
    </row>
    <row r="81" customFormat="false" ht="15" hidden="false" customHeight="true" outlineLevel="0" collapsed="false">
      <c r="A81" s="111"/>
      <c r="B81" s="110"/>
      <c r="C81" s="171"/>
    </row>
    <row r="82" customFormat="false" ht="15" hidden="false" customHeight="true" outlineLevel="0" collapsed="false">
      <c r="A82" s="111"/>
      <c r="B82" s="110"/>
      <c r="C82" s="171"/>
    </row>
    <row r="83" customFormat="false" ht="15" hidden="false" customHeight="true" outlineLevel="0" collapsed="false">
      <c r="A83" s="111"/>
      <c r="B83" s="110"/>
      <c r="C83" s="171"/>
    </row>
    <row r="84" customFormat="false" ht="15" hidden="false" customHeight="true" outlineLevel="0" collapsed="false">
      <c r="A84" s="111"/>
      <c r="B84" s="110"/>
      <c r="C84" s="171"/>
    </row>
    <row r="85" customFormat="false" ht="15" hidden="false" customHeight="true" outlineLevel="0" collapsed="false">
      <c r="A85" s="111"/>
      <c r="B85" s="110"/>
      <c r="C85" s="171"/>
    </row>
    <row r="86" customFormat="false" ht="15" hidden="false" customHeight="true" outlineLevel="0" collapsed="false">
      <c r="A86" s="111"/>
      <c r="B86" s="110"/>
      <c r="C86" s="171"/>
    </row>
    <row r="87" customFormat="false" ht="15" hidden="false" customHeight="true" outlineLevel="0" collapsed="false">
      <c r="A87" s="111"/>
      <c r="B87" s="110"/>
      <c r="C87" s="171"/>
    </row>
    <row r="88" customFormat="false" ht="15" hidden="false" customHeight="true" outlineLevel="0" collapsed="false">
      <c r="A88" s="111"/>
      <c r="B88" s="110"/>
      <c r="C88" s="171"/>
    </row>
    <row r="89" customFormat="false" ht="15" hidden="false" customHeight="true" outlineLevel="0" collapsed="false">
      <c r="A89" s="111"/>
      <c r="B89" s="110"/>
      <c r="C89" s="171"/>
    </row>
    <row r="90" customFormat="false" ht="15" hidden="false" customHeight="true" outlineLevel="0" collapsed="false">
      <c r="A90" s="111"/>
      <c r="B90" s="110"/>
      <c r="C90" s="171"/>
    </row>
    <row r="91" customFormat="false" ht="15" hidden="false" customHeight="true" outlineLevel="0" collapsed="false">
      <c r="A91" s="111"/>
      <c r="B91" s="110"/>
      <c r="C91" s="171"/>
    </row>
    <row r="92" customFormat="false" ht="15" hidden="false" customHeight="true" outlineLevel="0" collapsed="false">
      <c r="A92" s="111"/>
      <c r="B92" s="110"/>
      <c r="C92" s="171"/>
    </row>
    <row r="93" customFormat="false" ht="15" hidden="false" customHeight="true" outlineLevel="0" collapsed="false">
      <c r="A93" s="111"/>
      <c r="B93" s="110"/>
      <c r="C93" s="171"/>
    </row>
    <row r="94" customFormat="false" ht="15" hidden="false" customHeight="true" outlineLevel="0" collapsed="false">
      <c r="A94" s="111"/>
      <c r="B94" s="110"/>
      <c r="C94" s="171"/>
    </row>
    <row r="95" customFormat="false" ht="15" hidden="false" customHeight="true" outlineLevel="0" collapsed="false">
      <c r="A95" s="111"/>
      <c r="B95" s="110"/>
      <c r="C95" s="171"/>
    </row>
    <row r="96" customFormat="false" ht="15" hidden="false" customHeight="true" outlineLevel="0" collapsed="false">
      <c r="A96" s="111"/>
      <c r="B96" s="110"/>
      <c r="C96" s="171"/>
    </row>
    <row r="97" customFormat="false" ht="15" hidden="false" customHeight="true" outlineLevel="0" collapsed="false">
      <c r="A97" s="111"/>
      <c r="B97" s="110"/>
      <c r="C97" s="171"/>
    </row>
    <row r="98" customFormat="false" ht="15" hidden="false" customHeight="true" outlineLevel="0" collapsed="false">
      <c r="A98" s="111"/>
      <c r="B98" s="110"/>
      <c r="C98" s="171"/>
    </row>
    <row r="99" customFormat="false" ht="15" hidden="false" customHeight="true" outlineLevel="0" collapsed="false">
      <c r="A99" s="111"/>
      <c r="B99" s="110"/>
      <c r="C99" s="171"/>
    </row>
    <row r="100" customFormat="false" ht="15" hidden="false" customHeight="true" outlineLevel="0" collapsed="false">
      <c r="A100" s="111"/>
      <c r="B100" s="110"/>
      <c r="C100" s="171"/>
    </row>
    <row r="101" customFormat="false" ht="15" hidden="false" customHeight="true" outlineLevel="0" collapsed="false">
      <c r="A101" s="111"/>
      <c r="B101" s="110"/>
      <c r="C101" s="171"/>
    </row>
    <row r="102" customFormat="false" ht="15" hidden="false" customHeight="true" outlineLevel="0" collapsed="false">
      <c r="A102" s="111"/>
      <c r="B102" s="110"/>
      <c r="C102" s="171"/>
    </row>
    <row r="103" customFormat="false" ht="15" hidden="false" customHeight="true" outlineLevel="0" collapsed="false">
      <c r="A103" s="111"/>
      <c r="B103" s="110"/>
      <c r="C103" s="171"/>
    </row>
    <row r="104" customFormat="false" ht="15" hidden="false" customHeight="true" outlineLevel="0" collapsed="false">
      <c r="A104" s="111"/>
      <c r="B104" s="110"/>
      <c r="C104" s="171"/>
    </row>
    <row r="105" customFormat="false" ht="15" hidden="false" customHeight="true" outlineLevel="0" collapsed="false">
      <c r="A105" s="111"/>
      <c r="B105" s="110"/>
      <c r="C105" s="171"/>
    </row>
    <row r="106" customFormat="false" ht="15" hidden="false" customHeight="true" outlineLevel="0" collapsed="false">
      <c r="A106" s="111"/>
      <c r="B106" s="110"/>
      <c r="C106" s="171"/>
    </row>
    <row r="107" customFormat="false" ht="15" hidden="false" customHeight="true" outlineLevel="0" collapsed="false">
      <c r="A107" s="111"/>
      <c r="B107" s="110"/>
      <c r="C107" s="171"/>
    </row>
    <row r="108" customFormat="false" ht="15" hidden="false" customHeight="true" outlineLevel="0" collapsed="false">
      <c r="A108" s="111"/>
      <c r="B108" s="110"/>
      <c r="C108" s="171"/>
    </row>
    <row r="109" customFormat="false" ht="15" hidden="false" customHeight="true" outlineLevel="0" collapsed="false">
      <c r="A109" s="111"/>
      <c r="B109" s="110"/>
      <c r="C109" s="171"/>
    </row>
    <row r="110" customFormat="false" ht="15" hidden="false" customHeight="true" outlineLevel="0" collapsed="false">
      <c r="A110" s="111"/>
      <c r="B110" s="110"/>
      <c r="C110" s="171"/>
    </row>
    <row r="111" customFormat="false" ht="15" hidden="false" customHeight="true" outlineLevel="0" collapsed="false">
      <c r="A111" s="111"/>
      <c r="B111" s="110"/>
      <c r="C111" s="171"/>
    </row>
    <row r="112" customFormat="false" ht="15" hidden="false" customHeight="true" outlineLevel="0" collapsed="false">
      <c r="A112" s="111"/>
      <c r="B112" s="110"/>
      <c r="C112" s="171"/>
    </row>
    <row r="113" customFormat="false" ht="15" hidden="false" customHeight="true" outlineLevel="0" collapsed="false">
      <c r="A113" s="111"/>
      <c r="B113" s="110"/>
      <c r="C113" s="171"/>
    </row>
    <row r="114" customFormat="false" ht="15" hidden="false" customHeight="true" outlineLevel="0" collapsed="false">
      <c r="A114" s="111"/>
      <c r="B114" s="110"/>
      <c r="C114" s="171"/>
    </row>
    <row r="115" customFormat="false" ht="15" hidden="false" customHeight="true" outlineLevel="0" collapsed="false">
      <c r="A115" s="111"/>
      <c r="B115" s="110"/>
      <c r="C115" s="171"/>
    </row>
    <row r="116" customFormat="false" ht="15" hidden="false" customHeight="true" outlineLevel="0" collapsed="false">
      <c r="A116" s="111"/>
      <c r="B116" s="110"/>
      <c r="C116" s="171"/>
    </row>
    <row r="117" customFormat="false" ht="15" hidden="false" customHeight="true" outlineLevel="0" collapsed="false">
      <c r="A117" s="111"/>
      <c r="B117" s="110"/>
      <c r="C117" s="171"/>
    </row>
    <row r="118" customFormat="false" ht="15" hidden="false" customHeight="true" outlineLevel="0" collapsed="false">
      <c r="A118" s="111"/>
      <c r="B118" s="110"/>
      <c r="C118" s="171"/>
    </row>
    <row r="119" customFormat="false" ht="15" hidden="false" customHeight="true" outlineLevel="0" collapsed="false">
      <c r="A119" s="111"/>
      <c r="B119" s="110"/>
      <c r="C119" s="171"/>
    </row>
    <row r="120" customFormat="false" ht="15" hidden="false" customHeight="true" outlineLevel="0" collapsed="false">
      <c r="A120" s="111"/>
      <c r="B120" s="110"/>
      <c r="C120" s="171"/>
    </row>
    <row r="121" customFormat="false" ht="15" hidden="false" customHeight="true" outlineLevel="0" collapsed="false">
      <c r="A121" s="111"/>
      <c r="B121" s="110"/>
      <c r="C121" s="171"/>
    </row>
    <row r="122" customFormat="false" ht="15" hidden="false" customHeight="true" outlineLevel="0" collapsed="false">
      <c r="A122" s="111"/>
      <c r="B122" s="110"/>
      <c r="C122" s="171"/>
    </row>
    <row r="123" customFormat="false" ht="15" hidden="false" customHeight="true" outlineLevel="0" collapsed="false">
      <c r="A123" s="111"/>
      <c r="B123" s="110"/>
      <c r="C123" s="171"/>
    </row>
    <row r="124" customFormat="false" ht="15" hidden="false" customHeight="true" outlineLevel="0" collapsed="false">
      <c r="A124" s="111"/>
      <c r="B124" s="110"/>
      <c r="C124" s="171"/>
    </row>
    <row r="125" customFormat="false" ht="15" hidden="false" customHeight="true" outlineLevel="0" collapsed="false">
      <c r="A125" s="111"/>
      <c r="B125" s="110"/>
      <c r="C125" s="171"/>
    </row>
    <row r="126" customFormat="false" ht="15" hidden="false" customHeight="true" outlineLevel="0" collapsed="false">
      <c r="A126" s="111"/>
      <c r="B126" s="110"/>
      <c r="C126" s="171"/>
    </row>
    <row r="127" customFormat="false" ht="15" hidden="false" customHeight="true" outlineLevel="0" collapsed="false">
      <c r="A127" s="111"/>
      <c r="B127" s="110"/>
      <c r="C127" s="171"/>
    </row>
    <row r="128" customFormat="false" ht="15" hidden="false" customHeight="true" outlineLevel="0" collapsed="false">
      <c r="A128" s="111"/>
      <c r="B128" s="110"/>
      <c r="C128" s="171"/>
    </row>
    <row r="129" customFormat="false" ht="15" hidden="false" customHeight="true" outlineLevel="0" collapsed="false">
      <c r="A129" s="111"/>
      <c r="B129" s="110"/>
      <c r="C129" s="171"/>
    </row>
    <row r="130" customFormat="false" ht="15" hidden="false" customHeight="true" outlineLevel="0" collapsed="false">
      <c r="A130" s="111"/>
      <c r="B130" s="110"/>
      <c r="C130" s="171"/>
    </row>
    <row r="131" customFormat="false" ht="15" hidden="false" customHeight="true" outlineLevel="0" collapsed="false">
      <c r="A131" s="111"/>
      <c r="B131" s="110"/>
      <c r="C131" s="171"/>
    </row>
    <row r="132" customFormat="false" ht="15" hidden="false" customHeight="true" outlineLevel="0" collapsed="false">
      <c r="A132" s="111"/>
      <c r="B132" s="110"/>
      <c r="C132" s="171"/>
    </row>
    <row r="133" customFormat="false" ht="15" hidden="false" customHeight="true" outlineLevel="0" collapsed="false">
      <c r="A133" s="111"/>
      <c r="B133" s="110"/>
      <c r="C133" s="171"/>
    </row>
    <row r="134" customFormat="false" ht="15" hidden="false" customHeight="true" outlineLevel="0" collapsed="false">
      <c r="A134" s="111"/>
      <c r="B134" s="110"/>
      <c r="C134" s="171"/>
    </row>
    <row r="135" customFormat="false" ht="15" hidden="false" customHeight="true" outlineLevel="0" collapsed="false">
      <c r="A135" s="111"/>
      <c r="B135" s="110"/>
      <c r="C135" s="171"/>
    </row>
    <row r="136" customFormat="false" ht="15" hidden="false" customHeight="true" outlineLevel="0" collapsed="false">
      <c r="A136" s="111"/>
      <c r="B136" s="110"/>
      <c r="C136" s="171"/>
    </row>
    <row r="137" customFormat="false" ht="15" hidden="false" customHeight="true" outlineLevel="0" collapsed="false">
      <c r="A137" s="111"/>
      <c r="B137" s="110"/>
      <c r="C137" s="171"/>
    </row>
    <row r="138" customFormat="false" ht="15" hidden="false" customHeight="true" outlineLevel="0" collapsed="false">
      <c r="A138" s="111"/>
      <c r="B138" s="110"/>
      <c r="C138" s="171"/>
    </row>
    <row r="139" customFormat="false" ht="15" hidden="false" customHeight="true" outlineLevel="0" collapsed="false">
      <c r="A139" s="111"/>
      <c r="B139" s="110"/>
      <c r="C139" s="171"/>
    </row>
    <row r="140" customFormat="false" ht="15" hidden="false" customHeight="true" outlineLevel="0" collapsed="false">
      <c r="A140" s="111"/>
      <c r="B140" s="110"/>
      <c r="C140" s="171"/>
    </row>
    <row r="141" customFormat="false" ht="15" hidden="false" customHeight="true" outlineLevel="0" collapsed="false">
      <c r="A141" s="111"/>
      <c r="B141" s="110"/>
      <c r="C141" s="171"/>
    </row>
    <row r="142" customFormat="false" ht="15" hidden="false" customHeight="true" outlineLevel="0" collapsed="false">
      <c r="A142" s="111"/>
      <c r="B142" s="110"/>
      <c r="C142" s="171"/>
    </row>
    <row r="143" customFormat="false" ht="15" hidden="false" customHeight="true" outlineLevel="0" collapsed="false">
      <c r="A143" s="111"/>
      <c r="B143" s="110"/>
      <c r="C143" s="171"/>
    </row>
    <row r="144" customFormat="false" ht="15" hidden="false" customHeight="true" outlineLevel="0" collapsed="false">
      <c r="A144" s="111"/>
      <c r="B144" s="110"/>
      <c r="C144" s="171"/>
    </row>
    <row r="145" customFormat="false" ht="15" hidden="false" customHeight="true" outlineLevel="0" collapsed="false">
      <c r="A145" s="111"/>
      <c r="B145" s="110"/>
      <c r="C145" s="171"/>
    </row>
    <row r="146" customFormat="false" ht="15" hidden="false" customHeight="true" outlineLevel="0" collapsed="false">
      <c r="A146" s="111"/>
      <c r="B146" s="110"/>
      <c r="C146" s="171"/>
    </row>
    <row r="147" customFormat="false" ht="15" hidden="false" customHeight="true" outlineLevel="0" collapsed="false">
      <c r="A147" s="111"/>
      <c r="B147" s="110"/>
      <c r="C147" s="171"/>
    </row>
    <row r="148" customFormat="false" ht="15" hidden="false" customHeight="true" outlineLevel="0" collapsed="false">
      <c r="A148" s="111"/>
      <c r="B148" s="110"/>
      <c r="C148" s="171"/>
    </row>
    <row r="149" customFormat="false" ht="15" hidden="false" customHeight="true" outlineLevel="0" collapsed="false">
      <c r="A149" s="111"/>
      <c r="B149" s="110"/>
      <c r="C149" s="171"/>
    </row>
    <row r="150" customFormat="false" ht="15" hidden="false" customHeight="true" outlineLevel="0" collapsed="false">
      <c r="A150" s="111"/>
      <c r="B150" s="110"/>
      <c r="C150" s="171"/>
    </row>
    <row r="151" customFormat="false" ht="15" hidden="false" customHeight="true" outlineLevel="0" collapsed="false">
      <c r="A151" s="111"/>
      <c r="B151" s="110"/>
      <c r="C151" s="171"/>
    </row>
    <row r="152" customFormat="false" ht="15" hidden="false" customHeight="true" outlineLevel="0" collapsed="false">
      <c r="A152" s="111"/>
      <c r="B152" s="110"/>
      <c r="C152" s="171"/>
    </row>
    <row r="153" customFormat="false" ht="15" hidden="false" customHeight="true" outlineLevel="0" collapsed="false">
      <c r="A153" s="111"/>
      <c r="B153" s="110"/>
      <c r="C153" s="171"/>
    </row>
    <row r="154" customFormat="false" ht="15" hidden="false" customHeight="true" outlineLevel="0" collapsed="false">
      <c r="A154" s="111"/>
      <c r="B154" s="110"/>
      <c r="C154" s="171"/>
    </row>
    <row r="155" customFormat="false" ht="15" hidden="false" customHeight="true" outlineLevel="0" collapsed="false">
      <c r="A155" s="111"/>
      <c r="B155" s="110"/>
      <c r="C155" s="171"/>
    </row>
    <row r="156" customFormat="false" ht="15" hidden="false" customHeight="true" outlineLevel="0" collapsed="false">
      <c r="A156" s="111"/>
      <c r="B156" s="110"/>
      <c r="C156" s="171"/>
    </row>
    <row r="157" customFormat="false" ht="15" hidden="false" customHeight="true" outlineLevel="0" collapsed="false">
      <c r="A157" s="111"/>
      <c r="B157" s="110"/>
      <c r="C157" s="171"/>
    </row>
    <row r="158" customFormat="false" ht="15" hidden="false" customHeight="true" outlineLevel="0" collapsed="false">
      <c r="A158" s="111"/>
      <c r="B158" s="110"/>
      <c r="C158" s="171"/>
    </row>
    <row r="159" customFormat="false" ht="15" hidden="false" customHeight="true" outlineLevel="0" collapsed="false">
      <c r="A159" s="111"/>
      <c r="B159" s="110"/>
      <c r="C159" s="171"/>
    </row>
    <row r="160" customFormat="false" ht="15" hidden="false" customHeight="true" outlineLevel="0" collapsed="false">
      <c r="A160" s="111"/>
      <c r="B160" s="110"/>
      <c r="C160" s="171"/>
    </row>
    <row r="161" customFormat="false" ht="15" hidden="false" customHeight="true" outlineLevel="0" collapsed="false">
      <c r="A161" s="111"/>
      <c r="B161" s="110"/>
      <c r="C161" s="171"/>
    </row>
    <row r="162" customFormat="false" ht="15" hidden="false" customHeight="true" outlineLevel="0" collapsed="false">
      <c r="A162" s="111"/>
      <c r="B162" s="110"/>
      <c r="C162" s="171"/>
    </row>
    <row r="163" customFormat="false" ht="15" hidden="false" customHeight="true" outlineLevel="0" collapsed="false">
      <c r="A163" s="111"/>
      <c r="B163" s="110"/>
      <c r="C163" s="171"/>
    </row>
    <row r="164" customFormat="false" ht="15" hidden="false" customHeight="true" outlineLevel="0" collapsed="false">
      <c r="A164" s="111"/>
      <c r="B164" s="110"/>
      <c r="C164" s="171"/>
    </row>
    <row r="165" customFormat="false" ht="15" hidden="false" customHeight="true" outlineLevel="0" collapsed="false">
      <c r="A165" s="111"/>
      <c r="B165" s="110"/>
      <c r="C165" s="171"/>
    </row>
    <row r="166" customFormat="false" ht="15" hidden="false" customHeight="true" outlineLevel="0" collapsed="false">
      <c r="A166" s="111"/>
      <c r="B166" s="110"/>
      <c r="C166" s="171"/>
    </row>
    <row r="167" customFormat="false" ht="15" hidden="false" customHeight="true" outlineLevel="0" collapsed="false">
      <c r="A167" s="111"/>
      <c r="B167" s="110"/>
      <c r="C167" s="171"/>
    </row>
    <row r="168" customFormat="false" ht="15" hidden="false" customHeight="true" outlineLevel="0" collapsed="false">
      <c r="A168" s="111"/>
      <c r="B168" s="110"/>
      <c r="C168" s="171"/>
    </row>
    <row r="169" customFormat="false" ht="15" hidden="false" customHeight="true" outlineLevel="0" collapsed="false">
      <c r="A169" s="111"/>
      <c r="B169" s="110"/>
      <c r="C169" s="171"/>
    </row>
    <row r="170" customFormat="false" ht="15" hidden="false" customHeight="true" outlineLevel="0" collapsed="false">
      <c r="A170" s="111"/>
      <c r="B170" s="110"/>
      <c r="C170" s="171"/>
    </row>
    <row r="171" customFormat="false" ht="15" hidden="false" customHeight="true" outlineLevel="0" collapsed="false">
      <c r="A171" s="111"/>
      <c r="B171" s="110"/>
      <c r="C171" s="171"/>
    </row>
    <row r="172" customFormat="false" ht="15" hidden="false" customHeight="true" outlineLevel="0" collapsed="false">
      <c r="A172" s="111"/>
      <c r="B172" s="110"/>
      <c r="C172" s="171"/>
    </row>
    <row r="173" customFormat="false" ht="15" hidden="false" customHeight="true" outlineLevel="0" collapsed="false">
      <c r="A173" s="111"/>
      <c r="B173" s="110"/>
      <c r="C173" s="171"/>
    </row>
    <row r="174" customFormat="false" ht="15" hidden="false" customHeight="true" outlineLevel="0" collapsed="false">
      <c r="A174" s="111"/>
      <c r="B174" s="110"/>
      <c r="C174" s="171"/>
    </row>
    <row r="175" customFormat="false" ht="15" hidden="false" customHeight="true" outlineLevel="0" collapsed="false">
      <c r="A175" s="111"/>
      <c r="B175" s="110"/>
      <c r="C175" s="171"/>
    </row>
    <row r="176" customFormat="false" ht="15" hidden="false" customHeight="true" outlineLevel="0" collapsed="false">
      <c r="A176" s="111"/>
      <c r="B176" s="110"/>
      <c r="C176" s="171"/>
    </row>
    <row r="177" customFormat="false" ht="15" hidden="false" customHeight="true" outlineLevel="0" collapsed="false">
      <c r="A177" s="111"/>
      <c r="B177" s="110"/>
      <c r="C177" s="171"/>
    </row>
    <row r="178" customFormat="false" ht="15" hidden="false" customHeight="true" outlineLevel="0" collapsed="false">
      <c r="A178" s="111"/>
      <c r="B178" s="110"/>
      <c r="C178" s="171"/>
    </row>
    <row r="179" customFormat="false" ht="15" hidden="false" customHeight="true" outlineLevel="0" collapsed="false">
      <c r="A179" s="111"/>
      <c r="B179" s="110"/>
      <c r="C179" s="171"/>
    </row>
    <row r="180" customFormat="false" ht="15" hidden="false" customHeight="true" outlineLevel="0" collapsed="false">
      <c r="A180" s="111"/>
      <c r="B180" s="110"/>
      <c r="C180" s="171"/>
    </row>
    <row r="181" customFormat="false" ht="15" hidden="false" customHeight="true" outlineLevel="0" collapsed="false">
      <c r="A181" s="111"/>
      <c r="B181" s="110"/>
      <c r="C181" s="171"/>
    </row>
    <row r="182" customFormat="false" ht="15" hidden="false" customHeight="true" outlineLevel="0" collapsed="false">
      <c r="A182" s="111"/>
      <c r="B182" s="110"/>
      <c r="C182" s="171"/>
    </row>
    <row r="183" customFormat="false" ht="15" hidden="false" customHeight="true" outlineLevel="0" collapsed="false">
      <c r="A183" s="111"/>
      <c r="B183" s="110"/>
      <c r="C183" s="171"/>
    </row>
    <row r="184" customFormat="false" ht="15" hidden="false" customHeight="true" outlineLevel="0" collapsed="false">
      <c r="A184" s="111"/>
      <c r="B184" s="110"/>
      <c r="C184" s="171"/>
    </row>
    <row r="185" customFormat="false" ht="15" hidden="false" customHeight="true" outlineLevel="0" collapsed="false">
      <c r="A185" s="111"/>
      <c r="B185" s="110"/>
      <c r="C185" s="171"/>
    </row>
    <row r="186" customFormat="false" ht="15" hidden="false" customHeight="true" outlineLevel="0" collapsed="false">
      <c r="A186" s="111"/>
      <c r="B186" s="110"/>
      <c r="C186" s="171"/>
    </row>
    <row r="187" customFormat="false" ht="15" hidden="false" customHeight="true" outlineLevel="0" collapsed="false">
      <c r="A187" s="111"/>
      <c r="B187" s="110"/>
      <c r="C187" s="171"/>
    </row>
    <row r="188" customFormat="false" ht="15" hidden="false" customHeight="true" outlineLevel="0" collapsed="false">
      <c r="A188" s="111"/>
      <c r="B188" s="110"/>
      <c r="C188" s="171"/>
    </row>
    <row r="189" customFormat="false" ht="15" hidden="false" customHeight="true" outlineLevel="0" collapsed="false">
      <c r="A189" s="111"/>
      <c r="B189" s="110"/>
      <c r="C189" s="171"/>
    </row>
    <row r="190" customFormat="false" ht="15" hidden="false" customHeight="true" outlineLevel="0" collapsed="false">
      <c r="A190" s="111"/>
      <c r="B190" s="110"/>
      <c r="C190" s="171"/>
    </row>
    <row r="191" customFormat="false" ht="15" hidden="false" customHeight="true" outlineLevel="0" collapsed="false">
      <c r="A191" s="111"/>
      <c r="B191" s="110"/>
      <c r="C191" s="171"/>
    </row>
    <row r="192" customFormat="false" ht="15" hidden="false" customHeight="true" outlineLevel="0" collapsed="false">
      <c r="A192" s="111"/>
      <c r="B192" s="110"/>
      <c r="C192" s="171"/>
    </row>
    <row r="193" customFormat="false" ht="15" hidden="false" customHeight="true" outlineLevel="0" collapsed="false">
      <c r="A193" s="111"/>
      <c r="B193" s="110"/>
      <c r="C193" s="171"/>
    </row>
    <row r="194" customFormat="false" ht="15" hidden="false" customHeight="true" outlineLevel="0" collapsed="false">
      <c r="A194" s="111"/>
      <c r="B194" s="110"/>
      <c r="C194" s="171"/>
    </row>
    <row r="195" customFormat="false" ht="15" hidden="false" customHeight="true" outlineLevel="0" collapsed="false">
      <c r="A195" s="111"/>
      <c r="B195" s="110"/>
      <c r="C195" s="171"/>
    </row>
    <row r="196" customFormat="false" ht="15" hidden="false" customHeight="true" outlineLevel="0" collapsed="false">
      <c r="A196" s="111"/>
      <c r="B196" s="110"/>
      <c r="C196" s="171"/>
    </row>
    <row r="197" customFormat="false" ht="15" hidden="false" customHeight="true" outlineLevel="0" collapsed="false">
      <c r="A197" s="111"/>
      <c r="B197" s="110"/>
      <c r="C197" s="171"/>
    </row>
    <row r="198" customFormat="false" ht="15" hidden="false" customHeight="true" outlineLevel="0" collapsed="false">
      <c r="A198" s="111"/>
      <c r="B198" s="110"/>
      <c r="C198" s="171"/>
    </row>
    <row r="199" customFormat="false" ht="15" hidden="false" customHeight="true" outlineLevel="0" collapsed="false">
      <c r="A199" s="111"/>
      <c r="B199" s="110"/>
      <c r="C199" s="171"/>
    </row>
    <row r="200" customFormat="false" ht="15" hidden="false" customHeight="true" outlineLevel="0" collapsed="false">
      <c r="A200" s="111"/>
      <c r="B200" s="110"/>
      <c r="C200" s="171"/>
    </row>
    <row r="201" customFormat="false" ht="15" hidden="false" customHeight="true" outlineLevel="0" collapsed="false">
      <c r="A201" s="111"/>
      <c r="B201" s="110"/>
      <c r="C201" s="171"/>
    </row>
    <row r="202" customFormat="false" ht="15" hidden="false" customHeight="true" outlineLevel="0" collapsed="false">
      <c r="A202" s="111"/>
      <c r="B202" s="110"/>
      <c r="C202" s="171"/>
    </row>
    <row r="203" customFormat="false" ht="15" hidden="false" customHeight="true" outlineLevel="0" collapsed="false">
      <c r="A203" s="111"/>
      <c r="B203" s="110"/>
      <c r="C203" s="171"/>
    </row>
    <row r="204" customFormat="false" ht="15" hidden="false" customHeight="true" outlineLevel="0" collapsed="false">
      <c r="A204" s="111"/>
      <c r="B204" s="110"/>
      <c r="C204" s="171"/>
    </row>
    <row r="205" customFormat="false" ht="15" hidden="false" customHeight="true" outlineLevel="0" collapsed="false">
      <c r="A205" s="111"/>
      <c r="B205" s="110"/>
      <c r="C205" s="171"/>
    </row>
    <row r="206" customFormat="false" ht="15" hidden="false" customHeight="true" outlineLevel="0" collapsed="false">
      <c r="A206" s="111"/>
      <c r="B206" s="110"/>
      <c r="C206" s="171"/>
    </row>
    <row r="207" customFormat="false" ht="15" hidden="false" customHeight="true" outlineLevel="0" collapsed="false">
      <c r="A207" s="111"/>
      <c r="B207" s="110"/>
      <c r="C207" s="171"/>
    </row>
    <row r="208" customFormat="false" ht="15" hidden="false" customHeight="true" outlineLevel="0" collapsed="false">
      <c r="A208" s="111"/>
      <c r="B208" s="110"/>
      <c r="C208" s="171"/>
    </row>
    <row r="209" customFormat="false" ht="15" hidden="false" customHeight="true" outlineLevel="0" collapsed="false">
      <c r="A209" s="111"/>
      <c r="B209" s="110"/>
      <c r="C209" s="171"/>
    </row>
    <row r="210" customFormat="false" ht="15" hidden="false" customHeight="true" outlineLevel="0" collapsed="false">
      <c r="A210" s="111"/>
      <c r="B210" s="110"/>
      <c r="C210" s="171"/>
    </row>
    <row r="211" customFormat="false" ht="15" hidden="false" customHeight="true" outlineLevel="0" collapsed="false">
      <c r="A211" s="111"/>
      <c r="B211" s="110"/>
      <c r="C211" s="171"/>
    </row>
    <row r="212" customFormat="false" ht="15" hidden="false" customHeight="true" outlineLevel="0" collapsed="false">
      <c r="A212" s="111"/>
      <c r="B212" s="110"/>
      <c r="C212" s="171"/>
    </row>
    <row r="213" customFormat="false" ht="15" hidden="false" customHeight="true" outlineLevel="0" collapsed="false">
      <c r="A213" s="111"/>
      <c r="B213" s="110"/>
      <c r="C213" s="171"/>
    </row>
    <row r="214" customFormat="false" ht="15" hidden="false" customHeight="true" outlineLevel="0" collapsed="false">
      <c r="A214" s="111"/>
      <c r="B214" s="110"/>
      <c r="C214" s="171"/>
    </row>
    <row r="215" customFormat="false" ht="15" hidden="false" customHeight="true" outlineLevel="0" collapsed="false">
      <c r="A215" s="111"/>
      <c r="B215" s="110"/>
      <c r="C215" s="171"/>
    </row>
    <row r="216" customFormat="false" ht="15" hidden="false" customHeight="true" outlineLevel="0" collapsed="false">
      <c r="A216" s="111"/>
      <c r="B216" s="110"/>
      <c r="C216" s="171"/>
    </row>
    <row r="217" customFormat="false" ht="15" hidden="false" customHeight="true" outlineLevel="0" collapsed="false">
      <c r="A217" s="111"/>
      <c r="B217" s="110"/>
      <c r="C217" s="171"/>
    </row>
    <row r="218" customFormat="false" ht="15" hidden="false" customHeight="true" outlineLevel="0" collapsed="false">
      <c r="A218" s="111"/>
      <c r="B218" s="110"/>
      <c r="C218" s="171"/>
    </row>
    <row r="219" customFormat="false" ht="15" hidden="false" customHeight="true" outlineLevel="0" collapsed="false">
      <c r="A219" s="111"/>
      <c r="B219" s="110"/>
      <c r="C219" s="171"/>
    </row>
    <row r="220" customFormat="false" ht="15" hidden="false" customHeight="true" outlineLevel="0" collapsed="false">
      <c r="A220" s="111"/>
      <c r="B220" s="110"/>
      <c r="C220" s="171"/>
    </row>
    <row r="221" customFormat="false" ht="15" hidden="false" customHeight="true" outlineLevel="0" collapsed="false">
      <c r="A221" s="111"/>
      <c r="B221" s="110"/>
      <c r="C221" s="171"/>
    </row>
    <row r="222" customFormat="false" ht="15" hidden="false" customHeight="true" outlineLevel="0" collapsed="false">
      <c r="A222" s="111"/>
      <c r="B222" s="110"/>
      <c r="C222" s="171"/>
    </row>
    <row r="223" customFormat="false" ht="15" hidden="false" customHeight="true" outlineLevel="0" collapsed="false">
      <c r="A223" s="111"/>
      <c r="B223" s="110"/>
      <c r="C223" s="171"/>
    </row>
    <row r="224" customFormat="false" ht="15" hidden="false" customHeight="true" outlineLevel="0" collapsed="false">
      <c r="A224" s="111"/>
      <c r="B224" s="110"/>
      <c r="C224" s="171"/>
    </row>
    <row r="225" customFormat="false" ht="15" hidden="false" customHeight="true" outlineLevel="0" collapsed="false">
      <c r="A225" s="111"/>
      <c r="B225" s="110"/>
      <c r="C225" s="171"/>
    </row>
    <row r="226" customFormat="false" ht="15" hidden="false" customHeight="true" outlineLevel="0" collapsed="false">
      <c r="A226" s="111"/>
      <c r="B226" s="110"/>
      <c r="C226" s="171"/>
    </row>
    <row r="227" customFormat="false" ht="15" hidden="false" customHeight="true" outlineLevel="0" collapsed="false">
      <c r="A227" s="111"/>
      <c r="B227" s="110"/>
      <c r="C227" s="171"/>
    </row>
    <row r="228" customFormat="false" ht="15" hidden="false" customHeight="true" outlineLevel="0" collapsed="false">
      <c r="A228" s="111"/>
      <c r="B228" s="110"/>
      <c r="C228" s="171"/>
    </row>
    <row r="229" customFormat="false" ht="15" hidden="false" customHeight="true" outlineLevel="0" collapsed="false">
      <c r="A229" s="111"/>
      <c r="B229" s="110"/>
      <c r="C229" s="171"/>
    </row>
    <row r="230" customFormat="false" ht="15" hidden="false" customHeight="true" outlineLevel="0" collapsed="false">
      <c r="A230" s="111"/>
      <c r="B230" s="110"/>
      <c r="C230" s="171"/>
    </row>
    <row r="231" customFormat="false" ht="15" hidden="false" customHeight="true" outlineLevel="0" collapsed="false">
      <c r="A231" s="111"/>
      <c r="B231" s="110"/>
      <c r="C231" s="171"/>
    </row>
    <row r="232" customFormat="false" ht="15" hidden="false" customHeight="true" outlineLevel="0" collapsed="false">
      <c r="A232" s="111"/>
      <c r="B232" s="110"/>
      <c r="C232" s="171"/>
    </row>
    <row r="233" customFormat="false" ht="15" hidden="false" customHeight="true" outlineLevel="0" collapsed="false">
      <c r="A233" s="111"/>
      <c r="B233" s="110"/>
      <c r="C233" s="171"/>
    </row>
    <row r="234" customFormat="false" ht="15" hidden="false" customHeight="true" outlineLevel="0" collapsed="false">
      <c r="A234" s="111"/>
      <c r="B234" s="110"/>
      <c r="C234" s="171"/>
    </row>
    <row r="235" customFormat="false" ht="15" hidden="false" customHeight="true" outlineLevel="0" collapsed="false">
      <c r="A235" s="111"/>
      <c r="B235" s="110"/>
      <c r="C235" s="171"/>
    </row>
    <row r="236" customFormat="false" ht="15" hidden="false" customHeight="true" outlineLevel="0" collapsed="false">
      <c r="A236" s="111"/>
      <c r="B236" s="110"/>
      <c r="C236" s="171"/>
    </row>
    <row r="237" customFormat="false" ht="15" hidden="false" customHeight="true" outlineLevel="0" collapsed="false">
      <c r="A237" s="111"/>
      <c r="B237" s="110"/>
      <c r="C237" s="171"/>
    </row>
    <row r="238" customFormat="false" ht="15" hidden="false" customHeight="true" outlineLevel="0" collapsed="false">
      <c r="A238" s="111"/>
      <c r="B238" s="110"/>
      <c r="C238" s="171"/>
    </row>
    <row r="239" customFormat="false" ht="15" hidden="false" customHeight="true" outlineLevel="0" collapsed="false">
      <c r="A239" s="111"/>
      <c r="B239" s="110"/>
      <c r="C239" s="171"/>
    </row>
    <row r="240" customFormat="false" ht="15" hidden="false" customHeight="true" outlineLevel="0" collapsed="false">
      <c r="A240" s="111"/>
      <c r="B240" s="110"/>
      <c r="C240" s="171"/>
    </row>
    <row r="241" customFormat="false" ht="15" hidden="false" customHeight="true" outlineLevel="0" collapsed="false">
      <c r="A241" s="111"/>
      <c r="B241" s="110"/>
      <c r="C241" s="171"/>
    </row>
    <row r="242" customFormat="false" ht="15" hidden="false" customHeight="true" outlineLevel="0" collapsed="false">
      <c r="A242" s="111"/>
      <c r="B242" s="110"/>
      <c r="C242" s="171"/>
    </row>
    <row r="243" customFormat="false" ht="15" hidden="false" customHeight="true" outlineLevel="0" collapsed="false">
      <c r="A243" s="111"/>
      <c r="B243" s="110"/>
      <c r="C243" s="171"/>
    </row>
    <row r="244" customFormat="false" ht="15" hidden="false" customHeight="true" outlineLevel="0" collapsed="false">
      <c r="A244" s="111"/>
      <c r="B244" s="110"/>
      <c r="C244" s="171"/>
    </row>
    <row r="245" customFormat="false" ht="15" hidden="false" customHeight="true" outlineLevel="0" collapsed="false">
      <c r="A245" s="111"/>
      <c r="B245" s="110"/>
      <c r="C245" s="171"/>
    </row>
    <row r="246" customFormat="false" ht="15" hidden="false" customHeight="true" outlineLevel="0" collapsed="false">
      <c r="A246" s="111"/>
      <c r="B246" s="110"/>
      <c r="C246" s="171"/>
    </row>
    <row r="247" customFormat="false" ht="15" hidden="false" customHeight="true" outlineLevel="0" collapsed="false">
      <c r="A247" s="111"/>
      <c r="B247" s="110"/>
      <c r="C247" s="171"/>
    </row>
    <row r="248" customFormat="false" ht="15" hidden="false" customHeight="true" outlineLevel="0" collapsed="false">
      <c r="A248" s="111"/>
      <c r="B248" s="110"/>
      <c r="C248" s="171"/>
    </row>
    <row r="249" customFormat="false" ht="15" hidden="false" customHeight="true" outlineLevel="0" collapsed="false">
      <c r="A249" s="111"/>
      <c r="B249" s="110"/>
      <c r="C249" s="171"/>
    </row>
    <row r="250" customFormat="false" ht="15" hidden="false" customHeight="true" outlineLevel="0" collapsed="false">
      <c r="A250" s="111"/>
      <c r="B250" s="110"/>
      <c r="C250" s="171"/>
    </row>
    <row r="251" customFormat="false" ht="15" hidden="false" customHeight="true" outlineLevel="0" collapsed="false">
      <c r="A251" s="111"/>
      <c r="B251" s="110"/>
      <c r="C251" s="171"/>
    </row>
    <row r="252" customFormat="false" ht="15" hidden="false" customHeight="true" outlineLevel="0" collapsed="false">
      <c r="A252" s="111"/>
      <c r="B252" s="110"/>
      <c r="C252" s="171"/>
    </row>
    <row r="253" customFormat="false" ht="15" hidden="false" customHeight="true" outlineLevel="0" collapsed="false">
      <c r="A253" s="111"/>
      <c r="B253" s="110"/>
      <c r="C253" s="171"/>
    </row>
    <row r="254" customFormat="false" ht="15" hidden="false" customHeight="true" outlineLevel="0" collapsed="false">
      <c r="A254" s="111"/>
      <c r="B254" s="110"/>
      <c r="C254" s="171"/>
    </row>
    <row r="255" customFormat="false" ht="15" hidden="false" customHeight="true" outlineLevel="0" collapsed="false">
      <c r="A255" s="111"/>
      <c r="B255" s="110"/>
      <c r="C255" s="171"/>
    </row>
    <row r="256" customFormat="false" ht="15" hidden="false" customHeight="true" outlineLevel="0" collapsed="false">
      <c r="A256" s="111"/>
      <c r="B256" s="110"/>
      <c r="C256" s="171"/>
    </row>
    <row r="257" customFormat="false" ht="15" hidden="false" customHeight="true" outlineLevel="0" collapsed="false">
      <c r="A257" s="111"/>
      <c r="B257" s="110"/>
      <c r="C257" s="171"/>
    </row>
    <row r="258" customFormat="false" ht="15" hidden="false" customHeight="true" outlineLevel="0" collapsed="false">
      <c r="A258" s="111"/>
      <c r="B258" s="110"/>
      <c r="C258" s="171"/>
    </row>
    <row r="259" customFormat="false" ht="15" hidden="false" customHeight="true" outlineLevel="0" collapsed="false">
      <c r="A259" s="111"/>
      <c r="B259" s="110"/>
      <c r="C259" s="171"/>
    </row>
    <row r="260" customFormat="false" ht="15" hidden="false" customHeight="true" outlineLevel="0" collapsed="false">
      <c r="A260" s="111"/>
      <c r="B260" s="110"/>
      <c r="C260" s="171"/>
    </row>
    <row r="261" customFormat="false" ht="15" hidden="false" customHeight="true" outlineLevel="0" collapsed="false">
      <c r="A261" s="111"/>
      <c r="B261" s="110"/>
      <c r="C261" s="171"/>
    </row>
    <row r="262" customFormat="false" ht="15" hidden="false" customHeight="true" outlineLevel="0" collapsed="false">
      <c r="A262" s="111"/>
      <c r="B262" s="110"/>
      <c r="C262" s="171"/>
    </row>
    <row r="263" customFormat="false" ht="15" hidden="false" customHeight="true" outlineLevel="0" collapsed="false">
      <c r="A263" s="111"/>
      <c r="B263" s="110"/>
      <c r="C263" s="171"/>
    </row>
    <row r="264" customFormat="false" ht="15" hidden="false" customHeight="true" outlineLevel="0" collapsed="false">
      <c r="A264" s="111"/>
      <c r="B264" s="110"/>
      <c r="C264" s="171"/>
    </row>
    <row r="265" customFormat="false" ht="15" hidden="false" customHeight="true" outlineLevel="0" collapsed="false">
      <c r="A265" s="111"/>
      <c r="B265" s="110"/>
      <c r="C265" s="171"/>
    </row>
    <row r="266" customFormat="false" ht="15" hidden="false" customHeight="true" outlineLevel="0" collapsed="false">
      <c r="A266" s="111"/>
      <c r="B266" s="110"/>
      <c r="C266" s="171"/>
    </row>
    <row r="267" customFormat="false" ht="15" hidden="false" customHeight="true" outlineLevel="0" collapsed="false">
      <c r="A267" s="111"/>
      <c r="B267" s="110"/>
      <c r="C267" s="171"/>
    </row>
    <row r="268" customFormat="false" ht="15" hidden="false" customHeight="true" outlineLevel="0" collapsed="false">
      <c r="A268" s="111"/>
      <c r="B268" s="110"/>
      <c r="C268" s="171"/>
    </row>
    <row r="269" customFormat="false" ht="15" hidden="false" customHeight="true" outlineLevel="0" collapsed="false">
      <c r="A269" s="111"/>
      <c r="B269" s="110"/>
      <c r="C269" s="171"/>
    </row>
    <row r="270" customFormat="false" ht="15" hidden="false" customHeight="true" outlineLevel="0" collapsed="false">
      <c r="A270" s="111"/>
      <c r="B270" s="110"/>
      <c r="C270" s="171"/>
    </row>
    <row r="271" customFormat="false" ht="15" hidden="false" customHeight="true" outlineLevel="0" collapsed="false">
      <c r="A271" s="111"/>
      <c r="B271" s="110"/>
      <c r="C271" s="171"/>
    </row>
    <row r="272" customFormat="false" ht="15" hidden="false" customHeight="true" outlineLevel="0" collapsed="false">
      <c r="A272" s="111"/>
      <c r="B272" s="110"/>
      <c r="C272" s="171"/>
    </row>
    <row r="273" customFormat="false" ht="15" hidden="false" customHeight="true" outlineLevel="0" collapsed="false">
      <c r="A273" s="111"/>
      <c r="B273" s="110"/>
      <c r="C273" s="171"/>
    </row>
    <row r="274" customFormat="false" ht="15" hidden="false" customHeight="true" outlineLevel="0" collapsed="false">
      <c r="A274" s="111"/>
      <c r="B274" s="110"/>
      <c r="C274" s="171"/>
    </row>
    <row r="275" customFormat="false" ht="15" hidden="false" customHeight="true" outlineLevel="0" collapsed="false">
      <c r="A275" s="111"/>
      <c r="B275" s="110"/>
      <c r="C275" s="171"/>
    </row>
    <row r="276" customFormat="false" ht="15" hidden="false" customHeight="true" outlineLevel="0" collapsed="false">
      <c r="A276" s="111"/>
      <c r="B276" s="110"/>
      <c r="C276" s="171"/>
    </row>
    <row r="277" customFormat="false" ht="15" hidden="false" customHeight="true" outlineLevel="0" collapsed="false">
      <c r="A277" s="111"/>
      <c r="B277" s="110"/>
      <c r="C277" s="171"/>
    </row>
    <row r="278" customFormat="false" ht="15" hidden="false" customHeight="true" outlineLevel="0" collapsed="false">
      <c r="A278" s="111"/>
      <c r="B278" s="110"/>
      <c r="C278" s="171"/>
    </row>
    <row r="279" customFormat="false" ht="15" hidden="false" customHeight="true" outlineLevel="0" collapsed="false">
      <c r="A279" s="111"/>
      <c r="B279" s="110"/>
      <c r="C279" s="171"/>
    </row>
    <row r="280" customFormat="false" ht="15" hidden="false" customHeight="true" outlineLevel="0" collapsed="false">
      <c r="A280" s="111"/>
      <c r="B280" s="110"/>
      <c r="C280" s="171"/>
    </row>
    <row r="281" customFormat="false" ht="15" hidden="false" customHeight="true" outlineLevel="0" collapsed="false">
      <c r="A281" s="111"/>
      <c r="B281" s="110"/>
      <c r="C281" s="171"/>
    </row>
    <row r="282" customFormat="false" ht="15" hidden="false" customHeight="true" outlineLevel="0" collapsed="false">
      <c r="A282" s="111"/>
      <c r="B282" s="110"/>
      <c r="C282" s="171"/>
    </row>
    <row r="283" customFormat="false" ht="15" hidden="false" customHeight="true" outlineLevel="0" collapsed="false">
      <c r="A283" s="111"/>
      <c r="B283" s="110"/>
      <c r="C283" s="171"/>
    </row>
    <row r="284" customFormat="false" ht="15" hidden="false" customHeight="true" outlineLevel="0" collapsed="false">
      <c r="A284" s="111"/>
      <c r="B284" s="110"/>
      <c r="C284" s="171"/>
    </row>
    <row r="285" customFormat="false" ht="15" hidden="false" customHeight="true" outlineLevel="0" collapsed="false">
      <c r="A285" s="111"/>
      <c r="B285" s="110"/>
      <c r="C285" s="171"/>
    </row>
    <row r="286" customFormat="false" ht="15" hidden="false" customHeight="true" outlineLevel="0" collapsed="false">
      <c r="A286" s="111"/>
      <c r="B286" s="110"/>
      <c r="C286" s="171"/>
    </row>
    <row r="287" customFormat="false" ht="15" hidden="false" customHeight="true" outlineLevel="0" collapsed="false">
      <c r="A287" s="111"/>
      <c r="B287" s="110"/>
      <c r="C287" s="171"/>
    </row>
    <row r="288" customFormat="false" ht="15" hidden="false" customHeight="true" outlineLevel="0" collapsed="false">
      <c r="A288" s="111"/>
      <c r="B288" s="110"/>
      <c r="C288" s="171"/>
    </row>
    <row r="289" customFormat="false" ht="15" hidden="false" customHeight="true" outlineLevel="0" collapsed="false">
      <c r="A289" s="111"/>
      <c r="B289" s="110"/>
      <c r="C289" s="171"/>
    </row>
    <row r="290" customFormat="false" ht="15" hidden="false" customHeight="true" outlineLevel="0" collapsed="false">
      <c r="A290" s="111"/>
      <c r="B290" s="110"/>
      <c r="C290" s="171"/>
    </row>
    <row r="291" customFormat="false" ht="15" hidden="false" customHeight="true" outlineLevel="0" collapsed="false">
      <c r="A291" s="111"/>
      <c r="B291" s="110"/>
      <c r="C291" s="171"/>
    </row>
    <row r="292" customFormat="false" ht="15" hidden="false" customHeight="true" outlineLevel="0" collapsed="false">
      <c r="A292" s="111"/>
      <c r="B292" s="110"/>
      <c r="C292" s="171"/>
    </row>
    <row r="293" customFormat="false" ht="15" hidden="false" customHeight="true" outlineLevel="0" collapsed="false">
      <c r="A293" s="111"/>
      <c r="B293" s="110"/>
      <c r="C293" s="171"/>
    </row>
    <row r="294" customFormat="false" ht="15" hidden="false" customHeight="true" outlineLevel="0" collapsed="false">
      <c r="A294" s="111"/>
      <c r="B294" s="110"/>
      <c r="C294" s="171"/>
    </row>
    <row r="295" customFormat="false" ht="15" hidden="false" customHeight="true" outlineLevel="0" collapsed="false">
      <c r="A295" s="111"/>
      <c r="B295" s="110"/>
      <c r="C295" s="171"/>
    </row>
    <row r="296" customFormat="false" ht="15" hidden="false" customHeight="true" outlineLevel="0" collapsed="false">
      <c r="A296" s="111"/>
      <c r="B296" s="110"/>
      <c r="C296" s="171"/>
    </row>
    <row r="297" customFormat="false" ht="15" hidden="false" customHeight="true" outlineLevel="0" collapsed="false">
      <c r="A297" s="111"/>
      <c r="B297" s="110"/>
      <c r="C297" s="171"/>
    </row>
    <row r="298" customFormat="false" ht="15" hidden="false" customHeight="true" outlineLevel="0" collapsed="false">
      <c r="A298" s="111"/>
      <c r="B298" s="110"/>
      <c r="C298" s="171"/>
    </row>
    <row r="299" customFormat="false" ht="15" hidden="false" customHeight="true" outlineLevel="0" collapsed="false">
      <c r="A299" s="111"/>
      <c r="B299" s="110"/>
      <c r="C299" s="171"/>
    </row>
    <row r="300" customFormat="false" ht="15" hidden="false" customHeight="true" outlineLevel="0" collapsed="false">
      <c r="A300" s="111"/>
      <c r="B300" s="110"/>
      <c r="C300" s="171"/>
    </row>
    <row r="301" customFormat="false" ht="15" hidden="false" customHeight="true" outlineLevel="0" collapsed="false">
      <c r="A301" s="111"/>
      <c r="B301" s="110"/>
      <c r="C301" s="171"/>
    </row>
    <row r="302" customFormat="false" ht="15" hidden="false" customHeight="true" outlineLevel="0" collapsed="false">
      <c r="A302" s="111"/>
      <c r="B302" s="110"/>
      <c r="C302" s="171"/>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541</v>
      </c>
      <c r="B1" s="8"/>
      <c r="C1" s="8"/>
      <c r="D1" s="8"/>
      <c r="E1" s="8"/>
      <c r="F1" s="8"/>
    </row>
    <row r="2" customFormat="false" ht="39.75" hidden="false" customHeight="true" outlineLevel="0" collapsed="false">
      <c r="A2" s="173" t="s">
        <v>542</v>
      </c>
      <c r="B2" s="173"/>
      <c r="C2" s="173"/>
      <c r="D2" s="173"/>
      <c r="E2" s="173"/>
      <c r="F2" s="173"/>
    </row>
    <row r="4" customFormat="false" ht="15" hidden="false" customHeight="true" outlineLevel="0" collapsed="false">
      <c r="A4" s="174" t="s">
        <v>543</v>
      </c>
      <c r="B4" s="174"/>
      <c r="C4" s="174"/>
      <c r="D4" s="174"/>
      <c r="E4" s="174"/>
      <c r="F4" s="174"/>
    </row>
    <row r="5" customFormat="false" ht="15" hidden="false" customHeight="true" outlineLevel="0" collapsed="false">
      <c r="A5" s="175" t="s">
        <v>544</v>
      </c>
      <c r="B5" s="175" t="s">
        <v>545</v>
      </c>
      <c r="C5" s="175" t="s">
        <v>546</v>
      </c>
      <c r="D5" s="175" t="s">
        <v>547</v>
      </c>
    </row>
    <row r="6" customFormat="false" ht="15" hidden="false" customHeight="true" outlineLevel="0" collapsed="false">
      <c r="A6" s="176" t="s">
        <v>548</v>
      </c>
      <c r="B6" s="176" t="s">
        <v>549</v>
      </c>
      <c r="C6" s="176" t="s">
        <v>549</v>
      </c>
      <c r="D6" s="176" t="s">
        <v>550</v>
      </c>
      <c r="E6" s="176"/>
      <c r="F6" s="176"/>
    </row>
    <row r="8" customFormat="false" ht="15" hidden="false" customHeight="true" outlineLevel="0" collapsed="false">
      <c r="A8" s="174" t="s">
        <v>551</v>
      </c>
      <c r="B8" s="174"/>
      <c r="C8" s="174"/>
      <c r="D8" s="174"/>
      <c r="E8" s="174"/>
      <c r="F8" s="174"/>
    </row>
    <row r="9" customFormat="false" ht="15" hidden="false" customHeight="true" outlineLevel="0" collapsed="false">
      <c r="A9" s="175" t="s">
        <v>544</v>
      </c>
      <c r="B9" s="175" t="s">
        <v>545</v>
      </c>
      <c r="C9" s="175" t="s">
        <v>546</v>
      </c>
      <c r="D9" s="175" t="s">
        <v>547</v>
      </c>
    </row>
    <row r="10" customFormat="false" ht="27.75" hidden="false" customHeight="true" outlineLevel="0" collapsed="false">
      <c r="A10" s="176" t="s">
        <v>552</v>
      </c>
      <c r="B10" s="176" t="s">
        <v>549</v>
      </c>
      <c r="C10" s="176" t="s">
        <v>553</v>
      </c>
      <c r="D10" s="176" t="s">
        <v>554</v>
      </c>
      <c r="E10" s="176"/>
      <c r="F10" s="176"/>
    </row>
    <row r="12" customFormat="false" ht="15" hidden="false" customHeight="true" outlineLevel="0" collapsed="false">
      <c r="A12" s="174" t="s">
        <v>555</v>
      </c>
      <c r="B12" s="174"/>
      <c r="C12" s="174"/>
      <c r="D12" s="174"/>
      <c r="E12" s="174"/>
      <c r="F12" s="174"/>
    </row>
    <row r="13" customFormat="false" ht="15" hidden="false" customHeight="true" outlineLevel="0" collapsed="false">
      <c r="A13" s="175" t="s">
        <v>544</v>
      </c>
      <c r="B13" s="175" t="s">
        <v>545</v>
      </c>
      <c r="C13" s="175" t="s">
        <v>546</v>
      </c>
      <c r="D13" s="175" t="s">
        <v>547</v>
      </c>
    </row>
    <row r="14" customFormat="false" ht="36.75" hidden="false" customHeight="true" outlineLevel="0" collapsed="false">
      <c r="A14" s="176" t="s">
        <v>556</v>
      </c>
      <c r="B14" s="176" t="s">
        <v>557</v>
      </c>
      <c r="C14" s="176" t="s">
        <v>558</v>
      </c>
      <c r="D14" s="176" t="s">
        <v>559</v>
      </c>
      <c r="E14" s="176"/>
      <c r="F14" s="176"/>
    </row>
    <row r="16" customFormat="false" ht="15" hidden="false" customHeight="true" outlineLevel="0" collapsed="false">
      <c r="A16" s="174" t="s">
        <v>560</v>
      </c>
      <c r="B16" s="174"/>
      <c r="C16" s="174"/>
      <c r="D16" s="174"/>
      <c r="E16" s="174"/>
      <c r="F16" s="174"/>
    </row>
    <row r="17" customFormat="false" ht="15" hidden="false" customHeight="true" outlineLevel="0" collapsed="false">
      <c r="A17" s="175" t="s">
        <v>544</v>
      </c>
      <c r="B17" s="175" t="s">
        <v>545</v>
      </c>
      <c r="C17" s="175" t="s">
        <v>546</v>
      </c>
      <c r="D17" s="175" t="s">
        <v>547</v>
      </c>
    </row>
    <row r="18" customFormat="false" ht="18.75" hidden="false" customHeight="true" outlineLevel="0" collapsed="false">
      <c r="A18" s="176" t="s">
        <v>561</v>
      </c>
      <c r="B18" s="176" t="s">
        <v>549</v>
      </c>
      <c r="C18" s="176" t="s">
        <v>562</v>
      </c>
      <c r="D18" s="176" t="s">
        <v>563</v>
      </c>
      <c r="E18" s="176"/>
      <c r="F18" s="176"/>
    </row>
    <row r="20" customFormat="false" ht="15" hidden="false" customHeight="true" outlineLevel="0" collapsed="false">
      <c r="A20" s="174" t="s">
        <v>564</v>
      </c>
      <c r="B20" s="174"/>
      <c r="C20" s="174"/>
      <c r="D20" s="174"/>
      <c r="E20" s="174"/>
      <c r="F20" s="174"/>
    </row>
    <row r="21" customFormat="false" ht="15" hidden="false" customHeight="true" outlineLevel="0" collapsed="false">
      <c r="A21" s="175" t="s">
        <v>544</v>
      </c>
      <c r="B21" s="175" t="s">
        <v>545</v>
      </c>
      <c r="C21" s="175" t="s">
        <v>546</v>
      </c>
      <c r="D21" s="175" t="s">
        <v>547</v>
      </c>
    </row>
    <row r="22" customFormat="false" ht="63.75" hidden="false" customHeight="true" outlineLevel="0" collapsed="false">
      <c r="A22" s="176" t="s">
        <v>565</v>
      </c>
      <c r="B22" s="176" t="s">
        <v>566</v>
      </c>
      <c r="C22" s="176" t="s">
        <v>567</v>
      </c>
      <c r="D22" s="176" t="s">
        <v>568</v>
      </c>
      <c r="E22" s="176"/>
      <c r="F22" s="176"/>
    </row>
    <row r="24" customFormat="false" ht="15" hidden="false" customHeight="true" outlineLevel="0" collapsed="false">
      <c r="A24" s="174" t="s">
        <v>569</v>
      </c>
      <c r="B24" s="174"/>
      <c r="C24" s="174"/>
      <c r="D24" s="174"/>
      <c r="E24" s="174"/>
      <c r="F24" s="174"/>
    </row>
    <row r="25" customFormat="false" ht="15" hidden="false" customHeight="true" outlineLevel="0" collapsed="false">
      <c r="A25" s="175" t="s">
        <v>544</v>
      </c>
      <c r="B25" s="175" t="s">
        <v>545</v>
      </c>
      <c r="C25" s="175" t="s">
        <v>546</v>
      </c>
      <c r="D25" s="175" t="s">
        <v>547</v>
      </c>
    </row>
    <row r="26" customFormat="false" ht="45.75" hidden="false" customHeight="true" outlineLevel="0" collapsed="false">
      <c r="A26" s="176" t="s">
        <v>565</v>
      </c>
      <c r="B26" s="176" t="s">
        <v>570</v>
      </c>
      <c r="C26" s="176" t="s">
        <v>571</v>
      </c>
      <c r="D26" s="176" t="s">
        <v>572</v>
      </c>
      <c r="E26" s="176"/>
      <c r="F26" s="176"/>
    </row>
    <row r="28" customFormat="false" ht="15" hidden="false" customHeight="true" outlineLevel="0" collapsed="false">
      <c r="A28" s="174" t="s">
        <v>573</v>
      </c>
      <c r="B28" s="174"/>
      <c r="C28" s="174"/>
      <c r="D28" s="174"/>
      <c r="E28" s="174"/>
      <c r="F28" s="174"/>
    </row>
    <row r="29" customFormat="false" ht="15" hidden="false" customHeight="true" outlineLevel="0" collapsed="false">
      <c r="A29" s="175" t="s">
        <v>544</v>
      </c>
      <c r="B29" s="175" t="s">
        <v>545</v>
      </c>
      <c r="C29" s="175" t="s">
        <v>546</v>
      </c>
      <c r="D29" s="175" t="s">
        <v>547</v>
      </c>
    </row>
    <row r="30" customFormat="false" ht="27.75" hidden="false" customHeight="true" outlineLevel="0" collapsed="false">
      <c r="A30" s="176" t="s">
        <v>565</v>
      </c>
      <c r="B30" s="176" t="s">
        <v>574</v>
      </c>
      <c r="C30" s="176" t="s">
        <v>575</v>
      </c>
      <c r="D30" s="176" t="s">
        <v>576</v>
      </c>
      <c r="E30" s="176"/>
      <c r="F30" s="176"/>
    </row>
    <row r="32" customFormat="false" ht="15" hidden="false" customHeight="true" outlineLevel="0" collapsed="false">
      <c r="A32" s="174" t="s">
        <v>577</v>
      </c>
      <c r="B32" s="174"/>
      <c r="C32" s="174"/>
      <c r="D32" s="174"/>
      <c r="E32" s="174"/>
      <c r="F32" s="174"/>
    </row>
    <row r="33" customFormat="false" ht="15" hidden="false" customHeight="true" outlineLevel="0" collapsed="false">
      <c r="A33" s="175" t="s">
        <v>544</v>
      </c>
      <c r="B33" s="175" t="s">
        <v>545</v>
      </c>
      <c r="C33" s="175" t="s">
        <v>546</v>
      </c>
      <c r="D33" s="175" t="s">
        <v>547</v>
      </c>
    </row>
    <row r="34" customFormat="false" ht="45.75" hidden="false" customHeight="true" outlineLevel="0" collapsed="false">
      <c r="A34" s="176" t="s">
        <v>556</v>
      </c>
      <c r="B34" s="176" t="s">
        <v>578</v>
      </c>
      <c r="C34" s="176" t="s">
        <v>579</v>
      </c>
      <c r="D34" s="176" t="s">
        <v>580</v>
      </c>
      <c r="E34" s="176"/>
      <c r="F34" s="176"/>
    </row>
    <row r="36" customFormat="false" ht="15" hidden="false" customHeight="true" outlineLevel="0" collapsed="false">
      <c r="A36" s="174" t="s">
        <v>581</v>
      </c>
      <c r="B36" s="174"/>
      <c r="C36" s="174"/>
      <c r="D36" s="174"/>
      <c r="E36" s="174"/>
      <c r="F36" s="174"/>
    </row>
    <row r="37" customFormat="false" ht="15" hidden="false" customHeight="true" outlineLevel="0" collapsed="false">
      <c r="A37" s="175" t="s">
        <v>544</v>
      </c>
      <c r="B37" s="175" t="s">
        <v>545</v>
      </c>
      <c r="C37" s="175" t="s">
        <v>546</v>
      </c>
      <c r="D37" s="175" t="s">
        <v>547</v>
      </c>
    </row>
    <row r="38" customFormat="false" ht="36.75" hidden="false" customHeight="true" outlineLevel="0" collapsed="false">
      <c r="A38" s="176" t="s">
        <v>556</v>
      </c>
      <c r="B38" s="176" t="s">
        <v>582</v>
      </c>
      <c r="C38" s="176" t="s">
        <v>583</v>
      </c>
      <c r="D38" s="176" t="s">
        <v>584</v>
      </c>
      <c r="E38" s="176"/>
      <c r="F38" s="176"/>
    </row>
    <row r="40" customFormat="false" ht="15" hidden="false" customHeight="true" outlineLevel="0" collapsed="false">
      <c r="A40" s="174" t="s">
        <v>585</v>
      </c>
      <c r="B40" s="174"/>
      <c r="C40" s="174"/>
      <c r="D40" s="174"/>
      <c r="E40" s="174"/>
      <c r="F40" s="174"/>
    </row>
    <row r="41" customFormat="false" ht="15" hidden="false" customHeight="true" outlineLevel="0" collapsed="false">
      <c r="A41" s="175" t="s">
        <v>544</v>
      </c>
      <c r="B41" s="175" t="s">
        <v>545</v>
      </c>
      <c r="C41" s="175" t="s">
        <v>546</v>
      </c>
      <c r="D41" s="175" t="s">
        <v>547</v>
      </c>
    </row>
    <row r="42" customFormat="false" ht="36.75" hidden="false" customHeight="true" outlineLevel="0" collapsed="false">
      <c r="A42" s="176" t="s">
        <v>565</v>
      </c>
      <c r="B42" s="176" t="s">
        <v>586</v>
      </c>
      <c r="C42" s="176" t="s">
        <v>587</v>
      </c>
      <c r="D42" s="176" t="s">
        <v>588</v>
      </c>
      <c r="E42" s="176"/>
      <c r="F42" s="176"/>
    </row>
    <row r="44" customFormat="false" ht="15" hidden="false" customHeight="true" outlineLevel="0" collapsed="false">
      <c r="A44" s="174" t="s">
        <v>589</v>
      </c>
      <c r="B44" s="174"/>
      <c r="C44" s="174"/>
      <c r="D44" s="174"/>
      <c r="E44" s="174"/>
      <c r="F44" s="174"/>
    </row>
    <row r="45" customFormat="false" ht="15" hidden="false" customHeight="true" outlineLevel="0" collapsed="false">
      <c r="A45" s="175" t="s">
        <v>544</v>
      </c>
      <c r="B45" s="175" t="s">
        <v>545</v>
      </c>
      <c r="C45" s="175" t="s">
        <v>546</v>
      </c>
      <c r="D45" s="175" t="s">
        <v>547</v>
      </c>
    </row>
    <row r="46" customFormat="false" ht="18.75" hidden="false" customHeight="true" outlineLevel="0" collapsed="false">
      <c r="A46" s="176" t="s">
        <v>561</v>
      </c>
      <c r="B46" s="176" t="s">
        <v>549</v>
      </c>
      <c r="C46" s="176" t="s">
        <v>590</v>
      </c>
      <c r="D46" s="176" t="s">
        <v>591</v>
      </c>
      <c r="E46" s="176"/>
      <c r="F46" s="176"/>
    </row>
    <row r="48" customFormat="false" ht="15" hidden="false" customHeight="true" outlineLevel="0" collapsed="false">
      <c r="A48" s="174" t="s">
        <v>592</v>
      </c>
      <c r="B48" s="174"/>
      <c r="C48" s="174"/>
      <c r="D48" s="174"/>
      <c r="E48" s="174"/>
      <c r="F48" s="174"/>
    </row>
    <row r="49" customFormat="false" ht="15" hidden="false" customHeight="true" outlineLevel="0" collapsed="false">
      <c r="A49" s="175" t="s">
        <v>544</v>
      </c>
      <c r="B49" s="175" t="s">
        <v>545</v>
      </c>
      <c r="C49" s="175" t="s">
        <v>546</v>
      </c>
      <c r="D49" s="175" t="s">
        <v>547</v>
      </c>
    </row>
    <row r="50" customFormat="false" ht="18.75" hidden="false" customHeight="true" outlineLevel="0" collapsed="false">
      <c r="A50" s="176" t="s">
        <v>593</v>
      </c>
      <c r="B50" s="176" t="s">
        <v>549</v>
      </c>
      <c r="C50" s="176" t="s">
        <v>594</v>
      </c>
      <c r="D50" s="176" t="s">
        <v>595</v>
      </c>
      <c r="E50" s="176"/>
      <c r="F50" s="176"/>
    </row>
    <row r="52" customFormat="false" ht="15" hidden="false" customHeight="true" outlineLevel="0" collapsed="false">
      <c r="A52" s="174" t="s">
        <v>596</v>
      </c>
      <c r="B52" s="174"/>
      <c r="C52" s="174"/>
      <c r="D52" s="174"/>
      <c r="E52" s="174"/>
      <c r="F52" s="174"/>
    </row>
    <row r="53" customFormat="false" ht="15" hidden="false" customHeight="true" outlineLevel="0" collapsed="false">
      <c r="A53" s="175" t="s">
        <v>544</v>
      </c>
      <c r="B53" s="175" t="s">
        <v>545</v>
      </c>
      <c r="C53" s="175" t="s">
        <v>546</v>
      </c>
      <c r="D53" s="175" t="s">
        <v>547</v>
      </c>
    </row>
    <row r="54" customFormat="false" ht="36.75" hidden="false" customHeight="true" outlineLevel="0" collapsed="false">
      <c r="A54" s="176" t="s">
        <v>597</v>
      </c>
      <c r="B54" s="176" t="s">
        <v>549</v>
      </c>
      <c r="C54" s="176" t="s">
        <v>598</v>
      </c>
      <c r="D54" s="176" t="s">
        <v>599</v>
      </c>
      <c r="E54" s="176"/>
      <c r="F54" s="176"/>
    </row>
    <row r="56" customFormat="false" ht="15" hidden="false" customHeight="true" outlineLevel="0" collapsed="false">
      <c r="A56" s="174" t="s">
        <v>600</v>
      </c>
      <c r="B56" s="174"/>
      <c r="C56" s="174"/>
      <c r="D56" s="174"/>
      <c r="E56" s="174"/>
      <c r="F56" s="174"/>
    </row>
    <row r="57" customFormat="false" ht="15" hidden="false" customHeight="true" outlineLevel="0" collapsed="false">
      <c r="A57" s="175" t="s">
        <v>544</v>
      </c>
      <c r="B57" s="175" t="s">
        <v>545</v>
      </c>
      <c r="C57" s="175" t="s">
        <v>546</v>
      </c>
      <c r="D57" s="175" t="s">
        <v>547</v>
      </c>
    </row>
    <row r="58" customFormat="false" ht="18.75" hidden="false" customHeight="true" outlineLevel="0" collapsed="false">
      <c r="A58" s="176" t="s">
        <v>565</v>
      </c>
      <c r="B58" s="176" t="s">
        <v>601</v>
      </c>
      <c r="C58" s="176" t="s">
        <v>602</v>
      </c>
      <c r="D58" s="176" t="s">
        <v>603</v>
      </c>
      <c r="E58" s="176"/>
      <c r="F58" s="176"/>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2026-08-26T13:00:33Z</dcterms:modified>
  <cp:revision>46</cp:revision>
  <dc:subject/>
  <dc:title/>
</cp:coreProperties>
</file>

<file path=docProps/custom.xml><?xml version="1.0" encoding="utf-8"?>
<Properties xmlns="http://schemas.openxmlformats.org/officeDocument/2006/custom-properties" xmlns:vt="http://schemas.openxmlformats.org/officeDocument/2006/docPropsVTypes"/>
</file>