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8.xml" ContentType="application/vnd.openxmlformats-officedocument.spreadsheetml.comments+xml"/>
  <Override PartName="/xl/comments11.xml" ContentType="application/vnd.openxmlformats-officedocument.spreadsheetml.comments+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9.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comments3.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20.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Schema Reference" sheetId="19" state="visible" r:id="rId21"/>
    <sheet name="Scratchpad (disregard)" sheetId="20" state="visible" r:id="rId22"/>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sharedStrings.xml><?xml version="1.0" encoding="utf-8"?>
<sst xmlns="http://schemas.openxmlformats.org/spreadsheetml/2006/main" count="1894" uniqueCount="685">
  <si>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</si>
  <si>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</si>
  <si>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</si>
  <si>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</si>
  <si>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</si>
  <si>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</si>
  <si>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</si>
  <si>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</si>
  <si>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</si>
  <si>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</si>
  <si>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</si>
  <si>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</si>
  <si>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</si>
  <si>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</si>
  <si>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</si>
  <si>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</si>
  <si>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</si>
  <si>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</si>
  <si>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</si>
  <si>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</si>
  <si>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</si>
  <si>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</si>
  <si>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</si>
  <si>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</si>
  <si>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</si>
  <si>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</si>
  <si>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</si>
  <si>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</si>
  <si>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</si>
  <si>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</si>
  <si>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</si>
  <si>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</si>
  <si>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</si>
  <si>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</si>
  <si>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</si>
  <si>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</si>
  <si>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</si>
  <si>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</si>
  <si>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</si>
  <si>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</si>
  <si>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</si>
  <si>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</si>
  <si>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</si>
  <si>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</si>
  <si>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</si>
  <si>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</si>
  <si>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</si>
  <si>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</si>
  <si>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</si>
  <si>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</si>
  <si>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</si>
  <si>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</si>
  <si>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</si>
  <si>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</si>
  <si>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</si>
  <si>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</si>
  <si>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</si>
  <si>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</si>
  <si>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</si>
  <si>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</si>
  <si>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</si>
  <si>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</si>
  <si>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</si>
  <si>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</si>
  <si>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</si>
  <si>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</si>
  <si>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</si>
  <si>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</si>
  <si>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</si>
  <si>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</si>
  <si>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</si>
  <si>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</si>
  <si>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</si>
  <si>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</si>
  <si>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</si>
  <si>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</si>
  <si>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</si>
  <si>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</si>
  <si>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</si>
  <si>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</si>
  <si>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</si>
  <si>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</si>
  <si>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</si>
  <si>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</si>
  <si>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</si>
  <si>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</si>
  <si>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</si>
  <si>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</si>
  <si>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</si>
  <si>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</si>
  <si>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</si>
  <si>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</si>
  <si>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</si>
  <si>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</si>
  <si>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</si>
  <si>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</si>
  <si>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</si>
  <si>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</si>
  <si>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</si>
  <si>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</si>
  <si>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</si>
  <si>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</si>
  <si>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</si>
  <si>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</si>
  <si>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</si>
  <si>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</si>
  <si>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</si>
  <si>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</si>
  <si>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</si>
  <si>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</si>
  <si>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</si>
  <si>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</si>
  <si>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</si>
  <si>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</si>
  <si>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</si>
  <si>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</si>
  <si>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</si>
  <si>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</si>
  <si>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</si>
  <si>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</si>
  <si>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</si>
  <si>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</si>
  <si>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</si>
  <si>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</si>
  <si>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</si>
  <si>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</si>
  <si>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</si>
  <si>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</si>
  <si>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</si>
  <si>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</si>
  <si>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</si>
  <si>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</si>
  <si>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</si>
  <si>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</si>
  <si>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</si>
  <si>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</si>
  <si>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</si>
  <si>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</si>
  <si>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</si>
  <si>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</si>
  <si>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</si>
  <si>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</si>
  <si>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</si>
  <si>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</si>
  <si>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</si>
  <si>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</si>
  <si>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</si>
  <si>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</si>
  <si>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</si>
  <si>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</si>
  <si>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</si>
  <si>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</si>
  <si>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</si>
  <si>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</si>
  <si>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</si>
  <si>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</si>
  <si>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</si>
  <si>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</si>
  <si>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</si>
  <si>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</si>
  <si>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</si>
  <si>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</si>
  <si>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</si>
  <si>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</si>
  <si>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</si>
  <si>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</si>
  <si>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</si>
  <si>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</si>
  <si>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</si>
  <si>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</si>
  <si>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</si>
  <si>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</si>
  <si>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</si>
  <si>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</si>
  <si>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</si>
  <si>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</si>
  <si>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</si>
  <si>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</si>
  <si>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</si>
  <si>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</si>
  <si>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</si>
  <si>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</si>
  <si>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</si>
  <si>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</si>
  <si>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</si>
  <si>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</si>
  <si>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</si>
  <si>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</si>
  <si>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</si>
  <si>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</si>
  <si>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</si>
  <si>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</si>
  <si>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</si>
  <si>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</si>
  <si>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</si>
  <si>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</si>
  <si>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</si>
  <si>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</si>
  <si>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</si>
  <si>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</si>
  <si>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</si>
  <si>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</si>
  <si>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</si>
  <si>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</si>
  <si>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</si>
  <si>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</si>
  <si>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</si>
  <si>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</si>
  <si>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</si>
  <si>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</si>
  <si>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</si>
  <si>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</si>
  <si>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</si>
  <si>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</si>
  <si>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</si>
  <si>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</si>
  <si>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</si>
  <si>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</si>
  <si>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</si>
  <si>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</si>
  <si>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</si>
  <si>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</si>
  <si>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</si>
  <si>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</si>
  <si>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</si>
  <si>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</si>
  <si>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</si>
  <si>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</si>
  <si>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</si>
  <si>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</si>
  <si>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</si>
  <si>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</si>
  <si>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</si>
  <si>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</si>
  <si>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</si>
  <si>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</si>
  <si>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</si>
  <si>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</si>
  <si>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</si>
  <si>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</si>
  <si>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</si>
  <si>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</si>
  <si>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</si>
  <si>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</si>
  <si>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</si>
  <si>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</si>
  <si>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</si>
  <si>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</si>
  <si>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</si>
  <si>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</si>
  <si>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</si>
  <si>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</si>
  <si>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</si>
  <si>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</si>
  <si>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</si>
  <si>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</si>
  <si>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</si>
  <si>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</si>
  <si>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</si>
  <si>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</si>
  <si>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</si>
  <si>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</si>
  <si>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</si>
  <si>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</si>
  <si>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</si>
  <si>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</si>
  <si>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</si>
  <si>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</si>
  <si>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</si>
  <si>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</si>
  <si>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</si>
  <si>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</si>
  <si>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</si>
  <si>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</si>
  <si>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</si>
  <si>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</si>
  <si>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</si>
  <si>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</si>
  <si>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</si>
  <si>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</si>
  <si>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</si>
  <si>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</si>
  <si>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</si>
  <si>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</si>
  <si>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</si>
  <si>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</si>
  <si>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</si>
  <si>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</si>
  <si>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</si>
  <si>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</si>
  <si>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</si>
  <si>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</si>
  <si>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</si>
  <si>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</si>
  <si>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</si>
  <si>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</si>
  <si>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</si>
  <si>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</si>
  <si>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</si>
  <si>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</si>
  <si>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</si>
  <si>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</si>
  <si>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</si>
  <si>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</si>
  <si>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</si>
  <si>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</si>
  <si>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</si>
  <si>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</si>
  <si>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</si>
  <si>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</si>
  <si>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</si>
  <si>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</si>
  <si>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</si>
  <si>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</si>
  <si>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</si>
  <si>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</si>
  <si>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</si>
  <si>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</si>
  <si>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</si>
  <si>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</si>
  <si>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</si>
  <si>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</si>
  <si>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</si>
  <si>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</si>
  <si>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</si>
  <si>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</si>
  <si>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</si>
  <si>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</si>
  <si>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</si>
  <si>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</si>
  <si>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</si>
  <si>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</si>
  <si>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</si>
  <si>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</si>
  <si>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</si>
  <si>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</si>
  <si>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</si>
  <si>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</si>
  <si>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</si>
  <si>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</si>
  <si>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</si>
  <si>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</si>
  <si>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</si>
  <si>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</si>
  <si>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</si>
  <si>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</si>
  <si>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</si>
  <si>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</si>
  <si>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</si>
  <si>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</si>
  <si>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</si>
  <si>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</si>
  <si>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</si>
  <si>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</si>
  <si>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</si>
  <si>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</si>
  <si>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</si>
  <si>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</si>
  <si>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</si>
  <si>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</si>
  <si>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</si>
  <si>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</si>
  <si>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</si>
  <si>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</si>
  <si>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</si>
  <si>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</si>
  <si>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</si>
  <si>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</si>
  <si>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</si>
  <si>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</si>
  <si>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</si>
  <si>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</si>
  <si>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</si>
  <si>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</si>
  <si>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</si>
  <si>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</si>
  <si>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</si>
  <si>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</si>
  <si>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</si>
  <si>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</si>
  <si>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</si>
  <si>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</si>
  <si>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</si>
  <si>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</si>
  <si>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</si>
  <si>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</si>
  <si>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</si>
  <si>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</si>
  <si>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</si>
  <si>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</si>
  <si>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</si>
  <si>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</si>
  <si>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</si>
  <si>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</si>
  <si>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</si>
  <si>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</si>
  <si>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</si>
  <si>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</si>
  <si>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</si>
  <si>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</si>
  <si>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</si>
  <si>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</si>
  <si>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</si>
  <si>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</si>
  <si>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</si>
  <si>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</si>
  <si>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</si>
  <si>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</si>
  <si>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</si>
  <si>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</si>
  <si>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</si>
  <si>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</si>
  <si>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</si>
  <si>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</si>
  <si>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</si>
  <si>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</si>
  <si>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</si>
  <si>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</si>
  <si>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</si>
  <si>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</si>
  <si>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</si>
  <si>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</si>
  <si>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</si>
  <si>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</si>
  <si>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</si>
  <si>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</si>
  <si>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</si>
  <si>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</si>
  <si>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</si>
  <si>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</si>
  <si>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</si>
  <si>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</si>
  <si>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</si>
  <si>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</si>
  <si>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</si>
  <si>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</si>
  <si>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</si>
  <si>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</si>
  <si>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</si>
  <si>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</si>
  <si>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</si>
  <si>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</si>
  <si>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</si>
  <si>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</si>
  <si>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</si>
  <si>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</si>
  <si>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</si>
  <si>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</si>
  <si>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</si>
  <si>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</si>
  <si>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</si>
  <si>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</si>
  <si>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</si>
  <si>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</si>
  <si>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</si>
  <si>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</si>
  <si>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</si>
  <si>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</si>
  <si>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</si>
  <si>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</si>
  <si>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</si>
  <si>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</si>
  <si>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</si>
  <si>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</si>
  <si>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</si>
  <si>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</si>
  <si>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</si>
  <si>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</si>
  <si>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</si>
  <si>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</si>
  <si>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</si>
  <si>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</si>
  <si>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</si>
  <si>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</si>
  <si>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</si>
  <si>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</si>
  <si>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</si>
  <si>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</si>
  <si>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</si>
  <si>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</si>
  <si>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</si>
  <si>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</si>
  <si>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</si>
  <si>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</si>
  <si>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</si>
  <si>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</si>
  <si>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</si>
  <si>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</si>
  <si>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</si>
  <si>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</si>
  <si>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</si>
  <si>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</si>
  <si>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</si>
  <si>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</si>
  <si>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</si>
  <si>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</si>
  <si>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</si>
  <si>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</si>
  <si>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</si>
  <si>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</si>
  <si>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</si>
  <si>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</si>
  <si>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</si>
  <si>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</si>
  <si>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</si>
  <si>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</si>
  <si>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</si>
  <si>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</si>
  <si>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</si>
  <si>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</si>
  <si>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</si>
  <si>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</si>
  <si>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</si>
  <si>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</si>
  <si>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</si>
  <si>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</si>
  <si>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</si>
  <si>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</si>
  <si>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</si>
  <si>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</si>
  <si>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</si>
  <si>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</si>
  <si>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</si>
  <si>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</si>
  <si>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</si>
  <si>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</si>
  <si>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</si>
  <si>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</si>
  <si>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</si>
  <si>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</si>
  <si>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</si>
  <si>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</si>
  <si>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</si>
  <si>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</si>
  <si>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</si>
  <si>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</si>
  <si>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</si>
  <si>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</si>
  <si>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</si>
  <si>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</si>
  <si>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</si>
  <si>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</si>
  <si>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</si>
  <si>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</si>
  <si>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</si>
  <si>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</si>
  <si>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</si>
  <si>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</si>
  <si>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</si>
  <si>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</si>
  <si>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</si>
  <si>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</si>
  <si>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</si>
  <si>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</si>
  <si>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</si>
  <si>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</si>
  <si>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</si>
  <si>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</si>
  <si>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</si>
  <si>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</si>
  <si>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</si>
  <si>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</si>
  <si>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</si>
  <si>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</si>
  <si>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</si>
  <si>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</si>
  <si>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</si>
  <si>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</si>
  <si>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</si>
  <si>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</si>
  <si>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</si>
  <si>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</si>
  <si>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</si>
  <si>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</si>
  <si>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</si>
  <si>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</si>
  <si>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</si>
  <si>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</si>
  <si>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</si>
  <si>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</si>
  <si>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</si>
  <si>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</si>
  <si>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</si>
  <si>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</si>
  <si>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</si>
  <si>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</si>
  <si>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</si>
  <si>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</si>
  <si>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</si>
  <si>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</si>
  <si>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</si>
  <si>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</si>
  <si>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</si>
  <si>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</si>
  <si>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</si>
  <si>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</si>
  <si>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</si>
  <si>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</si>
  <si>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</si>
  <si>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</si>
  <si>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</si>
  <si>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</si>
  <si>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</si>
  <si>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</si>
  <si>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</si>
  <si>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</si>
  <si>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</si>
  <si>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</si>
  <si>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</si>
  <si>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</si>
  <si>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</si>
  <si>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</si>
  <si>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</si>
  <si>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</si>
  <si>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</si>
  <si>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</si>
  <si>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</si>
  <si>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</si>
  <si>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</si>
  <si>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</si>
  <si>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</si>
  <si>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</si>
  <si>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</si>
  <si>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</si>
  <si>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</si>
  <si>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</si>
  <si>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</si>
  <si>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</si>
  <si>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</si>
  <si>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</si>
  <si>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</si>
  <si>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</si>
  <si>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</si>
  <si>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</si>
  <si>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</si>
  <si>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</si>
  <si>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</si>
  <si>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</si>
  <si>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</si>
  <si>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</si>
  <si>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</si>
  <si>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</si>
  <si>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</si>
  <si>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</si>
  <si>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</si>
  <si>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</si>
  <si>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</si>
  <si>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</si>
  <si>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</si>
  <si>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</si>
  <si>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</si>
  <si>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</si>
  <si>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</si>
  <si>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</si>
  <si>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</si>
  <si>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</si>
  <si>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</si>
  <si>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</si>
  <si>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</si>
  <si>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</si>
  <si>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</si>
  <si>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</si>
  <si>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</si>
  <si>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</si>
  <si>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</si>
  <si>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</si>
  <si>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</si>
  <si>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</si>
  <si>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</si>
  <si>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</si>
  <si>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</si>
  <si>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</si>
  <si>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</si>
  <si>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</si>
  <si>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</si>
  <si>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</si>
  <si>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</si>
  <si>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</si>
  <si>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</si>
  <si>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</si>
  <si>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</si>
  <si>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</si>
  <si>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</si>
  <si>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A4:F135 as of 2026-09-11 (16 events x their own step count; grew from A4:F123 when the DCA-CATCHUP template gained a step for the S&amp;P-ATH acceleration policy, see Journal 9/11/26) -- grows whenever a new recurring event is added to the Journal calendar and seeded here,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</si>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</sst>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79334164"/>
        <c:axId val="6270559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28578931"/>
        <c:axId val="72139272"/>
      </c:lineChart>
      <c:dateAx>
        <c:axId val="793341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705591"/>
        <c:auto val="1"/>
        <c:lblOffset val="100"/>
        <c:baseTimeUnit val="days"/>
      </c:dateAx>
      <c:valAx>
        <c:axId val="627055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334164"/>
        <c:crosses val="autoZero"/>
        <c:crossBetween val="between"/>
      </c:valAx>
      <c:dateAx>
        <c:axId val="285789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39272"/>
        <c:auto val="1"/>
        <c:lblOffset val="100"/>
        <c:baseTimeUnit val="days"/>
      </c:dateAx>
      <c:valAx>
        <c:axId val="721392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5789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78342271"/>
        <c:axId val="83926555"/>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22289914"/>
        <c:axId val="13484110"/>
      </c:lineChart>
      <c:dateAx>
        <c:axId val="783422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926555"/>
        <c:auto val="1"/>
        <c:lblOffset val="100"/>
        <c:baseTimeUnit val="days"/>
      </c:dateAx>
      <c:valAx>
        <c:axId val="839265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342271"/>
        <c:crosses val="autoZero"/>
        <c:crossBetween val="between"/>
      </c:valAx>
      <c:dateAx>
        <c:axId val="222899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84110"/>
        <c:auto val="1"/>
        <c:lblOffset val="100"/>
        <c:baseTimeUnit val="days"/>
      </c:dateAx>
      <c:valAx>
        <c:axId val="134841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2899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53614709"/>
        <c:axId val="768326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94892608"/>
        <c:axId val="99505397"/>
      </c:lineChart>
      <c:dateAx>
        <c:axId val="536147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83260"/>
        <c:auto val="1"/>
        <c:lblOffset val="100"/>
        <c:baseTimeUnit val="days"/>
      </c:dateAx>
      <c:valAx>
        <c:axId val="76832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614709"/>
        <c:crosses val="autoZero"/>
        <c:crossBetween val="between"/>
      </c:valAx>
      <c:dateAx>
        <c:axId val="948926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05397"/>
        <c:auto val="1"/>
        <c:lblOffset val="100"/>
        <c:baseTimeUnit val="days"/>
      </c:dateAx>
      <c:valAx>
        <c:axId val="995053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8926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24512847"/>
        <c:axId val="89654883"/>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45133256"/>
        <c:axId val="18359391"/>
      </c:lineChart>
      <c:dateAx>
        <c:axId val="245128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654883"/>
        <c:auto val="1"/>
        <c:lblOffset val="100"/>
        <c:baseTimeUnit val="days"/>
      </c:dateAx>
      <c:valAx>
        <c:axId val="896548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512847"/>
        <c:crosses val="autoZero"/>
        <c:crossBetween val="between"/>
      </c:valAx>
      <c:dateAx>
        <c:axId val="451332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359391"/>
        <c:auto val="1"/>
        <c:lblOffset val="100"/>
        <c:baseTimeUnit val="days"/>
      </c:dateAx>
      <c:valAx>
        <c:axId val="183593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1332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64754098"/>
        <c:axId val="68434962"/>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38519482"/>
        <c:axId val="2115196"/>
      </c:lineChart>
      <c:dateAx>
        <c:axId val="647540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34962"/>
        <c:auto val="1"/>
        <c:lblOffset val="100"/>
        <c:baseTimeUnit val="days"/>
      </c:dateAx>
      <c:valAx>
        <c:axId val="684349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754098"/>
        <c:crosses val="autoZero"/>
        <c:crossBetween val="between"/>
      </c:valAx>
      <c:dateAx>
        <c:axId val="385194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15196"/>
        <c:auto val="1"/>
        <c:lblOffset val="100"/>
        <c:baseTimeUnit val="days"/>
      </c:dateAx>
      <c:valAx>
        <c:axId val="21151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5194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93414832"/>
        <c:axId val="13922852"/>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11441256"/>
        <c:axId val="98054550"/>
      </c:lineChart>
      <c:dateAx>
        <c:axId val="934148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922852"/>
        <c:auto val="1"/>
        <c:lblOffset val="100"/>
        <c:baseTimeUnit val="days"/>
      </c:dateAx>
      <c:valAx>
        <c:axId val="139228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14832"/>
        <c:crosses val="autoZero"/>
        <c:crossBetween val="between"/>
      </c:valAx>
      <c:dateAx>
        <c:axId val="114412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054550"/>
        <c:auto val="1"/>
        <c:lblOffset val="100"/>
        <c:baseTimeUnit val="days"/>
      </c:dateAx>
      <c:valAx>
        <c:axId val="980545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4412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96298788"/>
        <c:axId val="81250281"/>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58667380"/>
        <c:axId val="29605975"/>
      </c:lineChart>
      <c:dateAx>
        <c:axId val="962987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250281"/>
        <c:auto val="1"/>
        <c:lblOffset val="100"/>
        <c:baseTimeUnit val="days"/>
      </c:dateAx>
      <c:valAx>
        <c:axId val="812502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298788"/>
        <c:crosses val="autoZero"/>
        <c:crossBetween val="between"/>
      </c:valAx>
      <c:dateAx>
        <c:axId val="586673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605975"/>
        <c:auto val="1"/>
        <c:lblOffset val="100"/>
        <c:baseTimeUnit val="days"/>
      </c:dateAx>
      <c:valAx>
        <c:axId val="296059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6673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1293307"/>
        <c:axId val="6307682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50202674"/>
        <c:axId val="85706895"/>
      </c:lineChart>
      <c:dateAx>
        <c:axId val="12933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076823"/>
        <c:auto val="1"/>
        <c:lblOffset val="100"/>
        <c:baseTimeUnit val="days"/>
      </c:dateAx>
      <c:valAx>
        <c:axId val="630768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93307"/>
        <c:crosses val="autoZero"/>
        <c:crossBetween val="between"/>
      </c:valAx>
      <c:dateAx>
        <c:axId val="502026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706895"/>
        <c:auto val="1"/>
        <c:lblOffset val="100"/>
        <c:baseTimeUnit val="days"/>
      </c:dateAx>
      <c:valAx>
        <c:axId val="857068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2026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69843716"/>
        <c:axId val="90679539"/>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35978821"/>
        <c:axId val="56486394"/>
      </c:lineChart>
      <c:dateAx>
        <c:axId val="698437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79539"/>
        <c:auto val="1"/>
        <c:lblOffset val="100"/>
        <c:baseTimeUnit val="days"/>
      </c:dateAx>
      <c:valAx>
        <c:axId val="906795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843716"/>
        <c:crosses val="autoZero"/>
        <c:crossBetween val="between"/>
      </c:valAx>
      <c:dateAx>
        <c:axId val="359788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86394"/>
        <c:auto val="1"/>
        <c:lblOffset val="100"/>
        <c:baseTimeUnit val="days"/>
      </c:dateAx>
      <c:valAx>
        <c:axId val="564863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9788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20311623"/>
        <c:axId val="17119517"/>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67500672"/>
        <c:axId val="84338990"/>
      </c:lineChart>
      <c:dateAx>
        <c:axId val="203116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119517"/>
        <c:auto val="1"/>
        <c:lblOffset val="100"/>
        <c:baseTimeUnit val="days"/>
      </c:dateAx>
      <c:valAx>
        <c:axId val="171195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311623"/>
        <c:crosses val="autoZero"/>
        <c:crossBetween val="between"/>
      </c:valAx>
      <c:dateAx>
        <c:axId val="675006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38990"/>
        <c:auto val="1"/>
        <c:lblOffset val="100"/>
        <c:baseTimeUnit val="days"/>
      </c:dateAx>
      <c:valAx>
        <c:axId val="843389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5006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3892762"/>
        <c:axId val="2288846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9330238"/>
        <c:axId val="94394074"/>
      </c:lineChart>
      <c:dateAx>
        <c:axId val="38927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888467"/>
        <c:auto val="1"/>
        <c:lblOffset val="100"/>
        <c:baseTimeUnit val="days"/>
      </c:dateAx>
      <c:valAx>
        <c:axId val="228884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92762"/>
        <c:crosses val="autoZero"/>
        <c:crossBetween val="between"/>
      </c:valAx>
      <c:dateAx>
        <c:axId val="93302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394074"/>
        <c:auto val="1"/>
        <c:lblOffset val="100"/>
        <c:baseTimeUnit val="days"/>
      </c:dateAx>
      <c:valAx>
        <c:axId val="943940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02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82849353"/>
        <c:axId val="37684219"/>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56371236"/>
        <c:axId val="74610094"/>
      </c:lineChart>
      <c:dateAx>
        <c:axId val="828493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684219"/>
        <c:auto val="1"/>
        <c:lblOffset val="100"/>
        <c:baseTimeUnit val="days"/>
      </c:dateAx>
      <c:valAx>
        <c:axId val="376842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849353"/>
        <c:crosses val="autoZero"/>
        <c:crossBetween val="between"/>
      </c:valAx>
      <c:dateAx>
        <c:axId val="563712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610094"/>
        <c:auto val="1"/>
        <c:lblOffset val="100"/>
        <c:baseTimeUnit val="days"/>
      </c:dateAx>
      <c:valAx>
        <c:axId val="746100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712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45598495"/>
        <c:axId val="6086486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58982074"/>
        <c:axId val="2303043"/>
      </c:lineChart>
      <c:dateAx>
        <c:axId val="455984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64861"/>
        <c:auto val="1"/>
        <c:lblOffset val="100"/>
        <c:baseTimeUnit val="days"/>
      </c:dateAx>
      <c:valAx>
        <c:axId val="608648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598495"/>
        <c:crosses val="autoZero"/>
        <c:crossBetween val="between"/>
      </c:valAx>
      <c:dateAx>
        <c:axId val="589820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3043"/>
        <c:auto val="1"/>
        <c:lblOffset val="100"/>
        <c:baseTimeUnit val="days"/>
      </c:dateAx>
      <c:valAx>
        <c:axId val="23030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9820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97566726"/>
        <c:axId val="50645125"/>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41047779"/>
        <c:axId val="52347909"/>
      </c:lineChart>
      <c:dateAx>
        <c:axId val="975667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645125"/>
        <c:auto val="1"/>
        <c:lblOffset val="100"/>
        <c:baseTimeUnit val="days"/>
      </c:dateAx>
      <c:valAx>
        <c:axId val="506451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566726"/>
        <c:crosses val="autoZero"/>
        <c:crossBetween val="between"/>
      </c:valAx>
      <c:dateAx>
        <c:axId val="410477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47909"/>
        <c:auto val="1"/>
        <c:lblOffset val="100"/>
        <c:baseTimeUnit val="days"/>
      </c:dateAx>
      <c:valAx>
        <c:axId val="523479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477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14081787"/>
        <c:axId val="83242276"/>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39461265"/>
        <c:axId val="43452307"/>
      </c:lineChart>
      <c:dateAx>
        <c:axId val="140817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242276"/>
        <c:auto val="1"/>
        <c:lblOffset val="100"/>
        <c:baseTimeUnit val="days"/>
      </c:dateAx>
      <c:valAx>
        <c:axId val="832422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81787"/>
        <c:crosses val="autoZero"/>
        <c:crossBetween val="between"/>
      </c:valAx>
      <c:dateAx>
        <c:axId val="3946126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452307"/>
        <c:auto val="1"/>
        <c:lblOffset val="100"/>
        <c:baseTimeUnit val="days"/>
      </c:dateAx>
      <c:valAx>
        <c:axId val="434523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6126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6481280"/>
        <c:axId val="70833140"/>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90895379"/>
        <c:axId val="86584226"/>
      </c:lineChart>
      <c:dateAx>
        <c:axId val="64812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833140"/>
        <c:auto val="1"/>
        <c:lblOffset val="100"/>
        <c:baseTimeUnit val="days"/>
      </c:dateAx>
      <c:valAx>
        <c:axId val="708331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1280"/>
        <c:crosses val="autoZero"/>
        <c:crossBetween val="between"/>
      </c:valAx>
      <c:dateAx>
        <c:axId val="908953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584226"/>
        <c:auto val="1"/>
        <c:lblOffset val="100"/>
        <c:baseTimeUnit val="days"/>
      </c:dateAx>
      <c:valAx>
        <c:axId val="865842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953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67154707"/>
        <c:axId val="42640310"/>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97192315"/>
        <c:axId val="60681040"/>
      </c:lineChart>
      <c:dateAx>
        <c:axId val="671547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640310"/>
        <c:auto val="1"/>
        <c:lblOffset val="100"/>
        <c:baseTimeUnit val="days"/>
      </c:dateAx>
      <c:valAx>
        <c:axId val="426403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154707"/>
        <c:crosses val="autoZero"/>
        <c:crossBetween val="between"/>
      </c:valAx>
      <c:dateAx>
        <c:axId val="971923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81040"/>
        <c:auto val="1"/>
        <c:lblOffset val="100"/>
        <c:baseTimeUnit val="days"/>
      </c:dateAx>
      <c:valAx>
        <c:axId val="606810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1923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5583551"/>
        <c:axId val="34572840"/>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3196103"/>
        <c:axId val="88610935"/>
      </c:lineChart>
      <c:dateAx>
        <c:axId val="55835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72840"/>
        <c:auto val="1"/>
        <c:lblOffset val="100"/>
        <c:baseTimeUnit val="days"/>
      </c:dateAx>
      <c:valAx>
        <c:axId val="345728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83551"/>
        <c:crosses val="autoZero"/>
        <c:crossBetween val="between"/>
      </c:valAx>
      <c:dateAx>
        <c:axId val="31961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610935"/>
        <c:auto val="1"/>
        <c:lblOffset val="100"/>
        <c:baseTimeUnit val="days"/>
      </c:dateAx>
      <c:valAx>
        <c:axId val="886109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961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67200933"/>
        <c:axId val="28777134"/>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95341755"/>
        <c:axId val="30918652"/>
      </c:lineChart>
      <c:dateAx>
        <c:axId val="672009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77134"/>
        <c:auto val="1"/>
        <c:lblOffset val="100"/>
        <c:baseTimeUnit val="days"/>
      </c:dateAx>
      <c:valAx>
        <c:axId val="287771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00933"/>
        <c:crosses val="autoZero"/>
        <c:crossBetween val="between"/>
      </c:valAx>
      <c:dateAx>
        <c:axId val="953417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18652"/>
        <c:auto val="1"/>
        <c:lblOffset val="100"/>
        <c:baseTimeUnit val="days"/>
      </c:dateAx>
      <c:valAx>
        <c:axId val="309186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417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377640</xdr:colOff>
      <xdr:row>175</xdr:row>
      <xdr:rowOff>20880</xdr:rowOff>
    </xdr:to>
    <xdr:graphicFrame>
      <xdr:nvGraphicFramePr>
        <xdr:cNvPr id="1" name="Chart 1"/>
        <xdr:cNvGraphicFramePr/>
      </xdr:nvGraphicFramePr>
      <xdr:xfrm>
        <a:off x="0" y="31204080"/>
        <a:ext cx="2736000" cy="2306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1800</xdr:colOff>
      <xdr:row>175</xdr:row>
      <xdr:rowOff>20880</xdr:rowOff>
    </xdr:to>
    <xdr:graphicFrame>
      <xdr:nvGraphicFramePr>
        <xdr:cNvPr id="2" name="Chart 2"/>
        <xdr:cNvGraphicFramePr/>
      </xdr:nvGraphicFramePr>
      <xdr:xfrm>
        <a:off x="3554640" y="31204080"/>
        <a:ext cx="2394720" cy="2306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165240</xdr:colOff>
      <xdr:row>175</xdr:row>
      <xdr:rowOff>20880</xdr:rowOff>
    </xdr:to>
    <xdr:graphicFrame>
      <xdr:nvGraphicFramePr>
        <xdr:cNvPr id="3" name="Chart 3"/>
        <xdr:cNvGraphicFramePr/>
      </xdr:nvGraphicFramePr>
      <xdr:xfrm>
        <a:off x="6744960" y="31204080"/>
        <a:ext cx="2452680" cy="23068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417600</xdr:colOff>
      <xdr:row>175</xdr:row>
      <xdr:rowOff>20880</xdr:rowOff>
    </xdr:to>
    <xdr:graphicFrame>
      <xdr:nvGraphicFramePr>
        <xdr:cNvPr id="4" name="Chart 4"/>
        <xdr:cNvGraphicFramePr/>
      </xdr:nvGraphicFramePr>
      <xdr:xfrm>
        <a:off x="10464840" y="31204080"/>
        <a:ext cx="4715280" cy="23068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377640</xdr:colOff>
      <xdr:row>191</xdr:row>
      <xdr:rowOff>20880</xdr:rowOff>
    </xdr:to>
    <xdr:graphicFrame>
      <xdr:nvGraphicFramePr>
        <xdr:cNvPr id="5" name="Chart 5"/>
        <xdr:cNvGraphicFramePr/>
      </xdr:nvGraphicFramePr>
      <xdr:xfrm>
        <a:off x="0" y="34251840"/>
        <a:ext cx="2736000" cy="23068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1800</xdr:colOff>
      <xdr:row>191</xdr:row>
      <xdr:rowOff>20880</xdr:rowOff>
    </xdr:to>
    <xdr:graphicFrame>
      <xdr:nvGraphicFramePr>
        <xdr:cNvPr id="6" name="Chart 6"/>
        <xdr:cNvGraphicFramePr/>
      </xdr:nvGraphicFramePr>
      <xdr:xfrm>
        <a:off x="3554640" y="34251840"/>
        <a:ext cx="2394720" cy="23068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165240</xdr:colOff>
      <xdr:row>191</xdr:row>
      <xdr:rowOff>20880</xdr:rowOff>
    </xdr:to>
    <xdr:graphicFrame>
      <xdr:nvGraphicFramePr>
        <xdr:cNvPr id="7" name="Chart 7"/>
        <xdr:cNvGraphicFramePr/>
      </xdr:nvGraphicFramePr>
      <xdr:xfrm>
        <a:off x="6744960" y="34251840"/>
        <a:ext cx="2452680" cy="23068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417600</xdr:colOff>
      <xdr:row>191</xdr:row>
      <xdr:rowOff>20880</xdr:rowOff>
    </xdr:to>
    <xdr:graphicFrame>
      <xdr:nvGraphicFramePr>
        <xdr:cNvPr id="8" name="Chart 8"/>
        <xdr:cNvGraphicFramePr/>
      </xdr:nvGraphicFramePr>
      <xdr:xfrm>
        <a:off x="10464840" y="34251840"/>
        <a:ext cx="4715280" cy="23068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377640</xdr:colOff>
      <xdr:row>207</xdr:row>
      <xdr:rowOff>20880</xdr:rowOff>
    </xdr:to>
    <xdr:graphicFrame>
      <xdr:nvGraphicFramePr>
        <xdr:cNvPr id="9" name="Chart 9"/>
        <xdr:cNvGraphicFramePr/>
      </xdr:nvGraphicFramePr>
      <xdr:xfrm>
        <a:off x="0" y="37299960"/>
        <a:ext cx="2736000" cy="23068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1800</xdr:colOff>
      <xdr:row>207</xdr:row>
      <xdr:rowOff>20880</xdr:rowOff>
    </xdr:to>
    <xdr:graphicFrame>
      <xdr:nvGraphicFramePr>
        <xdr:cNvPr id="10" name="Chart 10"/>
        <xdr:cNvGraphicFramePr/>
      </xdr:nvGraphicFramePr>
      <xdr:xfrm>
        <a:off x="3554640" y="37299960"/>
        <a:ext cx="2394720" cy="23068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165240</xdr:colOff>
      <xdr:row>207</xdr:row>
      <xdr:rowOff>20880</xdr:rowOff>
    </xdr:to>
    <xdr:graphicFrame>
      <xdr:nvGraphicFramePr>
        <xdr:cNvPr id="11" name="Chart 11"/>
        <xdr:cNvGraphicFramePr/>
      </xdr:nvGraphicFramePr>
      <xdr:xfrm>
        <a:off x="6744960" y="37299960"/>
        <a:ext cx="2452680" cy="23068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417600</xdr:colOff>
      <xdr:row>207</xdr:row>
      <xdr:rowOff>20880</xdr:rowOff>
    </xdr:to>
    <xdr:graphicFrame>
      <xdr:nvGraphicFramePr>
        <xdr:cNvPr id="12" name="Chart 12"/>
        <xdr:cNvGraphicFramePr/>
      </xdr:nvGraphicFramePr>
      <xdr:xfrm>
        <a:off x="10464840" y="37299960"/>
        <a:ext cx="4715280" cy="23068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377640</xdr:colOff>
      <xdr:row>223</xdr:row>
      <xdr:rowOff>20880</xdr:rowOff>
    </xdr:to>
    <xdr:graphicFrame>
      <xdr:nvGraphicFramePr>
        <xdr:cNvPr id="13" name="Chart 13"/>
        <xdr:cNvGraphicFramePr/>
      </xdr:nvGraphicFramePr>
      <xdr:xfrm>
        <a:off x="0" y="40348080"/>
        <a:ext cx="2736000" cy="23068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1800</xdr:colOff>
      <xdr:row>223</xdr:row>
      <xdr:rowOff>20880</xdr:rowOff>
    </xdr:to>
    <xdr:graphicFrame>
      <xdr:nvGraphicFramePr>
        <xdr:cNvPr id="14" name="Chart 14"/>
        <xdr:cNvGraphicFramePr/>
      </xdr:nvGraphicFramePr>
      <xdr:xfrm>
        <a:off x="3554640" y="40348080"/>
        <a:ext cx="2394720" cy="23068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165240</xdr:colOff>
      <xdr:row>223</xdr:row>
      <xdr:rowOff>20880</xdr:rowOff>
    </xdr:to>
    <xdr:graphicFrame>
      <xdr:nvGraphicFramePr>
        <xdr:cNvPr id="15" name="Chart 15"/>
        <xdr:cNvGraphicFramePr/>
      </xdr:nvGraphicFramePr>
      <xdr:xfrm>
        <a:off x="6744960" y="40348080"/>
        <a:ext cx="2452680" cy="23068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417600</xdr:colOff>
      <xdr:row>223</xdr:row>
      <xdr:rowOff>20880</xdr:rowOff>
    </xdr:to>
    <xdr:graphicFrame>
      <xdr:nvGraphicFramePr>
        <xdr:cNvPr id="16" name="Chart 16"/>
        <xdr:cNvGraphicFramePr/>
      </xdr:nvGraphicFramePr>
      <xdr:xfrm>
        <a:off x="10464840" y="40348080"/>
        <a:ext cx="4715280" cy="23068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377640</xdr:colOff>
      <xdr:row>239</xdr:row>
      <xdr:rowOff>20880</xdr:rowOff>
    </xdr:to>
    <xdr:graphicFrame>
      <xdr:nvGraphicFramePr>
        <xdr:cNvPr id="17" name="Chart 17"/>
        <xdr:cNvGraphicFramePr/>
      </xdr:nvGraphicFramePr>
      <xdr:xfrm>
        <a:off x="0" y="43395840"/>
        <a:ext cx="2736000" cy="23068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1800</xdr:colOff>
      <xdr:row>239</xdr:row>
      <xdr:rowOff>20880</xdr:rowOff>
    </xdr:to>
    <xdr:graphicFrame>
      <xdr:nvGraphicFramePr>
        <xdr:cNvPr id="18" name="Chart 18"/>
        <xdr:cNvGraphicFramePr/>
      </xdr:nvGraphicFramePr>
      <xdr:xfrm>
        <a:off x="3554640" y="43395840"/>
        <a:ext cx="2394720" cy="23068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36360</xdr:colOff>
      <xdr:row>253</xdr:row>
      <xdr:rowOff>20880</xdr:rowOff>
    </xdr:to>
    <xdr:graphicFrame>
      <xdr:nvGraphicFramePr>
        <xdr:cNvPr id="19" name="Chart 19"/>
        <xdr:cNvGraphicFramePr/>
      </xdr:nvGraphicFramePr>
      <xdr:xfrm>
        <a:off x="0" y="46063080"/>
        <a:ext cx="2394720" cy="23068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ProcessChecklistTable" displayName="ProcessChecklistTable" ref="A4:F135"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9.xml><?xml version="1.0" encoding="utf-8"?>
<table xmlns="http://schemas.openxmlformats.org/spreadsheetml/2006/main" id="9"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31</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0"/>
      <c r="AO3" s="65"/>
      <c r="AP3" s="80" t="str">
        <f aca="false">IF(OR(AN3="",AO3=""),"",IF(AN3&gt;AO3,"OK","LOW CONF"))</f>
        <v/>
      </c>
      <c r="AQ3" s="80"/>
      <c r="AR3" s="65"/>
      <c r="AS3" s="85" t="str">
        <f aca="false">IF(OR(AQ3="",AR3=""),"",IF(AQ3&lt;AR3,"Decreased",IF(AQ3&gt;AR3,"Increased","Flat")))</f>
        <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5"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5"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5"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0"/>
      <c r="AO7" s="65"/>
      <c r="AP7" s="80" t="str">
        <f aca="false">IF(OR(AN7="",AO7=""),"",IF(AN7&gt;AO7,"OK","LOW CONF"))</f>
        <v/>
      </c>
      <c r="AQ7" s="80"/>
      <c r="AR7" s="65"/>
      <c r="AS7" s="85" t="str">
        <f aca="false">IF(OR(AQ7="",AR7=""),"",IF(AQ7&lt;AR7,"Decreased",IF(AQ7&gt;AR7,"Increased","Flat")))</f>
        <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5"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0"/>
      <c r="AO9" s="65"/>
      <c r="AP9" s="80" t="str">
        <f aca="false">IF(OR(AN9="",AO9=""),"",IF(AN9&gt;AO9,"OK","LOW CONF"))</f>
        <v/>
      </c>
      <c r="AQ9" s="80"/>
      <c r="AR9" s="65"/>
      <c r="AS9" s="85" t="str">
        <f aca="false">IF(OR(AQ9="",AR9=""),"",IF(AQ9&lt;AR9,"Decreased",IF(AQ9&gt;AR9,"Increased","Flat")))</f>
        <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0"/>
      <c r="AO10" s="65"/>
      <c r="AP10" s="80" t="str">
        <f aca="false">IF(OR(AN10="",AO10=""),"",IF(AN10&gt;AO10,"OK","LOW CONF"))</f>
        <v/>
      </c>
      <c r="AQ10" s="80"/>
      <c r="AR10" s="65"/>
      <c r="AS10" s="85" t="str">
        <f aca="false">IF(OR(AQ10="",AR10=""),"",IF(AQ10&lt;AR10,"Decreased",IF(AQ10&gt;AR10,"Increased","Flat")))</f>
        <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0"/>
      <c r="AO11" s="65"/>
      <c r="AP11" s="80" t="str">
        <f aca="false">IF(OR(AN11="",AO11=""),"",IF(AN11&gt;AO11,"OK","LOW CONF"))</f>
        <v/>
      </c>
      <c r="AQ11" s="80"/>
      <c r="AR11" s="65"/>
      <c r="AS11" s="85" t="str">
        <f aca="false">IF(OR(AQ11="",AR11=""),"",IF(AQ11&lt;AR11,"Decreased",IF(AQ11&gt;AR11,"Increased","Flat")))</f>
        <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5"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5"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5"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5"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5"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5"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0"/>
      <c r="AO18" s="65"/>
      <c r="AP18" s="80" t="str">
        <f aca="false">IF(OR(AN18="",AO18=""),"",IF(AN18&gt;AO18,"OK","LOW CONF"))</f>
        <v/>
      </c>
      <c r="AQ18" s="80"/>
      <c r="AR18" s="65"/>
      <c r="AS18" s="85" t="str">
        <f aca="false">IF(OR(AQ18="",AR18=""),"",IF(AQ18&lt;AR18,"Decreased",IF(AQ18&gt;AR18,"Increased","Flat")))</f>
        <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5"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5"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5"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5"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5"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5"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5"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5"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5" t="str">
        <f aca="false">IF(OR(AQ27="",AR27=""),"",IF(AQ27&lt;AR27,"Decreased",IF(AQ27&gt;AR27,"Increased","Flat")))</f>
        <v/>
      </c>
    </row>
    <row r="28" customFormat="false" ht="15" hidden="false" customHeight="true" outlineLevel="0" collapsed="false">
      <c r="A28" s="34" t="s">
        <v>248</v>
      </c>
      <c r="B28" s="80" t="s">
        <v>365</v>
      </c>
      <c r="C28" s="86"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87" t="s">
        <v>361</v>
      </c>
      <c r="AM28" s="80" t="s">
        <v>366</v>
      </c>
      <c r="AN28" s="80"/>
      <c r="AO28" s="65"/>
      <c r="AP28" s="80" t="str">
        <f aca="false">IF(OR(AN28="",AO28=""),"",IF(AN28&gt;AO28,"OK","LOW CONF"))</f>
        <v/>
      </c>
      <c r="AQ28" s="80"/>
      <c r="AR28" s="65"/>
      <c r="AS28" s="88" t="str">
        <f aca="false">IF(OR(AQ28="",AR28=""),"",IF(AQ28&lt;AR28,"Decreased",IF(AQ28&gt;AR28,"Increased","Flat")))</f>
        <v/>
      </c>
    </row>
    <row r="29" customFormat="false" ht="15" hidden="true" customHeight="true" outlineLevel="1" collapsed="false">
      <c r="A29" s="34" t="s">
        <v>230</v>
      </c>
      <c r="B29" s="80" t="s">
        <v>367</v>
      </c>
      <c r="C29" s="86"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87" t="s">
        <v>334</v>
      </c>
      <c r="AM29" s="80" t="s">
        <v>368</v>
      </c>
      <c r="AN29" s="80"/>
      <c r="AO29" s="65"/>
      <c r="AP29" s="80" t="str">
        <f aca="false">IF(OR(AN29="",AO29=""),"",IF(AN29&gt;AO29,"OK","LOW CONF"))</f>
        <v/>
      </c>
      <c r="AQ29" s="80"/>
      <c r="AR29" s="65"/>
      <c r="AS29" s="88" t="str">
        <f aca="false">IF(OR(AQ29="",AR29=""),"",IF(AQ29&lt;AR29,"Decreased",IF(AQ29&gt;AR29,"Increased","Flat")))</f>
        <v/>
      </c>
    </row>
    <row r="30" customFormat="false" ht="15" hidden="true" customHeight="true" outlineLevel="1" collapsed="false">
      <c r="A30" s="34" t="s">
        <v>234</v>
      </c>
      <c r="B30" s="80" t="s">
        <v>369</v>
      </c>
      <c r="C30" s="86"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87" t="s">
        <v>334</v>
      </c>
      <c r="AM30" s="80" t="s">
        <v>370</v>
      </c>
      <c r="AN30" s="80"/>
      <c r="AO30" s="65"/>
      <c r="AP30" s="80" t="str">
        <f aca="false">IF(OR(AN30="",AO30=""),"",IF(AN30&gt;AO30,"OK","LOW CONF"))</f>
        <v/>
      </c>
      <c r="AQ30" s="80"/>
      <c r="AR30" s="65"/>
      <c r="AS30" s="88" t="str">
        <f aca="false">IF(OR(AQ30="",AR30=""),"",IF(AQ30&lt;AR30,"Decreased",IF(AQ30&gt;AR30,"Increased","Flat")))</f>
        <v/>
      </c>
    </row>
    <row r="31" customFormat="false" ht="15" hidden="true" customHeight="true" outlineLevel="1" collapsed="false">
      <c r="A31" s="34" t="s">
        <v>245</v>
      </c>
      <c r="B31" s="80" t="s">
        <v>371</v>
      </c>
      <c r="C31" s="86"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87" t="s">
        <v>334</v>
      </c>
      <c r="AM31" s="80" t="s">
        <v>372</v>
      </c>
      <c r="AN31" s="80"/>
      <c r="AO31" s="65"/>
      <c r="AP31" s="80" t="str">
        <f aca="false">IF(OR(AN31="",AO31=""),"",IF(AN31&gt;AO31,"OK","LOW CONF"))</f>
        <v/>
      </c>
      <c r="AQ31" s="80"/>
      <c r="AR31" s="65"/>
      <c r="AS31" s="88" t="str">
        <f aca="false">IF(OR(AQ31="",AR31=""),"",IF(AQ31&lt;AR31,"Decreased",IF(AQ31&gt;AR31,"Increased","Flat")))</f>
        <v/>
      </c>
    </row>
    <row r="32" customFormat="false" ht="15" hidden="false" customHeight="true" outlineLevel="0" collapsed="false">
      <c r="A32" s="34" t="s">
        <v>260</v>
      </c>
      <c r="B32" s="80" t="s">
        <v>373</v>
      </c>
      <c r="C32" s="86"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87" t="s">
        <v>334</v>
      </c>
      <c r="AM32" s="80" t="s">
        <v>370</v>
      </c>
      <c r="AN32" s="80"/>
      <c r="AO32" s="65"/>
      <c r="AP32" s="80" t="str">
        <f aca="false">IF(OR(AN32="",AO32=""),"",IF(AN32&gt;AO32,"OK","LOW CONF"))</f>
        <v/>
      </c>
      <c r="AQ32" s="80"/>
      <c r="AR32" s="65"/>
      <c r="AS32" s="88" t="str">
        <f aca="false">IF(OR(AQ32="",AR32=""),"",IF(AQ32&lt;AR32,"Decreased",IF(AQ32&gt;AR32,"Increased","Flat")))</f>
        <v/>
      </c>
    </row>
    <row r="33" customFormat="false" ht="15" hidden="false" customHeight="true" outlineLevel="0" collapsed="false">
      <c r="A33" s="34" t="s">
        <v>226</v>
      </c>
      <c r="B33" s="80" t="s">
        <v>374</v>
      </c>
      <c r="C33" s="86"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87" t="s">
        <v>336</v>
      </c>
      <c r="AM33" s="80" t="s">
        <v>375</v>
      </c>
      <c r="AN33" s="80"/>
      <c r="AO33" s="65"/>
      <c r="AP33" s="80" t="str">
        <f aca="false">IF(OR(AN33="",AO33=""),"",IF(AN33&gt;AO33,"OK","LOW CONF"))</f>
        <v/>
      </c>
      <c r="AQ33" s="80"/>
      <c r="AR33" s="65"/>
      <c r="AS33" s="88" t="str">
        <f aca="false">IF(OR(AQ33="",AR33=""),"",IF(AQ33&lt;AR33,"Decreased",IF(AQ33&gt;AR33,"Increased","Flat")))</f>
        <v/>
      </c>
    </row>
    <row r="34" customFormat="false" ht="15" hidden="false" customHeight="true" outlineLevel="0" collapsed="false">
      <c r="A34" s="34" t="s">
        <v>233</v>
      </c>
      <c r="B34" s="80" t="s">
        <v>376</v>
      </c>
      <c r="C34" s="86"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87" t="s">
        <v>336</v>
      </c>
      <c r="AM34" s="80" t="s">
        <v>375</v>
      </c>
      <c r="AN34" s="80"/>
      <c r="AO34" s="65"/>
      <c r="AP34" s="80" t="str">
        <f aca="false">IF(OR(AN34="",AO34=""),"",IF(AN34&gt;AO34,"OK","LOW CONF"))</f>
        <v/>
      </c>
      <c r="AQ34" s="80"/>
      <c r="AR34" s="65"/>
      <c r="AS34" s="88" t="str">
        <f aca="false">IF(OR(AQ34="",AR34=""),"",IF(AQ34&lt;AR34,"Decreased",IF(AQ34&gt;AR34,"Increased","Flat")))</f>
        <v/>
      </c>
    </row>
    <row r="35" customFormat="false" ht="15" hidden="true" customHeight="true" outlineLevel="1" collapsed="false">
      <c r="A35" s="34" t="s">
        <v>264</v>
      </c>
      <c r="B35" s="80" t="s">
        <v>377</v>
      </c>
      <c r="C35" s="86"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87" t="s">
        <v>336</v>
      </c>
      <c r="AM35" s="80" t="s">
        <v>375</v>
      </c>
      <c r="AN35" s="80"/>
      <c r="AO35" s="65"/>
      <c r="AP35" s="80" t="str">
        <f aca="false">IF(OR(AN35="",AO35=""),"",IF(AN35&gt;AO35,"OK","LOW CONF"))</f>
        <v/>
      </c>
      <c r="AQ35" s="80"/>
      <c r="AR35" s="65"/>
      <c r="AS35" s="88" t="str">
        <f aca="false">IF(OR(AQ35="",AR35=""),"",IF(AQ35&lt;AR35,"Decreased",IF(AQ35&gt;AR35,"Increased","Flat")))</f>
        <v/>
      </c>
    </row>
    <row r="36" customFormat="false" ht="15" hidden="false" customHeight="true" outlineLevel="0" collapsed="false">
      <c r="A36" s="34" t="s">
        <v>270</v>
      </c>
      <c r="B36" s="80" t="s">
        <v>378</v>
      </c>
      <c r="C36" s="86"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87" t="s">
        <v>336</v>
      </c>
      <c r="AM36" s="80" t="s">
        <v>375</v>
      </c>
      <c r="AN36" s="80"/>
      <c r="AO36" s="65"/>
      <c r="AP36" s="80" t="str">
        <f aca="false">IF(OR(AN36="",AO36=""),"",IF(AN36&gt;AO36,"OK","LOW CONF"))</f>
        <v/>
      </c>
      <c r="AQ36" s="80"/>
      <c r="AR36" s="65"/>
      <c r="AS36" s="88" t="str">
        <f aca="false">IF(OR(AQ36="",AR36=""),"",IF(AQ36&lt;AR36,"Decreased",IF(AQ36&gt;AR36,"Increased","Flat")))</f>
        <v/>
      </c>
    </row>
    <row r="37" customFormat="false" ht="15" hidden="true" customHeight="true" outlineLevel="1" collapsed="false">
      <c r="A37" s="34" t="s">
        <v>253</v>
      </c>
      <c r="B37" s="80" t="s">
        <v>379</v>
      </c>
      <c r="C37" s="86"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87" t="s">
        <v>336</v>
      </c>
      <c r="AM37" s="80" t="s">
        <v>337</v>
      </c>
      <c r="AN37" s="80"/>
      <c r="AO37" s="65"/>
      <c r="AP37" s="80" t="str">
        <f aca="false">IF(OR(AN37="",AO37=""),"",IF(AN37&gt;AO37,"OK","LOW CONF"))</f>
        <v/>
      </c>
      <c r="AQ37" s="80"/>
      <c r="AR37" s="65"/>
      <c r="AS37" s="88" t="str">
        <f aca="false">IF(OR(AQ37="",AR37=""),"",IF(AQ37&lt;AR37,"Decreased",IF(AQ37&gt;AR37,"Increased","Flat")))</f>
        <v/>
      </c>
    </row>
    <row r="38" customFormat="false" ht="15" hidden="true" customHeight="true" outlineLevel="1" collapsed="false">
      <c r="A38" s="34" t="s">
        <v>268</v>
      </c>
      <c r="B38" s="80" t="s">
        <v>380</v>
      </c>
      <c r="C38" s="86"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87" t="s">
        <v>336</v>
      </c>
      <c r="AM38" s="80" t="s">
        <v>381</v>
      </c>
      <c r="AN38" s="80"/>
      <c r="AO38" s="65"/>
      <c r="AP38" s="80" t="str">
        <f aca="false">IF(OR(AN38="",AO38=""),"",IF(AN38&gt;AO38,"OK","LOW CONF"))</f>
        <v/>
      </c>
      <c r="AQ38" s="80"/>
      <c r="AR38" s="65"/>
      <c r="AS38" s="88" t="str">
        <f aca="false">IF(OR(AQ38="",AR38=""),"",IF(AQ38&lt;AR38,"Decreased",IF(AQ38&gt;AR38,"Increased","Flat")))</f>
        <v/>
      </c>
    </row>
    <row r="39" customFormat="false" ht="15" hidden="true" customHeight="true" outlineLevel="1" collapsed="false">
      <c r="A39" s="34" t="s">
        <v>244</v>
      </c>
      <c r="B39" s="80" t="s">
        <v>382</v>
      </c>
      <c r="C39" s="86"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87" t="s">
        <v>336</v>
      </c>
      <c r="AM39" s="80" t="s">
        <v>381</v>
      </c>
      <c r="AN39" s="80"/>
      <c r="AO39" s="65"/>
      <c r="AP39" s="80" t="str">
        <f aca="false">IF(OR(AN39="",AO39=""),"",IF(AN39&gt;AO39,"OK","LOW CONF"))</f>
        <v/>
      </c>
      <c r="AQ39" s="80"/>
      <c r="AR39" s="65"/>
      <c r="AS39" s="88" t="str">
        <f aca="false">IF(OR(AQ39="",AR39=""),"",IF(AQ39&lt;AR39,"Decreased",IF(AQ39&gt;AR39,"Increased","Flat")))</f>
        <v/>
      </c>
    </row>
    <row r="40" customFormat="false" ht="15" hidden="true" customHeight="true" outlineLevel="1" collapsed="false">
      <c r="A40" s="34" t="s">
        <v>220</v>
      </c>
      <c r="B40" s="80" t="s">
        <v>383</v>
      </c>
      <c r="C40" s="86"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87" t="s">
        <v>336</v>
      </c>
      <c r="AM40" s="80" t="s">
        <v>384</v>
      </c>
      <c r="AN40" s="80"/>
      <c r="AO40" s="65"/>
      <c r="AP40" s="80" t="str">
        <f aca="false">IF(OR(AN40="",AO40=""),"",IF(AN40&gt;AO40,"OK","LOW CONF"))</f>
        <v/>
      </c>
      <c r="AQ40" s="80"/>
      <c r="AR40" s="65"/>
      <c r="AS40" s="88" t="str">
        <f aca="false">IF(OR(AQ40="",AR40=""),"",IF(AQ40&lt;AR40,"Decreased",IF(AQ40&gt;AR40,"Increased","Flat")))</f>
        <v/>
      </c>
    </row>
    <row r="41" customFormat="false" ht="15" hidden="true" customHeight="true" outlineLevel="1" collapsed="false">
      <c r="A41" s="34" t="s">
        <v>222</v>
      </c>
      <c r="B41" s="80" t="s">
        <v>385</v>
      </c>
      <c r="C41" s="86"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87" t="s">
        <v>336</v>
      </c>
      <c r="AM41" s="80" t="s">
        <v>386</v>
      </c>
      <c r="AN41" s="80"/>
      <c r="AO41" s="65"/>
      <c r="AP41" s="80" t="str">
        <f aca="false">IF(OR(AN41="",AO41=""),"",IF(AN41&gt;AO41,"OK","LOW CONF"))</f>
        <v/>
      </c>
      <c r="AQ41" s="80"/>
      <c r="AR41" s="65"/>
      <c r="AS41" s="88" t="str">
        <f aca="false">IF(OR(AQ41="",AR41=""),"",IF(AQ41&lt;AR41,"Decreased",IF(AQ41&gt;AR41,"Increased","Flat")))</f>
        <v/>
      </c>
    </row>
    <row r="42" customFormat="false" ht="15" hidden="false" customHeight="true" outlineLevel="0" collapsed="false">
      <c r="A42" s="34" t="s">
        <v>240</v>
      </c>
      <c r="B42" s="80" t="s">
        <v>387</v>
      </c>
      <c r="C42" s="86"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87" t="s">
        <v>336</v>
      </c>
      <c r="AM42" s="80" t="s">
        <v>386</v>
      </c>
      <c r="AN42" s="80"/>
      <c r="AO42" s="65"/>
      <c r="AP42" s="80" t="str">
        <f aca="false">IF(OR(AN42="",AO42=""),"",IF(AN42&gt;AO42,"OK","LOW CONF"))</f>
        <v/>
      </c>
      <c r="AQ42" s="80"/>
      <c r="AR42" s="65"/>
      <c r="AS42" s="88" t="str">
        <f aca="false">IF(OR(AQ42="",AR42=""),"",IF(AQ42&lt;AR42,"Decreased",IF(AQ42&gt;AR42,"Increased","Flat")))</f>
        <v/>
      </c>
    </row>
    <row r="43" customFormat="false" ht="15" hidden="false" customHeight="true" outlineLevel="0" collapsed="false">
      <c r="A43" s="34" t="s">
        <v>242</v>
      </c>
      <c r="B43" s="80" t="s">
        <v>388</v>
      </c>
      <c r="C43" s="86"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87" t="s">
        <v>343</v>
      </c>
      <c r="AM43" s="80" t="s">
        <v>389</v>
      </c>
      <c r="AN43" s="80"/>
      <c r="AO43" s="65"/>
      <c r="AP43" s="80" t="str">
        <f aca="false">IF(OR(AN43="",AO43=""),"",IF(AN43&gt;AO43,"OK","LOW CONF"))</f>
        <v/>
      </c>
      <c r="AQ43" s="80"/>
      <c r="AR43" s="65"/>
      <c r="AS43" s="88" t="str">
        <f aca="false">IF(OR(AQ43="",AR43=""),"",IF(AQ43&lt;AR43,"Decreased",IF(AQ43&gt;AR43,"Increased","Flat")))</f>
        <v/>
      </c>
    </row>
    <row r="44" customFormat="false" ht="15" hidden="false" customHeight="true" outlineLevel="0" collapsed="false">
      <c r="A44" s="34" t="s">
        <v>262</v>
      </c>
      <c r="B44" s="80" t="s">
        <v>390</v>
      </c>
      <c r="C44" s="86"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87" t="s">
        <v>343</v>
      </c>
      <c r="AM44" s="80" t="s">
        <v>391</v>
      </c>
      <c r="AN44" s="80"/>
      <c r="AO44" s="65"/>
      <c r="AP44" s="80" t="str">
        <f aca="false">IF(OR(AN44="",AO44=""),"",IF(AN44&gt;AO44,"OK","LOW CONF"))</f>
        <v/>
      </c>
      <c r="AQ44" s="80"/>
      <c r="AR44" s="65"/>
      <c r="AS44" s="88" t="str">
        <f aca="false">IF(OR(AQ44="",AR44=""),"",IF(AQ44&lt;AR44,"Decreased",IF(AQ44&gt;AR44,"Increased","Flat")))</f>
        <v/>
      </c>
    </row>
    <row r="45" customFormat="false" ht="15" hidden="false" customHeight="true" outlineLevel="0" collapsed="false">
      <c r="A45" s="34" t="s">
        <v>238</v>
      </c>
      <c r="B45" s="80" t="s">
        <v>392</v>
      </c>
      <c r="C45" s="86"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87" t="s">
        <v>343</v>
      </c>
      <c r="AM45" s="80" t="s">
        <v>391</v>
      </c>
      <c r="AN45" s="80"/>
      <c r="AO45" s="65"/>
      <c r="AP45" s="80" t="str">
        <f aca="false">IF(OR(AN45="",AO45=""),"",IF(AN45&gt;AO45,"OK","LOW CONF"))</f>
        <v/>
      </c>
      <c r="AQ45" s="80"/>
      <c r="AR45" s="65"/>
      <c r="AS45" s="88" t="str">
        <f aca="false">IF(OR(AQ45="",AR45=""),"",IF(AQ45&lt;AR45,"Decreased",IF(AQ45&gt;AR45,"Increased","Flat")))</f>
        <v/>
      </c>
    </row>
    <row r="46" customFormat="false" ht="15" hidden="true" customHeight="true" outlineLevel="1" collapsed="false">
      <c r="A46" s="34" t="s">
        <v>231</v>
      </c>
      <c r="B46" s="80" t="s">
        <v>393</v>
      </c>
      <c r="C46" s="86"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87" t="s">
        <v>394</v>
      </c>
      <c r="AM46" s="80" t="s">
        <v>395</v>
      </c>
      <c r="AN46" s="80"/>
      <c r="AO46" s="65"/>
      <c r="AP46" s="80" t="str">
        <f aca="false">IF(OR(AN46="",AO46=""),"",IF(AN46&gt;AO46,"OK","LOW CONF"))</f>
        <v/>
      </c>
      <c r="AQ46" s="80"/>
      <c r="AR46" s="65"/>
      <c r="AS46" s="88" t="str">
        <f aca="false">IF(OR(AQ46="",AR46=""),"",IF(AQ46&lt;AR46,"Decreased",IF(AQ46&gt;AR46,"Increased","Flat")))</f>
        <v/>
      </c>
    </row>
    <row r="47" customFormat="false" ht="15" hidden="false" customHeight="true" outlineLevel="0" collapsed="false">
      <c r="A47" s="34" t="s">
        <v>251</v>
      </c>
      <c r="B47" s="80" t="s">
        <v>396</v>
      </c>
      <c r="C47" s="86"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87" t="s">
        <v>394</v>
      </c>
      <c r="AM47" s="80" t="s">
        <v>395</v>
      </c>
      <c r="AN47" s="80"/>
      <c r="AO47" s="65"/>
      <c r="AP47" s="80" t="str">
        <f aca="false">IF(OR(AN47="",AO47=""),"",IF(AN47&gt;AO47,"OK","LOW CONF"))</f>
        <v/>
      </c>
      <c r="AQ47" s="80"/>
      <c r="AR47" s="65"/>
      <c r="AS47" s="88"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87"/>
      <c r="AM48" s="80"/>
      <c r="AN48" s="80"/>
      <c r="AO48" s="65"/>
      <c r="AP48" s="80" t="str">
        <f aca="false">IF(OR(AN48="",AO48=""),"",IF(AN48&gt;AO48,"OK","LOW CONF"))</f>
        <v/>
      </c>
      <c r="AQ48" s="80"/>
      <c r="AR48" s="65"/>
      <c r="AS48" s="88"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87"/>
      <c r="AM49" s="80"/>
      <c r="AN49" s="80"/>
      <c r="AO49" s="65"/>
      <c r="AP49" s="80" t="str">
        <f aca="false">IF(OR(AN49="",AO49=""),"",IF(AN49&gt;AO49,"OK","LOW CONF"))</f>
        <v/>
      </c>
      <c r="AQ49" s="80"/>
      <c r="AR49" s="65"/>
      <c r="AS49" s="88"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87"/>
      <c r="AM50" s="80"/>
      <c r="AN50" s="80"/>
      <c r="AO50" s="65"/>
      <c r="AP50" s="80" t="str">
        <f aca="false">IF(OR(AN50="",AO50=""),"",IF(AN50&gt;AO50,"OK","LOW CONF"))</f>
        <v/>
      </c>
      <c r="AQ50" s="80"/>
      <c r="AR50" s="65"/>
      <c r="AS50" s="88"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87"/>
      <c r="AM51" s="80"/>
      <c r="AN51" s="80"/>
      <c r="AO51" s="65"/>
      <c r="AP51" s="80" t="str">
        <f aca="false">IF(OR(AN51="",AO51=""),"",IF(AN51&gt;AO51,"OK","LOW CONF"))</f>
        <v/>
      </c>
      <c r="AQ51" s="80"/>
      <c r="AR51" s="65"/>
      <c r="AS51" s="88"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87"/>
      <c r="AM52" s="80"/>
      <c r="AN52" s="80"/>
      <c r="AO52" s="65"/>
      <c r="AP52" s="80" t="str">
        <f aca="false">IF(OR(AN52="",AO52=""),"",IF(AN52&gt;AO52,"OK","LOW CONF"))</f>
        <v/>
      </c>
      <c r="AQ52" s="80"/>
      <c r="AR52" s="65"/>
      <c r="AS52" s="88"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87"/>
      <c r="AM53" s="80"/>
      <c r="AN53" s="80"/>
      <c r="AO53" s="65"/>
      <c r="AP53" s="80" t="str">
        <f aca="false">IF(OR(AN53="",AO53=""),"",IF(AN53&gt;AO53,"OK","LOW CONF"))</f>
        <v/>
      </c>
      <c r="AQ53" s="80"/>
      <c r="AR53" s="65"/>
      <c r="AS53" s="88"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87"/>
      <c r="AM54" s="80"/>
      <c r="AN54" s="80"/>
      <c r="AO54" s="65"/>
      <c r="AP54" s="80" t="str">
        <f aca="false">IF(OR(AN54="",AO54=""),"",IF(AN54&gt;AO54,"OK","LOW CONF"))</f>
        <v/>
      </c>
      <c r="AQ54" s="80"/>
      <c r="AR54" s="65"/>
      <c r="AS54" s="88"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87"/>
      <c r="AM55" s="80"/>
      <c r="AN55" s="80"/>
      <c r="AO55" s="65"/>
      <c r="AP55" s="80" t="str">
        <f aca="false">IF(OR(AN55="",AO55=""),"",IF(AN55&gt;AO55,"OK","LOW CONF"))</f>
        <v/>
      </c>
      <c r="AQ55" s="80"/>
      <c r="AR55" s="65"/>
      <c r="AS55" s="88"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87"/>
      <c r="AM56" s="80"/>
      <c r="AN56" s="80"/>
      <c r="AO56" s="65"/>
      <c r="AP56" s="80" t="str">
        <f aca="false">IF(OR(AN56="",AO56=""),"",IF(AN56&gt;AO56,"OK","LOW CONF"))</f>
        <v/>
      </c>
      <c r="AQ56" s="80"/>
      <c r="AR56" s="65"/>
      <c r="AS56" s="88"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87"/>
      <c r="AM57" s="80"/>
      <c r="AN57" s="80"/>
      <c r="AO57" s="65"/>
      <c r="AP57" s="80" t="str">
        <f aca="false">IF(OR(AN57="",AO57=""),"",IF(AN57&gt;AO57,"OK","LOW CONF"))</f>
        <v/>
      </c>
      <c r="AQ57" s="80"/>
      <c r="AR57" s="65"/>
      <c r="AS57" s="88"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87"/>
      <c r="AM58" s="80"/>
      <c r="AN58" s="80"/>
      <c r="AO58" s="65"/>
      <c r="AP58" s="80" t="str">
        <f aca="false">IF(OR(AN58="",AO58=""),"",IF(AN58&gt;AO58,"OK","LOW CONF"))</f>
        <v/>
      </c>
      <c r="AQ58" s="80"/>
      <c r="AR58" s="65"/>
      <c r="AS58" s="88"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87"/>
      <c r="AM59" s="80"/>
      <c r="AN59" s="80"/>
      <c r="AO59" s="65"/>
      <c r="AP59" s="80" t="str">
        <f aca="false">IF(OR(AN59="",AO59=""),"",IF(AN59&gt;AO59,"OK","LOW CONF"))</f>
        <v/>
      </c>
      <c r="AQ59" s="80"/>
      <c r="AR59" s="65"/>
      <c r="AS59" s="88"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87"/>
      <c r="AM60" s="80"/>
      <c r="AN60" s="80"/>
      <c r="AO60" s="65"/>
      <c r="AP60" s="80" t="str">
        <f aca="false">IF(OR(AN60="",AO60=""),"",IF(AN60&gt;AO60,"OK","LOW CONF"))</f>
        <v/>
      </c>
      <c r="AQ60" s="80"/>
      <c r="AR60" s="65"/>
      <c r="AS60" s="88" t="str">
        <f aca="false">IF(OR(AQ60="",AR60=""),"",IF(AQ60&lt;AR60,"Decreased",IF(AQ60&gt;AR60,"Increased","Flat")))</f>
        <v/>
      </c>
    </row>
    <row r="62" customFormat="false" ht="15.75" hidden="false" customHeight="true" outlineLevel="0" collapsed="false">
      <c r="A62" s="70" t="n">
        <f aca="false">SUBTOTAL(103,A3:A60)</f>
        <v>26</v>
      </c>
      <c r="B62" s="89"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0" t="s">
        <v>397</v>
      </c>
      <c r="B1" s="90"/>
      <c r="C1" s="90"/>
      <c r="D1" s="90"/>
      <c r="E1" s="90"/>
      <c r="F1" s="90"/>
      <c r="G1" s="90"/>
      <c r="H1" s="90"/>
      <c r="I1" s="90"/>
      <c r="J1" s="90"/>
      <c r="K1" s="90"/>
      <c r="L1" s="90"/>
      <c r="M1" s="90"/>
      <c r="N1" s="90"/>
      <c r="O1" s="90"/>
      <c r="P1" s="90"/>
      <c r="Q1" s="90"/>
      <c r="R1" s="90"/>
      <c r="S1" s="90"/>
    </row>
    <row r="2" customFormat="false" ht="68.25" hidden="false" customHeight="true" outlineLevel="0" collapsed="false">
      <c r="A2" s="91" t="s">
        <v>82</v>
      </c>
      <c r="B2" s="91" t="s">
        <v>274</v>
      </c>
      <c r="C2" s="91" t="s">
        <v>398</v>
      </c>
      <c r="D2" s="91" t="s">
        <v>399</v>
      </c>
      <c r="E2" s="91" t="s">
        <v>400</v>
      </c>
      <c r="F2" s="91" t="s">
        <v>401</v>
      </c>
      <c r="G2" s="91" t="s">
        <v>402</v>
      </c>
      <c r="H2" s="91" t="s">
        <v>403</v>
      </c>
      <c r="I2" s="91" t="s">
        <v>404</v>
      </c>
      <c r="J2" s="91" t="s">
        <v>405</v>
      </c>
      <c r="K2" s="91" t="s">
        <v>406</v>
      </c>
      <c r="L2" s="91" t="s">
        <v>407</v>
      </c>
      <c r="M2" s="91" t="s">
        <v>408</v>
      </c>
      <c r="N2" s="91" t="s">
        <v>409</v>
      </c>
      <c r="O2" s="91" t="s">
        <v>410</v>
      </c>
      <c r="P2" s="91" t="s">
        <v>411</v>
      </c>
      <c r="Q2" s="91" t="s">
        <v>412</v>
      </c>
      <c r="R2" s="91" t="s">
        <v>413</v>
      </c>
      <c r="S2" s="91" t="s">
        <v>414</v>
      </c>
    </row>
    <row r="3" customFormat="false" ht="15" hidden="false" customHeight="true" outlineLevel="0" collapsed="false">
      <c r="A3" s="92" t="str">
        <f aca="false">IF(Scoring!A3="","",Scoring!A3)</f>
        <v>MU</v>
      </c>
      <c r="B3" s="92" t="str">
        <f aca="false">IF(Scoring!B3="","",Scoring!B3)</f>
        <v>Micron Technology</v>
      </c>
      <c r="C3" s="92" t="str">
        <f aca="false">IF(Scoring!AG3="","",IF(OR(Scoring!AG3="STRONG BUY",Scoring!AG3="BUY"),"PASS","FAIL"))</f>
        <v>PASS</v>
      </c>
      <c r="D3" s="92" t="str">
        <f aca="false">IF(Scoring!AH3="","",IF(Scoring!AH3="OK","PASS","FAIL"))</f>
        <v>PASS</v>
      </c>
      <c r="E3" s="92" t="str">
        <f aca="false">IF(Scoring!AI3="","",IF(Scoring!AI3="OK","PASS","FAIL — mandatory review required"))</f>
        <v>PASS</v>
      </c>
      <c r="F3" s="92"/>
      <c r="G3" s="92"/>
      <c r="H3" s="92" t="str">
        <f aca="false">IF(OR(F3="",G3=""),"",IF(AND(F3="Y",G3="Y"),"Standard initial size","50% of normal initial size + 90-day technical review"))</f>
        <v/>
      </c>
      <c r="I3" s="92"/>
      <c r="J3" s="92"/>
      <c r="K3" s="92" t="str">
        <f aca="false">IF(I3="","",IF(I3="N","PASS",IF(J3="Y","PASS — risk documented in thesis","FAIL — undocumented binary risk")))</f>
        <v/>
      </c>
      <c r="L3" s="92" t="str">
        <f aca="false">IF('Implied-Return Calculator'!S4="","",'Implied-Return Calculator'!S4)</f>
        <v/>
      </c>
      <c r="M3" s="92" t="str">
        <f aca="false">IF('Implied-Return Calculator'!T4="","",'Implied-Return Calculator'!T4)</f>
        <v/>
      </c>
      <c r="N3" s="92" t="str">
        <f aca="false">IF('Implied-Return Calculator'!U4="","",'Implied-Return Calculator'!U4)</f>
        <v/>
      </c>
      <c r="O3" s="92"/>
      <c r="P3" s="92"/>
      <c r="Q3" s="92" t="str">
        <f aca="false">IF(OR(N3="",O3=""),"",IF(N3&lt;=50,"PASS — within ceiling",IF(AND(O3&gt;0.3,L3="PASS"),"PASS — growth+bear case exception met","FAIL — exceeds 50x, exception not met")))</f>
        <v/>
      </c>
      <c r="R3" s="92" t="str">
        <f aca="false">IF(OR(C3="",D3="",E3="",K3="",L3="",M3="",N3="",Q3=""),"",IF(AND(C3="PASS",D3="PASS",LEFT(E3,4)="PASS",LEFT(K3,4)="PASS",L3="PASS",M3="PASS",N3="OK",LEFT(Q3,4)="PASS"),"YES","NO — see failing rule(s)"))</f>
        <v/>
      </c>
      <c r="S3" s="92" t="str">
        <f aca="false">IF(R3="","",IF(R3="YES","Initiate: "&amp;H3,"DO NOT ENTER — resolve failing Entry Rule(s) above first"))</f>
        <v/>
      </c>
    </row>
    <row r="4" customFormat="false" ht="15" hidden="false" customHeight="true" outlineLevel="0" collapsed="false">
      <c r="A4" s="92" t="str">
        <f aca="false">IF(Scoring!A4="","",Scoring!A4)</f>
        <v>AVGO</v>
      </c>
      <c r="B4" s="92" t="str">
        <f aca="false">IF(Scoring!B4="","",Scoring!B4)</f>
        <v>Broadcom Inc.</v>
      </c>
      <c r="C4" s="92" t="str">
        <f aca="false">IF(Scoring!AG4="","",IF(OR(Scoring!AG4="STRONG BUY",Scoring!AG4="BUY"),"PASS","FAIL"))</f>
        <v>PASS</v>
      </c>
      <c r="D4" s="92" t="str">
        <f aca="false">IF(Scoring!AH4="","",IF(Scoring!AH4="OK","PASS","FAIL"))</f>
        <v>PASS</v>
      </c>
      <c r="E4" s="92" t="str">
        <f aca="false">IF(Scoring!AI4="","",IF(Scoring!AI4="OK","PASS","FAIL — mandatory review required"))</f>
        <v>PASS</v>
      </c>
      <c r="F4" s="92"/>
      <c r="G4" s="92"/>
      <c r="H4" s="92" t="str">
        <f aca="false">IF(OR(F4="",G4=""),"",IF(AND(F4="Y",G4="Y"),"Standard initial size","50% of normal initial size + 90-day technical review"))</f>
        <v/>
      </c>
      <c r="I4" s="92"/>
      <c r="J4" s="92"/>
      <c r="K4" s="92" t="str">
        <f aca="false">IF(I4="","",IF(I4="N","PASS",IF(J4="Y","PASS — risk documented in thesis","FAIL — undocumented binary risk")))</f>
        <v/>
      </c>
      <c r="L4" s="92" t="str">
        <f aca="false">IF('Implied-Return Calculator'!S5="","",'Implied-Return Calculator'!S5)</f>
        <v/>
      </c>
      <c r="M4" s="92" t="str">
        <f aca="false">IF('Implied-Return Calculator'!T5="","",'Implied-Return Calculator'!T5)</f>
        <v/>
      </c>
      <c r="N4" s="92" t="str">
        <f aca="false">IF('Implied-Return Calculator'!U5="","",'Implied-Return Calculator'!U5)</f>
        <v/>
      </c>
      <c r="O4" s="92"/>
      <c r="P4" s="92"/>
      <c r="Q4" s="92" t="str">
        <f aca="false">IF(OR(N4="",O4=""),"",IF(N4&lt;=50,"PASS — within ceiling",IF(AND(O4&gt;0.3,L4="PASS"),"PASS — growth+bear case exception met","FAIL — exceeds 50x, exception not met")))</f>
        <v/>
      </c>
      <c r="R4" s="92" t="str">
        <f aca="false">IF(OR(C4="",D4="",E4="",K4="",L4="",M4="",N4="",Q4=""),"",IF(AND(C4="PASS",D4="PASS",LEFT(E4,4)="PASS",LEFT(K4,4)="PASS",L4="PASS",M4="PASS",N4="OK",LEFT(Q4,4)="PASS"),"YES","NO — see failing rule(s)"))</f>
        <v/>
      </c>
      <c r="S4" s="92" t="str">
        <f aca="false">IF(R4="","",IF(R4="YES","Initiate: "&amp;H4,"DO NOT ENTER — resolve failing Entry Rule(s) above first"))</f>
        <v/>
      </c>
    </row>
    <row r="5" customFormat="false" ht="15" hidden="false" customHeight="true" outlineLevel="0" collapsed="false">
      <c r="A5" s="92" t="str">
        <f aca="false">IF(Scoring!A5="","",Scoring!A5)</f>
        <v>PLTR</v>
      </c>
      <c r="B5" s="92" t="str">
        <f aca="false">IF(Scoring!B5="","",Scoring!B5)</f>
        <v>Palantir Technologies</v>
      </c>
      <c r="C5" s="92" t="str">
        <f aca="false">IF(Scoring!AG5="","",IF(OR(Scoring!AG5="STRONG BUY",Scoring!AG5="BUY"),"PASS","FAIL"))</f>
        <v>PASS</v>
      </c>
      <c r="D5" s="92" t="str">
        <f aca="false">IF(Scoring!AH5="","",IF(Scoring!AH5="OK","PASS","FAIL"))</f>
        <v>PASS</v>
      </c>
      <c r="E5" s="92" t="str">
        <f aca="false">IF(Scoring!AI5="","",IF(Scoring!AI5="OK","PASS","FAIL — mandatory review required"))</f>
        <v>PASS</v>
      </c>
      <c r="F5" s="92"/>
      <c r="G5" s="92"/>
      <c r="H5" s="92" t="str">
        <f aca="false">IF(OR(F5="",G5=""),"",IF(AND(F5="Y",G5="Y"),"Standard initial size","50% of normal initial size + 90-day technical review"))</f>
        <v/>
      </c>
      <c r="I5" s="92"/>
      <c r="J5" s="92"/>
      <c r="K5" s="92" t="str">
        <f aca="false">IF(I5="","",IF(I5="N","PASS",IF(J5="Y","PASS — risk documented in thesis","FAIL — undocumented binary risk")))</f>
        <v/>
      </c>
      <c r="L5" s="92" t="str">
        <f aca="false">IF('Implied-Return Calculator'!S6="","",'Implied-Return Calculator'!S6)</f>
        <v/>
      </c>
      <c r="M5" s="92" t="str">
        <f aca="false">IF('Implied-Return Calculator'!T6="","",'Implied-Return Calculator'!T6)</f>
        <v/>
      </c>
      <c r="N5" s="92" t="str">
        <f aca="false">IF('Implied-Return Calculator'!U6="","",'Implied-Return Calculator'!U6)</f>
        <v/>
      </c>
      <c r="O5" s="92"/>
      <c r="P5" s="92"/>
      <c r="Q5" s="92" t="str">
        <f aca="false">IF(OR(N5="",O5=""),"",IF(N5&lt;=50,"PASS — within ceiling",IF(AND(O5&gt;0.3,L5="PASS"),"PASS — growth+bear case exception met","FAIL — exceeds 50x, exception not met")))</f>
        <v/>
      </c>
      <c r="R5" s="92" t="str">
        <f aca="false">IF(OR(C5="",D5="",E5="",K5="",L5="",M5="",N5="",Q5=""),"",IF(AND(C5="PASS",D5="PASS",LEFT(E5,4)="PASS",LEFT(K5,4)="PASS",L5="PASS",M5="PASS",N5="OK",LEFT(Q5,4)="PASS"),"YES","NO — see failing rule(s)"))</f>
        <v/>
      </c>
      <c r="S5" s="92" t="str">
        <f aca="false">IF(R5="","",IF(R5="YES","Initiate: "&amp;H5,"DO NOT ENTER — resolve failing Entry Rule(s) above first"))</f>
        <v/>
      </c>
    </row>
    <row r="6" customFormat="false" ht="15" hidden="false" customHeight="true" outlineLevel="0" collapsed="false">
      <c r="A6" s="92" t="str">
        <f aca="false">IF(Scoring!A6="","",Scoring!A6)</f>
        <v>NVDA</v>
      </c>
      <c r="B6" s="92" t="str">
        <f aca="false">IF(Scoring!B6="","",Scoring!B6)</f>
        <v>NVIDIA Corporation</v>
      </c>
      <c r="C6" s="92" t="str">
        <f aca="false">IF(Scoring!AG6="","",IF(OR(Scoring!AG6="STRONG BUY",Scoring!AG6="BUY"),"PASS","FAIL"))</f>
        <v>PASS</v>
      </c>
      <c r="D6" s="92" t="str">
        <f aca="false">IF(Scoring!AH6="","",IF(Scoring!AH6="OK","PASS","FAIL"))</f>
        <v>PASS</v>
      </c>
      <c r="E6" s="92" t="str">
        <f aca="false">IF(Scoring!AI6="","",IF(Scoring!AI6="OK","PASS","FAIL — mandatory review required"))</f>
        <v>PASS</v>
      </c>
      <c r="F6" s="92"/>
      <c r="G6" s="92"/>
      <c r="H6" s="92" t="str">
        <f aca="false">IF(OR(F6="",G6=""),"",IF(AND(F6="Y",G6="Y"),"Standard initial size","50% of normal initial size + 90-day technical review"))</f>
        <v/>
      </c>
      <c r="I6" s="92"/>
      <c r="J6" s="92"/>
      <c r="K6" s="92" t="str">
        <f aca="false">IF(I6="","",IF(I6="N","PASS",IF(J6="Y","PASS — risk documented in thesis","FAIL — undocumented binary risk")))</f>
        <v/>
      </c>
      <c r="L6" s="92" t="str">
        <f aca="false">IF('Implied-Return Calculator'!S7="","",'Implied-Return Calculator'!S7)</f>
        <v/>
      </c>
      <c r="M6" s="92" t="str">
        <f aca="false">IF('Implied-Return Calculator'!T7="","",'Implied-Return Calculator'!T7)</f>
        <v/>
      </c>
      <c r="N6" s="92" t="str">
        <f aca="false">IF('Implied-Return Calculator'!U7="","",'Implied-Return Calculator'!U7)</f>
        <v/>
      </c>
      <c r="O6" s="92"/>
      <c r="P6" s="92"/>
      <c r="Q6" s="92" t="str">
        <f aca="false">IF(OR(N6="",O6=""),"",IF(N6&lt;=50,"PASS — within ceiling",IF(AND(O6&gt;0.3,L6="PASS"),"PASS — growth+bear case exception met","FAIL — exceeds 50x, exception not met")))</f>
        <v/>
      </c>
      <c r="R6" s="92" t="str">
        <f aca="false">IF(OR(C6="",D6="",E6="",K6="",L6="",M6="",N6="",Q6=""),"",IF(AND(C6="PASS",D6="PASS",LEFT(E6,4)="PASS",LEFT(K6,4)="PASS",L6="PASS",M6="PASS",N6="OK",LEFT(Q6,4)="PASS"),"YES","NO — see failing rule(s)"))</f>
        <v/>
      </c>
      <c r="S6" s="92" t="str">
        <f aca="false">IF(R6="","",IF(R6="YES","Initiate: "&amp;H6,"DO NOT ENTER — resolve failing Entry Rule(s) above first"))</f>
        <v/>
      </c>
    </row>
    <row r="7" customFormat="false" ht="15" hidden="false" customHeight="true" outlineLevel="0" collapsed="false">
      <c r="A7" s="92" t="str">
        <f aca="false">IF(Scoring!A7="","",Scoring!A7)</f>
        <v>VRTX</v>
      </c>
      <c r="B7" s="92" t="str">
        <f aca="false">IF(Scoring!B7="","",Scoring!B7)</f>
        <v>Vertex Pharmaceuticals</v>
      </c>
      <c r="C7" s="92" t="str">
        <f aca="false">IF(Scoring!AG7="","",IF(OR(Scoring!AG7="STRONG BUY",Scoring!AG7="BUY"),"PASS","FAIL"))</f>
        <v>PASS</v>
      </c>
      <c r="D7" s="92" t="str">
        <f aca="false">IF(Scoring!AH7="","",IF(Scoring!AH7="OK","PASS","FAIL"))</f>
        <v>PASS</v>
      </c>
      <c r="E7" s="92" t="str">
        <f aca="false">IF(Scoring!AI7="","",IF(Scoring!AI7="OK","PASS","FAIL — mandatory review required"))</f>
        <v>PASS</v>
      </c>
      <c r="F7" s="92"/>
      <c r="G7" s="92"/>
      <c r="H7" s="92" t="str">
        <f aca="false">IF(OR(F7="",G7=""),"",IF(AND(F7="Y",G7="Y"),"Standard initial size","50% of normal initial size + 90-day technical review"))</f>
        <v/>
      </c>
      <c r="I7" s="92"/>
      <c r="J7" s="92"/>
      <c r="K7" s="92" t="str">
        <f aca="false">IF(I7="","",IF(I7="N","PASS",IF(J7="Y","PASS — risk documented in thesis","FAIL — undocumented binary risk")))</f>
        <v/>
      </c>
      <c r="L7" s="92" t="str">
        <f aca="false">IF('Implied-Return Calculator'!S8="","",'Implied-Return Calculator'!S8)</f>
        <v/>
      </c>
      <c r="M7" s="92" t="str">
        <f aca="false">IF('Implied-Return Calculator'!T8="","",'Implied-Return Calculator'!T8)</f>
        <v/>
      </c>
      <c r="N7" s="92" t="str">
        <f aca="false">IF('Implied-Return Calculator'!U8="","",'Implied-Return Calculator'!U8)</f>
        <v/>
      </c>
      <c r="O7" s="92"/>
      <c r="P7" s="92"/>
      <c r="Q7" s="92" t="str">
        <f aca="false">IF(OR(N7="",O7=""),"",IF(N7&lt;=50,"PASS — within ceiling",IF(AND(O7&gt;0.3,L7="PASS"),"PASS — growth+bear case exception met","FAIL — exceeds 50x, exception not met")))</f>
        <v/>
      </c>
      <c r="R7" s="92" t="str">
        <f aca="false">IF(OR(C7="",D7="",E7="",K7="",L7="",M7="",N7="",Q7=""),"",IF(AND(C7="PASS",D7="PASS",LEFT(E7,4)="PASS",LEFT(K7,4)="PASS",L7="PASS",M7="PASS",N7="OK",LEFT(Q7,4)="PASS"),"YES","NO — see failing rule(s)"))</f>
        <v/>
      </c>
      <c r="S7" s="92" t="str">
        <f aca="false">IF(R7="","",IF(R7="YES","Initiate: "&amp;H7,"DO NOT ENTER — resolve failing Entry Rule(s) above first"))</f>
        <v/>
      </c>
    </row>
    <row r="8" customFormat="false" ht="15" hidden="false" customHeight="true" outlineLevel="0" collapsed="false">
      <c r="A8" s="92" t="str">
        <f aca="false">IF(Scoring!A8="","",Scoring!A8)</f>
        <v>PLD</v>
      </c>
      <c r="B8" s="92" t="str">
        <f aca="false">IF(Scoring!B8="","",Scoring!B8)</f>
        <v>Prologis Inc. (REIT-adapted)</v>
      </c>
      <c r="C8" s="92" t="str">
        <f aca="false">IF(Scoring!AG8="","",IF(OR(Scoring!AG8="STRONG BUY",Scoring!AG8="BUY"),"PASS","FAIL"))</f>
        <v>PASS</v>
      </c>
      <c r="D8" s="92" t="str">
        <f aca="false">IF(Scoring!AH8="","",IF(Scoring!AH8="OK","PASS","FAIL"))</f>
        <v>PASS</v>
      </c>
      <c r="E8" s="92" t="str">
        <f aca="false">IF(Scoring!AI8="","",IF(Scoring!AI8="OK","PASS","FAIL — mandatory review required"))</f>
        <v>PASS</v>
      </c>
      <c r="F8" s="92"/>
      <c r="G8" s="92"/>
      <c r="H8" s="92" t="str">
        <f aca="false">IF(OR(F8="",G8=""),"",IF(AND(F8="Y",G8="Y"),"Standard initial size","50% of normal initial size + 90-day technical review"))</f>
        <v/>
      </c>
      <c r="I8" s="92"/>
      <c r="J8" s="92"/>
      <c r="K8" s="92" t="str">
        <f aca="false">IF(I8="","",IF(I8="N","PASS",IF(J8="Y","PASS — risk documented in thesis","FAIL — undocumented binary risk")))</f>
        <v/>
      </c>
      <c r="L8" s="92" t="str">
        <f aca="false">IF('Implied-Return Calculator'!S9="","",'Implied-Return Calculator'!S9)</f>
        <v/>
      </c>
      <c r="M8" s="92" t="str">
        <f aca="false">IF('Implied-Return Calculator'!T9="","",'Implied-Return Calculator'!T9)</f>
        <v/>
      </c>
      <c r="N8" s="92" t="str">
        <f aca="false">IF('Implied-Return Calculator'!U9="","",'Implied-Return Calculator'!U9)</f>
        <v/>
      </c>
      <c r="O8" s="92"/>
      <c r="P8" s="92"/>
      <c r="Q8" s="92" t="str">
        <f aca="false">IF(OR(N8="",O8=""),"",IF(N8&lt;=50,"PASS — within ceiling",IF(AND(O8&gt;0.3,L8="PASS"),"PASS — growth+bear case exception met","FAIL — exceeds 50x, exception not met")))</f>
        <v/>
      </c>
      <c r="R8" s="92" t="str">
        <f aca="false">IF(OR(C8="",D8="",E8="",K8="",L8="",M8="",N8="",Q8=""),"",IF(AND(C8="PASS",D8="PASS",LEFT(E8,4)="PASS",LEFT(K8,4)="PASS",L8="PASS",M8="PASS",N8="OK",LEFT(Q8,4)="PASS"),"YES","NO — see failing rule(s)"))</f>
        <v/>
      </c>
      <c r="S8" s="92" t="str">
        <f aca="false">IF(R8="","",IF(R8="YES","Initiate: "&amp;H8,"DO NOT ENTER — resolve failing Entry Rule(s) above first"))</f>
        <v/>
      </c>
    </row>
    <row r="9" customFormat="false" ht="15" hidden="false" customHeight="true" outlineLevel="0" collapsed="false">
      <c r="A9" s="92" t="str">
        <f aca="false">IF(Scoring!A9="","",Scoring!A9)</f>
        <v>SFM</v>
      </c>
      <c r="B9" s="92" t="str">
        <f aca="false">IF(Scoring!B9="","",Scoring!B9)</f>
        <v>Sprouts Farmers Market</v>
      </c>
      <c r="C9" s="92" t="str">
        <f aca="false">IF(Scoring!AG9="","",IF(OR(Scoring!AG9="STRONG BUY",Scoring!AG9="BUY"),"PASS","FAIL"))</f>
        <v/>
      </c>
      <c r="D9" s="92" t="str">
        <f aca="false">IF(Scoring!AH9="","",IF(Scoring!AH9="OK","PASS","FAIL"))</f>
        <v>FAIL</v>
      </c>
      <c r="E9" s="92" t="str">
        <f aca="false">IF(Scoring!AI9="","",IF(Scoring!AI9="OK","PASS","FAIL — mandatory review required"))</f>
        <v>FAIL — mandatory review required</v>
      </c>
      <c r="F9" s="92"/>
      <c r="G9" s="92"/>
      <c r="H9" s="92" t="str">
        <f aca="false">IF(OR(F9="",G9=""),"",IF(AND(F9="Y",G9="Y"),"Standard initial size","50% of normal initial size + 90-day technical review"))</f>
        <v/>
      </c>
      <c r="I9" s="92"/>
      <c r="J9" s="92"/>
      <c r="K9" s="92" t="str">
        <f aca="false">IF(I9="","",IF(I9="N","PASS",IF(J9="Y","PASS — risk documented in thesis","FAIL — undocumented binary risk")))</f>
        <v/>
      </c>
      <c r="L9" s="92" t="str">
        <f aca="false">IF('Implied-Return Calculator'!S10="","",'Implied-Return Calculator'!S10)</f>
        <v/>
      </c>
      <c r="M9" s="92" t="str">
        <f aca="false">IF('Implied-Return Calculator'!T10="","",'Implied-Return Calculator'!T10)</f>
        <v/>
      </c>
      <c r="N9" s="92" t="str">
        <f aca="false">IF('Implied-Return Calculator'!U10="","",'Implied-Return Calculator'!U10)</f>
        <v/>
      </c>
      <c r="O9" s="92"/>
      <c r="P9" s="92"/>
      <c r="Q9" s="92" t="str">
        <f aca="false">IF(OR(N9="",O9=""),"",IF(N9&lt;=50,"PASS — within ceiling",IF(AND(O9&gt;0.3,L9="PASS"),"PASS — growth+bear case exception met","FAIL — exceeds 50x, exception not met")))</f>
        <v/>
      </c>
      <c r="R9" s="92" t="str">
        <f aca="false">IF(OR(C9="",D9="",E9="",K9="",L9="",M9="",N9="",Q9=""),"",IF(AND(C9="PASS",D9="PASS",LEFT(E9,4)="PASS",LEFT(K9,4)="PASS",L9="PASS",M9="PASS",N9="OK",LEFT(Q9,4)="PASS"),"YES","NO — see failing rule(s)"))</f>
        <v/>
      </c>
      <c r="S9" s="92" t="str">
        <f aca="false">IF(R9="","",IF(R9="YES","Initiate: "&amp;H9,"DO NOT ENTER — resolve failing Entry Rule(s) above first"))</f>
        <v/>
      </c>
    </row>
    <row r="10" customFormat="false" ht="15" hidden="false" customHeight="true" outlineLevel="0" collapsed="false">
      <c r="A10" s="92" t="str">
        <f aca="false">IF(Scoring!A10="","",Scoring!A10)</f>
        <v>ONON</v>
      </c>
      <c r="B10" s="92" t="str">
        <f aca="false">IF(Scoring!B10="","",Scoring!B10)</f>
        <v>On Holding AG</v>
      </c>
      <c r="C10" s="92" t="str">
        <f aca="false">IF(Scoring!AG10="","",IF(OR(Scoring!AG10="STRONG BUY",Scoring!AG10="BUY"),"PASS","FAIL"))</f>
        <v/>
      </c>
      <c r="D10" s="92" t="str">
        <f aca="false">IF(Scoring!AH10="","",IF(Scoring!AH10="OK","PASS","FAIL"))</f>
        <v>FAIL</v>
      </c>
      <c r="E10" s="92" t="str">
        <f aca="false">IF(Scoring!AI10="","",IF(Scoring!AI10="OK","PASS","FAIL — mandatory review required"))</f>
        <v>PASS</v>
      </c>
      <c r="F10" s="92"/>
      <c r="G10" s="92"/>
      <c r="H10" s="92" t="str">
        <f aca="false">IF(OR(F10="",G10=""),"",IF(AND(F10="Y",G10="Y"),"Standard initial size","50% of normal initial size + 90-day technical review"))</f>
        <v/>
      </c>
      <c r="I10" s="92"/>
      <c r="J10" s="92"/>
      <c r="K10" s="92" t="str">
        <f aca="false">IF(I10="","",IF(I10="N","PASS",IF(J10="Y","PASS — risk documented in thesis","FAIL — undocumented binary risk")))</f>
        <v/>
      </c>
      <c r="L10" s="92" t="str">
        <f aca="false">IF('Implied-Return Calculator'!S11="","",'Implied-Return Calculator'!S11)</f>
        <v/>
      </c>
      <c r="M10" s="92" t="str">
        <f aca="false">IF('Implied-Return Calculator'!T11="","",'Implied-Return Calculator'!T11)</f>
        <v/>
      </c>
      <c r="N10" s="92" t="str">
        <f aca="false">IF('Implied-Return Calculator'!U11="","",'Implied-Return Calculator'!U11)</f>
        <v/>
      </c>
      <c r="O10" s="92"/>
      <c r="P10" s="92"/>
      <c r="Q10" s="92" t="str">
        <f aca="false">IF(OR(N10="",O10=""),"",IF(N10&lt;=50,"PASS — within ceiling",IF(AND(O10&gt;0.3,L10="PASS"),"PASS — growth+bear case exception met","FAIL — exceeds 50x, exception not met")))</f>
        <v/>
      </c>
      <c r="R10" s="92" t="str">
        <f aca="false">IF(OR(C10="",D10="",E10="",K10="",L10="",M10="",N10="",Q10=""),"",IF(AND(C10="PASS",D10="PASS",LEFT(E10,4)="PASS",LEFT(K10,4)="PASS",L10="PASS",M10="PASS",N10="OK",LEFT(Q10,4)="PASS"),"YES","NO — see failing rule(s)"))</f>
        <v/>
      </c>
      <c r="S10" s="92" t="str">
        <f aca="false">IF(R10="","",IF(R10="YES","Initiate: "&amp;H10,"DO NOT ENTER — resolve failing Entry Rule(s) above first"))</f>
        <v/>
      </c>
    </row>
    <row r="11" customFormat="false" ht="15" hidden="false" customHeight="true" outlineLevel="0" collapsed="false">
      <c r="A11" s="92" t="str">
        <f aca="false">IF(Scoring!A11="","",Scoring!A11)</f>
        <v>TSLA</v>
      </c>
      <c r="B11" s="92" t="str">
        <f aca="false">IF(Scoring!B11="","",Scoring!B11)</f>
        <v>Tesla Inc.</v>
      </c>
      <c r="C11" s="92" t="str">
        <f aca="false">IF(Scoring!AG11="","",IF(OR(Scoring!AG11="STRONG BUY",Scoring!AG11="BUY"),"PASS","FAIL"))</f>
        <v/>
      </c>
      <c r="D11" s="92" t="str">
        <f aca="false">IF(Scoring!AH11="","",IF(Scoring!AH11="OK","PASS","FAIL"))</f>
        <v>FAIL</v>
      </c>
      <c r="E11" s="92" t="str">
        <f aca="false">IF(Scoring!AI11="","",IF(Scoring!AI11="OK","PASS","FAIL — mandatory review required"))</f>
        <v>FAIL — mandatory review required</v>
      </c>
      <c r="F11" s="92"/>
      <c r="G11" s="92"/>
      <c r="H11" s="92" t="str">
        <f aca="false">IF(OR(F11="",G11=""),"",IF(AND(F11="Y",G11="Y"),"Standard initial size","50% of normal initial size + 90-day technical review"))</f>
        <v/>
      </c>
      <c r="I11" s="92"/>
      <c r="J11" s="92"/>
      <c r="K11" s="92" t="str">
        <f aca="false">IF(I11="","",IF(I11="N","PASS",IF(J11="Y","PASS — risk documented in thesis","FAIL — undocumented binary risk")))</f>
        <v/>
      </c>
      <c r="L11" s="92" t="str">
        <f aca="false">IF('Implied-Return Calculator'!S12="","",'Implied-Return Calculator'!S12)</f>
        <v/>
      </c>
      <c r="M11" s="92" t="str">
        <f aca="false">IF('Implied-Return Calculator'!T12="","",'Implied-Return Calculator'!T12)</f>
        <v/>
      </c>
      <c r="N11" s="92" t="str">
        <f aca="false">IF('Implied-Return Calculator'!U12="","",'Implied-Return Calculator'!U12)</f>
        <v/>
      </c>
      <c r="O11" s="92"/>
      <c r="P11" s="92"/>
      <c r="Q11" s="92" t="str">
        <f aca="false">IF(OR(N11="",O11=""),"",IF(N11&lt;=50,"PASS — within ceiling",IF(AND(O11&gt;0.3,L11="PASS"),"PASS — growth+bear case exception met","FAIL — exceeds 50x, exception not met")))</f>
        <v/>
      </c>
      <c r="R11" s="92" t="str">
        <f aca="false">IF(OR(C11="",D11="",E11="",K11="",L11="",M11="",N11="",Q11=""),"",IF(AND(C11="PASS",D11="PASS",LEFT(E11,4)="PASS",LEFT(K11,4)="PASS",L11="PASS",M11="PASS",N11="OK",LEFT(Q11,4)="PASS"),"YES","NO — see failing rule(s)"))</f>
        <v/>
      </c>
      <c r="S11" s="92" t="str">
        <f aca="false">IF(R11="","",IF(R11="YES","Initiate: "&amp;H11,"DO NOT ENTER — resolve failing Entry Rule(s) above first"))</f>
        <v/>
      </c>
    </row>
    <row r="12" customFormat="false" ht="15" hidden="false" customHeight="true" outlineLevel="0" collapsed="false">
      <c r="A12" s="92" t="str">
        <f aca="false">IF(Scoring!A12="","",Scoring!A12)</f>
        <v>ADBE</v>
      </c>
      <c r="B12" s="92" t="str">
        <f aca="false">IF(Scoring!B12="","",Scoring!B12)</f>
        <v>Adobe Inc.</v>
      </c>
      <c r="C12" s="92" t="str">
        <f aca="false">IF(Scoring!AG12="","",IF(OR(Scoring!AG12="STRONG BUY",Scoring!AG12="BUY"),"PASS","FAIL"))</f>
        <v>PASS</v>
      </c>
      <c r="D12" s="92" t="str">
        <f aca="false">IF(Scoring!AH12="","",IF(Scoring!AH12="OK","PASS","FAIL"))</f>
        <v>PASS</v>
      </c>
      <c r="E12" s="92" t="str">
        <f aca="false">IF(Scoring!AI12="","",IF(Scoring!AI12="OK","PASS","FAIL — mandatory review required"))</f>
        <v>PASS</v>
      </c>
      <c r="F12" s="92"/>
      <c r="G12" s="92"/>
      <c r="H12" s="92" t="str">
        <f aca="false">IF(OR(F12="",G12=""),"",IF(AND(F12="Y",G12="Y"),"Standard initial size","50% of normal initial size + 90-day technical review"))</f>
        <v/>
      </c>
      <c r="I12" s="92"/>
      <c r="J12" s="92"/>
      <c r="K12" s="92" t="str">
        <f aca="false">IF(I12="","",IF(I12="N","PASS",IF(J12="Y","PASS — risk documented in thesis","FAIL — undocumented binary risk")))</f>
        <v/>
      </c>
      <c r="L12" s="92" t="str">
        <f aca="false">IF('Implied-Return Calculator'!S13="","",'Implied-Return Calculator'!S13)</f>
        <v/>
      </c>
      <c r="M12" s="92" t="str">
        <f aca="false">IF('Implied-Return Calculator'!T13="","",'Implied-Return Calculator'!T13)</f>
        <v/>
      </c>
      <c r="N12" s="92" t="str">
        <f aca="false">IF('Implied-Return Calculator'!U13="","",'Implied-Return Calculator'!U13)</f>
        <v/>
      </c>
      <c r="O12" s="92"/>
      <c r="P12" s="92"/>
      <c r="Q12" s="92" t="str">
        <f aca="false">IF(OR(N12="",O12=""),"",IF(N12&lt;=50,"PASS — within ceiling",IF(AND(O12&gt;0.3,L12="PASS"),"PASS — growth+bear case exception met","FAIL — exceeds 50x, exception not met")))</f>
        <v/>
      </c>
      <c r="R12" s="92" t="str">
        <f aca="false">IF(OR(C12="",D12="",E12="",K12="",L12="",M12="",N12="",Q12=""),"",IF(AND(C12="PASS",D12="PASS",LEFT(E12,4)="PASS",LEFT(K12,4)="PASS",L12="PASS",M12="PASS",N12="OK",LEFT(Q12,4)="PASS"),"YES","NO — see failing rule(s)"))</f>
        <v/>
      </c>
      <c r="S12" s="92" t="str">
        <f aca="false">IF(R12="","",IF(R12="YES","Initiate: "&amp;H12,"DO NOT ENTER — resolve failing Entry Rule(s) above first"))</f>
        <v/>
      </c>
    </row>
    <row r="13" customFormat="false" ht="15" hidden="false" customHeight="true" outlineLevel="0" collapsed="false">
      <c r="A13" s="92" t="str">
        <f aca="false">IF(Scoring!A13="","",Scoring!A13)</f>
        <v>ANET</v>
      </c>
      <c r="B13" s="92" t="str">
        <f aca="false">IF(Scoring!B13="","",Scoring!B13)</f>
        <v>Arista Networks</v>
      </c>
      <c r="C13" s="92" t="str">
        <f aca="false">IF(Scoring!AG13="","",IF(OR(Scoring!AG13="STRONG BUY",Scoring!AG13="BUY"),"PASS","FAIL"))</f>
        <v>PASS</v>
      </c>
      <c r="D13" s="92" t="str">
        <f aca="false">IF(Scoring!AH13="","",IF(Scoring!AH13="OK","PASS","FAIL"))</f>
        <v>PASS</v>
      </c>
      <c r="E13" s="92" t="str">
        <f aca="false">IF(Scoring!AI13="","",IF(Scoring!AI13="OK","PASS","FAIL — mandatory review required"))</f>
        <v>PASS</v>
      </c>
      <c r="F13" s="92"/>
      <c r="G13" s="92"/>
      <c r="H13" s="92" t="str">
        <f aca="false">IF(OR(F13="",G13=""),"",IF(AND(F13="Y",G13="Y"),"Standard initial size","50% of normal initial size + 90-day technical review"))</f>
        <v/>
      </c>
      <c r="I13" s="92"/>
      <c r="J13" s="92"/>
      <c r="K13" s="92" t="str">
        <f aca="false">IF(I13="","",IF(I13="N","PASS",IF(J13="Y","PASS — risk documented in thesis","FAIL — undocumented binary risk")))</f>
        <v/>
      </c>
      <c r="L13" s="92" t="str">
        <f aca="false">IF('Implied-Return Calculator'!S14="","",'Implied-Return Calculator'!S14)</f>
        <v/>
      </c>
      <c r="M13" s="92" t="str">
        <f aca="false">IF('Implied-Return Calculator'!T14="","",'Implied-Return Calculator'!T14)</f>
        <v/>
      </c>
      <c r="N13" s="92" t="str">
        <f aca="false">IF('Implied-Return Calculator'!U14="","",'Implied-Return Calculator'!U14)</f>
        <v/>
      </c>
      <c r="O13" s="92"/>
      <c r="P13" s="92"/>
      <c r="Q13" s="92" t="str">
        <f aca="false">IF(OR(N13="",O13=""),"",IF(N13&lt;=50,"PASS — within ceiling",IF(AND(O13&gt;0.3,L13="PASS"),"PASS — growth+bear case exception met","FAIL — exceeds 50x, exception not met")))</f>
        <v/>
      </c>
      <c r="R13" s="92" t="str">
        <f aca="false">IF(OR(C13="",D13="",E13="",K13="",L13="",M13="",N13="",Q13=""),"",IF(AND(C13="PASS",D13="PASS",LEFT(E13,4)="PASS",LEFT(K13,4)="PASS",L13="PASS",M13="PASS",N13="OK",LEFT(Q13,4)="PASS"),"YES","NO — see failing rule(s)"))</f>
        <v/>
      </c>
      <c r="S13" s="92" t="str">
        <f aca="false">IF(R13="","",IF(R13="YES","Initiate: "&amp;H13,"DO NOT ENTER — resolve failing Entry Rule(s) above first"))</f>
        <v/>
      </c>
    </row>
    <row r="14" customFormat="false" ht="15" hidden="false" customHeight="true" outlineLevel="0" collapsed="false">
      <c r="A14" s="92" t="str">
        <f aca="false">IF(Scoring!A14="","",Scoring!A14)</f>
        <v>ASML</v>
      </c>
      <c r="B14" s="92" t="str">
        <f aca="false">IF(Scoring!B14="","",Scoring!B14)</f>
        <v>ASML Holding</v>
      </c>
      <c r="C14" s="92" t="str">
        <f aca="false">IF(Scoring!AG14="","",IF(OR(Scoring!AG14="STRONG BUY",Scoring!AG14="BUY"),"PASS","FAIL"))</f>
        <v>PASS</v>
      </c>
      <c r="D14" s="92" t="str">
        <f aca="false">IF(Scoring!AH14="","",IF(Scoring!AH14="OK","PASS","FAIL"))</f>
        <v>PASS</v>
      </c>
      <c r="E14" s="92" t="str">
        <f aca="false">IF(Scoring!AI14="","",IF(Scoring!AI14="OK","PASS","FAIL — mandatory review required"))</f>
        <v>PASS</v>
      </c>
      <c r="F14" s="92"/>
      <c r="G14" s="92"/>
      <c r="H14" s="92" t="str">
        <f aca="false">IF(OR(F14="",G14=""),"",IF(AND(F14="Y",G14="Y"),"Standard initial size","50% of normal initial size + 90-day technical review"))</f>
        <v/>
      </c>
      <c r="I14" s="92"/>
      <c r="J14" s="92"/>
      <c r="K14" s="92" t="str">
        <f aca="false">IF(I14="","",IF(I14="N","PASS",IF(J14="Y","PASS — risk documented in thesis","FAIL — undocumented binary risk")))</f>
        <v/>
      </c>
      <c r="L14" s="92" t="str">
        <f aca="false">IF('Implied-Return Calculator'!S15="","",'Implied-Return Calculator'!S15)</f>
        <v/>
      </c>
      <c r="M14" s="92" t="str">
        <f aca="false">IF('Implied-Return Calculator'!T15="","",'Implied-Return Calculator'!T15)</f>
        <v/>
      </c>
      <c r="N14" s="92" t="str">
        <f aca="false">IF('Implied-Return Calculator'!U15="","",'Implied-Return Calculator'!U15)</f>
        <v/>
      </c>
      <c r="O14" s="92"/>
      <c r="P14" s="92"/>
      <c r="Q14" s="92" t="str">
        <f aca="false">IF(OR(N14="",O14=""),"",IF(N14&lt;=50,"PASS — within ceiling",IF(AND(O14&gt;0.3,L14="PASS"),"PASS — growth+bear case exception met","FAIL — exceeds 50x, exception not met")))</f>
        <v/>
      </c>
      <c r="R14" s="92" t="str">
        <f aca="false">IF(OR(C14="",D14="",E14="",K14="",L14="",M14="",N14="",Q14=""),"",IF(AND(C14="PASS",D14="PASS",LEFT(E14,4)="PASS",LEFT(K14,4)="PASS",L14="PASS",M14="PASS",N14="OK",LEFT(Q14,4)="PASS"),"YES","NO — see failing rule(s)"))</f>
        <v/>
      </c>
      <c r="S14" s="92" t="str">
        <f aca="false">IF(R14="","",IF(R14="YES","Initiate: "&amp;H14,"DO NOT ENTER — resolve failing Entry Rule(s) above first"))</f>
        <v/>
      </c>
    </row>
    <row r="15" customFormat="false" ht="15" hidden="false" customHeight="true" outlineLevel="0" collapsed="false">
      <c r="A15" s="92" t="str">
        <f aca="false">IF(Scoring!A15="","",Scoring!A15)</f>
        <v>CRWD</v>
      </c>
      <c r="B15" s="92" t="str">
        <f aca="false">IF(Scoring!B15="","",Scoring!B15)</f>
        <v>CrowdStrike Holdings</v>
      </c>
      <c r="C15" s="92" t="str">
        <f aca="false">IF(Scoring!AG15="","",IF(OR(Scoring!AG15="STRONG BUY",Scoring!AG15="BUY"),"PASS","FAIL"))</f>
        <v>PASS</v>
      </c>
      <c r="D15" s="92" t="str">
        <f aca="false">IF(Scoring!AH15="","",IF(Scoring!AH15="OK","PASS","FAIL"))</f>
        <v>PASS</v>
      </c>
      <c r="E15" s="92" t="str">
        <f aca="false">IF(Scoring!AI15="","",IF(Scoring!AI15="OK","PASS","FAIL — mandatory review required"))</f>
        <v>PASS</v>
      </c>
      <c r="F15" s="92"/>
      <c r="G15" s="92"/>
      <c r="H15" s="92" t="str">
        <f aca="false">IF(OR(F15="",G15=""),"",IF(AND(F15="Y",G15="Y"),"Standard initial size","50% of normal initial size + 90-day technical review"))</f>
        <v/>
      </c>
      <c r="I15" s="92"/>
      <c r="J15" s="92"/>
      <c r="K15" s="92" t="str">
        <f aca="false">IF(I15="","",IF(I15="N","PASS",IF(J15="Y","PASS — risk documented in thesis","FAIL — undocumented binary risk")))</f>
        <v/>
      </c>
      <c r="L15" s="92" t="str">
        <f aca="false">IF('Implied-Return Calculator'!S16="","",'Implied-Return Calculator'!S16)</f>
        <v/>
      </c>
      <c r="M15" s="92" t="str">
        <f aca="false">IF('Implied-Return Calculator'!T16="","",'Implied-Return Calculator'!T16)</f>
        <v/>
      </c>
      <c r="N15" s="92" t="str">
        <f aca="false">IF('Implied-Return Calculator'!U16="","",'Implied-Return Calculator'!U16)</f>
        <v/>
      </c>
      <c r="O15" s="92"/>
      <c r="P15" s="92"/>
      <c r="Q15" s="92" t="str">
        <f aca="false">IF(OR(N15="",O15=""),"",IF(N15&lt;=50,"PASS — within ceiling",IF(AND(O15&gt;0.3,L15="PASS"),"PASS — growth+bear case exception met","FAIL — exceeds 50x, exception not met")))</f>
        <v/>
      </c>
      <c r="R15" s="92" t="str">
        <f aca="false">IF(OR(C15="",D15="",E15="",K15="",L15="",M15="",N15="",Q15=""),"",IF(AND(C15="PASS",D15="PASS",LEFT(E15,4)="PASS",LEFT(K15,4)="PASS",L15="PASS",M15="PASS",N15="OK",LEFT(Q15,4)="PASS"),"YES","NO — see failing rule(s)"))</f>
        <v/>
      </c>
      <c r="S15" s="92" t="str">
        <f aca="false">IF(R15="","",IF(R15="YES","Initiate: "&amp;H15,"DO NOT ENTER — resolve failing Entry Rule(s) above first"))</f>
        <v/>
      </c>
    </row>
    <row r="16" customFormat="false" ht="15" hidden="false" customHeight="true" outlineLevel="0" collapsed="false">
      <c r="A16" s="92" t="str">
        <f aca="false">IF(Scoring!A16="","",Scoring!A16)</f>
        <v>KLAC</v>
      </c>
      <c r="B16" s="92" t="str">
        <f aca="false">IF(Scoring!B16="","",Scoring!B16)</f>
        <v>KLA Corporation</v>
      </c>
      <c r="C16" s="92" t="str">
        <f aca="false">IF(Scoring!AG16="","",IF(OR(Scoring!AG16="STRONG BUY",Scoring!AG16="BUY"),"PASS","FAIL"))</f>
        <v>PASS</v>
      </c>
      <c r="D16" s="92" t="str">
        <f aca="false">IF(Scoring!AH16="","",IF(Scoring!AH16="OK","PASS","FAIL"))</f>
        <v>PASS</v>
      </c>
      <c r="E16" s="92" t="str">
        <f aca="false">IF(Scoring!AI16="","",IF(Scoring!AI16="OK","PASS","FAIL — mandatory review required"))</f>
        <v>PASS</v>
      </c>
      <c r="F16" s="92"/>
      <c r="G16" s="92"/>
      <c r="H16" s="92" t="str">
        <f aca="false">IF(OR(F16="",G16=""),"",IF(AND(F16="Y",G16="Y"),"Standard initial size","50% of normal initial size + 90-day technical review"))</f>
        <v/>
      </c>
      <c r="I16" s="92"/>
      <c r="J16" s="92"/>
      <c r="K16" s="92" t="str">
        <f aca="false">IF(I16="","",IF(I16="N","PASS",IF(J16="Y","PASS — risk documented in thesis","FAIL — undocumented binary risk")))</f>
        <v/>
      </c>
      <c r="L16" s="92" t="str">
        <f aca="false">IF('Implied-Return Calculator'!S17="","",'Implied-Return Calculator'!S17)</f>
        <v/>
      </c>
      <c r="M16" s="92" t="str">
        <f aca="false">IF('Implied-Return Calculator'!T17="","",'Implied-Return Calculator'!T17)</f>
        <v/>
      </c>
      <c r="N16" s="92" t="str">
        <f aca="false">IF('Implied-Return Calculator'!U17="","",'Implied-Return Calculator'!U17)</f>
        <v/>
      </c>
      <c r="O16" s="92"/>
      <c r="P16" s="92"/>
      <c r="Q16" s="92" t="str">
        <f aca="false">IF(OR(N16="",O16=""),"",IF(N16&lt;=50,"PASS — within ceiling",IF(AND(O16&gt;0.3,L16="PASS"),"PASS — growth+bear case exception met","FAIL — exceeds 50x, exception not met")))</f>
        <v/>
      </c>
      <c r="R16" s="92" t="str">
        <f aca="false">IF(OR(C16="",D16="",E16="",K16="",L16="",M16="",N16="",Q16=""),"",IF(AND(C16="PASS",D16="PASS",LEFT(E16,4)="PASS",LEFT(K16,4)="PASS",L16="PASS",M16="PASS",N16="OK",LEFT(Q16,4)="PASS"),"YES","NO — see failing rule(s)"))</f>
        <v/>
      </c>
      <c r="S16" s="92" t="str">
        <f aca="false">IF(R16="","",IF(R16="YES","Initiate: "&amp;H16,"DO NOT ENTER — resolve failing Entry Rule(s) above first"))</f>
        <v/>
      </c>
    </row>
    <row r="17" customFormat="false" ht="15" hidden="false" customHeight="true" outlineLevel="0" collapsed="false">
      <c r="A17" s="92" t="str">
        <f aca="false">IF(Scoring!A17="","",Scoring!A17)</f>
        <v>TSM</v>
      </c>
      <c r="B17" s="92" t="str">
        <f aca="false">IF(Scoring!B17="","",Scoring!B17)</f>
        <v>Taiwan Semiconductor Mfg.</v>
      </c>
      <c r="C17" s="92" t="str">
        <f aca="false">IF(Scoring!AG17="","",IF(OR(Scoring!AG17="STRONG BUY",Scoring!AG17="BUY"),"PASS","FAIL"))</f>
        <v>PASS</v>
      </c>
      <c r="D17" s="92" t="str">
        <f aca="false">IF(Scoring!AH17="","",IF(Scoring!AH17="OK","PASS","FAIL"))</f>
        <v>PASS</v>
      </c>
      <c r="E17" s="92" t="str">
        <f aca="false">IF(Scoring!AI17="","",IF(Scoring!AI17="OK","PASS","FAIL — mandatory review required"))</f>
        <v>PASS</v>
      </c>
      <c r="F17" s="92"/>
      <c r="G17" s="92"/>
      <c r="H17" s="92" t="str">
        <f aca="false">IF(OR(F17="",G17=""),"",IF(AND(F17="Y",G17="Y"),"Standard initial size","50% of normal initial size + 90-day technical review"))</f>
        <v/>
      </c>
      <c r="I17" s="92"/>
      <c r="J17" s="92"/>
      <c r="K17" s="92" t="str">
        <f aca="false">IF(I17="","",IF(I17="N","PASS",IF(J17="Y","PASS — risk documented in thesis","FAIL — undocumented binary risk")))</f>
        <v/>
      </c>
      <c r="L17" s="92" t="str">
        <f aca="false">IF('Implied-Return Calculator'!S18="","",'Implied-Return Calculator'!S18)</f>
        <v/>
      </c>
      <c r="M17" s="92" t="str">
        <f aca="false">IF('Implied-Return Calculator'!T18="","",'Implied-Return Calculator'!T18)</f>
        <v/>
      </c>
      <c r="N17" s="92" t="str">
        <f aca="false">IF('Implied-Return Calculator'!U18="","",'Implied-Return Calculator'!U18)</f>
        <v/>
      </c>
      <c r="O17" s="92"/>
      <c r="P17" s="92"/>
      <c r="Q17" s="92" t="str">
        <f aca="false">IF(OR(N17="",O17=""),"",IF(N17&lt;=50,"PASS — within ceiling",IF(AND(O17&gt;0.3,L17="PASS"),"PASS — growth+bear case exception met","FAIL — exceeds 50x, exception not met")))</f>
        <v/>
      </c>
      <c r="R17" s="92" t="str">
        <f aca="false">IF(OR(C17="",D17="",E17="",K17="",L17="",M17="",N17="",Q17=""),"",IF(AND(C17="PASS",D17="PASS",LEFT(E17,4)="PASS",LEFT(K17,4)="PASS",L17="PASS",M17="PASS",N17="OK",LEFT(Q17,4)="PASS"),"YES","NO — see failing rule(s)"))</f>
        <v/>
      </c>
      <c r="S17" s="92" t="str">
        <f aca="false">IF(R17="","",IF(R17="YES","Initiate: "&amp;H17,"DO NOT ENTER — resolve failing Entry Rule(s) above first"))</f>
        <v/>
      </c>
    </row>
    <row r="18" customFormat="false" ht="15" hidden="false" customHeight="true" outlineLevel="0" collapsed="false">
      <c r="A18" s="92" t="str">
        <f aca="false">IF(Scoring!A18="","",Scoring!A18)</f>
        <v>VRT</v>
      </c>
      <c r="B18" s="92" t="str">
        <f aca="false">IF(Scoring!B18="","",Scoring!B18)</f>
        <v>Vertiv Holdings</v>
      </c>
      <c r="C18" s="92" t="str">
        <f aca="false">IF(Scoring!AG18="","",IF(OR(Scoring!AG18="STRONG BUY",Scoring!AG18="BUY"),"PASS","FAIL"))</f>
        <v>PASS</v>
      </c>
      <c r="D18" s="92" t="str">
        <f aca="false">IF(Scoring!AH18="","",IF(Scoring!AH18="OK","PASS","FAIL"))</f>
        <v>PASS</v>
      </c>
      <c r="E18" s="92" t="str">
        <f aca="false">IF(Scoring!AI18="","",IF(Scoring!AI18="OK","PASS","FAIL — mandatory review required"))</f>
        <v>PASS</v>
      </c>
      <c r="F18" s="92"/>
      <c r="G18" s="92"/>
      <c r="H18" s="92" t="str">
        <f aca="false">IF(OR(F18="",G18=""),"",IF(AND(F18="Y",G18="Y"),"Standard initial size","50% of normal initial size + 90-day technical review"))</f>
        <v/>
      </c>
      <c r="I18" s="92"/>
      <c r="J18" s="92"/>
      <c r="K18" s="92" t="str">
        <f aca="false">IF(I18="","",IF(I18="N","PASS",IF(J18="Y","PASS — risk documented in thesis","FAIL — undocumented binary risk")))</f>
        <v/>
      </c>
      <c r="L18" s="92" t="str">
        <f aca="false">IF('Implied-Return Calculator'!S19="","",'Implied-Return Calculator'!S19)</f>
        <v/>
      </c>
      <c r="M18" s="92" t="str">
        <f aca="false">IF('Implied-Return Calculator'!T19="","",'Implied-Return Calculator'!T19)</f>
        <v/>
      </c>
      <c r="N18" s="92" t="str">
        <f aca="false">IF('Implied-Return Calculator'!U19="","",'Implied-Return Calculator'!U19)</f>
        <v/>
      </c>
      <c r="O18" s="92"/>
      <c r="P18" s="92"/>
      <c r="Q18" s="92" t="str">
        <f aca="false">IF(OR(N18="",O18=""),"",IF(N18&lt;=50,"PASS — within ceiling",IF(AND(O18&gt;0.3,L18="PASS"),"PASS — growth+bear case exception met","FAIL — exceeds 50x, exception not met")))</f>
        <v/>
      </c>
      <c r="R18" s="92" t="str">
        <f aca="false">IF(OR(C18="",D18="",E18="",K18="",L18="",M18="",N18="",Q18=""),"",IF(AND(C18="PASS",D18="PASS",LEFT(E18,4)="PASS",LEFT(K18,4)="PASS",L18="PASS",M18="PASS",N18="OK",LEFT(Q18,4)="PASS"),"YES","NO — see failing rule(s)"))</f>
        <v/>
      </c>
      <c r="S18" s="92" t="str">
        <f aca="false">IF(R18="","",IF(R18="YES","Initiate: "&amp;H18,"DO NOT ENTER — resolve failing Entry Rule(s) above first"))</f>
        <v/>
      </c>
    </row>
    <row r="19" customFormat="false" ht="15" hidden="false" customHeight="true" outlineLevel="0" collapsed="false">
      <c r="A19" s="92" t="str">
        <f aca="false">IF(Scoring!A19="","",Scoring!A19)</f>
        <v>COST</v>
      </c>
      <c r="B19" s="92" t="str">
        <f aca="false">IF(Scoring!B19="","",Scoring!B19)</f>
        <v>Costco Wholesale Corp.</v>
      </c>
      <c r="C19" s="92" t="str">
        <f aca="false">IF(Scoring!AG19="","",IF(OR(Scoring!AG19="STRONG BUY",Scoring!AG19="BUY"),"PASS","FAIL"))</f>
        <v>PASS</v>
      </c>
      <c r="D19" s="92" t="str">
        <f aca="false">IF(Scoring!AH19="","",IF(Scoring!AH19="OK","PASS","FAIL"))</f>
        <v>PASS</v>
      </c>
      <c r="E19" s="92" t="str">
        <f aca="false">IF(Scoring!AI19="","",IF(Scoring!AI19="OK","PASS","FAIL — mandatory review required"))</f>
        <v>PASS</v>
      </c>
      <c r="F19" s="92" t="s">
        <v>209</v>
      </c>
      <c r="G19" s="92" t="s">
        <v>209</v>
      </c>
      <c r="H19" s="92" t="str">
        <f aca="false">IF(OR(F19="",G19=""),"",IF(AND(F19="Y",G19="Y"),"Standard initial size","50% of normal initial size + 90-day technical review"))</f>
        <v>Standard initial size</v>
      </c>
      <c r="I19" s="92" t="s">
        <v>208</v>
      </c>
      <c r="J19" s="92"/>
      <c r="K19" s="92" t="str">
        <f aca="false">IF(I19="","",IF(I19="N","PASS",IF(J19="Y","PASS — risk documented in thesis","FAIL — undocumented binary risk")))</f>
        <v>PASS</v>
      </c>
      <c r="L19" s="92" t="str">
        <f aca="false">IF('Implied-Return Calculator'!S20="","",'Implied-Return Calculator'!S20)</f>
        <v>FAIL</v>
      </c>
      <c r="M19" s="92" t="str">
        <f aca="false">IF('Implied-Return Calculator'!T20="","",'Implied-Return Calculator'!T20)</f>
        <v>PASS</v>
      </c>
      <c r="N19" s="92" t="str">
        <f aca="false">IF('Implied-Return Calculator'!U20="","",'Implied-Return Calculator'!U20)</f>
        <v>OK</v>
      </c>
      <c r="O19" s="92" t="n">
        <v>61.48</v>
      </c>
      <c r="P19" s="92" t="n">
        <v>0.07</v>
      </c>
      <c r="Q19" s="92" t="str">
        <f aca="false">IF(OR(N19="",O19=""),"",IF(N19&lt;=50,"PASS — within ceiling",IF(AND(O19&gt;0.3,L19="PASS"),"PASS — growth+bear case exception met","FAIL — exceeds 50x, exception not met")))</f>
        <v>FAIL — exceeds 50x, exception not met</v>
      </c>
      <c r="R19" s="92" t="str">
        <f aca="false">IF(OR(C19="",D19="",E19="",K19="",L19="",M19="",N19="",Q19=""),"",IF(AND(C19="PASS",D19="PASS",LEFT(E19,4)="PASS",LEFT(K19,4)="PASS",L19="PASS",M19="PASS",N19="OK",LEFT(Q19,4)="PASS"),"YES","NO — see failing rule(s)"))</f>
        <v>NO — see failing rule(s)</v>
      </c>
      <c r="S19" s="92" t="str">
        <f aca="false">IF(R19="","",IF(R19="YES","Initiate: "&amp;H19,"DO NOT ENTER — resolve failing Entry Rule(s) above first"))</f>
        <v>DO NOT ENTER — resolve failing Entry Rule(s) above first</v>
      </c>
    </row>
    <row r="20" customFormat="false" ht="15" hidden="false" customHeight="true" outlineLevel="0" collapsed="false">
      <c r="A20" s="92" t="str">
        <f aca="false">IF(Scoring!A20="","",Scoring!A20)</f>
        <v>V</v>
      </c>
      <c r="B20" s="92" t="str">
        <f aca="false">IF(Scoring!B20="","",Scoring!B20)</f>
        <v>Visa Inc.</v>
      </c>
      <c r="C20" s="92" t="str">
        <f aca="false">IF(Scoring!AG20="","",IF(OR(Scoring!AG20="STRONG BUY",Scoring!AG20="BUY"),"PASS","FAIL"))</f>
        <v>PASS</v>
      </c>
      <c r="D20" s="92" t="str">
        <f aca="false">IF(Scoring!AH20="","",IF(Scoring!AH20="OK","PASS","FAIL"))</f>
        <v>PASS</v>
      </c>
      <c r="E20" s="92" t="str">
        <f aca="false">IF(Scoring!AI20="","",IF(Scoring!AI20="OK","PASS","FAIL — mandatory review required"))</f>
        <v>PASS</v>
      </c>
      <c r="F20" s="92" t="s">
        <v>209</v>
      </c>
      <c r="G20" s="92" t="s">
        <v>209</v>
      </c>
      <c r="H20" s="92" t="str">
        <f aca="false">IF(OR(F20="",G20=""),"",IF(AND(F20="Y",G20="Y"),"Standard initial size","50% of normal initial size + 90-day technical review"))</f>
        <v>Standard initial size</v>
      </c>
      <c r="I20" s="92" t="s">
        <v>209</v>
      </c>
      <c r="J20" s="92" t="s">
        <v>209</v>
      </c>
      <c r="K20" s="92" t="str">
        <f aca="false">IF(I20="","",IF(I20="N","PASS",IF(J20="Y","PASS — risk documented in thesis","FAIL — undocumented binary risk")))</f>
        <v>PASS — risk documented in thesis</v>
      </c>
      <c r="L20" s="92" t="str">
        <f aca="false">IF('Implied-Return Calculator'!S21="","",'Implied-Return Calculator'!S21)</f>
        <v>PASS</v>
      </c>
      <c r="M20" s="92" t="str">
        <f aca="false">IF('Implied-Return Calculator'!T21="","",'Implied-Return Calculator'!T21)</f>
        <v>PASS</v>
      </c>
      <c r="N20" s="92" t="str">
        <f aca="false">IF('Implied-Return Calculator'!U21="","",'Implied-Return Calculator'!U21)</f>
        <v>OK</v>
      </c>
      <c r="O20" s="92" t="n">
        <v>34.36</v>
      </c>
      <c r="P20" s="92" t="n">
        <v>0.11</v>
      </c>
      <c r="Q20" s="92" t="str">
        <f aca="false">IF(OR(N20="",O20=""),"",IF(N20&lt;=50,"PASS — within ceiling",IF(AND(O20&gt;0.3,L20="PASS"),"PASS — growth+bear case exception met","FAIL — exceeds 50x, exception not met")))</f>
        <v>PASS — growth+bear case exception met</v>
      </c>
      <c r="R20" s="92" t="str">
        <f aca="false">IF(OR(C20="",D20="",E20="",K20="",L20="",M20="",N20="",Q20=""),"",IF(AND(C20="PASS",D20="PASS",LEFT(E20,4)="PASS",LEFT(K20,4)="PASS",L20="PASS",M20="PASS",N20="OK",LEFT(Q20,4)="PASS"),"YES","NO — see failing rule(s)"))</f>
        <v>YES</v>
      </c>
      <c r="S20" s="92" t="str">
        <f aca="false">IF(R20="","",IF(R20="YES","Initiate: "&amp;H20,"DO NOT ENTER — resolve failing Entry Rule(s) above first"))</f>
        <v>Initiate: Standard initial size</v>
      </c>
    </row>
    <row r="21" customFormat="false" ht="15" hidden="false" customHeight="true" outlineLevel="0" collapsed="false">
      <c r="A21" s="92" t="str">
        <f aca="false">IF(Scoring!A21="","",Scoring!A21)</f>
        <v>NEE</v>
      </c>
      <c r="B21" s="92" t="str">
        <f aca="false">IF(Scoring!B21="","",Scoring!B21)</f>
        <v>NextEra Energy Inc.</v>
      </c>
      <c r="C21" s="92" t="str">
        <f aca="false">IF(Scoring!AG21="","",IF(OR(Scoring!AG21="STRONG BUY",Scoring!AG21="BUY"),"PASS","FAIL"))</f>
        <v/>
      </c>
      <c r="D21" s="92" t="str">
        <f aca="false">IF(Scoring!AH21="","",IF(Scoring!AH21="OK","PASS","FAIL"))</f>
        <v>FAIL</v>
      </c>
      <c r="E21" s="92" t="str">
        <f aca="false">IF(Scoring!AI21="","",IF(Scoring!AI21="OK","PASS","FAIL — mandatory review required"))</f>
        <v>FAIL — mandatory review required</v>
      </c>
      <c r="F21" s="92"/>
      <c r="G21" s="92"/>
      <c r="H21" s="92" t="str">
        <f aca="false">IF(OR(F21="",G21=""),"",IF(AND(F21="Y",G21="Y"),"Standard initial size","50% of normal initial size + 90-day technical review"))</f>
        <v/>
      </c>
      <c r="I21" s="92"/>
      <c r="J21" s="92"/>
      <c r="K21" s="92" t="str">
        <f aca="false">IF(I21="","",IF(I21="N","PASS",IF(J21="Y","PASS — risk documented in thesis","FAIL — undocumented binary risk")))</f>
        <v/>
      </c>
      <c r="L21" s="92" t="str">
        <f aca="false">IF('Implied-Return Calculator'!S22="","",'Implied-Return Calculator'!S22)</f>
        <v/>
      </c>
      <c r="M21" s="92" t="str">
        <f aca="false">IF('Implied-Return Calculator'!T22="","",'Implied-Return Calculator'!T22)</f>
        <v/>
      </c>
      <c r="N21" s="92" t="str">
        <f aca="false">IF('Implied-Return Calculator'!U22="","",'Implied-Return Calculator'!U22)</f>
        <v/>
      </c>
      <c r="O21" s="92"/>
      <c r="P21" s="92"/>
      <c r="Q21" s="92" t="str">
        <f aca="false">IF(OR(N21="",O21=""),"",IF(N21&lt;=50,"PASS — within ceiling",IF(AND(O21&gt;0.3,L21="PASS"),"PASS — growth+bear case exception met","FAIL — exceeds 50x, exception not met")))</f>
        <v/>
      </c>
      <c r="R21" s="92" t="str">
        <f aca="false">IF(OR(C21="",D21="",E21="",K21="",L21="",M21="",N21="",Q21=""),"",IF(AND(C21="PASS",D21="PASS",LEFT(E21,4)="PASS",LEFT(K21,4)="PASS",L21="PASS",M21="PASS",N21="OK",LEFT(Q21,4)="PASS"),"YES","NO — see failing rule(s)"))</f>
        <v/>
      </c>
      <c r="S21" s="92" t="str">
        <f aca="false">IF(R21="","",IF(R21="YES","Initiate: "&amp;H21,"DO NOT ENTER — resolve failing Entry Rule(s) above first"))</f>
        <v/>
      </c>
    </row>
    <row r="22" customFormat="false" ht="15" hidden="false" customHeight="true" outlineLevel="0" collapsed="false">
      <c r="A22" s="92" t="str">
        <f aca="false">IF(Scoring!A22="","",Scoring!A22)</f>
        <v>CRK</v>
      </c>
      <c r="B22" s="92" t="str">
        <f aca="false">IF(Scoring!B22="","",Scoring!B22)</f>
        <v>Comstock Resources Inc.</v>
      </c>
      <c r="C22" s="92" t="str">
        <f aca="false">IF(Scoring!AG22="","",IF(OR(Scoring!AG22="STRONG BUY",Scoring!AG22="BUY"),"PASS","FAIL"))</f>
        <v/>
      </c>
      <c r="D22" s="92" t="str">
        <f aca="false">IF(Scoring!AH22="","",IF(Scoring!AH22="OK","PASS","FAIL"))</f>
        <v>FAIL</v>
      </c>
      <c r="E22" s="92" t="str">
        <f aca="false">IF(Scoring!AI22="","",IF(Scoring!AI22="OK","PASS","FAIL — mandatory review required"))</f>
        <v>FAIL — mandatory review required</v>
      </c>
      <c r="F22" s="92"/>
      <c r="G22" s="92"/>
      <c r="H22" s="92" t="str">
        <f aca="false">IF(OR(F22="",G22=""),"",IF(AND(F22="Y",G22="Y"),"Standard initial size","50% of normal initial size + 90-day technical review"))</f>
        <v/>
      </c>
      <c r="I22" s="92"/>
      <c r="J22" s="92"/>
      <c r="K22" s="92" t="str">
        <f aca="false">IF(I22="","",IF(I22="N","PASS",IF(J22="Y","PASS — risk documented in thesis","FAIL — undocumented binary risk")))</f>
        <v/>
      </c>
      <c r="L22" s="92" t="str">
        <f aca="false">IF('Implied-Return Calculator'!S23="","",'Implied-Return Calculator'!S23)</f>
        <v/>
      </c>
      <c r="M22" s="92" t="str">
        <f aca="false">IF('Implied-Return Calculator'!T23="","",'Implied-Return Calculator'!T23)</f>
        <v/>
      </c>
      <c r="N22" s="92" t="str">
        <f aca="false">IF('Implied-Return Calculator'!U23="","",'Implied-Return Calculator'!U23)</f>
        <v/>
      </c>
      <c r="O22" s="92"/>
      <c r="P22" s="92"/>
      <c r="Q22" s="92" t="str">
        <f aca="false">IF(OR(N22="",O22=""),"",IF(N22&lt;=50,"PASS — within ceiling",IF(AND(O22&gt;0.3,L22="PASS"),"PASS — growth+bear case exception met","FAIL — exceeds 50x, exception not met")))</f>
        <v/>
      </c>
      <c r="R22" s="92" t="str">
        <f aca="false">IF(OR(C22="",D22="",E22="",K22="",L22="",M22="",N22="",Q22=""),"",IF(AND(C22="PASS",D22="PASS",LEFT(E22,4)="PASS",LEFT(K22,4)="PASS",L22="PASS",M22="PASS",N22="OK",LEFT(Q22,4)="PASS"),"YES","NO — see failing rule(s)"))</f>
        <v/>
      </c>
      <c r="S22" s="92" t="str">
        <f aca="false">IF(R22="","",IF(R22="YES","Initiate: "&amp;H22,"DO NOT ENTER — resolve failing Entry Rule(s) above first"))</f>
        <v/>
      </c>
    </row>
    <row r="23" customFormat="false" ht="15" hidden="false" customHeight="true" outlineLevel="0" collapsed="false">
      <c r="A23" s="92" t="str">
        <f aca="false">IF(Scoring!A23="","",Scoring!A23)</f>
        <v>ET</v>
      </c>
      <c r="B23" s="92" t="str">
        <f aca="false">IF(Scoring!B23="","",Scoring!B23)</f>
        <v>Energy Transfer LP</v>
      </c>
      <c r="C23" s="92" t="str">
        <f aca="false">IF(Scoring!AG23="","",IF(OR(Scoring!AG23="STRONG BUY",Scoring!AG23="BUY"),"PASS","FAIL"))</f>
        <v/>
      </c>
      <c r="D23" s="92" t="str">
        <f aca="false">IF(Scoring!AH23="","",IF(Scoring!AH23="OK","PASS","FAIL"))</f>
        <v>PASS</v>
      </c>
      <c r="E23" s="92" t="str">
        <f aca="false">IF(Scoring!AI23="","",IF(Scoring!AI23="OK","PASS","FAIL — mandatory review required"))</f>
        <v>PASS</v>
      </c>
      <c r="F23" s="92"/>
      <c r="G23" s="92"/>
      <c r="H23" s="92" t="str">
        <f aca="false">IF(OR(F23="",G23=""),"",IF(AND(F23="Y",G23="Y"),"Standard initial size","50% of normal initial size + 90-day technical review"))</f>
        <v/>
      </c>
      <c r="I23" s="92"/>
      <c r="J23" s="92"/>
      <c r="K23" s="92" t="str">
        <f aca="false">IF(I23="","",IF(I23="N","PASS",IF(J23="Y","PASS — risk documented in thesis","FAIL — undocumented binary risk")))</f>
        <v/>
      </c>
      <c r="L23" s="92" t="str">
        <f aca="false">IF('Implied-Return Calculator'!S24="","",'Implied-Return Calculator'!S24)</f>
        <v/>
      </c>
      <c r="M23" s="92" t="str">
        <f aca="false">IF('Implied-Return Calculator'!T24="","",'Implied-Return Calculator'!T24)</f>
        <v/>
      </c>
      <c r="N23" s="92" t="str">
        <f aca="false">IF('Implied-Return Calculator'!U24="","",'Implied-Return Calculator'!U24)</f>
        <v/>
      </c>
      <c r="O23" s="92"/>
      <c r="P23" s="92"/>
      <c r="Q23" s="92" t="str">
        <f aca="false">IF(OR(N23="",O23=""),"",IF(N23&lt;=50,"PASS — within ceiling",IF(AND(O23&gt;0.3,L23="PASS"),"PASS — growth+bear case exception met","FAIL — exceeds 50x, exception not met")))</f>
        <v/>
      </c>
      <c r="R23" s="92" t="str">
        <f aca="false">IF(OR(C23="",D23="",E23="",K23="",L23="",M23="",N23="",Q23=""),"",IF(AND(C23="PASS",D23="PASS",LEFT(E23,4)="PASS",LEFT(K23,4)="PASS",L23="PASS",M23="PASS",N23="OK",LEFT(Q23,4)="PASS"),"YES","NO — see failing rule(s)"))</f>
        <v/>
      </c>
      <c r="S23" s="92" t="str">
        <f aca="false">IF(R23="","",IF(R23="YES","Initiate: "&amp;H23,"DO NOT ENTER — resolve failing Entry Rule(s) above first"))</f>
        <v/>
      </c>
    </row>
    <row r="24" customFormat="false" ht="15" hidden="false" customHeight="true" outlineLevel="0" collapsed="false">
      <c r="A24" s="92" t="str">
        <f aca="false">IF(Scoring!A24="","",Scoring!A24)</f>
        <v>LBRT</v>
      </c>
      <c r="B24" s="92" t="str">
        <f aca="false">IF(Scoring!B24="","",Scoring!B24)</f>
        <v>Liberty Energy Inc.</v>
      </c>
      <c r="C24" s="92" t="str">
        <f aca="false">IF(Scoring!AG24="","",IF(OR(Scoring!AG24="STRONG BUY",Scoring!AG24="BUY"),"PASS","FAIL"))</f>
        <v/>
      </c>
      <c r="D24" s="92" t="str">
        <f aca="false">IF(Scoring!AH24="","",IF(Scoring!AH24="OK","PASS","FAIL"))</f>
        <v>FAIL</v>
      </c>
      <c r="E24" s="92" t="str">
        <f aca="false">IF(Scoring!AI24="","",IF(Scoring!AI24="OK","PASS","FAIL — mandatory review required"))</f>
        <v>FAIL — mandatory review required</v>
      </c>
      <c r="F24" s="92"/>
      <c r="G24" s="92"/>
      <c r="H24" s="92" t="str">
        <f aca="false">IF(OR(F24="",G24=""),"",IF(AND(F24="Y",G24="Y"),"Standard initial size","50% of normal initial size + 90-day technical review"))</f>
        <v/>
      </c>
      <c r="I24" s="92"/>
      <c r="J24" s="92"/>
      <c r="K24" s="92" t="str">
        <f aca="false">IF(I24="","",IF(I24="N","PASS",IF(J24="Y","PASS — risk documented in thesis","FAIL — undocumented binary risk")))</f>
        <v/>
      </c>
      <c r="L24" s="92" t="str">
        <f aca="false">IF('Implied-Return Calculator'!S25="","",'Implied-Return Calculator'!S25)</f>
        <v/>
      </c>
      <c r="M24" s="92" t="str">
        <f aca="false">IF('Implied-Return Calculator'!T25="","",'Implied-Return Calculator'!T25)</f>
        <v/>
      </c>
      <c r="N24" s="92" t="str">
        <f aca="false">IF('Implied-Return Calculator'!U25="","",'Implied-Return Calculator'!U25)</f>
        <v/>
      </c>
      <c r="O24" s="92"/>
      <c r="P24" s="92"/>
      <c r="Q24" s="92" t="str">
        <f aca="false">IF(OR(N24="",O24=""),"",IF(N24&lt;=50,"PASS — within ceiling",IF(AND(O24&gt;0.3,L24="PASS"),"PASS — growth+bear case exception met","FAIL — exceeds 50x, exception not met")))</f>
        <v/>
      </c>
      <c r="R24" s="92" t="str">
        <f aca="false">IF(OR(C24="",D24="",E24="",K24="",L24="",M24="",N24="",Q24=""),"",IF(AND(C24="PASS",D24="PASS",LEFT(E24,4)="PASS",LEFT(K24,4)="PASS",L24="PASS",M24="PASS",N24="OK",LEFT(Q24,4)="PASS"),"YES","NO — see failing rule(s)"))</f>
        <v/>
      </c>
      <c r="S24" s="92" t="str">
        <f aca="false">IF(R24="","",IF(R24="YES","Initiate: "&amp;H24,"DO NOT ENTER — resolve failing Entry Rule(s) above first"))</f>
        <v/>
      </c>
    </row>
    <row r="25" customFormat="false" ht="15" hidden="false" customHeight="true" outlineLevel="0" collapsed="false">
      <c r="A25" s="92" t="str">
        <f aca="false">IF(Scoring!A25="","",Scoring!A25)</f>
        <v>NOV</v>
      </c>
      <c r="B25" s="92" t="str">
        <f aca="false">IF(Scoring!B25="","",Scoring!B25)</f>
        <v>NOV Inc.</v>
      </c>
      <c r="C25" s="92" t="str">
        <f aca="false">IF(Scoring!AG25="","",IF(OR(Scoring!AG25="STRONG BUY",Scoring!AG25="BUY"),"PASS","FAIL"))</f>
        <v/>
      </c>
      <c r="D25" s="92" t="str">
        <f aca="false">IF(Scoring!AH25="","",IF(Scoring!AH25="OK","PASS","FAIL"))</f>
        <v>FAIL</v>
      </c>
      <c r="E25" s="92" t="str">
        <f aca="false">IF(Scoring!AI25="","",IF(Scoring!AI25="OK","PASS","FAIL — mandatory review required"))</f>
        <v>PASS</v>
      </c>
      <c r="F25" s="92"/>
      <c r="G25" s="92"/>
      <c r="H25" s="92" t="str">
        <f aca="false">IF(OR(F25="",G25=""),"",IF(AND(F25="Y",G25="Y"),"Standard initial size","50% of normal initial size + 90-day technical review"))</f>
        <v/>
      </c>
      <c r="I25" s="92"/>
      <c r="J25" s="92"/>
      <c r="K25" s="92" t="str">
        <f aca="false">IF(I25="","",IF(I25="N","PASS",IF(J25="Y","PASS — risk documented in thesis","FAIL — undocumented binary risk")))</f>
        <v/>
      </c>
      <c r="L25" s="92" t="str">
        <f aca="false">IF('Implied-Return Calculator'!S26="","",'Implied-Return Calculator'!S26)</f>
        <v/>
      </c>
      <c r="M25" s="92" t="str">
        <f aca="false">IF('Implied-Return Calculator'!T26="","",'Implied-Return Calculator'!T26)</f>
        <v/>
      </c>
      <c r="N25" s="92" t="str">
        <f aca="false">IF('Implied-Return Calculator'!U26="","",'Implied-Return Calculator'!U26)</f>
        <v/>
      </c>
      <c r="O25" s="92"/>
      <c r="P25" s="92"/>
      <c r="Q25" s="92" t="str">
        <f aca="false">IF(OR(N25="",O25=""),"",IF(N25&lt;=50,"PASS — within ceiling",IF(AND(O25&gt;0.3,L25="PASS"),"PASS — growth+bear case exception met","FAIL — exceeds 50x, exception not met")))</f>
        <v/>
      </c>
      <c r="R25" s="92" t="str">
        <f aca="false">IF(OR(C25="",D25="",E25="",K25="",L25="",M25="",N25="",Q25=""),"",IF(AND(C25="PASS",D25="PASS",LEFT(E25,4)="PASS",LEFT(K25,4)="PASS",L25="PASS",M25="PASS",N25="OK",LEFT(Q25,4)="PASS"),"YES","NO — see failing rule(s)"))</f>
        <v/>
      </c>
      <c r="S25" s="92" t="str">
        <f aca="false">IF(R25="","",IF(R25="YES","Initiate: "&amp;H25,"DO NOT ENTER — resolve failing Entry Rule(s) above first"))</f>
        <v/>
      </c>
    </row>
    <row r="26" customFormat="false" ht="15" hidden="false" customHeight="true" outlineLevel="0" collapsed="false">
      <c r="A26" s="92" t="str">
        <f aca="false">IF(Scoring!A26="","",Scoring!A26)</f>
        <v>CE</v>
      </c>
      <c r="B26" s="92" t="str">
        <f aca="false">IF(Scoring!B26="","",Scoring!B26)</f>
        <v>Celanese Corp.</v>
      </c>
      <c r="C26" s="92" t="str">
        <f aca="false">IF(Scoring!AG26="","",IF(OR(Scoring!AG26="STRONG BUY",Scoring!AG26="BUY"),"PASS","FAIL"))</f>
        <v/>
      </c>
      <c r="D26" s="92" t="str">
        <f aca="false">IF(Scoring!AH26="","",IF(Scoring!AH26="OK","PASS","FAIL"))</f>
        <v>FAIL</v>
      </c>
      <c r="E26" s="92" t="str">
        <f aca="false">IF(Scoring!AI26="","",IF(Scoring!AI26="OK","PASS","FAIL — mandatory review required"))</f>
        <v>FAIL — mandatory review required</v>
      </c>
      <c r="F26" s="92"/>
      <c r="G26" s="92"/>
      <c r="H26" s="92" t="str">
        <f aca="false">IF(OR(F26="",G26=""),"",IF(AND(F26="Y",G26="Y"),"Standard initial size","50% of normal initial size + 90-day technical review"))</f>
        <v/>
      </c>
      <c r="I26" s="92"/>
      <c r="J26" s="92"/>
      <c r="K26" s="92" t="str">
        <f aca="false">IF(I26="","",IF(I26="N","PASS",IF(J26="Y","PASS — risk documented in thesis","FAIL — undocumented binary risk")))</f>
        <v/>
      </c>
      <c r="L26" s="92" t="str">
        <f aca="false">IF('Implied-Return Calculator'!S27="","",'Implied-Return Calculator'!S27)</f>
        <v/>
      </c>
      <c r="M26" s="92" t="str">
        <f aca="false">IF('Implied-Return Calculator'!T27="","",'Implied-Return Calculator'!T27)</f>
        <v/>
      </c>
      <c r="N26" s="92" t="str">
        <f aca="false">IF('Implied-Return Calculator'!U27="","",'Implied-Return Calculator'!U27)</f>
        <v/>
      </c>
      <c r="O26" s="92"/>
      <c r="P26" s="92"/>
      <c r="Q26" s="92" t="str">
        <f aca="false">IF(OR(N26="",O26=""),"",IF(N26&lt;=50,"PASS — within ceiling",IF(AND(O26&gt;0.3,L26="PASS"),"PASS — growth+bear case exception met","FAIL — exceeds 50x, exception not met")))</f>
        <v/>
      </c>
      <c r="R26" s="92" t="str">
        <f aca="false">IF(OR(C26="",D26="",E26="",K26="",L26="",M26="",N26="",Q26=""),"",IF(AND(C26="PASS",D26="PASS",LEFT(E26,4)="PASS",LEFT(K26,4)="PASS",L26="PASS",M26="PASS",N26="OK",LEFT(Q26,4)="PASS"),"YES","NO — see failing rule(s)"))</f>
        <v/>
      </c>
      <c r="S26" s="92" t="str">
        <f aca="false">IF(R26="","",IF(R26="YES","Initiate: "&amp;H26,"DO NOT ENTER — resolve failing Entry Rule(s) above first"))</f>
        <v/>
      </c>
    </row>
    <row r="27" customFormat="false" ht="15" hidden="false" customHeight="true" outlineLevel="0" collapsed="false">
      <c r="A27" s="92" t="str">
        <f aca="false">IF(Scoring!A27="","",Scoring!A27)</f>
        <v>CLF</v>
      </c>
      <c r="B27" s="92" t="str">
        <f aca="false">IF(Scoring!B27="","",Scoring!B27)</f>
        <v>Cleveland-Cliffs Inc.</v>
      </c>
      <c r="C27" s="92" t="str">
        <f aca="false">IF(Scoring!AG27="","",IF(OR(Scoring!AG27="STRONG BUY",Scoring!AG27="BUY"),"PASS","FAIL"))</f>
        <v/>
      </c>
      <c r="D27" s="92" t="str">
        <f aca="false">IF(Scoring!AH27="","",IF(Scoring!AH27="OK","PASS","FAIL"))</f>
        <v>FAIL</v>
      </c>
      <c r="E27" s="92" t="str">
        <f aca="false">IF(Scoring!AI27="","",IF(Scoring!AI27="OK","PASS","FAIL — mandatory review required"))</f>
        <v>FAIL — mandatory review required</v>
      </c>
      <c r="F27" s="92"/>
      <c r="G27" s="92"/>
      <c r="H27" s="92" t="str">
        <f aca="false">IF(OR(F27="",G27=""),"",IF(AND(F27="Y",G27="Y"),"Standard initial size","50% of normal initial size + 90-day technical review"))</f>
        <v/>
      </c>
      <c r="I27" s="92"/>
      <c r="J27" s="92"/>
      <c r="K27" s="92" t="str">
        <f aca="false">IF(I27="","",IF(I27="N","PASS",IF(J27="Y","PASS — risk documented in thesis","FAIL — undocumented binary risk")))</f>
        <v/>
      </c>
      <c r="L27" s="92" t="str">
        <f aca="false">IF('Implied-Return Calculator'!S28="","",'Implied-Return Calculator'!S28)</f>
        <v/>
      </c>
      <c r="M27" s="92" t="str">
        <f aca="false">IF('Implied-Return Calculator'!T28="","",'Implied-Return Calculator'!T28)</f>
        <v/>
      </c>
      <c r="N27" s="92" t="str">
        <f aca="false">IF('Implied-Return Calculator'!U28="","",'Implied-Return Calculator'!U28)</f>
        <v/>
      </c>
      <c r="O27" s="92"/>
      <c r="P27" s="92"/>
      <c r="Q27" s="92" t="str">
        <f aca="false">IF(OR(N27="",O27=""),"",IF(N27&lt;=50,"PASS — within ceiling",IF(AND(O27&gt;0.3,L27="PASS"),"PASS — growth+bear case exception met","FAIL — exceeds 50x, exception not met")))</f>
        <v/>
      </c>
      <c r="R27" s="92" t="str">
        <f aca="false">IF(OR(C27="",D27="",E27="",K27="",L27="",M27="",N27="",Q27=""),"",IF(AND(C27="PASS",D27="PASS",LEFT(E27,4)="PASS",LEFT(K27,4)="PASS",L27="PASS",M27="PASS",N27="OK",LEFT(Q27,4)="PASS"),"YES","NO — see failing rule(s)"))</f>
        <v/>
      </c>
      <c r="S27" s="92" t="str">
        <f aca="false">IF(R27="","",IF(R27="YES","Initiate: "&amp;H27,"DO NOT ENTER — resolve failing Entry Rule(s) above first"))</f>
        <v/>
      </c>
    </row>
    <row r="28" customFormat="false" ht="15" hidden="false" customHeight="true" outlineLevel="0" collapsed="false">
      <c r="A28" s="92" t="str">
        <f aca="false">IF(Scoring!A28="","",Scoring!A28)</f>
        <v>LIN</v>
      </c>
      <c r="B28" s="92" t="str">
        <f aca="false">IF(Scoring!B28="","",Scoring!B28)</f>
        <v>Linde plc</v>
      </c>
      <c r="C28" s="92" t="str">
        <f aca="false">IF(Scoring!AG28="","",IF(OR(Scoring!AG28="STRONG BUY",Scoring!AG28="BUY"),"PASS","FAIL"))</f>
        <v/>
      </c>
      <c r="D28" s="92" t="str">
        <f aca="false">IF(Scoring!AH28="","",IF(Scoring!AH28="OK","PASS","FAIL"))</f>
        <v>PASS</v>
      </c>
      <c r="E28" s="92" t="str">
        <f aca="false">IF(Scoring!AI28="","",IF(Scoring!AI28="OK","PASS","FAIL — mandatory review required"))</f>
        <v>PASS</v>
      </c>
      <c r="F28" s="92"/>
      <c r="G28" s="92"/>
      <c r="H28" s="92" t="str">
        <f aca="false">IF(OR(F28="",G28=""),"",IF(AND(F28="Y",G28="Y"),"Standard initial size","50% of normal initial size + 90-day technical review"))</f>
        <v/>
      </c>
      <c r="I28" s="92"/>
      <c r="J28" s="92"/>
      <c r="K28" s="92" t="str">
        <f aca="false">IF(I28="","",IF(I28="N","PASS",IF(J28="Y","PASS — risk documented in thesis","FAIL — undocumented binary risk")))</f>
        <v/>
      </c>
      <c r="L28" s="92" t="str">
        <f aca="false">IF('Implied-Return Calculator'!S29="","",'Implied-Return Calculator'!S29)</f>
        <v/>
      </c>
      <c r="M28" s="92" t="str">
        <f aca="false">IF('Implied-Return Calculator'!T29="","",'Implied-Return Calculator'!T29)</f>
        <v/>
      </c>
      <c r="N28" s="92" t="str">
        <f aca="false">IF('Implied-Return Calculator'!U29="","",'Implied-Return Calculator'!U29)</f>
        <v/>
      </c>
      <c r="O28" s="92"/>
      <c r="P28" s="92"/>
      <c r="Q28" s="92" t="str">
        <f aca="false">IF(OR(N28="",O28=""),"",IF(N28&lt;=50,"PASS — within ceiling",IF(AND(O28&gt;0.3,L28="PASS"),"PASS — growth+bear case exception met","FAIL — exceeds 50x, exception not met")))</f>
        <v/>
      </c>
      <c r="R28" s="92" t="str">
        <f aca="false">IF(OR(C28="",D28="",E28="",K28="",L28="",M28="",N28="",Q28=""),"",IF(AND(C28="PASS",D28="PASS",LEFT(E28,4)="PASS",LEFT(K28,4)="PASS",L28="PASS",M28="PASS",N28="OK",LEFT(Q28,4)="PASS"),"YES","NO — see failing rule(s)"))</f>
        <v/>
      </c>
      <c r="S28" s="92" t="str">
        <f aca="false">IF(R28="","",IF(R28="YES","Initiate: "&amp;H28,"DO NOT ENTER — resolve failing Entry Rule(s) above first"))</f>
        <v/>
      </c>
    </row>
    <row r="29" customFormat="false" ht="15" hidden="false" customHeight="true" outlineLevel="0" collapsed="false">
      <c r="A29" s="92" t="str">
        <f aca="false">IF(Scoring!A29="","",Scoring!A29)</f>
        <v>DEO</v>
      </c>
      <c r="B29" s="92" t="str">
        <f aca="false">IF(Scoring!B29="","",Scoring!B29)</f>
        <v>Diageo plc</v>
      </c>
      <c r="C29" s="92" t="str">
        <f aca="false">IF(Scoring!AG29="","",IF(OR(Scoring!AG29="STRONG BUY",Scoring!AG29="BUY"),"PASS","FAIL"))</f>
        <v/>
      </c>
      <c r="D29" s="92" t="str">
        <f aca="false">IF(Scoring!AH29="","",IF(Scoring!AH29="OK","PASS","FAIL"))</f>
        <v>FAIL</v>
      </c>
      <c r="E29" s="92" t="str">
        <f aca="false">IF(Scoring!AI29="","",IF(Scoring!AI29="OK","PASS","FAIL — mandatory review required"))</f>
        <v>PASS</v>
      </c>
      <c r="F29" s="92"/>
      <c r="G29" s="92"/>
      <c r="H29" s="92" t="str">
        <f aca="false">IF(OR(F29="",G29=""),"",IF(AND(F29="Y",G29="Y"),"Standard initial size","50% of normal initial size + 90-day technical review"))</f>
        <v/>
      </c>
      <c r="I29" s="92"/>
      <c r="J29" s="92"/>
      <c r="K29" s="92" t="str">
        <f aca="false">IF(I29="","",IF(I29="N","PASS",IF(J29="Y","PASS — risk documented in thesis","FAIL — undocumented binary risk")))</f>
        <v/>
      </c>
      <c r="L29" s="92" t="str">
        <f aca="false">IF('Implied-Return Calculator'!S30="","",'Implied-Return Calculator'!S30)</f>
        <v/>
      </c>
      <c r="M29" s="92" t="str">
        <f aca="false">IF('Implied-Return Calculator'!T30="","",'Implied-Return Calculator'!T30)</f>
        <v/>
      </c>
      <c r="N29" s="92" t="str">
        <f aca="false">IF('Implied-Return Calculator'!U30="","",'Implied-Return Calculator'!U30)</f>
        <v/>
      </c>
      <c r="O29" s="92"/>
      <c r="P29" s="92"/>
      <c r="Q29" s="92" t="str">
        <f aca="false">IF(OR(N29="",O29=""),"",IF(N29&lt;=50,"PASS — within ceiling",IF(AND(O29&gt;0.3,L29="PASS"),"PASS — growth+bear case exception met","FAIL — exceeds 50x, exception not met")))</f>
        <v/>
      </c>
      <c r="R29" s="92" t="str">
        <f aca="false">IF(OR(C29="",D29="",E29="",K29="",L29="",M29="",N29="",Q29=""),"",IF(AND(C29="PASS",D29="PASS",LEFT(E29,4)="PASS",LEFT(K29,4)="PASS",L29="PASS",M29="PASS",N29="OK",LEFT(Q29,4)="PASS"),"YES","NO — see failing rule(s)"))</f>
        <v/>
      </c>
      <c r="S29" s="92" t="str">
        <f aca="false">IF(R29="","",IF(R29="YES","Initiate: "&amp;H29,"DO NOT ENTER — resolve failing Entry Rule(s) above first"))</f>
        <v/>
      </c>
    </row>
    <row r="30" customFormat="false" ht="15" hidden="false" customHeight="true" outlineLevel="0" collapsed="false">
      <c r="A30" s="92" t="str">
        <f aca="false">IF(Scoring!A30="","",Scoring!A30)</f>
        <v>EL</v>
      </c>
      <c r="B30" s="92" t="str">
        <f aca="false">IF(Scoring!B30="","",Scoring!B30)</f>
        <v>Estee Lauder Companies</v>
      </c>
      <c r="C30" s="92" t="str">
        <f aca="false">IF(Scoring!AG30="","",IF(OR(Scoring!AG30="STRONG BUY",Scoring!AG30="BUY"),"PASS","FAIL"))</f>
        <v/>
      </c>
      <c r="D30" s="92" t="str">
        <f aca="false">IF(Scoring!AH30="","",IF(Scoring!AH30="OK","PASS","FAIL"))</f>
        <v>FAIL</v>
      </c>
      <c r="E30" s="92" t="str">
        <f aca="false">IF(Scoring!AI30="","",IF(Scoring!AI30="OK","PASS","FAIL — mandatory review required"))</f>
        <v>FAIL — mandatory review required</v>
      </c>
      <c r="F30" s="92"/>
      <c r="G30" s="92"/>
      <c r="H30" s="92" t="str">
        <f aca="false">IF(OR(F30="",G30=""),"",IF(AND(F30="Y",G30="Y"),"Standard initial size","50% of normal initial size + 90-day technical review"))</f>
        <v/>
      </c>
      <c r="I30" s="92"/>
      <c r="J30" s="92"/>
      <c r="K30" s="92" t="str">
        <f aca="false">IF(I30="","",IF(I30="N","PASS",IF(J30="Y","PASS — risk documented in thesis","FAIL — undocumented binary risk")))</f>
        <v/>
      </c>
      <c r="L30" s="92" t="str">
        <f aca="false">IF('Implied-Return Calculator'!S31="","",'Implied-Return Calculator'!S31)</f>
        <v/>
      </c>
      <c r="M30" s="92" t="str">
        <f aca="false">IF('Implied-Return Calculator'!T31="","",'Implied-Return Calculator'!T31)</f>
        <v/>
      </c>
      <c r="N30" s="92" t="str">
        <f aca="false">IF('Implied-Return Calculator'!U31="","",'Implied-Return Calculator'!U31)</f>
        <v/>
      </c>
      <c r="O30" s="92"/>
      <c r="P30" s="92"/>
      <c r="Q30" s="92" t="str">
        <f aca="false">IF(OR(N30="",O30=""),"",IF(N30&lt;=50,"PASS — within ceiling",IF(AND(O30&gt;0.3,L30="PASS"),"PASS — growth+bear case exception met","FAIL — exceeds 50x, exception not met")))</f>
        <v/>
      </c>
      <c r="R30" s="92" t="str">
        <f aca="false">IF(OR(C30="",D30="",E30="",K30="",L30="",M30="",N30="",Q30=""),"",IF(AND(C30="PASS",D30="PASS",LEFT(E30,4)="PASS",LEFT(K30,4)="PASS",L30="PASS",M30="PASS",N30="OK",LEFT(Q30,4)="PASS"),"YES","NO — see failing rule(s)"))</f>
        <v/>
      </c>
      <c r="S30" s="92" t="str">
        <f aca="false">IF(R30="","",IF(R30="YES","Initiate: "&amp;H30,"DO NOT ENTER — resolve failing Entry Rule(s) above first"))</f>
        <v/>
      </c>
    </row>
    <row r="31" customFormat="false" ht="15" hidden="false" customHeight="true" outlineLevel="0" collapsed="false">
      <c r="A31" s="92" t="str">
        <f aca="false">IF(Scoring!A31="","",Scoring!A31)</f>
        <v>HRL</v>
      </c>
      <c r="B31" s="92" t="str">
        <f aca="false">IF(Scoring!B31="","",Scoring!B31)</f>
        <v>Hormel Foods Corp.</v>
      </c>
      <c r="C31" s="92" t="str">
        <f aca="false">IF(Scoring!AG31="","",IF(OR(Scoring!AG31="STRONG BUY",Scoring!AG31="BUY"),"PASS","FAIL"))</f>
        <v/>
      </c>
      <c r="D31" s="92" t="str">
        <f aca="false">IF(Scoring!AH31="","",IF(Scoring!AH31="OK","PASS","FAIL"))</f>
        <v>FAIL</v>
      </c>
      <c r="E31" s="92" t="str">
        <f aca="false">IF(Scoring!AI31="","",IF(Scoring!AI31="OK","PASS","FAIL — mandatory review required"))</f>
        <v>FAIL — mandatory review required</v>
      </c>
      <c r="F31" s="92"/>
      <c r="G31" s="92"/>
      <c r="H31" s="92" t="str">
        <f aca="false">IF(OR(F31="",G31=""),"",IF(AND(F31="Y",G31="Y"),"Standard initial size","50% of normal initial size + 90-day technical review"))</f>
        <v/>
      </c>
      <c r="I31" s="92"/>
      <c r="J31" s="92"/>
      <c r="K31" s="92" t="str">
        <f aca="false">IF(I31="","",IF(I31="N","PASS",IF(J31="Y","PASS — risk documented in thesis","FAIL — undocumented binary risk")))</f>
        <v/>
      </c>
      <c r="L31" s="92" t="str">
        <f aca="false">IF('Implied-Return Calculator'!S32="","",'Implied-Return Calculator'!S32)</f>
        <v/>
      </c>
      <c r="M31" s="92" t="str">
        <f aca="false">IF('Implied-Return Calculator'!T32="","",'Implied-Return Calculator'!T32)</f>
        <v/>
      </c>
      <c r="N31" s="92" t="str">
        <f aca="false">IF('Implied-Return Calculator'!U32="","",'Implied-Return Calculator'!U32)</f>
        <v/>
      </c>
      <c r="O31" s="92"/>
      <c r="P31" s="92"/>
      <c r="Q31" s="92" t="str">
        <f aca="false">IF(OR(N31="",O31=""),"",IF(N31&lt;=50,"PASS — within ceiling",IF(AND(O31&gt;0.3,L31="PASS"),"PASS — growth+bear case exception met","FAIL — exceeds 50x, exception not met")))</f>
        <v/>
      </c>
      <c r="R31" s="92" t="str">
        <f aca="false">IF(OR(C31="",D31="",E31="",K31="",L31="",M31="",N31="",Q31=""),"",IF(AND(C31="PASS",D31="PASS",LEFT(E31,4)="PASS",LEFT(K31,4)="PASS",L31="PASS",M31="PASS",N31="OK",LEFT(Q31,4)="PASS"),"YES","NO — see failing rule(s)"))</f>
        <v/>
      </c>
      <c r="S31" s="92" t="str">
        <f aca="false">IF(R31="","",IF(R31="YES","Initiate: "&amp;H31,"DO NOT ENTER — resolve failing Entry Rule(s) above first"))</f>
        <v/>
      </c>
    </row>
    <row r="32" customFormat="false" ht="15" hidden="false" customHeight="true" outlineLevel="0" collapsed="false">
      <c r="A32" s="92" t="str">
        <f aca="false">IF(Scoring!A32="","",Scoring!A32)</f>
        <v>PG</v>
      </c>
      <c r="B32" s="92" t="str">
        <f aca="false">IF(Scoring!B32="","",Scoring!B32)</f>
        <v>Procter &amp; Gamble Co.</v>
      </c>
      <c r="C32" s="92" t="str">
        <f aca="false">IF(Scoring!AG32="","",IF(OR(Scoring!AG32="STRONG BUY",Scoring!AG32="BUY"),"PASS","FAIL"))</f>
        <v/>
      </c>
      <c r="D32" s="92" t="str">
        <f aca="false">IF(Scoring!AH32="","",IF(Scoring!AH32="OK","PASS","FAIL"))</f>
        <v>PASS</v>
      </c>
      <c r="E32" s="92" t="str">
        <f aca="false">IF(Scoring!AI32="","",IF(Scoring!AI32="OK","PASS","FAIL — mandatory review required"))</f>
        <v>PASS</v>
      </c>
      <c r="F32" s="92"/>
      <c r="G32" s="92"/>
      <c r="H32" s="92" t="str">
        <f aca="false">IF(OR(F32="",G32=""),"",IF(AND(F32="Y",G32="Y"),"Standard initial size","50% of normal initial size + 90-day technical review"))</f>
        <v/>
      </c>
      <c r="I32" s="92"/>
      <c r="J32" s="92"/>
      <c r="K32" s="92" t="str">
        <f aca="false">IF(I32="","",IF(I32="N","PASS",IF(J32="Y","PASS — risk documented in thesis","FAIL — undocumented binary risk")))</f>
        <v/>
      </c>
      <c r="L32" s="92" t="str">
        <f aca="false">IF('Implied-Return Calculator'!S33="","",'Implied-Return Calculator'!S33)</f>
        <v/>
      </c>
      <c r="M32" s="92" t="str">
        <f aca="false">IF('Implied-Return Calculator'!T33="","",'Implied-Return Calculator'!T33)</f>
        <v/>
      </c>
      <c r="N32" s="92" t="str">
        <f aca="false">IF('Implied-Return Calculator'!U33="","",'Implied-Return Calculator'!U33)</f>
        <v/>
      </c>
      <c r="O32" s="92"/>
      <c r="P32" s="92"/>
      <c r="Q32" s="92" t="str">
        <f aca="false">IF(OR(N32="",O32=""),"",IF(N32&lt;=50,"PASS — within ceiling",IF(AND(O32&gt;0.3,L32="PASS"),"PASS — growth+bear case exception met","FAIL — exceeds 50x, exception not met")))</f>
        <v/>
      </c>
      <c r="R32" s="92" t="str">
        <f aca="false">IF(OR(C32="",D32="",E32="",K32="",L32="",M32="",N32="",Q32=""),"",IF(AND(C32="PASS",D32="PASS",LEFT(E32,4)="PASS",LEFT(K32,4)="PASS",L32="PASS",M32="PASS",N32="OK",LEFT(Q32,4)="PASS"),"YES","NO — see failing rule(s)"))</f>
        <v/>
      </c>
      <c r="S32" s="92" t="str">
        <f aca="false">IF(R32="","",IF(R32="YES","Initiate: "&amp;H32,"DO NOT ENTER — resolve failing Entry Rule(s) above first"))</f>
        <v/>
      </c>
    </row>
    <row r="33" customFormat="false" ht="15" hidden="false" customHeight="true" outlineLevel="0" collapsed="false">
      <c r="A33" s="92" t="str">
        <f aca="false">IF(Scoring!A33="","",Scoring!A33)</f>
        <v>CMG</v>
      </c>
      <c r="B33" s="92" t="str">
        <f aca="false">IF(Scoring!B33="","",Scoring!B33)</f>
        <v>Chipotle Mexican Grill</v>
      </c>
      <c r="C33" s="92" t="str">
        <f aca="false">IF(Scoring!AG33="","",IF(OR(Scoring!AG33="STRONG BUY",Scoring!AG33="BUY"),"PASS","FAIL"))</f>
        <v/>
      </c>
      <c r="D33" s="92" t="str">
        <f aca="false">IF(Scoring!AH33="","",IF(Scoring!AH33="OK","PASS","FAIL"))</f>
        <v>PASS</v>
      </c>
      <c r="E33" s="92" t="str">
        <f aca="false">IF(Scoring!AI33="","",IF(Scoring!AI33="OK","PASS","FAIL — mandatory review required"))</f>
        <v>PASS</v>
      </c>
      <c r="F33" s="92"/>
      <c r="G33" s="92"/>
      <c r="H33" s="92" t="str">
        <f aca="false">IF(OR(F33="",G33=""),"",IF(AND(F33="Y",G33="Y"),"Standard initial size","50% of normal initial size + 90-day technical review"))</f>
        <v/>
      </c>
      <c r="I33" s="92"/>
      <c r="J33" s="92"/>
      <c r="K33" s="92" t="str">
        <f aca="false">IF(I33="","",IF(I33="N","PASS",IF(J33="Y","PASS — risk documented in thesis","FAIL — undocumented binary risk")))</f>
        <v/>
      </c>
      <c r="L33" s="92" t="str">
        <f aca="false">IF('Implied-Return Calculator'!S34="","",'Implied-Return Calculator'!S34)</f>
        <v/>
      </c>
      <c r="M33" s="92" t="str">
        <f aca="false">IF('Implied-Return Calculator'!T34="","",'Implied-Return Calculator'!T34)</f>
        <v/>
      </c>
      <c r="N33" s="92" t="str">
        <f aca="false">IF('Implied-Return Calculator'!U34="","",'Implied-Return Calculator'!U34)</f>
        <v/>
      </c>
      <c r="O33" s="92"/>
      <c r="P33" s="92"/>
      <c r="Q33" s="92" t="str">
        <f aca="false">IF(OR(N33="",O33=""),"",IF(N33&lt;=50,"PASS — within ceiling",IF(AND(O33&gt;0.3,L33="PASS"),"PASS — growth+bear case exception met","FAIL — exceeds 50x, exception not met")))</f>
        <v/>
      </c>
      <c r="R33" s="92" t="str">
        <f aca="false">IF(OR(C33="",D33="",E33="",K33="",L33="",M33="",N33="",Q33=""),"",IF(AND(C33="PASS",D33="PASS",LEFT(E33,4)="PASS",LEFT(K33,4)="PASS",L33="PASS",M33="PASS",N33="OK",LEFT(Q33,4)="PASS"),"YES","NO — see failing rule(s)"))</f>
        <v/>
      </c>
      <c r="S33" s="92" t="str">
        <f aca="false">IF(R33="","",IF(R33="YES","Initiate: "&amp;H33,"DO NOT ENTER — resolve failing Entry Rule(s) above first"))</f>
        <v/>
      </c>
    </row>
    <row r="34" customFormat="false" ht="15" hidden="false" customHeight="true" outlineLevel="0" collapsed="false">
      <c r="A34" s="92" t="str">
        <f aca="false">IF(Scoring!A34="","",Scoring!A34)</f>
        <v>DPZ</v>
      </c>
      <c r="B34" s="92" t="str">
        <f aca="false">IF(Scoring!B34="","",Scoring!B34)</f>
        <v>Domino's Pizza Inc.</v>
      </c>
      <c r="C34" s="92" t="str">
        <f aca="false">IF(Scoring!AG34="","",IF(OR(Scoring!AG34="STRONG BUY",Scoring!AG34="BUY"),"PASS","FAIL"))</f>
        <v/>
      </c>
      <c r="D34" s="92" t="str">
        <f aca="false">IF(Scoring!AH34="","",IF(Scoring!AH34="OK","PASS","FAIL"))</f>
        <v>PASS</v>
      </c>
      <c r="E34" s="92" t="str">
        <f aca="false">IF(Scoring!AI34="","",IF(Scoring!AI34="OK","PASS","FAIL — mandatory review required"))</f>
        <v>PASS</v>
      </c>
      <c r="F34" s="92"/>
      <c r="G34" s="92"/>
      <c r="H34" s="92" t="str">
        <f aca="false">IF(OR(F34="",G34=""),"",IF(AND(F34="Y",G34="Y"),"Standard initial size","50% of normal initial size + 90-day technical review"))</f>
        <v/>
      </c>
      <c r="I34" s="92"/>
      <c r="J34" s="92"/>
      <c r="K34" s="92" t="str">
        <f aca="false">IF(I34="","",IF(I34="N","PASS",IF(J34="Y","PASS — risk documented in thesis","FAIL — undocumented binary risk")))</f>
        <v/>
      </c>
      <c r="L34" s="92" t="str">
        <f aca="false">IF('Implied-Return Calculator'!S35="","",'Implied-Return Calculator'!S35)</f>
        <v/>
      </c>
      <c r="M34" s="92" t="str">
        <f aca="false">IF('Implied-Return Calculator'!T35="","",'Implied-Return Calculator'!T35)</f>
        <v/>
      </c>
      <c r="N34" s="92" t="str">
        <f aca="false">IF('Implied-Return Calculator'!U35="","",'Implied-Return Calculator'!U35)</f>
        <v/>
      </c>
      <c r="O34" s="92"/>
      <c r="P34" s="92"/>
      <c r="Q34" s="92" t="str">
        <f aca="false">IF(OR(N34="",O34=""),"",IF(N34&lt;=50,"PASS — within ceiling",IF(AND(O34&gt;0.3,L34="PASS"),"PASS — growth+bear case exception met","FAIL — exceeds 50x, exception not met")))</f>
        <v/>
      </c>
      <c r="R34" s="92" t="str">
        <f aca="false">IF(OR(C34="",D34="",E34="",K34="",L34="",M34="",N34="",Q34=""),"",IF(AND(C34="PASS",D34="PASS",LEFT(E34,4)="PASS",LEFT(K34,4)="PASS",L34="PASS",M34="PASS",N34="OK",LEFT(Q34,4)="PASS"),"YES","NO — see failing rule(s)"))</f>
        <v/>
      </c>
      <c r="S34" s="92" t="str">
        <f aca="false">IF(R34="","",IF(R34="YES","Initiate: "&amp;H34,"DO NOT ENTER — resolve failing Entry Rule(s) above first"))</f>
        <v/>
      </c>
    </row>
    <row r="35" customFormat="false" ht="15" hidden="false" customHeight="true" outlineLevel="0" collapsed="false">
      <c r="A35" s="92" t="str">
        <f aca="false">IF(Scoring!A35="","",Scoring!A35)</f>
        <v>PZZA</v>
      </c>
      <c r="B35" s="92" t="str">
        <f aca="false">IF(Scoring!B35="","",Scoring!B35)</f>
        <v>Papa John's Intl.</v>
      </c>
      <c r="C35" s="92" t="str">
        <f aca="false">IF(Scoring!AG35="","",IF(OR(Scoring!AG35="STRONG BUY",Scoring!AG35="BUY"),"PASS","FAIL"))</f>
        <v/>
      </c>
      <c r="D35" s="92" t="str">
        <f aca="false">IF(Scoring!AH35="","",IF(Scoring!AH35="OK","PASS","FAIL"))</f>
        <v>FAIL</v>
      </c>
      <c r="E35" s="92" t="str">
        <f aca="false">IF(Scoring!AI35="","",IF(Scoring!AI35="OK","PASS","FAIL — mandatory review required"))</f>
        <v>FAIL — mandatory review required</v>
      </c>
      <c r="F35" s="92"/>
      <c r="G35" s="92"/>
      <c r="H35" s="92" t="str">
        <f aca="false">IF(OR(F35="",G35=""),"",IF(AND(F35="Y",G35="Y"),"Standard initial size","50% of normal initial size + 90-day technical review"))</f>
        <v/>
      </c>
      <c r="I35" s="92"/>
      <c r="J35" s="92"/>
      <c r="K35" s="92" t="str">
        <f aca="false">IF(I35="","",IF(I35="N","PASS",IF(J35="Y","PASS — risk documented in thesis","FAIL — undocumented binary risk")))</f>
        <v/>
      </c>
      <c r="L35" s="92" t="str">
        <f aca="false">IF('Implied-Return Calculator'!S36="","",'Implied-Return Calculator'!S36)</f>
        <v/>
      </c>
      <c r="M35" s="92" t="str">
        <f aca="false">IF('Implied-Return Calculator'!T36="","",'Implied-Return Calculator'!T36)</f>
        <v/>
      </c>
      <c r="N35" s="92" t="str">
        <f aca="false">IF('Implied-Return Calculator'!U36="","",'Implied-Return Calculator'!U36)</f>
        <v/>
      </c>
      <c r="O35" s="92"/>
      <c r="P35" s="92"/>
      <c r="Q35" s="92" t="str">
        <f aca="false">IF(OR(N35="",O35=""),"",IF(N35&lt;=50,"PASS — within ceiling",IF(AND(O35&gt;0.3,L35="PASS"),"PASS — growth+bear case exception met","FAIL — exceeds 50x, exception not met")))</f>
        <v/>
      </c>
      <c r="R35" s="92" t="str">
        <f aca="false">IF(OR(C35="",D35="",E35="",K35="",L35="",M35="",N35="",Q35=""),"",IF(AND(C35="PASS",D35="PASS",LEFT(E35,4)="PASS",LEFT(K35,4)="PASS",L35="PASS",M35="PASS",N35="OK",LEFT(Q35,4)="PASS"),"YES","NO — see failing rule(s)"))</f>
        <v/>
      </c>
      <c r="S35" s="92" t="str">
        <f aca="false">IF(R35="","",IF(R35="YES","Initiate: "&amp;H35,"DO NOT ENTER — resolve failing Entry Rule(s) above first"))</f>
        <v/>
      </c>
    </row>
    <row r="36" customFormat="false" ht="15" hidden="false" customHeight="true" outlineLevel="0" collapsed="false">
      <c r="A36" s="92" t="str">
        <f aca="false">IF(Scoring!A36="","",Scoring!A36)</f>
        <v>YUM</v>
      </c>
      <c r="B36" s="92" t="str">
        <f aca="false">IF(Scoring!B36="","",Scoring!B36)</f>
        <v>Yum! Brands Inc.</v>
      </c>
      <c r="C36" s="92" t="str">
        <f aca="false">IF(Scoring!AG36="","",IF(OR(Scoring!AG36="STRONG BUY",Scoring!AG36="BUY"),"PASS","FAIL"))</f>
        <v/>
      </c>
      <c r="D36" s="92" t="str">
        <f aca="false">IF(Scoring!AH36="","",IF(Scoring!AH36="OK","PASS","FAIL"))</f>
        <v>PASS</v>
      </c>
      <c r="E36" s="92" t="str">
        <f aca="false">IF(Scoring!AI36="","",IF(Scoring!AI36="OK","PASS","FAIL — mandatory review required"))</f>
        <v>PASS</v>
      </c>
      <c r="F36" s="92"/>
      <c r="G36" s="92"/>
      <c r="H36" s="92" t="str">
        <f aca="false">IF(OR(F36="",G36=""),"",IF(AND(F36="Y",G36="Y"),"Standard initial size","50% of normal initial size + 90-day technical review"))</f>
        <v/>
      </c>
      <c r="I36" s="92"/>
      <c r="J36" s="92"/>
      <c r="K36" s="92" t="str">
        <f aca="false">IF(I36="","",IF(I36="N","PASS",IF(J36="Y","PASS — risk documented in thesis","FAIL — undocumented binary risk")))</f>
        <v/>
      </c>
      <c r="L36" s="92" t="str">
        <f aca="false">IF('Implied-Return Calculator'!S37="","",'Implied-Return Calculator'!S37)</f>
        <v/>
      </c>
      <c r="M36" s="92" t="str">
        <f aca="false">IF('Implied-Return Calculator'!T37="","",'Implied-Return Calculator'!T37)</f>
        <v/>
      </c>
      <c r="N36" s="92" t="str">
        <f aca="false">IF('Implied-Return Calculator'!U37="","",'Implied-Return Calculator'!U37)</f>
        <v/>
      </c>
      <c r="O36" s="92"/>
      <c r="P36" s="92"/>
      <c r="Q36" s="92" t="str">
        <f aca="false">IF(OR(N36="",O36=""),"",IF(N36&lt;=50,"PASS — within ceiling",IF(AND(O36&gt;0.3,L36="PASS"),"PASS — growth+bear case exception met","FAIL — exceeds 50x, exception not met")))</f>
        <v/>
      </c>
      <c r="R36" s="92" t="str">
        <f aca="false">IF(OR(C36="",D36="",E36="",K36="",L36="",M36="",N36="",Q36=""),"",IF(AND(C36="PASS",D36="PASS",LEFT(E36,4)="PASS",LEFT(K36,4)="PASS",L36="PASS",M36="PASS",N36="OK",LEFT(Q36,4)="PASS"),"YES","NO — see failing rule(s)"))</f>
        <v/>
      </c>
      <c r="S36" s="92" t="str">
        <f aca="false">IF(R36="","",IF(R36="YES","Initiate: "&amp;H36,"DO NOT ENTER — resolve failing Entry Rule(s) above first"))</f>
        <v/>
      </c>
    </row>
    <row r="37" customFormat="false" ht="15" hidden="false" customHeight="true" outlineLevel="0" collapsed="false">
      <c r="A37" s="92" t="str">
        <f aca="false">IF(Scoring!A37="","",Scoring!A37)</f>
        <v>NKE</v>
      </c>
      <c r="B37" s="92" t="str">
        <f aca="false">IF(Scoring!B37="","",Scoring!B37)</f>
        <v>Nike Inc.</v>
      </c>
      <c r="C37" s="92" t="str">
        <f aca="false">IF(Scoring!AG37="","",IF(OR(Scoring!AG37="STRONG BUY",Scoring!AG37="BUY"),"PASS","FAIL"))</f>
        <v/>
      </c>
      <c r="D37" s="92" t="str">
        <f aca="false">IF(Scoring!AH37="","",IF(Scoring!AH37="OK","PASS","FAIL"))</f>
        <v>FAIL</v>
      </c>
      <c r="E37" s="92" t="str">
        <f aca="false">IF(Scoring!AI37="","",IF(Scoring!AI37="OK","PASS","FAIL — mandatory review required"))</f>
        <v>FAIL — mandatory review required</v>
      </c>
      <c r="F37" s="92"/>
      <c r="G37" s="92"/>
      <c r="H37" s="92" t="str">
        <f aca="false">IF(OR(F37="",G37=""),"",IF(AND(F37="Y",G37="Y"),"Standard initial size","50% of normal initial size + 90-day technical review"))</f>
        <v/>
      </c>
      <c r="I37" s="92"/>
      <c r="J37" s="92"/>
      <c r="K37" s="92" t="str">
        <f aca="false">IF(I37="","",IF(I37="N","PASS",IF(J37="Y","PASS — risk documented in thesis","FAIL — undocumented binary risk")))</f>
        <v/>
      </c>
      <c r="L37" s="92" t="str">
        <f aca="false">IF('Implied-Return Calculator'!S38="","",'Implied-Return Calculator'!S38)</f>
        <v/>
      </c>
      <c r="M37" s="92" t="str">
        <f aca="false">IF('Implied-Return Calculator'!T38="","",'Implied-Return Calculator'!T38)</f>
        <v/>
      </c>
      <c r="N37" s="92" t="str">
        <f aca="false">IF('Implied-Return Calculator'!U38="","",'Implied-Return Calculator'!U38)</f>
        <v/>
      </c>
      <c r="O37" s="92"/>
      <c r="P37" s="92"/>
      <c r="Q37" s="92" t="str">
        <f aca="false">IF(OR(N37="",O37=""),"",IF(N37&lt;=50,"PASS — within ceiling",IF(AND(O37&gt;0.3,L37="PASS"),"PASS — growth+bear case exception met","FAIL — exceeds 50x, exception not met")))</f>
        <v/>
      </c>
      <c r="R37" s="92" t="str">
        <f aca="false">IF(OR(C37="",D37="",E37="",K37="",L37="",M37="",N37="",Q37=""),"",IF(AND(C37="PASS",D37="PASS",LEFT(E37,4)="PASS",LEFT(K37,4)="PASS",L37="PASS",M37="PASS",N37="OK",LEFT(Q37,4)="PASS"),"YES","NO — see failing rule(s)"))</f>
        <v/>
      </c>
      <c r="S37" s="92" t="str">
        <f aca="false">IF(R37="","",IF(R37="YES","Initiate: "&amp;H37,"DO NOT ENTER — resolve failing Entry Rule(s) above first"))</f>
        <v/>
      </c>
    </row>
    <row r="38" customFormat="false" ht="15" hidden="false" customHeight="true" outlineLevel="0" collapsed="false">
      <c r="A38" s="92" t="str">
        <f aca="false">IF(Scoring!A38="","",Scoring!A38)</f>
        <v>VFC</v>
      </c>
      <c r="B38" s="92" t="str">
        <f aca="false">IF(Scoring!B38="","",Scoring!B38)</f>
        <v>V.F. Corporation</v>
      </c>
      <c r="C38" s="92" t="str">
        <f aca="false">IF(Scoring!AG38="","",IF(OR(Scoring!AG38="STRONG BUY",Scoring!AG38="BUY"),"PASS","FAIL"))</f>
        <v/>
      </c>
      <c r="D38" s="92" t="str">
        <f aca="false">IF(Scoring!AH38="","",IF(Scoring!AH38="OK","PASS","FAIL"))</f>
        <v>FAIL</v>
      </c>
      <c r="E38" s="92" t="str">
        <f aca="false">IF(Scoring!AI38="","",IF(Scoring!AI38="OK","PASS","FAIL — mandatory review required"))</f>
        <v>PASS</v>
      </c>
      <c r="F38" s="92"/>
      <c r="G38" s="92"/>
      <c r="H38" s="92" t="str">
        <f aca="false">IF(OR(F38="",G38=""),"",IF(AND(F38="Y",G38="Y"),"Standard initial size","50% of normal initial size + 90-day technical review"))</f>
        <v/>
      </c>
      <c r="I38" s="92"/>
      <c r="J38" s="92"/>
      <c r="K38" s="92" t="str">
        <f aca="false">IF(I38="","",IF(I38="N","PASS",IF(J38="Y","PASS — risk documented in thesis","FAIL — undocumented binary risk")))</f>
        <v/>
      </c>
      <c r="L38" s="92" t="str">
        <f aca="false">IF('Implied-Return Calculator'!S39="","",'Implied-Return Calculator'!S39)</f>
        <v/>
      </c>
      <c r="M38" s="92" t="str">
        <f aca="false">IF('Implied-Return Calculator'!T39="","",'Implied-Return Calculator'!T39)</f>
        <v/>
      </c>
      <c r="N38" s="92" t="str">
        <f aca="false">IF('Implied-Return Calculator'!U39="","",'Implied-Return Calculator'!U39)</f>
        <v/>
      </c>
      <c r="O38" s="92"/>
      <c r="P38" s="92"/>
      <c r="Q38" s="92" t="str">
        <f aca="false">IF(OR(N38="",O38=""),"",IF(N38&lt;=50,"PASS — within ceiling",IF(AND(O38&gt;0.3,L38="PASS"),"PASS — growth+bear case exception met","FAIL — exceeds 50x, exception not met")))</f>
        <v/>
      </c>
      <c r="R38" s="92" t="str">
        <f aca="false">IF(OR(C38="",D38="",E38="",K38="",L38="",M38="",N38="",Q38=""),"",IF(AND(C38="PASS",D38="PASS",LEFT(E38,4)="PASS",LEFT(K38,4)="PASS",L38="PASS",M38="PASS",N38="OK",LEFT(Q38,4)="PASS"),"YES","NO — see failing rule(s)"))</f>
        <v/>
      </c>
      <c r="S38" s="92" t="str">
        <f aca="false">IF(R38="","",IF(R38="YES","Initiate: "&amp;H38,"DO NOT ENTER — resolve failing Entry Rule(s) above first"))</f>
        <v/>
      </c>
    </row>
    <row r="39" customFormat="false" ht="15" hidden="false" customHeight="true" outlineLevel="0" collapsed="false">
      <c r="A39" s="92" t="str">
        <f aca="false">IF(Scoring!A39="","",Scoring!A39)</f>
        <v>GOOS</v>
      </c>
      <c r="B39" s="92" t="str">
        <f aca="false">IF(Scoring!B39="","",Scoring!B39)</f>
        <v>Canada Goose Holdings</v>
      </c>
      <c r="C39" s="92" t="str">
        <f aca="false">IF(Scoring!AG39="","",IF(OR(Scoring!AG39="STRONG BUY",Scoring!AG39="BUY"),"PASS","FAIL"))</f>
        <v/>
      </c>
      <c r="D39" s="92" t="str">
        <f aca="false">IF(Scoring!AH39="","",IF(Scoring!AH39="OK","PASS","FAIL"))</f>
        <v>FAIL</v>
      </c>
      <c r="E39" s="92" t="str">
        <f aca="false">IF(Scoring!AI39="","",IF(Scoring!AI39="OK","PASS","FAIL — mandatory review required"))</f>
        <v>FAIL — mandatory review required</v>
      </c>
      <c r="F39" s="92"/>
      <c r="G39" s="92"/>
      <c r="H39" s="92" t="str">
        <f aca="false">IF(OR(F39="",G39=""),"",IF(AND(F39="Y",G39="Y"),"Standard initial size","50% of normal initial size + 90-day technical review"))</f>
        <v/>
      </c>
      <c r="I39" s="92"/>
      <c r="J39" s="92"/>
      <c r="K39" s="92" t="str">
        <f aca="false">IF(I39="","",IF(I39="N","PASS",IF(J39="Y","PASS — risk documented in thesis","FAIL — undocumented binary risk")))</f>
        <v/>
      </c>
      <c r="L39" s="92" t="str">
        <f aca="false">IF('Implied-Return Calculator'!S40="","",'Implied-Return Calculator'!S40)</f>
        <v/>
      </c>
      <c r="M39" s="92" t="str">
        <f aca="false">IF('Implied-Return Calculator'!T40="","",'Implied-Return Calculator'!T40)</f>
        <v/>
      </c>
      <c r="N39" s="92" t="str">
        <f aca="false">IF('Implied-Return Calculator'!U40="","",'Implied-Return Calculator'!U40)</f>
        <v/>
      </c>
      <c r="O39" s="92"/>
      <c r="P39" s="92"/>
      <c r="Q39" s="92" t="str">
        <f aca="false">IF(OR(N39="",O39=""),"",IF(N39&lt;=50,"PASS — within ceiling",IF(AND(O39&gt;0.3,L39="PASS"),"PASS — growth+bear case exception met","FAIL — exceeds 50x, exception not met")))</f>
        <v/>
      </c>
      <c r="R39" s="92" t="str">
        <f aca="false">IF(OR(C39="",D39="",E39="",K39="",L39="",M39="",N39="",Q39=""),"",IF(AND(C39="PASS",D39="PASS",LEFT(E39,4)="PASS",LEFT(K39,4)="PASS",L39="PASS",M39="PASS",N39="OK",LEFT(Q39,4)="PASS"),"YES","NO — see failing rule(s)"))</f>
        <v/>
      </c>
      <c r="S39" s="92" t="str">
        <f aca="false">IF(R39="","",IF(R39="YES","Initiate: "&amp;H39,"DO NOT ENTER — resolve failing Entry Rule(s) above first"))</f>
        <v/>
      </c>
    </row>
    <row r="40" customFormat="false" ht="15" hidden="false" customHeight="true" outlineLevel="0" collapsed="false">
      <c r="A40" s="92" t="str">
        <f aca="false">IF(Scoring!A40="","",Scoring!A40)</f>
        <v>AAP</v>
      </c>
      <c r="B40" s="92" t="str">
        <f aca="false">IF(Scoring!B40="","",Scoring!B40)</f>
        <v>Advance Auto Parts Inc.</v>
      </c>
      <c r="C40" s="92" t="str">
        <f aca="false">IF(Scoring!AG40="","",IF(OR(Scoring!AG40="STRONG BUY",Scoring!AG40="BUY"),"PASS","FAIL"))</f>
        <v/>
      </c>
      <c r="D40" s="92" t="str">
        <f aca="false">IF(Scoring!AH40="","",IF(Scoring!AH40="OK","PASS","FAIL"))</f>
        <v>FAIL</v>
      </c>
      <c r="E40" s="92" t="str">
        <f aca="false">IF(Scoring!AI40="","",IF(Scoring!AI40="OK","PASS","FAIL — mandatory review required"))</f>
        <v>FAIL — mandatory review required</v>
      </c>
      <c r="F40" s="92"/>
      <c r="G40" s="92"/>
      <c r="H40" s="92" t="str">
        <f aca="false">IF(OR(F40="",G40=""),"",IF(AND(F40="Y",G40="Y"),"Standard initial size","50% of normal initial size + 90-day technical review"))</f>
        <v/>
      </c>
      <c r="I40" s="92"/>
      <c r="J40" s="92"/>
      <c r="K40" s="92" t="str">
        <f aca="false">IF(I40="","",IF(I40="N","PASS",IF(J40="Y","PASS — risk documented in thesis","FAIL — undocumented binary risk")))</f>
        <v/>
      </c>
      <c r="L40" s="92" t="str">
        <f aca="false">IF('Implied-Return Calculator'!S41="","",'Implied-Return Calculator'!S41)</f>
        <v/>
      </c>
      <c r="M40" s="92" t="str">
        <f aca="false">IF('Implied-Return Calculator'!T41="","",'Implied-Return Calculator'!T41)</f>
        <v/>
      </c>
      <c r="N40" s="92" t="str">
        <f aca="false">IF('Implied-Return Calculator'!U41="","",'Implied-Return Calculator'!U41)</f>
        <v/>
      </c>
      <c r="O40" s="92"/>
      <c r="P40" s="92"/>
      <c r="Q40" s="92" t="str">
        <f aca="false">IF(OR(N40="",O40=""),"",IF(N40&lt;=50,"PASS — within ceiling",IF(AND(O40&gt;0.3,L40="PASS"),"PASS — growth+bear case exception met","FAIL — exceeds 50x, exception not met")))</f>
        <v/>
      </c>
      <c r="R40" s="92" t="str">
        <f aca="false">IF(OR(C40="",D40="",E40="",K40="",L40="",M40="",N40="",Q40=""),"",IF(AND(C40="PASS",D40="PASS",LEFT(E40,4)="PASS",LEFT(K40,4)="PASS",L40="PASS",M40="PASS",N40="OK",LEFT(Q40,4)="PASS"),"YES","NO — see failing rule(s)"))</f>
        <v/>
      </c>
      <c r="S40" s="92" t="str">
        <f aca="false">IF(R40="","",IF(R40="YES","Initiate: "&amp;H40,"DO NOT ENTER — resolve failing Entry Rule(s) above first"))</f>
        <v/>
      </c>
    </row>
    <row r="41" customFormat="false" ht="15" hidden="false" customHeight="true" outlineLevel="0" collapsed="false">
      <c r="A41" s="92" t="str">
        <f aca="false">IF(Scoring!A41="","",Scoring!A41)</f>
        <v>BABA</v>
      </c>
      <c r="B41" s="92" t="str">
        <f aca="false">IF(Scoring!B41="","",Scoring!B41)</f>
        <v>Alibaba Group Holding Ltd.</v>
      </c>
      <c r="C41" s="92" t="str">
        <f aca="false">IF(Scoring!AG41="","",IF(OR(Scoring!AG41="STRONG BUY",Scoring!AG41="BUY"),"PASS","FAIL"))</f>
        <v/>
      </c>
      <c r="D41" s="92" t="str">
        <f aca="false">IF(Scoring!AH41="","",IF(Scoring!AH41="OK","PASS","FAIL"))</f>
        <v>FAIL</v>
      </c>
      <c r="E41" s="92" t="str">
        <f aca="false">IF(Scoring!AI41="","",IF(Scoring!AI41="OK","PASS","FAIL — mandatory review required"))</f>
        <v>PASS</v>
      </c>
      <c r="F41" s="92"/>
      <c r="G41" s="92"/>
      <c r="H41" s="92" t="str">
        <f aca="false">IF(OR(F41="",G41=""),"",IF(AND(F41="Y",G41="Y"),"Standard initial size","50% of normal initial size + 90-day technical review"))</f>
        <v/>
      </c>
      <c r="I41" s="92"/>
      <c r="J41" s="92"/>
      <c r="K41" s="92" t="str">
        <f aca="false">IF(I41="","",IF(I41="N","PASS",IF(J41="Y","PASS — risk documented in thesis","FAIL — undocumented binary risk")))</f>
        <v/>
      </c>
      <c r="L41" s="92" t="str">
        <f aca="false">IF('Implied-Return Calculator'!S42="","",'Implied-Return Calculator'!S42)</f>
        <v/>
      </c>
      <c r="M41" s="92" t="str">
        <f aca="false">IF('Implied-Return Calculator'!T42="","",'Implied-Return Calculator'!T42)</f>
        <v/>
      </c>
      <c r="N41" s="92" t="str">
        <f aca="false">IF('Implied-Return Calculator'!U42="","",'Implied-Return Calculator'!U42)</f>
        <v/>
      </c>
      <c r="O41" s="92"/>
      <c r="P41" s="92"/>
      <c r="Q41" s="92" t="str">
        <f aca="false">IF(OR(N41="",O41=""),"",IF(N41&lt;=50,"PASS — within ceiling",IF(AND(O41&gt;0.3,L41="PASS"),"PASS — growth+bear case exception met","FAIL — exceeds 50x, exception not met")))</f>
        <v/>
      </c>
      <c r="R41" s="92" t="str">
        <f aca="false">IF(OR(C41="",D41="",E41="",K41="",L41="",M41="",N41="",Q41=""),"",IF(AND(C41="PASS",D41="PASS",LEFT(E41,4)="PASS",LEFT(K41,4)="PASS",L41="PASS",M41="PASS",N41="OK",LEFT(Q41,4)="PASS"),"YES","NO — see failing rule(s)"))</f>
        <v/>
      </c>
      <c r="S41" s="92" t="str">
        <f aca="false">IF(R41="","",IF(R41="YES","Initiate: "&amp;H41,"DO NOT ENTER — resolve failing Entry Rule(s) above first"))</f>
        <v/>
      </c>
    </row>
    <row r="42" customFormat="false" ht="15" hidden="false" customHeight="true" outlineLevel="0" collapsed="false">
      <c r="A42" s="92" t="str">
        <f aca="false">IF(Scoring!A42="","",Scoring!A42)</f>
        <v>ETSY</v>
      </c>
      <c r="B42" s="92" t="str">
        <f aca="false">IF(Scoring!B42="","",Scoring!B42)</f>
        <v>Etsy Inc.</v>
      </c>
      <c r="C42" s="92" t="str">
        <f aca="false">IF(Scoring!AG42="","",IF(OR(Scoring!AG42="STRONG BUY",Scoring!AG42="BUY"),"PASS","FAIL"))</f>
        <v/>
      </c>
      <c r="D42" s="92" t="str">
        <f aca="false">IF(Scoring!AH42="","",IF(Scoring!AH42="OK","PASS","FAIL"))</f>
        <v>PASS</v>
      </c>
      <c r="E42" s="92" t="str">
        <f aca="false">IF(Scoring!AI42="","",IF(Scoring!AI42="OK","PASS","FAIL — mandatory review required"))</f>
        <v>PASS</v>
      </c>
      <c r="F42" s="92"/>
      <c r="G42" s="92"/>
      <c r="H42" s="92" t="str">
        <f aca="false">IF(OR(F42="",G42=""),"",IF(AND(F42="Y",G42="Y"),"Standard initial size","50% of normal initial size + 90-day technical review"))</f>
        <v/>
      </c>
      <c r="I42" s="92"/>
      <c r="J42" s="92"/>
      <c r="K42" s="92" t="str">
        <f aca="false">IF(I42="","",IF(I42="N","PASS",IF(J42="Y","PASS — risk documented in thesis","FAIL — undocumented binary risk")))</f>
        <v/>
      </c>
      <c r="L42" s="92" t="str">
        <f aca="false">IF('Implied-Return Calculator'!S43="","",'Implied-Return Calculator'!S43)</f>
        <v/>
      </c>
      <c r="M42" s="92" t="str">
        <f aca="false">IF('Implied-Return Calculator'!T43="","",'Implied-Return Calculator'!T43)</f>
        <v/>
      </c>
      <c r="N42" s="92" t="str">
        <f aca="false">IF('Implied-Return Calculator'!U43="","",'Implied-Return Calculator'!U43)</f>
        <v/>
      </c>
      <c r="O42" s="92"/>
      <c r="P42" s="92"/>
      <c r="Q42" s="92" t="str">
        <f aca="false">IF(OR(N42="",O42=""),"",IF(N42&lt;=50,"PASS — within ceiling",IF(AND(O42&gt;0.3,L42="PASS"),"PASS — growth+bear case exception met","FAIL — exceeds 50x, exception not met")))</f>
        <v/>
      </c>
      <c r="R42" s="92" t="str">
        <f aca="false">IF(OR(C42="",D42="",E42="",K42="",L42="",M42="",N42="",Q42=""),"",IF(AND(C42="PASS",D42="PASS",LEFT(E42,4)="PASS",LEFT(K42,4)="PASS",L42="PASS",M42="PASS",N42="OK",LEFT(Q42,4)="PASS"),"YES","NO — see failing rule(s)"))</f>
        <v/>
      </c>
      <c r="S42" s="92" t="str">
        <f aca="false">IF(R42="","",IF(R42="YES","Initiate: "&amp;H42,"DO NOT ENTER — resolve failing Entry Rule(s) above first"))</f>
        <v/>
      </c>
    </row>
    <row r="43" customFormat="false" ht="15" hidden="false" customHeight="true" outlineLevel="0" collapsed="false">
      <c r="A43" s="92" t="str">
        <f aca="false">IF(Scoring!A43="","",Scoring!A43)</f>
        <v>GE</v>
      </c>
      <c r="B43" s="92" t="str">
        <f aca="false">IF(Scoring!B43="","",Scoring!B43)</f>
        <v>GE Aerospace</v>
      </c>
      <c r="C43" s="92" t="str">
        <f aca="false">IF(Scoring!AG43="","",IF(OR(Scoring!AG43="STRONG BUY",Scoring!AG43="BUY"),"PASS","FAIL"))</f>
        <v/>
      </c>
      <c r="D43" s="92" t="str">
        <f aca="false">IF(Scoring!AH43="","",IF(Scoring!AH43="OK","PASS","FAIL"))</f>
        <v>PASS</v>
      </c>
      <c r="E43" s="92" t="str">
        <f aca="false">IF(Scoring!AI43="","",IF(Scoring!AI43="OK","PASS","FAIL — mandatory review required"))</f>
        <v>PASS</v>
      </c>
      <c r="F43" s="92"/>
      <c r="G43" s="92"/>
      <c r="H43" s="92" t="str">
        <f aca="false">IF(OR(F43="",G43=""),"",IF(AND(F43="Y",G43="Y"),"Standard initial size","50% of normal initial size + 90-day technical review"))</f>
        <v/>
      </c>
      <c r="I43" s="92"/>
      <c r="J43" s="92"/>
      <c r="K43" s="92" t="str">
        <f aca="false">IF(I43="","",IF(I43="N","PASS",IF(J43="Y","PASS — risk documented in thesis","FAIL — undocumented binary risk")))</f>
        <v/>
      </c>
      <c r="L43" s="92" t="str">
        <f aca="false">IF('Implied-Return Calculator'!S44="","",'Implied-Return Calculator'!S44)</f>
        <v/>
      </c>
      <c r="M43" s="92" t="str">
        <f aca="false">IF('Implied-Return Calculator'!T44="","",'Implied-Return Calculator'!T44)</f>
        <v/>
      </c>
      <c r="N43" s="92" t="str">
        <f aca="false">IF('Implied-Return Calculator'!U44="","",'Implied-Return Calculator'!U44)</f>
        <v/>
      </c>
      <c r="O43" s="92"/>
      <c r="P43" s="92"/>
      <c r="Q43" s="92" t="str">
        <f aca="false">IF(OR(N43="",O43=""),"",IF(N43&lt;=50,"PASS — within ceiling",IF(AND(O43&gt;0.3,L43="PASS"),"PASS — growth+bear case exception met","FAIL — exceeds 50x, exception not met")))</f>
        <v/>
      </c>
      <c r="R43" s="92" t="str">
        <f aca="false">IF(OR(C43="",D43="",E43="",K43="",L43="",M43="",N43="",Q43=""),"",IF(AND(C43="PASS",D43="PASS",LEFT(E43,4)="PASS",LEFT(K43,4)="PASS",L43="PASS",M43="PASS",N43="OK",LEFT(Q43,4)="PASS"),"YES","NO — see failing rule(s)"))</f>
        <v/>
      </c>
      <c r="S43" s="92" t="str">
        <f aca="false">IF(R43="","",IF(R43="YES","Initiate: "&amp;H43,"DO NOT ENTER — resolve failing Entry Rule(s) above first"))</f>
        <v/>
      </c>
    </row>
    <row r="44" customFormat="false" ht="15" hidden="false" customHeight="true" outlineLevel="0" collapsed="false">
      <c r="A44" s="92" t="str">
        <f aca="false">IF(Scoring!A44="","",Scoring!A44)</f>
        <v>PH</v>
      </c>
      <c r="B44" s="92" t="str">
        <f aca="false">IF(Scoring!B44="","",Scoring!B44)</f>
        <v>Parker-Hannifin Corporation</v>
      </c>
      <c r="C44" s="92" t="str">
        <f aca="false">IF(Scoring!AG44="","",IF(OR(Scoring!AG44="STRONG BUY",Scoring!AG44="BUY"),"PASS","FAIL"))</f>
        <v/>
      </c>
      <c r="D44" s="92" t="str">
        <f aca="false">IF(Scoring!AH44="","",IF(Scoring!AH44="OK","PASS","FAIL"))</f>
        <v>PASS</v>
      </c>
      <c r="E44" s="92" t="str">
        <f aca="false">IF(Scoring!AI44="","",IF(Scoring!AI44="OK","PASS","FAIL — mandatory review required"))</f>
        <v>PASS</v>
      </c>
      <c r="F44" s="92"/>
      <c r="G44" s="92"/>
      <c r="H44" s="92" t="str">
        <f aca="false">IF(OR(F44="",G44=""),"",IF(AND(F44="Y",G44="Y"),"Standard initial size","50% of normal initial size + 90-day technical review"))</f>
        <v/>
      </c>
      <c r="I44" s="92"/>
      <c r="J44" s="92"/>
      <c r="K44" s="92" t="str">
        <f aca="false">IF(I44="","",IF(I44="N","PASS",IF(J44="Y","PASS — risk documented in thesis","FAIL — undocumented binary risk")))</f>
        <v/>
      </c>
      <c r="L44" s="92" t="str">
        <f aca="false">IF('Implied-Return Calculator'!S45="","",'Implied-Return Calculator'!S45)</f>
        <v/>
      </c>
      <c r="M44" s="92" t="str">
        <f aca="false">IF('Implied-Return Calculator'!T45="","",'Implied-Return Calculator'!T45)</f>
        <v/>
      </c>
      <c r="N44" s="92" t="str">
        <f aca="false">IF('Implied-Return Calculator'!U45="","",'Implied-Return Calculator'!U45)</f>
        <v/>
      </c>
      <c r="O44" s="92"/>
      <c r="P44" s="92"/>
      <c r="Q44" s="92" t="str">
        <f aca="false">IF(OR(N44="",O44=""),"",IF(N44&lt;=50,"PASS — within ceiling",IF(AND(O44&gt;0.3,L44="PASS"),"PASS — growth+bear case exception met","FAIL — exceeds 50x, exception not met")))</f>
        <v/>
      </c>
      <c r="R44" s="92" t="str">
        <f aca="false">IF(OR(C44="",D44="",E44="",K44="",L44="",M44="",N44="",Q44=""),"",IF(AND(C44="PASS",D44="PASS",LEFT(E44,4)="PASS",LEFT(K44,4)="PASS",L44="PASS",M44="PASS",N44="OK",LEFT(Q44,4)="PASS"),"YES","NO — see failing rule(s)"))</f>
        <v/>
      </c>
      <c r="S44" s="92" t="str">
        <f aca="false">IF(R44="","",IF(R44="YES","Initiate: "&amp;H44,"DO NOT ENTER — resolve failing Entry Rule(s) above first"))</f>
        <v/>
      </c>
    </row>
    <row r="45" customFormat="false" ht="15" hidden="false" customHeight="true" outlineLevel="0" collapsed="false">
      <c r="A45" s="92" t="str">
        <f aca="false">IF(Scoring!A45="","",Scoring!A45)</f>
        <v>ETN</v>
      </c>
      <c r="B45" s="92" t="str">
        <f aca="false">IF(Scoring!B45="","",Scoring!B45)</f>
        <v>Eaton Corporation plc</v>
      </c>
      <c r="C45" s="92" t="str">
        <f aca="false">IF(Scoring!AG45="","",IF(OR(Scoring!AG45="STRONG BUY",Scoring!AG45="BUY"),"PASS","FAIL"))</f>
        <v/>
      </c>
      <c r="D45" s="92" t="str">
        <f aca="false">IF(Scoring!AH45="","",IF(Scoring!AH45="OK","PASS","FAIL"))</f>
        <v>PASS</v>
      </c>
      <c r="E45" s="92" t="str">
        <f aca="false">IF(Scoring!AI45="","",IF(Scoring!AI45="OK","PASS","FAIL — mandatory review required"))</f>
        <v>PASS</v>
      </c>
      <c r="F45" s="92"/>
      <c r="G45" s="92"/>
      <c r="H45" s="92" t="str">
        <f aca="false">IF(OR(F45="",G45=""),"",IF(AND(F45="Y",G45="Y"),"Standard initial size","50% of normal initial size + 90-day technical review"))</f>
        <v/>
      </c>
      <c r="I45" s="92"/>
      <c r="J45" s="92"/>
      <c r="K45" s="92" t="str">
        <f aca="false">IF(I45="","",IF(I45="N","PASS",IF(J45="Y","PASS — risk documented in thesis","FAIL — undocumented binary risk")))</f>
        <v/>
      </c>
      <c r="L45" s="92" t="str">
        <f aca="false">IF('Implied-Return Calculator'!S46="","",'Implied-Return Calculator'!S46)</f>
        <v/>
      </c>
      <c r="M45" s="92" t="str">
        <f aca="false">IF('Implied-Return Calculator'!T46="","",'Implied-Return Calculator'!T46)</f>
        <v/>
      </c>
      <c r="N45" s="92" t="str">
        <f aca="false">IF('Implied-Return Calculator'!U46="","",'Implied-Return Calculator'!U46)</f>
        <v/>
      </c>
      <c r="O45" s="92"/>
      <c r="P45" s="92"/>
      <c r="Q45" s="92" t="str">
        <f aca="false">IF(OR(N45="",O45=""),"",IF(N45&lt;=50,"PASS — within ceiling",IF(AND(O45&gt;0.3,L45="PASS"),"PASS — growth+bear case exception met","FAIL — exceeds 50x, exception not met")))</f>
        <v/>
      </c>
      <c r="R45" s="92" t="str">
        <f aca="false">IF(OR(C45="",D45="",E45="",K45="",L45="",M45="",N45="",Q45=""),"",IF(AND(C45="PASS",D45="PASS",LEFT(E45,4)="PASS",LEFT(K45,4)="PASS",L45="PASS",M45="PASS",N45="OK",LEFT(Q45,4)="PASS"),"YES","NO — see failing rule(s)"))</f>
        <v/>
      </c>
      <c r="S45" s="92" t="str">
        <f aca="false">IF(R45="","",IF(R45="YES","Initiate: "&amp;H45,"DO NOT ENTER — resolve failing Entry Rule(s) above first"))</f>
        <v/>
      </c>
    </row>
    <row r="46" customFormat="false" ht="15" hidden="false" customHeight="true" outlineLevel="0" collapsed="false">
      <c r="A46" s="92" t="str">
        <f aca="false">IF(Scoring!A46="","",Scoring!A46)</f>
        <v>DIS</v>
      </c>
      <c r="B46" s="92" t="str">
        <f aca="false">IF(Scoring!B46="","",Scoring!B46)</f>
        <v>The Walt Disney Company</v>
      </c>
      <c r="C46" s="92" t="str">
        <f aca="false">IF(Scoring!AG46="","",IF(OR(Scoring!AG46="STRONG BUY",Scoring!AG46="BUY"),"PASS","FAIL"))</f>
        <v/>
      </c>
      <c r="D46" s="92" t="str">
        <f aca="false">IF(Scoring!AH46="","",IF(Scoring!AH46="OK","PASS","FAIL"))</f>
        <v>FAIL</v>
      </c>
      <c r="E46" s="92" t="str">
        <f aca="false">IF(Scoring!AI46="","",IF(Scoring!AI46="OK","PASS","FAIL — mandatory review required"))</f>
        <v>PASS</v>
      </c>
      <c r="F46" s="92"/>
      <c r="G46" s="92"/>
      <c r="H46" s="92" t="str">
        <f aca="false">IF(OR(F46="",G46=""),"",IF(AND(F46="Y",G46="Y"),"Standard initial size","50% of normal initial size + 90-day technical review"))</f>
        <v/>
      </c>
      <c r="I46" s="92"/>
      <c r="J46" s="92"/>
      <c r="K46" s="92" t="str">
        <f aca="false">IF(I46="","",IF(I46="N","PASS",IF(J46="Y","PASS — risk documented in thesis","FAIL — undocumented binary risk")))</f>
        <v/>
      </c>
      <c r="L46" s="92" t="str">
        <f aca="false">IF('Implied-Return Calculator'!S47="","",'Implied-Return Calculator'!S47)</f>
        <v/>
      </c>
      <c r="M46" s="92" t="str">
        <f aca="false">IF('Implied-Return Calculator'!T47="","",'Implied-Return Calculator'!T47)</f>
        <v/>
      </c>
      <c r="N46" s="92" t="str">
        <f aca="false">IF('Implied-Return Calculator'!U47="","",'Implied-Return Calculator'!U47)</f>
        <v/>
      </c>
      <c r="O46" s="92"/>
      <c r="P46" s="92"/>
      <c r="Q46" s="92" t="str">
        <f aca="false">IF(OR(N46="",O46=""),"",IF(N46&lt;=50,"PASS — within ceiling",IF(AND(O46&gt;0.3,L46="PASS"),"PASS — growth+bear case exception met","FAIL — exceeds 50x, exception not met")))</f>
        <v/>
      </c>
      <c r="R46" s="92" t="str">
        <f aca="false">IF(OR(C46="",D46="",E46="",K46="",L46="",M46="",N46="",Q46=""),"",IF(AND(C46="PASS",D46="PASS",LEFT(E46,4)="PASS",LEFT(K46,4)="PASS",L46="PASS",M46="PASS",N46="OK",LEFT(Q46,4)="PASS"),"YES","NO — see failing rule(s)"))</f>
        <v/>
      </c>
      <c r="S46" s="92" t="str">
        <f aca="false">IF(R46="","",IF(R46="YES","Initiate: "&amp;H46,"DO NOT ENTER — resolve failing Entry Rule(s) above first"))</f>
        <v/>
      </c>
    </row>
    <row r="47" customFormat="false" ht="15" hidden="false" customHeight="true" outlineLevel="0" collapsed="false">
      <c r="A47" s="92" t="str">
        <f aca="false">IF(Scoring!A47="","",Scoring!A47)</f>
        <v>NFLX</v>
      </c>
      <c r="B47" s="92" t="str">
        <f aca="false">IF(Scoring!B47="","",Scoring!B47)</f>
        <v>Netflix, Inc.</v>
      </c>
      <c r="C47" s="92" t="str">
        <f aca="false">IF(Scoring!AG47="","",IF(OR(Scoring!AG47="STRONG BUY",Scoring!AG47="BUY"),"PASS","FAIL"))</f>
        <v/>
      </c>
      <c r="D47" s="92" t="str">
        <f aca="false">IF(Scoring!AH47="","",IF(Scoring!AH47="OK","PASS","FAIL"))</f>
        <v>PASS</v>
      </c>
      <c r="E47" s="92" t="str">
        <f aca="false">IF(Scoring!AI47="","",IF(Scoring!AI47="OK","PASS","FAIL — mandatory review required"))</f>
        <v>PASS</v>
      </c>
      <c r="F47" s="92"/>
      <c r="G47" s="92"/>
      <c r="H47" s="92" t="str">
        <f aca="false">IF(OR(F47="",G47=""),"",IF(AND(F47="Y",G47="Y"),"Standard initial size","50% of normal initial size + 90-day technical review"))</f>
        <v/>
      </c>
      <c r="I47" s="92"/>
      <c r="J47" s="92"/>
      <c r="K47" s="92" t="str">
        <f aca="false">IF(I47="","",IF(I47="N","PASS",IF(J47="Y","PASS — risk documented in thesis","FAIL — undocumented binary risk")))</f>
        <v/>
      </c>
      <c r="L47" s="92" t="str">
        <f aca="false">IF('Implied-Return Calculator'!S48="","",'Implied-Return Calculator'!S48)</f>
        <v/>
      </c>
      <c r="M47" s="92" t="str">
        <f aca="false">IF('Implied-Return Calculator'!T48="","",'Implied-Return Calculator'!T48)</f>
        <v/>
      </c>
      <c r="N47" s="92" t="str">
        <f aca="false">IF('Implied-Return Calculator'!U48="","",'Implied-Return Calculator'!U48)</f>
        <v/>
      </c>
      <c r="O47" s="92"/>
      <c r="P47" s="92"/>
      <c r="Q47" s="92" t="str">
        <f aca="false">IF(OR(N47="",O47=""),"",IF(N47&lt;=50,"PASS — within ceiling",IF(AND(O47&gt;0.3,L47="PASS"),"PASS — growth+bear case exception met","FAIL — exceeds 50x, exception not met")))</f>
        <v/>
      </c>
      <c r="R47" s="92" t="str">
        <f aca="false">IF(OR(C47="",D47="",E47="",K47="",L47="",M47="",N47="",Q47=""),"",IF(AND(C47="PASS",D47="PASS",LEFT(E47,4)="PASS",LEFT(K47,4)="PASS",L47="PASS",M47="PASS",N47="OK",LEFT(Q47,4)="PASS"),"YES","NO — see failing rule(s)"))</f>
        <v/>
      </c>
      <c r="S47" s="92"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3" t="s">
        <v>415</v>
      </c>
      <c r="B1" s="93"/>
      <c r="C1" s="93"/>
      <c r="D1" s="93"/>
      <c r="E1" s="93"/>
      <c r="F1" s="93"/>
      <c r="G1" s="93"/>
      <c r="H1" s="93"/>
      <c r="I1" s="93"/>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4" t="n">
        <v>257.26</v>
      </c>
      <c r="D3" s="95" t="n">
        <v>5338194</v>
      </c>
      <c r="E3" s="96" t="n">
        <v>102260.9</v>
      </c>
      <c r="F3" s="97" t="n">
        <v>14.717392</v>
      </c>
      <c r="G3" s="94" t="n">
        <v>190.12</v>
      </c>
      <c r="H3" s="94" t="n">
        <v>370.86</v>
      </c>
      <c r="I3" s="98"/>
    </row>
    <row r="4" customFormat="false" ht="15" hidden="false" customHeight="true" outlineLevel="0" collapsed="false">
      <c r="A4" s="80" t="s">
        <v>101</v>
      </c>
      <c r="B4" s="80" t="s">
        <v>102</v>
      </c>
      <c r="C4" s="94" t="n">
        <v>194.96</v>
      </c>
      <c r="D4" s="95" t="n">
        <v>4693298</v>
      </c>
      <c r="E4" s="96" t="n">
        <v>245888.4</v>
      </c>
      <c r="F4" s="97" t="n">
        <v>61.6962</v>
      </c>
      <c r="G4" s="94" t="n">
        <v>114.52</v>
      </c>
      <c r="H4" s="94" t="n">
        <v>214.89</v>
      </c>
      <c r="I4" s="98"/>
    </row>
    <row r="5" customFormat="false" ht="15" hidden="false" customHeight="true" outlineLevel="0" collapsed="false">
      <c r="A5" s="80" t="s">
        <v>103</v>
      </c>
      <c r="B5" s="80" t="s">
        <v>104</v>
      </c>
      <c r="C5" s="94" t="n">
        <v>1764.85</v>
      </c>
      <c r="D5" s="95" t="n">
        <v>1345523</v>
      </c>
      <c r="E5" s="96" t="n">
        <v>677878.9</v>
      </c>
      <c r="F5" s="97" t="n">
        <v>59.825424</v>
      </c>
      <c r="G5" s="94" t="n">
        <v>791.02</v>
      </c>
      <c r="H5" s="94" t="n">
        <v>1999.96</v>
      </c>
      <c r="I5" s="98" t="n">
        <v>0.53</v>
      </c>
    </row>
    <row r="6" customFormat="false" ht="15" hidden="false" customHeight="true" outlineLevel="0" collapsed="false">
      <c r="A6" s="80" t="s">
        <v>160</v>
      </c>
      <c r="B6" s="80" t="s">
        <v>161</v>
      </c>
      <c r="C6" s="94" t="n">
        <v>368.56</v>
      </c>
      <c r="D6" s="95" t="n">
        <v>29838709</v>
      </c>
      <c r="E6" s="96" t="n">
        <v>1753453.8</v>
      </c>
      <c r="F6" s="97" t="n">
        <v>47.010204</v>
      </c>
      <c r="G6" s="94" t="n">
        <v>289.96</v>
      </c>
      <c r="H6" s="94" t="n">
        <v>495</v>
      </c>
      <c r="I6" s="98" t="n">
        <v>0.73</v>
      </c>
    </row>
    <row r="7" customFormat="false" ht="15" hidden="false" customHeight="true" outlineLevel="0" collapsed="false">
      <c r="A7" s="80" t="s">
        <v>151</v>
      </c>
      <c r="B7" s="80" t="s">
        <v>152</v>
      </c>
      <c r="C7" s="94" t="n">
        <v>125.32</v>
      </c>
      <c r="D7" s="95" t="n">
        <v>1210096</v>
      </c>
      <c r="E7" s="96"/>
      <c r="F7" s="97" t="n">
        <v>12.4454</v>
      </c>
      <c r="G7" s="94" t="n">
        <v>93.87</v>
      </c>
      <c r="H7" s="94" t="n">
        <v>129.05</v>
      </c>
      <c r="I7" s="98" t="n">
        <v>1.25</v>
      </c>
    </row>
    <row r="8" customFormat="false" ht="15" hidden="false" customHeight="true" outlineLevel="0" collapsed="false">
      <c r="A8" s="80" t="s">
        <v>226</v>
      </c>
      <c r="B8" s="80" t="s">
        <v>374</v>
      </c>
      <c r="C8" s="94" t="n">
        <v>36.96</v>
      </c>
      <c r="D8" s="95" t="n">
        <v>9787856</v>
      </c>
      <c r="E8" s="96" t="n">
        <v>46769.8</v>
      </c>
      <c r="F8" s="97" t="n">
        <v>34.22222</v>
      </c>
      <c r="G8" s="94" t="n">
        <v>28.04</v>
      </c>
      <c r="H8" s="94" t="n">
        <v>42.82</v>
      </c>
      <c r="I8" s="98"/>
    </row>
    <row r="9" customFormat="false" ht="15" hidden="false" customHeight="true" outlineLevel="0" collapsed="false">
      <c r="A9" s="80" t="s">
        <v>228</v>
      </c>
      <c r="B9" s="80" t="s">
        <v>345</v>
      </c>
      <c r="C9" s="94" t="n">
        <v>910.18</v>
      </c>
      <c r="D9" s="95" t="n">
        <v>2225742</v>
      </c>
      <c r="E9" s="96" t="n">
        <v>403645.5</v>
      </c>
      <c r="F9" s="97" t="n">
        <v>45.80674</v>
      </c>
      <c r="G9" s="94" t="n">
        <v>844.06</v>
      </c>
      <c r="H9" s="94" t="n">
        <v>1096.5</v>
      </c>
      <c r="I9" s="98" t="n">
        <v>0.64</v>
      </c>
    </row>
    <row r="10" customFormat="false" ht="15" hidden="false" customHeight="true" outlineLevel="0" collapsed="false">
      <c r="A10" s="80" t="s">
        <v>105</v>
      </c>
      <c r="B10" s="80" t="s">
        <v>106</v>
      </c>
      <c r="C10" s="94" t="n">
        <v>210.02</v>
      </c>
      <c r="D10" s="95" t="n">
        <v>7862445</v>
      </c>
      <c r="E10" s="96" t="n">
        <v>215046.8</v>
      </c>
      <c r="F10" s="97" t="n">
        <v>5250.5</v>
      </c>
      <c r="G10" s="94" t="n">
        <v>85.68</v>
      </c>
      <c r="H10" s="94" t="n">
        <v>233.88</v>
      </c>
      <c r="I10" s="98"/>
    </row>
    <row r="11" customFormat="false" ht="15" hidden="false" customHeight="true" outlineLevel="0" collapsed="false">
      <c r="A11" s="80" t="s">
        <v>233</v>
      </c>
      <c r="B11" s="80" t="s">
        <v>376</v>
      </c>
      <c r="C11" s="94" t="n">
        <v>335.41</v>
      </c>
      <c r="D11" s="95" t="n">
        <v>556220</v>
      </c>
      <c r="E11" s="96" t="n">
        <v>11095.9</v>
      </c>
      <c r="F11" s="97" t="n">
        <v>19.024958</v>
      </c>
      <c r="G11" s="94" t="n">
        <v>282</v>
      </c>
      <c r="H11" s="94" t="n">
        <v>464.23</v>
      </c>
      <c r="I11" s="98" t="n">
        <v>2.33</v>
      </c>
    </row>
    <row r="12" customFormat="false" ht="15" hidden="false" customHeight="true" outlineLevel="0" collapsed="false">
      <c r="A12" s="80" t="s">
        <v>127</v>
      </c>
      <c r="B12" s="80" t="s">
        <v>128</v>
      </c>
      <c r="C12" s="94" t="n">
        <v>163.31</v>
      </c>
      <c r="D12" s="95" t="n">
        <v>283983</v>
      </c>
      <c r="E12" s="96"/>
      <c r="F12" s="97" t="n">
        <v>15.530593</v>
      </c>
      <c r="G12" s="94" t="n">
        <v>137.16</v>
      </c>
      <c r="H12" s="94" t="n">
        <v>167.06</v>
      </c>
      <c r="I12" s="98" t="n">
        <v>3.24</v>
      </c>
    </row>
    <row r="13" customFormat="false" ht="15" hidden="false" customHeight="true" outlineLevel="0" collapsed="false">
      <c r="A13" s="80" t="s">
        <v>236</v>
      </c>
      <c r="B13" s="80" t="s">
        <v>355</v>
      </c>
      <c r="C13" s="94" t="n">
        <v>21.51</v>
      </c>
      <c r="D13" s="95" t="n">
        <v>6978880</v>
      </c>
      <c r="E13" s="96" t="n">
        <v>74065.4</v>
      </c>
      <c r="F13" s="97" t="n">
        <v>14.732877</v>
      </c>
      <c r="G13" s="94" t="n">
        <v>16.18</v>
      </c>
      <c r="H13" s="94" t="n">
        <v>21.77</v>
      </c>
      <c r="I13" s="98" t="n">
        <v>6.33</v>
      </c>
    </row>
    <row r="14" customFormat="false" ht="15" hidden="false" customHeight="true" outlineLevel="0" collapsed="false">
      <c r="A14" s="80" t="s">
        <v>238</v>
      </c>
      <c r="B14" s="80" t="s">
        <v>392</v>
      </c>
      <c r="C14" s="94" t="n">
        <v>422.13</v>
      </c>
      <c r="D14" s="95" t="n">
        <v>2032961</v>
      </c>
      <c r="E14" s="96" t="n">
        <v>163955.3</v>
      </c>
      <c r="F14" s="97" t="n">
        <v>42.986763</v>
      </c>
      <c r="G14" s="94" t="n">
        <v>311.92</v>
      </c>
      <c r="H14" s="94" t="n">
        <v>478</v>
      </c>
      <c r="I14" s="98" t="n">
        <v>1.07</v>
      </c>
    </row>
    <row r="15" customFormat="false" ht="15" hidden="false" customHeight="true" outlineLevel="0" collapsed="false">
      <c r="A15" s="80" t="s">
        <v>240</v>
      </c>
      <c r="B15" s="80" t="s">
        <v>387</v>
      </c>
      <c r="C15" s="94" t="n">
        <v>72.82</v>
      </c>
      <c r="D15" s="95" t="n">
        <v>4895271</v>
      </c>
      <c r="E15" s="96" t="n">
        <v>6683.5</v>
      </c>
      <c r="F15" s="97" t="n">
        <v>23.044304</v>
      </c>
      <c r="G15" s="94" t="n">
        <v>44</v>
      </c>
      <c r="H15" s="94" t="n">
        <v>87.974</v>
      </c>
      <c r="I15" s="98" t="n">
        <v>0.54</v>
      </c>
    </row>
    <row r="16" customFormat="false" ht="15" hidden="false" customHeight="true" outlineLevel="0" collapsed="false">
      <c r="A16" s="80" t="s">
        <v>242</v>
      </c>
      <c r="B16" s="80" t="s">
        <v>388</v>
      </c>
      <c r="C16" s="94" t="n">
        <v>334.91</v>
      </c>
      <c r="D16" s="95" t="n">
        <v>3059378</v>
      </c>
      <c r="E16" s="96" t="n">
        <v>347490.1</v>
      </c>
      <c r="F16" s="97" t="n">
        <v>39.401176</v>
      </c>
      <c r="G16" s="94" t="n">
        <v>268.91</v>
      </c>
      <c r="H16" s="94" t="n">
        <v>388.84</v>
      </c>
      <c r="I16" s="98" t="n">
        <v>0.56</v>
      </c>
    </row>
    <row r="17" customFormat="false" ht="15" hidden="false" customHeight="true" outlineLevel="0" collapsed="false">
      <c r="A17" s="80" t="s">
        <v>157</v>
      </c>
      <c r="B17" s="80" t="s">
        <v>158</v>
      </c>
      <c r="C17" s="94" t="n">
        <v>69.39</v>
      </c>
      <c r="D17" s="95" t="n">
        <v>203268</v>
      </c>
      <c r="E17" s="96"/>
      <c r="F17" s="97" t="n">
        <v>24.4576</v>
      </c>
      <c r="G17" s="94" t="n">
        <v>63.24</v>
      </c>
      <c r="H17" s="94" t="n">
        <v>70.23</v>
      </c>
      <c r="I17" s="98" t="n">
        <v>0.62</v>
      </c>
    </row>
    <row r="18" customFormat="false" ht="15" hidden="false" customHeight="true" outlineLevel="0" collapsed="false">
      <c r="A18" s="80" t="s">
        <v>182</v>
      </c>
      <c r="B18" s="80" t="s">
        <v>183</v>
      </c>
      <c r="C18" s="94" t="n">
        <v>56.87</v>
      </c>
      <c r="D18" s="95" t="n">
        <v>4759638</v>
      </c>
      <c r="E18" s="96"/>
      <c r="F18" s="97" t="n">
        <v>25.282299</v>
      </c>
      <c r="G18" s="94" t="n">
        <v>55.1</v>
      </c>
      <c r="H18" s="94" t="n">
        <v>59.9</v>
      </c>
      <c r="I18" s="98" t="n">
        <v>7.97</v>
      </c>
    </row>
    <row r="19" customFormat="false" ht="15" hidden="false" customHeight="true" outlineLevel="0" collapsed="false">
      <c r="A19" s="80" t="s">
        <v>147</v>
      </c>
      <c r="B19" s="80" t="s">
        <v>148</v>
      </c>
      <c r="C19" s="94" t="n">
        <v>59.85</v>
      </c>
      <c r="D19" s="95" t="n">
        <v>5120618</v>
      </c>
      <c r="E19" s="96" t="n">
        <v>225986.3</v>
      </c>
      <c r="F19" s="97" t="n">
        <v>28.95007</v>
      </c>
      <c r="G19" s="94" t="n">
        <v>53.51</v>
      </c>
      <c r="H19" s="94" t="n">
        <v>61.72</v>
      </c>
      <c r="I19" s="98" t="n">
        <v>10.84</v>
      </c>
    </row>
    <row r="20" customFormat="false" ht="15" hidden="false" customHeight="true" outlineLevel="0" collapsed="false">
      <c r="A20" s="80" t="s">
        <v>107</v>
      </c>
      <c r="B20" s="80" t="s">
        <v>108</v>
      </c>
      <c r="C20" s="94" t="n">
        <v>188.98</v>
      </c>
      <c r="D20" s="95" t="n">
        <v>12158445</v>
      </c>
      <c r="E20" s="96" t="n">
        <v>246911.2</v>
      </c>
      <c r="F20" s="97" t="n">
        <v>51.633877</v>
      </c>
      <c r="G20" s="94" t="n">
        <v>91.023</v>
      </c>
      <c r="H20" s="94" t="n">
        <v>307.37</v>
      </c>
      <c r="I20" s="98" t="n">
        <v>0.5</v>
      </c>
    </row>
    <row r="21" customFormat="false" ht="15" hidden="false" customHeight="true" outlineLevel="0" collapsed="false">
      <c r="A21" s="80" t="s">
        <v>248</v>
      </c>
      <c r="B21" s="80" t="s">
        <v>365</v>
      </c>
      <c r="C21" s="94" t="n">
        <v>468.38</v>
      </c>
      <c r="D21" s="95" t="n">
        <v>2533696</v>
      </c>
      <c r="E21" s="96" t="n">
        <v>215913.9</v>
      </c>
      <c r="F21" s="97" t="n">
        <v>30.179123</v>
      </c>
      <c r="G21" s="94" t="n">
        <v>387.78</v>
      </c>
      <c r="H21" s="94" t="n">
        <v>548.2</v>
      </c>
      <c r="I21" s="98" t="n">
        <v>1.34</v>
      </c>
    </row>
    <row r="22" customFormat="false" ht="15" hidden="false" customHeight="true" outlineLevel="0" collapsed="false">
      <c r="A22" s="80" t="s">
        <v>137</v>
      </c>
      <c r="B22" s="80" t="s">
        <v>138</v>
      </c>
      <c r="C22" s="94" t="n">
        <v>54.93</v>
      </c>
      <c r="D22" s="95" t="n">
        <v>350807</v>
      </c>
      <c r="E22" s="96"/>
      <c r="F22" s="97" t="n">
        <v>18.950302</v>
      </c>
      <c r="G22" s="94" t="n">
        <v>49.15</v>
      </c>
      <c r="H22" s="94" t="n">
        <v>58.47</v>
      </c>
      <c r="I22" s="98" t="n">
        <v>0.47</v>
      </c>
    </row>
    <row r="23" customFormat="false" ht="15" hidden="false" customHeight="true" outlineLevel="0" collapsed="false">
      <c r="A23" s="80" t="s">
        <v>109</v>
      </c>
      <c r="B23" s="80" t="s">
        <v>110</v>
      </c>
      <c r="C23" s="94" t="n">
        <v>1000.26</v>
      </c>
      <c r="D23" s="95" t="n">
        <v>26248193</v>
      </c>
      <c r="E23" s="96" t="n">
        <v>1129686.8</v>
      </c>
      <c r="F23" s="97" t="n">
        <v>22.62008</v>
      </c>
      <c r="G23" s="94" t="n">
        <v>131.56</v>
      </c>
      <c r="H23" s="94" t="n">
        <v>1255</v>
      </c>
      <c r="I23" s="98" t="n">
        <v>0.05</v>
      </c>
    </row>
    <row r="24" customFormat="false" ht="15" hidden="false" customHeight="true" outlineLevel="0" collapsed="false">
      <c r="A24" s="80" t="s">
        <v>251</v>
      </c>
      <c r="B24" s="80" t="s">
        <v>396</v>
      </c>
      <c r="C24" s="94" t="n">
        <v>76.77</v>
      </c>
      <c r="D24" s="95" t="n">
        <v>33613528</v>
      </c>
      <c r="E24" s="96" t="n">
        <v>319665.6</v>
      </c>
      <c r="F24" s="97" t="n">
        <v>24.141508</v>
      </c>
      <c r="G24" s="94" t="n">
        <v>65.08</v>
      </c>
      <c r="H24" s="94" t="n">
        <v>126.7</v>
      </c>
      <c r="I24" s="98" t="n">
        <v>0.79</v>
      </c>
    </row>
    <row r="25" customFormat="false" ht="15" hidden="false" customHeight="true" outlineLevel="0" collapsed="false">
      <c r="A25" s="80" t="s">
        <v>111</v>
      </c>
      <c r="B25" s="80" t="s">
        <v>112</v>
      </c>
      <c r="C25" s="94" t="n">
        <v>225.73</v>
      </c>
      <c r="D25" s="95" t="n">
        <v>118354258</v>
      </c>
      <c r="E25" s="96" t="n">
        <v>5450702</v>
      </c>
      <c r="F25" s="97" t="n">
        <v>28.573418</v>
      </c>
      <c r="G25" s="94" t="n">
        <v>164.27</v>
      </c>
      <c r="H25" s="94" t="n">
        <v>236.54</v>
      </c>
      <c r="I25" s="98" t="n">
        <v>0.43</v>
      </c>
    </row>
    <row r="26" customFormat="false" ht="15" hidden="false" customHeight="true" outlineLevel="0" collapsed="false">
      <c r="A26" s="80" t="s">
        <v>260</v>
      </c>
      <c r="B26" s="80" t="s">
        <v>373</v>
      </c>
      <c r="C26" s="94" t="n">
        <v>145.58</v>
      </c>
      <c r="D26" s="95" t="n">
        <v>6281928</v>
      </c>
      <c r="E26" s="96" t="n">
        <v>338134.7</v>
      </c>
      <c r="F26" s="97" t="n">
        <v>21.990936</v>
      </c>
      <c r="G26" s="94" t="n">
        <v>137.62</v>
      </c>
      <c r="H26" s="94" t="n">
        <v>167.25</v>
      </c>
      <c r="I26" s="98" t="n">
        <v>2.97</v>
      </c>
    </row>
    <row r="27" customFormat="false" ht="15" hidden="false" customHeight="true" outlineLevel="0" collapsed="false">
      <c r="A27" s="80" t="s">
        <v>262</v>
      </c>
      <c r="B27" s="80" t="s">
        <v>390</v>
      </c>
      <c r="C27" s="94" t="n">
        <v>955.87</v>
      </c>
      <c r="D27" s="95" t="n">
        <v>437579</v>
      </c>
      <c r="E27" s="96" t="n">
        <v>120485</v>
      </c>
      <c r="F27" s="97" t="n">
        <v>33.55107</v>
      </c>
      <c r="G27" s="94" t="n">
        <v>715.37</v>
      </c>
      <c r="H27" s="94" t="n">
        <v>1099.94</v>
      </c>
      <c r="I27" s="98" t="n">
        <v>0.83</v>
      </c>
    </row>
    <row r="28" customFormat="false" ht="15" hidden="false" customHeight="true" outlineLevel="0" collapsed="false">
      <c r="A28" s="99" t="s">
        <v>165</v>
      </c>
      <c r="B28" s="99" t="s">
        <v>331</v>
      </c>
      <c r="C28" s="100" t="n">
        <v>138.48</v>
      </c>
      <c r="D28" s="101" t="n">
        <v>2505273</v>
      </c>
      <c r="E28" s="102" t="n">
        <v>134615.2</v>
      </c>
      <c r="F28" s="103" t="n">
        <v>30.841871</v>
      </c>
      <c r="G28" s="100" t="n">
        <v>110.6</v>
      </c>
      <c r="H28" s="100" t="n">
        <v>153.35</v>
      </c>
      <c r="I28" s="104" t="n">
        <v>3.12</v>
      </c>
    </row>
    <row r="29" customFormat="false" ht="15" hidden="false" customHeight="true" outlineLevel="0" collapsed="false">
      <c r="A29" s="99" t="s">
        <v>113</v>
      </c>
      <c r="B29" s="99" t="s">
        <v>114</v>
      </c>
      <c r="C29" s="100" t="n">
        <v>170.3</v>
      </c>
      <c r="D29" s="101" t="n">
        <v>24103759</v>
      </c>
      <c r="E29" s="102" t="n">
        <v>409240.9</v>
      </c>
      <c r="F29" s="103" t="n">
        <v>145.55556</v>
      </c>
      <c r="G29" s="100" t="n">
        <v>106.37</v>
      </c>
      <c r="H29" s="100" t="n">
        <v>207.52</v>
      </c>
      <c r="I29" s="104" t="n">
        <v>0.7</v>
      </c>
    </row>
    <row r="30" customFormat="false" ht="15" hidden="false" customHeight="true" outlineLevel="0" collapsed="false">
      <c r="A30" s="99" t="s">
        <v>133</v>
      </c>
      <c r="B30" s="99" t="s">
        <v>134</v>
      </c>
      <c r="C30" s="100" t="n">
        <v>34.41</v>
      </c>
      <c r="D30" s="101" t="n">
        <v>31697581</v>
      </c>
      <c r="E30" s="102"/>
      <c r="F30" s="103" t="n">
        <v>18.989983</v>
      </c>
      <c r="G30" s="100" t="n">
        <v>26.32</v>
      </c>
      <c r="H30" s="100" t="n">
        <v>35.31</v>
      </c>
      <c r="I30" s="104" t="n">
        <v>3</v>
      </c>
    </row>
    <row r="31" customFormat="false" ht="15" hidden="false" customHeight="true" outlineLevel="0" collapsed="false">
      <c r="A31" s="99" t="s">
        <v>139</v>
      </c>
      <c r="B31" s="99" t="s">
        <v>140</v>
      </c>
      <c r="C31" s="100" t="n">
        <v>150.47</v>
      </c>
      <c r="D31" s="101" t="n">
        <v>1584554</v>
      </c>
      <c r="E31" s="102" t="n">
        <v>100824.6</v>
      </c>
      <c r="F31" s="103" t="n">
        <v>27.783249</v>
      </c>
      <c r="G31" s="100" t="n">
        <v>107.24</v>
      </c>
      <c r="H31" s="100" t="n">
        <v>162.3</v>
      </c>
      <c r="I31" s="104" t="n">
        <v>0.71</v>
      </c>
    </row>
    <row r="32" customFormat="false" ht="15" hidden="false" customHeight="true" outlineLevel="0" collapsed="false">
      <c r="A32" s="99" t="s">
        <v>115</v>
      </c>
      <c r="B32" s="99" t="s">
        <v>342</v>
      </c>
      <c r="C32" s="100" t="n">
        <v>439</v>
      </c>
      <c r="D32" s="101" t="n">
        <v>13005540</v>
      </c>
      <c r="E32" s="102" t="n">
        <v>2276862.2</v>
      </c>
      <c r="F32" s="103" t="n">
        <v>32.590942</v>
      </c>
      <c r="G32" s="100" t="n">
        <v>246.93</v>
      </c>
      <c r="H32" s="100" t="n">
        <v>479</v>
      </c>
      <c r="I32" s="104" t="n">
        <v>0.95</v>
      </c>
    </row>
    <row r="33" customFormat="false" ht="15" hidden="false" customHeight="true" outlineLevel="0" collapsed="false">
      <c r="A33" s="99" t="s">
        <v>119</v>
      </c>
      <c r="B33" s="99" t="s">
        <v>120</v>
      </c>
      <c r="C33" s="100" t="n">
        <v>368.64</v>
      </c>
      <c r="D33" s="101" t="n">
        <v>4906741</v>
      </c>
      <c r="E33" s="102" t="n">
        <v>688268.3</v>
      </c>
      <c r="F33" s="103" t="n">
        <v>31.400343</v>
      </c>
      <c r="G33" s="100" t="n">
        <v>293.89</v>
      </c>
      <c r="H33" s="100" t="n">
        <v>385.57</v>
      </c>
      <c r="I33" s="104" t="n">
        <v>0.71</v>
      </c>
    </row>
    <row r="34" customFormat="false" ht="15" hidden="false" customHeight="true" outlineLevel="0" collapsed="false">
      <c r="A34" s="99" t="s">
        <v>130</v>
      </c>
      <c r="B34" s="99" t="s">
        <v>131</v>
      </c>
      <c r="C34" s="100" t="n">
        <v>54.08</v>
      </c>
      <c r="D34" s="101" t="n">
        <v>2336695</v>
      </c>
      <c r="E34" s="102"/>
      <c r="F34" s="103" t="n">
        <v>17.17579</v>
      </c>
      <c r="G34" s="100" t="n">
        <v>36.56</v>
      </c>
      <c r="H34" s="100" t="n">
        <v>56.44</v>
      </c>
      <c r="I34" s="104" t="n">
        <v>1.01</v>
      </c>
    </row>
    <row r="35" customFormat="false" ht="15" hidden="false" customHeight="true" outlineLevel="0" collapsed="false">
      <c r="A35" s="99" t="s">
        <v>117</v>
      </c>
      <c r="B35" s="99" t="s">
        <v>118</v>
      </c>
      <c r="C35" s="100" t="n">
        <v>290.83</v>
      </c>
      <c r="D35" s="101" t="n">
        <v>4668881</v>
      </c>
      <c r="E35" s="102" t="n">
        <v>111966.1</v>
      </c>
      <c r="F35" s="103" t="n">
        <v>65.650116</v>
      </c>
      <c r="G35" s="100" t="n">
        <v>120.83</v>
      </c>
      <c r="H35" s="100" t="n">
        <v>379.935</v>
      </c>
      <c r="I35" s="104" t="n">
        <v>0.09</v>
      </c>
    </row>
    <row r="36" customFormat="false" ht="15" hidden="false" customHeight="true" outlineLevel="0" collapsed="false">
      <c r="A36" s="99" t="s">
        <v>162</v>
      </c>
      <c r="B36" s="99" t="s">
        <v>163</v>
      </c>
      <c r="C36" s="100" t="n">
        <v>528.9</v>
      </c>
      <c r="D36" s="101" t="n">
        <v>1090748</v>
      </c>
      <c r="E36" s="102" t="n">
        <v>134055.5</v>
      </c>
      <c r="F36" s="103" t="n">
        <v>30.839653</v>
      </c>
      <c r="G36" s="100" t="n">
        <v>374.17</v>
      </c>
      <c r="H36" s="100" t="n">
        <v>560.25</v>
      </c>
      <c r="I36" s="104"/>
    </row>
    <row r="37" customFormat="false" ht="15" hidden="false" customHeight="true" outlineLevel="0" collapsed="false">
      <c r="A37" s="99" t="s">
        <v>135</v>
      </c>
      <c r="B37" s="99" t="s">
        <v>136</v>
      </c>
      <c r="C37" s="100" t="n">
        <v>163.52</v>
      </c>
      <c r="D37" s="101" t="n">
        <v>1232607</v>
      </c>
      <c r="E37" s="102"/>
      <c r="F37" s="103" t="n">
        <v>21.198973</v>
      </c>
      <c r="G37" s="100" t="n">
        <v>137.42</v>
      </c>
      <c r="H37" s="100" t="n">
        <v>167.61</v>
      </c>
      <c r="I37" s="104" t="n">
        <v>2.22</v>
      </c>
    </row>
    <row r="38" customFormat="false" ht="15" hidden="false" customHeight="true" outlineLevel="0" collapsed="false">
      <c r="A38" s="99" t="s">
        <v>270</v>
      </c>
      <c r="B38" s="99" t="s">
        <v>378</v>
      </c>
      <c r="C38" s="100" t="n">
        <v>149.51</v>
      </c>
      <c r="D38" s="101" t="n">
        <v>1616462</v>
      </c>
      <c r="E38" s="102" t="n">
        <v>40801.4</v>
      </c>
      <c r="F38" s="103" t="n">
        <v>18.829973</v>
      </c>
      <c r="G38" s="100" t="n">
        <v>137.33</v>
      </c>
      <c r="H38" s="100" t="n">
        <v>170.14</v>
      </c>
      <c r="I38" s="104"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5" t="s">
        <v>423</v>
      </c>
      <c r="B1" s="105"/>
      <c r="C1" s="105"/>
      <c r="D1" s="105"/>
      <c r="E1" s="105"/>
      <c r="F1" s="105"/>
      <c r="G1" s="105"/>
      <c r="H1" s="105"/>
      <c r="I1" s="105"/>
      <c r="J1" s="105"/>
      <c r="K1" s="105"/>
      <c r="L1" s="105"/>
      <c r="M1" s="105"/>
      <c r="N1" s="105"/>
      <c r="O1" s="105"/>
      <c r="P1" s="105"/>
      <c r="Q1" s="105"/>
      <c r="R1" s="105"/>
      <c r="S1" s="105"/>
      <c r="T1" s="105"/>
      <c r="U1" s="105"/>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6" t="str">
        <f aca="false">'Price History'!V2</f>
        <v>V</v>
      </c>
      <c r="W2" s="107" t="s">
        <v>424</v>
      </c>
      <c r="X2" s="107" t="s">
        <v>425</v>
      </c>
      <c r="Y2" s="107" t="s">
        <v>426</v>
      </c>
      <c r="Z2" s="107" t="s">
        <v>427</v>
      </c>
      <c r="AA2" s="107" t="s">
        <v>428</v>
      </c>
      <c r="AB2" s="107" t="s">
        <v>429</v>
      </c>
      <c r="AC2" s="107" t="s">
        <v>430</v>
      </c>
      <c r="AD2" s="107" t="s">
        <v>431</v>
      </c>
      <c r="AE2" s="107" t="s">
        <v>432</v>
      </c>
      <c r="AF2" s="107" t="s">
        <v>433</v>
      </c>
      <c r="AG2" s="107" t="s">
        <v>434</v>
      </c>
      <c r="AH2" s="107" t="s">
        <v>435</v>
      </c>
      <c r="AI2" s="107" t="s">
        <v>436</v>
      </c>
      <c r="AJ2" s="107" t="s">
        <v>437</v>
      </c>
      <c r="AK2" s="107" t="s">
        <v>438</v>
      </c>
      <c r="AL2" s="107" t="s">
        <v>439</v>
      </c>
      <c r="AM2" s="107" t="s">
        <v>440</v>
      </c>
      <c r="AN2" s="107" t="s">
        <v>441</v>
      </c>
      <c r="AO2" s="106" t="s">
        <v>442</v>
      </c>
    </row>
    <row r="3" customFormat="false" ht="15" hidden="false" customHeight="true" outlineLevel="0" collapsed="false">
      <c r="A3" s="108" t="n">
        <f aca="false">IF('Price History'!A4="","",'Price History'!A4)</f>
        <v>45156</v>
      </c>
      <c r="B3" s="109" t="n">
        <f aca="false">IFERROR(IF(OR(NOT(ISNUMBER('Price History'!B4)),NOT(ISNUMBER('Price History'!B3)),'Price History'!B3=0),"",'Price History'!B4/'Price History'!B3-1),"")</f>
        <v>-0.00062936375258138</v>
      </c>
      <c r="C3" s="109" t="n">
        <f aca="false">IFERROR(IF(OR(NOT(ISNUMBER('Price History'!C4)),NOT(ISNUMBER('Price History'!C3)),'Price History'!C3=0),"",'Price History'!C4/'Price History'!C3-1),"")</f>
        <v>0.0320073159579333</v>
      </c>
      <c r="D3" s="109" t="n">
        <f aca="false">IFERROR(IF(OR(NOT(ISNUMBER('Price History'!D4)),NOT(ISNUMBER('Price History'!D3)),'Price History'!D3=0),"",'Price History'!D4/'Price History'!D3-1),"")</f>
        <v>-0.00974644141557612</v>
      </c>
      <c r="E3" s="109" t="n">
        <f aca="false">IFERROR(IF(OR(NOT(ISNUMBER('Price History'!E4)),NOT(ISNUMBER('Price History'!E3)),'Price History'!E3=0),"",'Price History'!E4/'Price History'!E3-1),"")</f>
        <v>-0.0048204386599181</v>
      </c>
      <c r="F3" s="109" t="n">
        <f aca="false">IFERROR(IF(OR(NOT(ISNUMBER('Price History'!F4)),NOT(ISNUMBER('Price History'!F3)),'Price History'!F3=0),"",'Price History'!F4/'Price History'!F3-1),"")</f>
        <v>-0.00971397733405288</v>
      </c>
      <c r="G3" s="109" t="n">
        <f aca="false">IFERROR(IF(OR(NOT(ISNUMBER('Price History'!G4)),NOT(ISNUMBER('Price History'!G3)),'Price History'!G3=0),"",'Price History'!G4/'Price History'!G3-1),"")</f>
        <v>-0.0020876826722338</v>
      </c>
      <c r="H3" s="109" t="n">
        <f aca="false">IFERROR(IF(OR(NOT(ISNUMBER('Price History'!H4)),NOT(ISNUMBER('Price History'!H3)),'Price History'!H3=0),"",'Price History'!H4/'Price History'!H3-1),"")</f>
        <v>-0.0121174460152245</v>
      </c>
      <c r="I3" s="109" t="n">
        <f aca="false">IFERROR(IF(OR(NOT(ISNUMBER('Price History'!I4)),NOT(ISNUMBER('Price History'!I3)),'Price History'!I3=0),"",'Price History'!I4/'Price History'!I3-1),"")</f>
        <v>0.0599755201958383</v>
      </c>
      <c r="J3" s="109" t="n">
        <f aca="false">IFERROR(IF(OR(NOT(ISNUMBER('Price History'!J4)),NOT(ISNUMBER('Price History'!J3)),'Price History'!J3=0),"",'Price History'!J4/'Price History'!J3-1),"")</f>
        <v>-0.0165168812241924</v>
      </c>
      <c r="K3" s="109" t="n">
        <f aca="false">IFERROR(IF(OR(NOT(ISNUMBER('Price History'!K4)),NOT(ISNUMBER('Price History'!K3)),'Price History'!K3=0),"",'Price History'!K4/'Price History'!K3-1),"")</f>
        <v>-0.0655418559377028</v>
      </c>
      <c r="L3" s="109" t="n">
        <f aca="false">IFERROR(IF(OR(NOT(ISNUMBER('Price History'!L4)),NOT(ISNUMBER('Price History'!L3)),'Price History'!L3=0),"",'Price History'!L4/'Price History'!L3-1),"")</f>
        <v>-0.00967496467007289</v>
      </c>
      <c r="M3" s="109" t="n">
        <f aca="false">IFERROR(IF(OR(NOT(ISNUMBER('Price History'!M4)),NOT(ISNUMBER('Price History'!M3)),'Price History'!M3=0),"",'Price History'!M4/'Price History'!M3-1),"")</f>
        <v>0.0137272455983288</v>
      </c>
      <c r="N3" s="109" t="n">
        <f aca="false">IFERROR(IF(OR(NOT(ISNUMBER('Price History'!N4)),NOT(ISNUMBER('Price History'!N3)),'Price History'!N3=0),"",'Price History'!N4/'Price History'!N3-1),"")</f>
        <v>-0.0144057623049221</v>
      </c>
      <c r="O3" s="109" t="n">
        <f aca="false">IFERROR(IF(OR(NOT(ISNUMBER('Price History'!O4)),NOT(ISNUMBER('Price History'!O3)),'Price History'!O3=0),"",'Price History'!O4/'Price History'!O3-1),"")</f>
        <v>-0.0307785153892577</v>
      </c>
      <c r="P3" s="109" t="str">
        <f aca="false">IFERROR(IF(OR(NOT(ISNUMBER('Price History'!P4)),NOT(ISNUMBER('Price History'!P3)),'Price History'!P3=0),"",'Price History'!P4/'Price History'!P3-1),"")</f>
        <v/>
      </c>
      <c r="Q3" s="109" t="n">
        <f aca="false">IFERROR(IF(OR(NOT(ISNUMBER('Price History'!Q4)),NOT(ISNUMBER('Price History'!Q3)),'Price History'!Q3=0),"",'Price History'!Q4/'Price History'!Q3-1),"")</f>
        <v>0.0032102728731942</v>
      </c>
      <c r="R3" s="109" t="n">
        <f aca="false">IFERROR(IF(OR(NOT(ISNUMBER('Price History'!R4)),NOT(ISNUMBER('Price History'!R3)),'Price History'!R3=0),"",'Price History'!R4/'Price History'!R3-1),"")</f>
        <v>-0.0186114596403179</v>
      </c>
      <c r="S3" s="109" t="n">
        <f aca="false">IFERROR(IF(OR(NOT(ISNUMBER('Price History'!S4)),NOT(ISNUMBER('Price History'!S3)),'Price History'!S3=0),"",'Price History'!S4/'Price History'!S3-1),"")</f>
        <v>-0.00837034506320467</v>
      </c>
      <c r="T3" s="109" t="n">
        <f aca="false">IFERROR(IF(OR(NOT(ISNUMBER('Price History'!T4)),NOT(ISNUMBER('Price History'!T3)),'Price History'!T3=0),"",'Price History'!T4/'Price History'!T3-1),"")</f>
        <v>-0.0267558528428093</v>
      </c>
      <c r="U3" s="109" t="str">
        <f aca="false">IFERROR(IF(OR(NOT(ISNUMBER('Price History'!U4)),NOT(ISNUMBER('Price History'!U3)),'Price History'!U3=0),"",'Price History'!U4/'Price History'!U3-1),"")</f>
        <v/>
      </c>
      <c r="V3" s="110" t="str">
        <f aca="false">IFERROR(IF(OR(NOT(ISNUMBER('Price History'!V4)),NOT(ISNUMBER('Price History'!V3)),'Price History'!V3=0),"",'Price History'!V4/'Price History'!V3-1),"")</f>
        <v/>
      </c>
      <c r="W3" s="111" t="n">
        <f aca="false">IFERROR('Price History'!B3+(INDEX('Price History'!B:B,MATCH(9.99E+307,'Price History'!$A:$A))-'Price History'!B3)*(ROW()-3)/(MATCH(9.99E+307,'Returns (Calc)'!$A:$A)-3),"")</f>
        <v>508.45</v>
      </c>
      <c r="X3" s="111" t="n">
        <f aca="false">IFERROR('Price History'!C3+(INDEX('Price History'!C:C,MATCH(9.99E+307,'Price History'!$A:$A))-'Price History'!C3)*(ROW()-3)/(MATCH(9.99E+307,'Returns (Calc)'!$A:$A)-3),"")</f>
        <v>43.74</v>
      </c>
      <c r="Y3" s="111" t="n">
        <f aca="false">IFERROR('Price History'!D3+(INDEX('Price History'!D:D,MATCH(9.99E+307,'Price History'!$A:$A))-'Price History'!D3)*(ROW()-3)/(MATCH(9.99E+307,'Returns (Calc)'!$A:$A)-3),"")</f>
        <v>661.78</v>
      </c>
      <c r="Z3" s="111" t="n">
        <f aca="false">IFERROR('Price History'!E3+(INDEX('Price History'!E:E,MATCH(9.99E+307,'Price History'!$A:$A))-'Price History'!E3)*(ROW()-3)/(MATCH(9.99E+307,'Returns (Calc)'!$A:$A)-3),"")</f>
        <v>82.98</v>
      </c>
      <c r="AA3" s="111" t="n">
        <f aca="false">IFERROR('Price History'!F3+(INDEX('Price History'!F:F,MATCH(9.99E+307,'Price History'!$A:$A))-'Price History'!F3)*(ROW()-3)/(MATCH(9.99E+307,'Returns (Calc)'!$A:$A)-3),"")</f>
        <v>37.06</v>
      </c>
      <c r="AB3" s="111" t="n">
        <f aca="false">IFERROR('Price History'!G3+(INDEX('Price History'!G:G,MATCH(9.99E+307,'Price History'!$A:$A))-'Price History'!G3)*(ROW()-3)/(MATCH(9.99E+307,'Returns (Calc)'!$A:$A)-3),"")</f>
        <v>47.9</v>
      </c>
      <c r="AC3" s="111" t="n">
        <f aca="false">IFERROR('Price History'!H3+(INDEX('Price History'!H:H,MATCH(9.99E+307,'Price History'!$A:$A))-'Price History'!H3)*(ROW()-3)/(MATCH(9.99E+307,'Returns (Calc)'!$A:$A)-3),"")</f>
        <v>64.37</v>
      </c>
      <c r="AD3" s="111" t="n">
        <f aca="false">IFERROR('Price History'!I3+(INDEX('Price History'!I:I,MATCH(9.99E+307,'Price History'!$A:$A))-'Price History'!I3)*(ROW()-3)/(MATCH(9.99E+307,'Returns (Calc)'!$A:$A)-3),"")</f>
        <v>40.85</v>
      </c>
      <c r="AE3" s="111" t="n">
        <f aca="false">IFERROR('Price History'!J3+(INDEX('Price History'!J:J,MATCH(9.99E+307,'Price History'!$A:$A))-'Price History'!J3)*(ROW()-3)/(MATCH(9.99E+307,'Returns (Calc)'!$A:$A)-3),"")</f>
        <v>123.51</v>
      </c>
      <c r="AF3" s="111" t="n">
        <f aca="false">IFERROR('Price History'!K3+(INDEX('Price History'!K:K,MATCH(9.99E+307,'Price History'!$A:$A))-'Price History'!K3)*(ROW()-3)/(MATCH(9.99E+307,'Returns (Calc)'!$A:$A)-3),"")</f>
        <v>15.41</v>
      </c>
      <c r="AG3" s="111" t="n">
        <f aca="false">IFERROR('Price History'!L3+(INDEX('Price History'!L:L,MATCH(9.99E+307,'Price History'!$A:$A))-'Price History'!L3)*(ROW()-3)/(MATCH(9.99E+307,'Returns (Calc)'!$A:$A)-3),"")</f>
        <v>91.99</v>
      </c>
      <c r="AH3" s="111" t="n">
        <f aca="false">IFERROR('Price History'!M3+(INDEX('Price History'!M:M,MATCH(9.99E+307,'Price History'!$A:$A))-'Price History'!M3)*(ROW()-3)/(MATCH(9.99E+307,'Returns (Calc)'!$A:$A)-3),"")</f>
        <v>33.51</v>
      </c>
      <c r="AI3" s="111" t="n">
        <f aca="false">IFERROR('Price History'!N3+(INDEX('Price History'!N:N,MATCH(9.99E+307,'Price History'!$A:$A))-'Price History'!N3)*(ROW()-3)/(MATCH(9.99E+307,'Returns (Calc)'!$A:$A)-3),"")</f>
        <v>349.86</v>
      </c>
      <c r="AJ3" s="111" t="n">
        <f aca="false">IFERROR('Price History'!O3+(INDEX('Price History'!O:O,MATCH(9.99E+307,'Price History'!$A:$A))-'Price History'!O3)*(ROW()-3)/(MATCH(9.99E+307,'Returns (Calc)'!$A:$A)-3),"")</f>
        <v>82.85</v>
      </c>
      <c r="AK3" s="111" t="n">
        <f aca="false">IFERROR('Price History'!Q3+(INDEX('Price History'!Q:Q,MATCH(9.99E+307,'Price History'!$A:$A))-'Price History'!Q3)*(ROW()-3)/(MATCH(9.99E+307,'Returns (Calc)'!$A:$A)-3),"")</f>
        <v>49.84</v>
      </c>
      <c r="AL3" s="111" t="n">
        <f aca="false">IFERROR('Price History'!R3+(INDEX('Price History'!R:R,MATCH(9.99E+307,'Price History'!$A:$A))-'Price History'!R3)*(ROW()-3)/(MATCH(9.99E+307,'Returns (Calc)'!$A:$A)-3),"")</f>
        <v>47.82</v>
      </c>
      <c r="AM3" s="111" t="n">
        <f aca="false">IFERROR('Price History'!S3+(INDEX('Price History'!S:S,MATCH(9.99E+307,'Price History'!$A:$A))-'Price History'!S3)*(ROW()-3)/(MATCH(9.99E+307,'Returns (Calc)'!$A:$A)-3),"")</f>
        <v>58.54</v>
      </c>
      <c r="AN3" s="111" t="n">
        <f aca="false">IFERROR('Price History'!T3+(INDEX('Price History'!T:T,MATCH(9.99E+307,'Price History'!$A:$A))-'Price History'!T3)*(ROW()-3)/(MATCH(9.99E+307,'Returns (Calc)'!$A:$A)-3),"")</f>
        <v>26.91</v>
      </c>
      <c r="AO3" s="112" t="n">
        <f aca="false">IFERROR('Price History'!V3+(INDEX('Price History'!V:V,MATCH(9.99E+307,'Price History'!$A:$A))-'Price History'!V3)*(ROW()-3)/(MATCH(9.99E+307,'Returns (Calc)'!$A:$A)-3),"")</f>
        <v>0</v>
      </c>
    </row>
    <row r="4" customFormat="false" ht="15" hidden="false" customHeight="true" outlineLevel="0" collapsed="false">
      <c r="A4" s="108" t="n">
        <f aca="false">IF('Price History'!A5="","",'Price History'!A5)</f>
        <v>45163</v>
      </c>
      <c r="B4" s="109" t="n">
        <f aca="false">IFERROR(IF(OR(NOT(ISNUMBER('Price History'!B5)),NOT(ISNUMBER('Price History'!B4)),'Price History'!B4=0),"",'Price History'!B5/'Price History'!B4-1),"")</f>
        <v>0.0333182453309191</v>
      </c>
      <c r="C4" s="109" t="n">
        <f aca="false">IFERROR(IF(OR(NOT(ISNUMBER('Price History'!C5)),NOT(ISNUMBER('Price History'!C4)),'Price History'!C4=0),"",'Price History'!C5/'Price History'!C4-1),"")</f>
        <v>0.00199379707576419</v>
      </c>
      <c r="D4" s="109" t="n">
        <f aca="false">IFERROR(IF(OR(NOT(ISNUMBER('Price History'!D5)),NOT(ISNUMBER('Price History'!D4)),'Price History'!D4=0),"",'Price History'!D5/'Price History'!D4-1),"")</f>
        <v>-0.00659209863732779</v>
      </c>
      <c r="E4" s="109" t="n">
        <f aca="false">IFERROR(IF(OR(NOT(ISNUMBER('Price History'!E5)),NOT(ISNUMBER('Price History'!E4)),'Price History'!E4=0),"",'Price History'!E5/'Price History'!E4-1),"")</f>
        <v>0.0314846209736015</v>
      </c>
      <c r="F4" s="109" t="n">
        <f aca="false">IFERROR(IF(OR(NOT(ISNUMBER('Price History'!F5)),NOT(ISNUMBER('Price History'!F4)),'Price History'!F4=0),"",'Price History'!F5/'Price History'!F4-1),"")</f>
        <v>0.0190735694822888</v>
      </c>
      <c r="G4" s="109" t="n">
        <f aca="false">IFERROR(IF(OR(NOT(ISNUMBER('Price History'!G5)),NOT(ISNUMBER('Price History'!G4)),'Price History'!G4=0),"",'Price History'!G5/'Price History'!G4-1),"")</f>
        <v>0.00774058577405867</v>
      </c>
      <c r="H4" s="109" t="n">
        <f aca="false">IFERROR(IF(OR(NOT(ISNUMBER('Price History'!H5)),NOT(ISNUMBER('Price History'!H4)),'Price History'!H4=0),"",'Price History'!H5/'Price History'!H4-1),"")</f>
        <v>0.00204434659537656</v>
      </c>
      <c r="I4" s="109" t="n">
        <f aca="false">IFERROR(IF(OR(NOT(ISNUMBER('Price History'!I5)),NOT(ISNUMBER('Price History'!I4)),'Price History'!I4=0),"",'Price History'!I5/'Price History'!I4-1),"")</f>
        <v>0.0628175519630487</v>
      </c>
      <c r="J4" s="109" t="n">
        <f aca="false">IFERROR(IF(OR(NOT(ISNUMBER('Price History'!J5)),NOT(ISNUMBER('Price History'!J4)),'Price History'!J4=0),"",'Price History'!J5/'Price History'!J4-1),"")</f>
        <v>0.00979665761093274</v>
      </c>
      <c r="K4" s="109" t="n">
        <f aca="false">IFERROR(IF(OR(NOT(ISNUMBER('Price History'!K5)),NOT(ISNUMBER('Price History'!K4)),'Price History'!K4=0),"",'Price History'!K5/'Price History'!K4-1),"")</f>
        <v>0.00902777777777764</v>
      </c>
      <c r="L4" s="109" t="n">
        <f aca="false">IFERROR(IF(OR(NOT(ISNUMBER('Price History'!L5)),NOT(ISNUMBER('Price History'!L4)),'Price History'!L4=0),"",'Price History'!L5/'Price History'!L4-1),"")</f>
        <v>0.021953896816685</v>
      </c>
      <c r="M4" s="109" t="n">
        <f aca="false">IFERROR(IF(OR(NOT(ISNUMBER('Price History'!M5)),NOT(ISNUMBER('Price History'!M4)),'Price History'!M4=0),"",'Price History'!M5/'Price History'!M4-1),"")</f>
        <v>0.103915219311157</v>
      </c>
      <c r="N4" s="109" t="n">
        <f aca="false">IFERROR(IF(OR(NOT(ISNUMBER('Price History'!N5)),NOT(ISNUMBER('Price History'!N4)),'Price History'!N4=0),"",'Price History'!N5/'Price History'!N4-1),"")</f>
        <v>0.0151963343193551</v>
      </c>
      <c r="O4" s="109" t="n">
        <f aca="false">IFERROR(IF(OR(NOT(ISNUMBER('Price History'!O5)),NOT(ISNUMBER('Price History'!O4)),'Price History'!O4=0),"",'Price History'!O5/'Price History'!O4-1),"")</f>
        <v>-0.0161892901618929</v>
      </c>
      <c r="P4" s="109" t="str">
        <f aca="false">IFERROR(IF(OR(NOT(ISNUMBER('Price History'!P5)),NOT(ISNUMBER('Price History'!P4)),'Price History'!P4=0),"",'Price History'!P5/'Price History'!P4-1),"")</f>
        <v/>
      </c>
      <c r="Q4" s="109" t="n">
        <f aca="false">IFERROR(IF(OR(NOT(ISNUMBER('Price History'!Q5)),NOT(ISNUMBER('Price History'!Q4)),'Price History'!Q4=0),"",'Price History'!Q5/'Price History'!Q4-1),"")</f>
        <v>0.00340000000000007</v>
      </c>
      <c r="R4" s="109" t="n">
        <f aca="false">IFERROR(IF(OR(NOT(ISNUMBER('Price History'!R5)),NOT(ISNUMBER('Price History'!R4)),'Price History'!R4=0),"",'Price History'!R5/'Price History'!R4-1),"")</f>
        <v>0.0159812486682294</v>
      </c>
      <c r="S4" s="109" t="n">
        <f aca="false">IFERROR(IF(OR(NOT(ISNUMBER('Price History'!S5)),NOT(ISNUMBER('Price History'!S4)),'Price History'!S4=0),"",'Price History'!S5/'Price History'!S4-1),"")</f>
        <v>-0.00275624461670965</v>
      </c>
      <c r="T4" s="109" t="n">
        <f aca="false">IFERROR(IF(OR(NOT(ISNUMBER('Price History'!T5)),NOT(ISNUMBER('Price History'!T4)),'Price History'!T4=0),"",'Price History'!T5/'Price History'!T4-1),"")</f>
        <v>-0.00801832760595655</v>
      </c>
      <c r="U4" s="109" t="str">
        <f aca="false">IFERROR(IF(OR(NOT(ISNUMBER('Price History'!U5)),NOT(ISNUMBER('Price History'!U4)),'Price History'!U4=0),"",'Price History'!U5/'Price History'!U4-1),"")</f>
        <v/>
      </c>
      <c r="V4" s="110" t="str">
        <f aca="false">IFERROR(IF(OR(NOT(ISNUMBER('Price History'!V5)),NOT(ISNUMBER('Price History'!V4)),'Price History'!V4=0),"",'Price History'!V5/'Price History'!V4-1),"")</f>
        <v/>
      </c>
      <c r="W4" s="111" t="n">
        <f aca="false">IFERROR('Price History'!B3+(INDEX('Price History'!B:B,MATCH(9.99E+307,'Price History'!$A:$A))-'Price History'!B3)*(ROW()-3)/(MATCH(9.99E+307,'Returns (Calc)'!$A:$A)-3),"")</f>
        <v>506.928364779874</v>
      </c>
      <c r="X4" s="111" t="n">
        <f aca="false">IFERROR('Price History'!C3+(INDEX('Price History'!C:C,MATCH(9.99E+307,'Price History'!$A:$A))-'Price History'!C3)*(ROW()-3)/(MATCH(9.99E+307,'Returns (Calc)'!$A:$A)-3),"")</f>
        <v>44.6836477987421</v>
      </c>
      <c r="Y4" s="111" t="n">
        <f aca="false">IFERROR('Price History'!D3+(INDEX('Price History'!D:D,MATCH(9.99E+307,'Price History'!$A:$A))-'Price History'!D3)*(ROW()-3)/(MATCH(9.99E+307,'Returns (Calc)'!$A:$A)-3),"")</f>
        <v>668.403270440252</v>
      </c>
      <c r="Z4" s="111" t="n">
        <f aca="false">IFERROR('Price History'!E3+(INDEX('Price History'!E:E,MATCH(9.99E+307,'Price History'!$A:$A))-'Price History'!E3)*(ROW()-3)/(MATCH(9.99E+307,'Returns (Calc)'!$A:$A)-3),"")</f>
        <v>84.7090566037736</v>
      </c>
      <c r="AA4" s="111" t="n">
        <f aca="false">IFERROR('Price History'!F3+(INDEX('Price History'!F:F,MATCH(9.99E+307,'Price History'!$A:$A))-'Price History'!F3)*(ROW()-3)/(MATCH(9.99E+307,'Returns (Calc)'!$A:$A)-3),"")</f>
        <v>38.1671698113208</v>
      </c>
      <c r="AB4" s="111" t="n">
        <f aca="false">IFERROR('Price History'!G3+(INDEX('Price History'!G:G,MATCH(9.99E+307,'Price History'!$A:$A))-'Price History'!G3)*(ROW()-3)/(MATCH(9.99E+307,'Returns (Calc)'!$A:$A)-3),"")</f>
        <v>48.7660377358491</v>
      </c>
      <c r="AC4" s="111" t="n">
        <f aca="false">IFERROR('Price History'!H3+(INDEX('Price History'!H:H,MATCH(9.99E+307,'Price History'!$A:$A))-'Price History'!H3)*(ROW()-3)/(MATCH(9.99E+307,'Returns (Calc)'!$A:$A)-3),"")</f>
        <v>70.3588050314466</v>
      </c>
      <c r="AD4" s="111" t="n">
        <f aca="false">IFERROR('Price History'!I3+(INDEX('Price History'!I:I,MATCH(9.99E+307,'Price History'!$A:$A))-'Price History'!I3)*(ROW()-3)/(MATCH(9.99E+307,'Returns (Calc)'!$A:$A)-3),"")</f>
        <v>42.0418867924528</v>
      </c>
      <c r="AE4" s="111" t="n">
        <f aca="false">IFERROR('Price History'!J3+(INDEX('Price History'!J:J,MATCH(9.99E+307,'Price History'!$A:$A))-'Price History'!J3)*(ROW()-3)/(MATCH(9.99E+307,'Returns (Calc)'!$A:$A)-3),"")</f>
        <v>123.596981132075</v>
      </c>
      <c r="AF4" s="111" t="n">
        <f aca="false">IFERROR('Price History'!K3+(INDEX('Price History'!K:K,MATCH(9.99E+307,'Price History'!$A:$A))-'Price History'!K3)*(ROW()-3)/(MATCH(9.99E+307,'Returns (Calc)'!$A:$A)-3),"")</f>
        <v>16.4094968553459</v>
      </c>
      <c r="AG4" s="111" t="n">
        <f aca="false">IFERROR('Price History'!L3+(INDEX('Price History'!L:L,MATCH(9.99E+307,'Price History'!$A:$A))-'Price History'!L3)*(ROW()-3)/(MATCH(9.99E+307,'Returns (Calc)'!$A:$A)-3),"")</f>
        <v>94.1089937106918</v>
      </c>
      <c r="AH4" s="111" t="n">
        <f aca="false">IFERROR('Price History'!M3+(INDEX('Price History'!M:M,MATCH(9.99E+307,'Price History'!$A:$A))-'Price History'!M3)*(ROW()-3)/(MATCH(9.99E+307,'Returns (Calc)'!$A:$A)-3),"")</f>
        <v>35.0635849056604</v>
      </c>
      <c r="AI4" s="111" t="n">
        <f aca="false">IFERROR('Price History'!N3+(INDEX('Price History'!N:N,MATCH(9.99E+307,'Price History'!$A:$A))-'Price History'!N3)*(ROW()-3)/(MATCH(9.99E+307,'Returns (Calc)'!$A:$A)-3),"")</f>
        <v>351.094339622642</v>
      </c>
      <c r="AJ4" s="111" t="n">
        <f aca="false">IFERROR('Price History'!O3+(INDEX('Price History'!O:O,MATCH(9.99E+307,'Price History'!$A:$A))-'Price History'!O3)*(ROW()-3)/(MATCH(9.99E+307,'Returns (Calc)'!$A:$A)-3),"")</f>
        <v>83.1272327044025</v>
      </c>
      <c r="AK4" s="111" t="n">
        <f aca="false">IFERROR('Price History'!Q3+(INDEX('Price History'!Q:Q,MATCH(9.99E+307,'Price History'!$A:$A))-'Price History'!Q3)*(ROW()-3)/(MATCH(9.99E+307,'Returns (Calc)'!$A:$A)-3),"")</f>
        <v>49.9650314465409</v>
      </c>
      <c r="AL4" s="111" t="n">
        <f aca="false">IFERROR('Price History'!R3+(INDEX('Price History'!R:R,MATCH(9.99E+307,'Price History'!$A:$A))-'Price History'!R3)*(ROW()-3)/(MATCH(9.99E+307,'Returns (Calc)'!$A:$A)-3),"")</f>
        <v>47.895786163522</v>
      </c>
      <c r="AM4" s="111" t="n">
        <f aca="false">IFERROR('Price History'!S3+(INDEX('Price History'!S:S,MATCH(9.99E+307,'Price History'!$A:$A))-'Price History'!S3)*(ROW()-3)/(MATCH(9.99E+307,'Returns (Calc)'!$A:$A)-3),"")</f>
        <v>59.1134591194969</v>
      </c>
      <c r="AN4" s="111" t="n">
        <f aca="false">IFERROR('Price History'!T3+(INDEX('Price History'!T:T,MATCH(9.99E+307,'Price History'!$A:$A))-'Price History'!T3)*(ROW()-3)/(MATCH(9.99E+307,'Returns (Calc)'!$A:$A)-3),"")</f>
        <v>27.0884905660377</v>
      </c>
      <c r="AO4" s="112" t="n">
        <f aca="false">IFERROR('Price History'!V3+(INDEX('Price History'!V:V,MATCH(9.99E+307,'Price History'!$A:$A))-'Price History'!V3)*(ROW()-3)/(MATCH(9.99E+307,'Returns (Calc)'!$A:$A)-3),"")</f>
        <v>2.35893081761006</v>
      </c>
    </row>
    <row r="5" customFormat="false" ht="15" hidden="false" customHeight="true" outlineLevel="0" collapsed="false">
      <c r="A5" s="108" t="n">
        <f aca="false">IF('Price History'!A6="","",'Price History'!A6)</f>
        <v>45170</v>
      </c>
      <c r="B5" s="109" t="n">
        <f aca="false">IFERROR(IF(OR(NOT(ISNUMBER('Price History'!B6)),NOT(ISNUMBER('Price History'!B5)),'Price History'!B5=0),"",'Price History'!B6/'Price History'!B5-1),"")</f>
        <v>0.0726583628537694</v>
      </c>
      <c r="C5" s="109" t="n">
        <f aca="false">IFERROR(IF(OR(NOT(ISNUMBER('Price History'!C6)),NOT(ISNUMBER('Price History'!C5)),'Price History'!C5=0),"",'Price History'!C6/'Price History'!C5-1),"")</f>
        <v>0.0908688923281009</v>
      </c>
      <c r="D5" s="109" t="n">
        <f aca="false">IFERROR(IF(OR(NOT(ISNUMBER('Price History'!D6)),NOT(ISNUMBER('Price History'!D5)),'Price History'!D5=0),"",'Price History'!D6/'Price History'!D5-1),"")</f>
        <v>0.0176802199658992</v>
      </c>
      <c r="E5" s="109" t="n">
        <f aca="false">IFERROR(IF(OR(NOT(ISNUMBER('Price History'!E6)),NOT(ISNUMBER('Price History'!E5)),'Price History'!E5=0),"",'Price History'!E6/'Price History'!E5-1),"")</f>
        <v>0.0243014792204741</v>
      </c>
      <c r="F5" s="109" t="n">
        <f aca="false">IFERROR(IF(OR(NOT(ISNUMBER('Price History'!F6)),NOT(ISNUMBER('Price History'!F5)),'Price History'!F5=0),"",'Price History'!F6/'Price History'!F5-1),"")</f>
        <v>0.0778074866310161</v>
      </c>
      <c r="G5" s="109" t="n">
        <f aca="false">IFERROR(IF(OR(NOT(ISNUMBER('Price History'!G6)),NOT(ISNUMBER('Price History'!G5)),'Price History'!G5=0),"",'Price History'!G6/'Price History'!G5-1),"")</f>
        <v>0.0525223167946856</v>
      </c>
      <c r="H5" s="109" t="n">
        <f aca="false">IFERROR(IF(OR(NOT(ISNUMBER('Price History'!H6)),NOT(ISNUMBER('Price History'!H5)),'Price History'!H5=0),"",'Price History'!H6/'Price History'!H5-1),"")</f>
        <v>0.104676710608914</v>
      </c>
      <c r="I5" s="109" t="n">
        <f aca="false">IFERROR(IF(OR(NOT(ISNUMBER('Price History'!I6)),NOT(ISNUMBER('Price History'!I5)),'Price History'!I5=0),"",'Price History'!I6/'Price History'!I5-1),"")</f>
        <v>0.0541069100391134</v>
      </c>
      <c r="J5" s="109" t="n">
        <f aca="false">IFERROR(IF(OR(NOT(ISNUMBER('Price History'!J6)),NOT(ISNUMBER('Price History'!J5)),'Price History'!J5=0),"",'Price History'!J6/'Price History'!J5-1),"")</f>
        <v>0.015734550790804</v>
      </c>
      <c r="K5" s="109" t="n">
        <f aca="false">IFERROR(IF(OR(NOT(ISNUMBER('Price History'!K6)),NOT(ISNUMBER('Price History'!K5)),'Price History'!K5=0),"",'Price History'!K6/'Price History'!K5-1),"")</f>
        <v>0.044735030970406</v>
      </c>
      <c r="L5" s="109" t="n">
        <f aca="false">IFERROR(IF(OR(NOT(ISNUMBER('Price History'!L6)),NOT(ISNUMBER('Price History'!L5)),'Price History'!L5=0),"",'Price History'!L6/'Price History'!L5-1),"")</f>
        <v>0.000966702470461822</v>
      </c>
      <c r="M5" s="109" t="n">
        <f aca="false">IFERROR(IF(OR(NOT(ISNUMBER('Price History'!M6)),NOT(ISNUMBER('Price History'!M5)),'Price History'!M5=0),"",'Price History'!M6/'Price History'!M5-1),"")</f>
        <v>0.0631999999999999</v>
      </c>
      <c r="N5" s="109" t="n">
        <f aca="false">IFERROR(IF(OR(NOT(ISNUMBER('Price History'!N6)),NOT(ISNUMBER('Price History'!N5)),'Price History'!N5=0),"",'Price History'!N6/'Price History'!N5-1),"")</f>
        <v>0.00297091927098214</v>
      </c>
      <c r="O5" s="109" t="n">
        <f aca="false">IFERROR(IF(OR(NOT(ISNUMBER('Price History'!O6)),NOT(ISNUMBER('Price History'!O5)),'Price History'!O5=0),"",'Price History'!O6/'Price History'!O5-1),"")</f>
        <v>0.0467088607594937</v>
      </c>
      <c r="P5" s="109" t="str">
        <f aca="false">IFERROR(IF(OR(NOT(ISNUMBER('Price History'!P6)),NOT(ISNUMBER('Price History'!P5)),'Price History'!P5=0),"",'Price History'!P6/'Price History'!P5-1),"")</f>
        <v/>
      </c>
      <c r="Q5" s="109" t="n">
        <f aca="false">IFERROR(IF(OR(NOT(ISNUMBER('Price History'!Q6)),NOT(ISNUMBER('Price History'!Q5)),'Price History'!Q5=0),"",'Price History'!Q6/'Price History'!Q5-1),"")</f>
        <v>-0.0111620490332869</v>
      </c>
      <c r="R5" s="109" t="n">
        <f aca="false">IFERROR(IF(OR(NOT(ISNUMBER('Price History'!R6)),NOT(ISNUMBER('Price History'!R5)),'Price History'!R5=0),"",'Price History'!R6/'Price History'!R5-1),"")</f>
        <v>0.018246644295302</v>
      </c>
      <c r="S5" s="109" t="n">
        <f aca="false">IFERROR(IF(OR(NOT(ISNUMBER('Price History'!S6)),NOT(ISNUMBER('Price History'!S5)),'Price History'!S5=0),"",'Price History'!S6/'Price History'!S5-1),"")</f>
        <v>0.0160649507686992</v>
      </c>
      <c r="T5" s="109" t="n">
        <f aca="false">IFERROR(IF(OR(NOT(ISNUMBER('Price History'!T6)),NOT(ISNUMBER('Price History'!T5)),'Price History'!T5=0),"",'Price History'!T6/'Price History'!T5-1),"")</f>
        <v>0.0261739799846035</v>
      </c>
      <c r="U5" s="109" t="str">
        <f aca="false">IFERROR(IF(OR(NOT(ISNUMBER('Price History'!U6)),NOT(ISNUMBER('Price History'!U5)),'Price History'!U5=0),"",'Price History'!U6/'Price History'!U5-1),"")</f>
        <v/>
      </c>
      <c r="V5" s="110" t="str">
        <f aca="false">IFERROR(IF(OR(NOT(ISNUMBER('Price History'!V6)),NOT(ISNUMBER('Price History'!V5)),'Price History'!V5=0),"",'Price History'!V6/'Price History'!V5-1),"")</f>
        <v/>
      </c>
      <c r="W5" s="111" t="n">
        <f aca="false">IFERROR('Price History'!B3+(INDEX('Price History'!B:B,MATCH(9.99E+307,'Price History'!$A:$A))-'Price History'!B3)*(ROW()-3)/(MATCH(9.99E+307,'Returns (Calc)'!$A:$A)-3),"")</f>
        <v>505.406729559748</v>
      </c>
      <c r="X5" s="111" t="n">
        <f aca="false">IFERROR('Price History'!C3+(INDEX('Price History'!C:C,MATCH(9.99E+307,'Price History'!$A:$A))-'Price History'!C3)*(ROW()-3)/(MATCH(9.99E+307,'Returns (Calc)'!$A:$A)-3),"")</f>
        <v>45.6272955974843</v>
      </c>
      <c r="Y5" s="111" t="n">
        <f aca="false">IFERROR('Price History'!D3+(INDEX('Price History'!D:D,MATCH(9.99E+307,'Price History'!$A:$A))-'Price History'!D3)*(ROW()-3)/(MATCH(9.99E+307,'Returns (Calc)'!$A:$A)-3),"")</f>
        <v>675.026540880503</v>
      </c>
      <c r="Z5" s="111" t="n">
        <f aca="false">IFERROR('Price History'!E3+(INDEX('Price History'!E:E,MATCH(9.99E+307,'Price History'!$A:$A))-'Price History'!E3)*(ROW()-3)/(MATCH(9.99E+307,'Returns (Calc)'!$A:$A)-3),"")</f>
        <v>86.4381132075472</v>
      </c>
      <c r="AA5" s="111" t="n">
        <f aca="false">IFERROR('Price History'!F3+(INDEX('Price History'!F:F,MATCH(9.99E+307,'Price History'!$A:$A))-'Price History'!F3)*(ROW()-3)/(MATCH(9.99E+307,'Returns (Calc)'!$A:$A)-3),"")</f>
        <v>39.2743396226415</v>
      </c>
      <c r="AB5" s="111" t="n">
        <f aca="false">IFERROR('Price History'!G3+(INDEX('Price History'!G:G,MATCH(9.99E+307,'Price History'!$A:$A))-'Price History'!G3)*(ROW()-3)/(MATCH(9.99E+307,'Returns (Calc)'!$A:$A)-3),"")</f>
        <v>49.6320754716981</v>
      </c>
      <c r="AC5" s="111" t="n">
        <f aca="false">IFERROR('Price History'!H3+(INDEX('Price History'!H:H,MATCH(9.99E+307,'Price History'!$A:$A))-'Price History'!H3)*(ROW()-3)/(MATCH(9.99E+307,'Returns (Calc)'!$A:$A)-3),"")</f>
        <v>76.3476100628931</v>
      </c>
      <c r="AD5" s="111" t="n">
        <f aca="false">IFERROR('Price History'!I3+(INDEX('Price History'!I:I,MATCH(9.99E+307,'Price History'!$A:$A))-'Price History'!I3)*(ROW()-3)/(MATCH(9.99E+307,'Returns (Calc)'!$A:$A)-3),"")</f>
        <v>43.2337735849057</v>
      </c>
      <c r="AE5" s="111" t="n">
        <f aca="false">IFERROR('Price History'!J3+(INDEX('Price History'!J:J,MATCH(9.99E+307,'Price History'!$A:$A))-'Price History'!J3)*(ROW()-3)/(MATCH(9.99E+307,'Returns (Calc)'!$A:$A)-3),"")</f>
        <v>123.683962264151</v>
      </c>
      <c r="AF5" s="111" t="n">
        <f aca="false">IFERROR('Price History'!K3+(INDEX('Price History'!K:K,MATCH(9.99E+307,'Price History'!$A:$A))-'Price History'!K3)*(ROW()-3)/(MATCH(9.99E+307,'Returns (Calc)'!$A:$A)-3),"")</f>
        <v>17.4089937106918</v>
      </c>
      <c r="AG5" s="111" t="n">
        <f aca="false">IFERROR('Price History'!L3+(INDEX('Price History'!L:L,MATCH(9.99E+307,'Price History'!$A:$A))-'Price History'!L3)*(ROW()-3)/(MATCH(9.99E+307,'Returns (Calc)'!$A:$A)-3),"")</f>
        <v>96.2279874213837</v>
      </c>
      <c r="AH5" s="111" t="n">
        <f aca="false">IFERROR('Price History'!M3+(INDEX('Price History'!M:M,MATCH(9.99E+307,'Price History'!$A:$A))-'Price History'!M3)*(ROW()-3)/(MATCH(9.99E+307,'Returns (Calc)'!$A:$A)-3),"")</f>
        <v>36.6171698113208</v>
      </c>
      <c r="AI5" s="111" t="n">
        <f aca="false">IFERROR('Price History'!N3+(INDEX('Price History'!N:N,MATCH(9.99E+307,'Price History'!$A:$A))-'Price History'!N3)*(ROW()-3)/(MATCH(9.99E+307,'Returns (Calc)'!$A:$A)-3),"")</f>
        <v>352.328679245283</v>
      </c>
      <c r="AJ5" s="111" t="n">
        <f aca="false">IFERROR('Price History'!O3+(INDEX('Price History'!O:O,MATCH(9.99E+307,'Price History'!$A:$A))-'Price History'!O3)*(ROW()-3)/(MATCH(9.99E+307,'Returns (Calc)'!$A:$A)-3),"")</f>
        <v>83.404465408805</v>
      </c>
      <c r="AK5" s="111" t="n">
        <f aca="false">IFERROR('Price History'!Q3+(INDEX('Price History'!Q:Q,MATCH(9.99E+307,'Price History'!$A:$A))-'Price History'!Q3)*(ROW()-3)/(MATCH(9.99E+307,'Returns (Calc)'!$A:$A)-3),"")</f>
        <v>50.0900628930818</v>
      </c>
      <c r="AL5" s="111" t="n">
        <f aca="false">IFERROR('Price History'!R3+(INDEX('Price History'!R:R,MATCH(9.99E+307,'Price History'!$A:$A))-'Price History'!R3)*(ROW()-3)/(MATCH(9.99E+307,'Returns (Calc)'!$A:$A)-3),"")</f>
        <v>47.971572327044</v>
      </c>
      <c r="AM5" s="111" t="n">
        <f aca="false">IFERROR('Price History'!S3+(INDEX('Price History'!S:S,MATCH(9.99E+307,'Price History'!$A:$A))-'Price History'!S3)*(ROW()-3)/(MATCH(9.99E+307,'Returns (Calc)'!$A:$A)-3),"")</f>
        <v>59.6869182389937</v>
      </c>
      <c r="AN5" s="111" t="n">
        <f aca="false">IFERROR('Price History'!T3+(INDEX('Price History'!T:T,MATCH(9.99E+307,'Price History'!$A:$A))-'Price History'!T3)*(ROW()-3)/(MATCH(9.99E+307,'Returns (Calc)'!$A:$A)-3),"")</f>
        <v>27.2669811320755</v>
      </c>
      <c r="AO5" s="112" t="n">
        <f aca="false">IFERROR('Price History'!V3+(INDEX('Price History'!V:V,MATCH(9.99E+307,'Price History'!$A:$A))-'Price History'!V3)*(ROW()-3)/(MATCH(9.99E+307,'Returns (Calc)'!$A:$A)-3),"")</f>
        <v>4.71786163522013</v>
      </c>
    </row>
    <row r="6" customFormat="false" ht="15" hidden="false" customHeight="true" outlineLevel="0" collapsed="false">
      <c r="A6" s="108" t="n">
        <f aca="false">IF('Price History'!A7="","",'Price History'!A7)</f>
        <v>45177</v>
      </c>
      <c r="B6" s="109" t="n">
        <f aca="false">IFERROR(IF(OR(NOT(ISNUMBER('Price History'!B7)),NOT(ISNUMBER('Price History'!B6)),'Price History'!B6=0),"",'Price History'!B7/'Price History'!B6-1),"")</f>
        <v>-0.00506027946946974</v>
      </c>
      <c r="C6" s="109" t="n">
        <f aca="false">IFERROR(IF(OR(NOT(ISNUMBER('Price History'!C7)),NOT(ISNUMBER('Price History'!C6)),'Price History'!C6=0),"",'Price History'!C7/'Price History'!C6-1),"")</f>
        <v>-0.00445885691122838</v>
      </c>
      <c r="D6" s="109" t="n">
        <f aca="false">IFERROR(IF(OR(NOT(ISNUMBER('Price History'!D7)),NOT(ISNUMBER('Price History'!D6)),'Price History'!D6=0),"",'Price History'!D7/'Price History'!D6-1),"")</f>
        <v>-0.0523154017991909</v>
      </c>
      <c r="E6" s="109" t="n">
        <f aca="false">IFERROR(IF(OR(NOT(ISNUMBER('Price History'!E7)),NOT(ISNUMBER('Price History'!E6)),'Price History'!E6=0),"",'Price History'!E7/'Price History'!E6-1),"")</f>
        <v>-0.0170773638968481</v>
      </c>
      <c r="F6" s="109" t="n">
        <f aca="false">IFERROR(IF(OR(NOT(ISNUMBER('Price History'!F7)),NOT(ISNUMBER('Price History'!F6)),'Price History'!F6=0),"",'Price History'!F7/'Price History'!F6-1),"")</f>
        <v>0.0424212354254527</v>
      </c>
      <c r="G6" s="109" t="n">
        <f aca="false">IFERROR(IF(OR(NOT(ISNUMBER('Price History'!G7)),NOT(ISNUMBER('Price History'!G6)),'Price History'!G6=0),"",'Price History'!G7/'Price History'!G6-1),"")</f>
        <v>-0.0183431952662722</v>
      </c>
      <c r="H6" s="109" t="n">
        <f aca="false">IFERROR(IF(OR(NOT(ISNUMBER('Price History'!H7)),NOT(ISNUMBER('Price History'!H6)),'Price History'!H6=0),"",'Price History'!H7/'Price History'!H6-1),"")</f>
        <v>-0.0029833783207841</v>
      </c>
      <c r="I6" s="109" t="n">
        <f aca="false">IFERROR(IF(OR(NOT(ISNUMBER('Price History'!I7)),NOT(ISNUMBER('Price History'!I6)),'Price History'!I6=0),"",'Price History'!I7/'Price History'!I6-1),"")</f>
        <v>-0.0606060606060606</v>
      </c>
      <c r="J6" s="109" t="n">
        <f aca="false">IFERROR(IF(OR(NOT(ISNUMBER('Price History'!J7)),NOT(ISNUMBER('Price History'!J6)),'Price History'!J6=0),"",'Price History'!J7/'Price History'!J6-1),"")</f>
        <v>-0.016935548599406</v>
      </c>
      <c r="K6" s="109" t="n">
        <f aca="false">IFERROR(IF(OR(NOT(ISNUMBER('Price History'!K7)),NOT(ISNUMBER('Price History'!K6)),'Price History'!K6=0),"",'Price History'!K7/'Price History'!K6-1),"")</f>
        <v>-0.00329380764163367</v>
      </c>
      <c r="L6" s="109" t="n">
        <f aca="false">IFERROR(IF(OR(NOT(ISNUMBER('Price History'!L7)),NOT(ISNUMBER('Price History'!L6)),'Price History'!L6=0),"",'Price History'!L7/'Price History'!L6-1),"")</f>
        <v>-0.0380942161176091</v>
      </c>
      <c r="M6" s="109" t="n">
        <f aca="false">IFERROR(IF(OR(NOT(ISNUMBER('Price History'!M7)),NOT(ISNUMBER('Price History'!M6)),'Price History'!M6=0),"",'Price History'!M7/'Price History'!M6-1),"")</f>
        <v>-0.0168046149987458</v>
      </c>
      <c r="N6" s="109" t="n">
        <f aca="false">IFERROR(IF(OR(NOT(ISNUMBER('Price History'!N7)),NOT(ISNUMBER('Price History'!N6)),'Price History'!N6=0),"",'Price History'!N7/'Price History'!N6-1),"")</f>
        <v>-0.0229279407576189</v>
      </c>
      <c r="O6" s="109" t="n">
        <f aca="false">IFERROR(IF(OR(NOT(ISNUMBER('Price History'!O7)),NOT(ISNUMBER('Price History'!O6)),'Price History'!O6=0),"",'Price History'!O7/'Price History'!O6-1),"")</f>
        <v>-0.0384568871689441</v>
      </c>
      <c r="P6" s="109" t="str">
        <f aca="false">IFERROR(IF(OR(NOT(ISNUMBER('Price History'!P7)),NOT(ISNUMBER('Price History'!P6)),'Price History'!P6=0),"",'Price History'!P7/'Price History'!P6-1),"")</f>
        <v/>
      </c>
      <c r="Q6" s="109" t="n">
        <f aca="false">IFERROR(IF(OR(NOT(ISNUMBER('Price History'!Q7)),NOT(ISNUMBER('Price History'!Q6)),'Price History'!Q6=0),"",'Price History'!Q7/'Price History'!Q6-1),"")</f>
        <v>-0.0173352146744608</v>
      </c>
      <c r="R6" s="109" t="n">
        <f aca="false">IFERROR(IF(OR(NOT(ISNUMBER('Price History'!R7)),NOT(ISNUMBER('Price History'!R6)),'Price History'!R6=0),"",'Price History'!R7/'Price History'!R6-1),"")</f>
        <v>-0.00659114315139031</v>
      </c>
      <c r="S6" s="109" t="n">
        <f aca="false">IFERROR(IF(OR(NOT(ISNUMBER('Price History'!S7)),NOT(ISNUMBER('Price History'!S6)),'Price History'!S6=0),"",'Price History'!S7/'Price History'!S6-1),"")</f>
        <v>0.00595035702142122</v>
      </c>
      <c r="T6" s="109" t="n">
        <f aca="false">IFERROR(IF(OR(NOT(ISNUMBER('Price History'!T7)),NOT(ISNUMBER('Price History'!T6)),'Price History'!T6=0),"",'Price History'!T7/'Price History'!T6-1),"")</f>
        <v>-0.00712678169542391</v>
      </c>
      <c r="U6" s="109" t="str">
        <f aca="false">IFERROR(IF(OR(NOT(ISNUMBER('Price History'!U7)),NOT(ISNUMBER('Price History'!U6)),'Price History'!U6=0),"",'Price History'!U7/'Price History'!U6-1),"")</f>
        <v/>
      </c>
      <c r="V6" s="110" t="str">
        <f aca="false">IFERROR(IF(OR(NOT(ISNUMBER('Price History'!V7)),NOT(ISNUMBER('Price History'!V6)),'Price History'!V6=0),"",'Price History'!V7/'Price History'!V6-1),"")</f>
        <v/>
      </c>
      <c r="W6" s="111" t="n">
        <f aca="false">IFERROR('Price History'!B3+(INDEX('Price History'!B:B,MATCH(9.99E+307,'Price History'!$A:$A))-'Price History'!B3)*(ROW()-3)/(MATCH(9.99E+307,'Returns (Calc)'!$A:$A)-3),"")</f>
        <v>503.885094339623</v>
      </c>
      <c r="X6" s="111" t="n">
        <f aca="false">IFERROR('Price History'!C3+(INDEX('Price History'!C:C,MATCH(9.99E+307,'Price History'!$A:$A))-'Price History'!C3)*(ROW()-3)/(MATCH(9.99E+307,'Returns (Calc)'!$A:$A)-3),"")</f>
        <v>46.5709433962264</v>
      </c>
      <c r="Y6" s="111" t="n">
        <f aca="false">IFERROR('Price History'!D3+(INDEX('Price History'!D:D,MATCH(9.99E+307,'Price History'!$A:$A))-'Price History'!D3)*(ROW()-3)/(MATCH(9.99E+307,'Returns (Calc)'!$A:$A)-3),"")</f>
        <v>681.649811320755</v>
      </c>
      <c r="Z6" s="111" t="n">
        <f aca="false">IFERROR('Price History'!E3+(INDEX('Price History'!E:E,MATCH(9.99E+307,'Price History'!$A:$A))-'Price History'!E3)*(ROW()-3)/(MATCH(9.99E+307,'Returns (Calc)'!$A:$A)-3),"")</f>
        <v>88.1671698113208</v>
      </c>
      <c r="AA6" s="111" t="n">
        <f aca="false">IFERROR('Price History'!F3+(INDEX('Price History'!F:F,MATCH(9.99E+307,'Price History'!$A:$A))-'Price History'!F3)*(ROW()-3)/(MATCH(9.99E+307,'Returns (Calc)'!$A:$A)-3),"")</f>
        <v>40.3815094339623</v>
      </c>
      <c r="AB6" s="111" t="n">
        <f aca="false">IFERROR('Price History'!G3+(INDEX('Price History'!G:G,MATCH(9.99E+307,'Price History'!$A:$A))-'Price History'!G3)*(ROW()-3)/(MATCH(9.99E+307,'Returns (Calc)'!$A:$A)-3),"")</f>
        <v>50.4981132075472</v>
      </c>
      <c r="AC6" s="111" t="n">
        <f aca="false">IFERROR('Price History'!H3+(INDEX('Price History'!H:H,MATCH(9.99E+307,'Price History'!$A:$A))-'Price History'!H3)*(ROW()-3)/(MATCH(9.99E+307,'Returns (Calc)'!$A:$A)-3),"")</f>
        <v>82.3364150943396</v>
      </c>
      <c r="AD6" s="111" t="n">
        <f aca="false">IFERROR('Price History'!I3+(INDEX('Price History'!I:I,MATCH(9.99E+307,'Price History'!$A:$A))-'Price History'!I3)*(ROW()-3)/(MATCH(9.99E+307,'Returns (Calc)'!$A:$A)-3),"")</f>
        <v>44.4256603773585</v>
      </c>
      <c r="AE6" s="111" t="n">
        <f aca="false">IFERROR('Price History'!J3+(INDEX('Price History'!J:J,MATCH(9.99E+307,'Price History'!$A:$A))-'Price History'!J3)*(ROW()-3)/(MATCH(9.99E+307,'Returns (Calc)'!$A:$A)-3),"")</f>
        <v>123.770943396226</v>
      </c>
      <c r="AF6" s="111" t="n">
        <f aca="false">IFERROR('Price History'!K3+(INDEX('Price History'!K:K,MATCH(9.99E+307,'Price History'!$A:$A))-'Price History'!K3)*(ROW()-3)/(MATCH(9.99E+307,'Returns (Calc)'!$A:$A)-3),"")</f>
        <v>18.4084905660377</v>
      </c>
      <c r="AG6" s="111" t="n">
        <f aca="false">IFERROR('Price History'!L3+(INDEX('Price History'!L:L,MATCH(9.99E+307,'Price History'!$A:$A))-'Price History'!L3)*(ROW()-3)/(MATCH(9.99E+307,'Returns (Calc)'!$A:$A)-3),"")</f>
        <v>98.3469811320755</v>
      </c>
      <c r="AH6" s="111" t="n">
        <f aca="false">IFERROR('Price History'!M3+(INDEX('Price History'!M:M,MATCH(9.99E+307,'Price History'!$A:$A))-'Price History'!M3)*(ROW()-3)/(MATCH(9.99E+307,'Returns (Calc)'!$A:$A)-3),"")</f>
        <v>38.1707547169811</v>
      </c>
      <c r="AI6" s="111" t="n">
        <f aca="false">IFERROR('Price History'!N3+(INDEX('Price History'!N:N,MATCH(9.99E+307,'Price History'!$A:$A))-'Price History'!N3)*(ROW()-3)/(MATCH(9.99E+307,'Returns (Calc)'!$A:$A)-3),"")</f>
        <v>353.563018867925</v>
      </c>
      <c r="AJ6" s="111" t="n">
        <f aca="false">IFERROR('Price History'!O3+(INDEX('Price History'!O:O,MATCH(9.99E+307,'Price History'!$A:$A))-'Price History'!O3)*(ROW()-3)/(MATCH(9.99E+307,'Returns (Calc)'!$A:$A)-3),"")</f>
        <v>83.6816981132076</v>
      </c>
      <c r="AK6" s="111" t="n">
        <f aca="false">IFERROR('Price History'!Q3+(INDEX('Price History'!Q:Q,MATCH(9.99E+307,'Price History'!$A:$A))-'Price History'!Q3)*(ROW()-3)/(MATCH(9.99E+307,'Returns (Calc)'!$A:$A)-3),"")</f>
        <v>50.2150943396226</v>
      </c>
      <c r="AL6" s="111" t="n">
        <f aca="false">IFERROR('Price History'!R3+(INDEX('Price History'!R:R,MATCH(9.99E+307,'Price History'!$A:$A))-'Price History'!R3)*(ROW()-3)/(MATCH(9.99E+307,'Returns (Calc)'!$A:$A)-3),"")</f>
        <v>48.047358490566</v>
      </c>
      <c r="AM6" s="111" t="n">
        <f aca="false">IFERROR('Price History'!S3+(INDEX('Price History'!S:S,MATCH(9.99E+307,'Price History'!$A:$A))-'Price History'!S3)*(ROW()-3)/(MATCH(9.99E+307,'Returns (Calc)'!$A:$A)-3),"")</f>
        <v>60.2603773584906</v>
      </c>
      <c r="AN6" s="111" t="n">
        <f aca="false">IFERROR('Price History'!T3+(INDEX('Price History'!T:T,MATCH(9.99E+307,'Price History'!$A:$A))-'Price History'!T3)*(ROW()-3)/(MATCH(9.99E+307,'Returns (Calc)'!$A:$A)-3),"")</f>
        <v>27.4454716981132</v>
      </c>
      <c r="AO6" s="112" t="n">
        <f aca="false">IFERROR('Price History'!V3+(INDEX('Price History'!V:V,MATCH(9.99E+307,'Price History'!$A:$A))-'Price History'!V3)*(ROW()-3)/(MATCH(9.99E+307,'Returns (Calc)'!$A:$A)-3),"")</f>
        <v>7.07679245283019</v>
      </c>
    </row>
    <row r="7" customFormat="false" ht="15" hidden="false" customHeight="true" outlineLevel="0" collapsed="false">
      <c r="A7" s="108" t="n">
        <f aca="false">IF('Price History'!A8="","",'Price History'!A8)</f>
        <v>45184</v>
      </c>
      <c r="B7" s="109" t="n">
        <f aca="false">IFERROR(IF(OR(NOT(ISNUMBER('Price History'!B8)),NOT(ISNUMBER('Price History'!B7)),'Price History'!B7=0),"",'Price History'!B8/'Price History'!B7-1),"")</f>
        <v>-0.0561603255050325</v>
      </c>
      <c r="C7" s="109" t="n">
        <f aca="false">IFERROR(IF(OR(NOT(ISNUMBER('Price History'!C8)),NOT(ISNUMBER('Price History'!C7)),'Price History'!C7=0),"",'Price History'!C8/'Price History'!C7-1),"")</f>
        <v>-0.0598534201954397</v>
      </c>
      <c r="D7" s="109" t="n">
        <f aca="false">IFERROR(IF(OR(NOT(ISNUMBER('Price History'!D8)),NOT(ISNUMBER('Price History'!D7)),'Price History'!D7=0),"",'Price History'!D8/'Price History'!D7-1),"")</f>
        <v>-0.0496926066320518</v>
      </c>
      <c r="E7" s="109" t="n">
        <f aca="false">IFERROR(IF(OR(NOT(ISNUMBER('Price History'!E8)),NOT(ISNUMBER('Price History'!E7)),'Price History'!E7=0),"",'Price History'!E8/'Price History'!E7-1),"")</f>
        <v>-0.00687966417910457</v>
      </c>
      <c r="F7" s="109" t="n">
        <f aca="false">IFERROR(IF(OR(NOT(ISNUMBER('Price History'!F8)),NOT(ISNUMBER('Price History'!F7)),'Price History'!F7=0),"",'Price History'!F8/'Price History'!F7-1),"")</f>
        <v>-0.0157068062827226</v>
      </c>
      <c r="G7" s="109" t="n">
        <f aca="false">IFERROR(IF(OR(NOT(ISNUMBER('Price History'!G8)),NOT(ISNUMBER('Price History'!G7)),'Price History'!G7=0),"",'Price History'!G8/'Price History'!G7-1),"")</f>
        <v>-0.087402049427366</v>
      </c>
      <c r="H7" s="109" t="n">
        <f aca="false">IFERROR(IF(OR(NOT(ISNUMBER('Price History'!H8)),NOT(ISNUMBER('Price History'!H7)),'Price History'!H7=0),"",'Price History'!H8/'Price History'!H7-1),"")</f>
        <v>-0.00427472214306091</v>
      </c>
      <c r="I7" s="109" t="n">
        <f aca="false">IFERROR(IF(OR(NOT(ISNUMBER('Price History'!I8)),NOT(ISNUMBER('Price History'!I7)),'Price History'!I7=0),"",'Price History'!I8/'Price History'!I7-1),"")</f>
        <v>-0.0366469168312487</v>
      </c>
      <c r="J7" s="109" t="n">
        <f aca="false">IFERROR(IF(OR(NOT(ISNUMBER('Price History'!J8)),NOT(ISNUMBER('Price History'!J7)),'Price History'!J7=0),"",'Price History'!J8/'Price History'!J7-1),"")</f>
        <v>0.0057152188112346</v>
      </c>
      <c r="K7" s="109" t="n">
        <f aca="false">IFERROR(IF(OR(NOT(ISNUMBER('Price History'!K8)),NOT(ISNUMBER('Price History'!K7)),'Price History'!K7=0),"",'Price History'!K8/'Price History'!K7-1),"")</f>
        <v>0.0132187706543292</v>
      </c>
      <c r="L7" s="109" t="n">
        <f aca="false">IFERROR(IF(OR(NOT(ISNUMBER('Price History'!L8)),NOT(ISNUMBER('Price History'!L7)),'Price History'!L7=0),"",'Price History'!L8/'Price History'!L7-1),"")</f>
        <v>-0.00435073627844718</v>
      </c>
      <c r="M7" s="109" t="n">
        <f aca="false">IFERROR(IF(OR(NOT(ISNUMBER('Price History'!M8)),NOT(ISNUMBER('Price History'!M7)),'Price History'!M7=0),"",'Price History'!M8/'Price History'!M7-1),"")</f>
        <v>-0.0262755102040817</v>
      </c>
      <c r="N7" s="109" t="n">
        <f aca="false">IFERROR(IF(OR(NOT(ISNUMBER('Price History'!N8)),NOT(ISNUMBER('Price History'!N7)),'Price History'!N7=0),"",'Price History'!N8/'Price History'!N7-1),"")</f>
        <v>0.0170529077393964</v>
      </c>
      <c r="O7" s="109" t="n">
        <f aca="false">IFERROR(IF(OR(NOT(ISNUMBER('Price History'!O8)),NOT(ISNUMBER('Price History'!O7)),'Price History'!O7=0),"",'Price History'!O8/'Price History'!O7-1),"")</f>
        <v>-0.00188655515029568</v>
      </c>
      <c r="P7" s="109" t="str">
        <f aca="false">IFERROR(IF(OR(NOT(ISNUMBER('Price History'!P8)),NOT(ISNUMBER('Price History'!P7)),'Price History'!P7=0),"",'Price History'!P8/'Price History'!P7-1),"")</f>
        <v/>
      </c>
      <c r="Q7" s="109" t="n">
        <f aca="false">IFERROR(IF(OR(NOT(ISNUMBER('Price History'!Q8)),NOT(ISNUMBER('Price History'!Q7)),'Price History'!Q7=0),"",'Price History'!Q8/'Price History'!Q7-1),"")</f>
        <v>0.0402051282051281</v>
      </c>
      <c r="R7" s="109" t="n">
        <f aca="false">IFERROR(IF(OR(NOT(ISNUMBER('Price History'!R8)),NOT(ISNUMBER('Price History'!R7)),'Price History'!R7=0),"",'Price History'!R8/'Price History'!R7-1),"")</f>
        <v>-0.000414679659962558</v>
      </c>
      <c r="S7" s="109" t="n">
        <f aca="false">IFERROR(IF(OR(NOT(ISNUMBER('Price History'!S8)),NOT(ISNUMBER('Price History'!S7)),'Price History'!S7=0),"",'Price History'!S8/'Price History'!S7-1),"")</f>
        <v>0</v>
      </c>
      <c r="T7" s="109" t="n">
        <f aca="false">IFERROR(IF(OR(NOT(ISNUMBER('Price History'!T8)),NOT(ISNUMBER('Price History'!T7)),'Price History'!T7=0),"",'Price History'!T8/'Price History'!T7-1),"")</f>
        <v>-0.0064223649414431</v>
      </c>
      <c r="U7" s="109" t="str">
        <f aca="false">IFERROR(IF(OR(NOT(ISNUMBER('Price History'!U8)),NOT(ISNUMBER('Price History'!U7)),'Price History'!U7=0),"",'Price History'!U8/'Price History'!U7-1),"")</f>
        <v/>
      </c>
      <c r="V7" s="110" t="n">
        <f aca="false">IFERROR(IF(OR(NOT(ISNUMBER('Price History'!V8)),NOT(ISNUMBER('Price History'!V7)),'Price History'!V7=0),"",'Price History'!V8/'Price History'!V7-1),"")</f>
        <v>-0.025154110297464</v>
      </c>
      <c r="W7" s="111" t="n">
        <f aca="false">IFERROR('Price History'!B3+(INDEX('Price History'!B:B,MATCH(9.99E+307,'Price History'!$A:$A))-'Price History'!B3)*(ROW()-3)/(MATCH(9.99E+307,'Returns (Calc)'!$A:$A)-3),"")</f>
        <v>502.363459119497</v>
      </c>
      <c r="X7" s="111" t="n">
        <f aca="false">IFERROR('Price History'!C3+(INDEX('Price History'!C:C,MATCH(9.99E+307,'Price History'!$A:$A))-'Price History'!C3)*(ROW()-3)/(MATCH(9.99E+307,'Returns (Calc)'!$A:$A)-3),"")</f>
        <v>47.5145911949686</v>
      </c>
      <c r="Y7" s="111" t="n">
        <f aca="false">IFERROR('Price History'!D3+(INDEX('Price History'!D:D,MATCH(9.99E+307,'Price History'!$A:$A))-'Price History'!D3)*(ROW()-3)/(MATCH(9.99E+307,'Returns (Calc)'!$A:$A)-3),"")</f>
        <v>688.273081761006</v>
      </c>
      <c r="Z7" s="111" t="n">
        <f aca="false">IFERROR('Price History'!E3+(INDEX('Price History'!E:E,MATCH(9.99E+307,'Price History'!$A:$A))-'Price History'!E3)*(ROW()-3)/(MATCH(9.99E+307,'Returns (Calc)'!$A:$A)-3),"")</f>
        <v>89.8962264150944</v>
      </c>
      <c r="AA7" s="111" t="n">
        <f aca="false">IFERROR('Price History'!F3+(INDEX('Price History'!F:F,MATCH(9.99E+307,'Price History'!$A:$A))-'Price History'!F3)*(ROW()-3)/(MATCH(9.99E+307,'Returns (Calc)'!$A:$A)-3),"")</f>
        <v>41.488679245283</v>
      </c>
      <c r="AB7" s="111" t="n">
        <f aca="false">IFERROR('Price History'!G3+(INDEX('Price History'!G:G,MATCH(9.99E+307,'Price History'!$A:$A))-'Price History'!G3)*(ROW()-3)/(MATCH(9.99E+307,'Returns (Calc)'!$A:$A)-3),"")</f>
        <v>51.3641509433962</v>
      </c>
      <c r="AC7" s="111" t="n">
        <f aca="false">IFERROR('Price History'!H3+(INDEX('Price History'!H:H,MATCH(9.99E+307,'Price History'!$A:$A))-'Price History'!H3)*(ROW()-3)/(MATCH(9.99E+307,'Returns (Calc)'!$A:$A)-3),"")</f>
        <v>88.3252201257862</v>
      </c>
      <c r="AD7" s="111" t="n">
        <f aca="false">IFERROR('Price History'!I3+(INDEX('Price History'!I:I,MATCH(9.99E+307,'Price History'!$A:$A))-'Price History'!I3)*(ROW()-3)/(MATCH(9.99E+307,'Returns (Calc)'!$A:$A)-3),"")</f>
        <v>45.6175471698113</v>
      </c>
      <c r="AE7" s="111" t="n">
        <f aca="false">IFERROR('Price History'!J3+(INDEX('Price History'!J:J,MATCH(9.99E+307,'Price History'!$A:$A))-'Price History'!J3)*(ROW()-3)/(MATCH(9.99E+307,'Returns (Calc)'!$A:$A)-3),"")</f>
        <v>123.857924528302</v>
      </c>
      <c r="AF7" s="111" t="n">
        <f aca="false">IFERROR('Price History'!K3+(INDEX('Price History'!K:K,MATCH(9.99E+307,'Price History'!$A:$A))-'Price History'!K3)*(ROW()-3)/(MATCH(9.99E+307,'Returns (Calc)'!$A:$A)-3),"")</f>
        <v>19.4079874213837</v>
      </c>
      <c r="AG7" s="111" t="n">
        <f aca="false">IFERROR('Price History'!L3+(INDEX('Price History'!L:L,MATCH(9.99E+307,'Price History'!$A:$A))-'Price History'!L3)*(ROW()-3)/(MATCH(9.99E+307,'Returns (Calc)'!$A:$A)-3),"")</f>
        <v>100.465974842767</v>
      </c>
      <c r="AH7" s="111" t="n">
        <f aca="false">IFERROR('Price History'!M3+(INDEX('Price History'!M:M,MATCH(9.99E+307,'Price History'!$A:$A))-'Price History'!M3)*(ROW()-3)/(MATCH(9.99E+307,'Returns (Calc)'!$A:$A)-3),"")</f>
        <v>39.7243396226415</v>
      </c>
      <c r="AI7" s="111" t="n">
        <f aca="false">IFERROR('Price History'!N3+(INDEX('Price History'!N:N,MATCH(9.99E+307,'Price History'!$A:$A))-'Price History'!N3)*(ROW()-3)/(MATCH(9.99E+307,'Returns (Calc)'!$A:$A)-3),"")</f>
        <v>354.797358490566</v>
      </c>
      <c r="AJ7" s="111" t="n">
        <f aca="false">IFERROR('Price History'!O3+(INDEX('Price History'!O:O,MATCH(9.99E+307,'Price History'!$A:$A))-'Price History'!O3)*(ROW()-3)/(MATCH(9.99E+307,'Returns (Calc)'!$A:$A)-3),"")</f>
        <v>83.9589308176101</v>
      </c>
      <c r="AK7" s="111" t="n">
        <f aca="false">IFERROR('Price History'!Q3+(INDEX('Price History'!Q:Q,MATCH(9.99E+307,'Price History'!$A:$A))-'Price History'!Q3)*(ROW()-3)/(MATCH(9.99E+307,'Returns (Calc)'!$A:$A)-3),"")</f>
        <v>50.3401257861635</v>
      </c>
      <c r="AL7" s="111" t="n">
        <f aca="false">IFERROR('Price History'!R3+(INDEX('Price History'!R:R,MATCH(9.99E+307,'Price History'!$A:$A))-'Price History'!R3)*(ROW()-3)/(MATCH(9.99E+307,'Returns (Calc)'!$A:$A)-3),"")</f>
        <v>48.1231446540881</v>
      </c>
      <c r="AM7" s="111" t="n">
        <f aca="false">IFERROR('Price History'!S3+(INDEX('Price History'!S:S,MATCH(9.99E+307,'Price History'!$A:$A))-'Price History'!S3)*(ROW()-3)/(MATCH(9.99E+307,'Returns (Calc)'!$A:$A)-3),"")</f>
        <v>60.8338364779874</v>
      </c>
      <c r="AN7" s="111" t="n">
        <f aca="false">IFERROR('Price History'!T3+(INDEX('Price History'!T:T,MATCH(9.99E+307,'Price History'!$A:$A))-'Price History'!T3)*(ROW()-3)/(MATCH(9.99E+307,'Returns (Calc)'!$A:$A)-3),"")</f>
        <v>27.6239622641509</v>
      </c>
      <c r="AO7" s="112" t="n">
        <f aca="false">IFERROR('Price History'!V3+(INDEX('Price History'!V:V,MATCH(9.99E+307,'Price History'!$A:$A))-'Price History'!V3)*(ROW()-3)/(MATCH(9.99E+307,'Returns (Calc)'!$A:$A)-3),"")</f>
        <v>9.43572327044025</v>
      </c>
    </row>
    <row r="8" customFormat="false" ht="15" hidden="false" customHeight="true" outlineLevel="0" collapsed="false">
      <c r="A8" s="108" t="n">
        <f aca="false">IF('Price History'!A9="","",'Price History'!A9)</f>
        <v>45191</v>
      </c>
      <c r="B8" s="109" t="n">
        <f aca="false">IFERROR(IF(OR(NOT(ISNUMBER('Price History'!B9)),NOT(ISNUMBER('Price History'!B8)),'Price History'!B8=0),"",'Price History'!B9/'Price History'!B8-1),"")</f>
        <v>-0.0302331297623325</v>
      </c>
      <c r="C8" s="109" t="n">
        <f aca="false">IFERROR(IF(OR(NOT(ISNUMBER('Price History'!C9)),NOT(ISNUMBER('Price History'!C8)),'Price History'!C8=0),"",'Price History'!C9/'Price History'!C8-1),"")</f>
        <v>-0.023603291468168</v>
      </c>
      <c r="D8" s="109" t="n">
        <f aca="false">IFERROR(IF(OR(NOT(ISNUMBER('Price History'!D9)),NOT(ISNUMBER('Price History'!D8)),'Price History'!D8=0),"",'Price History'!D9/'Price History'!D8-1),"")</f>
        <v>-0.0160225253913451</v>
      </c>
      <c r="E8" s="109" t="n">
        <f aca="false">IFERROR(IF(OR(NOT(ISNUMBER('Price History'!E9)),NOT(ISNUMBER('Price History'!E8)),'Price History'!E8=0),"",'Price History'!E9/'Price History'!E8-1),"")</f>
        <v>-0.0265351649641893</v>
      </c>
      <c r="F8" s="109" t="n">
        <f aca="false">IFERROR(IF(OR(NOT(ISNUMBER('Price History'!F9)),NOT(ISNUMBER('Price History'!F8)),'Price History'!F8=0),"",'Price History'!F9/'Price History'!F8-1),"")</f>
        <v>-0.0174081237911025</v>
      </c>
      <c r="G8" s="109" t="n">
        <f aca="false">IFERROR(IF(OR(NOT(ISNUMBER('Price History'!G9)),NOT(ISNUMBER('Price History'!G8)),'Price History'!G8=0),"",'Price History'!G9/'Price History'!G8-1),"")</f>
        <v>-0.00528401585204763</v>
      </c>
      <c r="H8" s="109" t="n">
        <f aca="false">IFERROR(IF(OR(NOT(ISNUMBER('Price History'!H9)),NOT(ISNUMBER('Price History'!H8)),'Price History'!H8=0),"",'Price History'!H9/'Price History'!H8-1),"")</f>
        <v>-0.0143102461362336</v>
      </c>
      <c r="I8" s="109" t="n">
        <f aca="false">IFERROR(IF(OR(NOT(ISNUMBER('Price History'!I9)),NOT(ISNUMBER('Price History'!I8)),'Price History'!I8=0),"",'Price History'!I9/'Price History'!I8-1),"")</f>
        <v>-0.0521640091116173</v>
      </c>
      <c r="J8" s="109" t="n">
        <f aca="false">IFERROR(IF(OR(NOT(ISNUMBER('Price History'!J9)),NOT(ISNUMBER('Price History'!J8)),'Price History'!J8=0),"",'Price History'!J9/'Price History'!J8-1),"")</f>
        <v>-0.0739568111706447</v>
      </c>
      <c r="K8" s="109" t="n">
        <f aca="false">IFERROR(IF(OR(NOT(ISNUMBER('Price History'!K9)),NOT(ISNUMBER('Price History'!K8)),'Price History'!K8=0),"",'Price History'!K9/'Price History'!K8-1),"")</f>
        <v>-0.0782778864970646</v>
      </c>
      <c r="L8" s="109" t="n">
        <f aca="false">IFERROR(IF(OR(NOT(ISNUMBER('Price History'!L9)),NOT(ISNUMBER('Price History'!L8)),'Price History'!L8=0),"",'Price History'!L9/'Price History'!L8-1),"")</f>
        <v>-0.0404481792717086</v>
      </c>
      <c r="M8" s="109" t="n">
        <f aca="false">IFERROR(IF(OR(NOT(ISNUMBER('Price History'!M9)),NOT(ISNUMBER('Price History'!M8)),'Price History'!M8=0),"",'Price History'!M9/'Price History'!M8-1),"")</f>
        <v>-0.0450615666753995</v>
      </c>
      <c r="N8" s="109" t="n">
        <f aca="false">IFERROR(IF(OR(NOT(ISNUMBER('Price History'!N9)),NOT(ISNUMBER('Price History'!N8)),'Price History'!N8=0),"",'Price History'!N9/'Price History'!N8-1),"")</f>
        <v>0.00180567497850381</v>
      </c>
      <c r="O8" s="109" t="n">
        <f aca="false">IFERROR(IF(OR(NOT(ISNUMBER('Price History'!O9)),NOT(ISNUMBER('Price History'!O8)),'Price History'!O8=0),"",'Price History'!O9/'Price History'!O8-1),"")</f>
        <v>-0.0336441532258065</v>
      </c>
      <c r="P8" s="109" t="str">
        <f aca="false">IFERROR(IF(OR(NOT(ISNUMBER('Price History'!P9)),NOT(ISNUMBER('Price History'!P8)),'Price History'!P8=0),"",'Price History'!P9/'Price History'!P8-1),"")</f>
        <v/>
      </c>
      <c r="Q8" s="109" t="n">
        <f aca="false">IFERROR(IF(OR(NOT(ISNUMBER('Price History'!Q9)),NOT(ISNUMBER('Price History'!Q8)),'Price History'!Q8=0),"",'Price History'!Q9/'Price History'!Q8-1),"")</f>
        <v>0.0100571879313744</v>
      </c>
      <c r="R8" s="109" t="n">
        <f aca="false">IFERROR(IF(OR(NOT(ISNUMBER('Price History'!R9)),NOT(ISNUMBER('Price History'!R8)),'Price History'!R8=0),"",'Price History'!R9/'Price History'!R8-1),"")</f>
        <v>-0.0269653598838416</v>
      </c>
      <c r="S8" s="109" t="n">
        <f aca="false">IFERROR(IF(OR(NOT(ISNUMBER('Price History'!S9)),NOT(ISNUMBER('Price History'!S8)),'Price History'!S8=0),"",'Price History'!S9/'Price History'!S8-1),"")</f>
        <v>-0.0288997802940679</v>
      </c>
      <c r="T8" s="109" t="n">
        <f aca="false">IFERROR(IF(OR(NOT(ISNUMBER('Price History'!T9)),NOT(ISNUMBER('Price History'!T8)),'Price History'!T8=0),"",'Price History'!T9/'Price History'!T8-1),"")</f>
        <v>-0.0148288973384031</v>
      </c>
      <c r="U8" s="109" t="str">
        <f aca="false">IFERROR(IF(OR(NOT(ISNUMBER('Price History'!U9)),NOT(ISNUMBER('Price History'!U8)),'Price History'!U8=0),"",'Price History'!U9/'Price History'!U8-1),"")</f>
        <v/>
      </c>
      <c r="V8" s="110" t="n">
        <f aca="false">IFERROR(IF(OR(NOT(ISNUMBER('Price History'!V9)),NOT(ISNUMBER('Price History'!V8)),'Price History'!V8=0),"",'Price History'!V9/'Price History'!V8-1),"")</f>
        <v>-0.0248270593727454</v>
      </c>
      <c r="W8" s="111" t="n">
        <f aca="false">IFERROR('Price History'!B3+(INDEX('Price History'!B:B,MATCH(9.99E+307,'Price History'!$A:$A))-'Price History'!B3)*(ROW()-3)/(MATCH(9.99E+307,'Returns (Calc)'!$A:$A)-3),"")</f>
        <v>500.841823899371</v>
      </c>
      <c r="X8" s="111" t="n">
        <f aca="false">IFERROR('Price History'!C3+(INDEX('Price History'!C:C,MATCH(9.99E+307,'Price History'!$A:$A))-'Price History'!C3)*(ROW()-3)/(MATCH(9.99E+307,'Returns (Calc)'!$A:$A)-3),"")</f>
        <v>48.4582389937107</v>
      </c>
      <c r="Y8" s="111" t="n">
        <f aca="false">IFERROR('Price History'!D3+(INDEX('Price History'!D:D,MATCH(9.99E+307,'Price History'!$A:$A))-'Price History'!D3)*(ROW()-3)/(MATCH(9.99E+307,'Returns (Calc)'!$A:$A)-3),"")</f>
        <v>694.896352201258</v>
      </c>
      <c r="Z8" s="111" t="n">
        <f aca="false">IFERROR('Price History'!E3+(INDEX('Price History'!E:E,MATCH(9.99E+307,'Price History'!$A:$A))-'Price History'!E3)*(ROW()-3)/(MATCH(9.99E+307,'Returns (Calc)'!$A:$A)-3),"")</f>
        <v>91.6252830188679</v>
      </c>
      <c r="AA8" s="111" t="n">
        <f aca="false">IFERROR('Price History'!F3+(INDEX('Price History'!F:F,MATCH(9.99E+307,'Price History'!$A:$A))-'Price History'!F3)*(ROW()-3)/(MATCH(9.99E+307,'Returns (Calc)'!$A:$A)-3),"")</f>
        <v>42.5958490566038</v>
      </c>
      <c r="AB8" s="111" t="n">
        <f aca="false">IFERROR('Price History'!G3+(INDEX('Price History'!G:G,MATCH(9.99E+307,'Price History'!$A:$A))-'Price History'!G3)*(ROW()-3)/(MATCH(9.99E+307,'Returns (Calc)'!$A:$A)-3),"")</f>
        <v>52.2301886792453</v>
      </c>
      <c r="AC8" s="111" t="n">
        <f aca="false">IFERROR('Price History'!H3+(INDEX('Price History'!H:H,MATCH(9.99E+307,'Price History'!$A:$A))-'Price History'!H3)*(ROW()-3)/(MATCH(9.99E+307,'Returns (Calc)'!$A:$A)-3),"")</f>
        <v>94.3140251572327</v>
      </c>
      <c r="AD8" s="111" t="n">
        <f aca="false">IFERROR('Price History'!I3+(INDEX('Price History'!I:I,MATCH(9.99E+307,'Price History'!$A:$A))-'Price History'!I3)*(ROW()-3)/(MATCH(9.99E+307,'Returns (Calc)'!$A:$A)-3),"")</f>
        <v>46.8094339622642</v>
      </c>
      <c r="AE8" s="111" t="n">
        <f aca="false">IFERROR('Price History'!J3+(INDEX('Price History'!J:J,MATCH(9.99E+307,'Price History'!$A:$A))-'Price History'!J3)*(ROW()-3)/(MATCH(9.99E+307,'Returns (Calc)'!$A:$A)-3),"")</f>
        <v>123.944905660377</v>
      </c>
      <c r="AF8" s="111" t="n">
        <f aca="false">IFERROR('Price History'!K3+(INDEX('Price History'!K:K,MATCH(9.99E+307,'Price History'!$A:$A))-'Price History'!K3)*(ROW()-3)/(MATCH(9.99E+307,'Returns (Calc)'!$A:$A)-3),"")</f>
        <v>20.4074842767296</v>
      </c>
      <c r="AG8" s="111" t="n">
        <f aca="false">IFERROR('Price History'!L3+(INDEX('Price History'!L:L,MATCH(9.99E+307,'Price History'!$A:$A))-'Price History'!L3)*(ROW()-3)/(MATCH(9.99E+307,'Returns (Calc)'!$A:$A)-3),"")</f>
        <v>102.584968553459</v>
      </c>
      <c r="AH8" s="111" t="n">
        <f aca="false">IFERROR('Price History'!M3+(INDEX('Price History'!M:M,MATCH(9.99E+307,'Price History'!$A:$A))-'Price History'!M3)*(ROW()-3)/(MATCH(9.99E+307,'Returns (Calc)'!$A:$A)-3),"")</f>
        <v>41.2779245283019</v>
      </c>
      <c r="AI8" s="111" t="n">
        <f aca="false">IFERROR('Price History'!N3+(INDEX('Price History'!N:N,MATCH(9.99E+307,'Price History'!$A:$A))-'Price History'!N3)*(ROW()-3)/(MATCH(9.99E+307,'Returns (Calc)'!$A:$A)-3),"")</f>
        <v>356.031698113208</v>
      </c>
      <c r="AJ8" s="111" t="n">
        <f aca="false">IFERROR('Price History'!O3+(INDEX('Price History'!O:O,MATCH(9.99E+307,'Price History'!$A:$A))-'Price History'!O3)*(ROW()-3)/(MATCH(9.99E+307,'Returns (Calc)'!$A:$A)-3),"")</f>
        <v>84.2361635220126</v>
      </c>
      <c r="AK8" s="111" t="n">
        <f aca="false">IFERROR('Price History'!Q3+(INDEX('Price History'!Q:Q,MATCH(9.99E+307,'Price History'!$A:$A))-'Price History'!Q3)*(ROW()-3)/(MATCH(9.99E+307,'Returns (Calc)'!$A:$A)-3),"")</f>
        <v>50.4651572327044</v>
      </c>
      <c r="AL8" s="111" t="n">
        <f aca="false">IFERROR('Price History'!R3+(INDEX('Price History'!R:R,MATCH(9.99E+307,'Price History'!$A:$A))-'Price History'!R3)*(ROW()-3)/(MATCH(9.99E+307,'Returns (Calc)'!$A:$A)-3),"")</f>
        <v>48.1989308176101</v>
      </c>
      <c r="AM8" s="111" t="n">
        <f aca="false">IFERROR('Price History'!S3+(INDEX('Price History'!S:S,MATCH(9.99E+307,'Price History'!$A:$A))-'Price History'!S3)*(ROW()-3)/(MATCH(9.99E+307,'Returns (Calc)'!$A:$A)-3),"")</f>
        <v>61.4072955974843</v>
      </c>
      <c r="AN8" s="111" t="n">
        <f aca="false">IFERROR('Price History'!T3+(INDEX('Price History'!T:T,MATCH(9.99E+307,'Price History'!$A:$A))-'Price History'!T3)*(ROW()-3)/(MATCH(9.99E+307,'Returns (Calc)'!$A:$A)-3),"")</f>
        <v>27.8024528301887</v>
      </c>
      <c r="AO8" s="112" t="n">
        <f aca="false">IFERROR('Price History'!V3+(INDEX('Price History'!V:V,MATCH(9.99E+307,'Price History'!$A:$A))-'Price History'!V3)*(ROW()-3)/(MATCH(9.99E+307,'Returns (Calc)'!$A:$A)-3),"")</f>
        <v>11.7946540880503</v>
      </c>
    </row>
    <row r="9" customFormat="false" ht="15" hidden="false" customHeight="true" outlineLevel="0" collapsed="false">
      <c r="A9" s="108" t="n">
        <f aca="false">IF('Price History'!A10="","",'Price History'!A10)</f>
        <v>45198</v>
      </c>
      <c r="B9" s="109" t="n">
        <f aca="false">IFERROR(IF(OR(NOT(ISNUMBER('Price History'!B10)),NOT(ISNUMBER('Price History'!B9)),'Price History'!B9=0),"",'Price History'!B10/'Price History'!B9-1),"")</f>
        <v>-0.00584909339052442</v>
      </c>
      <c r="C9" s="109" t="n">
        <f aca="false">IFERROR(IF(OR(NOT(ISNUMBER('Price History'!C10)),NOT(ISNUMBER('Price History'!C9)),'Price History'!C9=0),"",'Price History'!C10/'Price History'!C9-1),"")</f>
        <v>0.0197383011754269</v>
      </c>
      <c r="D9" s="109" t="n">
        <f aca="false">IFERROR(IF(OR(NOT(ISNUMBER('Price History'!D10)),NOT(ISNUMBER('Price History'!D9)),'Price History'!D9=0),"",'Price History'!D10/'Price History'!D9-1),"")</f>
        <v>0.00265712825753695</v>
      </c>
      <c r="E9" s="109" t="n">
        <f aca="false">IFERROR(IF(OR(NOT(ISNUMBER('Price History'!E10)),NOT(ISNUMBER('Price History'!E9)),'Price History'!E9=0),"",'Price History'!E10/'Price History'!E9-1),"")</f>
        <v>0.00180919068869856</v>
      </c>
      <c r="F9" s="109" t="n">
        <f aca="false">IFERROR(IF(OR(NOT(ISNUMBER('Price History'!F10)),NOT(ISNUMBER('Price History'!F9)),'Price History'!F9=0),"",'Price History'!F10/'Price History'!F9-1),"")</f>
        <v>0.0297736220472442</v>
      </c>
      <c r="G9" s="109" t="n">
        <f aca="false">IFERROR(IF(OR(NOT(ISNUMBER('Price History'!G10)),NOT(ISNUMBER('Price History'!G9)),'Price History'!G9=0),"",'Price History'!G10/'Price History'!G9-1),"")</f>
        <v>0.0152722443559097</v>
      </c>
      <c r="H9" s="109" t="n">
        <f aca="false">IFERROR(IF(OR(NOT(ISNUMBER('Price History'!H10)),NOT(ISNUMBER('Price History'!H9)),'Price History'!H9=0),"",'Price History'!H10/'Price History'!H9-1),"")</f>
        <v>-0.0123403019744482</v>
      </c>
      <c r="I9" s="109" t="n">
        <f aca="false">IFERROR(IF(OR(NOT(ISNUMBER('Price History'!I10)),NOT(ISNUMBER('Price History'!I9)),'Price History'!I9=0),"",'Price History'!I10/'Price History'!I9-1),"")</f>
        <v>0.0454217736121125</v>
      </c>
      <c r="J9" s="109" t="n">
        <f aca="false">IFERROR(IF(OR(NOT(ISNUMBER('Price History'!J10)),NOT(ISNUMBER('Price History'!J9)),'Price History'!J9=0),"",'Price History'!J10/'Price History'!J9-1),"")</f>
        <v>-0.0163057771543789</v>
      </c>
      <c r="K9" s="109" t="n">
        <f aca="false">IFERROR(IF(OR(NOT(ISNUMBER('Price History'!K10)),NOT(ISNUMBER('Price History'!K9)),'Price History'!K9=0),"",'Price History'!K10/'Price History'!K9-1),"")</f>
        <v>0.132342533616419</v>
      </c>
      <c r="L9" s="109" t="n">
        <f aca="false">IFERROR(IF(OR(NOT(ISNUMBER('Price History'!L10)),NOT(ISNUMBER('Price History'!L9)),'Price History'!L9=0),"",'Price History'!L10/'Price History'!L9-1),"")</f>
        <v>0.0147127510509109</v>
      </c>
      <c r="M9" s="109" t="n">
        <f aca="false">IFERROR(IF(OR(NOT(ISNUMBER('Price History'!M10)),NOT(ISNUMBER('Price History'!M9)),'Price History'!M9=0),"",'Price History'!M10/'Price History'!M9-1),"")</f>
        <v>0.0205761316872428</v>
      </c>
      <c r="N9" s="109" t="n">
        <f aca="false">IFERROR(IF(OR(NOT(ISNUMBER('Price History'!N10)),NOT(ISNUMBER('Price History'!N9)),'Price History'!N9=0),"",'Price History'!N10/'Price History'!N9-1),"")</f>
        <v>-0.00512116270420271</v>
      </c>
      <c r="O9" s="109" t="n">
        <f aca="false">IFERROR(IF(OR(NOT(ISNUMBER('Price History'!O10)),NOT(ISNUMBER('Price History'!O9)),'Price History'!O9=0),"",'Price History'!O10/'Price History'!O9-1),"")</f>
        <v>0.0164297822401878</v>
      </c>
      <c r="P9" s="109" t="str">
        <f aca="false">IFERROR(IF(OR(NOT(ISNUMBER('Price History'!P10)),NOT(ISNUMBER('Price History'!P9)),'Price History'!P9=0),"",'Price History'!P10/'Price History'!P9-1),"")</f>
        <v/>
      </c>
      <c r="Q9" s="109" t="n">
        <f aca="false">IFERROR(IF(OR(NOT(ISNUMBER('Price History'!Q10)),NOT(ISNUMBER('Price History'!Q9)),'Price History'!Q9=0),"",'Price History'!Q10/'Price History'!Q9-1),"")</f>
        <v>0.0130808278016401</v>
      </c>
      <c r="R9" s="109" t="n">
        <f aca="false">IFERROR(IF(OR(NOT(ISNUMBER('Price History'!R10)),NOT(ISNUMBER('Price History'!R9)),'Price History'!R9=0),"",'Price History'!R10/'Price History'!R9-1),"")</f>
        <v>0.000426348326582948</v>
      </c>
      <c r="S9" s="109" t="n">
        <f aca="false">IFERROR(IF(OR(NOT(ISNUMBER('Price History'!S10)),NOT(ISNUMBER('Price History'!S9)),'Price History'!S9=0),"",'Price History'!S10/'Price History'!S9-1),"")</f>
        <v>-0.00313261399234255</v>
      </c>
      <c r="T9" s="109" t="n">
        <f aca="false">IFERROR(IF(OR(NOT(ISNUMBER('Price History'!T10)),NOT(ISNUMBER('Price History'!T9)),'Price History'!T9=0),"",'Price History'!T10/'Price History'!T9-1),"")</f>
        <v>0.00270165959089153</v>
      </c>
      <c r="U9" s="109" t="str">
        <f aca="false">IFERROR(IF(OR(NOT(ISNUMBER('Price History'!U10)),NOT(ISNUMBER('Price History'!U9)),'Price History'!U9=0),"",'Price History'!U10/'Price History'!U9-1),"")</f>
        <v/>
      </c>
      <c r="V9" s="110" t="n">
        <f aca="false">IFERROR(IF(OR(NOT(ISNUMBER('Price History'!V10)),NOT(ISNUMBER('Price History'!V9)),'Price History'!V9=0),"",'Price History'!V10/'Price History'!V9-1),"")</f>
        <v>-0.0215858647401863</v>
      </c>
      <c r="W9" s="111" t="n">
        <f aca="false">IFERROR('Price History'!B3+(INDEX('Price History'!B:B,MATCH(9.99E+307,'Price History'!$A:$A))-'Price History'!B3)*(ROW()-3)/(MATCH(9.99E+307,'Returns (Calc)'!$A:$A)-3),"")</f>
        <v>499.320188679245</v>
      </c>
      <c r="X9" s="111" t="n">
        <f aca="false">IFERROR('Price History'!C3+(INDEX('Price History'!C:C,MATCH(9.99E+307,'Price History'!$A:$A))-'Price History'!C3)*(ROW()-3)/(MATCH(9.99E+307,'Returns (Calc)'!$A:$A)-3),"")</f>
        <v>49.4018867924528</v>
      </c>
      <c r="Y9" s="111" t="n">
        <f aca="false">IFERROR('Price History'!D3+(INDEX('Price History'!D:D,MATCH(9.99E+307,'Price History'!$A:$A))-'Price History'!D3)*(ROW()-3)/(MATCH(9.99E+307,'Returns (Calc)'!$A:$A)-3),"")</f>
        <v>701.519622641509</v>
      </c>
      <c r="Z9" s="111" t="n">
        <f aca="false">IFERROR('Price History'!E3+(INDEX('Price History'!E:E,MATCH(9.99E+307,'Price History'!$A:$A))-'Price History'!E3)*(ROW()-3)/(MATCH(9.99E+307,'Returns (Calc)'!$A:$A)-3),"")</f>
        <v>93.3543396226415</v>
      </c>
      <c r="AA9" s="111" t="n">
        <f aca="false">IFERROR('Price History'!F3+(INDEX('Price History'!F:F,MATCH(9.99E+307,'Price History'!$A:$A))-'Price History'!F3)*(ROW()-3)/(MATCH(9.99E+307,'Returns (Calc)'!$A:$A)-3),"")</f>
        <v>43.7030188679245</v>
      </c>
      <c r="AB9" s="111" t="n">
        <f aca="false">IFERROR('Price History'!G3+(INDEX('Price History'!G:G,MATCH(9.99E+307,'Price History'!$A:$A))-'Price History'!G3)*(ROW()-3)/(MATCH(9.99E+307,'Returns (Calc)'!$A:$A)-3),"")</f>
        <v>53.0962264150943</v>
      </c>
      <c r="AC9" s="111" t="n">
        <f aca="false">IFERROR('Price History'!H3+(INDEX('Price History'!H:H,MATCH(9.99E+307,'Price History'!$A:$A))-'Price History'!H3)*(ROW()-3)/(MATCH(9.99E+307,'Returns (Calc)'!$A:$A)-3),"")</f>
        <v>100.302830188679</v>
      </c>
      <c r="AD9" s="111" t="n">
        <f aca="false">IFERROR('Price History'!I3+(INDEX('Price History'!I:I,MATCH(9.99E+307,'Price History'!$A:$A))-'Price History'!I3)*(ROW()-3)/(MATCH(9.99E+307,'Returns (Calc)'!$A:$A)-3),"")</f>
        <v>48.001320754717</v>
      </c>
      <c r="AE9" s="111" t="n">
        <f aca="false">IFERROR('Price History'!J3+(INDEX('Price History'!J:J,MATCH(9.99E+307,'Price History'!$A:$A))-'Price History'!J3)*(ROW()-3)/(MATCH(9.99E+307,'Returns (Calc)'!$A:$A)-3),"")</f>
        <v>124.031886792453</v>
      </c>
      <c r="AF9" s="111" t="n">
        <f aca="false">IFERROR('Price History'!K3+(INDEX('Price History'!K:K,MATCH(9.99E+307,'Price History'!$A:$A))-'Price History'!K3)*(ROW()-3)/(MATCH(9.99E+307,'Returns (Calc)'!$A:$A)-3),"")</f>
        <v>21.4069811320755</v>
      </c>
      <c r="AG9" s="111" t="n">
        <f aca="false">IFERROR('Price History'!L3+(INDEX('Price History'!L:L,MATCH(9.99E+307,'Price History'!$A:$A))-'Price History'!L3)*(ROW()-3)/(MATCH(9.99E+307,'Returns (Calc)'!$A:$A)-3),"")</f>
        <v>104.703962264151</v>
      </c>
      <c r="AH9" s="111" t="n">
        <f aca="false">IFERROR('Price History'!M3+(INDEX('Price History'!M:M,MATCH(9.99E+307,'Price History'!$A:$A))-'Price History'!M3)*(ROW()-3)/(MATCH(9.99E+307,'Returns (Calc)'!$A:$A)-3),"")</f>
        <v>42.8315094339623</v>
      </c>
      <c r="AI9" s="111" t="n">
        <f aca="false">IFERROR('Price History'!N3+(INDEX('Price History'!N:N,MATCH(9.99E+307,'Price History'!$A:$A))-'Price History'!N3)*(ROW()-3)/(MATCH(9.99E+307,'Returns (Calc)'!$A:$A)-3),"")</f>
        <v>357.266037735849</v>
      </c>
      <c r="AJ9" s="111" t="n">
        <f aca="false">IFERROR('Price History'!O3+(INDEX('Price History'!O:O,MATCH(9.99E+307,'Price History'!$A:$A))-'Price History'!O3)*(ROW()-3)/(MATCH(9.99E+307,'Returns (Calc)'!$A:$A)-3),"")</f>
        <v>84.5133962264151</v>
      </c>
      <c r="AK9" s="111" t="n">
        <f aca="false">IFERROR('Price History'!Q3+(INDEX('Price History'!Q:Q,MATCH(9.99E+307,'Price History'!$A:$A))-'Price History'!Q3)*(ROW()-3)/(MATCH(9.99E+307,'Returns (Calc)'!$A:$A)-3),"")</f>
        <v>50.5901886792453</v>
      </c>
      <c r="AL9" s="111" t="n">
        <f aca="false">IFERROR('Price History'!R3+(INDEX('Price History'!R:R,MATCH(9.99E+307,'Price History'!$A:$A))-'Price History'!R3)*(ROW()-3)/(MATCH(9.99E+307,'Returns (Calc)'!$A:$A)-3),"")</f>
        <v>48.2747169811321</v>
      </c>
      <c r="AM9" s="111" t="n">
        <f aca="false">IFERROR('Price History'!S3+(INDEX('Price History'!S:S,MATCH(9.99E+307,'Price History'!$A:$A))-'Price History'!S3)*(ROW()-3)/(MATCH(9.99E+307,'Returns (Calc)'!$A:$A)-3),"")</f>
        <v>61.9807547169811</v>
      </c>
      <c r="AN9" s="111" t="n">
        <f aca="false">IFERROR('Price History'!T3+(INDEX('Price History'!T:T,MATCH(9.99E+307,'Price History'!$A:$A))-'Price History'!T3)*(ROW()-3)/(MATCH(9.99E+307,'Returns (Calc)'!$A:$A)-3),"")</f>
        <v>27.9809433962264</v>
      </c>
      <c r="AO9" s="112" t="n">
        <f aca="false">IFERROR('Price History'!V3+(INDEX('Price History'!V:V,MATCH(9.99E+307,'Price History'!$A:$A))-'Price History'!V3)*(ROW()-3)/(MATCH(9.99E+307,'Returns (Calc)'!$A:$A)-3),"")</f>
        <v>14.1535849056604</v>
      </c>
    </row>
    <row r="10" customFormat="false" ht="15" hidden="false" customHeight="true" outlineLevel="0" collapsed="false">
      <c r="A10" s="108" t="n">
        <f aca="false">IF('Price History'!A11="","",'Price History'!A11)</f>
        <v>45205</v>
      </c>
      <c r="B10" s="109" t="n">
        <f aca="false">IFERROR(IF(OR(NOT(ISNUMBER('Price History'!B11)),NOT(ISNUMBER('Price History'!B10)),'Price History'!B10=0),"",'Price History'!B11/'Price History'!B10-1),"")</f>
        <v>0.0329084134143949</v>
      </c>
      <c r="C10" s="109" t="n">
        <f aca="false">IFERROR(IF(OR(NOT(ISNUMBER('Price History'!C11)),NOT(ISNUMBER('Price History'!C10)),'Price History'!C10=0),"",'Price History'!C11/'Price History'!C10-1),"")</f>
        <v>0.0550239234449761</v>
      </c>
      <c r="D10" s="109" t="n">
        <f aca="false">IFERROR(IF(OR(NOT(ISNUMBER('Price History'!D11)),NOT(ISNUMBER('Price History'!D10)),'Price History'!D10=0),"",'Price History'!D11/'Price History'!D10-1),"")</f>
        <v>0.014779329324228</v>
      </c>
      <c r="E10" s="109" t="n">
        <f aca="false">IFERROR(IF(OR(NOT(ISNUMBER('Price History'!E11)),NOT(ISNUMBER('Price History'!E10)),'Price History'!E10=0),"",'Price History'!E11/'Price History'!E10-1),"")</f>
        <v>0.0176980496026968</v>
      </c>
      <c r="F10" s="109" t="n">
        <f aca="false">IFERROR(IF(OR(NOT(ISNUMBER('Price History'!F11)),NOT(ISNUMBER('Price History'!F10)),'Price History'!F10=0),"",'Price History'!F11/'Price History'!F10-1),"")</f>
        <v>0.055436081242533</v>
      </c>
      <c r="G10" s="109" t="n">
        <f aca="false">IFERROR(IF(OR(NOT(ISNUMBER('Price History'!G11)),NOT(ISNUMBER('Price History'!G10)),'Price History'!G10=0),"",'Price History'!G11/'Price History'!G10-1),"")</f>
        <v>0.0204926967516896</v>
      </c>
      <c r="H10" s="109" t="n">
        <f aca="false">IFERROR(IF(OR(NOT(ISNUMBER('Price History'!H11)),NOT(ISNUMBER('Price History'!H10)),'Price History'!H10=0),"",'Price History'!H11/'Price History'!H10-1),"")</f>
        <v>0.0283698368366896</v>
      </c>
      <c r="I10" s="109" t="n">
        <f aca="false">IFERROR(IF(OR(NOT(ISNUMBER('Price History'!I11)),NOT(ISNUMBER('Price History'!I10)),'Price History'!I10=0),"",'Price History'!I11/'Price History'!I10-1),"")</f>
        <v>0.0519540229885056</v>
      </c>
      <c r="J10" s="109" t="n">
        <f aca="false">IFERROR(IF(OR(NOT(ISNUMBER('Price History'!J11)),NOT(ISNUMBER('Price History'!J10)),'Price History'!J10=0),"",'Price History'!J11/'Price History'!J10-1),"")</f>
        <v>-0.0294091435700917</v>
      </c>
      <c r="K10" s="109" t="n">
        <f aca="false">IFERROR(IF(OR(NOT(ISNUMBER('Price History'!K11)),NOT(ISNUMBER('Price History'!K10)),'Price History'!K10=0),"",'Price History'!K11/'Price History'!K10-1),"")</f>
        <v>0.038125</v>
      </c>
      <c r="L10" s="109" t="n">
        <f aca="false">IFERROR(IF(OR(NOT(ISNUMBER('Price History'!L11)),NOT(ISNUMBER('Price History'!L10)),'Price History'!L10=0),"",'Price History'!L11/'Price History'!L10-1),"")</f>
        <v>0.0275028768699654</v>
      </c>
      <c r="M10" s="109" t="n">
        <f aca="false">IFERROR(IF(OR(NOT(ISNUMBER('Price History'!M11)),NOT(ISNUMBER('Price History'!M10)),'Price History'!M10=0),"",'Price History'!M11/'Price History'!M10-1),"")</f>
        <v>0.0690860215053764</v>
      </c>
      <c r="N10" s="109" t="n">
        <f aca="false">IFERROR(IF(OR(NOT(ISNUMBER('Price History'!N11)),NOT(ISNUMBER('Price History'!N10)),'Price History'!N10=0),"",'Price History'!N11/'Price History'!N10-1),"")</f>
        <v>0.0370391671938806</v>
      </c>
      <c r="O10" s="109" t="n">
        <f aca="false">IFERROR(IF(OR(NOT(ISNUMBER('Price History'!O11)),NOT(ISNUMBER('Price History'!O10)),'Price History'!O10=0),"",'Price History'!O11/'Price History'!O10-1),"")</f>
        <v>-0.030147530468249</v>
      </c>
      <c r="P10" s="109" t="str">
        <f aca="false">IFERROR(IF(OR(NOT(ISNUMBER('Price History'!P11)),NOT(ISNUMBER('Price History'!P10)),'Price History'!P10=0),"",'Price History'!P11/'Price History'!P10-1),"")</f>
        <v/>
      </c>
      <c r="Q10" s="109" t="n">
        <f aca="false">IFERROR(IF(OR(NOT(ISNUMBER('Price History'!Q11)),NOT(ISNUMBER('Price History'!Q10)),'Price History'!Q10=0),"",'Price History'!Q11/'Price History'!Q10-1),"")</f>
        <v>0.00443245326652519</v>
      </c>
      <c r="R10" s="109" t="n">
        <f aca="false">IFERROR(IF(OR(NOT(ISNUMBER('Price History'!R11)),NOT(ISNUMBER('Price History'!R10)),'Price History'!R10=0),"",'Price History'!R11/'Price History'!R10-1),"")</f>
        <v>0.0042616663115278</v>
      </c>
      <c r="S10" s="109" t="n">
        <f aca="false">IFERROR(IF(OR(NOT(ISNUMBER('Price History'!S11)),NOT(ISNUMBER('Price History'!S10)),'Price History'!S10=0),"",'Price History'!S11/'Price History'!S10-1),"")</f>
        <v>0.011173184357542</v>
      </c>
      <c r="T10" s="109" t="n">
        <f aca="false">IFERROR(IF(OR(NOT(ISNUMBER('Price History'!T11)),NOT(ISNUMBER('Price History'!T10)),'Price History'!T10=0),"",'Price History'!T11/'Price History'!T10-1),"")</f>
        <v>-0.0184757505773672</v>
      </c>
      <c r="U10" s="109" t="str">
        <f aca="false">IFERROR(IF(OR(NOT(ISNUMBER('Price History'!U11)),NOT(ISNUMBER('Price History'!U10)),'Price History'!U10=0),"",'Price History'!U11/'Price History'!U10-1),"")</f>
        <v/>
      </c>
      <c r="V10" s="110" t="n">
        <f aca="false">IFERROR(IF(OR(NOT(ISNUMBER('Price History'!V11)),NOT(ISNUMBER('Price History'!V10)),'Price History'!V10=0),"",'Price History'!V11/'Price History'!V10-1),"")</f>
        <v>0.0218841740058715</v>
      </c>
      <c r="W10" s="111" t="n">
        <f aca="false">IFERROR('Price History'!B3+(INDEX('Price History'!B:B,MATCH(9.99E+307,'Price History'!$A:$A))-'Price History'!B3)*(ROW()-3)/(MATCH(9.99E+307,'Returns (Calc)'!$A:$A)-3),"")</f>
        <v>497.79855345912</v>
      </c>
      <c r="X10" s="111" t="n">
        <f aca="false">IFERROR('Price History'!C3+(INDEX('Price History'!C:C,MATCH(9.99E+307,'Price History'!$A:$A))-'Price History'!C3)*(ROW()-3)/(MATCH(9.99E+307,'Returns (Calc)'!$A:$A)-3),"")</f>
        <v>50.345534591195</v>
      </c>
      <c r="Y10" s="111" t="n">
        <f aca="false">IFERROR('Price History'!D3+(INDEX('Price History'!D:D,MATCH(9.99E+307,'Price History'!$A:$A))-'Price History'!D3)*(ROW()-3)/(MATCH(9.99E+307,'Returns (Calc)'!$A:$A)-3),"")</f>
        <v>708.142893081761</v>
      </c>
      <c r="Z10" s="111" t="n">
        <f aca="false">IFERROR('Price History'!E3+(INDEX('Price History'!E:E,MATCH(9.99E+307,'Price History'!$A:$A))-'Price History'!E3)*(ROW()-3)/(MATCH(9.99E+307,'Returns (Calc)'!$A:$A)-3),"")</f>
        <v>95.0833962264151</v>
      </c>
      <c r="AA10" s="111" t="n">
        <f aca="false">IFERROR('Price History'!F3+(INDEX('Price History'!F:F,MATCH(9.99E+307,'Price History'!$A:$A))-'Price History'!F3)*(ROW()-3)/(MATCH(9.99E+307,'Returns (Calc)'!$A:$A)-3),"")</f>
        <v>44.8101886792453</v>
      </c>
      <c r="AB10" s="111" t="n">
        <f aca="false">IFERROR('Price History'!G3+(INDEX('Price History'!G:G,MATCH(9.99E+307,'Price History'!$A:$A))-'Price History'!G3)*(ROW()-3)/(MATCH(9.99E+307,'Returns (Calc)'!$A:$A)-3),"")</f>
        <v>53.9622641509434</v>
      </c>
      <c r="AC10" s="111" t="n">
        <f aca="false">IFERROR('Price History'!H3+(INDEX('Price History'!H:H,MATCH(9.99E+307,'Price History'!$A:$A))-'Price History'!H3)*(ROW()-3)/(MATCH(9.99E+307,'Returns (Calc)'!$A:$A)-3),"")</f>
        <v>106.291635220126</v>
      </c>
      <c r="AD10" s="111" t="n">
        <f aca="false">IFERROR('Price History'!I3+(INDEX('Price History'!I:I,MATCH(9.99E+307,'Price History'!$A:$A))-'Price History'!I3)*(ROW()-3)/(MATCH(9.99E+307,'Returns (Calc)'!$A:$A)-3),"")</f>
        <v>49.1932075471698</v>
      </c>
      <c r="AE10" s="111" t="n">
        <f aca="false">IFERROR('Price History'!J3+(INDEX('Price History'!J:J,MATCH(9.99E+307,'Price History'!$A:$A))-'Price History'!J3)*(ROW()-3)/(MATCH(9.99E+307,'Returns (Calc)'!$A:$A)-3),"")</f>
        <v>124.118867924528</v>
      </c>
      <c r="AF10" s="111" t="n">
        <f aca="false">IFERROR('Price History'!K3+(INDEX('Price History'!K:K,MATCH(9.99E+307,'Price History'!$A:$A))-'Price History'!K3)*(ROW()-3)/(MATCH(9.99E+307,'Returns (Calc)'!$A:$A)-3),"")</f>
        <v>22.4064779874214</v>
      </c>
      <c r="AG10" s="111" t="n">
        <f aca="false">IFERROR('Price History'!L3+(INDEX('Price History'!L:L,MATCH(9.99E+307,'Price History'!$A:$A))-'Price History'!L3)*(ROW()-3)/(MATCH(9.99E+307,'Returns (Calc)'!$A:$A)-3),"")</f>
        <v>106.822955974843</v>
      </c>
      <c r="AH10" s="111" t="n">
        <f aca="false">IFERROR('Price History'!M3+(INDEX('Price History'!M:M,MATCH(9.99E+307,'Price History'!$A:$A))-'Price History'!M3)*(ROW()-3)/(MATCH(9.99E+307,'Returns (Calc)'!$A:$A)-3),"")</f>
        <v>44.3850943396226</v>
      </c>
      <c r="AI10" s="111" t="n">
        <f aca="false">IFERROR('Price History'!N3+(INDEX('Price History'!N:N,MATCH(9.99E+307,'Price History'!$A:$A))-'Price History'!N3)*(ROW()-3)/(MATCH(9.99E+307,'Returns (Calc)'!$A:$A)-3),"")</f>
        <v>358.500377358491</v>
      </c>
      <c r="AJ10" s="111" t="n">
        <f aca="false">IFERROR('Price History'!O3+(INDEX('Price History'!O:O,MATCH(9.99E+307,'Price History'!$A:$A))-'Price History'!O3)*(ROW()-3)/(MATCH(9.99E+307,'Returns (Calc)'!$A:$A)-3),"")</f>
        <v>84.7906289308176</v>
      </c>
      <c r="AK10" s="111" t="n">
        <f aca="false">IFERROR('Price History'!Q3+(INDEX('Price History'!Q:Q,MATCH(9.99E+307,'Price History'!$A:$A))-'Price History'!Q3)*(ROW()-3)/(MATCH(9.99E+307,'Returns (Calc)'!$A:$A)-3),"")</f>
        <v>50.7152201257862</v>
      </c>
      <c r="AL10" s="111" t="n">
        <f aca="false">IFERROR('Price History'!R3+(INDEX('Price History'!R:R,MATCH(9.99E+307,'Price History'!$A:$A))-'Price History'!R3)*(ROW()-3)/(MATCH(9.99E+307,'Returns (Calc)'!$A:$A)-3),"")</f>
        <v>48.3505031446541</v>
      </c>
      <c r="AM10" s="111" t="n">
        <f aca="false">IFERROR('Price History'!S3+(INDEX('Price History'!S:S,MATCH(9.99E+307,'Price History'!$A:$A))-'Price History'!S3)*(ROW()-3)/(MATCH(9.99E+307,'Returns (Calc)'!$A:$A)-3),"")</f>
        <v>62.554213836478</v>
      </c>
      <c r="AN10" s="111" t="n">
        <f aca="false">IFERROR('Price History'!T3+(INDEX('Price History'!T:T,MATCH(9.99E+307,'Price History'!$A:$A))-'Price History'!T3)*(ROW()-3)/(MATCH(9.99E+307,'Returns (Calc)'!$A:$A)-3),"")</f>
        <v>28.1594339622642</v>
      </c>
      <c r="AO10" s="112" t="n">
        <f aca="false">IFERROR('Price History'!V3+(INDEX('Price History'!V:V,MATCH(9.99E+307,'Price History'!$A:$A))-'Price History'!V3)*(ROW()-3)/(MATCH(9.99E+307,'Returns (Calc)'!$A:$A)-3),"")</f>
        <v>16.5125157232704</v>
      </c>
    </row>
    <row r="11" customFormat="false" ht="15" hidden="false" customHeight="true" outlineLevel="0" collapsed="false">
      <c r="A11" s="108" t="n">
        <f aca="false">IF('Price History'!A12="","",'Price History'!A12)</f>
        <v>45212</v>
      </c>
      <c r="B11" s="109" t="n">
        <f aca="false">IFERROR(IF(OR(NOT(ISNUMBER('Price History'!B12)),NOT(ISNUMBER('Price History'!B11)),'Price History'!B11=0),"",'Price History'!B12/'Price History'!B11-1),"")</f>
        <v>0.0419229892914104</v>
      </c>
      <c r="C11" s="109" t="n">
        <f aca="false">IFERROR(IF(OR(NOT(ISNUMBER('Price History'!C12)),NOT(ISNUMBER('Price History'!C11)),'Price History'!C11=0),"",'Price History'!C12/'Price History'!C11-1),"")</f>
        <v>-0.0216450216450216</v>
      </c>
      <c r="D11" s="109" t="n">
        <f aca="false">IFERROR(IF(OR(NOT(ISNUMBER('Price History'!D12)),NOT(ISNUMBER('Price History'!D11)),'Price History'!D11=0),"",'Price History'!D12/'Price History'!D11-1),"")</f>
        <v>0.00400093745814911</v>
      </c>
      <c r="E11" s="109" t="n">
        <f aca="false">IFERROR(IF(OR(NOT(ISNUMBER('Price History'!E12)),NOT(ISNUMBER('Price History'!E11)),'Price History'!E11=0),"",'Price History'!E12/'Price History'!E11-1),"")</f>
        <v>0.0448361528451438</v>
      </c>
      <c r="F11" s="109" t="n">
        <f aca="false">IFERROR(IF(OR(NOT(ISNUMBER('Price History'!F12)),NOT(ISNUMBER('Price History'!F11)),'Price History'!F11=0),"",'Price History'!F12/'Price History'!F11-1),"")</f>
        <v>0.0511659497396422</v>
      </c>
      <c r="G11" s="109" t="n">
        <f aca="false">IFERROR(IF(OR(NOT(ISNUMBER('Price History'!G12)),NOT(ISNUMBER('Price History'!G11)),'Price History'!G11=0),"",'Price History'!G12/'Price History'!G11-1),"")</f>
        <v>0.0399487289040803</v>
      </c>
      <c r="H11" s="109" t="n">
        <f aca="false">IFERROR(IF(OR(NOT(ISNUMBER('Price History'!H12)),NOT(ISNUMBER('Price History'!H11)),'Price History'!H11=0),"",'Price History'!H12/'Price History'!H11-1),"")</f>
        <v>-0.0107204116638079</v>
      </c>
      <c r="I11" s="109" t="n">
        <f aca="false">IFERROR(IF(OR(NOT(ISNUMBER('Price History'!I12)),NOT(ISNUMBER('Price History'!I11)),'Price History'!I11=0),"",'Price History'!I12/'Price History'!I11-1),"")</f>
        <v>-0.00655594405594395</v>
      </c>
      <c r="J11" s="109" t="n">
        <f aca="false">IFERROR(IF(OR(NOT(ISNUMBER('Price History'!J12)),NOT(ISNUMBER('Price History'!J11)),'Price History'!J11=0),"",'Price History'!J12/'Price History'!J11-1),"")</f>
        <v>0.0067946010467359</v>
      </c>
      <c r="K11" s="109" t="n">
        <f aca="false">IFERROR(IF(OR(NOT(ISNUMBER('Price History'!K12)),NOT(ISNUMBER('Price History'!K11)),'Price History'!K11=0),"",'Price History'!K12/'Price History'!K11-1),"")</f>
        <v>0.0451535219747141</v>
      </c>
      <c r="L11" s="109" t="n">
        <f aca="false">IFERROR(IF(OR(NOT(ISNUMBER('Price History'!L12)),NOT(ISNUMBER('Price History'!L11)),'Price History'!L11=0),"",'Price History'!L12/'Price History'!L11-1),"")</f>
        <v>0.01310337103819</v>
      </c>
      <c r="M11" s="109" t="n">
        <f aca="false">IFERROR(IF(OR(NOT(ISNUMBER('Price History'!M12)),NOT(ISNUMBER('Price History'!M11)),'Price History'!M11=0),"",'Price History'!M12/'Price History'!M11-1),"")</f>
        <v>-0.0168468694996229</v>
      </c>
      <c r="N11" s="109" t="n">
        <f aca="false">IFERROR(IF(OR(NOT(ISNUMBER('Price History'!N12)),NOT(ISNUMBER('Price History'!N11)),'Price History'!N11=0),"",'Price History'!N12/'Price History'!N11-1),"")</f>
        <v>0.0287837612999833</v>
      </c>
      <c r="O11" s="109" t="n">
        <f aca="false">IFERROR(IF(OR(NOT(ISNUMBER('Price History'!O12)),NOT(ISNUMBER('Price History'!O11)),'Price History'!O11=0),"",'Price History'!O12/'Price History'!O11-1),"")</f>
        <v>0.00264550264550278</v>
      </c>
      <c r="P11" s="109" t="str">
        <f aca="false">IFERROR(IF(OR(NOT(ISNUMBER('Price History'!P12)),NOT(ISNUMBER('Price History'!P11)),'Price History'!P11=0),"",'Price History'!P12/'Price History'!P11-1),"")</f>
        <v/>
      </c>
      <c r="Q11" s="109" t="n">
        <f aca="false">IFERROR(IF(OR(NOT(ISNUMBER('Price History'!Q12)),NOT(ISNUMBER('Price History'!Q11)),'Price History'!Q11=0),"",'Price History'!Q12/'Price History'!Q11-1),"")</f>
        <v>0.000959324635456671</v>
      </c>
      <c r="R11" s="109" t="n">
        <f aca="false">IFERROR(IF(OR(NOT(ISNUMBER('Price History'!R12)),NOT(ISNUMBER('Price History'!R11)),'Price History'!R11=0),"",'Price History'!R12/'Price History'!R11-1),"")</f>
        <v>0.00275832802885634</v>
      </c>
      <c r="S11" s="109" t="n">
        <f aca="false">IFERROR(IF(OR(NOT(ISNUMBER('Price History'!S12)),NOT(ISNUMBER('Price History'!S11)),'Price History'!S11=0),"",'Price History'!S12/'Price History'!S11-1),"")</f>
        <v>0.00569751381215466</v>
      </c>
      <c r="T11" s="109" t="n">
        <f aca="false">IFERROR(IF(OR(NOT(ISNUMBER('Price History'!T12)),NOT(ISNUMBER('Price History'!T11)),'Price History'!T11=0),"",'Price History'!T12/'Price History'!T11-1),"")</f>
        <v>0.0129411764705882</v>
      </c>
      <c r="U11" s="109" t="str">
        <f aca="false">IFERROR(IF(OR(NOT(ISNUMBER('Price History'!U12)),NOT(ISNUMBER('Price History'!U11)),'Price History'!U11=0),"",'Price History'!U12/'Price History'!U11-1),"")</f>
        <v/>
      </c>
      <c r="V11" s="110" t="n">
        <f aca="false">IFERROR(IF(OR(NOT(ISNUMBER('Price History'!V12)),NOT(ISNUMBER('Price History'!V11)),'Price History'!V11=0),"",'Price History'!V12/'Price History'!V11-1),"")</f>
        <v>0.0111865587185513</v>
      </c>
      <c r="W11" s="111" t="n">
        <f aca="false">IFERROR('Price History'!B3+(INDEX('Price History'!B:B,MATCH(9.99E+307,'Price History'!$A:$A))-'Price History'!B3)*(ROW()-3)/(MATCH(9.99E+307,'Returns (Calc)'!$A:$A)-3),"")</f>
        <v>496.276918238994</v>
      </c>
      <c r="X11" s="111" t="n">
        <f aca="false">IFERROR('Price History'!C3+(INDEX('Price History'!C:C,MATCH(9.99E+307,'Price History'!$A:$A))-'Price History'!C3)*(ROW()-3)/(MATCH(9.99E+307,'Returns (Calc)'!$A:$A)-3),"")</f>
        <v>51.2891823899371</v>
      </c>
      <c r="Y11" s="111" t="n">
        <f aca="false">IFERROR('Price History'!D3+(INDEX('Price History'!D:D,MATCH(9.99E+307,'Price History'!$A:$A))-'Price History'!D3)*(ROW()-3)/(MATCH(9.99E+307,'Returns (Calc)'!$A:$A)-3),"")</f>
        <v>714.766163522013</v>
      </c>
      <c r="Z11" s="111" t="n">
        <f aca="false">IFERROR('Price History'!E3+(INDEX('Price History'!E:E,MATCH(9.99E+307,'Price History'!$A:$A))-'Price History'!E3)*(ROW()-3)/(MATCH(9.99E+307,'Returns (Calc)'!$A:$A)-3),"")</f>
        <v>96.8124528301887</v>
      </c>
      <c r="AA11" s="111" t="n">
        <f aca="false">IFERROR('Price History'!F3+(INDEX('Price History'!F:F,MATCH(9.99E+307,'Price History'!$A:$A))-'Price History'!F3)*(ROW()-3)/(MATCH(9.99E+307,'Returns (Calc)'!$A:$A)-3),"")</f>
        <v>45.917358490566</v>
      </c>
      <c r="AB11" s="111" t="n">
        <f aca="false">IFERROR('Price History'!G3+(INDEX('Price History'!G:G,MATCH(9.99E+307,'Price History'!$A:$A))-'Price History'!G3)*(ROW()-3)/(MATCH(9.99E+307,'Returns (Calc)'!$A:$A)-3),"")</f>
        <v>54.8283018867925</v>
      </c>
      <c r="AC11" s="111" t="n">
        <f aca="false">IFERROR('Price History'!H3+(INDEX('Price History'!H:H,MATCH(9.99E+307,'Price History'!$A:$A))-'Price History'!H3)*(ROW()-3)/(MATCH(9.99E+307,'Returns (Calc)'!$A:$A)-3),"")</f>
        <v>112.280440251572</v>
      </c>
      <c r="AD11" s="111" t="n">
        <f aca="false">IFERROR('Price History'!I3+(INDEX('Price History'!I:I,MATCH(9.99E+307,'Price History'!$A:$A))-'Price History'!I3)*(ROW()-3)/(MATCH(9.99E+307,'Returns (Calc)'!$A:$A)-3),"")</f>
        <v>50.3850943396226</v>
      </c>
      <c r="AE11" s="111" t="n">
        <f aca="false">IFERROR('Price History'!J3+(INDEX('Price History'!J:J,MATCH(9.99E+307,'Price History'!$A:$A))-'Price History'!J3)*(ROW()-3)/(MATCH(9.99E+307,'Returns (Calc)'!$A:$A)-3),"")</f>
        <v>124.205849056604</v>
      </c>
      <c r="AF11" s="111" t="n">
        <f aca="false">IFERROR('Price History'!K3+(INDEX('Price History'!K:K,MATCH(9.99E+307,'Price History'!$A:$A))-'Price History'!K3)*(ROW()-3)/(MATCH(9.99E+307,'Returns (Calc)'!$A:$A)-3),"")</f>
        <v>23.4059748427673</v>
      </c>
      <c r="AG11" s="111" t="n">
        <f aca="false">IFERROR('Price History'!L3+(INDEX('Price History'!L:L,MATCH(9.99E+307,'Price History'!$A:$A))-'Price History'!L3)*(ROW()-3)/(MATCH(9.99E+307,'Returns (Calc)'!$A:$A)-3),"")</f>
        <v>108.941949685535</v>
      </c>
      <c r="AH11" s="111" t="n">
        <f aca="false">IFERROR('Price History'!M3+(INDEX('Price History'!M:M,MATCH(9.99E+307,'Price History'!$A:$A))-'Price History'!M3)*(ROW()-3)/(MATCH(9.99E+307,'Returns (Calc)'!$A:$A)-3),"")</f>
        <v>45.938679245283</v>
      </c>
      <c r="AI11" s="111" t="n">
        <f aca="false">IFERROR('Price History'!N3+(INDEX('Price History'!N:N,MATCH(9.99E+307,'Price History'!$A:$A))-'Price History'!N3)*(ROW()-3)/(MATCH(9.99E+307,'Returns (Calc)'!$A:$A)-3),"")</f>
        <v>359.734716981132</v>
      </c>
      <c r="AJ11" s="111" t="n">
        <f aca="false">IFERROR('Price History'!O3+(INDEX('Price History'!O:O,MATCH(9.99E+307,'Price History'!$A:$A))-'Price History'!O3)*(ROW()-3)/(MATCH(9.99E+307,'Returns (Calc)'!$A:$A)-3),"")</f>
        <v>85.0678616352201</v>
      </c>
      <c r="AK11" s="111" t="n">
        <f aca="false">IFERROR('Price History'!Q3+(INDEX('Price History'!Q:Q,MATCH(9.99E+307,'Price History'!$A:$A))-'Price History'!Q3)*(ROW()-3)/(MATCH(9.99E+307,'Returns (Calc)'!$A:$A)-3),"")</f>
        <v>50.8402515723271</v>
      </c>
      <c r="AL11" s="111" t="n">
        <f aca="false">IFERROR('Price History'!R3+(INDEX('Price History'!R:R,MATCH(9.99E+307,'Price History'!$A:$A))-'Price History'!R3)*(ROW()-3)/(MATCH(9.99E+307,'Returns (Calc)'!$A:$A)-3),"")</f>
        <v>48.4262893081761</v>
      </c>
      <c r="AM11" s="111" t="n">
        <f aca="false">IFERROR('Price History'!S3+(INDEX('Price History'!S:S,MATCH(9.99E+307,'Price History'!$A:$A))-'Price History'!S3)*(ROW()-3)/(MATCH(9.99E+307,'Returns (Calc)'!$A:$A)-3),"")</f>
        <v>63.1276729559748</v>
      </c>
      <c r="AN11" s="111" t="n">
        <f aca="false">IFERROR('Price History'!T3+(INDEX('Price History'!T:T,MATCH(9.99E+307,'Price History'!$A:$A))-'Price History'!T3)*(ROW()-3)/(MATCH(9.99E+307,'Returns (Calc)'!$A:$A)-3),"")</f>
        <v>28.3379245283019</v>
      </c>
      <c r="AO11" s="112" t="n">
        <f aca="false">IFERROR('Price History'!V3+(INDEX('Price History'!V:V,MATCH(9.99E+307,'Price History'!$A:$A))-'Price History'!V3)*(ROW()-3)/(MATCH(9.99E+307,'Returns (Calc)'!$A:$A)-3),"")</f>
        <v>18.8714465408805</v>
      </c>
    </row>
    <row r="12" customFormat="false" ht="15" hidden="false" customHeight="true" outlineLevel="0" collapsed="false">
      <c r="A12" s="108" t="n">
        <f aca="false">IF('Price History'!A13="","",'Price History'!A13)</f>
        <v>45219</v>
      </c>
      <c r="B12" s="109" t="n">
        <f aca="false">IFERROR(IF(OR(NOT(ISNUMBER('Price History'!B13)),NOT(ISNUMBER('Price History'!B12)),'Price History'!B12=0),"",'Price History'!B13/'Price History'!B12-1),"")</f>
        <v>-0.0142138639842553</v>
      </c>
      <c r="C12" s="109" t="n">
        <f aca="false">IFERROR(IF(OR(NOT(ISNUMBER('Price History'!C13)),NOT(ISNUMBER('Price History'!C12)),'Price History'!C12=0),"",'Price History'!C13/'Price History'!C12-1),"")</f>
        <v>-0.0195954487989887</v>
      </c>
      <c r="D12" s="109" t="n">
        <f aca="false">IFERROR(IF(OR(NOT(ISNUMBER('Price History'!D13)),NOT(ISNUMBER('Price History'!D12)),'Price History'!D12=0),"",'Price History'!D13/'Price History'!D12-1),"")</f>
        <v>-0.0327636515214672</v>
      </c>
      <c r="E12" s="109" t="n">
        <f aca="false">IFERROR(IF(OR(NOT(ISNUMBER('Price History'!E13)),NOT(ISNUMBER('Price History'!E12)),'Price History'!E12=0),"",'Price History'!E13/'Price History'!E12-1),"")</f>
        <v>-0.0335144927536232</v>
      </c>
      <c r="F12" s="109" t="n">
        <f aca="false">IFERROR(IF(OR(NOT(ISNUMBER('Price History'!F13)),NOT(ISNUMBER('Price History'!F12)),'Price History'!F12=0),"",'Price History'!F13/'Price History'!F12-1),"")</f>
        <v>-0.0374757699763084</v>
      </c>
      <c r="G12" s="109" t="n">
        <f aca="false">IFERROR(IF(OR(NOT(ISNUMBER('Price History'!G13)),NOT(ISNUMBER('Price History'!G12)),'Price History'!G12=0),"",'Price History'!G13/'Price History'!G12-1),"")</f>
        <v>-0.0501232539030402</v>
      </c>
      <c r="H12" s="109" t="n">
        <f aca="false">IFERROR(IF(OR(NOT(ISNUMBER('Price History'!H13)),NOT(ISNUMBER('Price History'!H12)),'Price History'!H12=0),"",'Price History'!H13/'Price History'!H12-1),"")</f>
        <v>-0.0287530703655541</v>
      </c>
      <c r="I12" s="109" t="n">
        <f aca="false">IFERROR(IF(OR(NOT(ISNUMBER('Price History'!I13)),NOT(ISNUMBER('Price History'!I12)),'Price History'!I12=0),"",'Price History'!I13/'Price History'!I12-1),"")</f>
        <v>-0.0895292564892213</v>
      </c>
      <c r="J12" s="109" t="n">
        <f aca="false">IFERROR(IF(OR(NOT(ISNUMBER('Price History'!J13)),NOT(ISNUMBER('Price History'!J12)),'Price History'!J12=0),"",'Price History'!J13/'Price History'!J12-1),"")</f>
        <v>-0.0658458732330142</v>
      </c>
      <c r="K12" s="109" t="n">
        <f aca="false">IFERROR(IF(OR(NOT(ISNUMBER('Price History'!K13)),NOT(ISNUMBER('Price History'!K12)),'Price History'!K12=0),"",'Price History'!K13/'Price History'!K12-1),"")</f>
        <v>-0.0720046082949308</v>
      </c>
      <c r="L12" s="109" t="n">
        <f aca="false">IFERROR(IF(OR(NOT(ISNUMBER('Price History'!L13)),NOT(ISNUMBER('Price History'!L12)),'Price History'!L12=0),"",'Price History'!L13/'Price History'!L12-1),"")</f>
        <v>0.0093964183064339</v>
      </c>
      <c r="M12" s="109" t="n">
        <f aca="false">IFERROR(IF(OR(NOT(ISNUMBER('Price History'!M13)),NOT(ISNUMBER('Price History'!M12)),'Price History'!M12=0),"",'Price History'!M13/'Price History'!M12-1),"")</f>
        <v>-0.0603580562659847</v>
      </c>
      <c r="N12" s="109" t="n">
        <f aca="false">IFERROR(IF(OR(NOT(ISNUMBER('Price History'!N13)),NOT(ISNUMBER('Price History'!N12)),'Price History'!N12=0),"",'Price History'!N13/'Price History'!N12-1),"")</f>
        <v>-0.0246361185983827</v>
      </c>
      <c r="O12" s="109" t="n">
        <f aca="false">IFERROR(IF(OR(NOT(ISNUMBER('Price History'!O13)),NOT(ISNUMBER('Price History'!O12)),'Price History'!O12=0),"",'Price History'!O13/'Price History'!O12-1),"")</f>
        <v>-0.016754617414248</v>
      </c>
      <c r="P12" s="109" t="str">
        <f aca="false">IFERROR(IF(OR(NOT(ISNUMBER('Price History'!P13)),NOT(ISNUMBER('Price History'!P12)),'Price History'!P12=0),"",'Price History'!P13/'Price History'!P12-1),"")</f>
        <v/>
      </c>
      <c r="Q12" s="109" t="n">
        <f aca="false">IFERROR(IF(OR(NOT(ISNUMBER('Price History'!Q13)),NOT(ISNUMBER('Price History'!Q12)),'Price History'!Q12=0),"",'Price History'!Q13/'Price History'!Q12-1),"")</f>
        <v>0.00364193981215255</v>
      </c>
      <c r="R12" s="109" t="n">
        <f aca="false">IFERROR(IF(OR(NOT(ISNUMBER('Price History'!R13)),NOT(ISNUMBER('Price History'!R12)),'Price History'!R12=0),"",'Price History'!R13/'Price History'!R12-1),"")</f>
        <v>-0.0198899703766399</v>
      </c>
      <c r="S12" s="109" t="n">
        <f aca="false">IFERROR(IF(OR(NOT(ISNUMBER('Price History'!S13)),NOT(ISNUMBER('Price History'!S12)),'Price History'!S12=0),"",'Price History'!S13/'Price History'!S12-1),"")</f>
        <v>-0.0290128755364807</v>
      </c>
      <c r="T12" s="109" t="n">
        <f aca="false">IFERROR(IF(OR(NOT(ISNUMBER('Price History'!T13)),NOT(ISNUMBER('Price History'!T12)),'Price History'!T12=0),"",'Price History'!T13/'Price History'!T12-1),"")</f>
        <v>-0.0127758420441346</v>
      </c>
      <c r="U12" s="109" t="str">
        <f aca="false">IFERROR(IF(OR(NOT(ISNUMBER('Price History'!U13)),NOT(ISNUMBER('Price History'!U12)),'Price History'!U12=0),"",'Price History'!U13/'Price History'!U12-1),"")</f>
        <v/>
      </c>
      <c r="V12" s="110" t="n">
        <f aca="false">IFERROR(IF(OR(NOT(ISNUMBER('Price History'!V13)),NOT(ISNUMBER('Price History'!V12)),'Price History'!V12=0),"",'Price History'!V13/'Price History'!V12-1),"")</f>
        <v>-0.0180362446730662</v>
      </c>
      <c r="W12" s="111" t="n">
        <f aca="false">IFERROR('Price History'!B3+(INDEX('Price History'!B:B,MATCH(9.99E+307,'Price History'!$A:$A))-'Price History'!B3)*(ROW()-3)/(MATCH(9.99E+307,'Returns (Calc)'!$A:$A)-3),"")</f>
        <v>494.755283018868</v>
      </c>
      <c r="X12" s="111" t="n">
        <f aca="false">IFERROR('Price History'!C3+(INDEX('Price History'!C:C,MATCH(9.99E+307,'Price History'!$A:$A))-'Price History'!C3)*(ROW()-3)/(MATCH(9.99E+307,'Returns (Calc)'!$A:$A)-3),"")</f>
        <v>52.2328301886792</v>
      </c>
      <c r="Y12" s="111" t="n">
        <f aca="false">IFERROR('Price History'!D3+(INDEX('Price History'!D:D,MATCH(9.99E+307,'Price History'!$A:$A))-'Price History'!D3)*(ROW()-3)/(MATCH(9.99E+307,'Returns (Calc)'!$A:$A)-3),"")</f>
        <v>721.389433962264</v>
      </c>
      <c r="Z12" s="111" t="n">
        <f aca="false">IFERROR('Price History'!E3+(INDEX('Price History'!E:E,MATCH(9.99E+307,'Price History'!$A:$A))-'Price History'!E3)*(ROW()-3)/(MATCH(9.99E+307,'Returns (Calc)'!$A:$A)-3),"")</f>
        <v>98.5415094339623</v>
      </c>
      <c r="AA12" s="111" t="n">
        <f aca="false">IFERROR('Price History'!F3+(INDEX('Price History'!F:F,MATCH(9.99E+307,'Price History'!$A:$A))-'Price History'!F3)*(ROW()-3)/(MATCH(9.99E+307,'Returns (Calc)'!$A:$A)-3),"")</f>
        <v>47.0245283018868</v>
      </c>
      <c r="AB12" s="111" t="n">
        <f aca="false">IFERROR('Price History'!G3+(INDEX('Price History'!G:G,MATCH(9.99E+307,'Price History'!$A:$A))-'Price History'!G3)*(ROW()-3)/(MATCH(9.99E+307,'Returns (Calc)'!$A:$A)-3),"")</f>
        <v>55.6943396226415</v>
      </c>
      <c r="AC12" s="111" t="n">
        <f aca="false">IFERROR('Price History'!H3+(INDEX('Price History'!H:H,MATCH(9.99E+307,'Price History'!$A:$A))-'Price History'!H3)*(ROW()-3)/(MATCH(9.99E+307,'Returns (Calc)'!$A:$A)-3),"")</f>
        <v>118.269245283019</v>
      </c>
      <c r="AD12" s="111" t="n">
        <f aca="false">IFERROR('Price History'!I3+(INDEX('Price History'!I:I,MATCH(9.99E+307,'Price History'!$A:$A))-'Price History'!I3)*(ROW()-3)/(MATCH(9.99E+307,'Returns (Calc)'!$A:$A)-3),"")</f>
        <v>51.5769811320755</v>
      </c>
      <c r="AE12" s="111" t="n">
        <f aca="false">IFERROR('Price History'!J3+(INDEX('Price History'!J:J,MATCH(9.99E+307,'Price History'!$A:$A))-'Price History'!J3)*(ROW()-3)/(MATCH(9.99E+307,'Returns (Calc)'!$A:$A)-3),"")</f>
        <v>124.292830188679</v>
      </c>
      <c r="AF12" s="111" t="n">
        <f aca="false">IFERROR('Price History'!K3+(INDEX('Price History'!K:K,MATCH(9.99E+307,'Price History'!$A:$A))-'Price History'!K3)*(ROW()-3)/(MATCH(9.99E+307,'Returns (Calc)'!$A:$A)-3),"")</f>
        <v>24.4054716981132</v>
      </c>
      <c r="AG12" s="111" t="n">
        <f aca="false">IFERROR('Price History'!L3+(INDEX('Price History'!L:L,MATCH(9.99E+307,'Price History'!$A:$A))-'Price History'!L3)*(ROW()-3)/(MATCH(9.99E+307,'Returns (Calc)'!$A:$A)-3),"")</f>
        <v>111.060943396226</v>
      </c>
      <c r="AH12" s="111" t="n">
        <f aca="false">IFERROR('Price History'!M3+(INDEX('Price History'!M:M,MATCH(9.99E+307,'Price History'!$A:$A))-'Price History'!M3)*(ROW()-3)/(MATCH(9.99E+307,'Returns (Calc)'!$A:$A)-3),"")</f>
        <v>47.4922641509434</v>
      </c>
      <c r="AI12" s="111" t="n">
        <f aca="false">IFERROR('Price History'!N3+(INDEX('Price History'!N:N,MATCH(9.99E+307,'Price History'!$A:$A))-'Price History'!N3)*(ROW()-3)/(MATCH(9.99E+307,'Returns (Calc)'!$A:$A)-3),"")</f>
        <v>360.969056603774</v>
      </c>
      <c r="AJ12" s="111" t="n">
        <f aca="false">IFERROR('Price History'!O3+(INDEX('Price History'!O:O,MATCH(9.99E+307,'Price History'!$A:$A))-'Price History'!O3)*(ROW()-3)/(MATCH(9.99E+307,'Returns (Calc)'!$A:$A)-3),"")</f>
        <v>85.3450943396226</v>
      </c>
      <c r="AK12" s="111" t="n">
        <f aca="false">IFERROR('Price History'!Q3+(INDEX('Price History'!Q:Q,MATCH(9.99E+307,'Price History'!$A:$A))-'Price History'!Q3)*(ROW()-3)/(MATCH(9.99E+307,'Returns (Calc)'!$A:$A)-3),"")</f>
        <v>50.9652830188679</v>
      </c>
      <c r="AL12" s="111" t="n">
        <f aca="false">IFERROR('Price History'!R3+(INDEX('Price History'!R:R,MATCH(9.99E+307,'Price History'!$A:$A))-'Price History'!R3)*(ROW()-3)/(MATCH(9.99E+307,'Returns (Calc)'!$A:$A)-3),"")</f>
        <v>48.5020754716981</v>
      </c>
      <c r="AM12" s="111" t="n">
        <f aca="false">IFERROR('Price History'!S3+(INDEX('Price History'!S:S,MATCH(9.99E+307,'Price History'!$A:$A))-'Price History'!S3)*(ROW()-3)/(MATCH(9.99E+307,'Returns (Calc)'!$A:$A)-3),"")</f>
        <v>63.7011320754717</v>
      </c>
      <c r="AN12" s="111" t="n">
        <f aca="false">IFERROR('Price History'!T3+(INDEX('Price History'!T:T,MATCH(9.99E+307,'Price History'!$A:$A))-'Price History'!T3)*(ROW()-3)/(MATCH(9.99E+307,'Returns (Calc)'!$A:$A)-3),"")</f>
        <v>28.5164150943396</v>
      </c>
      <c r="AO12" s="112" t="n">
        <f aca="false">IFERROR('Price History'!V3+(INDEX('Price History'!V:V,MATCH(9.99E+307,'Price History'!$A:$A))-'Price History'!V3)*(ROW()-3)/(MATCH(9.99E+307,'Returns (Calc)'!$A:$A)-3),"")</f>
        <v>21.2303773584906</v>
      </c>
    </row>
    <row r="13" customFormat="false" ht="15" hidden="false" customHeight="true" outlineLevel="0" collapsed="false">
      <c r="A13" s="108" t="n">
        <f aca="false">IF('Price History'!A14="","",'Price History'!A14)</f>
        <v>45226</v>
      </c>
      <c r="B13" s="109" t="n">
        <f aca="false">IFERROR(IF(OR(NOT(ISNUMBER('Price History'!B14)),NOT(ISNUMBER('Price History'!B13)),'Price History'!B13=0),"",'Price History'!B14/'Price History'!B13-1),"")</f>
        <v>-0.0607068914522331</v>
      </c>
      <c r="C13" s="109" t="n">
        <f aca="false">IFERROR(IF(OR(NOT(ISNUMBER('Price History'!C14)),NOT(ISNUMBER('Price History'!C13)),'Price History'!C13=0),"",'Price History'!C14/'Price History'!C13-1),"")</f>
        <v>-0.0532989469159683</v>
      </c>
      <c r="D13" s="109" t="n">
        <f aca="false">IFERROR(IF(OR(NOT(ISNUMBER('Price History'!D14)),NOT(ISNUMBER('Price History'!D13)),'Price History'!D13=0),"",'Price History'!D14/'Price History'!D13-1),"")</f>
        <v>0.0170660230994655</v>
      </c>
      <c r="E13" s="109" t="n">
        <f aca="false">IFERROR(IF(OR(NOT(ISNUMBER('Price History'!E14)),NOT(ISNUMBER('Price History'!E13)),'Price History'!E13=0),"",'Price History'!E14/'Price History'!E13-1),"")</f>
        <v>-0.0178069353327085</v>
      </c>
      <c r="F13" s="109" t="n">
        <f aca="false">IFERROR(IF(OR(NOT(ISNUMBER('Price History'!F14)),NOT(ISNUMBER('Price History'!F13)),'Price History'!F13=0),"",'Price History'!F14/'Price History'!F13-1),"")</f>
        <v>-0.0331170284179906</v>
      </c>
      <c r="G13" s="109" t="n">
        <f aca="false">IFERROR(IF(OR(NOT(ISNUMBER('Price History'!G14)),NOT(ISNUMBER('Price History'!G13)),'Price History'!G13=0),"",'Price History'!G14/'Price History'!G13-1),"")</f>
        <v>-0.00973183391003463</v>
      </c>
      <c r="H13" s="109" t="n">
        <f aca="false">IFERROR(IF(OR(NOT(ISNUMBER('Price History'!H14)),NOT(ISNUMBER('Price History'!H13)),'Price History'!H13=0),"",'Price History'!H14/'Price History'!H13-1),"")</f>
        <v>-0.0233561440047604</v>
      </c>
      <c r="I13" s="109" t="n">
        <f aca="false">IFERROR(IF(OR(NOT(ISNUMBER('Price History'!I14)),NOT(ISNUMBER('Price History'!I13)),'Price History'!I13=0),"",'Price History'!I14/'Price History'!I13-1),"")</f>
        <v>-0.0215027784489007</v>
      </c>
      <c r="J13" s="109" t="n">
        <f aca="false">IFERROR(IF(OR(NOT(ISNUMBER('Price History'!J14)),NOT(ISNUMBER('Price History'!J13)),'Price History'!J13=0),"",'Price History'!J14/'Price History'!J13-1),"")</f>
        <v>-0.0498877282046277</v>
      </c>
      <c r="K13" s="109" t="n">
        <f aca="false">IFERROR(IF(OR(NOT(ISNUMBER('Price History'!K14)),NOT(ISNUMBER('Price History'!K13)),'Price History'!K13=0),"",'Price History'!K14/'Price History'!K13-1),"")</f>
        <v>-0.0645561762880198</v>
      </c>
      <c r="L13" s="109" t="n">
        <f aca="false">IFERROR(IF(OR(NOT(ISNUMBER('Price History'!L14)),NOT(ISNUMBER('Price History'!L13)),'Price History'!L13=0),"",'Price History'!L14/'Price History'!L13-1),"")</f>
        <v>-0.0582630599058155</v>
      </c>
      <c r="M13" s="109" t="n">
        <f aca="false">IFERROR(IF(OR(NOT(ISNUMBER('Price History'!M14)),NOT(ISNUMBER('Price History'!M13)),'Price History'!M13=0),"",'Price History'!M14/'Price History'!M13-1),"")</f>
        <v>-0.00870985302123029</v>
      </c>
      <c r="N13" s="109" t="n">
        <f aca="false">IFERROR(IF(OR(NOT(ISNUMBER('Price History'!N14)),NOT(ISNUMBER('Price History'!N13)),'Price History'!N13=0),"",'Price History'!N14/'Price History'!N13-1),"")</f>
        <v>-0.018183827999779</v>
      </c>
      <c r="O13" s="109" t="n">
        <f aca="false">IFERROR(IF(OR(NOT(ISNUMBER('Price History'!O14)),NOT(ISNUMBER('Price History'!O13)),'Price History'!O13=0),"",'Price History'!O14/'Price History'!O13-1),"")</f>
        <v>-0.0154300281765732</v>
      </c>
      <c r="P13" s="109" t="str">
        <f aca="false">IFERROR(IF(OR(NOT(ISNUMBER('Price History'!P14)),NOT(ISNUMBER('Price History'!P13)),'Price History'!P13=0),"",'Price History'!P14/'Price History'!P13-1),"")</f>
        <v/>
      </c>
      <c r="Q13" s="109" t="n">
        <f aca="false">IFERROR(IF(OR(NOT(ISNUMBER('Price History'!Q14)),NOT(ISNUMBER('Price History'!Q13)),'Price History'!Q13=0),"",'Price History'!Q14/'Price History'!Q13-1),"")</f>
        <v>0.0089763177998472</v>
      </c>
      <c r="R13" s="109" t="n">
        <f aca="false">IFERROR(IF(OR(NOT(ISNUMBER('Price History'!R14)),NOT(ISNUMBER('Price History'!R13)),'Price History'!R13=0),"",'Price History'!R14/'Price History'!R13-1),"")</f>
        <v>-0.0207253886010363</v>
      </c>
      <c r="S13" s="109" t="n">
        <f aca="false">IFERROR(IF(OR(NOT(ISNUMBER('Price History'!S14)),NOT(ISNUMBER('Price History'!S13)),'Price History'!S13=0),"",'Price History'!S14/'Price History'!S13-1),"")</f>
        <v>-0.0201555869872702</v>
      </c>
      <c r="T13" s="109" t="n">
        <f aca="false">IFERROR(IF(OR(NOT(ISNUMBER('Price History'!T14)),NOT(ISNUMBER('Price History'!T13)),'Price History'!T13=0),"",'Price History'!T14/'Price History'!T13-1),"")</f>
        <v>-0.0329411764705883</v>
      </c>
      <c r="U13" s="109" t="str">
        <f aca="false">IFERROR(IF(OR(NOT(ISNUMBER('Price History'!U14)),NOT(ISNUMBER('Price History'!U13)),'Price History'!U13=0),"",'Price History'!U14/'Price History'!U13-1),"")</f>
        <v/>
      </c>
      <c r="V13" s="110" t="n">
        <f aca="false">IFERROR(IF(OR(NOT(ISNUMBER('Price History'!V14)),NOT(ISNUMBER('Price History'!V13)),'Price History'!V13=0),"",'Price History'!V14/'Price History'!V13-1),"")</f>
        <v>-0.0176223040504998</v>
      </c>
      <c r="W13" s="111" t="n">
        <f aca="false">IFERROR('Price History'!B3+(INDEX('Price History'!B:B,MATCH(9.99E+307,'Price History'!$A:$A))-'Price History'!B3)*(ROW()-3)/(MATCH(9.99E+307,'Returns (Calc)'!$A:$A)-3),"")</f>
        <v>493.233647798742</v>
      </c>
      <c r="X13" s="111" t="n">
        <f aca="false">IFERROR('Price History'!C3+(INDEX('Price History'!C:C,MATCH(9.99E+307,'Price History'!$A:$A))-'Price History'!C3)*(ROW()-3)/(MATCH(9.99E+307,'Returns (Calc)'!$A:$A)-3),"")</f>
        <v>53.1764779874214</v>
      </c>
      <c r="Y13" s="111" t="n">
        <f aca="false">IFERROR('Price History'!D3+(INDEX('Price History'!D:D,MATCH(9.99E+307,'Price History'!$A:$A))-'Price History'!D3)*(ROW()-3)/(MATCH(9.99E+307,'Returns (Calc)'!$A:$A)-3),"")</f>
        <v>728.012704402516</v>
      </c>
      <c r="Z13" s="111" t="n">
        <f aca="false">IFERROR('Price History'!E3+(INDEX('Price History'!E:E,MATCH(9.99E+307,'Price History'!$A:$A))-'Price History'!E3)*(ROW()-3)/(MATCH(9.99E+307,'Returns (Calc)'!$A:$A)-3),"")</f>
        <v>100.270566037736</v>
      </c>
      <c r="AA13" s="111" t="n">
        <f aca="false">IFERROR('Price History'!F3+(INDEX('Price History'!F:F,MATCH(9.99E+307,'Price History'!$A:$A))-'Price History'!F3)*(ROW()-3)/(MATCH(9.99E+307,'Returns (Calc)'!$A:$A)-3),"")</f>
        <v>48.1316981132076</v>
      </c>
      <c r="AB13" s="111" t="n">
        <f aca="false">IFERROR('Price History'!G3+(INDEX('Price History'!G:G,MATCH(9.99E+307,'Price History'!$A:$A))-'Price History'!G3)*(ROW()-3)/(MATCH(9.99E+307,'Returns (Calc)'!$A:$A)-3),"")</f>
        <v>56.5603773584906</v>
      </c>
      <c r="AC13" s="111" t="n">
        <f aca="false">IFERROR('Price History'!H3+(INDEX('Price History'!H:H,MATCH(9.99E+307,'Price History'!$A:$A))-'Price History'!H3)*(ROW()-3)/(MATCH(9.99E+307,'Returns (Calc)'!$A:$A)-3),"")</f>
        <v>124.258050314465</v>
      </c>
      <c r="AD13" s="111" t="n">
        <f aca="false">IFERROR('Price History'!I3+(INDEX('Price History'!I:I,MATCH(9.99E+307,'Price History'!$A:$A))-'Price History'!I3)*(ROW()-3)/(MATCH(9.99E+307,'Returns (Calc)'!$A:$A)-3),"")</f>
        <v>52.7688679245283</v>
      </c>
      <c r="AE13" s="111" t="n">
        <f aca="false">IFERROR('Price History'!J3+(INDEX('Price History'!J:J,MATCH(9.99E+307,'Price History'!$A:$A))-'Price History'!J3)*(ROW()-3)/(MATCH(9.99E+307,'Returns (Calc)'!$A:$A)-3),"")</f>
        <v>124.379811320755</v>
      </c>
      <c r="AF13" s="111" t="n">
        <f aca="false">IFERROR('Price History'!K3+(INDEX('Price History'!K:K,MATCH(9.99E+307,'Price History'!$A:$A))-'Price History'!K3)*(ROW()-3)/(MATCH(9.99E+307,'Returns (Calc)'!$A:$A)-3),"")</f>
        <v>25.4049685534591</v>
      </c>
      <c r="AG13" s="111" t="n">
        <f aca="false">IFERROR('Price History'!L3+(INDEX('Price History'!L:L,MATCH(9.99E+307,'Price History'!$A:$A))-'Price History'!L3)*(ROW()-3)/(MATCH(9.99E+307,'Returns (Calc)'!$A:$A)-3),"")</f>
        <v>113.179937106918</v>
      </c>
      <c r="AH13" s="111" t="n">
        <f aca="false">IFERROR('Price History'!M3+(INDEX('Price History'!M:M,MATCH(9.99E+307,'Price History'!$A:$A))-'Price History'!M3)*(ROW()-3)/(MATCH(9.99E+307,'Returns (Calc)'!$A:$A)-3),"")</f>
        <v>49.0458490566038</v>
      </c>
      <c r="AI13" s="111" t="n">
        <f aca="false">IFERROR('Price History'!N3+(INDEX('Price History'!N:N,MATCH(9.99E+307,'Price History'!$A:$A))-'Price History'!N3)*(ROW()-3)/(MATCH(9.99E+307,'Returns (Calc)'!$A:$A)-3),"")</f>
        <v>362.203396226415</v>
      </c>
      <c r="AJ13" s="111" t="n">
        <f aca="false">IFERROR('Price History'!O3+(INDEX('Price History'!O:O,MATCH(9.99E+307,'Price History'!$A:$A))-'Price History'!O3)*(ROW()-3)/(MATCH(9.99E+307,'Returns (Calc)'!$A:$A)-3),"")</f>
        <v>85.6223270440252</v>
      </c>
      <c r="AK13" s="111" t="n">
        <f aca="false">IFERROR('Price History'!Q3+(INDEX('Price History'!Q:Q,MATCH(9.99E+307,'Price History'!$A:$A))-'Price History'!Q3)*(ROW()-3)/(MATCH(9.99E+307,'Returns (Calc)'!$A:$A)-3),"")</f>
        <v>51.0903144654088</v>
      </c>
      <c r="AL13" s="111" t="n">
        <f aca="false">IFERROR('Price History'!R3+(INDEX('Price History'!R:R,MATCH(9.99E+307,'Price History'!$A:$A))-'Price History'!R3)*(ROW()-3)/(MATCH(9.99E+307,'Returns (Calc)'!$A:$A)-3),"")</f>
        <v>48.5778616352201</v>
      </c>
      <c r="AM13" s="111" t="n">
        <f aca="false">IFERROR('Price History'!S3+(INDEX('Price History'!S:S,MATCH(9.99E+307,'Price History'!$A:$A))-'Price History'!S3)*(ROW()-3)/(MATCH(9.99E+307,'Returns (Calc)'!$A:$A)-3),"")</f>
        <v>64.2745911949686</v>
      </c>
      <c r="AN13" s="111" t="n">
        <f aca="false">IFERROR('Price History'!T3+(INDEX('Price History'!T:T,MATCH(9.99E+307,'Price History'!$A:$A))-'Price History'!T3)*(ROW()-3)/(MATCH(9.99E+307,'Returns (Calc)'!$A:$A)-3),"")</f>
        <v>28.6949056603774</v>
      </c>
      <c r="AO13" s="112" t="n">
        <f aca="false">IFERROR('Price History'!V3+(INDEX('Price History'!V:V,MATCH(9.99E+307,'Price History'!$A:$A))-'Price History'!V3)*(ROW()-3)/(MATCH(9.99E+307,'Returns (Calc)'!$A:$A)-3),"")</f>
        <v>23.5893081761006</v>
      </c>
    </row>
    <row r="14" customFormat="false" ht="15" hidden="false" customHeight="true" outlineLevel="0" collapsed="false">
      <c r="A14" s="108" t="n">
        <f aca="false">IF('Price History'!A15="","",'Price History'!A15)</f>
        <v>45233</v>
      </c>
      <c r="B14" s="109" t="n">
        <f aca="false">IFERROR(IF(OR(NOT(ISNUMBER('Price History'!B15)),NOT(ISNUMBER('Price History'!B14)),'Price History'!B14=0),"",'Price History'!B15/'Price History'!B14-1),"")</f>
        <v>0.10930488860899</v>
      </c>
      <c r="C14" s="109" t="n">
        <f aca="false">IFERROR(IF(OR(NOT(ISNUMBER('Price History'!C15)),NOT(ISNUMBER('Price History'!C14)),'Price History'!C14=0),"",'Price History'!C15/'Price History'!C14-1),"")</f>
        <v>0.205902383654938</v>
      </c>
      <c r="D14" s="109" t="n">
        <f aca="false">IFERROR(IF(OR(NOT(ISNUMBER('Price History'!D15)),NOT(ISNUMBER('Price History'!D14)),'Price History'!D14=0),"",'Price History'!D15/'Price History'!D14-1),"")</f>
        <v>0.0888305084745762</v>
      </c>
      <c r="E14" s="109" t="n">
        <f aca="false">IFERROR(IF(OR(NOT(ISNUMBER('Price History'!E15)),NOT(ISNUMBER('Price History'!E14)),'Price History'!E14=0),"",'Price History'!E15/'Price History'!E14-1),"")</f>
        <v>0.0528387404580153</v>
      </c>
      <c r="F14" s="109" t="n">
        <f aca="false">IFERROR(IF(OR(NOT(ISNUMBER('Price History'!F15)),NOT(ISNUMBER('Price History'!F14)),'Price History'!F14=0),"",'Price History'!F15/'Price History'!F14-1),"")</f>
        <v>0.0890997454292988</v>
      </c>
      <c r="G14" s="109" t="n">
        <f aca="false">IFERROR(IF(OR(NOT(ISNUMBER('Price History'!G15)),NOT(ISNUMBER('Price History'!G14)),'Price History'!G14=0),"",'Price History'!G15/'Price History'!G14-1),"")</f>
        <v>0.0910679187595544</v>
      </c>
      <c r="H14" s="109" t="n">
        <f aca="false">IFERROR(IF(OR(NOT(ISNUMBER('Price History'!H15)),NOT(ISNUMBER('Price History'!H14)),'Price History'!H14=0),"",'Price History'!H15/'Price History'!H14-1),"")</f>
        <v>0.105559786747905</v>
      </c>
      <c r="I14" s="109" t="n">
        <f aca="false">IFERROR(IF(OR(NOT(ISNUMBER('Price History'!I15)),NOT(ISNUMBER('Price History'!I14)),'Price History'!I14=0),"",'Price History'!I15/'Price History'!I14-1),"")</f>
        <v>0.111358024691358</v>
      </c>
      <c r="J14" s="109" t="n">
        <f aca="false">IFERROR(IF(OR(NOT(ISNUMBER('Price History'!J15)),NOT(ISNUMBER('Price History'!J14)),'Price History'!J14=0),"",'Price History'!J15/'Price History'!J14-1),"")</f>
        <v>0.0948417591450885</v>
      </c>
      <c r="K14" s="109" t="n">
        <f aca="false">IFERROR(IF(OR(NOT(ISNUMBER('Price History'!K15)),NOT(ISNUMBER('Price History'!K14)),'Price History'!K14=0),"",'Price History'!K15/'Price History'!K14-1),"")</f>
        <v>0.253483742534838</v>
      </c>
      <c r="L14" s="109" t="n">
        <f aca="false">IFERROR(IF(OR(NOT(ISNUMBER('Price History'!L15)),NOT(ISNUMBER('Price History'!L14)),'Price History'!L14=0),"",'Price History'!L15/'Price History'!L14-1),"")</f>
        <v>0.0674497034538901</v>
      </c>
      <c r="M14" s="109" t="n">
        <f aca="false">IFERROR(IF(OR(NOT(ISNUMBER('Price History'!M15)),NOT(ISNUMBER('Price History'!M14)),'Price History'!M14=0),"",'Price History'!M15/'Price History'!M14-1),"")</f>
        <v>0.110378912685338</v>
      </c>
      <c r="N14" s="109" t="n">
        <f aca="false">IFERROR(IF(OR(NOT(ISNUMBER('Price History'!N15)),NOT(ISNUMBER('Price History'!N14)),'Price History'!N14=0),"",'Price History'!N15/'Price History'!N14-1),"")</f>
        <v>0.0588831344291827</v>
      </c>
      <c r="O14" s="109" t="n">
        <f aca="false">IFERROR(IF(OR(NOT(ISNUMBER('Price History'!O15)),NOT(ISNUMBER('Price History'!O14)),'Price History'!O14=0),"",'Price History'!O15/'Price History'!O14-1),"")</f>
        <v>0.0715453802125921</v>
      </c>
      <c r="P14" s="109" t="str">
        <f aca="false">IFERROR(IF(OR(NOT(ISNUMBER('Price History'!P15)),NOT(ISNUMBER('Price History'!P14)),'Price History'!P14=0),"",'Price History'!P15/'Price History'!P14-1),"")</f>
        <v/>
      </c>
      <c r="Q14" s="109" t="n">
        <f aca="false">IFERROR(IF(OR(NOT(ISNUMBER('Price History'!Q15)),NOT(ISNUMBER('Price History'!Q14)),'Price History'!Q14=0),"",'Price History'!Q15/'Price History'!Q14-1),"")</f>
        <v>-0.000757145561234185</v>
      </c>
      <c r="R14" s="109" t="n">
        <f aca="false">IFERROR(IF(OR(NOT(ISNUMBER('Price History'!R15)),NOT(ISNUMBER('Price History'!R14)),'Price History'!R14=0),"",'Price History'!R15/'Price History'!R14-1),"")</f>
        <v>0.0476190476190477</v>
      </c>
      <c r="S14" s="109" t="n">
        <f aca="false">IFERROR(IF(OR(NOT(ISNUMBER('Price History'!S15)),NOT(ISNUMBER('Price History'!S14)),'Price History'!S14=0),"",'Price History'!S15/'Price History'!S14-1),"")</f>
        <v>0.0582822085889569</v>
      </c>
      <c r="T14" s="109" t="n">
        <f aca="false">IFERROR(IF(OR(NOT(ISNUMBER('Price History'!T15)),NOT(ISNUMBER('Price History'!T14)),'Price History'!T14=0),"",'Price History'!T15/'Price History'!T14-1),"")</f>
        <v>0.0587996755879967</v>
      </c>
      <c r="U14" s="109" t="str">
        <f aca="false">IFERROR(IF(OR(NOT(ISNUMBER('Price History'!U15)),NOT(ISNUMBER('Price History'!U14)),'Price History'!U14=0),"",'Price History'!U15/'Price History'!U14-1),"")</f>
        <v/>
      </c>
      <c r="V14" s="110" t="n">
        <f aca="false">IFERROR(IF(OR(NOT(ISNUMBER('Price History'!V15)),NOT(ISNUMBER('Price History'!V14)),'Price History'!V14=0),"",'Price History'!V15/'Price History'!V14-1),"")</f>
        <v>0.062516733601071</v>
      </c>
      <c r="W14" s="111" t="n">
        <f aca="false">IFERROR('Price History'!B3+(INDEX('Price History'!B:B,MATCH(9.99E+307,'Price History'!$A:$A))-'Price History'!B3)*(ROW()-3)/(MATCH(9.99E+307,'Returns (Calc)'!$A:$A)-3),"")</f>
        <v>491.712012578616</v>
      </c>
      <c r="X14" s="111" t="n">
        <f aca="false">IFERROR('Price History'!C3+(INDEX('Price History'!C:C,MATCH(9.99E+307,'Price History'!$A:$A))-'Price History'!C3)*(ROW()-3)/(MATCH(9.99E+307,'Returns (Calc)'!$A:$A)-3),"")</f>
        <v>54.1201257861635</v>
      </c>
      <c r="Y14" s="111" t="n">
        <f aca="false">IFERROR('Price History'!D3+(INDEX('Price History'!D:D,MATCH(9.99E+307,'Price History'!$A:$A))-'Price History'!D3)*(ROW()-3)/(MATCH(9.99E+307,'Returns (Calc)'!$A:$A)-3),"")</f>
        <v>734.635974842767</v>
      </c>
      <c r="Z14" s="111" t="n">
        <f aca="false">IFERROR('Price History'!E3+(INDEX('Price History'!E:E,MATCH(9.99E+307,'Price History'!$A:$A))-'Price History'!E3)*(ROW()-3)/(MATCH(9.99E+307,'Returns (Calc)'!$A:$A)-3),"")</f>
        <v>101.999622641509</v>
      </c>
      <c r="AA14" s="111" t="n">
        <f aca="false">IFERROR('Price History'!F3+(INDEX('Price History'!F:F,MATCH(9.99E+307,'Price History'!$A:$A))-'Price History'!F3)*(ROW()-3)/(MATCH(9.99E+307,'Returns (Calc)'!$A:$A)-3),"")</f>
        <v>49.2388679245283</v>
      </c>
      <c r="AB14" s="111" t="n">
        <f aca="false">IFERROR('Price History'!G3+(INDEX('Price History'!G:G,MATCH(9.99E+307,'Price History'!$A:$A))-'Price History'!G3)*(ROW()-3)/(MATCH(9.99E+307,'Returns (Calc)'!$A:$A)-3),"")</f>
        <v>57.4264150943396</v>
      </c>
      <c r="AC14" s="111" t="n">
        <f aca="false">IFERROR('Price History'!H3+(INDEX('Price History'!H:H,MATCH(9.99E+307,'Price History'!$A:$A))-'Price History'!H3)*(ROW()-3)/(MATCH(9.99E+307,'Returns (Calc)'!$A:$A)-3),"")</f>
        <v>130.246855345912</v>
      </c>
      <c r="AD14" s="111" t="n">
        <f aca="false">IFERROR('Price History'!I3+(INDEX('Price History'!I:I,MATCH(9.99E+307,'Price History'!$A:$A))-'Price History'!I3)*(ROW()-3)/(MATCH(9.99E+307,'Returns (Calc)'!$A:$A)-3),"")</f>
        <v>53.9607547169811</v>
      </c>
      <c r="AE14" s="111" t="n">
        <f aca="false">IFERROR('Price History'!J3+(INDEX('Price History'!J:J,MATCH(9.99E+307,'Price History'!$A:$A))-'Price History'!J3)*(ROW()-3)/(MATCH(9.99E+307,'Returns (Calc)'!$A:$A)-3),"")</f>
        <v>124.46679245283</v>
      </c>
      <c r="AF14" s="111" t="n">
        <f aca="false">IFERROR('Price History'!K3+(INDEX('Price History'!K:K,MATCH(9.99E+307,'Price History'!$A:$A))-'Price History'!K3)*(ROW()-3)/(MATCH(9.99E+307,'Returns (Calc)'!$A:$A)-3),"")</f>
        <v>26.404465408805</v>
      </c>
      <c r="AG14" s="111" t="n">
        <f aca="false">IFERROR('Price History'!L3+(INDEX('Price History'!L:L,MATCH(9.99E+307,'Price History'!$A:$A))-'Price History'!L3)*(ROW()-3)/(MATCH(9.99E+307,'Returns (Calc)'!$A:$A)-3),"")</f>
        <v>115.29893081761</v>
      </c>
      <c r="AH14" s="111" t="n">
        <f aca="false">IFERROR('Price History'!M3+(INDEX('Price History'!M:M,MATCH(9.99E+307,'Price History'!$A:$A))-'Price History'!M3)*(ROW()-3)/(MATCH(9.99E+307,'Returns (Calc)'!$A:$A)-3),"")</f>
        <v>50.5994339622641</v>
      </c>
      <c r="AI14" s="111" t="n">
        <f aca="false">IFERROR('Price History'!N3+(INDEX('Price History'!N:N,MATCH(9.99E+307,'Price History'!$A:$A))-'Price History'!N3)*(ROW()-3)/(MATCH(9.99E+307,'Returns (Calc)'!$A:$A)-3),"")</f>
        <v>363.437735849057</v>
      </c>
      <c r="AJ14" s="111" t="n">
        <f aca="false">IFERROR('Price History'!O3+(INDEX('Price History'!O:O,MATCH(9.99E+307,'Price History'!$A:$A))-'Price History'!O3)*(ROW()-3)/(MATCH(9.99E+307,'Returns (Calc)'!$A:$A)-3),"")</f>
        <v>85.8995597484277</v>
      </c>
      <c r="AK14" s="111" t="n">
        <f aca="false">IFERROR('Price History'!Q3+(INDEX('Price History'!Q:Q,MATCH(9.99E+307,'Price History'!$A:$A))-'Price History'!Q3)*(ROW()-3)/(MATCH(9.99E+307,'Returns (Calc)'!$A:$A)-3),"")</f>
        <v>51.2153459119497</v>
      </c>
      <c r="AL14" s="111" t="n">
        <f aca="false">IFERROR('Price History'!R3+(INDEX('Price History'!R:R,MATCH(9.99E+307,'Price History'!$A:$A))-'Price History'!R3)*(ROW()-3)/(MATCH(9.99E+307,'Returns (Calc)'!$A:$A)-3),"")</f>
        <v>48.6536477987421</v>
      </c>
      <c r="AM14" s="111" t="n">
        <f aca="false">IFERROR('Price History'!S3+(INDEX('Price History'!S:S,MATCH(9.99E+307,'Price History'!$A:$A))-'Price History'!S3)*(ROW()-3)/(MATCH(9.99E+307,'Returns (Calc)'!$A:$A)-3),"")</f>
        <v>64.8480503144654</v>
      </c>
      <c r="AN14" s="111" t="n">
        <f aca="false">IFERROR('Price History'!T3+(INDEX('Price History'!T:T,MATCH(9.99E+307,'Price History'!$A:$A))-'Price History'!T3)*(ROW()-3)/(MATCH(9.99E+307,'Returns (Calc)'!$A:$A)-3),"")</f>
        <v>28.8733962264151</v>
      </c>
      <c r="AO14" s="112" t="n">
        <f aca="false">IFERROR('Price History'!V3+(INDEX('Price History'!V:V,MATCH(9.99E+307,'Price History'!$A:$A))-'Price History'!V3)*(ROW()-3)/(MATCH(9.99E+307,'Returns (Calc)'!$A:$A)-3),"")</f>
        <v>25.9482389937107</v>
      </c>
    </row>
    <row r="15" customFormat="false" ht="15" hidden="false" customHeight="true" outlineLevel="0" collapsed="false">
      <c r="A15" s="108" t="n">
        <f aca="false">IF('Price History'!A16="","",'Price History'!A16)</f>
        <v>45240</v>
      </c>
      <c r="B15" s="109" t="n">
        <f aca="false">IFERROR(IF(OR(NOT(ISNUMBER('Price History'!B16)),NOT(ISNUMBER('Price History'!B15)),'Price History'!B15=0),"",'Price History'!B16/'Price History'!B15-1),"")</f>
        <v>0.0595394386687012</v>
      </c>
      <c r="C15" s="109" t="n">
        <f aca="false">IFERROR(IF(OR(NOT(ISNUMBER('Price History'!C16)),NOT(ISNUMBER('Price History'!C15)),'Price History'!C15=0),"",'Price History'!C16/'Price History'!C15-1),"")</f>
        <v>-0.0265436746987952</v>
      </c>
      <c r="D15" s="109" t="n">
        <f aca="false">IFERROR(IF(OR(NOT(ISNUMBER('Price History'!D16)),NOT(ISNUMBER('Price History'!D15)),'Price History'!D15=0),"",'Price History'!D16/'Price History'!D15-1),"")</f>
        <v>0.029373764418362</v>
      </c>
      <c r="E15" s="109" t="n">
        <f aca="false">IFERROR(IF(OR(NOT(ISNUMBER('Price History'!E16)),NOT(ISNUMBER('Price History'!E15)),'Price History'!E15=0),"",'Price History'!E16/'Price History'!E15-1),"")</f>
        <v>0.0847400022657756</v>
      </c>
      <c r="F15" s="109" t="n">
        <f aca="false">IFERROR(IF(OR(NOT(ISNUMBER('Price History'!F16)),NOT(ISNUMBER('Price History'!F15)),'Price History'!F15=0),"",'Price History'!F16/'Price History'!F15-1),"")</f>
        <v>0.0429239269018273</v>
      </c>
      <c r="G15" s="109" t="n">
        <f aca="false">IFERROR(IF(OR(NOT(ISNUMBER('Price History'!G16)),NOT(ISNUMBER('Price History'!G15)),'Price History'!G15=0),"",'Price History'!G16/'Price History'!G15-1),"")</f>
        <v>0.0694555644515613</v>
      </c>
      <c r="H15" s="109" t="n">
        <f aca="false">IFERROR(IF(OR(NOT(ISNUMBER('Price History'!H16)),NOT(ISNUMBER('Price History'!H15)),'Price History'!H15=0),"",'Price History'!H16/'Price History'!H15-1),"")</f>
        <v>0.0383025626894462</v>
      </c>
      <c r="I15" s="109" t="n">
        <f aca="false">IFERROR(IF(OR(NOT(ISNUMBER('Price History'!I16)),NOT(ISNUMBER('Price History'!I15)),'Price History'!I15=0),"",'Price History'!I16/'Price History'!I15-1),"")</f>
        <v>0.0739835592090647</v>
      </c>
      <c r="J15" s="109" t="n">
        <f aca="false">IFERROR(IF(OR(NOT(ISNUMBER('Price History'!J16)),NOT(ISNUMBER('Price History'!J15)),'Price History'!J15=0),"",'Price History'!J16/'Price History'!J15-1),"")</f>
        <v>-0.0187705302674801</v>
      </c>
      <c r="K15" s="109" t="n">
        <f aca="false">IFERROR(IF(OR(NOT(ISNUMBER('Price History'!K16)),NOT(ISNUMBER('Price History'!K15)),'Price History'!K15=0),"",'Price History'!K16/'Price History'!K15-1),"")</f>
        <v>0.0412916887241928</v>
      </c>
      <c r="L15" s="109" t="n">
        <f aca="false">IFERROR(IF(OR(NOT(ISNUMBER('Price History'!L16)),NOT(ISNUMBER('Price History'!L15)),'Price History'!L15=0),"",'Price History'!L16/'Price History'!L15-1),"")</f>
        <v>0.0615535461379235</v>
      </c>
      <c r="M15" s="109" t="n">
        <f aca="false">IFERROR(IF(OR(NOT(ISNUMBER('Price History'!M16)),NOT(ISNUMBER('Price History'!M15)),'Price History'!M15=0),"",'Price History'!M16/'Price History'!M15-1),"")</f>
        <v>0.0343719090009891</v>
      </c>
      <c r="N15" s="109" t="n">
        <f aca="false">IFERROR(IF(OR(NOT(ISNUMBER('Price History'!N16)),NOT(ISNUMBER('Price History'!N15)),'Price History'!N15=0),"",'Price History'!N16/'Price History'!N15-1),"")</f>
        <v>-0.00677830940988844</v>
      </c>
      <c r="O15" s="109" t="n">
        <f aca="false">IFERROR(IF(OR(NOT(ISNUMBER('Price History'!O16)),NOT(ISNUMBER('Price History'!O15)),'Price History'!O15=0),"",'Price History'!O16/'Price History'!O15-1),"")</f>
        <v>-0.0340836830726186</v>
      </c>
      <c r="P15" s="109" t="str">
        <f aca="false">IFERROR(IF(OR(NOT(ISNUMBER('Price History'!P16)),NOT(ISNUMBER('Price History'!P15)),'Price History'!P15=0),"",'Price History'!P16/'Price History'!P15-1),"")</f>
        <v/>
      </c>
      <c r="Q15" s="109" t="n">
        <f aca="false">IFERROR(IF(OR(NOT(ISNUMBER('Price History'!Q16)),NOT(ISNUMBER('Price History'!Q15)),'Price History'!Q15=0),"",'Price History'!Q16/'Price History'!Q15-1),"")</f>
        <v>0.0017048683462777</v>
      </c>
      <c r="R15" s="109" t="n">
        <f aca="false">IFERROR(IF(OR(NOT(ISNUMBER('Price History'!R16)),NOT(ISNUMBER('Price History'!R15)),'Price History'!R15=0),"",'Price History'!R16/'Price History'!R15-1),"")</f>
        <v>0.0208333333333333</v>
      </c>
      <c r="S15" s="109" t="n">
        <f aca="false">IFERROR(IF(OR(NOT(ISNUMBER('Price History'!S16)),NOT(ISNUMBER('Price History'!S15)),'Price History'!S15=0),"",'Price History'!S16/'Price History'!S15-1),"")</f>
        <v>0.0294970161977834</v>
      </c>
      <c r="T15" s="109" t="n">
        <f aca="false">IFERROR(IF(OR(NOT(ISNUMBER('Price History'!T16)),NOT(ISNUMBER('Price History'!T15)),'Price History'!T15=0),"",'Price History'!T16/'Price History'!T15-1),"")</f>
        <v>-0.00689391037916509</v>
      </c>
      <c r="U15" s="109" t="str">
        <f aca="false">IFERROR(IF(OR(NOT(ISNUMBER('Price History'!U16)),NOT(ISNUMBER('Price History'!U15)),'Price History'!U15=0),"",'Price History'!U16/'Price History'!U15-1),"")</f>
        <v/>
      </c>
      <c r="V15" s="110" t="n">
        <f aca="false">IFERROR(IF(OR(NOT(ISNUMBER('Price History'!V16)),NOT(ISNUMBER('Price History'!V15)),'Price History'!V15=0),"",'Price History'!V16/'Price History'!V15-1),"")</f>
        <v>0.00890344798622467</v>
      </c>
      <c r="W15" s="111" t="n">
        <f aca="false">IFERROR('Price History'!B3+(INDEX('Price History'!B:B,MATCH(9.99E+307,'Price History'!$A:$A))-'Price History'!B3)*(ROW()-3)/(MATCH(9.99E+307,'Returns (Calc)'!$A:$A)-3),"")</f>
        <v>490.190377358491</v>
      </c>
      <c r="X15" s="111" t="n">
        <f aca="false">IFERROR('Price History'!C3+(INDEX('Price History'!C:C,MATCH(9.99E+307,'Price History'!$A:$A))-'Price History'!C3)*(ROW()-3)/(MATCH(9.99E+307,'Returns (Calc)'!$A:$A)-3),"")</f>
        <v>55.0637735849057</v>
      </c>
      <c r="Y15" s="111" t="n">
        <f aca="false">IFERROR('Price History'!D3+(INDEX('Price History'!D:D,MATCH(9.99E+307,'Price History'!$A:$A))-'Price History'!D3)*(ROW()-3)/(MATCH(9.99E+307,'Returns (Calc)'!$A:$A)-3),"")</f>
        <v>741.259245283019</v>
      </c>
      <c r="Z15" s="111" t="n">
        <f aca="false">IFERROR('Price History'!E3+(INDEX('Price History'!E:E,MATCH(9.99E+307,'Price History'!$A:$A))-'Price History'!E3)*(ROW()-3)/(MATCH(9.99E+307,'Returns (Calc)'!$A:$A)-3),"")</f>
        <v>103.728679245283</v>
      </c>
      <c r="AA15" s="111" t="n">
        <f aca="false">IFERROR('Price History'!F3+(INDEX('Price History'!F:F,MATCH(9.99E+307,'Price History'!$A:$A))-'Price History'!F3)*(ROW()-3)/(MATCH(9.99E+307,'Returns (Calc)'!$A:$A)-3),"")</f>
        <v>50.3460377358491</v>
      </c>
      <c r="AB15" s="111" t="n">
        <f aca="false">IFERROR('Price History'!G3+(INDEX('Price History'!G:G,MATCH(9.99E+307,'Price History'!$A:$A))-'Price History'!G3)*(ROW()-3)/(MATCH(9.99E+307,'Returns (Calc)'!$A:$A)-3),"")</f>
        <v>58.2924528301887</v>
      </c>
      <c r="AC15" s="111" t="n">
        <f aca="false">IFERROR('Price History'!H3+(INDEX('Price History'!H:H,MATCH(9.99E+307,'Price History'!$A:$A))-'Price History'!H3)*(ROW()-3)/(MATCH(9.99E+307,'Returns (Calc)'!$A:$A)-3),"")</f>
        <v>136.235660377359</v>
      </c>
      <c r="AD15" s="111" t="n">
        <f aca="false">IFERROR('Price History'!I3+(INDEX('Price History'!I:I,MATCH(9.99E+307,'Price History'!$A:$A))-'Price History'!I3)*(ROW()-3)/(MATCH(9.99E+307,'Returns (Calc)'!$A:$A)-3),"")</f>
        <v>55.152641509434</v>
      </c>
      <c r="AE15" s="111" t="n">
        <f aca="false">IFERROR('Price History'!J3+(INDEX('Price History'!J:J,MATCH(9.99E+307,'Price History'!$A:$A))-'Price History'!J3)*(ROW()-3)/(MATCH(9.99E+307,'Returns (Calc)'!$A:$A)-3),"")</f>
        <v>124.553773584906</v>
      </c>
      <c r="AF15" s="111" t="n">
        <f aca="false">IFERROR('Price History'!K3+(INDEX('Price History'!K:K,MATCH(9.99E+307,'Price History'!$A:$A))-'Price History'!K3)*(ROW()-3)/(MATCH(9.99E+307,'Returns (Calc)'!$A:$A)-3),"")</f>
        <v>27.4039622641509</v>
      </c>
      <c r="AG15" s="111" t="n">
        <f aca="false">IFERROR('Price History'!L3+(INDEX('Price History'!L:L,MATCH(9.99E+307,'Price History'!$A:$A))-'Price History'!L3)*(ROW()-3)/(MATCH(9.99E+307,'Returns (Calc)'!$A:$A)-3),"")</f>
        <v>117.417924528302</v>
      </c>
      <c r="AH15" s="111" t="n">
        <f aca="false">IFERROR('Price History'!M3+(INDEX('Price History'!M:M,MATCH(9.99E+307,'Price History'!$A:$A))-'Price History'!M3)*(ROW()-3)/(MATCH(9.99E+307,'Returns (Calc)'!$A:$A)-3),"")</f>
        <v>52.1530188679245</v>
      </c>
      <c r="AI15" s="111" t="n">
        <f aca="false">IFERROR('Price History'!N3+(INDEX('Price History'!N:N,MATCH(9.99E+307,'Price History'!$A:$A))-'Price History'!N3)*(ROW()-3)/(MATCH(9.99E+307,'Returns (Calc)'!$A:$A)-3),"")</f>
        <v>364.672075471698</v>
      </c>
      <c r="AJ15" s="111" t="n">
        <f aca="false">IFERROR('Price History'!O3+(INDEX('Price History'!O:O,MATCH(9.99E+307,'Price History'!$A:$A))-'Price History'!O3)*(ROW()-3)/(MATCH(9.99E+307,'Returns (Calc)'!$A:$A)-3),"")</f>
        <v>86.1767924528302</v>
      </c>
      <c r="AK15" s="111" t="n">
        <f aca="false">IFERROR('Price History'!Q3+(INDEX('Price History'!Q:Q,MATCH(9.99E+307,'Price History'!$A:$A))-'Price History'!Q3)*(ROW()-3)/(MATCH(9.99E+307,'Returns (Calc)'!$A:$A)-3),"")</f>
        <v>51.3403773584906</v>
      </c>
      <c r="AL15" s="111" t="n">
        <f aca="false">IFERROR('Price History'!R3+(INDEX('Price History'!R:R,MATCH(9.99E+307,'Price History'!$A:$A))-'Price History'!R3)*(ROW()-3)/(MATCH(9.99E+307,'Returns (Calc)'!$A:$A)-3),"")</f>
        <v>48.7294339622642</v>
      </c>
      <c r="AM15" s="111" t="n">
        <f aca="false">IFERROR('Price History'!S3+(INDEX('Price History'!S:S,MATCH(9.99E+307,'Price History'!$A:$A))-'Price History'!S3)*(ROW()-3)/(MATCH(9.99E+307,'Returns (Calc)'!$A:$A)-3),"")</f>
        <v>65.4215094339623</v>
      </c>
      <c r="AN15" s="111" t="n">
        <f aca="false">IFERROR('Price History'!T3+(INDEX('Price History'!T:T,MATCH(9.99E+307,'Price History'!$A:$A))-'Price History'!T3)*(ROW()-3)/(MATCH(9.99E+307,'Returns (Calc)'!$A:$A)-3),"")</f>
        <v>29.0518867924528</v>
      </c>
      <c r="AO15" s="112" t="n">
        <f aca="false">IFERROR('Price History'!V3+(INDEX('Price History'!V:V,MATCH(9.99E+307,'Price History'!$A:$A))-'Price History'!V3)*(ROW()-3)/(MATCH(9.99E+307,'Returns (Calc)'!$A:$A)-3),"")</f>
        <v>28.3071698113208</v>
      </c>
    </row>
    <row r="16" customFormat="false" ht="15" hidden="false" customHeight="true" outlineLevel="0" collapsed="false">
      <c r="A16" s="108" t="n">
        <f aca="false">IF('Price History'!A17="","",'Price History'!A17)</f>
        <v>45247</v>
      </c>
      <c r="B16" s="109" t="n">
        <f aca="false">IFERROR(IF(OR(NOT(ISNUMBER('Price History'!B17)),NOT(ISNUMBER('Price History'!B16)),'Price History'!B16=0),"",'Price History'!B17/'Price History'!B16-1),"")</f>
        <v>0.00910887110277603</v>
      </c>
      <c r="C16" s="109" t="n">
        <f aca="false">IFERROR(IF(OR(NOT(ISNUMBER('Price History'!C17)),NOT(ISNUMBER('Price History'!C16)),'Price History'!C16=0),"",'Price History'!C17/'Price History'!C16-1),"")</f>
        <v>0.0377103074840455</v>
      </c>
      <c r="D16" s="109" t="n">
        <f aca="false">IFERROR(IF(OR(NOT(ISNUMBER('Price History'!D17)),NOT(ISNUMBER('Price History'!D16)),'Price History'!D16=0),"",'Price History'!D17/'Price History'!D16-1),"")</f>
        <v>0.0375181466247279</v>
      </c>
      <c r="E16" s="109" t="n">
        <f aca="false">IFERROR(IF(OR(NOT(ISNUMBER('Price History'!E17)),NOT(ISNUMBER('Price History'!E16)),'Price History'!E16=0),"",'Price History'!E17/'Price History'!E16-1),"")</f>
        <v>0.0210966057441253</v>
      </c>
      <c r="F16" s="109" t="n">
        <f aca="false">IFERROR(IF(OR(NOT(ISNUMBER('Price History'!F17)),NOT(ISNUMBER('Price History'!F16)),'Price History'!F16=0),"",'Price History'!F17/'Price History'!F16-1),"")</f>
        <v>0.0548084759576204</v>
      </c>
      <c r="G16" s="109" t="n">
        <f aca="false">IFERROR(IF(OR(NOT(ISNUMBER('Price History'!G17)),NOT(ISNUMBER('Price History'!G16)),'Price History'!G16=0),"",'Price History'!G17/'Price History'!G16-1),"")</f>
        <v>0.0190903986524424</v>
      </c>
      <c r="H16" s="109" t="n">
        <f aca="false">IFERROR(IF(OR(NOT(ISNUMBER('Price History'!H17)),NOT(ISNUMBER('Price History'!H16)),'Price History'!H16=0),"",'Price History'!H17/'Price History'!H16-1),"")</f>
        <v>0.0291932059447984</v>
      </c>
      <c r="I16" s="109" t="n">
        <f aca="false">IFERROR(IF(OR(NOT(ISNUMBER('Price History'!I17)),NOT(ISNUMBER('Price History'!I16)),'Price History'!I16=0),"",'Price History'!I17/'Price History'!I16-1),"")</f>
        <v>0.0198593297476208</v>
      </c>
      <c r="J16" s="109" t="n">
        <f aca="false">IFERROR(IF(OR(NOT(ISNUMBER('Price History'!J17)),NOT(ISNUMBER('Price History'!J16)),'Price History'!J16=0),"",'Price History'!J17/'Price History'!J16-1),"")</f>
        <v>0.0527977044476327</v>
      </c>
      <c r="K16" s="109" t="n">
        <f aca="false">IFERROR(IF(OR(NOT(ISNUMBER('Price History'!K17)),NOT(ISNUMBER('Price History'!K16)),'Price History'!K16=0),"",'Price History'!K17/'Price History'!K16-1),"")</f>
        <v>0.0416878495170308</v>
      </c>
      <c r="L16" s="109" t="n">
        <f aca="false">IFERROR(IF(OR(NOT(ISNUMBER('Price History'!L17)),NOT(ISNUMBER('Price History'!L16)),'Price History'!L16=0),"",'Price History'!L17/'Price History'!L16-1),"")</f>
        <v>0.0219622331691298</v>
      </c>
      <c r="M16" s="109" t="n">
        <f aca="false">IFERROR(IF(OR(NOT(ISNUMBER('Price History'!M17)),NOT(ISNUMBER('Price History'!M16)),'Price History'!M16=0),"",'Price History'!M17/'Price History'!M16-1),"")</f>
        <v>0.034903179536218</v>
      </c>
      <c r="N16" s="109" t="n">
        <f aca="false">IFERROR(IF(OR(NOT(ISNUMBER('Price History'!N17)),NOT(ISNUMBER('Price History'!N16)),'Price History'!N16=0),"",'Price History'!N17/'Price History'!N16-1),"")</f>
        <v>-0.06195637628797</v>
      </c>
      <c r="O16" s="109" t="n">
        <f aca="false">IFERROR(IF(OR(NOT(ISNUMBER('Price History'!O17)),NOT(ISNUMBER('Price History'!O16)),'Price History'!O16=0),"",'Price History'!O17/'Price History'!O16-1),"")</f>
        <v>0.0554312047399603</v>
      </c>
      <c r="P16" s="109" t="str">
        <f aca="false">IFERROR(IF(OR(NOT(ISNUMBER('Price History'!P17)),NOT(ISNUMBER('Price History'!P16)),'Price History'!P16=0),"",'Price History'!P17/'Price History'!P16-1),"")</f>
        <v/>
      </c>
      <c r="Q16" s="109" t="n">
        <f aca="false">IFERROR(IF(OR(NOT(ISNUMBER('Price History'!Q17)),NOT(ISNUMBER('Price History'!Q16)),'Price History'!Q16=0),"",'Price History'!Q17/'Price History'!Q16-1),"")</f>
        <v>-0.00434947049924361</v>
      </c>
      <c r="R16" s="109" t="n">
        <f aca="false">IFERROR(IF(OR(NOT(ISNUMBER('Price History'!R17)),NOT(ISNUMBER('Price History'!R16)),'Price History'!R16=0),"",'Price History'!R17/'Price History'!R16-1),"")</f>
        <v>0.00948258091115228</v>
      </c>
      <c r="S16" s="109" t="n">
        <f aca="false">IFERROR(IF(OR(NOT(ISNUMBER('Price History'!S17)),NOT(ISNUMBER('Price History'!S16)),'Price History'!S16=0),"",'Price History'!S17/'Price History'!S16-1),"")</f>
        <v>0.0216959258032461</v>
      </c>
      <c r="T16" s="109" t="n">
        <f aca="false">IFERROR(IF(OR(NOT(ISNUMBER('Price History'!T17)),NOT(ISNUMBER('Price History'!T16)),'Price History'!T16=0),"",'Price History'!T17/'Price History'!T16-1),"")</f>
        <v>0.0254531430775165</v>
      </c>
      <c r="U16" s="109" t="str">
        <f aca="false">IFERROR(IF(OR(NOT(ISNUMBER('Price History'!U17)),NOT(ISNUMBER('Price History'!U16)),'Price History'!U16=0),"",'Price History'!U17/'Price History'!U16-1),"")</f>
        <v/>
      </c>
      <c r="V16" s="110" t="n">
        <f aca="false">IFERROR(IF(OR(NOT(ISNUMBER('Price History'!V17)),NOT(ISNUMBER('Price History'!V16)),'Price History'!V16=0),"",'Price History'!V17/'Price History'!V16-1),"")</f>
        <v>0.0175664987720101</v>
      </c>
      <c r="W16" s="111" t="n">
        <f aca="false">IFERROR('Price History'!B3+(INDEX('Price History'!B:B,MATCH(9.99E+307,'Price History'!$A:$A))-'Price History'!B3)*(ROW()-3)/(MATCH(9.99E+307,'Returns (Calc)'!$A:$A)-3),"")</f>
        <v>488.668742138365</v>
      </c>
      <c r="X16" s="111" t="n">
        <f aca="false">IFERROR('Price History'!C3+(INDEX('Price History'!C:C,MATCH(9.99E+307,'Price History'!$A:$A))-'Price History'!C3)*(ROW()-3)/(MATCH(9.99E+307,'Returns (Calc)'!$A:$A)-3),"")</f>
        <v>56.0074213836478</v>
      </c>
      <c r="Y16" s="111" t="n">
        <f aca="false">IFERROR('Price History'!D3+(INDEX('Price History'!D:D,MATCH(9.99E+307,'Price History'!$A:$A))-'Price History'!D3)*(ROW()-3)/(MATCH(9.99E+307,'Returns (Calc)'!$A:$A)-3),"")</f>
        <v>747.88251572327</v>
      </c>
      <c r="Z16" s="111" t="n">
        <f aca="false">IFERROR('Price History'!E3+(INDEX('Price History'!E:E,MATCH(9.99E+307,'Price History'!$A:$A))-'Price History'!E3)*(ROW()-3)/(MATCH(9.99E+307,'Returns (Calc)'!$A:$A)-3),"")</f>
        <v>105.457735849057</v>
      </c>
      <c r="AA16" s="111" t="n">
        <f aca="false">IFERROR('Price History'!F3+(INDEX('Price History'!F:F,MATCH(9.99E+307,'Price History'!$A:$A))-'Price History'!F3)*(ROW()-3)/(MATCH(9.99E+307,'Returns (Calc)'!$A:$A)-3),"")</f>
        <v>51.4532075471698</v>
      </c>
      <c r="AB16" s="111" t="n">
        <f aca="false">IFERROR('Price History'!G3+(INDEX('Price History'!G:G,MATCH(9.99E+307,'Price History'!$A:$A))-'Price History'!G3)*(ROW()-3)/(MATCH(9.99E+307,'Returns (Calc)'!$A:$A)-3),"")</f>
        <v>59.1584905660377</v>
      </c>
      <c r="AC16" s="111" t="n">
        <f aca="false">IFERROR('Price History'!H3+(INDEX('Price History'!H:H,MATCH(9.99E+307,'Price History'!$A:$A))-'Price History'!H3)*(ROW()-3)/(MATCH(9.99E+307,'Returns (Calc)'!$A:$A)-3),"")</f>
        <v>142.224465408805</v>
      </c>
      <c r="AD16" s="111" t="n">
        <f aca="false">IFERROR('Price History'!I3+(INDEX('Price History'!I:I,MATCH(9.99E+307,'Price History'!$A:$A))-'Price History'!I3)*(ROW()-3)/(MATCH(9.99E+307,'Returns (Calc)'!$A:$A)-3),"")</f>
        <v>56.3445283018868</v>
      </c>
      <c r="AE16" s="111" t="n">
        <f aca="false">IFERROR('Price History'!J3+(INDEX('Price History'!J:J,MATCH(9.99E+307,'Price History'!$A:$A))-'Price History'!J3)*(ROW()-3)/(MATCH(9.99E+307,'Returns (Calc)'!$A:$A)-3),"")</f>
        <v>124.640754716981</v>
      </c>
      <c r="AF16" s="111" t="n">
        <f aca="false">IFERROR('Price History'!K3+(INDEX('Price History'!K:K,MATCH(9.99E+307,'Price History'!$A:$A))-'Price History'!K3)*(ROW()-3)/(MATCH(9.99E+307,'Returns (Calc)'!$A:$A)-3),"")</f>
        <v>28.4034591194969</v>
      </c>
      <c r="AG16" s="111" t="n">
        <f aca="false">IFERROR('Price History'!L3+(INDEX('Price History'!L:L,MATCH(9.99E+307,'Price History'!$A:$A))-'Price History'!L3)*(ROW()-3)/(MATCH(9.99E+307,'Returns (Calc)'!$A:$A)-3),"")</f>
        <v>119.536918238994</v>
      </c>
      <c r="AH16" s="111" t="n">
        <f aca="false">IFERROR('Price History'!M3+(INDEX('Price History'!M:M,MATCH(9.99E+307,'Price History'!$A:$A))-'Price History'!M3)*(ROW()-3)/(MATCH(9.99E+307,'Returns (Calc)'!$A:$A)-3),"")</f>
        <v>53.7066037735849</v>
      </c>
      <c r="AI16" s="111" t="n">
        <f aca="false">IFERROR('Price History'!N3+(INDEX('Price History'!N:N,MATCH(9.99E+307,'Price History'!$A:$A))-'Price History'!N3)*(ROW()-3)/(MATCH(9.99E+307,'Returns (Calc)'!$A:$A)-3),"")</f>
        <v>365.90641509434</v>
      </c>
      <c r="AJ16" s="111" t="n">
        <f aca="false">IFERROR('Price History'!O3+(INDEX('Price History'!O:O,MATCH(9.99E+307,'Price History'!$A:$A))-'Price History'!O3)*(ROW()-3)/(MATCH(9.99E+307,'Returns (Calc)'!$A:$A)-3),"")</f>
        <v>86.4540251572327</v>
      </c>
      <c r="AK16" s="111" t="n">
        <f aca="false">IFERROR('Price History'!Q3+(INDEX('Price History'!Q:Q,MATCH(9.99E+307,'Price History'!$A:$A))-'Price History'!Q3)*(ROW()-3)/(MATCH(9.99E+307,'Returns (Calc)'!$A:$A)-3),"")</f>
        <v>51.4654088050315</v>
      </c>
      <c r="AL16" s="111" t="n">
        <f aca="false">IFERROR('Price History'!R3+(INDEX('Price History'!R:R,MATCH(9.99E+307,'Price History'!$A:$A))-'Price History'!R3)*(ROW()-3)/(MATCH(9.99E+307,'Returns (Calc)'!$A:$A)-3),"")</f>
        <v>48.8052201257862</v>
      </c>
      <c r="AM16" s="111" t="n">
        <f aca="false">IFERROR('Price History'!S3+(INDEX('Price History'!S:S,MATCH(9.99E+307,'Price History'!$A:$A))-'Price History'!S3)*(ROW()-3)/(MATCH(9.99E+307,'Returns (Calc)'!$A:$A)-3),"")</f>
        <v>65.9949685534591</v>
      </c>
      <c r="AN16" s="111" t="n">
        <f aca="false">IFERROR('Price History'!T3+(INDEX('Price History'!T:T,MATCH(9.99E+307,'Price History'!$A:$A))-'Price History'!T3)*(ROW()-3)/(MATCH(9.99E+307,'Returns (Calc)'!$A:$A)-3),"")</f>
        <v>29.2303773584906</v>
      </c>
      <c r="AO16" s="112" t="n">
        <f aca="false">IFERROR('Price History'!V3+(INDEX('Price History'!V:V,MATCH(9.99E+307,'Price History'!$A:$A))-'Price History'!V3)*(ROW()-3)/(MATCH(9.99E+307,'Returns (Calc)'!$A:$A)-3),"")</f>
        <v>30.6661006289308</v>
      </c>
    </row>
    <row r="17" customFormat="false" ht="15" hidden="false" customHeight="true" outlineLevel="0" collapsed="false">
      <c r="A17" s="108" t="n">
        <f aca="false">IF('Price History'!A18="","",'Price History'!A18)</f>
        <v>45254</v>
      </c>
      <c r="B17" s="109" t="n">
        <f aca="false">IFERROR(IF(OR(NOT(ISNUMBER('Price History'!B18)),NOT(ISNUMBER('Price History'!B17)),'Price History'!B17=0),"",'Price History'!B18/'Price History'!B17-1),"")</f>
        <v>0.02782663525039</v>
      </c>
      <c r="C17" s="109" t="n">
        <f aca="false">IFERROR(IF(OR(NOT(ISNUMBER('Price History'!C18)),NOT(ISNUMBER('Price History'!C17)),'Price History'!C17=0),"",'Price History'!C18/'Price History'!C17-1),"")</f>
        <v>0.0175177040626167</v>
      </c>
      <c r="D17" s="109" t="n">
        <f aca="false">IFERROR(IF(OR(NOT(ISNUMBER('Price History'!D18)),NOT(ISNUMBER('Price History'!D17)),'Price History'!D17=0),"",'Price History'!D18/'Price History'!D17-1),"")</f>
        <v>0.00741885175414292</v>
      </c>
      <c r="E17" s="109" t="n">
        <f aca="false">IFERROR(IF(OR(NOT(ISNUMBER('Price History'!E18)),NOT(ISNUMBER('Price History'!E17)),'Price History'!E17=0),"",'Price History'!E18/'Price History'!E17-1),"")</f>
        <v>0.00122737035900578</v>
      </c>
      <c r="F17" s="109" t="n">
        <f aca="false">IFERROR(IF(OR(NOT(ISNUMBER('Price History'!F18)),NOT(ISNUMBER('Price History'!F17)),'Price History'!F17=0),"",'Price History'!F18/'Price History'!F17-1),"")</f>
        <v>0.0173845856673749</v>
      </c>
      <c r="G17" s="109" t="n">
        <f aca="false">IFERROR(IF(OR(NOT(ISNUMBER('Price History'!G18)),NOT(ISNUMBER('Price History'!G17)),'Price History'!G17=0),"",'Price History'!G18/'Price History'!G17-1),"")</f>
        <v>0.0203856749311295</v>
      </c>
      <c r="H17" s="109" t="n">
        <f aca="false">IFERROR(IF(OR(NOT(ISNUMBER('Price History'!H18)),NOT(ISNUMBER('Price History'!H17)),'Price History'!H17=0),"",'Price History'!H18/'Price History'!H17-1),"")</f>
        <v>-0.00889633831872094</v>
      </c>
      <c r="I17" s="109" t="n">
        <f aca="false">IFERROR(IF(OR(NOT(ISNUMBER('Price History'!I18)),NOT(ISNUMBER('Price History'!I17)),'Price History'!I17=0),"",'Price History'!I18/'Price History'!I17-1),"")</f>
        <v>-0.0308316430020283</v>
      </c>
      <c r="J17" s="109" t="n">
        <f aca="false">IFERROR(IF(OR(NOT(ISNUMBER('Price History'!J18)),NOT(ISNUMBER('Price History'!J17)),'Price History'!J17=0),"",'Price History'!J18/'Price History'!J17-1),"")</f>
        <v>0.0175342963568639</v>
      </c>
      <c r="K17" s="109" t="n">
        <f aca="false">IFERROR(IF(OR(NOT(ISNUMBER('Price History'!K18)),NOT(ISNUMBER('Price History'!K17)),'Price History'!K17=0),"",'Price History'!K18/'Price History'!K17-1),"")</f>
        <v>-0.0629575402635432</v>
      </c>
      <c r="L17" s="109" t="n">
        <f aca="false">IFERROR(IF(OR(NOT(ISNUMBER('Price History'!L18)),NOT(ISNUMBER('Price History'!L17)),'Price History'!L17=0),"",'Price History'!L18/'Price History'!L17-1),"")</f>
        <v>-0.0175738100020084</v>
      </c>
      <c r="M17" s="109" t="n">
        <f aca="false">IFERROR(IF(OR(NOT(ISNUMBER('Price History'!M18)),NOT(ISNUMBER('Price History'!M17)),'Price History'!M17=0),"",'Price History'!M18/'Price History'!M17-1),"")</f>
        <v>-0.0140910140910141</v>
      </c>
      <c r="N17" s="109" t="n">
        <f aca="false">IFERROR(IF(OR(NOT(ISNUMBER('Price History'!N18)),NOT(ISNUMBER('Price History'!N17)),'Price History'!N17=0),"",'Price History'!N18/'Price History'!N17-1),"")</f>
        <v>0.00724679029957209</v>
      </c>
      <c r="O17" s="109" t="n">
        <f aca="false">IFERROR(IF(OR(NOT(ISNUMBER('Price History'!O18)),NOT(ISNUMBER('Price History'!O17)),'Price History'!O17=0),"",'Price History'!O18/'Price History'!O17-1),"")</f>
        <v>0.000124750499002069</v>
      </c>
      <c r="P17" s="109" t="str">
        <f aca="false">IFERROR(IF(OR(NOT(ISNUMBER('Price History'!P18)),NOT(ISNUMBER('Price History'!P17)),'Price History'!P17=0),"",'Price History'!P18/'Price History'!P17-1),"")</f>
        <v/>
      </c>
      <c r="Q17" s="109" t="n">
        <f aca="false">IFERROR(IF(OR(NOT(ISNUMBER('Price History'!Q18)),NOT(ISNUMBER('Price History'!Q17)),'Price History'!Q17=0),"",'Price History'!Q18/'Price History'!Q17-1),"")</f>
        <v>0.00987654320987663</v>
      </c>
      <c r="R17" s="109" t="n">
        <f aca="false">IFERROR(IF(OR(NOT(ISNUMBER('Price History'!R18)),NOT(ISNUMBER('Price History'!R17)),'Price History'!R17=0),"",'Price History'!R18/'Price History'!R17-1),"")</f>
        <v>0.00530937308556245</v>
      </c>
      <c r="S17" s="109" t="n">
        <f aca="false">IFERROR(IF(OR(NOT(ISNUMBER('Price History'!S18)),NOT(ISNUMBER('Price History'!S17)),'Price History'!S17=0),"",'Price History'!S18/'Price History'!S17-1),"")</f>
        <v>0.00551142810828331</v>
      </c>
      <c r="T17" s="109" t="n">
        <f aca="false">IFERROR(IF(OR(NOT(ISNUMBER('Price History'!T18)),NOT(ISNUMBER('Price History'!T17)),'Price History'!T17=0),"",'Price History'!T18/'Price History'!T17-1),"")</f>
        <v>0.00714554343738261</v>
      </c>
      <c r="U17" s="109" t="str">
        <f aca="false">IFERROR(IF(OR(NOT(ISNUMBER('Price History'!U18)),NOT(ISNUMBER('Price History'!U17)),'Price History'!U17=0),"",'Price History'!U18/'Price History'!U17-1),"")</f>
        <v/>
      </c>
      <c r="V17" s="110" t="n">
        <f aca="false">IFERROR(IF(OR(NOT(ISNUMBER('Price History'!V18)),NOT(ISNUMBER('Price History'!V17)),'Price History'!V17=0),"",'Price History'!V18/'Price History'!V17-1),"")</f>
        <v>0.019022294947842</v>
      </c>
      <c r="W17" s="111" t="n">
        <f aca="false">IFERROR('Price History'!B3+(INDEX('Price History'!B:B,MATCH(9.99E+307,'Price History'!$A:$A))-'Price History'!B3)*(ROW()-3)/(MATCH(9.99E+307,'Returns (Calc)'!$A:$A)-3),"")</f>
        <v>487.147106918239</v>
      </c>
      <c r="X17" s="111" t="n">
        <f aca="false">IFERROR('Price History'!C3+(INDEX('Price History'!C:C,MATCH(9.99E+307,'Price History'!$A:$A))-'Price History'!C3)*(ROW()-3)/(MATCH(9.99E+307,'Returns (Calc)'!$A:$A)-3),"")</f>
        <v>56.9510691823899</v>
      </c>
      <c r="Y17" s="111" t="n">
        <f aca="false">IFERROR('Price History'!D3+(INDEX('Price History'!D:D,MATCH(9.99E+307,'Price History'!$A:$A))-'Price History'!D3)*(ROW()-3)/(MATCH(9.99E+307,'Returns (Calc)'!$A:$A)-3),"")</f>
        <v>754.505786163522</v>
      </c>
      <c r="Z17" s="111" t="n">
        <f aca="false">IFERROR('Price History'!E3+(INDEX('Price History'!E:E,MATCH(9.99E+307,'Price History'!$A:$A))-'Price History'!E3)*(ROW()-3)/(MATCH(9.99E+307,'Returns (Calc)'!$A:$A)-3),"")</f>
        <v>107.18679245283</v>
      </c>
      <c r="AA17" s="111" t="n">
        <f aca="false">IFERROR('Price History'!F3+(INDEX('Price History'!F:F,MATCH(9.99E+307,'Price History'!$A:$A))-'Price History'!F3)*(ROW()-3)/(MATCH(9.99E+307,'Returns (Calc)'!$A:$A)-3),"")</f>
        <v>52.5603773584906</v>
      </c>
      <c r="AB17" s="111" t="n">
        <f aca="false">IFERROR('Price History'!G3+(INDEX('Price History'!G:G,MATCH(9.99E+307,'Price History'!$A:$A))-'Price History'!G3)*(ROW()-3)/(MATCH(9.99E+307,'Returns (Calc)'!$A:$A)-3),"")</f>
        <v>60.0245283018868</v>
      </c>
      <c r="AC17" s="111" t="n">
        <f aca="false">IFERROR('Price History'!H3+(INDEX('Price History'!H:H,MATCH(9.99E+307,'Price History'!$A:$A))-'Price History'!H3)*(ROW()-3)/(MATCH(9.99E+307,'Returns (Calc)'!$A:$A)-3),"")</f>
        <v>148.213270440252</v>
      </c>
      <c r="AD17" s="111" t="n">
        <f aca="false">IFERROR('Price History'!I3+(INDEX('Price History'!I:I,MATCH(9.99E+307,'Price History'!$A:$A))-'Price History'!I3)*(ROW()-3)/(MATCH(9.99E+307,'Returns (Calc)'!$A:$A)-3),"")</f>
        <v>57.5364150943396</v>
      </c>
      <c r="AE17" s="111" t="n">
        <f aca="false">IFERROR('Price History'!J3+(INDEX('Price History'!J:J,MATCH(9.99E+307,'Price History'!$A:$A))-'Price History'!J3)*(ROW()-3)/(MATCH(9.99E+307,'Returns (Calc)'!$A:$A)-3),"")</f>
        <v>124.727735849057</v>
      </c>
      <c r="AF17" s="111" t="n">
        <f aca="false">IFERROR('Price History'!K3+(INDEX('Price History'!K:K,MATCH(9.99E+307,'Price History'!$A:$A))-'Price History'!K3)*(ROW()-3)/(MATCH(9.99E+307,'Returns (Calc)'!$A:$A)-3),"")</f>
        <v>29.4029559748428</v>
      </c>
      <c r="AG17" s="111" t="n">
        <f aca="false">IFERROR('Price History'!L3+(INDEX('Price History'!L:L,MATCH(9.99E+307,'Price History'!$A:$A))-'Price History'!L3)*(ROW()-3)/(MATCH(9.99E+307,'Returns (Calc)'!$A:$A)-3),"")</f>
        <v>121.655911949686</v>
      </c>
      <c r="AH17" s="111" t="n">
        <f aca="false">IFERROR('Price History'!M3+(INDEX('Price History'!M:M,MATCH(9.99E+307,'Price History'!$A:$A))-'Price History'!M3)*(ROW()-3)/(MATCH(9.99E+307,'Returns (Calc)'!$A:$A)-3),"")</f>
        <v>55.2601886792453</v>
      </c>
      <c r="AI17" s="111" t="n">
        <f aca="false">IFERROR('Price History'!N3+(INDEX('Price History'!N:N,MATCH(9.99E+307,'Price History'!$A:$A))-'Price History'!N3)*(ROW()-3)/(MATCH(9.99E+307,'Returns (Calc)'!$A:$A)-3),"")</f>
        <v>367.140754716981</v>
      </c>
      <c r="AJ17" s="111" t="n">
        <f aca="false">IFERROR('Price History'!O3+(INDEX('Price History'!O:O,MATCH(9.99E+307,'Price History'!$A:$A))-'Price History'!O3)*(ROW()-3)/(MATCH(9.99E+307,'Returns (Calc)'!$A:$A)-3),"")</f>
        <v>86.7312578616352</v>
      </c>
      <c r="AK17" s="111" t="n">
        <f aca="false">IFERROR('Price History'!Q3+(INDEX('Price History'!Q:Q,MATCH(9.99E+307,'Price History'!$A:$A))-'Price History'!Q3)*(ROW()-3)/(MATCH(9.99E+307,'Returns (Calc)'!$A:$A)-3),"")</f>
        <v>51.5904402515723</v>
      </c>
      <c r="AL17" s="111" t="n">
        <f aca="false">IFERROR('Price History'!R3+(INDEX('Price History'!R:R,MATCH(9.99E+307,'Price History'!$A:$A))-'Price History'!R3)*(ROW()-3)/(MATCH(9.99E+307,'Returns (Calc)'!$A:$A)-3),"")</f>
        <v>48.8810062893082</v>
      </c>
      <c r="AM17" s="111" t="n">
        <f aca="false">IFERROR('Price History'!S3+(INDEX('Price History'!S:S,MATCH(9.99E+307,'Price History'!$A:$A))-'Price History'!S3)*(ROW()-3)/(MATCH(9.99E+307,'Returns (Calc)'!$A:$A)-3),"")</f>
        <v>66.568427672956</v>
      </c>
      <c r="AN17" s="111" t="n">
        <f aca="false">IFERROR('Price History'!T3+(INDEX('Price History'!T:T,MATCH(9.99E+307,'Price History'!$A:$A))-'Price History'!T3)*(ROW()-3)/(MATCH(9.99E+307,'Returns (Calc)'!$A:$A)-3),"")</f>
        <v>29.4088679245283</v>
      </c>
      <c r="AO17" s="112" t="n">
        <f aca="false">IFERROR('Price History'!V3+(INDEX('Price History'!V:V,MATCH(9.99E+307,'Price History'!$A:$A))-'Price History'!V3)*(ROW()-3)/(MATCH(9.99E+307,'Returns (Calc)'!$A:$A)-3),"")</f>
        <v>33.0250314465409</v>
      </c>
    </row>
    <row r="18" customFormat="false" ht="15" hidden="false" customHeight="true" outlineLevel="0" collapsed="false">
      <c r="A18" s="108" t="n">
        <f aca="false">IF('Price History'!A19="","",'Price History'!A19)</f>
        <v>45261</v>
      </c>
      <c r="B18" s="109" t="n">
        <f aca="false">IFERROR(IF(OR(NOT(ISNUMBER('Price History'!B19)),NOT(ISNUMBER('Price History'!B18)),'Price History'!B18=0),"",'Price History'!B19/'Price History'!B18-1),"")</f>
        <v>-0.0112361364480247</v>
      </c>
      <c r="C18" s="109" t="n">
        <f aca="false">IFERROR(IF(OR(NOT(ISNUMBER('Price History'!C19)),NOT(ISNUMBER('Price History'!C18)),'Price History'!C18=0),"",'Price History'!C19/'Price History'!C18-1),"")</f>
        <v>-0.00805860805860814</v>
      </c>
      <c r="D18" s="109" t="n">
        <f aca="false">IFERROR(IF(OR(NOT(ISNUMBER('Price History'!D19)),NOT(ISNUMBER('Price History'!D18)),'Price History'!D18=0),"",'Price History'!D19/'Price History'!D18-1),"")</f>
        <v>0.00147573714517213</v>
      </c>
      <c r="E18" s="109" t="n">
        <f aca="false">IFERROR(IF(OR(NOT(ISNUMBER('Price History'!E19)),NOT(ISNUMBER('Price History'!E18)),'Price History'!E18=0),"",'Price History'!E19/'Price History'!E18-1),"")</f>
        <v>-0.0499540300337114</v>
      </c>
      <c r="F18" s="109" t="n">
        <f aca="false">IFERROR(IF(OR(NOT(ISNUMBER('Price History'!F19)),NOT(ISNUMBER('Price History'!F18)),'Price History'!F18=0),"",'Price History'!F19/'Price History'!F18-1),"")</f>
        <v>0.115625593316879</v>
      </c>
      <c r="G18" s="109" t="n">
        <f aca="false">IFERROR(IF(OR(NOT(ISNUMBER('Price History'!G19)),NOT(ISNUMBER('Price History'!G18)),'Price History'!G18=0),"",'Price History'!G19/'Price History'!G18-1),"")</f>
        <v>-0.0118790496760259</v>
      </c>
      <c r="H18" s="109" t="n">
        <f aca="false">IFERROR(IF(OR(NOT(ISNUMBER('Price History'!H19)),NOT(ISNUMBER('Price History'!H18)),'Price History'!H18=0),"",'Price History'!H19/'Price History'!H18-1),"")</f>
        <v>-0.0122284376219591</v>
      </c>
      <c r="I18" s="109" t="n">
        <f aca="false">IFERROR(IF(OR(NOT(ISNUMBER('Price History'!I19)),NOT(ISNUMBER('Price History'!I18)),'Price History'!I18=0),"",'Price History'!I19/'Price History'!I18-1),"")</f>
        <v>-0.0211385516952699</v>
      </c>
      <c r="J18" s="109" t="n">
        <f aca="false">IFERROR(IF(OR(NOT(ISNUMBER('Price History'!J19)),NOT(ISNUMBER('Price History'!J18)),'Price History'!J18=0),"",'Price History'!J19/'Price History'!J18-1),"")</f>
        <v>0.0558928571428572</v>
      </c>
      <c r="K18" s="109" t="n">
        <f aca="false">IFERROR(IF(OR(NOT(ISNUMBER('Price History'!K19)),NOT(ISNUMBER('Price History'!K18)),'Price History'!K18=0),"",'Price History'!K19/'Price History'!K18-1),"")</f>
        <v>0.0557291666666666</v>
      </c>
      <c r="L18" s="109" t="n">
        <f aca="false">IFERROR(IF(OR(NOT(ISNUMBER('Price History'!L19)),NOT(ISNUMBER('Price History'!L18)),'Price History'!L18=0),"",'Price History'!L19/'Price History'!L18-1),"")</f>
        <v>0.00735970561177557</v>
      </c>
      <c r="M18" s="109" t="n">
        <f aca="false">IFERROR(IF(OR(NOT(ISNUMBER('Price History'!M19)),NOT(ISNUMBER('Price History'!M18)),'Price History'!M18=0),"",'Price History'!M19/'Price History'!M18-1),"")</f>
        <v>0.0576382380506093</v>
      </c>
      <c r="N18" s="109" t="n">
        <f aca="false">IFERROR(IF(OR(NOT(ISNUMBER('Price History'!N19)),NOT(ISNUMBER('Price History'!N18)),'Price History'!N18=0),"",'Price History'!N19/'Price History'!N18-1),"")</f>
        <v>-0.00532517561749379</v>
      </c>
      <c r="O18" s="109" t="n">
        <f aca="false">IFERROR(IF(OR(NOT(ISNUMBER('Price History'!O19)),NOT(ISNUMBER('Price History'!O18)),'Price History'!O18=0),"",'Price History'!O19/'Price History'!O18-1),"")</f>
        <v>0.0335536983909193</v>
      </c>
      <c r="P18" s="109" t="str">
        <f aca="false">IFERROR(IF(OR(NOT(ISNUMBER('Price History'!P19)),NOT(ISNUMBER('Price History'!P18)),'Price History'!P18=0),"",'Price History'!P19/'Price History'!P18-1),"")</f>
        <v/>
      </c>
      <c r="Q18" s="109" t="n">
        <f aca="false">IFERROR(IF(OR(NOT(ISNUMBER('Price History'!Q19)),NOT(ISNUMBER('Price History'!Q18)),'Price History'!Q18=0),"",'Price History'!Q19/'Price History'!Q18-1),"")</f>
        <v>0.00583035546360722</v>
      </c>
      <c r="R18" s="109" t="n">
        <f aca="false">IFERROR(IF(OR(NOT(ISNUMBER('Price History'!R19)),NOT(ISNUMBER('Price History'!R18)),'Price History'!R18=0),"",'Price History'!R19/'Price History'!R18-1),"")</f>
        <v>-0.00670322973796467</v>
      </c>
      <c r="S18" s="109" t="n">
        <f aca="false">IFERROR(IF(OR(NOT(ISNUMBER('Price History'!S19)),NOT(ISNUMBER('Price History'!S18)),'Price History'!S18=0),"",'Price History'!S19/'Price History'!S18-1),"")</f>
        <v>-0.00225697243269385</v>
      </c>
      <c r="T18" s="109" t="n">
        <f aca="false">IFERROR(IF(OR(NOT(ISNUMBER('Price History'!T19)),NOT(ISNUMBER('Price History'!T18)),'Price History'!T18=0),"",'Price History'!T19/'Price History'!T18-1),"")</f>
        <v>0.0134428678117999</v>
      </c>
      <c r="U18" s="109" t="str">
        <f aca="false">IFERROR(IF(OR(NOT(ISNUMBER('Price History'!U19)),NOT(ISNUMBER('Price History'!U18)),'Price History'!U18=0),"",'Price History'!U19/'Price History'!U18-1),"")</f>
        <v/>
      </c>
      <c r="V18" s="110" t="n">
        <f aca="false">IFERROR(IF(OR(NOT(ISNUMBER('Price History'!V19)),NOT(ISNUMBER('Price History'!V18)),'Price History'!V18=0),"",'Price History'!V19/'Price History'!V18-1),"")</f>
        <v>0.00843034925732633</v>
      </c>
      <c r="W18" s="111" t="n">
        <f aca="false">IFERROR('Price History'!B3+(INDEX('Price History'!B:B,MATCH(9.99E+307,'Price History'!$A:$A))-'Price History'!B3)*(ROW()-3)/(MATCH(9.99E+307,'Returns (Calc)'!$A:$A)-3),"")</f>
        <v>485.625471698113</v>
      </c>
      <c r="X18" s="111" t="n">
        <f aca="false">IFERROR('Price History'!C3+(INDEX('Price History'!C:C,MATCH(9.99E+307,'Price History'!$A:$A))-'Price History'!C3)*(ROW()-3)/(MATCH(9.99E+307,'Returns (Calc)'!$A:$A)-3),"")</f>
        <v>57.8947169811321</v>
      </c>
      <c r="Y18" s="111" t="n">
        <f aca="false">IFERROR('Price History'!D3+(INDEX('Price History'!D:D,MATCH(9.99E+307,'Price History'!$A:$A))-'Price History'!D3)*(ROW()-3)/(MATCH(9.99E+307,'Returns (Calc)'!$A:$A)-3),"")</f>
        <v>761.129056603774</v>
      </c>
      <c r="Z18" s="111" t="n">
        <f aca="false">IFERROR('Price History'!E3+(INDEX('Price History'!E:E,MATCH(9.99E+307,'Price History'!$A:$A))-'Price History'!E3)*(ROW()-3)/(MATCH(9.99E+307,'Returns (Calc)'!$A:$A)-3),"")</f>
        <v>108.915849056604</v>
      </c>
      <c r="AA18" s="111" t="n">
        <f aca="false">IFERROR('Price History'!F3+(INDEX('Price History'!F:F,MATCH(9.99E+307,'Price History'!$A:$A))-'Price History'!F3)*(ROW()-3)/(MATCH(9.99E+307,'Returns (Calc)'!$A:$A)-3),"")</f>
        <v>53.6675471698113</v>
      </c>
      <c r="AB18" s="111" t="n">
        <f aca="false">IFERROR('Price History'!G3+(INDEX('Price History'!G:G,MATCH(9.99E+307,'Price History'!$A:$A))-'Price History'!G3)*(ROW()-3)/(MATCH(9.99E+307,'Returns (Calc)'!$A:$A)-3),"")</f>
        <v>60.8905660377359</v>
      </c>
      <c r="AC18" s="111" t="n">
        <f aca="false">IFERROR('Price History'!H3+(INDEX('Price History'!H:H,MATCH(9.99E+307,'Price History'!$A:$A))-'Price History'!H3)*(ROW()-3)/(MATCH(9.99E+307,'Returns (Calc)'!$A:$A)-3),"")</f>
        <v>154.202075471698</v>
      </c>
      <c r="AD18" s="111" t="n">
        <f aca="false">IFERROR('Price History'!I3+(INDEX('Price History'!I:I,MATCH(9.99E+307,'Price History'!$A:$A))-'Price History'!I3)*(ROW()-3)/(MATCH(9.99E+307,'Returns (Calc)'!$A:$A)-3),"")</f>
        <v>58.7283018867925</v>
      </c>
      <c r="AE18" s="111" t="n">
        <f aca="false">IFERROR('Price History'!J3+(INDEX('Price History'!J:J,MATCH(9.99E+307,'Price History'!$A:$A))-'Price History'!J3)*(ROW()-3)/(MATCH(9.99E+307,'Returns (Calc)'!$A:$A)-3),"")</f>
        <v>124.814716981132</v>
      </c>
      <c r="AF18" s="111" t="n">
        <f aca="false">IFERROR('Price History'!K3+(INDEX('Price History'!K:K,MATCH(9.99E+307,'Price History'!$A:$A))-'Price History'!K3)*(ROW()-3)/(MATCH(9.99E+307,'Returns (Calc)'!$A:$A)-3),"")</f>
        <v>30.4024528301887</v>
      </c>
      <c r="AG18" s="111" t="n">
        <f aca="false">IFERROR('Price History'!L3+(INDEX('Price History'!L:L,MATCH(9.99E+307,'Price History'!$A:$A))-'Price History'!L3)*(ROW()-3)/(MATCH(9.99E+307,'Returns (Calc)'!$A:$A)-3),"")</f>
        <v>123.774905660377</v>
      </c>
      <c r="AH18" s="111" t="n">
        <f aca="false">IFERROR('Price History'!M3+(INDEX('Price History'!M:M,MATCH(9.99E+307,'Price History'!$A:$A))-'Price History'!M3)*(ROW()-3)/(MATCH(9.99E+307,'Returns (Calc)'!$A:$A)-3),"")</f>
        <v>56.8137735849057</v>
      </c>
      <c r="AI18" s="111" t="n">
        <f aca="false">IFERROR('Price History'!N3+(INDEX('Price History'!N:N,MATCH(9.99E+307,'Price History'!$A:$A))-'Price History'!N3)*(ROW()-3)/(MATCH(9.99E+307,'Returns (Calc)'!$A:$A)-3),"")</f>
        <v>368.375094339623</v>
      </c>
      <c r="AJ18" s="111" t="n">
        <f aca="false">IFERROR('Price History'!O3+(INDEX('Price History'!O:O,MATCH(9.99E+307,'Price History'!$A:$A))-'Price History'!O3)*(ROW()-3)/(MATCH(9.99E+307,'Returns (Calc)'!$A:$A)-3),"")</f>
        <v>87.0084905660377</v>
      </c>
      <c r="AK18" s="111" t="n">
        <f aca="false">IFERROR('Price History'!Q3+(INDEX('Price History'!Q:Q,MATCH(9.99E+307,'Price History'!$A:$A))-'Price History'!Q3)*(ROW()-3)/(MATCH(9.99E+307,'Returns (Calc)'!$A:$A)-3),"")</f>
        <v>51.7154716981132</v>
      </c>
      <c r="AL18" s="111" t="n">
        <f aca="false">IFERROR('Price History'!R3+(INDEX('Price History'!R:R,MATCH(9.99E+307,'Price History'!$A:$A))-'Price History'!R3)*(ROW()-3)/(MATCH(9.99E+307,'Returns (Calc)'!$A:$A)-3),"")</f>
        <v>48.9567924528302</v>
      </c>
      <c r="AM18" s="111" t="n">
        <f aca="false">IFERROR('Price History'!S3+(INDEX('Price History'!S:S,MATCH(9.99E+307,'Price History'!$A:$A))-'Price History'!S3)*(ROW()-3)/(MATCH(9.99E+307,'Returns (Calc)'!$A:$A)-3),"")</f>
        <v>67.1418867924528</v>
      </c>
      <c r="AN18" s="111" t="n">
        <f aca="false">IFERROR('Price History'!T3+(INDEX('Price History'!T:T,MATCH(9.99E+307,'Price History'!$A:$A))-'Price History'!T3)*(ROW()-3)/(MATCH(9.99E+307,'Returns (Calc)'!$A:$A)-3),"")</f>
        <v>29.587358490566</v>
      </c>
      <c r="AO18" s="112" t="n">
        <f aca="false">IFERROR('Price History'!V3+(INDEX('Price History'!V:V,MATCH(9.99E+307,'Price History'!$A:$A))-'Price History'!V3)*(ROW()-3)/(MATCH(9.99E+307,'Returns (Calc)'!$A:$A)-3),"")</f>
        <v>35.3839622641509</v>
      </c>
    </row>
    <row r="19" customFormat="false" ht="15" hidden="false" customHeight="true" outlineLevel="0" collapsed="false">
      <c r="A19" s="108" t="n">
        <f aca="false">IF('Price History'!A20="","",'Price History'!A20)</f>
        <v>45268</v>
      </c>
      <c r="B19" s="109" t="n">
        <f aca="false">IFERROR(IF(OR(NOT(ISNUMBER('Price History'!B20)),NOT(ISNUMBER('Price History'!B19)),'Price History'!B19=0),"",'Price History'!B20/'Price History'!B19-1),"")</f>
        <v>-0.00401652325828206</v>
      </c>
      <c r="C19" s="109" t="n">
        <f aca="false">IFERROR(IF(OR(NOT(ISNUMBER('Price History'!C20)),NOT(ISNUMBER('Price History'!C19)),'Price History'!C19=0),"",'Price History'!C20/'Price History'!C19-1),"")</f>
        <v>0.0341580502215657</v>
      </c>
      <c r="D19" s="109" t="n">
        <f aca="false">IFERROR(IF(OR(NOT(ISNUMBER('Price History'!D20)),NOT(ISNUMBER('Price History'!D19)),'Price History'!D19=0),"",'Price History'!D20/'Price History'!D19-1),"")</f>
        <v>0.00611095059231426</v>
      </c>
      <c r="E19" s="109" t="n">
        <f aca="false">IFERROR(IF(OR(NOT(ISNUMBER('Price History'!E20)),NOT(ISNUMBER('Price History'!E19)),'Price History'!E19=0),"",'Price History'!E20/'Price History'!E19-1),"")</f>
        <v>0.0153763440860215</v>
      </c>
      <c r="F19" s="109" t="n">
        <f aca="false">IFERROR(IF(OR(NOT(ISNUMBER('Price History'!F20)),NOT(ISNUMBER('Price History'!F19)),'Price History'!F19=0),"",'Price History'!F20/'Price History'!F19-1),"")</f>
        <v>0.0319945541184479</v>
      </c>
      <c r="G19" s="109" t="n">
        <f aca="false">IFERROR(IF(OR(NOT(ISNUMBER('Price History'!G20)),NOT(ISNUMBER('Price History'!G19)),'Price History'!G19=0),"",'Price History'!G20/'Price History'!G19-1),"")</f>
        <v>-0.0265938069216758</v>
      </c>
      <c r="H19" s="109" t="n">
        <f aca="false">IFERROR(IF(OR(NOT(ISNUMBER('Price History'!H20)),NOT(ISNUMBER('Price History'!H19)),'Price History'!H19=0),"",'Price History'!H20/'Price History'!H19-1),"")</f>
        <v>-0.0127749242723563</v>
      </c>
      <c r="I19" s="109" t="n">
        <f aca="false">IFERROR(IF(OR(NOT(ISNUMBER('Price History'!I20)),NOT(ISNUMBER('Price History'!I19)),'Price History'!I19=0),"",'Price History'!I20/'Price History'!I19-1),"")</f>
        <v>0.01582210818901</v>
      </c>
      <c r="J19" s="109" t="n">
        <f aca="false">IFERROR(IF(OR(NOT(ISNUMBER('Price History'!J20)),NOT(ISNUMBER('Price History'!J19)),'Price History'!J19=0),"",'Price History'!J20/'Price History'!J19-1),"")</f>
        <v>0.0134449518011162</v>
      </c>
      <c r="K19" s="109" t="n">
        <f aca="false">IFERROR(IF(OR(NOT(ISNUMBER('Price History'!K20)),NOT(ISNUMBER('Price History'!K19)),'Price History'!K19=0),"",'Price History'!K20/'Price History'!K19-1),"")</f>
        <v>-0.123334977799704</v>
      </c>
      <c r="L19" s="109" t="n">
        <f aca="false">IFERROR(IF(OR(NOT(ISNUMBER('Price History'!L20)),NOT(ISNUMBER('Price History'!L19)),'Price History'!L19=0),"",'Price History'!L20/'Price History'!L19-1),"")</f>
        <v>0.0182648401826484</v>
      </c>
      <c r="M19" s="109" t="n">
        <f aca="false">IFERROR(IF(OR(NOT(ISNUMBER('Price History'!M20)),NOT(ISNUMBER('Price History'!M19)),'Price History'!M19=0),"",'Price History'!M20/'Price History'!M19-1),"")</f>
        <v>0.0443066016836509</v>
      </c>
      <c r="N19" s="109" t="n">
        <f aca="false">IFERROR(IF(OR(NOT(ISNUMBER('Price History'!N20)),NOT(ISNUMBER('Price History'!N19)),'Price History'!N19=0),"",'Price History'!N20/'Price History'!N19-1),"")</f>
        <v>-0.0028761817974714</v>
      </c>
      <c r="O19" s="109" t="n">
        <f aca="false">IFERROR(IF(OR(NOT(ISNUMBER('Price History'!O20)),NOT(ISNUMBER('Price History'!O19)),'Price History'!O19=0),"",'Price History'!O20/'Price History'!O19-1),"")</f>
        <v>0.00832729905865315</v>
      </c>
      <c r="P19" s="109" t="str">
        <f aca="false">IFERROR(IF(OR(NOT(ISNUMBER('Price History'!P20)),NOT(ISNUMBER('Price History'!P19)),'Price History'!P19=0),"",'Price History'!P20/'Price History'!P19-1),"")</f>
        <v/>
      </c>
      <c r="Q19" s="109" t="n">
        <f aca="false">IFERROR(IF(OR(NOT(ISNUMBER('Price History'!Q20)),NOT(ISNUMBER('Price History'!Q19)),'Price History'!Q19=0),"",'Price History'!Q20/'Price History'!Q19-1),"")</f>
        <v>0.0063575168287211</v>
      </c>
      <c r="R19" s="109" t="n">
        <f aca="false">IFERROR(IF(OR(NOT(ISNUMBER('Price History'!R20)),NOT(ISNUMBER('Price History'!R19)),'Price History'!R19=0),"",'Price History'!R20/'Price History'!R19-1),"")</f>
        <v>0.00736196319018401</v>
      </c>
      <c r="S19" s="109" t="n">
        <f aca="false">IFERROR(IF(OR(NOT(ISNUMBER('Price History'!S20)),NOT(ISNUMBER('Price History'!S19)),'Price History'!S19=0),"",'Price History'!S20/'Price History'!S19-1),"")</f>
        <v>0.0037162708030376</v>
      </c>
      <c r="T19" s="109" t="n">
        <f aca="false">IFERROR(IF(OR(NOT(ISNUMBER('Price History'!T20)),NOT(ISNUMBER('Price History'!T19)),'Price History'!T19=0),"",'Price History'!T20/'Price History'!T19-1),"")</f>
        <v>0.00884303610906412</v>
      </c>
      <c r="U19" s="109" t="str">
        <f aca="false">IFERROR(IF(OR(NOT(ISNUMBER('Price History'!U20)),NOT(ISNUMBER('Price History'!U19)),'Price History'!U19=0),"",'Price History'!U20/'Price History'!U19-1),"")</f>
        <v/>
      </c>
      <c r="V19" s="110" t="n">
        <f aca="false">IFERROR(IF(OR(NOT(ISNUMBER('Price History'!V20)),NOT(ISNUMBER('Price History'!V19)),'Price History'!V19=0),"",'Price History'!V20/'Price History'!V19-1),"")</f>
        <v>-0.00274681528662424</v>
      </c>
      <c r="W19" s="111" t="n">
        <f aca="false">IFERROR('Price History'!B3+(INDEX('Price History'!B:B,MATCH(9.99E+307,'Price History'!$A:$A))-'Price History'!B3)*(ROW()-3)/(MATCH(9.99E+307,'Returns (Calc)'!$A:$A)-3),"")</f>
        <v>484.103836477987</v>
      </c>
      <c r="X19" s="111" t="n">
        <f aca="false">IFERROR('Price History'!C3+(INDEX('Price History'!C:C,MATCH(9.99E+307,'Price History'!$A:$A))-'Price History'!C3)*(ROW()-3)/(MATCH(9.99E+307,'Returns (Calc)'!$A:$A)-3),"")</f>
        <v>58.8383647798742</v>
      </c>
      <c r="Y19" s="111" t="n">
        <f aca="false">IFERROR('Price History'!D3+(INDEX('Price History'!D:D,MATCH(9.99E+307,'Price History'!$A:$A))-'Price History'!D3)*(ROW()-3)/(MATCH(9.99E+307,'Returns (Calc)'!$A:$A)-3),"")</f>
        <v>767.752327044025</v>
      </c>
      <c r="Z19" s="111" t="n">
        <f aca="false">IFERROR('Price History'!E3+(INDEX('Price History'!E:E,MATCH(9.99E+307,'Price History'!$A:$A))-'Price History'!E3)*(ROW()-3)/(MATCH(9.99E+307,'Returns (Calc)'!$A:$A)-3),"")</f>
        <v>110.644905660377</v>
      </c>
      <c r="AA19" s="111" t="n">
        <f aca="false">IFERROR('Price History'!F3+(INDEX('Price History'!F:F,MATCH(9.99E+307,'Price History'!$A:$A))-'Price History'!F3)*(ROW()-3)/(MATCH(9.99E+307,'Returns (Calc)'!$A:$A)-3),"")</f>
        <v>54.7747169811321</v>
      </c>
      <c r="AB19" s="111" t="n">
        <f aca="false">IFERROR('Price History'!G3+(INDEX('Price History'!G:G,MATCH(9.99E+307,'Price History'!$A:$A))-'Price History'!G3)*(ROW()-3)/(MATCH(9.99E+307,'Returns (Calc)'!$A:$A)-3),"")</f>
        <v>61.7566037735849</v>
      </c>
      <c r="AC19" s="111" t="n">
        <f aca="false">IFERROR('Price History'!H3+(INDEX('Price History'!H:H,MATCH(9.99E+307,'Price History'!$A:$A))-'Price History'!H3)*(ROW()-3)/(MATCH(9.99E+307,'Returns (Calc)'!$A:$A)-3),"")</f>
        <v>160.190880503145</v>
      </c>
      <c r="AD19" s="111" t="n">
        <f aca="false">IFERROR('Price History'!I3+(INDEX('Price History'!I:I,MATCH(9.99E+307,'Price History'!$A:$A))-'Price History'!I3)*(ROW()-3)/(MATCH(9.99E+307,'Returns (Calc)'!$A:$A)-3),"")</f>
        <v>59.9201886792453</v>
      </c>
      <c r="AE19" s="111" t="n">
        <f aca="false">IFERROR('Price History'!J3+(INDEX('Price History'!J:J,MATCH(9.99E+307,'Price History'!$A:$A))-'Price History'!J3)*(ROW()-3)/(MATCH(9.99E+307,'Returns (Calc)'!$A:$A)-3),"")</f>
        <v>124.901698113208</v>
      </c>
      <c r="AF19" s="111" t="n">
        <f aca="false">IFERROR('Price History'!K3+(INDEX('Price History'!K:K,MATCH(9.99E+307,'Price History'!$A:$A))-'Price History'!K3)*(ROW()-3)/(MATCH(9.99E+307,'Returns (Calc)'!$A:$A)-3),"")</f>
        <v>31.4019496855346</v>
      </c>
      <c r="AG19" s="111" t="n">
        <f aca="false">IFERROR('Price History'!L3+(INDEX('Price History'!L:L,MATCH(9.99E+307,'Price History'!$A:$A))-'Price History'!L3)*(ROW()-3)/(MATCH(9.99E+307,'Returns (Calc)'!$A:$A)-3),"")</f>
        <v>125.893899371069</v>
      </c>
      <c r="AH19" s="111" t="n">
        <f aca="false">IFERROR('Price History'!M3+(INDEX('Price History'!M:M,MATCH(9.99E+307,'Price History'!$A:$A))-'Price History'!M3)*(ROW()-3)/(MATCH(9.99E+307,'Returns (Calc)'!$A:$A)-3),"")</f>
        <v>58.367358490566</v>
      </c>
      <c r="AI19" s="111" t="n">
        <f aca="false">IFERROR('Price History'!N3+(INDEX('Price History'!N:N,MATCH(9.99E+307,'Price History'!$A:$A))-'Price History'!N3)*(ROW()-3)/(MATCH(9.99E+307,'Returns (Calc)'!$A:$A)-3),"")</f>
        <v>369.609433962264</v>
      </c>
      <c r="AJ19" s="111" t="n">
        <f aca="false">IFERROR('Price History'!O3+(INDEX('Price History'!O:O,MATCH(9.99E+307,'Price History'!$A:$A))-'Price History'!O3)*(ROW()-3)/(MATCH(9.99E+307,'Returns (Calc)'!$A:$A)-3),"")</f>
        <v>87.2857232704402</v>
      </c>
      <c r="AK19" s="111" t="n">
        <f aca="false">IFERROR('Price History'!Q3+(INDEX('Price History'!Q:Q,MATCH(9.99E+307,'Price History'!$A:$A))-'Price History'!Q3)*(ROW()-3)/(MATCH(9.99E+307,'Returns (Calc)'!$A:$A)-3),"")</f>
        <v>51.8405031446541</v>
      </c>
      <c r="AL19" s="111" t="n">
        <f aca="false">IFERROR('Price History'!R3+(INDEX('Price History'!R:R,MATCH(9.99E+307,'Price History'!$A:$A))-'Price History'!R3)*(ROW()-3)/(MATCH(9.99E+307,'Returns (Calc)'!$A:$A)-3),"")</f>
        <v>49.0325786163522</v>
      </c>
      <c r="AM19" s="111" t="n">
        <f aca="false">IFERROR('Price History'!S3+(INDEX('Price History'!S:S,MATCH(9.99E+307,'Price History'!$A:$A))-'Price History'!S3)*(ROW()-3)/(MATCH(9.99E+307,'Returns (Calc)'!$A:$A)-3),"")</f>
        <v>67.7153459119497</v>
      </c>
      <c r="AN19" s="111" t="n">
        <f aca="false">IFERROR('Price History'!T3+(INDEX('Price History'!T:T,MATCH(9.99E+307,'Price History'!$A:$A))-'Price History'!T3)*(ROW()-3)/(MATCH(9.99E+307,'Returns (Calc)'!$A:$A)-3),"")</f>
        <v>29.7658490566038</v>
      </c>
      <c r="AO19" s="112" t="n">
        <f aca="false">IFERROR('Price History'!V3+(INDEX('Price History'!V:V,MATCH(9.99E+307,'Price History'!$A:$A))-'Price History'!V3)*(ROW()-3)/(MATCH(9.99E+307,'Returns (Calc)'!$A:$A)-3),"")</f>
        <v>37.742893081761</v>
      </c>
    </row>
    <row r="20" customFormat="false" ht="15" hidden="false" customHeight="true" outlineLevel="0" collapsed="false">
      <c r="A20" s="108" t="n">
        <f aca="false">IF('Price History'!A21="","",'Price History'!A21)</f>
        <v>45275</v>
      </c>
      <c r="B20" s="109" t="n">
        <f aca="false">IFERROR(IF(OR(NOT(ISNUMBER('Price History'!B21)),NOT(ISNUMBER('Price History'!B20)),'Price History'!B20=0),"",'Price History'!B21/'Price History'!B20-1),"")</f>
        <v>-0.0415239094441076</v>
      </c>
      <c r="C20" s="109" t="n">
        <f aca="false">IFERROR(IF(OR(NOT(ISNUMBER('Price History'!C21)),NOT(ISNUMBER('Price History'!C20)),'Price History'!C20=0),"",'Price History'!C21/'Price History'!C20-1),"")</f>
        <v>0.0515979289412605</v>
      </c>
      <c r="D20" s="109" t="n">
        <f aca="false">IFERROR(IF(OR(NOT(ISNUMBER('Price History'!D21)),NOT(ISNUMBER('Price History'!D20)),'Price History'!D20=0),"",'Price History'!D21/'Price History'!D20-1),"")</f>
        <v>0.0811711155464299</v>
      </c>
      <c r="E20" s="109" t="n">
        <f aca="false">IFERROR(IF(OR(NOT(ISNUMBER('Price History'!E21)),NOT(ISNUMBER('Price History'!E20)),'Price History'!E20=0),"",'Price History'!E21/'Price History'!E20-1),"")</f>
        <v>0.19633591019803</v>
      </c>
      <c r="F20" s="109" t="n">
        <f aca="false">IFERROR(IF(OR(NOT(ISNUMBER('Price History'!F21)),NOT(ISNUMBER('Price History'!F20)),'Price History'!F20=0),"",'Price History'!F21/'Price History'!F20-1),"")</f>
        <v>0.0722295514511873</v>
      </c>
      <c r="G20" s="109" t="n">
        <f aca="false">IFERROR(IF(OR(NOT(ISNUMBER('Price History'!G21)),NOT(ISNUMBER('Price History'!G20)),'Price History'!G20=0),"",'Price History'!G21/'Price History'!G20-1),"")</f>
        <v>0.094872754491018</v>
      </c>
      <c r="H20" s="109" t="n">
        <f aca="false">IFERROR(IF(OR(NOT(ISNUMBER('Price History'!H21)),NOT(ISNUMBER('Price History'!H20)),'Price History'!H20=0),"",'Price History'!H21/'Price History'!H20-1),"")</f>
        <v>0.0860458911419424</v>
      </c>
      <c r="I20" s="109" t="n">
        <f aca="false">IFERROR(IF(OR(NOT(ISNUMBER('Price History'!I21)),NOT(ISNUMBER('Price History'!I20)),'Price History'!I20=0),"",'Price History'!I21/'Price History'!I20-1),"")</f>
        <v>0.0290465165228373</v>
      </c>
      <c r="J20" s="109" t="n">
        <f aca="false">IFERROR(IF(OR(NOT(ISNUMBER('Price History'!J21)),NOT(ISNUMBER('Price History'!J20)),'Price History'!J20=0),"",'Price History'!J21/'Price History'!J20-1),"")</f>
        <v>0.12023362536504</v>
      </c>
      <c r="K20" s="109" t="n">
        <f aca="false">IFERROR(IF(OR(NOT(ISNUMBER('Price History'!K21)),NOT(ISNUMBER('Price History'!K20)),'Price History'!K20=0),"",'Price History'!K21/'Price History'!K20-1),"")</f>
        <v>0.024198086662915</v>
      </c>
      <c r="L20" s="109" t="n">
        <f aca="false">IFERROR(IF(OR(NOT(ISNUMBER('Price History'!L21)),NOT(ISNUMBER('Price History'!L20)),'Price History'!L20=0),"",'Price History'!L21/'Price History'!L20-1),"")</f>
        <v>0.0218236173393125</v>
      </c>
      <c r="M20" s="109" t="n">
        <f aca="false">IFERROR(IF(OR(NOT(ISNUMBER('Price History'!M21)),NOT(ISNUMBER('Price History'!M20)),'Price History'!M20=0),"",'Price History'!M21/'Price History'!M20-1),"")</f>
        <v>0.0125159100551548</v>
      </c>
      <c r="N20" s="109" t="n">
        <f aca="false">IFERROR(IF(OR(NOT(ISNUMBER('Price History'!N21)),NOT(ISNUMBER('Price History'!N20)),'Price History'!N20=0),"",'Price History'!N21/'Price History'!N20-1),"")</f>
        <v>0.172868770526917</v>
      </c>
      <c r="O20" s="109" t="n">
        <f aca="false">IFERROR(IF(OR(NOT(ISNUMBER('Price History'!O21)),NOT(ISNUMBER('Price History'!O20)),'Price History'!O20=0),"",'Price History'!O21/'Price History'!O20-1),"")</f>
        <v>0.0548174745661281</v>
      </c>
      <c r="P20" s="109" t="str">
        <f aca="false">IFERROR(IF(OR(NOT(ISNUMBER('Price History'!P21)),NOT(ISNUMBER('Price History'!P20)),'Price History'!P20=0),"",'Price History'!P21/'Price History'!P20-1),"")</f>
        <v/>
      </c>
      <c r="Q20" s="109" t="n">
        <f aca="false">IFERROR(IF(OR(NOT(ISNUMBER('Price History'!Q21)),NOT(ISNUMBER('Price History'!Q20)),'Price History'!Q20=0),"",'Price History'!Q21/'Price History'!Q20-1),"")</f>
        <v>0.0141211445559271</v>
      </c>
      <c r="R20" s="109" t="n">
        <f aca="false">IFERROR(IF(OR(NOT(ISNUMBER('Price History'!R21)),NOT(ISNUMBER('Price History'!R20)),'Price History'!R20=0),"",'Price History'!R21/'Price History'!R20-1),"")</f>
        <v>0.0150223304912709</v>
      </c>
      <c r="S20" s="109" t="n">
        <f aca="false">IFERROR(IF(OR(NOT(ISNUMBER('Price History'!S21)),NOT(ISNUMBER('Price History'!S20)),'Price History'!S20=0),"",'Price History'!S21/'Price History'!S20-1),"")</f>
        <v>0.0341274951706374</v>
      </c>
      <c r="T20" s="109" t="n">
        <f aca="false">IFERROR(IF(OR(NOT(ISNUMBER('Price History'!T21)),NOT(ISNUMBER('Price History'!T20)),'Price History'!T20=0),"",'Price History'!T21/'Price History'!T20-1),"")</f>
        <v>0.0277574872169468</v>
      </c>
      <c r="U20" s="109" t="str">
        <f aca="false">IFERROR(IF(OR(NOT(ISNUMBER('Price History'!U21)),NOT(ISNUMBER('Price History'!U20)),'Price History'!U20=0),"",'Price History'!U21/'Price History'!U20-1),"")</f>
        <v/>
      </c>
      <c r="V20" s="110" t="n">
        <f aca="false">IFERROR(IF(OR(NOT(ISNUMBER('Price History'!V21)),NOT(ISNUMBER('Price History'!V20)),'Price History'!V20=0),"",'Price History'!V21/'Price History'!V20-1),"")</f>
        <v>0.00894175881202353</v>
      </c>
      <c r="W20" s="111" t="n">
        <f aca="false">IFERROR('Price History'!B3+(INDEX('Price History'!B:B,MATCH(9.99E+307,'Price History'!$A:$A))-'Price History'!B3)*(ROW()-3)/(MATCH(9.99E+307,'Returns (Calc)'!$A:$A)-3),"")</f>
        <v>482.582201257862</v>
      </c>
      <c r="X20" s="111" t="n">
        <f aca="false">IFERROR('Price History'!C3+(INDEX('Price History'!C:C,MATCH(9.99E+307,'Price History'!$A:$A))-'Price History'!C3)*(ROW()-3)/(MATCH(9.99E+307,'Returns (Calc)'!$A:$A)-3),"")</f>
        <v>59.7820125786164</v>
      </c>
      <c r="Y20" s="111" t="n">
        <f aca="false">IFERROR('Price History'!D3+(INDEX('Price History'!D:D,MATCH(9.99E+307,'Price History'!$A:$A))-'Price History'!D3)*(ROW()-3)/(MATCH(9.99E+307,'Returns (Calc)'!$A:$A)-3),"")</f>
        <v>774.375597484277</v>
      </c>
      <c r="Z20" s="111" t="n">
        <f aca="false">IFERROR('Price History'!E3+(INDEX('Price History'!E:E,MATCH(9.99E+307,'Price History'!$A:$A))-'Price History'!E3)*(ROW()-3)/(MATCH(9.99E+307,'Returns (Calc)'!$A:$A)-3),"")</f>
        <v>112.373962264151</v>
      </c>
      <c r="AA20" s="111" t="n">
        <f aca="false">IFERROR('Price History'!F3+(INDEX('Price History'!F:F,MATCH(9.99E+307,'Price History'!$A:$A))-'Price History'!F3)*(ROW()-3)/(MATCH(9.99E+307,'Returns (Calc)'!$A:$A)-3),"")</f>
        <v>55.8818867924528</v>
      </c>
      <c r="AB20" s="111" t="n">
        <f aca="false">IFERROR('Price History'!G3+(INDEX('Price History'!G:G,MATCH(9.99E+307,'Price History'!$A:$A))-'Price History'!G3)*(ROW()-3)/(MATCH(9.99E+307,'Returns (Calc)'!$A:$A)-3),"")</f>
        <v>62.622641509434</v>
      </c>
      <c r="AC20" s="111" t="n">
        <f aca="false">IFERROR('Price History'!H3+(INDEX('Price History'!H:H,MATCH(9.99E+307,'Price History'!$A:$A))-'Price History'!H3)*(ROW()-3)/(MATCH(9.99E+307,'Returns (Calc)'!$A:$A)-3),"")</f>
        <v>166.179685534591</v>
      </c>
      <c r="AD20" s="111" t="n">
        <f aca="false">IFERROR('Price History'!I3+(INDEX('Price History'!I:I,MATCH(9.99E+307,'Price History'!$A:$A))-'Price History'!I3)*(ROW()-3)/(MATCH(9.99E+307,'Returns (Calc)'!$A:$A)-3),"")</f>
        <v>61.1120754716981</v>
      </c>
      <c r="AE20" s="111" t="n">
        <f aca="false">IFERROR('Price History'!J3+(INDEX('Price History'!J:J,MATCH(9.99E+307,'Price History'!$A:$A))-'Price History'!J3)*(ROW()-3)/(MATCH(9.99E+307,'Returns (Calc)'!$A:$A)-3),"")</f>
        <v>124.988679245283</v>
      </c>
      <c r="AF20" s="111" t="n">
        <f aca="false">IFERROR('Price History'!K3+(INDEX('Price History'!K:K,MATCH(9.99E+307,'Price History'!$A:$A))-'Price History'!K3)*(ROW()-3)/(MATCH(9.99E+307,'Returns (Calc)'!$A:$A)-3),"")</f>
        <v>32.4014465408805</v>
      </c>
      <c r="AG20" s="111" t="n">
        <f aca="false">IFERROR('Price History'!L3+(INDEX('Price History'!L:L,MATCH(9.99E+307,'Price History'!$A:$A))-'Price History'!L3)*(ROW()-3)/(MATCH(9.99E+307,'Returns (Calc)'!$A:$A)-3),"")</f>
        <v>128.012893081761</v>
      </c>
      <c r="AH20" s="111" t="n">
        <f aca="false">IFERROR('Price History'!M3+(INDEX('Price History'!M:M,MATCH(9.99E+307,'Price History'!$A:$A))-'Price History'!M3)*(ROW()-3)/(MATCH(9.99E+307,'Returns (Calc)'!$A:$A)-3),"")</f>
        <v>59.9209433962264</v>
      </c>
      <c r="AI20" s="111" t="n">
        <f aca="false">IFERROR('Price History'!N3+(INDEX('Price History'!N:N,MATCH(9.99E+307,'Price History'!$A:$A))-'Price History'!N3)*(ROW()-3)/(MATCH(9.99E+307,'Returns (Calc)'!$A:$A)-3),"")</f>
        <v>370.843773584906</v>
      </c>
      <c r="AJ20" s="111" t="n">
        <f aca="false">IFERROR('Price History'!O3+(INDEX('Price History'!O:O,MATCH(9.99E+307,'Price History'!$A:$A))-'Price History'!O3)*(ROW()-3)/(MATCH(9.99E+307,'Returns (Calc)'!$A:$A)-3),"")</f>
        <v>87.5629559748428</v>
      </c>
      <c r="AK20" s="111" t="n">
        <f aca="false">IFERROR('Price History'!Q3+(INDEX('Price History'!Q:Q,MATCH(9.99E+307,'Price History'!$A:$A))-'Price History'!Q3)*(ROW()-3)/(MATCH(9.99E+307,'Returns (Calc)'!$A:$A)-3),"")</f>
        <v>51.965534591195</v>
      </c>
      <c r="AL20" s="111" t="n">
        <f aca="false">IFERROR('Price History'!R3+(INDEX('Price History'!R:R,MATCH(9.99E+307,'Price History'!$A:$A))-'Price History'!R3)*(ROW()-3)/(MATCH(9.99E+307,'Returns (Calc)'!$A:$A)-3),"")</f>
        <v>49.1083647798742</v>
      </c>
      <c r="AM20" s="111" t="n">
        <f aca="false">IFERROR('Price History'!S3+(INDEX('Price History'!S:S,MATCH(9.99E+307,'Price History'!$A:$A))-'Price History'!S3)*(ROW()-3)/(MATCH(9.99E+307,'Returns (Calc)'!$A:$A)-3),"")</f>
        <v>68.2888050314465</v>
      </c>
      <c r="AN20" s="111" t="n">
        <f aca="false">IFERROR('Price History'!T3+(INDEX('Price History'!T:T,MATCH(9.99E+307,'Price History'!$A:$A))-'Price History'!T3)*(ROW()-3)/(MATCH(9.99E+307,'Returns (Calc)'!$A:$A)-3),"")</f>
        <v>29.9443396226415</v>
      </c>
      <c r="AO20" s="112" t="n">
        <f aca="false">IFERROR('Price History'!V3+(INDEX('Price History'!V:V,MATCH(9.99E+307,'Price History'!$A:$A))-'Price History'!V3)*(ROW()-3)/(MATCH(9.99E+307,'Returns (Calc)'!$A:$A)-3),"")</f>
        <v>40.1018238993711</v>
      </c>
    </row>
    <row r="21" customFormat="false" ht="15" hidden="false" customHeight="true" outlineLevel="0" collapsed="false">
      <c r="A21" s="108" t="n">
        <f aca="false">IF('Price History'!A22="","",'Price History'!A22)</f>
        <v>45282</v>
      </c>
      <c r="B21" s="109" t="n">
        <f aca="false">IFERROR(IF(OR(NOT(ISNUMBER('Price History'!B22)),NOT(ISNUMBER('Price History'!B21)),'Price History'!B21=0),"",'Price History'!B22/'Price History'!B21-1),"")</f>
        <v>0.0240644455086545</v>
      </c>
      <c r="C21" s="109" t="n">
        <f aca="false">IFERROR(IF(OR(NOT(ISNUMBER('Price History'!C22)),NOT(ISNUMBER('Price History'!C21)),'Price History'!C21=0),"",'Price History'!C22/'Price History'!C21-1),"")</f>
        <v>0.0113752122241086</v>
      </c>
      <c r="D21" s="109" t="n">
        <f aca="false">IFERROR(IF(OR(NOT(ISNUMBER('Price History'!D22)),NOT(ISNUMBER('Price History'!D21)),'Price History'!D21=0),"",'Price History'!D22/'Price History'!D21-1),"")</f>
        <v>-0.00057107947301327</v>
      </c>
      <c r="E21" s="109" t="n">
        <f aca="false">IFERROR(IF(OR(NOT(ISNUMBER('Price History'!E22)),NOT(ISNUMBER('Price History'!E21)),'Price History'!E21=0),"",'Price History'!E22/'Price History'!E21-1),"")</f>
        <v>-0.00681596884128521</v>
      </c>
      <c r="F21" s="109" t="n">
        <f aca="false">IFERROR(IF(OR(NOT(ISNUMBER('Price History'!F22)),NOT(ISNUMBER('Price History'!F21)),'Price History'!F21=0),"",'Price History'!F22/'Price History'!F21-1),"")</f>
        <v>-0.0170716702553061</v>
      </c>
      <c r="G21" s="109" t="n">
        <f aca="false">IFERROR(IF(OR(NOT(ISNUMBER('Price History'!G22)),NOT(ISNUMBER('Price History'!G21)),'Price History'!G21=0),"",'Price History'!G22/'Price History'!G21-1),"")</f>
        <v>-0.00410186292941372</v>
      </c>
      <c r="H21" s="109" t="n">
        <f aca="false">IFERROR(IF(OR(NOT(ISNUMBER('Price History'!H22)),NOT(ISNUMBER('Price History'!H21)),'Price History'!H21=0),"",'Price History'!H22/'Price History'!H21-1),"")</f>
        <v>0.0624001965360521</v>
      </c>
      <c r="I21" s="109" t="n">
        <f aca="false">IFERROR(IF(OR(NOT(ISNUMBER('Price History'!I22)),NOT(ISNUMBER('Price History'!I21)),'Price History'!I21=0),"",'Price History'!I22/'Price History'!I21-1),"")</f>
        <v>-0.00122724483534464</v>
      </c>
      <c r="J21" s="109" t="n">
        <f aca="false">IFERROR(IF(OR(NOT(ISNUMBER('Price History'!J22)),NOT(ISNUMBER('Price History'!J21)),'Price History'!J21=0),"",'Price History'!J22/'Price History'!J21-1),"")</f>
        <v>-0.0138537166691493</v>
      </c>
      <c r="K21" s="109" t="n">
        <f aca="false">IFERROR(IF(OR(NOT(ISNUMBER('Price History'!K22)),NOT(ISNUMBER('Price History'!K21)),'Price History'!K21=0),"",'Price History'!K22/'Price History'!K21-1),"")</f>
        <v>-0.0434065934065934</v>
      </c>
      <c r="L21" s="109" t="n">
        <f aca="false">IFERROR(IF(OR(NOT(ISNUMBER('Price History'!L22)),NOT(ISNUMBER('Price History'!L21)),'Price History'!L21=0),"",'Price History'!L22/'Price History'!L21-1),"")</f>
        <v>0.00594889799102782</v>
      </c>
      <c r="M21" s="109" t="n">
        <f aca="false">IFERROR(IF(OR(NOT(ISNUMBER('Price History'!M22)),NOT(ISNUMBER('Price History'!M21)),'Price History'!M21=0),"",'Price History'!M22/'Price History'!M21-1),"")</f>
        <v>0.0219987429289756</v>
      </c>
      <c r="N21" s="109" t="n">
        <f aca="false">IFERROR(IF(OR(NOT(ISNUMBER('Price History'!N22)),NOT(ISNUMBER('Price History'!N21)),'Price History'!N21=0),"",'Price History'!N22/'Price History'!N21-1),"")</f>
        <v>-0.0132219733125548</v>
      </c>
      <c r="O21" s="109" t="n">
        <f aca="false">IFERROR(IF(OR(NOT(ISNUMBER('Price History'!O22)),NOT(ISNUMBER('Price History'!O21)),'Price History'!O21=0),"",'Price History'!O22/'Price History'!O21-1),"")</f>
        <v>0.0226937478724611</v>
      </c>
      <c r="P21" s="109" t="str">
        <f aca="false">IFERROR(IF(OR(NOT(ISNUMBER('Price History'!P22)),NOT(ISNUMBER('Price History'!P21)),'Price History'!P21=0),"",'Price History'!P22/'Price History'!P21-1),"")</f>
        <v/>
      </c>
      <c r="Q21" s="109" t="n">
        <f aca="false">IFERROR(IF(OR(NOT(ISNUMBER('Price History'!Q22)),NOT(ISNUMBER('Price History'!Q21)),'Price History'!Q21=0),"",'Price History'!Q22/'Price History'!Q21-1),"")</f>
        <v>0.00439721509710522</v>
      </c>
      <c r="R21" s="109" t="n">
        <f aca="false">IFERROR(IF(OR(NOT(ISNUMBER('Price History'!R22)),NOT(ISNUMBER('Price History'!R21)),'Price History'!R21=0),"",'Price History'!R22/'Price History'!R21-1),"")</f>
        <v>0.00319999999999987</v>
      </c>
      <c r="S21" s="109" t="n">
        <f aca="false">IFERROR(IF(OR(NOT(ISNUMBER('Price History'!S22)),NOT(ISNUMBER('Price History'!S21)),'Price History'!S21=0),"",'Price History'!S22/'Price History'!S21-1),"")</f>
        <v>0.0124533001245333</v>
      </c>
      <c r="T21" s="109" t="n">
        <f aca="false">IFERROR(IF(OR(NOT(ISNUMBER('Price History'!T22)),NOT(ISNUMBER('Price History'!T21)),'Price History'!T21=0),"",'Price History'!T22/'Price History'!T21-1),"")</f>
        <v>0.00959488272921116</v>
      </c>
      <c r="U21" s="109" t="str">
        <f aca="false">IFERROR(IF(OR(NOT(ISNUMBER('Price History'!U22)),NOT(ISNUMBER('Price History'!U21)),'Price History'!U21=0),"",'Price History'!U22/'Price History'!U21-1),"")</f>
        <v/>
      </c>
      <c r="V21" s="110" t="n">
        <f aca="false">IFERROR(IF(OR(NOT(ISNUMBER('Price History'!V22)),NOT(ISNUMBER('Price History'!V21)),'Price History'!V21=0),"",'Price History'!V22/'Price History'!V21-1),"")</f>
        <v>0.0015430267062313</v>
      </c>
      <c r="W21" s="111" t="n">
        <f aca="false">IFERROR('Price History'!B3+(INDEX('Price History'!B:B,MATCH(9.99E+307,'Price History'!$A:$A))-'Price History'!B3)*(ROW()-3)/(MATCH(9.99E+307,'Returns (Calc)'!$A:$A)-3),"")</f>
        <v>481.060566037736</v>
      </c>
      <c r="X21" s="111" t="n">
        <f aca="false">IFERROR('Price History'!C3+(INDEX('Price History'!C:C,MATCH(9.99E+307,'Price History'!$A:$A))-'Price History'!C3)*(ROW()-3)/(MATCH(9.99E+307,'Returns (Calc)'!$A:$A)-3),"")</f>
        <v>60.7256603773585</v>
      </c>
      <c r="Y21" s="111" t="n">
        <f aca="false">IFERROR('Price History'!D3+(INDEX('Price History'!D:D,MATCH(9.99E+307,'Price History'!$A:$A))-'Price History'!D3)*(ROW()-3)/(MATCH(9.99E+307,'Returns (Calc)'!$A:$A)-3),"")</f>
        <v>780.998867924528</v>
      </c>
      <c r="Z21" s="111" t="n">
        <f aca="false">IFERROR('Price History'!E3+(INDEX('Price History'!E:E,MATCH(9.99E+307,'Price History'!$A:$A))-'Price History'!E3)*(ROW()-3)/(MATCH(9.99E+307,'Returns (Calc)'!$A:$A)-3),"")</f>
        <v>114.103018867925</v>
      </c>
      <c r="AA21" s="111" t="n">
        <f aca="false">IFERROR('Price History'!F3+(INDEX('Price History'!F:F,MATCH(9.99E+307,'Price History'!$A:$A))-'Price History'!F3)*(ROW()-3)/(MATCH(9.99E+307,'Returns (Calc)'!$A:$A)-3),"")</f>
        <v>56.9890566037736</v>
      </c>
      <c r="AB21" s="111" t="n">
        <f aca="false">IFERROR('Price History'!G3+(INDEX('Price History'!G:G,MATCH(9.99E+307,'Price History'!$A:$A))-'Price History'!G3)*(ROW()-3)/(MATCH(9.99E+307,'Returns (Calc)'!$A:$A)-3),"")</f>
        <v>63.488679245283</v>
      </c>
      <c r="AC21" s="111" t="n">
        <f aca="false">IFERROR('Price History'!H3+(INDEX('Price History'!H:H,MATCH(9.99E+307,'Price History'!$A:$A))-'Price History'!H3)*(ROW()-3)/(MATCH(9.99E+307,'Returns (Calc)'!$A:$A)-3),"")</f>
        <v>172.168490566038</v>
      </c>
      <c r="AD21" s="111" t="n">
        <f aca="false">IFERROR('Price History'!I3+(INDEX('Price History'!I:I,MATCH(9.99E+307,'Price History'!$A:$A))-'Price History'!I3)*(ROW()-3)/(MATCH(9.99E+307,'Returns (Calc)'!$A:$A)-3),"")</f>
        <v>62.303962264151</v>
      </c>
      <c r="AE21" s="111" t="n">
        <f aca="false">IFERROR('Price History'!J3+(INDEX('Price History'!J:J,MATCH(9.99E+307,'Price History'!$A:$A))-'Price History'!J3)*(ROW()-3)/(MATCH(9.99E+307,'Returns (Calc)'!$A:$A)-3),"")</f>
        <v>125.075660377358</v>
      </c>
      <c r="AF21" s="111" t="n">
        <f aca="false">IFERROR('Price History'!K3+(INDEX('Price History'!K:K,MATCH(9.99E+307,'Price History'!$A:$A))-'Price History'!K3)*(ROW()-3)/(MATCH(9.99E+307,'Returns (Calc)'!$A:$A)-3),"")</f>
        <v>33.4009433962264</v>
      </c>
      <c r="AG21" s="111" t="n">
        <f aca="false">IFERROR('Price History'!L3+(INDEX('Price History'!L:L,MATCH(9.99E+307,'Price History'!$A:$A))-'Price History'!L3)*(ROW()-3)/(MATCH(9.99E+307,'Returns (Calc)'!$A:$A)-3),"")</f>
        <v>130.131886792453</v>
      </c>
      <c r="AH21" s="111" t="n">
        <f aca="false">IFERROR('Price History'!M3+(INDEX('Price History'!M:M,MATCH(9.99E+307,'Price History'!$A:$A))-'Price History'!M3)*(ROW()-3)/(MATCH(9.99E+307,'Returns (Calc)'!$A:$A)-3),"")</f>
        <v>61.4745283018868</v>
      </c>
      <c r="AI21" s="111" t="n">
        <f aca="false">IFERROR('Price History'!N3+(INDEX('Price History'!N:N,MATCH(9.99E+307,'Price History'!$A:$A))-'Price History'!N3)*(ROW()-3)/(MATCH(9.99E+307,'Returns (Calc)'!$A:$A)-3),"")</f>
        <v>372.078113207547</v>
      </c>
      <c r="AJ21" s="111" t="n">
        <f aca="false">IFERROR('Price History'!O3+(INDEX('Price History'!O:O,MATCH(9.99E+307,'Price History'!$A:$A))-'Price History'!O3)*(ROW()-3)/(MATCH(9.99E+307,'Returns (Calc)'!$A:$A)-3),"")</f>
        <v>87.8401886792453</v>
      </c>
      <c r="AK21" s="111" t="n">
        <f aca="false">IFERROR('Price History'!Q3+(INDEX('Price History'!Q:Q,MATCH(9.99E+307,'Price History'!$A:$A))-'Price History'!Q3)*(ROW()-3)/(MATCH(9.99E+307,'Returns (Calc)'!$A:$A)-3),"")</f>
        <v>52.0905660377359</v>
      </c>
      <c r="AL21" s="111" t="n">
        <f aca="false">IFERROR('Price History'!R3+(INDEX('Price History'!R:R,MATCH(9.99E+307,'Price History'!$A:$A))-'Price History'!R3)*(ROW()-3)/(MATCH(9.99E+307,'Returns (Calc)'!$A:$A)-3),"")</f>
        <v>49.1841509433962</v>
      </c>
      <c r="AM21" s="111" t="n">
        <f aca="false">IFERROR('Price History'!S3+(INDEX('Price History'!S:S,MATCH(9.99E+307,'Price History'!$A:$A))-'Price History'!S3)*(ROW()-3)/(MATCH(9.99E+307,'Returns (Calc)'!$A:$A)-3),"")</f>
        <v>68.8622641509434</v>
      </c>
      <c r="AN21" s="111" t="n">
        <f aca="false">IFERROR('Price History'!T3+(INDEX('Price History'!T:T,MATCH(9.99E+307,'Price History'!$A:$A))-'Price History'!T3)*(ROW()-3)/(MATCH(9.99E+307,'Returns (Calc)'!$A:$A)-3),"")</f>
        <v>30.1228301886792</v>
      </c>
      <c r="AO21" s="112" t="n">
        <f aca="false">IFERROR('Price History'!V3+(INDEX('Price History'!V:V,MATCH(9.99E+307,'Price History'!$A:$A))-'Price History'!V3)*(ROW()-3)/(MATCH(9.99E+307,'Returns (Calc)'!$A:$A)-3),"")</f>
        <v>42.4607547169811</v>
      </c>
    </row>
    <row r="22" customFormat="false" ht="15" hidden="false" customHeight="true" outlineLevel="0" collapsed="false">
      <c r="A22" s="108" t="n">
        <f aca="false">IF('Price History'!A23="","",'Price History'!A23)</f>
        <v>45289</v>
      </c>
      <c r="B22" s="109" t="n">
        <f aca="false">IFERROR(IF(OR(NOT(ISNUMBER('Price History'!B23)),NOT(ISNUMBER('Price History'!B22)),'Price History'!B22=0),"",'Price History'!B23/'Price History'!B22-1),"")</f>
        <v>-0.00359081419624219</v>
      </c>
      <c r="C22" s="109" t="n">
        <f aca="false">IFERROR(IF(OR(NOT(ISNUMBER('Price History'!C23)),NOT(ISNUMBER('Price History'!C22)),'Price History'!C22=0),"",'Price History'!C23/'Price History'!C22-1),"")</f>
        <v>-0.0115830115830116</v>
      </c>
      <c r="D22" s="109" t="n">
        <f aca="false">IFERROR(IF(OR(NOT(ISNUMBER('Price History'!D23)),NOT(ISNUMBER('Price History'!D22)),'Price History'!D22=0),"",'Price History'!D23/'Price History'!D22-1),"")</f>
        <v>0.00583365447224704</v>
      </c>
      <c r="E22" s="109" t="n">
        <f aca="false">IFERROR(IF(OR(NOT(ISNUMBER('Price History'!E23)),NOT(ISNUMBER('Price History'!E22)),'Price History'!E22=0),"",'Price History'!E23/'Price History'!E22-1),"")</f>
        <v>-0.00508021390374336</v>
      </c>
      <c r="F22" s="109" t="n">
        <f aca="false">IFERROR(IF(OR(NOT(ISNUMBER('Price History'!F23)),NOT(ISNUMBER('Price History'!F22)),'Price History'!F22=0),"",'Price History'!F23/'Price History'!F22-1),"")</f>
        <v>-0.00125176028790486</v>
      </c>
      <c r="G22" s="109" t="n">
        <f aca="false">IFERROR(IF(OR(NOT(ISNUMBER('Price History'!G23)),NOT(ISNUMBER('Price History'!G22)),'Price History'!G22=0),"",'Price History'!G23/'Price History'!G22-1),"")</f>
        <v>-0.00240260854642183</v>
      </c>
      <c r="H22" s="109" t="n">
        <f aca="false">IFERROR(IF(OR(NOT(ISNUMBER('Price History'!H23)),NOT(ISNUMBER('Price History'!H22)),'Price History'!H22=0),"",'Price History'!H23/'Price History'!H22-1),"")</f>
        <v>-0.0132963348363971</v>
      </c>
      <c r="I22" s="109" t="n">
        <f aca="false">IFERROR(IF(OR(NOT(ISNUMBER('Price History'!I23)),NOT(ISNUMBER('Price History'!I22)),'Price History'!I22=0),"",'Price History'!I23/'Price History'!I22-1),"")</f>
        <v>0.0141306573827567</v>
      </c>
      <c r="J22" s="109" t="n">
        <f aca="false">IFERROR(IF(OR(NOT(ISNUMBER('Price History'!J23)),NOT(ISNUMBER('Price History'!J22)),'Price History'!J22=0),"",'Price History'!J23/'Price History'!J22-1),"")</f>
        <v>0.00679758308157097</v>
      </c>
      <c r="K22" s="109" t="n">
        <f aca="false">IFERROR(IF(OR(NOT(ISNUMBER('Price History'!K23)),NOT(ISNUMBER('Price History'!K22)),'Price History'!K22=0),"",'Price History'!K23/'Price History'!K22-1),"")</f>
        <v>-0.0137851809304996</v>
      </c>
      <c r="L22" s="109" t="n">
        <f aca="false">IFERROR(IF(OR(NOT(ISNUMBER('Price History'!L23)),NOT(ISNUMBER('Price History'!L22)),'Price History'!L22=0),"",'Price History'!L23/'Price History'!L22-1),"")</f>
        <v>0.00824042656325741</v>
      </c>
      <c r="M22" s="109" t="n">
        <f aca="false">IFERROR(IF(OR(NOT(ISNUMBER('Price History'!M23)),NOT(ISNUMBER('Price History'!M22)),'Price History'!M22=0),"",'Price History'!M23/'Price History'!M22-1),"")</f>
        <v>-0.0153751537515375</v>
      </c>
      <c r="N22" s="109" t="n">
        <f aca="false">IFERROR(IF(OR(NOT(ISNUMBER('Price History'!N23)),NOT(ISNUMBER('Price History'!N22)),'Price History'!N22=0),"",'Price History'!N23/'Price History'!N22-1),"")</f>
        <v>0.00404688463911174</v>
      </c>
      <c r="O22" s="109" t="n">
        <f aca="false">IFERROR(IF(OR(NOT(ISNUMBER('Price History'!O23)),NOT(ISNUMBER('Price History'!O22)),'Price History'!O22=0),"",'Price History'!O23/'Price History'!O22-1),"")</f>
        <v>-0.0036613780095418</v>
      </c>
      <c r="P22" s="109" t="str">
        <f aca="false">IFERROR(IF(OR(NOT(ISNUMBER('Price History'!P23)),NOT(ISNUMBER('Price History'!P22)),'Price History'!P22=0),"",'Price History'!P23/'Price History'!P22-1),"")</f>
        <v/>
      </c>
      <c r="Q22" s="109" t="n">
        <f aca="false">IFERROR(IF(OR(NOT(ISNUMBER('Price History'!Q23)),NOT(ISNUMBER('Price History'!Q22)),'Price History'!Q22=0),"",'Price History'!Q23/'Price History'!Q22-1),"")</f>
        <v>-0.00547245530828155</v>
      </c>
      <c r="R22" s="109" t="n">
        <f aca="false">IFERROR(IF(OR(NOT(ISNUMBER('Price History'!R23)),NOT(ISNUMBER('Price History'!R22)),'Price History'!R22=0),"",'Price History'!R23/'Price History'!R22-1),"")</f>
        <v>-0.00458532695374792</v>
      </c>
      <c r="S22" s="109" t="n">
        <f aca="false">IFERROR(IF(OR(NOT(ISNUMBER('Price History'!S23)),NOT(ISNUMBER('Price History'!S22)),'Price History'!S22=0),"",'Price History'!S23/'Price History'!S22-1),"")</f>
        <v>0.00707257072570711</v>
      </c>
      <c r="T22" s="109" t="n">
        <f aca="false">IFERROR(IF(OR(NOT(ISNUMBER('Price History'!T23)),NOT(ISNUMBER('Price History'!T22)),'Price History'!T22=0),"",'Price History'!T23/'Price History'!T22-1),"")</f>
        <v>-0.0024639211545231</v>
      </c>
      <c r="U22" s="109" t="str">
        <f aca="false">IFERROR(IF(OR(NOT(ISNUMBER('Price History'!U23)),NOT(ISNUMBER('Price History'!U22)),'Price History'!U22=0),"",'Price History'!U23/'Price History'!U22-1),"")</f>
        <v/>
      </c>
      <c r="V22" s="110" t="n">
        <f aca="false">IFERROR(IF(OR(NOT(ISNUMBER('Price History'!V23)),NOT(ISNUMBER('Price History'!V22)),'Price History'!V22=0),"",'Price History'!V23/'Price History'!V22-1),"")</f>
        <v>0.00742672039187808</v>
      </c>
      <c r="W22" s="111" t="n">
        <f aca="false">IFERROR('Price History'!B3+(INDEX('Price History'!B:B,MATCH(9.99E+307,'Price History'!$A:$A))-'Price History'!B3)*(ROW()-3)/(MATCH(9.99E+307,'Returns (Calc)'!$A:$A)-3),"")</f>
        <v>479.53893081761</v>
      </c>
      <c r="X22" s="111" t="n">
        <f aca="false">IFERROR('Price History'!C3+(INDEX('Price History'!C:C,MATCH(9.99E+307,'Price History'!$A:$A))-'Price History'!C3)*(ROW()-3)/(MATCH(9.99E+307,'Returns (Calc)'!$A:$A)-3),"")</f>
        <v>61.6693081761006</v>
      </c>
      <c r="Y22" s="111" t="n">
        <f aca="false">IFERROR('Price History'!D3+(INDEX('Price History'!D:D,MATCH(9.99E+307,'Price History'!$A:$A))-'Price History'!D3)*(ROW()-3)/(MATCH(9.99E+307,'Returns (Calc)'!$A:$A)-3),"")</f>
        <v>787.62213836478</v>
      </c>
      <c r="Z22" s="111" t="n">
        <f aca="false">IFERROR('Price History'!E3+(INDEX('Price History'!E:E,MATCH(9.99E+307,'Price History'!$A:$A))-'Price History'!E3)*(ROW()-3)/(MATCH(9.99E+307,'Returns (Calc)'!$A:$A)-3),"")</f>
        <v>115.832075471698</v>
      </c>
      <c r="AA22" s="111" t="n">
        <f aca="false">IFERROR('Price History'!F3+(INDEX('Price History'!F:F,MATCH(9.99E+307,'Price History'!$A:$A))-'Price History'!F3)*(ROW()-3)/(MATCH(9.99E+307,'Returns (Calc)'!$A:$A)-3),"")</f>
        <v>58.0962264150943</v>
      </c>
      <c r="AB22" s="111" t="n">
        <f aca="false">IFERROR('Price History'!G3+(INDEX('Price History'!G:G,MATCH(9.99E+307,'Price History'!$A:$A))-'Price History'!G3)*(ROW()-3)/(MATCH(9.99E+307,'Returns (Calc)'!$A:$A)-3),"")</f>
        <v>64.3547169811321</v>
      </c>
      <c r="AC22" s="111" t="n">
        <f aca="false">IFERROR('Price History'!H3+(INDEX('Price History'!H:H,MATCH(9.99E+307,'Price History'!$A:$A))-'Price History'!H3)*(ROW()-3)/(MATCH(9.99E+307,'Returns (Calc)'!$A:$A)-3),"")</f>
        <v>178.157295597484</v>
      </c>
      <c r="AD22" s="111" t="n">
        <f aca="false">IFERROR('Price History'!I3+(INDEX('Price History'!I:I,MATCH(9.99E+307,'Price History'!$A:$A))-'Price History'!I3)*(ROW()-3)/(MATCH(9.99E+307,'Returns (Calc)'!$A:$A)-3),"")</f>
        <v>63.4958490566038</v>
      </c>
      <c r="AE22" s="111" t="n">
        <f aca="false">IFERROR('Price History'!J3+(INDEX('Price History'!J:J,MATCH(9.99E+307,'Price History'!$A:$A))-'Price History'!J3)*(ROW()-3)/(MATCH(9.99E+307,'Returns (Calc)'!$A:$A)-3),"")</f>
        <v>125.162641509434</v>
      </c>
      <c r="AF22" s="111" t="n">
        <f aca="false">IFERROR('Price History'!K3+(INDEX('Price History'!K:K,MATCH(9.99E+307,'Price History'!$A:$A))-'Price History'!K3)*(ROW()-3)/(MATCH(9.99E+307,'Returns (Calc)'!$A:$A)-3),"")</f>
        <v>34.4004402515723</v>
      </c>
      <c r="AG22" s="111" t="n">
        <f aca="false">IFERROR('Price History'!L3+(INDEX('Price History'!L:L,MATCH(9.99E+307,'Price History'!$A:$A))-'Price History'!L3)*(ROW()-3)/(MATCH(9.99E+307,'Returns (Calc)'!$A:$A)-3),"")</f>
        <v>132.250880503145</v>
      </c>
      <c r="AH22" s="111" t="n">
        <f aca="false">IFERROR('Price History'!M3+(INDEX('Price History'!M:M,MATCH(9.99E+307,'Price History'!$A:$A))-'Price History'!M3)*(ROW()-3)/(MATCH(9.99E+307,'Returns (Calc)'!$A:$A)-3),"")</f>
        <v>63.0281132075472</v>
      </c>
      <c r="AI22" s="111" t="n">
        <f aca="false">IFERROR('Price History'!N3+(INDEX('Price History'!N:N,MATCH(9.99E+307,'Price History'!$A:$A))-'Price History'!N3)*(ROW()-3)/(MATCH(9.99E+307,'Returns (Calc)'!$A:$A)-3),"")</f>
        <v>373.312452830189</v>
      </c>
      <c r="AJ22" s="111" t="n">
        <f aca="false">IFERROR('Price History'!O3+(INDEX('Price History'!O:O,MATCH(9.99E+307,'Price History'!$A:$A))-'Price History'!O3)*(ROW()-3)/(MATCH(9.99E+307,'Returns (Calc)'!$A:$A)-3),"")</f>
        <v>88.1174213836478</v>
      </c>
      <c r="AK22" s="111" t="n">
        <f aca="false">IFERROR('Price History'!Q3+(INDEX('Price History'!Q:Q,MATCH(9.99E+307,'Price History'!$A:$A))-'Price History'!Q3)*(ROW()-3)/(MATCH(9.99E+307,'Returns (Calc)'!$A:$A)-3),"")</f>
        <v>52.2155974842767</v>
      </c>
      <c r="AL22" s="111" t="n">
        <f aca="false">IFERROR('Price History'!R3+(INDEX('Price History'!R:R,MATCH(9.99E+307,'Price History'!$A:$A))-'Price History'!R3)*(ROW()-3)/(MATCH(9.99E+307,'Returns (Calc)'!$A:$A)-3),"")</f>
        <v>49.2599371069182</v>
      </c>
      <c r="AM22" s="111" t="n">
        <f aca="false">IFERROR('Price History'!S3+(INDEX('Price History'!S:S,MATCH(9.99E+307,'Price History'!$A:$A))-'Price History'!S3)*(ROW()-3)/(MATCH(9.99E+307,'Returns (Calc)'!$A:$A)-3),"")</f>
        <v>69.4357232704403</v>
      </c>
      <c r="AN22" s="111" t="n">
        <f aca="false">IFERROR('Price History'!T3+(INDEX('Price History'!T:T,MATCH(9.99E+307,'Price History'!$A:$A))-'Price History'!T3)*(ROW()-3)/(MATCH(9.99E+307,'Returns (Calc)'!$A:$A)-3),"")</f>
        <v>30.301320754717</v>
      </c>
      <c r="AO22" s="112" t="n">
        <f aca="false">IFERROR('Price History'!V3+(INDEX('Price History'!V:V,MATCH(9.99E+307,'Price History'!$A:$A))-'Price History'!V3)*(ROW()-3)/(MATCH(9.99E+307,'Returns (Calc)'!$A:$A)-3),"")</f>
        <v>44.8196855345912</v>
      </c>
    </row>
    <row r="23" customFormat="false" ht="15" hidden="false" customHeight="true" outlineLevel="0" collapsed="false">
      <c r="A23" s="108" t="n">
        <f aca="false">IF('Price History'!A24="","",'Price History'!A24)</f>
        <v>45296</v>
      </c>
      <c r="B23" s="109" t="n">
        <f aca="false">IFERROR(IF(OR(NOT(ISNUMBER('Price History'!B24)),NOT(ISNUMBER('Price History'!B23)),'Price History'!B23=0),"",'Price History'!B24/'Price History'!B23-1),"")</f>
        <v>-0.0536372779081462</v>
      </c>
      <c r="C23" s="109" t="n">
        <f aca="false">IFERROR(IF(OR(NOT(ISNUMBER('Price History'!C24)),NOT(ISNUMBER('Price History'!C23)),'Price History'!C23=0),"",'Price History'!C24/'Price History'!C23-1),"")</f>
        <v>-0.0195312500000001</v>
      </c>
      <c r="D23" s="109" t="n">
        <f aca="false">IFERROR(IF(OR(NOT(ISNUMBER('Price History'!D24)),NOT(ISNUMBER('Price History'!D23)),'Price History'!D23=0),"",'Price History'!D24/'Price History'!D23-1),"")</f>
        <v>-0.0707868731173703</v>
      </c>
      <c r="E23" s="109" t="n">
        <f aca="false">IFERROR(IF(OR(NOT(ISNUMBER('Price History'!E24)),NOT(ISNUMBER('Price History'!E23)),'Price History'!E23=0),"",'Price History'!E24/'Price History'!E23-1),"")</f>
        <v>-0.060019707963809</v>
      </c>
      <c r="F23" s="109" t="n">
        <f aca="false">IFERROR(IF(OR(NOT(ISNUMBER('Price History'!F24)),NOT(ISNUMBER('Price History'!F23)),'Price History'!F23=0),"",'Price History'!F24/'Price History'!F23-1),"")</f>
        <v>-0.0307065643114524</v>
      </c>
      <c r="G23" s="109" t="n">
        <f aca="false">IFERROR(IF(OR(NOT(ISNUMBER('Price History'!G24)),NOT(ISNUMBER('Price History'!G23)),'Price History'!G23=0),"",'Price History'!G24/'Price History'!G23-1),"")</f>
        <v>-0.0636504386719422</v>
      </c>
      <c r="H23" s="109" t="n">
        <f aca="false">IFERROR(IF(OR(NOT(ISNUMBER('Price History'!H24)),NOT(ISNUMBER('Price History'!H23)),'Price History'!H23=0),"",'Price History'!H24/'Price History'!H23-1),"")</f>
        <v>-0.0221467072884931</v>
      </c>
      <c r="I23" s="109" t="n">
        <f aca="false">IFERROR(IF(OR(NOT(ISNUMBER('Price History'!I24)),NOT(ISNUMBER('Price History'!I23)),'Price History'!I23=0),"",'Price History'!I24/'Price History'!I23-1),"")</f>
        <v>-0.00848142164781907</v>
      </c>
      <c r="J23" s="109" t="n">
        <f aca="false">IFERROR(IF(OR(NOT(ISNUMBER('Price History'!J24)),NOT(ISNUMBER('Price History'!J23)),'Price History'!J23=0),"",'Price History'!J24/'Price History'!J23-1),"")</f>
        <v>-0.0205551387846963</v>
      </c>
      <c r="K23" s="109" t="n">
        <f aca="false">IFERROR(IF(OR(NOT(ISNUMBER('Price History'!K24)),NOT(ISNUMBER('Price History'!K23)),'Price History'!K23=0),"",'Price History'!K24/'Price History'!K23-1),"")</f>
        <v>-0.0693069306930694</v>
      </c>
      <c r="L23" s="109" t="n">
        <f aca="false">IFERROR(IF(OR(NOT(ISNUMBER('Price History'!L24)),NOT(ISNUMBER('Price History'!L23)),'Price History'!L23=0),"",'Price History'!L24/'Price History'!L23-1),"")</f>
        <v>-0.0422115384615385</v>
      </c>
      <c r="M23" s="109" t="n">
        <f aca="false">IFERROR(IF(OR(NOT(ISNUMBER('Price History'!M24)),NOT(ISNUMBER('Price History'!M23)),'Price History'!M23=0),"",'Price History'!M24/'Price History'!M23-1),"")</f>
        <v>-0.0358109514886529</v>
      </c>
      <c r="N23" s="109" t="n">
        <f aca="false">IFERROR(IF(OR(NOT(ISNUMBER('Price History'!N24)),NOT(ISNUMBER('Price History'!N23)),'Price History'!N23=0),"",'Price History'!N24/'Price History'!N23-1),"")</f>
        <v>0.0236181769028485</v>
      </c>
      <c r="O23" s="109" t="n">
        <f aca="false">IFERROR(IF(OR(NOT(ISNUMBER('Price History'!O24)),NOT(ISNUMBER('Price History'!O23)),'Price History'!O23=0),"",'Price History'!O24/'Price History'!O23-1),"")</f>
        <v>-0.025946547884187</v>
      </c>
      <c r="P23" s="109" t="str">
        <f aca="false">IFERROR(IF(OR(NOT(ISNUMBER('Price History'!P24)),NOT(ISNUMBER('Price History'!P23)),'Price History'!P23=0),"",'Price History'!P24/'Price History'!P23-1),"")</f>
        <v/>
      </c>
      <c r="Q23" s="109" t="n">
        <f aca="false">IFERROR(IF(OR(NOT(ISNUMBER('Price History'!Q24)),NOT(ISNUMBER('Price History'!Q23)),'Price History'!Q23=0),"",'Price History'!Q24/'Price History'!Q23-1),"")</f>
        <v>0.0075201760821717</v>
      </c>
      <c r="R23" s="109" t="n">
        <f aca="false">IFERROR(IF(OR(NOT(ISNUMBER('Price History'!R24)),NOT(ISNUMBER('Price History'!R23)),'Price History'!R23=0),"",'Price History'!R24/'Price History'!R23-1),"")</f>
        <v>-0.0156218706188664</v>
      </c>
      <c r="S23" s="109" t="n">
        <f aca="false">IFERROR(IF(OR(NOT(ISNUMBER('Price History'!S24)),NOT(ISNUMBER('Price History'!S23)),'Price History'!S23=0),"",'Price History'!S24/'Price History'!S23-1),"")</f>
        <v>-0.0103816793893131</v>
      </c>
      <c r="T23" s="109" t="n">
        <f aca="false">IFERROR(IF(OR(NOT(ISNUMBER('Price History'!T24)),NOT(ISNUMBER('Price History'!T23)),'Price History'!T23=0),"",'Price History'!T24/'Price History'!T23-1),"")</f>
        <v>0.00105857445307</v>
      </c>
      <c r="U23" s="109" t="str">
        <f aca="false">IFERROR(IF(OR(NOT(ISNUMBER('Price History'!U24)),NOT(ISNUMBER('Price History'!U23)),'Price History'!U23=0),"",'Price History'!U24/'Price History'!U23-1),"")</f>
        <v/>
      </c>
      <c r="V23" s="110" t="n">
        <f aca="false">IFERROR(IF(OR(NOT(ISNUMBER('Price History'!V24)),NOT(ISNUMBER('Price History'!V23)),'Price History'!V23=0),"",'Price History'!V24/'Price History'!V23-1),"")</f>
        <v>-0.00254881970041565</v>
      </c>
      <c r="W23" s="111" t="n">
        <f aca="false">IFERROR('Price History'!B3+(INDEX('Price History'!B:B,MATCH(9.99E+307,'Price History'!$A:$A))-'Price History'!B3)*(ROW()-3)/(MATCH(9.99E+307,'Returns (Calc)'!$A:$A)-3),"")</f>
        <v>478.017295597484</v>
      </c>
      <c r="X23" s="111" t="n">
        <f aca="false">IFERROR('Price History'!C3+(INDEX('Price History'!C:C,MATCH(9.99E+307,'Price History'!$A:$A))-'Price History'!C3)*(ROW()-3)/(MATCH(9.99E+307,'Returns (Calc)'!$A:$A)-3),"")</f>
        <v>62.6129559748428</v>
      </c>
      <c r="Y23" s="111" t="n">
        <f aca="false">IFERROR('Price History'!D3+(INDEX('Price History'!D:D,MATCH(9.99E+307,'Price History'!$A:$A))-'Price History'!D3)*(ROW()-3)/(MATCH(9.99E+307,'Returns (Calc)'!$A:$A)-3),"")</f>
        <v>794.245408805032</v>
      </c>
      <c r="Z23" s="111" t="n">
        <f aca="false">IFERROR('Price History'!E3+(INDEX('Price History'!E:E,MATCH(9.99E+307,'Price History'!$A:$A))-'Price History'!E3)*(ROW()-3)/(MATCH(9.99E+307,'Returns (Calc)'!$A:$A)-3),"")</f>
        <v>117.561132075472</v>
      </c>
      <c r="AA23" s="111" t="n">
        <f aca="false">IFERROR('Price History'!F3+(INDEX('Price History'!F:F,MATCH(9.99E+307,'Price History'!$A:$A))-'Price History'!F3)*(ROW()-3)/(MATCH(9.99E+307,'Returns (Calc)'!$A:$A)-3),"")</f>
        <v>59.2033962264151</v>
      </c>
      <c r="AB23" s="111" t="n">
        <f aca="false">IFERROR('Price History'!G3+(INDEX('Price History'!G:G,MATCH(9.99E+307,'Price History'!$A:$A))-'Price History'!G3)*(ROW()-3)/(MATCH(9.99E+307,'Returns (Calc)'!$A:$A)-3),"")</f>
        <v>65.2207547169811</v>
      </c>
      <c r="AC23" s="111" t="n">
        <f aca="false">IFERROR('Price History'!H3+(INDEX('Price History'!H:H,MATCH(9.99E+307,'Price History'!$A:$A))-'Price History'!H3)*(ROW()-3)/(MATCH(9.99E+307,'Returns (Calc)'!$A:$A)-3),"")</f>
        <v>184.146100628931</v>
      </c>
      <c r="AD23" s="111" t="n">
        <f aca="false">IFERROR('Price History'!I3+(INDEX('Price History'!I:I,MATCH(9.99E+307,'Price History'!$A:$A))-'Price History'!I3)*(ROW()-3)/(MATCH(9.99E+307,'Returns (Calc)'!$A:$A)-3),"")</f>
        <v>64.6877358490566</v>
      </c>
      <c r="AE23" s="111" t="n">
        <f aca="false">IFERROR('Price History'!J3+(INDEX('Price History'!J:J,MATCH(9.99E+307,'Price History'!$A:$A))-'Price History'!J3)*(ROW()-3)/(MATCH(9.99E+307,'Returns (Calc)'!$A:$A)-3),"")</f>
        <v>125.249622641509</v>
      </c>
      <c r="AF23" s="111" t="n">
        <f aca="false">IFERROR('Price History'!K3+(INDEX('Price History'!K:K,MATCH(9.99E+307,'Price History'!$A:$A))-'Price History'!K3)*(ROW()-3)/(MATCH(9.99E+307,'Returns (Calc)'!$A:$A)-3),"")</f>
        <v>35.3999371069182</v>
      </c>
      <c r="AG23" s="111" t="n">
        <f aca="false">IFERROR('Price History'!L3+(INDEX('Price History'!L:L,MATCH(9.99E+307,'Price History'!$A:$A))-'Price History'!L3)*(ROW()-3)/(MATCH(9.99E+307,'Returns (Calc)'!$A:$A)-3),"")</f>
        <v>134.369874213836</v>
      </c>
      <c r="AH23" s="111" t="n">
        <f aca="false">IFERROR('Price History'!M3+(INDEX('Price History'!M:M,MATCH(9.99E+307,'Price History'!$A:$A))-'Price History'!M3)*(ROW()-3)/(MATCH(9.99E+307,'Returns (Calc)'!$A:$A)-3),"")</f>
        <v>64.5816981132076</v>
      </c>
      <c r="AI23" s="111" t="n">
        <f aca="false">IFERROR('Price History'!N3+(INDEX('Price History'!N:N,MATCH(9.99E+307,'Price History'!$A:$A))-'Price History'!N3)*(ROW()-3)/(MATCH(9.99E+307,'Returns (Calc)'!$A:$A)-3),"")</f>
        <v>374.54679245283</v>
      </c>
      <c r="AJ23" s="111" t="n">
        <f aca="false">IFERROR('Price History'!O3+(INDEX('Price History'!O:O,MATCH(9.99E+307,'Price History'!$A:$A))-'Price History'!O3)*(ROW()-3)/(MATCH(9.99E+307,'Returns (Calc)'!$A:$A)-3),"")</f>
        <v>88.3946540880503</v>
      </c>
      <c r="AK23" s="111" t="n">
        <f aca="false">IFERROR('Price History'!Q3+(INDEX('Price History'!Q:Q,MATCH(9.99E+307,'Price History'!$A:$A))-'Price History'!Q3)*(ROW()-3)/(MATCH(9.99E+307,'Returns (Calc)'!$A:$A)-3),"")</f>
        <v>52.3406289308176</v>
      </c>
      <c r="AL23" s="111" t="n">
        <f aca="false">IFERROR('Price History'!R3+(INDEX('Price History'!R:R,MATCH(9.99E+307,'Price History'!$A:$A))-'Price History'!R3)*(ROW()-3)/(MATCH(9.99E+307,'Returns (Calc)'!$A:$A)-3),"")</f>
        <v>49.3357232704403</v>
      </c>
      <c r="AM23" s="111" t="n">
        <f aca="false">IFERROR('Price History'!S3+(INDEX('Price History'!S:S,MATCH(9.99E+307,'Price History'!$A:$A))-'Price History'!S3)*(ROW()-3)/(MATCH(9.99E+307,'Returns (Calc)'!$A:$A)-3),"")</f>
        <v>70.0091823899371</v>
      </c>
      <c r="AN23" s="111" t="n">
        <f aca="false">IFERROR('Price History'!T3+(INDEX('Price History'!T:T,MATCH(9.99E+307,'Price History'!$A:$A))-'Price History'!T3)*(ROW()-3)/(MATCH(9.99E+307,'Returns (Calc)'!$A:$A)-3),"")</f>
        <v>30.4798113207547</v>
      </c>
      <c r="AO23" s="112" t="n">
        <f aca="false">IFERROR('Price History'!V3+(INDEX('Price History'!V:V,MATCH(9.99E+307,'Price History'!$A:$A))-'Price History'!V3)*(ROW()-3)/(MATCH(9.99E+307,'Returns (Calc)'!$A:$A)-3),"")</f>
        <v>47.1786163522013</v>
      </c>
    </row>
    <row r="24" customFormat="false" ht="15" hidden="false" customHeight="true" outlineLevel="0" collapsed="false">
      <c r="A24" s="108" t="n">
        <f aca="false">IF('Price History'!A25="","",'Price History'!A25)</f>
        <v>45303</v>
      </c>
      <c r="B24" s="109" t="n">
        <f aca="false">IFERROR(IF(OR(NOT(ISNUMBER('Price History'!B25)),NOT(ISNUMBER('Price History'!B24)),'Price History'!B24=0),"",'Price History'!B25/'Price History'!B24-1),"")</f>
        <v>0.0565710237336166</v>
      </c>
      <c r="C24" s="109" t="n">
        <f aca="false">IFERROR(IF(OR(NOT(ISNUMBER('Price History'!C25)),NOT(ISNUMBER('Price History'!C24)),'Price History'!C24=0),"",'Price History'!C25/'Price History'!C24-1),"")</f>
        <v>0.0914602459726313</v>
      </c>
      <c r="D24" s="109" t="n">
        <f aca="false">IFERROR(IF(OR(NOT(ISNUMBER('Price History'!D25)),NOT(ISNUMBER('Price History'!D24)),'Price History'!D24=0),"",'Price History'!D25/'Price History'!D24-1),"")</f>
        <v>0.014047260215543</v>
      </c>
      <c r="E24" s="109" t="n">
        <f aca="false">IFERROR(IF(OR(NOT(ISNUMBER('Price History'!E25)),NOT(ISNUMBER('Price History'!E24)),'Price History'!E24=0),"",'Price History'!E25/'Price History'!E24-1),"")</f>
        <v>0.0556561517201943</v>
      </c>
      <c r="F24" s="109" t="n">
        <f aca="false">IFERROR(IF(OR(NOT(ISNUMBER('Price History'!F25)),NOT(ISNUMBER('Price History'!F24)),'Price History'!F24=0),"",'Price History'!F25/'Price History'!F24-1),"")</f>
        <v>0.144981412639405</v>
      </c>
      <c r="G24" s="109" t="n">
        <f aca="false">IFERROR(IF(OR(NOT(ISNUMBER('Price History'!G25)),NOT(ISNUMBER('Price History'!G24)),'Price History'!G24=0),"",'Price History'!G25/'Price History'!G24-1),"")</f>
        <v>0.0299467205585156</v>
      </c>
      <c r="H24" s="109" t="n">
        <f aca="false">IFERROR(IF(OR(NOT(ISNUMBER('Price History'!H25)),NOT(ISNUMBER('Price History'!H24)),'Price History'!H24=0),"",'Price History'!H25/'Price History'!H24-1),"")</f>
        <v>-0.0127022168963451</v>
      </c>
      <c r="I24" s="109" t="n">
        <f aca="false">IFERROR(IF(OR(NOT(ISNUMBER('Price History'!I25)),NOT(ISNUMBER('Price History'!I24)),'Price History'!I24=0),"",'Price History'!I25/'Price History'!I24-1),"")</f>
        <v>0.114256619144603</v>
      </c>
      <c r="J24" s="109" t="n">
        <f aca="false">IFERROR(IF(OR(NOT(ISNUMBER('Price History'!J25)),NOT(ISNUMBER('Price History'!J24)),'Price History'!J24=0),"",'Price History'!J25/'Price History'!J24-1),"")</f>
        <v>0.00758272058823528</v>
      </c>
      <c r="K24" s="109" t="n">
        <f aca="false">IFERROR(IF(OR(NOT(ISNUMBER('Price History'!K25)),NOT(ISNUMBER('Price History'!K24)),'Price History'!K24=0),"",'Price History'!K25/'Price History'!K24-1),"")</f>
        <v>0.0488110137672091</v>
      </c>
      <c r="L24" s="109" t="n">
        <f aca="false">IFERROR(IF(OR(NOT(ISNUMBER('Price History'!L25)),NOT(ISNUMBER('Price History'!L24)),'Price History'!L24=0),"",'Price History'!L25/'Price History'!L24-1),"")</f>
        <v>0.0163638188936854</v>
      </c>
      <c r="M24" s="109" t="n">
        <f aca="false">IFERROR(IF(OR(NOT(ISNUMBER('Price History'!M25)),NOT(ISNUMBER('Price History'!M24)),'Price History'!M24=0),"",'Price History'!M25/'Price History'!M24-1),"")</f>
        <v>0.0693154826171454</v>
      </c>
      <c r="N24" s="109" t="n">
        <f aca="false">IFERROR(IF(OR(NOT(ISNUMBER('Price History'!N25)),NOT(ISNUMBER('Price History'!N24)),'Price History'!N24=0),"",'Price History'!N25/'Price History'!N24-1),"")</f>
        <v>0.0405762304921968</v>
      </c>
      <c r="O24" s="109" t="n">
        <f aca="false">IFERROR(IF(OR(NOT(ISNUMBER('Price History'!O25)),NOT(ISNUMBER('Price History'!O24)),'Price History'!O24=0),"",'Price History'!O25/'Price History'!O24-1),"")</f>
        <v>-0.0113181662284211</v>
      </c>
      <c r="P24" s="109" t="str">
        <f aca="false">IFERROR(IF(OR(NOT(ISNUMBER('Price History'!P25)),NOT(ISNUMBER('Price History'!P24)),'Price History'!P24=0),"",'Price History'!P25/'Price History'!P24-1),"")</f>
        <v/>
      </c>
      <c r="Q24" s="109" t="n">
        <f aca="false">IFERROR(IF(OR(NOT(ISNUMBER('Price History'!Q25)),NOT(ISNUMBER('Price History'!Q24)),'Price History'!Q24=0),"",'Price History'!Q25/'Price History'!Q24-1),"")</f>
        <v>0.00618969597669761</v>
      </c>
      <c r="R24" s="109" t="n">
        <f aca="false">IFERROR(IF(OR(NOT(ISNUMBER('Price History'!R25)),NOT(ISNUMBER('Price History'!R24)),'Price History'!R24=0),"",'Price History'!R25/'Price History'!R24-1),"")</f>
        <v>0.0272634791454731</v>
      </c>
      <c r="S24" s="109" t="n">
        <f aca="false">IFERROR(IF(OR(NOT(ISNUMBER('Price History'!S25)),NOT(ISNUMBER('Price History'!S24)),'Price History'!S24=0),"",'Price History'!S25/'Price History'!S24-1),"")</f>
        <v>0.0311632212280162</v>
      </c>
      <c r="T24" s="109" t="n">
        <f aca="false">IFERROR(IF(OR(NOT(ISNUMBER('Price History'!T25)),NOT(ISNUMBER('Price History'!T24)),'Price History'!T24=0),"",'Price History'!T25/'Price History'!T24-1),"")</f>
        <v>-0.00281988015509349</v>
      </c>
      <c r="U24" s="109" t="str">
        <f aca="false">IFERROR(IF(OR(NOT(ISNUMBER('Price History'!U25)),NOT(ISNUMBER('Price History'!U24)),'Price History'!U24=0),"",'Price History'!U25/'Price History'!U24-1),"")</f>
        <v/>
      </c>
      <c r="V24" s="110" t="n">
        <f aca="false">IFERROR(IF(OR(NOT(ISNUMBER('Price History'!V25)),NOT(ISNUMBER('Price History'!V24)),'Price History'!V24=0),"",'Price History'!V25/'Price History'!V24-1),"")</f>
        <v>0.0172583244879505</v>
      </c>
      <c r="W24" s="111" t="n">
        <f aca="false">IFERROR('Price History'!B3+(INDEX('Price History'!B:B,MATCH(9.99E+307,'Price History'!$A:$A))-'Price History'!B3)*(ROW()-3)/(MATCH(9.99E+307,'Returns (Calc)'!$A:$A)-3),"")</f>
        <v>476.495660377359</v>
      </c>
      <c r="X24" s="111" t="n">
        <f aca="false">IFERROR('Price History'!C3+(INDEX('Price History'!C:C,MATCH(9.99E+307,'Price History'!$A:$A))-'Price History'!C3)*(ROW()-3)/(MATCH(9.99E+307,'Returns (Calc)'!$A:$A)-3),"")</f>
        <v>63.5566037735849</v>
      </c>
      <c r="Y24" s="111" t="n">
        <f aca="false">IFERROR('Price History'!D3+(INDEX('Price History'!D:D,MATCH(9.99E+307,'Price History'!$A:$A))-'Price History'!D3)*(ROW()-3)/(MATCH(9.99E+307,'Returns (Calc)'!$A:$A)-3),"")</f>
        <v>800.868679245283</v>
      </c>
      <c r="Z24" s="111" t="n">
        <f aca="false">IFERROR('Price History'!E3+(INDEX('Price History'!E:E,MATCH(9.99E+307,'Price History'!$A:$A))-'Price History'!E3)*(ROW()-3)/(MATCH(9.99E+307,'Returns (Calc)'!$A:$A)-3),"")</f>
        <v>119.290188679245</v>
      </c>
      <c r="AA24" s="111" t="n">
        <f aca="false">IFERROR('Price History'!F3+(INDEX('Price History'!F:F,MATCH(9.99E+307,'Price History'!$A:$A))-'Price History'!F3)*(ROW()-3)/(MATCH(9.99E+307,'Returns (Calc)'!$A:$A)-3),"")</f>
        <v>60.3105660377359</v>
      </c>
      <c r="AB24" s="111" t="n">
        <f aca="false">IFERROR('Price History'!G3+(INDEX('Price History'!G:G,MATCH(9.99E+307,'Price History'!$A:$A))-'Price History'!G3)*(ROW()-3)/(MATCH(9.99E+307,'Returns (Calc)'!$A:$A)-3),"")</f>
        <v>66.0867924528302</v>
      </c>
      <c r="AC24" s="111" t="n">
        <f aca="false">IFERROR('Price History'!H3+(INDEX('Price History'!H:H,MATCH(9.99E+307,'Price History'!$A:$A))-'Price History'!H3)*(ROW()-3)/(MATCH(9.99E+307,'Returns (Calc)'!$A:$A)-3),"")</f>
        <v>190.134905660377</v>
      </c>
      <c r="AD24" s="111" t="n">
        <f aca="false">IFERROR('Price History'!I3+(INDEX('Price History'!I:I,MATCH(9.99E+307,'Price History'!$A:$A))-'Price History'!I3)*(ROW()-3)/(MATCH(9.99E+307,'Returns (Calc)'!$A:$A)-3),"")</f>
        <v>65.8796226415094</v>
      </c>
      <c r="AE24" s="111" t="n">
        <f aca="false">IFERROR('Price History'!J3+(INDEX('Price History'!J:J,MATCH(9.99E+307,'Price History'!$A:$A))-'Price History'!J3)*(ROW()-3)/(MATCH(9.99E+307,'Returns (Calc)'!$A:$A)-3),"")</f>
        <v>125.336603773585</v>
      </c>
      <c r="AF24" s="111" t="n">
        <f aca="false">IFERROR('Price History'!K3+(INDEX('Price History'!K:K,MATCH(9.99E+307,'Price History'!$A:$A))-'Price History'!K3)*(ROW()-3)/(MATCH(9.99E+307,'Returns (Calc)'!$A:$A)-3),"")</f>
        <v>36.3994339622642</v>
      </c>
      <c r="AG24" s="111" t="n">
        <f aca="false">IFERROR('Price History'!L3+(INDEX('Price History'!L:L,MATCH(9.99E+307,'Price History'!$A:$A))-'Price History'!L3)*(ROW()-3)/(MATCH(9.99E+307,'Returns (Calc)'!$A:$A)-3),"")</f>
        <v>136.488867924528</v>
      </c>
      <c r="AH24" s="111" t="n">
        <f aca="false">IFERROR('Price History'!M3+(INDEX('Price History'!M:M,MATCH(9.99E+307,'Price History'!$A:$A))-'Price History'!M3)*(ROW()-3)/(MATCH(9.99E+307,'Returns (Calc)'!$A:$A)-3),"")</f>
        <v>66.1352830188679</v>
      </c>
      <c r="AI24" s="111" t="n">
        <f aca="false">IFERROR('Price History'!N3+(INDEX('Price History'!N:N,MATCH(9.99E+307,'Price History'!$A:$A))-'Price History'!N3)*(ROW()-3)/(MATCH(9.99E+307,'Returns (Calc)'!$A:$A)-3),"")</f>
        <v>375.781132075472</v>
      </c>
      <c r="AJ24" s="111" t="n">
        <f aca="false">IFERROR('Price History'!O3+(INDEX('Price History'!O:O,MATCH(9.99E+307,'Price History'!$A:$A))-'Price History'!O3)*(ROW()-3)/(MATCH(9.99E+307,'Returns (Calc)'!$A:$A)-3),"")</f>
        <v>88.6718867924528</v>
      </c>
      <c r="AK24" s="111" t="n">
        <f aca="false">IFERROR('Price History'!Q3+(INDEX('Price History'!Q:Q,MATCH(9.99E+307,'Price History'!$A:$A))-'Price History'!Q3)*(ROW()-3)/(MATCH(9.99E+307,'Returns (Calc)'!$A:$A)-3),"")</f>
        <v>52.4656603773585</v>
      </c>
      <c r="AL24" s="111" t="n">
        <f aca="false">IFERROR('Price History'!R3+(INDEX('Price History'!R:R,MATCH(9.99E+307,'Price History'!$A:$A))-'Price History'!R3)*(ROW()-3)/(MATCH(9.99E+307,'Returns (Calc)'!$A:$A)-3),"")</f>
        <v>49.4115094339623</v>
      </c>
      <c r="AM24" s="111" t="n">
        <f aca="false">IFERROR('Price History'!S3+(INDEX('Price History'!S:S,MATCH(9.99E+307,'Price History'!$A:$A))-'Price History'!S3)*(ROW()-3)/(MATCH(9.99E+307,'Returns (Calc)'!$A:$A)-3),"")</f>
        <v>70.582641509434</v>
      </c>
      <c r="AN24" s="111" t="n">
        <f aca="false">IFERROR('Price History'!T3+(INDEX('Price History'!T:T,MATCH(9.99E+307,'Price History'!$A:$A))-'Price History'!T3)*(ROW()-3)/(MATCH(9.99E+307,'Returns (Calc)'!$A:$A)-3),"")</f>
        <v>30.6583018867925</v>
      </c>
      <c r="AO24" s="112" t="n">
        <f aca="false">IFERROR('Price History'!V3+(INDEX('Price History'!V:V,MATCH(9.99E+307,'Price History'!$A:$A))-'Price History'!V3)*(ROW()-3)/(MATCH(9.99E+307,'Returns (Calc)'!$A:$A)-3),"")</f>
        <v>49.5375471698113</v>
      </c>
    </row>
    <row r="25" customFormat="false" ht="15" hidden="false" customHeight="true" outlineLevel="0" collapsed="false">
      <c r="A25" s="108" t="n">
        <f aca="false">IF('Price History'!A26="","",'Price History'!A26)</f>
        <v>45310</v>
      </c>
      <c r="B25" s="109" t="n">
        <f aca="false">IFERROR(IF(OR(NOT(ISNUMBER('Price History'!B26)),NOT(ISNUMBER('Price History'!B25)),'Price History'!B25=0),"",'Price History'!B26/'Price History'!B25-1),"")</f>
        <v>0.0251617661850001</v>
      </c>
      <c r="C25" s="109" t="n">
        <f aca="false">IFERROR(IF(OR(NOT(ISNUMBER('Price History'!C26)),NOT(ISNUMBER('Price History'!C25)),'Price History'!C25=0),"",'Price History'!C26/'Price History'!C25-1),"")</f>
        <v>0.0455483256625933</v>
      </c>
      <c r="D25" s="109" t="n">
        <f aca="false">IFERROR(IF(OR(NOT(ISNUMBER('Price History'!D26)),NOT(ISNUMBER('Price History'!D25)),'Price History'!D25=0),"",'Price History'!D26/'Price History'!D25-1),"")</f>
        <v>0.0625473206023388</v>
      </c>
      <c r="E25" s="109" t="n">
        <f aca="false">IFERROR(IF(OR(NOT(ISNUMBER('Price History'!E26)),NOT(ISNUMBER('Price History'!E25)),'Price History'!E25=0),"",'Price History'!E26/'Price History'!E25-1),"")</f>
        <v>0.0934368511329784</v>
      </c>
      <c r="F25" s="109" t="n">
        <f aca="false">IFERROR(IF(OR(NOT(ISNUMBER('Price History'!F26)),NOT(ISNUMBER('Price History'!F25)),'Price History'!F25=0),"",'Price History'!F26/'Price History'!F25-1),"")</f>
        <v>0.0254093732354601</v>
      </c>
      <c r="G25" s="109" t="n">
        <f aca="false">IFERROR(IF(OR(NOT(ISNUMBER('Price History'!G26)),NOT(ISNUMBER('Price History'!G25)),'Price History'!G25=0),"",'Price History'!G26/'Price History'!G25-1),"")</f>
        <v>0.0934712807706029</v>
      </c>
      <c r="H25" s="109" t="n">
        <f aca="false">IFERROR(IF(OR(NOT(ISNUMBER('Price History'!H26)),NOT(ISNUMBER('Price History'!H25)),'Price History'!H25=0),"",'Price History'!H26/'Price History'!H25-1),"")</f>
        <v>0.0621434640126231</v>
      </c>
      <c r="I25" s="109" t="n">
        <f aca="false">IFERROR(IF(OR(NOT(ISNUMBER('Price History'!I26)),NOT(ISNUMBER('Price History'!I25)),'Price History'!I25=0),"",'Price History'!I26/'Price History'!I25-1),"")</f>
        <v>0.0873697678669347</v>
      </c>
      <c r="J25" s="109" t="n">
        <f aca="false">IFERROR(IF(OR(NOT(ISNUMBER('Price History'!J26)),NOT(ISNUMBER('Price History'!J25)),'Price History'!J25=0),"",'Price History'!J26/'Price History'!J25-1),"")</f>
        <v>-0.0236412010642343</v>
      </c>
      <c r="K25" s="109" t="n">
        <f aca="false">IFERROR(IF(OR(NOT(ISNUMBER('Price History'!K26)),NOT(ISNUMBER('Price History'!K25)),'Price History'!K25=0),"",'Price History'!K26/'Price History'!K25-1),"")</f>
        <v>0.00119331742243434</v>
      </c>
      <c r="L25" s="109" t="n">
        <f aca="false">IFERROR(IF(OR(NOT(ISNUMBER('Price History'!L26)),NOT(ISNUMBER('Price History'!L25)),'Price History'!L25=0),"",'Price History'!L26/'Price History'!L25-1),"")</f>
        <v>0.128012643224022</v>
      </c>
      <c r="M25" s="109" t="n">
        <f aca="false">IFERROR(IF(OR(NOT(ISNUMBER('Price History'!M26)),NOT(ISNUMBER('Price History'!M25)),'Price History'!M25=0),"",'Price History'!M26/'Price History'!M25-1),"")</f>
        <v>0.0838045234248788</v>
      </c>
      <c r="N25" s="109" t="n">
        <f aca="false">IFERROR(IF(OR(NOT(ISNUMBER('Price History'!N26)),NOT(ISNUMBER('Price History'!N25)),'Price History'!N25=0),"",'Price History'!N26/'Price History'!N25-1),"")</f>
        <v>0.00373788647900319</v>
      </c>
      <c r="O25" s="109" t="n">
        <f aca="false">IFERROR(IF(OR(NOT(ISNUMBER('Price History'!O26)),NOT(ISNUMBER('Price History'!O25)),'Price History'!O25=0),"",'Price History'!O26/'Price History'!O25-1),"")</f>
        <v>0.00300647548566135</v>
      </c>
      <c r="P25" s="109" t="str">
        <f aca="false">IFERROR(IF(OR(NOT(ISNUMBER('Price History'!P26)),NOT(ISNUMBER('Price History'!P25)),'Price History'!P25=0),"",'Price History'!P26/'Price History'!P25-1),"")</f>
        <v/>
      </c>
      <c r="Q25" s="109" t="n">
        <f aca="false">IFERROR(IF(OR(NOT(ISNUMBER('Price History'!Q26)),NOT(ISNUMBER('Price History'!Q25)),'Price History'!Q25=0),"",'Price History'!Q26/'Price History'!Q25-1),"")</f>
        <v>0.000723719920390886</v>
      </c>
      <c r="R25" s="109" t="n">
        <f aca="false">IFERROR(IF(OR(NOT(ISNUMBER('Price History'!R26)),NOT(ISNUMBER('Price History'!R25)),'Price History'!R25=0),"",'Price History'!R26/'Price History'!R25-1),"")</f>
        <v>0.017825311942959</v>
      </c>
      <c r="S25" s="109" t="n">
        <f aca="false">IFERROR(IF(OR(NOT(ISNUMBER('Price History'!S26)),NOT(ISNUMBER('Price History'!S25)),'Price History'!S25=0),"",'Price History'!S26/'Price History'!S25-1),"")</f>
        <v>0.0210951526032315</v>
      </c>
      <c r="T25" s="109" t="n">
        <f aca="false">IFERROR(IF(OR(NOT(ISNUMBER('Price History'!T26)),NOT(ISNUMBER('Price History'!T25)),'Price History'!T25=0),"",'Price History'!T26/'Price History'!T25-1),"")</f>
        <v>-0.00954400848356307</v>
      </c>
      <c r="U25" s="109" t="str">
        <f aca="false">IFERROR(IF(OR(NOT(ISNUMBER('Price History'!U26)),NOT(ISNUMBER('Price History'!U25)),'Price History'!U25=0),"",'Price History'!U26/'Price History'!U25-1),"")</f>
        <v/>
      </c>
      <c r="V25" s="110" t="n">
        <f aca="false">IFERROR(IF(OR(NOT(ISNUMBER('Price History'!V26)),NOT(ISNUMBER('Price History'!V25)),'Price History'!V25=0),"",'Price History'!V26/'Price History'!V25-1),"")</f>
        <v>0.0255062606276086</v>
      </c>
      <c r="W25" s="111" t="n">
        <f aca="false">IFERROR('Price History'!B3+(INDEX('Price History'!B:B,MATCH(9.99E+307,'Price History'!$A:$A))-'Price History'!B3)*(ROW()-3)/(MATCH(9.99E+307,'Returns (Calc)'!$A:$A)-3),"")</f>
        <v>474.974025157233</v>
      </c>
      <c r="X25" s="111" t="n">
        <f aca="false">IFERROR('Price History'!C3+(INDEX('Price History'!C:C,MATCH(9.99E+307,'Price History'!$A:$A))-'Price History'!C3)*(ROW()-3)/(MATCH(9.99E+307,'Returns (Calc)'!$A:$A)-3),"")</f>
        <v>64.500251572327</v>
      </c>
      <c r="Y25" s="111" t="n">
        <f aca="false">IFERROR('Price History'!D3+(INDEX('Price History'!D:D,MATCH(9.99E+307,'Price History'!$A:$A))-'Price History'!D3)*(ROW()-3)/(MATCH(9.99E+307,'Returns (Calc)'!$A:$A)-3),"")</f>
        <v>807.491949685535</v>
      </c>
      <c r="Z25" s="111" t="n">
        <f aca="false">IFERROR('Price History'!E3+(INDEX('Price History'!E:E,MATCH(9.99E+307,'Price History'!$A:$A))-'Price History'!E3)*(ROW()-3)/(MATCH(9.99E+307,'Returns (Calc)'!$A:$A)-3),"")</f>
        <v>121.019245283019</v>
      </c>
      <c r="AA25" s="111" t="n">
        <f aca="false">IFERROR('Price History'!F3+(INDEX('Price History'!F:F,MATCH(9.99E+307,'Price History'!$A:$A))-'Price History'!F3)*(ROW()-3)/(MATCH(9.99E+307,'Returns (Calc)'!$A:$A)-3),"")</f>
        <v>61.4177358490566</v>
      </c>
      <c r="AB25" s="111" t="n">
        <f aca="false">IFERROR('Price History'!G3+(INDEX('Price History'!G:G,MATCH(9.99E+307,'Price History'!$A:$A))-'Price History'!G3)*(ROW()-3)/(MATCH(9.99E+307,'Returns (Calc)'!$A:$A)-3),"")</f>
        <v>66.9528301886792</v>
      </c>
      <c r="AC25" s="111" t="n">
        <f aca="false">IFERROR('Price History'!H3+(INDEX('Price History'!H:H,MATCH(9.99E+307,'Price History'!$A:$A))-'Price History'!H3)*(ROW()-3)/(MATCH(9.99E+307,'Returns (Calc)'!$A:$A)-3),"")</f>
        <v>196.123710691824</v>
      </c>
      <c r="AD25" s="111" t="n">
        <f aca="false">IFERROR('Price History'!I3+(INDEX('Price History'!I:I,MATCH(9.99E+307,'Price History'!$A:$A))-'Price History'!I3)*(ROW()-3)/(MATCH(9.99E+307,'Returns (Calc)'!$A:$A)-3),"")</f>
        <v>67.0715094339623</v>
      </c>
      <c r="AE25" s="111" t="n">
        <f aca="false">IFERROR('Price History'!J3+(INDEX('Price History'!J:J,MATCH(9.99E+307,'Price History'!$A:$A))-'Price History'!J3)*(ROW()-3)/(MATCH(9.99E+307,'Returns (Calc)'!$A:$A)-3),"")</f>
        <v>125.42358490566</v>
      </c>
      <c r="AF25" s="111" t="n">
        <f aca="false">IFERROR('Price History'!K3+(INDEX('Price History'!K:K,MATCH(9.99E+307,'Price History'!$A:$A))-'Price History'!K3)*(ROW()-3)/(MATCH(9.99E+307,'Returns (Calc)'!$A:$A)-3),"")</f>
        <v>37.3989308176101</v>
      </c>
      <c r="AG25" s="111" t="n">
        <f aca="false">IFERROR('Price History'!L3+(INDEX('Price History'!L:L,MATCH(9.99E+307,'Price History'!$A:$A))-'Price History'!L3)*(ROW()-3)/(MATCH(9.99E+307,'Returns (Calc)'!$A:$A)-3),"")</f>
        <v>138.60786163522</v>
      </c>
      <c r="AH25" s="111" t="n">
        <f aca="false">IFERROR('Price History'!M3+(INDEX('Price History'!M:M,MATCH(9.99E+307,'Price History'!$A:$A))-'Price History'!M3)*(ROW()-3)/(MATCH(9.99E+307,'Returns (Calc)'!$A:$A)-3),"")</f>
        <v>67.6888679245283</v>
      </c>
      <c r="AI25" s="111" t="n">
        <f aca="false">IFERROR('Price History'!N3+(INDEX('Price History'!N:N,MATCH(9.99E+307,'Price History'!$A:$A))-'Price History'!N3)*(ROW()-3)/(MATCH(9.99E+307,'Returns (Calc)'!$A:$A)-3),"")</f>
        <v>377.015471698113</v>
      </c>
      <c r="AJ25" s="111" t="n">
        <f aca="false">IFERROR('Price History'!O3+(INDEX('Price History'!O:O,MATCH(9.99E+307,'Price History'!$A:$A))-'Price History'!O3)*(ROW()-3)/(MATCH(9.99E+307,'Returns (Calc)'!$A:$A)-3),"")</f>
        <v>88.9491194968554</v>
      </c>
      <c r="AK25" s="111" t="n">
        <f aca="false">IFERROR('Price History'!Q3+(INDEX('Price History'!Q:Q,MATCH(9.99E+307,'Price History'!$A:$A))-'Price History'!Q3)*(ROW()-3)/(MATCH(9.99E+307,'Returns (Calc)'!$A:$A)-3),"")</f>
        <v>52.5906918238994</v>
      </c>
      <c r="AL25" s="111" t="n">
        <f aca="false">IFERROR('Price History'!R3+(INDEX('Price History'!R:R,MATCH(9.99E+307,'Price History'!$A:$A))-'Price History'!R3)*(ROW()-3)/(MATCH(9.99E+307,'Returns (Calc)'!$A:$A)-3),"")</f>
        <v>49.4872955974843</v>
      </c>
      <c r="AM25" s="111" t="n">
        <f aca="false">IFERROR('Price History'!S3+(INDEX('Price History'!S:S,MATCH(9.99E+307,'Price History'!$A:$A))-'Price History'!S3)*(ROW()-3)/(MATCH(9.99E+307,'Returns (Calc)'!$A:$A)-3),"")</f>
        <v>71.1561006289308</v>
      </c>
      <c r="AN25" s="111" t="n">
        <f aca="false">IFERROR('Price History'!T3+(INDEX('Price History'!T:T,MATCH(9.99E+307,'Price History'!$A:$A))-'Price History'!T3)*(ROW()-3)/(MATCH(9.99E+307,'Returns (Calc)'!$A:$A)-3),"")</f>
        <v>30.8367924528302</v>
      </c>
      <c r="AO25" s="112" t="n">
        <f aca="false">IFERROR('Price History'!V3+(INDEX('Price History'!V:V,MATCH(9.99E+307,'Price History'!$A:$A))-'Price History'!V3)*(ROW()-3)/(MATCH(9.99E+307,'Returns (Calc)'!$A:$A)-3),"")</f>
        <v>51.8964779874214</v>
      </c>
    </row>
    <row r="26" customFormat="false" ht="15" hidden="false" customHeight="true" outlineLevel="0" collapsed="false">
      <c r="A26" s="108" t="n">
        <f aca="false">IF('Price History'!A27="","",'Price History'!A27)</f>
        <v>45317</v>
      </c>
      <c r="B26" s="109" t="n">
        <f aca="false">IFERROR(IF(OR(NOT(ISNUMBER('Price History'!B27)),NOT(ISNUMBER('Price History'!B26)),'Price History'!B26=0),"",'Price History'!B27/'Price History'!B26-1),"")</f>
        <v>0.00389175047011681</v>
      </c>
      <c r="C26" s="109" t="n">
        <f aca="false">IFERROR(IF(OR(NOT(ISNUMBER('Price History'!C27)),NOT(ISNUMBER('Price History'!C26)),'Price History'!C26=0),"",'Price History'!C27/'Price History'!C26-1),"")</f>
        <v>0.00333940497874918</v>
      </c>
      <c r="D26" s="109" t="n">
        <f aca="false">IFERROR(IF(OR(NOT(ISNUMBER('Price History'!D27)),NOT(ISNUMBER('Price History'!D26)),'Price History'!D26=0),"",'Price History'!D27/'Price History'!D26-1),"")</f>
        <v>0.145045722655477</v>
      </c>
      <c r="E26" s="109" t="n">
        <f aca="false">IFERROR(IF(OR(NOT(ISNUMBER('Price History'!E27)),NOT(ISNUMBER('Price History'!E26)),'Price History'!E26=0),"",'Price History'!E27/'Price History'!E26-1),"")</f>
        <v>-0.00520145310435938</v>
      </c>
      <c r="F26" s="109" t="n">
        <f aca="false">IFERROR(IF(OR(NOT(ISNUMBER('Price History'!F27)),NOT(ISNUMBER('Price History'!F26)),'Price History'!F26=0),"",'Price History'!F27/'Price History'!F26-1),"")</f>
        <v>-0.000825991189427389</v>
      </c>
      <c r="G26" s="109" t="n">
        <f aca="false">IFERROR(IF(OR(NOT(ISNUMBER('Price History'!G27)),NOT(ISNUMBER('Price History'!G26)),'Price History'!G26=0),"",'Price History'!G27/'Price History'!G26-1),"")</f>
        <v>-0.0221859706362153</v>
      </c>
      <c r="H26" s="109" t="n">
        <f aca="false">IFERROR(IF(OR(NOT(ISNUMBER('Price History'!H27)),NOT(ISNUMBER('Price History'!H26)),'Price History'!H26=0),"",'Price History'!H27/'Price History'!H26-1),"")</f>
        <v>0.00617072334590318</v>
      </c>
      <c r="I26" s="109" t="n">
        <f aca="false">IFERROR(IF(OR(NOT(ISNUMBER('Price History'!I27)),NOT(ISNUMBER('Price History'!I26)),'Price History'!I26=0),"",'Price History'!I27/'Price History'!I26-1),"")</f>
        <v>0.0258867036476718</v>
      </c>
      <c r="J26" s="109" t="n">
        <f aca="false">IFERROR(IF(OR(NOT(ISNUMBER('Price History'!J27)),NOT(ISNUMBER('Price History'!J26)),'Price History'!J26=0),"",'Price History'!J27/'Price History'!J26-1),"")</f>
        <v>-0.012223606353161</v>
      </c>
      <c r="K26" s="109" t="n">
        <f aca="false">IFERROR(IF(OR(NOT(ISNUMBER('Price History'!K27)),NOT(ISNUMBER('Price History'!K26)),'Price History'!K26=0),"",'Price History'!K27/'Price History'!K26-1),"")</f>
        <v>-0.0256257449344458</v>
      </c>
      <c r="L26" s="109" t="n">
        <f aca="false">IFERROR(IF(OR(NOT(ISNUMBER('Price History'!L27)),NOT(ISNUMBER('Price History'!L26)),'Price History'!L26=0),"",'Price History'!L27/'Price History'!L26-1),"")</f>
        <v>0.0267950963222416</v>
      </c>
      <c r="M26" s="109" t="n">
        <f aca="false">IFERROR(IF(OR(NOT(ISNUMBER('Price History'!M27)),NOT(ISNUMBER('Price History'!M26)),'Price History'!M26=0),"",'Price History'!M27/'Price History'!M26-1),"")</f>
        <v>-0.00391280044717723</v>
      </c>
      <c r="N26" s="109" t="n">
        <f aca="false">IFERROR(IF(OR(NOT(ISNUMBER('Price History'!N27)),NOT(ISNUMBER('Price History'!N26)),'Price History'!N26=0),"",'Price History'!N27/'Price History'!N26-1),"")</f>
        <v>-0.0111489126936691</v>
      </c>
      <c r="O26" s="109" t="n">
        <f aca="false">IFERROR(IF(OR(NOT(ISNUMBER('Price History'!O27)),NOT(ISNUMBER('Price History'!O26)),'Price History'!O26=0),"",'Price History'!O27/'Price History'!O26-1),"")</f>
        <v>0.0235185612174316</v>
      </c>
      <c r="P26" s="109" t="str">
        <f aca="false">IFERROR(IF(OR(NOT(ISNUMBER('Price History'!P27)),NOT(ISNUMBER('Price History'!P26)),'Price History'!P26=0),"",'Price History'!P27/'Price History'!P26-1),"")</f>
        <v/>
      </c>
      <c r="Q26" s="109" t="n">
        <f aca="false">IFERROR(IF(OR(NOT(ISNUMBER('Price History'!Q27)),NOT(ISNUMBER('Price History'!Q26)),'Price History'!Q26=0),"",'Price History'!Q27/'Price History'!Q26-1),"")</f>
        <v>0.000180799132164067</v>
      </c>
      <c r="R26" s="109" t="n">
        <f aca="false">IFERROR(IF(OR(NOT(ISNUMBER('Price History'!R27)),NOT(ISNUMBER('Price History'!R26)),'Price History'!R26=0),"",'Price History'!R27/'Price History'!R26-1),"")</f>
        <v>0.00778361548939488</v>
      </c>
      <c r="S26" s="109" t="n">
        <f aca="false">IFERROR(IF(OR(NOT(ISNUMBER('Price History'!S27)),NOT(ISNUMBER('Price History'!S26)),'Price History'!S26=0),"",'Price History'!S27/'Price History'!S26-1),"")</f>
        <v>0.0161172161172161</v>
      </c>
      <c r="T26" s="109" t="n">
        <f aca="false">IFERROR(IF(OR(NOT(ISNUMBER('Price History'!T27)),NOT(ISNUMBER('Price History'!T26)),'Price History'!T26=0),"",'Price History'!T27/'Price History'!T26-1),"")</f>
        <v>0.00820842255531762</v>
      </c>
      <c r="U26" s="109" t="str">
        <f aca="false">IFERROR(IF(OR(NOT(ISNUMBER('Price History'!U27)),NOT(ISNUMBER('Price History'!U26)),'Price History'!U26=0),"",'Price History'!U27/'Price History'!U26-1),"")</f>
        <v/>
      </c>
      <c r="V26" s="110" t="n">
        <f aca="false">IFERROR(IF(OR(NOT(ISNUMBER('Price History'!V27)),NOT(ISNUMBER('Price History'!V26)),'Price History'!V26=0),"",'Price History'!V27/'Price History'!V26-1),"")</f>
        <v>-0.0109285498944831</v>
      </c>
      <c r="W26" s="111" t="n">
        <f aca="false">IFERROR('Price History'!B3+(INDEX('Price History'!B:B,MATCH(9.99E+307,'Price History'!$A:$A))-'Price History'!B3)*(ROW()-3)/(MATCH(9.99E+307,'Returns (Calc)'!$A:$A)-3),"")</f>
        <v>473.452389937107</v>
      </c>
      <c r="X26" s="111" t="n">
        <f aca="false">IFERROR('Price History'!C3+(INDEX('Price History'!C:C,MATCH(9.99E+307,'Price History'!$A:$A))-'Price History'!C3)*(ROW()-3)/(MATCH(9.99E+307,'Returns (Calc)'!$A:$A)-3),"")</f>
        <v>65.4438993710692</v>
      </c>
      <c r="Y26" s="111" t="n">
        <f aca="false">IFERROR('Price History'!D3+(INDEX('Price History'!D:D,MATCH(9.99E+307,'Price History'!$A:$A))-'Price History'!D3)*(ROW()-3)/(MATCH(9.99E+307,'Returns (Calc)'!$A:$A)-3),"")</f>
        <v>814.115220125786</v>
      </c>
      <c r="Z26" s="111" t="n">
        <f aca="false">IFERROR('Price History'!E3+(INDEX('Price History'!E:E,MATCH(9.99E+307,'Price History'!$A:$A))-'Price History'!E3)*(ROW()-3)/(MATCH(9.99E+307,'Returns (Calc)'!$A:$A)-3),"")</f>
        <v>122.748301886792</v>
      </c>
      <c r="AA26" s="111" t="n">
        <f aca="false">IFERROR('Price History'!F3+(INDEX('Price History'!F:F,MATCH(9.99E+307,'Price History'!$A:$A))-'Price History'!F3)*(ROW()-3)/(MATCH(9.99E+307,'Returns (Calc)'!$A:$A)-3),"")</f>
        <v>62.5249056603774</v>
      </c>
      <c r="AB26" s="111" t="n">
        <f aca="false">IFERROR('Price History'!G3+(INDEX('Price History'!G:G,MATCH(9.99E+307,'Price History'!$A:$A))-'Price History'!G3)*(ROW()-3)/(MATCH(9.99E+307,'Returns (Calc)'!$A:$A)-3),"")</f>
        <v>67.8188679245283</v>
      </c>
      <c r="AC26" s="111" t="n">
        <f aca="false">IFERROR('Price History'!H3+(INDEX('Price History'!H:H,MATCH(9.99E+307,'Price History'!$A:$A))-'Price History'!H3)*(ROW()-3)/(MATCH(9.99E+307,'Returns (Calc)'!$A:$A)-3),"")</f>
        <v>202.11251572327</v>
      </c>
      <c r="AD26" s="111" t="n">
        <f aca="false">IFERROR('Price History'!I3+(INDEX('Price History'!I:I,MATCH(9.99E+307,'Price History'!$A:$A))-'Price History'!I3)*(ROW()-3)/(MATCH(9.99E+307,'Returns (Calc)'!$A:$A)-3),"")</f>
        <v>68.2633962264151</v>
      </c>
      <c r="AE26" s="111" t="n">
        <f aca="false">IFERROR('Price History'!J3+(INDEX('Price History'!J:J,MATCH(9.99E+307,'Price History'!$A:$A))-'Price History'!J3)*(ROW()-3)/(MATCH(9.99E+307,'Returns (Calc)'!$A:$A)-3),"")</f>
        <v>125.510566037736</v>
      </c>
      <c r="AF26" s="111" t="n">
        <f aca="false">IFERROR('Price History'!K3+(INDEX('Price History'!K:K,MATCH(9.99E+307,'Price History'!$A:$A))-'Price History'!K3)*(ROW()-3)/(MATCH(9.99E+307,'Returns (Calc)'!$A:$A)-3),"")</f>
        <v>38.398427672956</v>
      </c>
      <c r="AG26" s="111" t="n">
        <f aca="false">IFERROR('Price History'!L3+(INDEX('Price History'!L:L,MATCH(9.99E+307,'Price History'!$A:$A))-'Price History'!L3)*(ROW()-3)/(MATCH(9.99E+307,'Returns (Calc)'!$A:$A)-3),"")</f>
        <v>140.726855345912</v>
      </c>
      <c r="AH26" s="111" t="n">
        <f aca="false">IFERROR('Price History'!M3+(INDEX('Price History'!M:M,MATCH(9.99E+307,'Price History'!$A:$A))-'Price History'!M3)*(ROW()-3)/(MATCH(9.99E+307,'Returns (Calc)'!$A:$A)-3),"")</f>
        <v>69.2424528301887</v>
      </c>
      <c r="AI26" s="111" t="n">
        <f aca="false">IFERROR('Price History'!N3+(INDEX('Price History'!N:N,MATCH(9.99E+307,'Price History'!$A:$A))-'Price History'!N3)*(ROW()-3)/(MATCH(9.99E+307,'Returns (Calc)'!$A:$A)-3),"")</f>
        <v>378.249811320755</v>
      </c>
      <c r="AJ26" s="111" t="n">
        <f aca="false">IFERROR('Price History'!O3+(INDEX('Price History'!O:O,MATCH(9.99E+307,'Price History'!$A:$A))-'Price History'!O3)*(ROW()-3)/(MATCH(9.99E+307,'Returns (Calc)'!$A:$A)-3),"")</f>
        <v>89.2263522012579</v>
      </c>
      <c r="AK26" s="111" t="n">
        <f aca="false">IFERROR('Price History'!Q3+(INDEX('Price History'!Q:Q,MATCH(9.99E+307,'Price History'!$A:$A))-'Price History'!Q3)*(ROW()-3)/(MATCH(9.99E+307,'Returns (Calc)'!$A:$A)-3),"")</f>
        <v>52.7157232704403</v>
      </c>
      <c r="AL26" s="111" t="n">
        <f aca="false">IFERROR('Price History'!R3+(INDEX('Price History'!R:R,MATCH(9.99E+307,'Price History'!$A:$A))-'Price History'!R3)*(ROW()-3)/(MATCH(9.99E+307,'Returns (Calc)'!$A:$A)-3),"")</f>
        <v>49.5630817610063</v>
      </c>
      <c r="AM26" s="111" t="n">
        <f aca="false">IFERROR('Price History'!S3+(INDEX('Price History'!S:S,MATCH(9.99E+307,'Price History'!$A:$A))-'Price History'!S3)*(ROW()-3)/(MATCH(9.99E+307,'Returns (Calc)'!$A:$A)-3),"")</f>
        <v>71.7295597484277</v>
      </c>
      <c r="AN26" s="111" t="n">
        <f aca="false">IFERROR('Price History'!T3+(INDEX('Price History'!T:T,MATCH(9.99E+307,'Price History'!$A:$A))-'Price History'!T3)*(ROW()-3)/(MATCH(9.99E+307,'Returns (Calc)'!$A:$A)-3),"")</f>
        <v>31.0152830188679</v>
      </c>
      <c r="AO26" s="112" t="n">
        <f aca="false">IFERROR('Price History'!V3+(INDEX('Price History'!V:V,MATCH(9.99E+307,'Price History'!$A:$A))-'Price History'!V3)*(ROW()-3)/(MATCH(9.99E+307,'Returns (Calc)'!$A:$A)-3),"")</f>
        <v>54.2554088050315</v>
      </c>
    </row>
    <row r="27" customFormat="false" ht="15" hidden="false" customHeight="true" outlineLevel="0" collapsed="false">
      <c r="A27" s="108" t="n">
        <f aca="false">IF('Price History'!A28="","",'Price History'!A28)</f>
        <v>45324</v>
      </c>
      <c r="B27" s="109" t="n">
        <f aca="false">IFERROR(IF(OR(NOT(ISNUMBER('Price History'!B28)),NOT(ISNUMBER('Price History'!B27)),'Price History'!B27=0),"",'Price History'!B28/'Price History'!B27-1),"")</f>
        <v>0.0339289495545096</v>
      </c>
      <c r="C27" s="109" t="n">
        <f aca="false">IFERROR(IF(OR(NOT(ISNUMBER('Price History'!C28)),NOT(ISNUMBER('Price History'!C27)),'Price History'!C27=0),"",'Price History'!C28/'Price History'!C27-1),"")</f>
        <v>0.032980332829047</v>
      </c>
      <c r="D27" s="109" t="n">
        <f aca="false">IFERROR(IF(OR(NOT(ISNUMBER('Price History'!D28)),NOT(ISNUMBER('Price History'!D27)),'Price History'!D27=0),"",'Price History'!D28/'Price History'!D27-1),"")</f>
        <v>0.0264016133679055</v>
      </c>
      <c r="E27" s="109" t="n">
        <f aca="false">IFERROR(IF(OR(NOT(ISNUMBER('Price History'!E28)),NOT(ISNUMBER('Price History'!E27)),'Price History'!E27=0),"",'Price History'!E28/'Price History'!E27-1),"")</f>
        <v>0.0161009212382772</v>
      </c>
      <c r="F27" s="109" t="n">
        <f aca="false">IFERROR(IF(OR(NOT(ISNUMBER('Price History'!F28)),NOT(ISNUMBER('Price History'!F27)),'Price History'!F27=0),"",'Price History'!F28/'Price History'!F27-1),"")</f>
        <v>0.0456048498208874</v>
      </c>
      <c r="G27" s="109" t="n">
        <f aca="false">IFERROR(IF(OR(NOT(ISNUMBER('Price History'!G28)),NOT(ISNUMBER('Price History'!G27)),'Price History'!G27=0),"",'Price History'!G28/'Price History'!G27-1),"")</f>
        <v>0.00817484150817482</v>
      </c>
      <c r="H27" s="109" t="n">
        <f aca="false">IFERROR(IF(OR(NOT(ISNUMBER('Price History'!H28)),NOT(ISNUMBER('Price History'!H27)),'Price History'!H27=0),"",'Price History'!H28/'Price History'!H27-1),"")</f>
        <v>-0.0178307779670641</v>
      </c>
      <c r="I27" s="109" t="n">
        <f aca="false">IFERROR(IF(OR(NOT(ISNUMBER('Price History'!I28)),NOT(ISNUMBER('Price History'!I27)),'Price History'!I27=0),"",'Price History'!I28/'Price History'!I27-1),"")</f>
        <v>0.0840570211371456</v>
      </c>
      <c r="J27" s="109" t="n">
        <f aca="false">IFERROR(IF(OR(NOT(ISNUMBER('Price History'!J28)),NOT(ISNUMBER('Price History'!J27)),'Price History'!J27=0),"",'Price History'!J28/'Price History'!J27-1),"")</f>
        <v>0.0187593599747773</v>
      </c>
      <c r="K27" s="109" t="n">
        <f aca="false">IFERROR(IF(OR(NOT(ISNUMBER('Price History'!K28)),NOT(ISNUMBER('Price History'!K27)),'Price History'!K27=0),"",'Price History'!K28/'Price History'!K27-1),"")</f>
        <v>0.0409785932721711</v>
      </c>
      <c r="L27" s="109" t="n">
        <f aca="false">IFERROR(IF(OR(NOT(ISNUMBER('Price History'!L28)),NOT(ISNUMBER('Price History'!L27)),'Price History'!L27=0),"",'Price History'!L28/'Price History'!L27-1),"")</f>
        <v>-0.0128773665359032</v>
      </c>
      <c r="M27" s="109" t="n">
        <f aca="false">IFERROR(IF(OR(NOT(ISNUMBER('Price History'!M28)),NOT(ISNUMBER('Price History'!M27)),'Price History'!M27=0),"",'Price History'!M28/'Price History'!M27-1),"")</f>
        <v>0.14983164983165</v>
      </c>
      <c r="N27" s="109" t="n">
        <f aca="false">IFERROR(IF(OR(NOT(ISNUMBER('Price History'!N28)),NOT(ISNUMBER('Price History'!N27)),'Price History'!N27=0),"",'Price History'!N28/'Price History'!N27-1),"")</f>
        <v>-0.012762396261943</v>
      </c>
      <c r="O27" s="109" t="n">
        <f aca="false">IFERROR(IF(OR(NOT(ISNUMBER('Price History'!O28)),NOT(ISNUMBER('Price History'!O27)),'Price History'!O27=0),"",'Price History'!O28/'Price History'!O27-1),"")</f>
        <v>-0.0186979049335435</v>
      </c>
      <c r="P27" s="109" t="str">
        <f aca="false">IFERROR(IF(OR(NOT(ISNUMBER('Price History'!P28)),NOT(ISNUMBER('Price History'!P27)),'Price History'!P27=0),"",'Price History'!P28/'Price History'!P27-1),"")</f>
        <v/>
      </c>
      <c r="Q27" s="109" t="n">
        <f aca="false">IFERROR(IF(OR(NOT(ISNUMBER('Price History'!Q28)),NOT(ISNUMBER('Price History'!Q27)),'Price History'!Q27=0),"",'Price History'!Q28/'Price History'!Q27-1),"")</f>
        <v>0.0110267534345625</v>
      </c>
      <c r="R27" s="109" t="n">
        <f aca="false">IFERROR(IF(OR(NOT(ISNUMBER('Price History'!R28)),NOT(ISNUMBER('Price History'!R27)),'Price History'!R27=0),"",'Price History'!R28/'Price History'!R27-1),"")</f>
        <v>0.00289631202934926</v>
      </c>
      <c r="S27" s="109" t="n">
        <f aca="false">IFERROR(IF(OR(NOT(ISNUMBER('Price History'!S28)),NOT(ISNUMBER('Price History'!S27)),'Price History'!S27=0),"",'Price History'!S28/'Price History'!S27-1),"")</f>
        <v>0.0457101658255228</v>
      </c>
      <c r="T27" s="109" t="n">
        <f aca="false">IFERROR(IF(OR(NOT(ISNUMBER('Price History'!T28)),NOT(ISNUMBER('Price History'!T27)),'Price History'!T27=0),"",'Price History'!T28/'Price History'!T27-1),"")</f>
        <v>0.00955752212389371</v>
      </c>
      <c r="U27" s="109" t="str">
        <f aca="false">IFERROR(IF(OR(NOT(ISNUMBER('Price History'!U28)),NOT(ISNUMBER('Price History'!U27)),'Price History'!U27=0),"",'Price History'!U28/'Price History'!U27-1),"")</f>
        <v/>
      </c>
      <c r="V27" s="110" t="n">
        <f aca="false">IFERROR(IF(OR(NOT(ISNUMBER('Price History'!V28)),NOT(ISNUMBER('Price History'!V27)),'Price History'!V27=0),"",'Price History'!V28/'Price History'!V27-1),"")</f>
        <v>0.0344814447915873</v>
      </c>
      <c r="W27" s="111" t="n">
        <f aca="false">IFERROR('Price History'!B3+(INDEX('Price History'!B:B,MATCH(9.99E+307,'Price History'!$A:$A))-'Price History'!B3)*(ROW()-3)/(MATCH(9.99E+307,'Returns (Calc)'!$A:$A)-3),"")</f>
        <v>471.930754716981</v>
      </c>
      <c r="X27" s="111" t="n">
        <f aca="false">IFERROR('Price History'!C3+(INDEX('Price History'!C:C,MATCH(9.99E+307,'Price History'!$A:$A))-'Price History'!C3)*(ROW()-3)/(MATCH(9.99E+307,'Returns (Calc)'!$A:$A)-3),"")</f>
        <v>66.3875471698113</v>
      </c>
      <c r="Y27" s="111" t="n">
        <f aca="false">IFERROR('Price History'!D3+(INDEX('Price History'!D:D,MATCH(9.99E+307,'Price History'!$A:$A))-'Price History'!D3)*(ROW()-3)/(MATCH(9.99E+307,'Returns (Calc)'!$A:$A)-3),"")</f>
        <v>820.738490566038</v>
      </c>
      <c r="Z27" s="111" t="n">
        <f aca="false">IFERROR('Price History'!E3+(INDEX('Price History'!E:E,MATCH(9.99E+307,'Price History'!$A:$A))-'Price History'!E3)*(ROW()-3)/(MATCH(9.99E+307,'Returns (Calc)'!$A:$A)-3),"")</f>
        <v>124.477358490566</v>
      </c>
      <c r="AA27" s="111" t="n">
        <f aca="false">IFERROR('Price History'!F3+(INDEX('Price History'!F:F,MATCH(9.99E+307,'Price History'!$A:$A))-'Price History'!F3)*(ROW()-3)/(MATCH(9.99E+307,'Returns (Calc)'!$A:$A)-3),"")</f>
        <v>63.6320754716981</v>
      </c>
      <c r="AB27" s="111" t="n">
        <f aca="false">IFERROR('Price History'!G3+(INDEX('Price History'!G:G,MATCH(9.99E+307,'Price History'!$A:$A))-'Price History'!G3)*(ROW()-3)/(MATCH(9.99E+307,'Returns (Calc)'!$A:$A)-3),"")</f>
        <v>68.6849056603774</v>
      </c>
      <c r="AC27" s="111" t="n">
        <f aca="false">IFERROR('Price History'!H3+(INDEX('Price History'!H:H,MATCH(9.99E+307,'Price History'!$A:$A))-'Price History'!H3)*(ROW()-3)/(MATCH(9.99E+307,'Returns (Calc)'!$A:$A)-3),"")</f>
        <v>208.101320754717</v>
      </c>
      <c r="AD27" s="111" t="n">
        <f aca="false">IFERROR('Price History'!I3+(INDEX('Price History'!I:I,MATCH(9.99E+307,'Price History'!$A:$A))-'Price History'!I3)*(ROW()-3)/(MATCH(9.99E+307,'Returns (Calc)'!$A:$A)-3),"")</f>
        <v>69.4552830188679</v>
      </c>
      <c r="AE27" s="111" t="n">
        <f aca="false">IFERROR('Price History'!J3+(INDEX('Price History'!J:J,MATCH(9.99E+307,'Price History'!$A:$A))-'Price History'!J3)*(ROW()-3)/(MATCH(9.99E+307,'Returns (Calc)'!$A:$A)-3),"")</f>
        <v>125.597547169811</v>
      </c>
      <c r="AF27" s="111" t="n">
        <f aca="false">IFERROR('Price History'!K3+(INDEX('Price History'!K:K,MATCH(9.99E+307,'Price History'!$A:$A))-'Price History'!K3)*(ROW()-3)/(MATCH(9.99E+307,'Returns (Calc)'!$A:$A)-3),"")</f>
        <v>39.3979245283019</v>
      </c>
      <c r="AG27" s="111" t="n">
        <f aca="false">IFERROR('Price History'!L3+(INDEX('Price History'!L:L,MATCH(9.99E+307,'Price History'!$A:$A))-'Price History'!L3)*(ROW()-3)/(MATCH(9.99E+307,'Returns (Calc)'!$A:$A)-3),"")</f>
        <v>142.845849056604</v>
      </c>
      <c r="AH27" s="111" t="n">
        <f aca="false">IFERROR('Price History'!M3+(INDEX('Price History'!M:M,MATCH(9.99E+307,'Price History'!$A:$A))-'Price History'!M3)*(ROW()-3)/(MATCH(9.99E+307,'Returns (Calc)'!$A:$A)-3),"")</f>
        <v>70.7960377358491</v>
      </c>
      <c r="AI27" s="111" t="n">
        <f aca="false">IFERROR('Price History'!N3+(INDEX('Price History'!N:N,MATCH(9.99E+307,'Price History'!$A:$A))-'Price History'!N3)*(ROW()-3)/(MATCH(9.99E+307,'Returns (Calc)'!$A:$A)-3),"")</f>
        <v>379.484150943396</v>
      </c>
      <c r="AJ27" s="111" t="n">
        <f aca="false">IFERROR('Price History'!O3+(INDEX('Price History'!O:O,MATCH(9.99E+307,'Price History'!$A:$A))-'Price History'!O3)*(ROW()-3)/(MATCH(9.99E+307,'Returns (Calc)'!$A:$A)-3),"")</f>
        <v>89.5035849056604</v>
      </c>
      <c r="AK27" s="111" t="n">
        <f aca="false">IFERROR('Price History'!Q3+(INDEX('Price History'!Q:Q,MATCH(9.99E+307,'Price History'!$A:$A))-'Price History'!Q3)*(ROW()-3)/(MATCH(9.99E+307,'Returns (Calc)'!$A:$A)-3),"")</f>
        <v>52.8407547169811</v>
      </c>
      <c r="AL27" s="111" t="n">
        <f aca="false">IFERROR('Price History'!R3+(INDEX('Price History'!R:R,MATCH(9.99E+307,'Price History'!$A:$A))-'Price History'!R3)*(ROW()-3)/(MATCH(9.99E+307,'Returns (Calc)'!$A:$A)-3),"")</f>
        <v>49.6388679245283</v>
      </c>
      <c r="AM27" s="111" t="n">
        <f aca="false">IFERROR('Price History'!S3+(INDEX('Price History'!S:S,MATCH(9.99E+307,'Price History'!$A:$A))-'Price History'!S3)*(ROW()-3)/(MATCH(9.99E+307,'Returns (Calc)'!$A:$A)-3),"")</f>
        <v>72.3030188679245</v>
      </c>
      <c r="AN27" s="111" t="n">
        <f aca="false">IFERROR('Price History'!T3+(INDEX('Price History'!T:T,MATCH(9.99E+307,'Price History'!$A:$A))-'Price History'!T3)*(ROW()-3)/(MATCH(9.99E+307,'Returns (Calc)'!$A:$A)-3),"")</f>
        <v>31.1937735849057</v>
      </c>
      <c r="AO27" s="112" t="n">
        <f aca="false">IFERROR('Price History'!V3+(INDEX('Price History'!V:V,MATCH(9.99E+307,'Price History'!$A:$A))-'Price History'!V3)*(ROW()-3)/(MATCH(9.99E+307,'Returns (Calc)'!$A:$A)-3),"")</f>
        <v>56.6143396226415</v>
      </c>
    </row>
    <row r="28" customFormat="false" ht="15" hidden="false" customHeight="true" outlineLevel="0" collapsed="false">
      <c r="A28" s="108" t="n">
        <f aca="false">IF('Price History'!A29="","",'Price History'!A29)</f>
        <v>45331</v>
      </c>
      <c r="B28" s="109" t="n">
        <f aca="false">IFERROR(IF(OR(NOT(ISNUMBER('Price History'!B29)),NOT(ISNUMBER('Price History'!B28)),'Price History'!B28=0),"",'Price History'!B29/'Price History'!B28-1),"")</f>
        <v>-0.0118942592475896</v>
      </c>
      <c r="C28" s="109" t="n">
        <f aca="false">IFERROR(IF(OR(NOT(ISNUMBER('Price History'!C29)),NOT(ISNUMBER('Price History'!C28)),'Price History'!C28=0),"",'Price History'!C29/'Price History'!C28-1),"")</f>
        <v>0.0341241944932631</v>
      </c>
      <c r="D28" s="109" t="n">
        <f aca="false">IFERROR(IF(OR(NOT(ISNUMBER('Price History'!D29)),NOT(ISNUMBER('Price History'!D28)),'Price History'!D28=0),"",'Price History'!D29/'Price History'!D28-1),"")</f>
        <v>0.0661756450272832</v>
      </c>
      <c r="E28" s="109" t="n">
        <f aca="false">IFERROR(IF(OR(NOT(ISNUMBER('Price History'!E29)),NOT(ISNUMBER('Price History'!E28)),'Price History'!E28=0),"",'Price History'!E29/'Price History'!E28-1),"")</f>
        <v>0.0482724822347465</v>
      </c>
      <c r="F28" s="109" t="n">
        <f aca="false">IFERROR(IF(OR(NOT(ISNUMBER('Price History'!F29)),NOT(ISNUMBER('Price History'!F28)),'Price History'!F28=0),"",'Price History'!F29/'Price History'!F28-1),"")</f>
        <v>0.0849914349716696</v>
      </c>
      <c r="G28" s="109" t="n">
        <f aca="false">IFERROR(IF(OR(NOT(ISNUMBER('Price History'!G29)),NOT(ISNUMBER('Price History'!G28)),'Price History'!G28=0),"",'Price History'!G29/'Price History'!G28-1),"")</f>
        <v>0.0752937282806554</v>
      </c>
      <c r="H28" s="109" t="n">
        <f aca="false">IFERROR(IF(OR(NOT(ISNUMBER('Price History'!H29)),NOT(ISNUMBER('Price History'!H28)),'Price History'!H28=0),"",'Price History'!H29/'Price History'!H28-1),"")</f>
        <v>-0.0106382978723405</v>
      </c>
      <c r="I28" s="109" t="n">
        <f aca="false">IFERROR(IF(OR(NOT(ISNUMBER('Price History'!I29)),NOT(ISNUMBER('Price History'!I28)),'Price History'!I28=0),"",'Price History'!I29/'Price History'!I28-1),"")</f>
        <v>0.0902357920193471</v>
      </c>
      <c r="J28" s="109" t="n">
        <f aca="false">IFERROR(IF(OR(NOT(ISNUMBER('Price History'!J29)),NOT(ISNUMBER('Price History'!J28)),'Price History'!J28=0),"",'Price History'!J29/'Price History'!J28-1),"")</f>
        <v>0.0249903288201159</v>
      </c>
      <c r="K28" s="109" t="n">
        <f aca="false">IFERROR(IF(OR(NOT(ISNUMBER('Price History'!K29)),NOT(ISNUMBER('Price History'!K28)),'Price History'!K28=0),"",'Price History'!K29/'Price History'!K28-1),"")</f>
        <v>0.432432432432432</v>
      </c>
      <c r="L28" s="109" t="n">
        <f aca="false">IFERROR(IF(OR(NOT(ISNUMBER('Price History'!L29)),NOT(ISNUMBER('Price History'!L28)),'Price History'!L28=0),"",'Price History'!L29/'Price History'!L28-1),"")</f>
        <v>0.149978401727862</v>
      </c>
      <c r="M28" s="109" t="n">
        <f aca="false">IFERROR(IF(OR(NOT(ISNUMBER('Price History'!M29)),NOT(ISNUMBER('Price History'!M28)),'Price History'!M28=0),"",'Price History'!M29/'Price History'!M28-1),"")</f>
        <v>0.0333496014315928</v>
      </c>
      <c r="N28" s="109" t="n">
        <f aca="false">IFERROR(IF(OR(NOT(ISNUMBER('Price History'!N29)),NOT(ISNUMBER('Price History'!N28)),'Price History'!N28=0),"",'Price History'!N29/'Price History'!N28-1),"")</f>
        <v>-0.00416784402373549</v>
      </c>
      <c r="O28" s="109" t="n">
        <f aca="false">IFERROR(IF(OR(NOT(ISNUMBER('Price History'!O29)),NOT(ISNUMBER('Price History'!O28)),'Price History'!O28=0),"",'Price History'!O29/'Price History'!O28-1),"")</f>
        <v>0.00906795224977031</v>
      </c>
      <c r="P28" s="109" t="str">
        <f aca="false">IFERROR(IF(OR(NOT(ISNUMBER('Price History'!P29)),NOT(ISNUMBER('Price History'!P28)),'Price History'!P28=0),"",'Price History'!P29/'Price History'!P28-1),"")</f>
        <v/>
      </c>
      <c r="Q28" s="109" t="n">
        <f aca="false">IFERROR(IF(OR(NOT(ISNUMBER('Price History'!Q29)),NOT(ISNUMBER('Price History'!Q28)),'Price History'!Q28=0),"",'Price History'!Q29/'Price History'!Q28-1),"")</f>
        <v>0.000715179688896894</v>
      </c>
      <c r="R28" s="109" t="n">
        <f aca="false">IFERROR(IF(OR(NOT(ISNUMBER('Price History'!R29)),NOT(ISNUMBER('Price History'!R28)),'Price History'!R28=0),"",'Price History'!R29/'Price History'!R28-1),"")</f>
        <v>0.0105891413169041</v>
      </c>
      <c r="S28" s="109" t="n">
        <f aca="false">IFERROR(IF(OR(NOT(ISNUMBER('Price History'!S29)),NOT(ISNUMBER('Price History'!S28)),'Price History'!S28=0),"",'Price History'!S29/'Price History'!S28-1),"")</f>
        <v>0.0238554881412025</v>
      </c>
      <c r="T28" s="109" t="n">
        <f aca="false">IFERROR(IF(OR(NOT(ISNUMBER('Price History'!T29)),NOT(ISNUMBER('Price History'!T28)),'Price History'!T28=0),"",'Price History'!T29/'Price History'!T28-1),"")</f>
        <v>0.0038569424964936</v>
      </c>
      <c r="U28" s="109" t="str">
        <f aca="false">IFERROR(IF(OR(NOT(ISNUMBER('Price History'!U29)),NOT(ISNUMBER('Price History'!U28)),'Price History'!U28=0),"",'Price History'!U29/'Price History'!U28-1),"")</f>
        <v/>
      </c>
      <c r="V28" s="110" t="n">
        <f aca="false">IFERROR(IF(OR(NOT(ISNUMBER('Price History'!V29)),NOT(ISNUMBER('Price History'!V28)),'Price History'!V28=0),"",'Price History'!V29/'Price History'!V28-1),"")</f>
        <v>-0.000847114286766648</v>
      </c>
      <c r="W28" s="111" t="n">
        <f aca="false">IFERROR('Price History'!B3+(INDEX('Price History'!B:B,MATCH(9.99E+307,'Price History'!$A:$A))-'Price History'!B3)*(ROW()-3)/(MATCH(9.99E+307,'Returns (Calc)'!$A:$A)-3),"")</f>
        <v>470.409119496855</v>
      </c>
      <c r="X28" s="111" t="n">
        <f aca="false">IFERROR('Price History'!C3+(INDEX('Price History'!C:C,MATCH(9.99E+307,'Price History'!$A:$A))-'Price History'!C3)*(ROW()-3)/(MATCH(9.99E+307,'Returns (Calc)'!$A:$A)-3),"")</f>
        <v>67.3311949685535</v>
      </c>
      <c r="Y28" s="111" t="n">
        <f aca="false">IFERROR('Price History'!D3+(INDEX('Price History'!D:D,MATCH(9.99E+307,'Price History'!$A:$A))-'Price History'!D3)*(ROW()-3)/(MATCH(9.99E+307,'Returns (Calc)'!$A:$A)-3),"")</f>
        <v>827.361761006289</v>
      </c>
      <c r="Z28" s="111" t="n">
        <f aca="false">IFERROR('Price History'!E3+(INDEX('Price History'!E:E,MATCH(9.99E+307,'Price History'!$A:$A))-'Price History'!E3)*(ROW()-3)/(MATCH(9.99E+307,'Returns (Calc)'!$A:$A)-3),"")</f>
        <v>126.20641509434</v>
      </c>
      <c r="AA28" s="111" t="n">
        <f aca="false">IFERROR('Price History'!F3+(INDEX('Price History'!F:F,MATCH(9.99E+307,'Price History'!$A:$A))-'Price History'!F3)*(ROW()-3)/(MATCH(9.99E+307,'Returns (Calc)'!$A:$A)-3),"")</f>
        <v>64.7392452830189</v>
      </c>
      <c r="AB28" s="111" t="n">
        <f aca="false">IFERROR('Price History'!G3+(INDEX('Price History'!G:G,MATCH(9.99E+307,'Price History'!$A:$A))-'Price History'!G3)*(ROW()-3)/(MATCH(9.99E+307,'Returns (Calc)'!$A:$A)-3),"")</f>
        <v>69.5509433962264</v>
      </c>
      <c r="AC28" s="111" t="n">
        <f aca="false">IFERROR('Price History'!H3+(INDEX('Price History'!H:H,MATCH(9.99E+307,'Price History'!$A:$A))-'Price History'!H3)*(ROW()-3)/(MATCH(9.99E+307,'Returns (Calc)'!$A:$A)-3),"")</f>
        <v>214.090125786164</v>
      </c>
      <c r="AD28" s="111" t="n">
        <f aca="false">IFERROR('Price History'!I3+(INDEX('Price History'!I:I,MATCH(9.99E+307,'Price History'!$A:$A))-'Price History'!I3)*(ROW()-3)/(MATCH(9.99E+307,'Returns (Calc)'!$A:$A)-3),"")</f>
        <v>70.6471698113208</v>
      </c>
      <c r="AE28" s="111" t="n">
        <f aca="false">IFERROR('Price History'!J3+(INDEX('Price History'!J:J,MATCH(9.99E+307,'Price History'!$A:$A))-'Price History'!J3)*(ROW()-3)/(MATCH(9.99E+307,'Returns (Calc)'!$A:$A)-3),"")</f>
        <v>125.684528301887</v>
      </c>
      <c r="AF28" s="111" t="n">
        <f aca="false">IFERROR('Price History'!K3+(INDEX('Price History'!K:K,MATCH(9.99E+307,'Price History'!$A:$A))-'Price History'!K3)*(ROW()-3)/(MATCH(9.99E+307,'Returns (Calc)'!$A:$A)-3),"")</f>
        <v>40.3974213836478</v>
      </c>
      <c r="AG28" s="111" t="n">
        <f aca="false">IFERROR('Price History'!L3+(INDEX('Price History'!L:L,MATCH(9.99E+307,'Price History'!$A:$A))-'Price History'!L3)*(ROW()-3)/(MATCH(9.99E+307,'Returns (Calc)'!$A:$A)-3),"")</f>
        <v>144.964842767296</v>
      </c>
      <c r="AH28" s="111" t="n">
        <f aca="false">IFERROR('Price History'!M3+(INDEX('Price History'!M:M,MATCH(9.99E+307,'Price History'!$A:$A))-'Price History'!M3)*(ROW()-3)/(MATCH(9.99E+307,'Returns (Calc)'!$A:$A)-3),"")</f>
        <v>72.3496226415094</v>
      </c>
      <c r="AI28" s="111" t="n">
        <f aca="false">IFERROR('Price History'!N3+(INDEX('Price History'!N:N,MATCH(9.99E+307,'Price History'!$A:$A))-'Price History'!N3)*(ROW()-3)/(MATCH(9.99E+307,'Returns (Calc)'!$A:$A)-3),"")</f>
        <v>380.718490566038</v>
      </c>
      <c r="AJ28" s="111" t="n">
        <f aca="false">IFERROR('Price History'!O3+(INDEX('Price History'!O:O,MATCH(9.99E+307,'Price History'!$A:$A))-'Price History'!O3)*(ROW()-3)/(MATCH(9.99E+307,'Returns (Calc)'!$A:$A)-3),"")</f>
        <v>89.7808176100629</v>
      </c>
      <c r="AK28" s="111" t="n">
        <f aca="false">IFERROR('Price History'!Q3+(INDEX('Price History'!Q:Q,MATCH(9.99E+307,'Price History'!$A:$A))-'Price History'!Q3)*(ROW()-3)/(MATCH(9.99E+307,'Returns (Calc)'!$A:$A)-3),"")</f>
        <v>52.965786163522</v>
      </c>
      <c r="AL28" s="111" t="n">
        <f aca="false">IFERROR('Price History'!R3+(INDEX('Price History'!R:R,MATCH(9.99E+307,'Price History'!$A:$A))-'Price History'!R3)*(ROW()-3)/(MATCH(9.99E+307,'Returns (Calc)'!$A:$A)-3),"")</f>
        <v>49.7146540880503</v>
      </c>
      <c r="AM28" s="111" t="n">
        <f aca="false">IFERROR('Price History'!S3+(INDEX('Price History'!S:S,MATCH(9.99E+307,'Price History'!$A:$A))-'Price History'!S3)*(ROW()-3)/(MATCH(9.99E+307,'Returns (Calc)'!$A:$A)-3),"")</f>
        <v>72.8764779874214</v>
      </c>
      <c r="AN28" s="111" t="n">
        <f aca="false">IFERROR('Price History'!T3+(INDEX('Price History'!T:T,MATCH(9.99E+307,'Price History'!$A:$A))-'Price History'!T3)*(ROW()-3)/(MATCH(9.99E+307,'Returns (Calc)'!$A:$A)-3),"")</f>
        <v>31.3722641509434</v>
      </c>
      <c r="AO28" s="112" t="n">
        <f aca="false">IFERROR('Price History'!V3+(INDEX('Price History'!V:V,MATCH(9.99E+307,'Price History'!$A:$A))-'Price History'!V3)*(ROW()-3)/(MATCH(9.99E+307,'Returns (Calc)'!$A:$A)-3),"")</f>
        <v>58.9732704402516</v>
      </c>
    </row>
    <row r="29" customFormat="false" ht="15" hidden="false" customHeight="true" outlineLevel="0" collapsed="false">
      <c r="A29" s="108" t="n">
        <f aca="false">IF('Price History'!A30="","",'Price History'!A30)</f>
        <v>45338</v>
      </c>
      <c r="B29" s="109" t="n">
        <f aca="false">IFERROR(IF(OR(NOT(ISNUMBER('Price History'!B30)),NOT(ISNUMBER('Price History'!B29)),'Price History'!B29=0),"",'Price History'!B30/'Price History'!B29-1),"")</f>
        <v>-0.128425886066868</v>
      </c>
      <c r="C29" s="109" t="n">
        <f aca="false">IFERROR(IF(OR(NOT(ISNUMBER('Price History'!C30)),NOT(ISNUMBER('Price History'!C29)),'Price History'!C29=0),"",'Price History'!C30/'Price History'!C29-1),"")</f>
        <v>-0.0732190907803427</v>
      </c>
      <c r="D29" s="109" t="n">
        <f aca="false">IFERROR(IF(OR(NOT(ISNUMBER('Price History'!D30)),NOT(ISNUMBER('Price History'!D29)),'Price History'!D29=0),"",'Price History'!D30/'Price History'!D29-1),"")</f>
        <v>-0.0217565290648694</v>
      </c>
      <c r="E29" s="109" t="n">
        <f aca="false">IFERROR(IF(OR(NOT(ISNUMBER('Price History'!E30)),NOT(ISNUMBER('Price History'!E29)),'Price History'!E29=0),"",'Price History'!E30/'Price History'!E29-1),"")</f>
        <v>-0.0295309334580023</v>
      </c>
      <c r="F29" s="109" t="n">
        <f aca="false">IFERROR(IF(OR(NOT(ISNUMBER('Price History'!F30)),NOT(ISNUMBER('Price History'!F29)),'Price History'!F29=0),"",'Price History'!F30/'Price History'!F29-1),"")</f>
        <v>-0.000364342968180775</v>
      </c>
      <c r="G29" s="109" t="n">
        <f aca="false">IFERROR(IF(OR(NOT(ISNUMBER('Price History'!G30)),NOT(ISNUMBER('Price History'!G29)),'Price History'!G29=0),"",'Price History'!G30/'Price History'!G29-1),"")</f>
        <v>0.017851646660511</v>
      </c>
      <c r="H29" s="109" t="n">
        <f aca="false">IFERROR(IF(OR(NOT(ISNUMBER('Price History'!H30)),NOT(ISNUMBER('Price History'!H29)),'Price History'!H29=0),"",'Price History'!H30/'Price History'!H29-1),"")</f>
        <v>-0.070827489481066</v>
      </c>
      <c r="I29" s="109" t="n">
        <f aca="false">IFERROR(IF(OR(NOT(ISNUMBER('Price History'!I30)),NOT(ISNUMBER('Price History'!I29)),'Price History'!I29=0),"",'Price History'!I30/'Price History'!I29-1),"")</f>
        <v>0.00665465132399845</v>
      </c>
      <c r="J29" s="109" t="n">
        <f aca="false">IFERROR(IF(OR(NOT(ISNUMBER('Price History'!J30)),NOT(ISNUMBER('Price History'!J29)),'Price History'!J29=0),"",'Price History'!J30/'Price History'!J29-1),"")</f>
        <v>0.00686896135265691</v>
      </c>
      <c r="K29" s="109" t="n">
        <f aca="false">IFERROR(IF(OR(NOT(ISNUMBER('Price History'!K30)),NOT(ISNUMBER('Price History'!K29)),'Price History'!K29=0),"",'Price History'!K30/'Price History'!K29-1),"")</f>
        <v>0.00246103363412642</v>
      </c>
      <c r="L29" s="109" t="n">
        <f aca="false">IFERROR(IF(OR(NOT(ISNUMBER('Price History'!L30)),NOT(ISNUMBER('Price History'!L29)),'Price History'!L29=0),"",'Price History'!L30/'Price History'!L29-1),"")</f>
        <v>-0.0482307865675007</v>
      </c>
      <c r="M29" s="109" t="n">
        <f aca="false">IFERROR(IF(OR(NOT(ISNUMBER('Price History'!M30)),NOT(ISNUMBER('Price History'!M29)),'Price History'!M29=0),"",'Price History'!M30/'Price History'!M29-1),"")</f>
        <v>-0.00865869017632248</v>
      </c>
      <c r="N29" s="109" t="n">
        <f aca="false">IFERROR(IF(OR(NOT(ISNUMBER('Price History'!N30)),NOT(ISNUMBER('Price History'!N29)),'Price History'!N29=0),"",'Price History'!N30/'Price History'!N29-1),"")</f>
        <v>-0.00167884419852937</v>
      </c>
      <c r="O29" s="109" t="n">
        <f aca="false">IFERROR(IF(OR(NOT(ISNUMBER('Price History'!O30)),NOT(ISNUMBER('Price History'!O29)),'Price History'!O29=0),"",'Price History'!O30/'Price History'!O29-1),"")</f>
        <v>0.00705266750085309</v>
      </c>
      <c r="P29" s="109" t="str">
        <f aca="false">IFERROR(IF(OR(NOT(ISNUMBER('Price History'!P30)),NOT(ISNUMBER('Price History'!P29)),'Price History'!P29=0),"",'Price History'!P30/'Price History'!P29-1),"")</f>
        <v/>
      </c>
      <c r="Q29" s="109" t="n">
        <f aca="false">IFERROR(IF(OR(NOT(ISNUMBER('Price History'!Q30)),NOT(ISNUMBER('Price History'!Q29)),'Price History'!Q29=0),"",'Price History'!Q30/'Price History'!Q29-1),"")</f>
        <v>-0.00375201000536007</v>
      </c>
      <c r="R29" s="109" t="n">
        <f aca="false">IFERROR(IF(OR(NOT(ISNUMBER('Price History'!R30)),NOT(ISNUMBER('Price History'!R29)),'Price History'!R29=0),"",'Price History'!R30/'Price History'!R29-1),"")</f>
        <v>-0.00323871213564497</v>
      </c>
      <c r="S29" s="109" t="n">
        <f aca="false">IFERROR(IF(OR(NOT(ISNUMBER('Price History'!S30)),NOT(ISNUMBER('Price History'!S29)),'Price History'!S29=0),"",'Price History'!S30/'Price History'!S29-1),"")</f>
        <v>0.00835016835016833</v>
      </c>
      <c r="T29" s="109" t="n">
        <f aca="false">IFERROR(IF(OR(NOT(ISNUMBER('Price History'!T30)),NOT(ISNUMBER('Price History'!T29)),'Price History'!T29=0),"",'Price History'!T30/'Price History'!T29-1),"")</f>
        <v>0.00838281522878104</v>
      </c>
      <c r="U29" s="109" t="str">
        <f aca="false">IFERROR(IF(OR(NOT(ISNUMBER('Price History'!U30)),NOT(ISNUMBER('Price History'!U29)),'Price History'!U29=0),"",'Price History'!U30/'Price History'!U29-1),"")</f>
        <v/>
      </c>
      <c r="V29" s="110" t="n">
        <f aca="false">IFERROR(IF(OR(NOT(ISNUMBER('Price History'!V30)),NOT(ISNUMBER('Price History'!V29)),'Price History'!V29=0),"",'Price History'!V30/'Price History'!V29-1),"")</f>
        <v>0.00770421704511959</v>
      </c>
      <c r="W29" s="111" t="n">
        <f aca="false">IFERROR('Price History'!B3+(INDEX('Price History'!B:B,MATCH(9.99E+307,'Price History'!$A:$A))-'Price History'!B3)*(ROW()-3)/(MATCH(9.99E+307,'Returns (Calc)'!$A:$A)-3),"")</f>
        <v>468.88748427673</v>
      </c>
      <c r="X29" s="111" t="n">
        <f aca="false">IFERROR('Price History'!C3+(INDEX('Price History'!C:C,MATCH(9.99E+307,'Price History'!$A:$A))-'Price History'!C3)*(ROW()-3)/(MATCH(9.99E+307,'Returns (Calc)'!$A:$A)-3),"")</f>
        <v>68.2748427672956</v>
      </c>
      <c r="Y29" s="111" t="n">
        <f aca="false">IFERROR('Price History'!D3+(INDEX('Price History'!D:D,MATCH(9.99E+307,'Price History'!$A:$A))-'Price History'!D3)*(ROW()-3)/(MATCH(9.99E+307,'Returns (Calc)'!$A:$A)-3),"")</f>
        <v>833.985031446541</v>
      </c>
      <c r="Z29" s="111" t="n">
        <f aca="false">IFERROR('Price History'!E3+(INDEX('Price History'!E:E,MATCH(9.99E+307,'Price History'!$A:$A))-'Price History'!E3)*(ROW()-3)/(MATCH(9.99E+307,'Returns (Calc)'!$A:$A)-3),"")</f>
        <v>127.935471698113</v>
      </c>
      <c r="AA29" s="111" t="n">
        <f aca="false">IFERROR('Price History'!F3+(INDEX('Price History'!F:F,MATCH(9.99E+307,'Price History'!$A:$A))-'Price History'!F3)*(ROW()-3)/(MATCH(9.99E+307,'Returns (Calc)'!$A:$A)-3),"")</f>
        <v>65.8464150943396</v>
      </c>
      <c r="AB29" s="111" t="n">
        <f aca="false">IFERROR('Price History'!G3+(INDEX('Price History'!G:G,MATCH(9.99E+307,'Price History'!$A:$A))-'Price History'!G3)*(ROW()-3)/(MATCH(9.99E+307,'Returns (Calc)'!$A:$A)-3),"")</f>
        <v>70.4169811320755</v>
      </c>
      <c r="AC29" s="111" t="n">
        <f aca="false">IFERROR('Price History'!H3+(INDEX('Price History'!H:H,MATCH(9.99E+307,'Price History'!$A:$A))-'Price History'!H3)*(ROW()-3)/(MATCH(9.99E+307,'Returns (Calc)'!$A:$A)-3),"")</f>
        <v>220.07893081761</v>
      </c>
      <c r="AD29" s="111" t="n">
        <f aca="false">IFERROR('Price History'!I3+(INDEX('Price History'!I:I,MATCH(9.99E+307,'Price History'!$A:$A))-'Price History'!I3)*(ROW()-3)/(MATCH(9.99E+307,'Returns (Calc)'!$A:$A)-3),"")</f>
        <v>71.8390566037736</v>
      </c>
      <c r="AE29" s="111" t="n">
        <f aca="false">IFERROR('Price History'!J3+(INDEX('Price History'!J:J,MATCH(9.99E+307,'Price History'!$A:$A))-'Price History'!J3)*(ROW()-3)/(MATCH(9.99E+307,'Returns (Calc)'!$A:$A)-3),"")</f>
        <v>125.771509433962</v>
      </c>
      <c r="AF29" s="111" t="n">
        <f aca="false">IFERROR('Price History'!K3+(INDEX('Price History'!K:K,MATCH(9.99E+307,'Price History'!$A:$A))-'Price History'!K3)*(ROW()-3)/(MATCH(9.99E+307,'Returns (Calc)'!$A:$A)-3),"")</f>
        <v>41.3969182389937</v>
      </c>
      <c r="AG29" s="111" t="n">
        <f aca="false">IFERROR('Price History'!L3+(INDEX('Price History'!L:L,MATCH(9.99E+307,'Price History'!$A:$A))-'Price History'!L3)*(ROW()-3)/(MATCH(9.99E+307,'Returns (Calc)'!$A:$A)-3),"")</f>
        <v>147.083836477987</v>
      </c>
      <c r="AH29" s="111" t="n">
        <f aca="false">IFERROR('Price History'!M3+(INDEX('Price History'!M:M,MATCH(9.99E+307,'Price History'!$A:$A))-'Price History'!M3)*(ROW()-3)/(MATCH(9.99E+307,'Returns (Calc)'!$A:$A)-3),"")</f>
        <v>73.9032075471698</v>
      </c>
      <c r="AI29" s="111" t="n">
        <f aca="false">IFERROR('Price History'!N3+(INDEX('Price History'!N:N,MATCH(9.99E+307,'Price History'!$A:$A))-'Price History'!N3)*(ROW()-3)/(MATCH(9.99E+307,'Returns (Calc)'!$A:$A)-3),"")</f>
        <v>381.952830188679</v>
      </c>
      <c r="AJ29" s="111" t="n">
        <f aca="false">IFERROR('Price History'!O3+(INDEX('Price History'!O:O,MATCH(9.99E+307,'Price History'!$A:$A))-'Price History'!O3)*(ROW()-3)/(MATCH(9.99E+307,'Returns (Calc)'!$A:$A)-3),"")</f>
        <v>90.0580503144654</v>
      </c>
      <c r="AK29" s="111" t="n">
        <f aca="false">IFERROR('Price History'!Q3+(INDEX('Price History'!Q:Q,MATCH(9.99E+307,'Price History'!$A:$A))-'Price History'!Q3)*(ROW()-3)/(MATCH(9.99E+307,'Returns (Calc)'!$A:$A)-3),"")</f>
        <v>53.0908176100629</v>
      </c>
      <c r="AL29" s="111" t="n">
        <f aca="false">IFERROR('Price History'!R3+(INDEX('Price History'!R:R,MATCH(9.99E+307,'Price History'!$A:$A))-'Price History'!R3)*(ROW()-3)/(MATCH(9.99E+307,'Returns (Calc)'!$A:$A)-3),"")</f>
        <v>49.7904402515723</v>
      </c>
      <c r="AM29" s="111" t="n">
        <f aca="false">IFERROR('Price History'!S3+(INDEX('Price History'!S:S,MATCH(9.99E+307,'Price History'!$A:$A))-'Price History'!S3)*(ROW()-3)/(MATCH(9.99E+307,'Returns (Calc)'!$A:$A)-3),"")</f>
        <v>73.4499371069182</v>
      </c>
      <c r="AN29" s="111" t="n">
        <f aca="false">IFERROR('Price History'!T3+(INDEX('Price History'!T:T,MATCH(9.99E+307,'Price History'!$A:$A))-'Price History'!T3)*(ROW()-3)/(MATCH(9.99E+307,'Returns (Calc)'!$A:$A)-3),"")</f>
        <v>31.5507547169811</v>
      </c>
      <c r="AO29" s="112" t="n">
        <f aca="false">IFERROR('Price History'!V3+(INDEX('Price History'!V:V,MATCH(9.99E+307,'Price History'!$A:$A))-'Price History'!V3)*(ROW()-3)/(MATCH(9.99E+307,'Returns (Calc)'!$A:$A)-3),"")</f>
        <v>61.3322012578616</v>
      </c>
    </row>
    <row r="30" customFormat="false" ht="15" hidden="false" customHeight="true" outlineLevel="0" collapsed="false">
      <c r="A30" s="108" t="n">
        <f aca="false">IF('Price History'!A31="","",'Price History'!A31)</f>
        <v>45345</v>
      </c>
      <c r="B30" s="109" t="n">
        <f aca="false">IFERROR(IF(OR(NOT(ISNUMBER('Price History'!B31)),NOT(ISNUMBER('Price History'!B30)),'Price History'!B30=0),"",'Price History'!B31/'Price History'!B30-1),"")</f>
        <v>0.0124025902754914</v>
      </c>
      <c r="C30" s="109" t="n">
        <f aca="false">IFERROR(IF(OR(NOT(ISNUMBER('Price History'!C31)),NOT(ISNUMBER('Price History'!C30)),'Price History'!C30=0),"",'Price History'!C31/'Price History'!C30-1),"")</f>
        <v>0.0226161369193154</v>
      </c>
      <c r="D30" s="109" t="n">
        <f aca="false">IFERROR(IF(OR(NOT(ISNUMBER('Price History'!D31)),NOT(ISNUMBER('Price History'!D30)),'Price History'!D30=0),"",'Price History'!D31/'Price History'!D30-1),"")</f>
        <v>0.00463969685878518</v>
      </c>
      <c r="E30" s="109" t="n">
        <f aca="false">IFERROR(IF(OR(NOT(ISNUMBER('Price History'!E31)),NOT(ISNUMBER('Price History'!E30)),'Price History'!E30=0),"",'Price History'!E31/'Price History'!E30-1),"")</f>
        <v>0.0408671216378964</v>
      </c>
      <c r="F30" s="109" t="n">
        <f aca="false">IFERROR(IF(OR(NOT(ISNUMBER('Price History'!F31)),NOT(ISNUMBER('Price History'!F30)),'Price History'!F30=0),"",'Price History'!F31/'Price History'!F30-1),"")</f>
        <v>-0.0539424128295468</v>
      </c>
      <c r="G30" s="109" t="n">
        <f aca="false">IFERROR(IF(OR(NOT(ISNUMBER('Price History'!G31)),NOT(ISNUMBER('Price History'!G30)),'Price History'!G30=0),"",'Price History'!G31/'Price History'!G30-1),"")</f>
        <v>0.0111883882673116</v>
      </c>
      <c r="H30" s="109" t="n">
        <f aca="false">IFERROR(IF(OR(NOT(ISNUMBER('Price History'!H31)),NOT(ISNUMBER('Price History'!H30)),'Price History'!H30=0),"",'Price History'!H31/'Price History'!H30-1),"")</f>
        <v>0.0817610062893082</v>
      </c>
      <c r="I30" s="109" t="n">
        <f aca="false">IFERROR(IF(OR(NOT(ISNUMBER('Price History'!I31)),NOT(ISNUMBER('Price History'!I30)),'Price History'!I30=0),"",'Price History'!I31/'Price History'!I30-1),"")</f>
        <v>0.0855254097231786</v>
      </c>
      <c r="J30" s="109" t="n">
        <f aca="false">IFERROR(IF(OR(NOT(ISNUMBER('Price History'!J31)),NOT(ISNUMBER('Price History'!J30)),'Price History'!J30=0),"",'Price History'!J31/'Price History'!J30-1),"")</f>
        <v>-0.00134942649374004</v>
      </c>
      <c r="K30" s="109" t="n">
        <f aca="false">IFERROR(IF(OR(NOT(ISNUMBER('Price History'!K31)),NOT(ISNUMBER('Price History'!K30)),'Price History'!K30=0),"",'Price History'!K31/'Price History'!K30-1),"")</f>
        <v>-0.0601472995090018</v>
      </c>
      <c r="L30" s="109" t="n">
        <f aca="false">IFERROR(IF(OR(NOT(ISNUMBER('Price History'!L31)),NOT(ISNUMBER('Price History'!L30)),'Price History'!L30=0),"",'Price History'!L31/'Price History'!L30-1),"")</f>
        <v>0.0224169231983582</v>
      </c>
      <c r="M30" s="109" t="n">
        <f aca="false">IFERROR(IF(OR(NOT(ISNUMBER('Price History'!M31)),NOT(ISNUMBER('Price History'!M30)),'Price History'!M30=0),"",'Price History'!M31/'Price History'!M30-1),"")</f>
        <v>-0.00428775607432108</v>
      </c>
      <c r="N30" s="109" t="n">
        <f aca="false">IFERROR(IF(OR(NOT(ISNUMBER('Price History'!N31)),NOT(ISNUMBER('Price History'!N30)),'Price History'!N30=0),"",'Price History'!N31/'Price History'!N30-1),"")</f>
        <v>0.0187351965892941</v>
      </c>
      <c r="O30" s="109" t="n">
        <f aca="false">IFERROR(IF(OR(NOT(ISNUMBER('Price History'!O31)),NOT(ISNUMBER('Price History'!O30)),'Price History'!O30=0),"",'Price History'!O31/'Price History'!O30-1),"")</f>
        <v>-0.0032757257426862</v>
      </c>
      <c r="P30" s="109" t="str">
        <f aca="false">IFERROR(IF(OR(NOT(ISNUMBER('Price History'!P31)),NOT(ISNUMBER('Price History'!P30)),'Price History'!P30=0),"",'Price History'!P31/'Price History'!P30-1),"")</f>
        <v/>
      </c>
      <c r="Q30" s="109" t="n">
        <f aca="false">IFERROR(IF(OR(NOT(ISNUMBER('Price History'!Q31)),NOT(ISNUMBER('Price History'!Q30)),'Price History'!Q30=0),"",'Price History'!Q31/'Price History'!Q30-1),"")</f>
        <v>-0.00627690100430423</v>
      </c>
      <c r="R30" s="109" t="n">
        <f aca="false">IFERROR(IF(OR(NOT(ISNUMBER('Price History'!R31)),NOT(ISNUMBER('Price History'!R30)),'Price History'!R30=0),"",'Price History'!R31/'Price History'!R30-1),"")</f>
        <v>0.0126146788990824</v>
      </c>
      <c r="S30" s="109" t="n">
        <f aca="false">IFERROR(IF(OR(NOT(ISNUMBER('Price History'!S31)),NOT(ISNUMBER('Price History'!S30)),'Price History'!S30=0),"",'Price History'!S31/'Price History'!S30-1),"")</f>
        <v>0.0224388940830773</v>
      </c>
      <c r="T30" s="109" t="n">
        <f aca="false">IFERROR(IF(OR(NOT(ISNUMBER('Price History'!T31)),NOT(ISNUMBER('Price History'!T30)),'Price History'!T30=0),"",'Price History'!T31/'Price History'!T30-1),"")</f>
        <v>0.0218219605126428</v>
      </c>
      <c r="U30" s="109" t="str">
        <f aca="false">IFERROR(IF(OR(NOT(ISNUMBER('Price History'!U31)),NOT(ISNUMBER('Price History'!U30)),'Price History'!U30=0),"",'Price History'!U31/'Price History'!U30-1),"")</f>
        <v/>
      </c>
      <c r="V30" s="110" t="n">
        <f aca="false">IFERROR(IF(OR(NOT(ISNUMBER('Price History'!V31)),NOT(ISNUMBER('Price History'!V30)),'Price History'!V30=0),"",'Price History'!V31/'Price History'!V30-1),"")</f>
        <v>0.0180707466071623</v>
      </c>
      <c r="W30" s="111" t="n">
        <f aca="false">IFERROR('Price History'!B3+(INDEX('Price History'!B:B,MATCH(9.99E+307,'Price History'!$A:$A))-'Price History'!B3)*(ROW()-3)/(MATCH(9.99E+307,'Returns (Calc)'!$A:$A)-3),"")</f>
        <v>467.365849056604</v>
      </c>
      <c r="X30" s="111" t="n">
        <f aca="false">IFERROR('Price History'!C3+(INDEX('Price History'!C:C,MATCH(9.99E+307,'Price History'!$A:$A))-'Price History'!C3)*(ROW()-3)/(MATCH(9.99E+307,'Returns (Calc)'!$A:$A)-3),"")</f>
        <v>69.2184905660377</v>
      </c>
      <c r="Y30" s="111" t="n">
        <f aca="false">IFERROR('Price History'!D3+(INDEX('Price History'!D:D,MATCH(9.99E+307,'Price History'!$A:$A))-'Price History'!D3)*(ROW()-3)/(MATCH(9.99E+307,'Returns (Calc)'!$A:$A)-3),"")</f>
        <v>840.608301886792</v>
      </c>
      <c r="Z30" s="111" t="n">
        <f aca="false">IFERROR('Price History'!E3+(INDEX('Price History'!E:E,MATCH(9.99E+307,'Price History'!$A:$A))-'Price History'!E3)*(ROW()-3)/(MATCH(9.99E+307,'Returns (Calc)'!$A:$A)-3),"")</f>
        <v>129.664528301887</v>
      </c>
      <c r="AA30" s="111" t="n">
        <f aca="false">IFERROR('Price History'!F3+(INDEX('Price History'!F:F,MATCH(9.99E+307,'Price History'!$A:$A))-'Price History'!F3)*(ROW()-3)/(MATCH(9.99E+307,'Returns (Calc)'!$A:$A)-3),"")</f>
        <v>66.9535849056604</v>
      </c>
      <c r="AB30" s="111" t="n">
        <f aca="false">IFERROR('Price History'!G3+(INDEX('Price History'!G:G,MATCH(9.99E+307,'Price History'!$A:$A))-'Price History'!G3)*(ROW()-3)/(MATCH(9.99E+307,'Returns (Calc)'!$A:$A)-3),"")</f>
        <v>71.2830188679245</v>
      </c>
      <c r="AC30" s="111" t="n">
        <f aca="false">IFERROR('Price History'!H3+(INDEX('Price History'!H:H,MATCH(9.99E+307,'Price History'!$A:$A))-'Price History'!H3)*(ROW()-3)/(MATCH(9.99E+307,'Returns (Calc)'!$A:$A)-3),"")</f>
        <v>226.067735849057</v>
      </c>
      <c r="AD30" s="111" t="n">
        <f aca="false">IFERROR('Price History'!I3+(INDEX('Price History'!I:I,MATCH(9.99E+307,'Price History'!$A:$A))-'Price History'!I3)*(ROW()-3)/(MATCH(9.99E+307,'Returns (Calc)'!$A:$A)-3),"")</f>
        <v>73.0309433962264</v>
      </c>
      <c r="AE30" s="111" t="n">
        <f aca="false">IFERROR('Price History'!J3+(INDEX('Price History'!J:J,MATCH(9.99E+307,'Price History'!$A:$A))-'Price History'!J3)*(ROW()-3)/(MATCH(9.99E+307,'Returns (Calc)'!$A:$A)-3),"")</f>
        <v>125.858490566038</v>
      </c>
      <c r="AF30" s="111" t="n">
        <f aca="false">IFERROR('Price History'!K3+(INDEX('Price History'!K:K,MATCH(9.99E+307,'Price History'!$A:$A))-'Price History'!K3)*(ROW()-3)/(MATCH(9.99E+307,'Returns (Calc)'!$A:$A)-3),"")</f>
        <v>42.3964150943396</v>
      </c>
      <c r="AG30" s="111" t="n">
        <f aca="false">IFERROR('Price History'!L3+(INDEX('Price History'!L:L,MATCH(9.99E+307,'Price History'!$A:$A))-'Price History'!L3)*(ROW()-3)/(MATCH(9.99E+307,'Returns (Calc)'!$A:$A)-3),"")</f>
        <v>149.202830188679</v>
      </c>
      <c r="AH30" s="111" t="n">
        <f aca="false">IFERROR('Price History'!M3+(INDEX('Price History'!M:M,MATCH(9.99E+307,'Price History'!$A:$A))-'Price History'!M3)*(ROW()-3)/(MATCH(9.99E+307,'Returns (Calc)'!$A:$A)-3),"")</f>
        <v>75.4567924528302</v>
      </c>
      <c r="AI30" s="111" t="n">
        <f aca="false">IFERROR('Price History'!N3+(INDEX('Price History'!N:N,MATCH(9.99E+307,'Price History'!$A:$A))-'Price History'!N3)*(ROW()-3)/(MATCH(9.99E+307,'Returns (Calc)'!$A:$A)-3),"")</f>
        <v>383.187169811321</v>
      </c>
      <c r="AJ30" s="111" t="n">
        <f aca="false">IFERROR('Price History'!O3+(INDEX('Price History'!O:O,MATCH(9.99E+307,'Price History'!$A:$A))-'Price History'!O3)*(ROW()-3)/(MATCH(9.99E+307,'Returns (Calc)'!$A:$A)-3),"")</f>
        <v>90.3352830188679</v>
      </c>
      <c r="AK30" s="111" t="n">
        <f aca="false">IFERROR('Price History'!Q3+(INDEX('Price History'!Q:Q,MATCH(9.99E+307,'Price History'!$A:$A))-'Price History'!Q3)*(ROW()-3)/(MATCH(9.99E+307,'Returns (Calc)'!$A:$A)-3),"")</f>
        <v>53.2158490566038</v>
      </c>
      <c r="AL30" s="111" t="n">
        <f aca="false">IFERROR('Price History'!R3+(INDEX('Price History'!R:R,MATCH(9.99E+307,'Price History'!$A:$A))-'Price History'!R3)*(ROW()-3)/(MATCH(9.99E+307,'Returns (Calc)'!$A:$A)-3),"")</f>
        <v>49.8662264150943</v>
      </c>
      <c r="AM30" s="111" t="n">
        <f aca="false">IFERROR('Price History'!S3+(INDEX('Price History'!S:S,MATCH(9.99E+307,'Price History'!$A:$A))-'Price History'!S3)*(ROW()-3)/(MATCH(9.99E+307,'Returns (Calc)'!$A:$A)-3),"")</f>
        <v>74.0233962264151</v>
      </c>
      <c r="AN30" s="111" t="n">
        <f aca="false">IFERROR('Price History'!T3+(INDEX('Price History'!T:T,MATCH(9.99E+307,'Price History'!$A:$A))-'Price History'!T3)*(ROW()-3)/(MATCH(9.99E+307,'Returns (Calc)'!$A:$A)-3),"")</f>
        <v>31.7292452830189</v>
      </c>
      <c r="AO30" s="112" t="n">
        <f aca="false">IFERROR('Price History'!V3+(INDEX('Price History'!V:V,MATCH(9.99E+307,'Price History'!$A:$A))-'Price History'!V3)*(ROW()-3)/(MATCH(9.99E+307,'Returns (Calc)'!$A:$A)-3),"")</f>
        <v>63.6911320754717</v>
      </c>
    </row>
    <row r="31" customFormat="false" ht="15" hidden="false" customHeight="true" outlineLevel="0" collapsed="false">
      <c r="A31" s="108" t="n">
        <f aca="false">IF('Price History'!A32="","",'Price History'!A32)</f>
        <v>45352</v>
      </c>
      <c r="B31" s="109" t="n">
        <f aca="false">IFERROR(IF(OR(NOT(ISNUMBER('Price History'!B32)),NOT(ISNUMBER('Price History'!B31)),'Price History'!B31=0),"",'Price History'!B32/'Price History'!B31-1),"")</f>
        <v>0.0316023417172591</v>
      </c>
      <c r="C31" s="109" t="n">
        <f aca="false">IFERROR(IF(OR(NOT(ISNUMBER('Price History'!C32)),NOT(ISNUMBER('Price History'!C31)),'Price History'!C31=0),"",'Price History'!C32/'Price History'!C31-1),"")</f>
        <v>0.0750149432157801</v>
      </c>
      <c r="D31" s="109" t="n">
        <f aca="false">IFERROR(IF(OR(NOT(ISNUMBER('Price History'!D32)),NOT(ISNUMBER('Price History'!D31)),'Price History'!D31=0),"",'Price History'!D32/'Price History'!D31-1),"")</f>
        <v>0.0618162335922852</v>
      </c>
      <c r="E31" s="109" t="n">
        <f aca="false">IFERROR(IF(OR(NOT(ISNUMBER('Price History'!E32)),NOT(ISNUMBER('Price History'!E31)),'Price History'!E31=0),"",'Price History'!E32/'Price History'!E31-1),"")</f>
        <v>0.0792965134217833</v>
      </c>
      <c r="F31" s="109" t="n">
        <f aca="false">IFERROR(IF(OR(NOT(ISNUMBER('Price History'!F32)),NOT(ISNUMBER('Price History'!F31)),'Price History'!F31=0),"",'Price History'!F32/'Price History'!F31-1),"")</f>
        <v>0.010016694490818</v>
      </c>
      <c r="G31" s="109" t="n">
        <f aca="false">IFERROR(IF(OR(NOT(ISNUMBER('Price History'!G32)),NOT(ISNUMBER('Price History'!G31)),'Price History'!G31=0),"",'Price History'!G32/'Price History'!G31-1),"")</f>
        <v>0.0729665071770336</v>
      </c>
      <c r="H31" s="109" t="n">
        <f aca="false">IFERROR(IF(OR(NOT(ISNUMBER('Price History'!H32)),NOT(ISNUMBER('Price History'!H31)),'Price History'!H31=0),"",'Price History'!H32/'Price History'!H31-1),"")</f>
        <v>0.106395348837209</v>
      </c>
      <c r="I31" s="109" t="n">
        <f aca="false">IFERROR(IF(OR(NOT(ISNUMBER('Price History'!I32)),NOT(ISNUMBER('Price History'!I31)),'Price History'!I31=0),"",'Price History'!I32/'Price History'!I31-1),"")</f>
        <v>0.0438974879472216</v>
      </c>
      <c r="J31" s="109" t="n">
        <f aca="false">IFERROR(IF(OR(NOT(ISNUMBER('Price History'!J32)),NOT(ISNUMBER('Price History'!J31)),'Price History'!J31=0),"",'Price History'!J32/'Price History'!J31-1),"")</f>
        <v>0.0104346520531491</v>
      </c>
      <c r="K31" s="109" t="n">
        <f aca="false">IFERROR(IF(OR(NOT(ISNUMBER('Price History'!K32)),NOT(ISNUMBER('Price History'!K31)),'Price History'!K31=0),"",'Price History'!K32/'Price History'!K31-1),"")</f>
        <v>0.0853286895951242</v>
      </c>
      <c r="L31" s="109" t="n">
        <f aca="false">IFERROR(IF(OR(NOT(ISNUMBER('Price History'!L32)),NOT(ISNUMBER('Price History'!L31)),'Price History'!L31=0),"",'Price History'!L32/'Price History'!L31-1),"")</f>
        <v>0.0337373581409712</v>
      </c>
      <c r="M31" s="109" t="n">
        <f aca="false">IFERROR(IF(OR(NOT(ISNUMBER('Price History'!M32)),NOT(ISNUMBER('Price History'!M31)),'Price History'!M31=0),"",'Price History'!M32/'Price History'!M31-1),"")</f>
        <v>0.125518341307815</v>
      </c>
      <c r="N31" s="109" t="n">
        <f aca="false">IFERROR(IF(OR(NOT(ISNUMBER('Price History'!N32)),NOT(ISNUMBER('Price History'!N31)),'Price History'!N31=0),"",'Price History'!N32/'Price History'!N31-1),"")</f>
        <v>0.00616121457301611</v>
      </c>
      <c r="O31" s="109" t="n">
        <f aca="false">IFERROR(IF(OR(NOT(ISNUMBER('Price History'!O32)),NOT(ISNUMBER('Price History'!O31)),'Price History'!O31=0),"",'Price History'!O32/'Price History'!O31-1),"")</f>
        <v>0.0157524932003628</v>
      </c>
      <c r="P31" s="109" t="str">
        <f aca="false">IFERROR(IF(OR(NOT(ISNUMBER('Price History'!P32)),NOT(ISNUMBER('Price History'!P31)),'Price History'!P31=0),"",'Price History'!P32/'Price History'!P31-1),"")</f>
        <v/>
      </c>
      <c r="Q31" s="109" t="n">
        <f aca="false">IFERROR(IF(OR(NOT(ISNUMBER('Price History'!Q32)),NOT(ISNUMBER('Price History'!Q31)),'Price History'!Q31=0),"",'Price History'!Q32/'Price History'!Q31-1),"")</f>
        <v>-0.0194910665944775</v>
      </c>
      <c r="R31" s="109" t="n">
        <f aca="false">IFERROR(IF(OR(NOT(ISNUMBER('Price History'!R32)),NOT(ISNUMBER('Price History'!R31)),'Price History'!R31=0),"",'Price History'!R32/'Price History'!R31-1),"")</f>
        <v>0.00528501321253305</v>
      </c>
      <c r="S31" s="109" t="n">
        <f aca="false">IFERROR(IF(OR(NOT(ISNUMBER('Price History'!S32)),NOT(ISNUMBER('Price History'!S31)),'Price History'!S31=0),"",'Price History'!S32/'Price History'!S31-1),"")</f>
        <v>0.0280862181580668</v>
      </c>
      <c r="T31" s="109" t="n">
        <f aca="false">IFERROR(IF(OR(NOT(ISNUMBER('Price History'!T32)),NOT(ISNUMBER('Price History'!T31)),'Price History'!T31=0),"",'Price History'!T32/'Price History'!T31-1),"")</f>
        <v>0.0220338983050847</v>
      </c>
      <c r="U31" s="109" t="str">
        <f aca="false">IFERROR(IF(OR(NOT(ISNUMBER('Price History'!U32)),NOT(ISNUMBER('Price History'!U31)),'Price History'!U31=0),"",'Price History'!U32/'Price History'!U31-1),"")</f>
        <v/>
      </c>
      <c r="V31" s="110" t="n">
        <f aca="false">IFERROR(IF(OR(NOT(ISNUMBER('Price History'!V32)),NOT(ISNUMBER('Price History'!V31)),'Price History'!V31=0),"",'Price History'!V32/'Price History'!V31-1),"")</f>
        <v>-0.00154503970392728</v>
      </c>
      <c r="W31" s="111" t="n">
        <f aca="false">IFERROR('Price History'!B3+(INDEX('Price History'!B:B,MATCH(9.99E+307,'Price History'!$A:$A))-'Price History'!B3)*(ROW()-3)/(MATCH(9.99E+307,'Returns (Calc)'!$A:$A)-3),"")</f>
        <v>465.844213836478</v>
      </c>
      <c r="X31" s="111" t="n">
        <f aca="false">IFERROR('Price History'!C3+(INDEX('Price History'!C:C,MATCH(9.99E+307,'Price History'!$A:$A))-'Price History'!C3)*(ROW()-3)/(MATCH(9.99E+307,'Returns (Calc)'!$A:$A)-3),"")</f>
        <v>70.1621383647799</v>
      </c>
      <c r="Y31" s="111" t="n">
        <f aca="false">IFERROR('Price History'!D3+(INDEX('Price History'!D:D,MATCH(9.99E+307,'Price History'!$A:$A))-'Price History'!D3)*(ROW()-3)/(MATCH(9.99E+307,'Returns (Calc)'!$A:$A)-3),"")</f>
        <v>847.231572327044</v>
      </c>
      <c r="Z31" s="111" t="n">
        <f aca="false">IFERROR('Price History'!E3+(INDEX('Price History'!E:E,MATCH(9.99E+307,'Price History'!$A:$A))-'Price History'!E3)*(ROW()-3)/(MATCH(9.99E+307,'Returns (Calc)'!$A:$A)-3),"")</f>
        <v>131.39358490566</v>
      </c>
      <c r="AA31" s="111" t="n">
        <f aca="false">IFERROR('Price History'!F3+(INDEX('Price History'!F:F,MATCH(9.99E+307,'Price History'!$A:$A))-'Price History'!F3)*(ROW()-3)/(MATCH(9.99E+307,'Returns (Calc)'!$A:$A)-3),"")</f>
        <v>68.0607547169811</v>
      </c>
      <c r="AB31" s="111" t="n">
        <f aca="false">IFERROR('Price History'!G3+(INDEX('Price History'!G:G,MATCH(9.99E+307,'Price History'!$A:$A))-'Price History'!G3)*(ROW()-3)/(MATCH(9.99E+307,'Returns (Calc)'!$A:$A)-3),"")</f>
        <v>72.1490566037736</v>
      </c>
      <c r="AC31" s="111" t="n">
        <f aca="false">IFERROR('Price History'!H3+(INDEX('Price History'!H:H,MATCH(9.99E+307,'Price History'!$A:$A))-'Price History'!H3)*(ROW()-3)/(MATCH(9.99E+307,'Returns (Calc)'!$A:$A)-3),"")</f>
        <v>232.056540880503</v>
      </c>
      <c r="AD31" s="111" t="n">
        <f aca="false">IFERROR('Price History'!I3+(INDEX('Price History'!I:I,MATCH(9.99E+307,'Price History'!$A:$A))-'Price History'!I3)*(ROW()-3)/(MATCH(9.99E+307,'Returns (Calc)'!$A:$A)-3),"")</f>
        <v>74.2228301886793</v>
      </c>
      <c r="AE31" s="111" t="n">
        <f aca="false">IFERROR('Price History'!J3+(INDEX('Price History'!J:J,MATCH(9.99E+307,'Price History'!$A:$A))-'Price History'!J3)*(ROW()-3)/(MATCH(9.99E+307,'Returns (Calc)'!$A:$A)-3),"")</f>
        <v>125.945471698113</v>
      </c>
      <c r="AF31" s="111" t="n">
        <f aca="false">IFERROR('Price History'!K3+(INDEX('Price History'!K:K,MATCH(9.99E+307,'Price History'!$A:$A))-'Price History'!K3)*(ROW()-3)/(MATCH(9.99E+307,'Returns (Calc)'!$A:$A)-3),"")</f>
        <v>43.3959119496855</v>
      </c>
      <c r="AG31" s="111" t="n">
        <f aca="false">IFERROR('Price History'!L3+(INDEX('Price History'!L:L,MATCH(9.99E+307,'Price History'!$A:$A))-'Price History'!L3)*(ROW()-3)/(MATCH(9.99E+307,'Returns (Calc)'!$A:$A)-3),"")</f>
        <v>151.321823899371</v>
      </c>
      <c r="AH31" s="111" t="n">
        <f aca="false">IFERROR('Price History'!M3+(INDEX('Price History'!M:M,MATCH(9.99E+307,'Price History'!$A:$A))-'Price History'!M3)*(ROW()-3)/(MATCH(9.99E+307,'Returns (Calc)'!$A:$A)-3),"")</f>
        <v>77.0103773584906</v>
      </c>
      <c r="AI31" s="111" t="n">
        <f aca="false">IFERROR('Price History'!N3+(INDEX('Price History'!N:N,MATCH(9.99E+307,'Price History'!$A:$A))-'Price History'!N3)*(ROW()-3)/(MATCH(9.99E+307,'Returns (Calc)'!$A:$A)-3),"")</f>
        <v>384.421509433962</v>
      </c>
      <c r="AJ31" s="111" t="n">
        <f aca="false">IFERROR('Price History'!O3+(INDEX('Price History'!O:O,MATCH(9.99E+307,'Price History'!$A:$A))-'Price History'!O3)*(ROW()-3)/(MATCH(9.99E+307,'Returns (Calc)'!$A:$A)-3),"")</f>
        <v>90.6125157232704</v>
      </c>
      <c r="AK31" s="111" t="n">
        <f aca="false">IFERROR('Price History'!Q3+(INDEX('Price History'!Q:Q,MATCH(9.99E+307,'Price History'!$A:$A))-'Price History'!Q3)*(ROW()-3)/(MATCH(9.99E+307,'Returns (Calc)'!$A:$A)-3),"")</f>
        <v>53.3408805031447</v>
      </c>
      <c r="AL31" s="111" t="n">
        <f aca="false">IFERROR('Price History'!R3+(INDEX('Price History'!R:R,MATCH(9.99E+307,'Price History'!$A:$A))-'Price History'!R3)*(ROW()-3)/(MATCH(9.99E+307,'Returns (Calc)'!$A:$A)-3),"")</f>
        <v>49.9420125786164</v>
      </c>
      <c r="AM31" s="111" t="n">
        <f aca="false">IFERROR('Price History'!S3+(INDEX('Price History'!S:S,MATCH(9.99E+307,'Price History'!$A:$A))-'Price History'!S3)*(ROW()-3)/(MATCH(9.99E+307,'Returns (Calc)'!$A:$A)-3),"")</f>
        <v>74.596855345912</v>
      </c>
      <c r="AN31" s="111" t="n">
        <f aca="false">IFERROR('Price History'!T3+(INDEX('Price History'!T:T,MATCH(9.99E+307,'Price History'!$A:$A))-'Price History'!T3)*(ROW()-3)/(MATCH(9.99E+307,'Returns (Calc)'!$A:$A)-3),"")</f>
        <v>31.9077358490566</v>
      </c>
      <c r="AO31" s="112" t="n">
        <f aca="false">IFERROR('Price History'!V3+(INDEX('Price History'!V:V,MATCH(9.99E+307,'Price History'!$A:$A))-'Price History'!V3)*(ROW()-3)/(MATCH(9.99E+307,'Returns (Calc)'!$A:$A)-3),"")</f>
        <v>66.0500628930818</v>
      </c>
    </row>
    <row r="32" customFormat="false" ht="15" hidden="false" customHeight="true" outlineLevel="0" collapsed="false">
      <c r="A32" s="108" t="n">
        <f aca="false">IF('Price History'!A33="","",'Price History'!A33)</f>
        <v>45359</v>
      </c>
      <c r="B32" s="109" t="n">
        <f aca="false">IFERROR(IF(OR(NOT(ISNUMBER('Price History'!B33)),NOT(ISNUMBER('Price History'!B32)),'Price History'!B32=0),"",'Price History'!B33/'Price History'!B32-1),"")</f>
        <v>-0.0336994027288807</v>
      </c>
      <c r="C32" s="109" t="n">
        <f aca="false">IFERROR(IF(OR(NOT(ISNUMBER('Price History'!C33)),NOT(ISNUMBER('Price History'!C32)),'Price History'!C32=0),"",'Price History'!C33/'Price History'!C32-1),"")</f>
        <v>-0.0508757297748123</v>
      </c>
      <c r="D32" s="109" t="n">
        <f aca="false">IFERROR(IF(OR(NOT(ISNUMBER('Price History'!D33)),NOT(ISNUMBER('Price History'!D32)),'Price History'!D32=0),"",'Price History'!D33/'Price History'!D32-1),"")</f>
        <v>0.00342099420752007</v>
      </c>
      <c r="E32" s="109" t="n">
        <f aca="false">IFERROR(IF(OR(NOT(ISNUMBER('Price History'!E33)),NOT(ISNUMBER('Price History'!E32)),'Price History'!E32=0),"",'Price History'!E33/'Price History'!E32-1),"")</f>
        <v>-0.0646798170383075</v>
      </c>
      <c r="F32" s="109" t="n">
        <f aca="false">IFERROR(IF(OR(NOT(ISNUMBER('Price History'!F33)),NOT(ISNUMBER('Price History'!F32)),'Price History'!F32=0),"",'Price History'!F33/'Price History'!F32-1),"")</f>
        <v>0.0261919898283534</v>
      </c>
      <c r="G32" s="109" t="n">
        <f aca="false">IFERROR(IF(OR(NOT(ISNUMBER('Price History'!G33)),NOT(ISNUMBER('Price History'!G32)),'Price History'!G32=0),"",'Price History'!G33/'Price History'!G32-1),"")</f>
        <v>-0.0256410256410257</v>
      </c>
      <c r="H32" s="109" t="n">
        <f aca="false">IFERROR(IF(OR(NOT(ISNUMBER('Price History'!H33)),NOT(ISNUMBER('Price History'!H32)),'Price History'!H32=0),"",'Price History'!H33/'Price History'!H32-1),"")</f>
        <v>0.0259590120861797</v>
      </c>
      <c r="I32" s="109" t="n">
        <f aca="false">IFERROR(IF(OR(NOT(ISNUMBER('Price History'!I33)),NOT(ISNUMBER('Price History'!I32)),'Price History'!I32=0),"",'Price History'!I33/'Price History'!I32-1),"")</f>
        <v>0.0638065143412736</v>
      </c>
      <c r="J32" s="109" t="n">
        <f aca="false">IFERROR(IF(OR(NOT(ISNUMBER('Price History'!J33)),NOT(ISNUMBER('Price History'!J32)),'Price History'!J32=0),"",'Price History'!J33/'Price History'!J32-1),"")</f>
        <v>0.00349182763744427</v>
      </c>
      <c r="K32" s="109" t="n">
        <f aca="false">IFERROR(IF(OR(NOT(ISNUMBER('Price History'!K33)),NOT(ISNUMBER('Price History'!K32)),'Price History'!K32=0),"",'Price History'!K33/'Price History'!K32-1),"")</f>
        <v>0.0445246690734056</v>
      </c>
      <c r="L32" s="109" t="n">
        <f aca="false">IFERROR(IF(OR(NOT(ISNUMBER('Price History'!L33)),NOT(ISNUMBER('Price History'!L32)),'Price History'!L32=0),"",'Price History'!L33/'Price History'!L32-1),"")</f>
        <v>0.0931292008961913</v>
      </c>
      <c r="M32" s="109" t="n">
        <f aca="false">IFERROR(IF(OR(NOT(ISNUMBER('Price History'!M33)),NOT(ISNUMBER('Price History'!M32)),'Price History'!M32=0),"",'Price History'!M33/'Price History'!M32-1),"")</f>
        <v>-0.0170043928014736</v>
      </c>
      <c r="N32" s="109" t="n">
        <f aca="false">IFERROR(IF(OR(NOT(ISNUMBER('Price History'!N33)),NOT(ISNUMBER('Price History'!N32)),'Price History'!N32=0),"",'Price History'!N33/'Price History'!N32-1),"")</f>
        <v>-0.0442970699694981</v>
      </c>
      <c r="O32" s="109" t="n">
        <f aca="false">IFERROR(IF(OR(NOT(ISNUMBER('Price History'!O33)),NOT(ISNUMBER('Price History'!O32)),'Price History'!O32=0),"",'Price History'!O33/'Price History'!O32-1),"")</f>
        <v>0.00111569786901722</v>
      </c>
      <c r="P32" s="109" t="str">
        <f aca="false">IFERROR(IF(OR(NOT(ISNUMBER('Price History'!P33)),NOT(ISNUMBER('Price History'!P32)),'Price History'!P32=0),"",'Price History'!P33/'Price History'!P32-1),"")</f>
        <v/>
      </c>
      <c r="Q32" s="109" t="n">
        <f aca="false">IFERROR(IF(OR(NOT(ISNUMBER('Price History'!Q33)),NOT(ISNUMBER('Price History'!Q32)),'Price History'!Q32=0),"",'Price History'!Q33/'Price History'!Q32-1),"")</f>
        <v>0.0206147616418186</v>
      </c>
      <c r="R32" s="109" t="n">
        <f aca="false">IFERROR(IF(OR(NOT(ISNUMBER('Price History'!R33)),NOT(ISNUMBER('Price History'!R32)),'Price History'!R32=0),"",'Price History'!R33/'Price History'!R32-1),"")</f>
        <v>-0.00131430717236203</v>
      </c>
      <c r="S32" s="109" t="n">
        <f aca="false">IFERROR(IF(OR(NOT(ISNUMBER('Price History'!S33)),NOT(ISNUMBER('Price History'!S32)),'Price History'!S32=0),"",'Price History'!S33/'Price History'!S32-1),"")</f>
        <v>0.00381194409148655</v>
      </c>
      <c r="T32" s="109" t="n">
        <f aca="false">IFERROR(IF(OR(NOT(ISNUMBER('Price History'!T33)),NOT(ISNUMBER('Price History'!T32)),'Price History'!T32=0),"",'Price History'!T33/'Price History'!T32-1),"")</f>
        <v>0.0195688225538972</v>
      </c>
      <c r="U32" s="109" t="str">
        <f aca="false">IFERROR(IF(OR(NOT(ISNUMBER('Price History'!U33)),NOT(ISNUMBER('Price History'!U32)),'Price History'!U32=0),"",'Price History'!U33/'Price History'!U32-1),"")</f>
        <v/>
      </c>
      <c r="V32" s="110" t="n">
        <f aca="false">IFERROR(IF(OR(NOT(ISNUMBER('Price History'!V33)),NOT(ISNUMBER('Price History'!V32)),'Price History'!V32=0),"",'Price History'!V33/'Price History'!V32-1),"")</f>
        <v>-0.0110119476032819</v>
      </c>
      <c r="W32" s="111" t="n">
        <f aca="false">IFERROR('Price History'!B3+(INDEX('Price History'!B:B,MATCH(9.99E+307,'Price History'!$A:$A))-'Price History'!B3)*(ROW()-3)/(MATCH(9.99E+307,'Returns (Calc)'!$A:$A)-3),"")</f>
        <v>464.322578616352</v>
      </c>
      <c r="X32" s="111" t="n">
        <f aca="false">IFERROR('Price History'!C3+(INDEX('Price History'!C:C,MATCH(9.99E+307,'Price History'!$A:$A))-'Price History'!C3)*(ROW()-3)/(MATCH(9.99E+307,'Returns (Calc)'!$A:$A)-3),"")</f>
        <v>71.105786163522</v>
      </c>
      <c r="Y32" s="111" t="n">
        <f aca="false">IFERROR('Price History'!D3+(INDEX('Price History'!D:D,MATCH(9.99E+307,'Price History'!$A:$A))-'Price History'!D3)*(ROW()-3)/(MATCH(9.99E+307,'Returns (Calc)'!$A:$A)-3),"")</f>
        <v>853.854842767296</v>
      </c>
      <c r="Z32" s="111" t="n">
        <f aca="false">IFERROR('Price History'!E3+(INDEX('Price History'!E:E,MATCH(9.99E+307,'Price History'!$A:$A))-'Price History'!E3)*(ROW()-3)/(MATCH(9.99E+307,'Returns (Calc)'!$A:$A)-3),"")</f>
        <v>133.122641509434</v>
      </c>
      <c r="AA32" s="111" t="n">
        <f aca="false">IFERROR('Price History'!F3+(INDEX('Price History'!F:F,MATCH(9.99E+307,'Price History'!$A:$A))-'Price History'!F3)*(ROW()-3)/(MATCH(9.99E+307,'Returns (Calc)'!$A:$A)-3),"")</f>
        <v>69.1679245283019</v>
      </c>
      <c r="AB32" s="111" t="n">
        <f aca="false">IFERROR('Price History'!G3+(INDEX('Price History'!G:G,MATCH(9.99E+307,'Price History'!$A:$A))-'Price History'!G3)*(ROW()-3)/(MATCH(9.99E+307,'Returns (Calc)'!$A:$A)-3),"")</f>
        <v>73.0150943396226</v>
      </c>
      <c r="AC32" s="111" t="n">
        <f aca="false">IFERROR('Price History'!H3+(INDEX('Price History'!H:H,MATCH(9.99E+307,'Price History'!$A:$A))-'Price History'!H3)*(ROW()-3)/(MATCH(9.99E+307,'Returns (Calc)'!$A:$A)-3),"")</f>
        <v>238.04534591195</v>
      </c>
      <c r="AD32" s="111" t="n">
        <f aca="false">IFERROR('Price History'!I3+(INDEX('Price History'!I:I,MATCH(9.99E+307,'Price History'!$A:$A))-'Price History'!I3)*(ROW()-3)/(MATCH(9.99E+307,'Returns (Calc)'!$A:$A)-3),"")</f>
        <v>75.4147169811321</v>
      </c>
      <c r="AE32" s="111" t="n">
        <f aca="false">IFERROR('Price History'!J3+(INDEX('Price History'!J:J,MATCH(9.99E+307,'Price History'!$A:$A))-'Price History'!J3)*(ROW()-3)/(MATCH(9.99E+307,'Returns (Calc)'!$A:$A)-3),"")</f>
        <v>126.032452830189</v>
      </c>
      <c r="AF32" s="111" t="n">
        <f aca="false">IFERROR('Price History'!K3+(INDEX('Price History'!K:K,MATCH(9.99E+307,'Price History'!$A:$A))-'Price History'!K3)*(ROW()-3)/(MATCH(9.99E+307,'Returns (Calc)'!$A:$A)-3),"")</f>
        <v>44.3954088050315</v>
      </c>
      <c r="AG32" s="111" t="n">
        <f aca="false">IFERROR('Price History'!L3+(INDEX('Price History'!L:L,MATCH(9.99E+307,'Price History'!$A:$A))-'Price History'!L3)*(ROW()-3)/(MATCH(9.99E+307,'Returns (Calc)'!$A:$A)-3),"")</f>
        <v>153.440817610063</v>
      </c>
      <c r="AH32" s="111" t="n">
        <f aca="false">IFERROR('Price History'!M3+(INDEX('Price History'!M:M,MATCH(9.99E+307,'Price History'!$A:$A))-'Price History'!M3)*(ROW()-3)/(MATCH(9.99E+307,'Returns (Calc)'!$A:$A)-3),"")</f>
        <v>78.5639622641509</v>
      </c>
      <c r="AI32" s="111" t="n">
        <f aca="false">IFERROR('Price History'!N3+(INDEX('Price History'!N:N,MATCH(9.99E+307,'Price History'!$A:$A))-'Price History'!N3)*(ROW()-3)/(MATCH(9.99E+307,'Returns (Calc)'!$A:$A)-3),"")</f>
        <v>385.655849056604</v>
      </c>
      <c r="AJ32" s="111" t="n">
        <f aca="false">IFERROR('Price History'!O3+(INDEX('Price History'!O:O,MATCH(9.99E+307,'Price History'!$A:$A))-'Price History'!O3)*(ROW()-3)/(MATCH(9.99E+307,'Returns (Calc)'!$A:$A)-3),"")</f>
        <v>90.889748427673</v>
      </c>
      <c r="AK32" s="111" t="n">
        <f aca="false">IFERROR('Price History'!Q3+(INDEX('Price History'!Q:Q,MATCH(9.99E+307,'Price History'!$A:$A))-'Price History'!Q3)*(ROW()-3)/(MATCH(9.99E+307,'Returns (Calc)'!$A:$A)-3),"")</f>
        <v>53.4659119496855</v>
      </c>
      <c r="AL32" s="111" t="n">
        <f aca="false">IFERROR('Price History'!R3+(INDEX('Price History'!R:R,MATCH(9.99E+307,'Price History'!$A:$A))-'Price History'!R3)*(ROW()-3)/(MATCH(9.99E+307,'Returns (Calc)'!$A:$A)-3),"")</f>
        <v>50.0177987421384</v>
      </c>
      <c r="AM32" s="111" t="n">
        <f aca="false">IFERROR('Price History'!S3+(INDEX('Price History'!S:S,MATCH(9.99E+307,'Price History'!$A:$A))-'Price History'!S3)*(ROW()-3)/(MATCH(9.99E+307,'Returns (Calc)'!$A:$A)-3),"")</f>
        <v>75.1703144654088</v>
      </c>
      <c r="AN32" s="111" t="n">
        <f aca="false">IFERROR('Price History'!T3+(INDEX('Price History'!T:T,MATCH(9.99E+307,'Price History'!$A:$A))-'Price History'!T3)*(ROW()-3)/(MATCH(9.99E+307,'Returns (Calc)'!$A:$A)-3),"")</f>
        <v>32.0862264150943</v>
      </c>
      <c r="AO32" s="112" t="n">
        <f aca="false">IFERROR('Price History'!V3+(INDEX('Price History'!V:V,MATCH(9.99E+307,'Price History'!$A:$A))-'Price History'!V3)*(ROW()-3)/(MATCH(9.99E+307,'Returns (Calc)'!$A:$A)-3),"")</f>
        <v>68.4089937106918</v>
      </c>
    </row>
    <row r="33" customFormat="false" ht="15" hidden="false" customHeight="true" outlineLevel="0" collapsed="false">
      <c r="A33" s="108" t="n">
        <f aca="false">IF('Price History'!A34="","",'Price History'!A34)</f>
        <v>45366</v>
      </c>
      <c r="B33" s="109" t="n">
        <f aca="false">IFERROR(IF(OR(NOT(ISNUMBER('Price History'!B34)),NOT(ISNUMBER('Price History'!B33)),'Price History'!B33=0),"",'Price History'!B34/'Price History'!B33-1),"")</f>
        <v>-0.107361017962987</v>
      </c>
      <c r="C33" s="109" t="n">
        <f aca="false">IFERROR(IF(OR(NOT(ISNUMBER('Price History'!C34)),NOT(ISNUMBER('Price History'!C33)),'Price History'!C33=0),"",'Price History'!C34/'Price History'!C33-1),"")</f>
        <v>0.0168424135910956</v>
      </c>
      <c r="D33" s="109" t="n">
        <f aca="false">IFERROR(IF(OR(NOT(ISNUMBER('Price History'!D34)),NOT(ISNUMBER('Price History'!D33)),'Price History'!D33=0),"",'Price History'!D34/'Price History'!D33-1),"")</f>
        <v>-0.0544286102199471</v>
      </c>
      <c r="E33" s="109" t="n">
        <f aca="false">IFERROR(IF(OR(NOT(ISNUMBER('Price History'!E34)),NOT(ISNUMBER('Price History'!E33)),'Price History'!E33=0),"",'Price History'!E34/'Price History'!E33-1),"")</f>
        <v>-0.0559333689921296</v>
      </c>
      <c r="F33" s="109" t="n">
        <f aca="false">IFERROR(IF(OR(NOT(ISNUMBER('Price History'!F34)),NOT(ISNUMBER('Price History'!F33)),'Price History'!F33=0),"",'Price History'!F34/'Price History'!F33-1),"")</f>
        <v>-0.0223020691364143</v>
      </c>
      <c r="G33" s="109" t="n">
        <f aca="false">IFERROR(IF(OR(NOT(ISNUMBER('Price History'!G34)),NOT(ISNUMBER('Price History'!G33)),'Price History'!G33=0),"",'Price History'!G34/'Price History'!G33-1),"")</f>
        <v>-0.0218821510297483</v>
      </c>
      <c r="H33" s="109" t="n">
        <f aca="false">IFERROR(IF(OR(NOT(ISNUMBER('Price History'!H34)),NOT(ISNUMBER('Price History'!H33)),'Price History'!H33=0),"",'Price History'!H34/'Price History'!H33-1),"")</f>
        <v>-0.0447654169227618</v>
      </c>
      <c r="I33" s="109" t="n">
        <f aca="false">IFERROR(IF(OR(NOT(ISNUMBER('Price History'!I34)),NOT(ISNUMBER('Price History'!I33)),'Price History'!I33=0),"",'Price History'!I34/'Price History'!I33-1),"")</f>
        <v>0.00354164286530345</v>
      </c>
      <c r="J33" s="109" t="n">
        <f aca="false">IFERROR(IF(OR(NOT(ISNUMBER('Price History'!J34)),NOT(ISNUMBER('Price History'!J33)),'Price History'!J33=0),"",'Price History'!J34/'Price History'!J33-1),"")</f>
        <v>-0.0447915895461611</v>
      </c>
      <c r="K33" s="109" t="n">
        <f aca="false">IFERROR(IF(OR(NOT(ISNUMBER('Price History'!K34)),NOT(ISNUMBER('Price History'!K33)),'Price History'!K33=0),"",'Price History'!K34/'Price History'!K33-1),"")</f>
        <v>-0.097926267281106</v>
      </c>
      <c r="L33" s="109" t="n">
        <f aca="false">IFERROR(IF(OR(NOT(ISNUMBER('Price History'!L34)),NOT(ISNUMBER('Price History'!L33)),'Price History'!L33=0),"",'Price History'!L34/'Price History'!L33-1),"")</f>
        <v>-0.0641524902643985</v>
      </c>
      <c r="M33" s="109" t="n">
        <f aca="false">IFERROR(IF(OR(NOT(ISNUMBER('Price History'!M34)),NOT(ISNUMBER('Price History'!M33)),'Price History'!M33=0),"",'Price History'!M34/'Price History'!M33-1),"")</f>
        <v>0.06905002162318</v>
      </c>
      <c r="N33" s="109" t="n">
        <f aca="false">IFERROR(IF(OR(NOT(ISNUMBER('Price History'!N34)),NOT(ISNUMBER('Price History'!N33)),'Price History'!N33=0),"",'Price History'!N34/'Price History'!N33-1),"")</f>
        <v>-0.014265335235378</v>
      </c>
      <c r="O33" s="109" t="n">
        <f aca="false">IFERROR(IF(OR(NOT(ISNUMBER('Price History'!O34)),NOT(ISNUMBER('Price History'!O33)),'Price History'!O33=0),"",'Price History'!O34/'Price History'!O33-1),"")</f>
        <v>-0.00846985400646394</v>
      </c>
      <c r="P33" s="109" t="str">
        <f aca="false">IFERROR(IF(OR(NOT(ISNUMBER('Price History'!P34)),NOT(ISNUMBER('Price History'!P33)),'Price History'!P33=0),"",'Price History'!P34/'Price History'!P33-1),"")</f>
        <v/>
      </c>
      <c r="Q33" s="109" t="n">
        <f aca="false">IFERROR(IF(OR(NOT(ISNUMBER('Price History'!Q34)),NOT(ISNUMBER('Price History'!Q33)),'Price History'!Q33=0),"",'Price History'!Q34/'Price History'!Q33-1),"")</f>
        <v>0.00414788097385022</v>
      </c>
      <c r="R33" s="109" t="n">
        <f aca="false">IFERROR(IF(OR(NOT(ISNUMBER('Price History'!R34)),NOT(ISNUMBER('Price History'!R33)),'Price History'!R33=0),"",'Price History'!R34/'Price History'!R33-1),"")</f>
        <v>-0.00526414739612713</v>
      </c>
      <c r="S33" s="109" t="n">
        <f aca="false">IFERROR(IF(OR(NOT(ISNUMBER('Price History'!S34)),NOT(ISNUMBER('Price History'!S33)),'Price History'!S33=0),"",'Price History'!S34/'Price History'!S33-1),"")</f>
        <v>-0.00518987341772148</v>
      </c>
      <c r="T33" s="109" t="n">
        <f aca="false">IFERROR(IF(OR(NOT(ISNUMBER('Price History'!T34)),NOT(ISNUMBER('Price History'!T33)),'Price History'!T33=0),"",'Price History'!T34/'Price History'!T33-1),"")</f>
        <v>0.0136629798308394</v>
      </c>
      <c r="U33" s="109" t="str">
        <f aca="false">IFERROR(IF(OR(NOT(ISNUMBER('Price History'!U34)),NOT(ISNUMBER('Price History'!U33)),'Price History'!U33=0),"",'Price History'!U34/'Price History'!U33-1),"")</f>
        <v/>
      </c>
      <c r="V33" s="110" t="n">
        <f aca="false">IFERROR(IF(OR(NOT(ISNUMBER('Price History'!V34)),NOT(ISNUMBER('Price History'!V33)),'Price History'!V33=0),"",'Price History'!V34/'Price History'!V33-1),"")</f>
        <v>0.0106979113601631</v>
      </c>
      <c r="W33" s="111" t="n">
        <f aca="false">IFERROR('Price History'!B3+(INDEX('Price History'!B:B,MATCH(9.99E+307,'Price History'!$A:$A))-'Price History'!B3)*(ROW()-3)/(MATCH(9.99E+307,'Returns (Calc)'!$A:$A)-3),"")</f>
        <v>462.800943396226</v>
      </c>
      <c r="X33" s="111" t="n">
        <f aca="false">IFERROR('Price History'!C3+(INDEX('Price History'!C:C,MATCH(9.99E+307,'Price History'!$A:$A))-'Price History'!C3)*(ROW()-3)/(MATCH(9.99E+307,'Returns (Calc)'!$A:$A)-3),"")</f>
        <v>72.0494339622642</v>
      </c>
      <c r="Y33" s="111" t="n">
        <f aca="false">IFERROR('Price History'!D3+(INDEX('Price History'!D:D,MATCH(9.99E+307,'Price History'!$A:$A))-'Price History'!D3)*(ROW()-3)/(MATCH(9.99E+307,'Returns (Calc)'!$A:$A)-3),"")</f>
        <v>860.478113207547</v>
      </c>
      <c r="Z33" s="111" t="n">
        <f aca="false">IFERROR('Price History'!E3+(INDEX('Price History'!E:E,MATCH(9.99E+307,'Price History'!$A:$A))-'Price History'!E3)*(ROW()-3)/(MATCH(9.99E+307,'Returns (Calc)'!$A:$A)-3),"")</f>
        <v>134.851698113208</v>
      </c>
      <c r="AA33" s="111" t="n">
        <f aca="false">IFERROR('Price History'!F3+(INDEX('Price History'!F:F,MATCH(9.99E+307,'Price History'!$A:$A))-'Price History'!F3)*(ROW()-3)/(MATCH(9.99E+307,'Returns (Calc)'!$A:$A)-3),"")</f>
        <v>70.2750943396226</v>
      </c>
      <c r="AB33" s="111" t="n">
        <f aca="false">IFERROR('Price History'!G3+(INDEX('Price History'!G:G,MATCH(9.99E+307,'Price History'!$A:$A))-'Price History'!G3)*(ROW()-3)/(MATCH(9.99E+307,'Returns (Calc)'!$A:$A)-3),"")</f>
        <v>73.8811320754717</v>
      </c>
      <c r="AC33" s="111" t="n">
        <f aca="false">IFERROR('Price History'!H3+(INDEX('Price History'!H:H,MATCH(9.99E+307,'Price History'!$A:$A))-'Price History'!H3)*(ROW()-3)/(MATCH(9.99E+307,'Returns (Calc)'!$A:$A)-3),"")</f>
        <v>244.034150943396</v>
      </c>
      <c r="AD33" s="111" t="n">
        <f aca="false">IFERROR('Price History'!I3+(INDEX('Price History'!I:I,MATCH(9.99E+307,'Price History'!$A:$A))-'Price History'!I3)*(ROW()-3)/(MATCH(9.99E+307,'Returns (Calc)'!$A:$A)-3),"")</f>
        <v>76.6066037735849</v>
      </c>
      <c r="AE33" s="111" t="n">
        <f aca="false">IFERROR('Price History'!J3+(INDEX('Price History'!J:J,MATCH(9.99E+307,'Price History'!$A:$A))-'Price History'!J3)*(ROW()-3)/(MATCH(9.99E+307,'Returns (Calc)'!$A:$A)-3),"")</f>
        <v>126.119433962264</v>
      </c>
      <c r="AF33" s="111" t="n">
        <f aca="false">IFERROR('Price History'!K3+(INDEX('Price History'!K:K,MATCH(9.99E+307,'Price History'!$A:$A))-'Price History'!K3)*(ROW()-3)/(MATCH(9.99E+307,'Returns (Calc)'!$A:$A)-3),"")</f>
        <v>45.3949056603774</v>
      </c>
      <c r="AG33" s="111" t="n">
        <f aca="false">IFERROR('Price History'!L3+(INDEX('Price History'!L:L,MATCH(9.99E+307,'Price History'!$A:$A))-'Price History'!L3)*(ROW()-3)/(MATCH(9.99E+307,'Returns (Calc)'!$A:$A)-3),"")</f>
        <v>155.559811320755</v>
      </c>
      <c r="AH33" s="111" t="n">
        <f aca="false">IFERROR('Price History'!M3+(INDEX('Price History'!M:M,MATCH(9.99E+307,'Price History'!$A:$A))-'Price History'!M3)*(ROW()-3)/(MATCH(9.99E+307,'Returns (Calc)'!$A:$A)-3),"")</f>
        <v>80.1175471698113</v>
      </c>
      <c r="AI33" s="111" t="n">
        <f aca="false">IFERROR('Price History'!N3+(INDEX('Price History'!N:N,MATCH(9.99E+307,'Price History'!$A:$A))-'Price History'!N3)*(ROW()-3)/(MATCH(9.99E+307,'Returns (Calc)'!$A:$A)-3),"")</f>
        <v>386.890188679245</v>
      </c>
      <c r="AJ33" s="111" t="n">
        <f aca="false">IFERROR('Price History'!O3+(INDEX('Price History'!O:O,MATCH(9.99E+307,'Price History'!$A:$A))-'Price History'!O3)*(ROW()-3)/(MATCH(9.99E+307,'Returns (Calc)'!$A:$A)-3),"")</f>
        <v>91.1669811320755</v>
      </c>
      <c r="AK33" s="111" t="n">
        <f aca="false">IFERROR('Price History'!Q3+(INDEX('Price History'!Q:Q,MATCH(9.99E+307,'Price History'!$A:$A))-'Price History'!Q3)*(ROW()-3)/(MATCH(9.99E+307,'Returns (Calc)'!$A:$A)-3),"")</f>
        <v>53.5909433962264</v>
      </c>
      <c r="AL33" s="111" t="n">
        <f aca="false">IFERROR('Price History'!R3+(INDEX('Price History'!R:R,MATCH(9.99E+307,'Price History'!$A:$A))-'Price History'!R3)*(ROW()-3)/(MATCH(9.99E+307,'Returns (Calc)'!$A:$A)-3),"")</f>
        <v>50.0935849056604</v>
      </c>
      <c r="AM33" s="111" t="n">
        <f aca="false">IFERROR('Price History'!S3+(INDEX('Price History'!S:S,MATCH(9.99E+307,'Price History'!$A:$A))-'Price History'!S3)*(ROW()-3)/(MATCH(9.99E+307,'Returns (Calc)'!$A:$A)-3),"")</f>
        <v>75.7437735849057</v>
      </c>
      <c r="AN33" s="111" t="n">
        <f aca="false">IFERROR('Price History'!T3+(INDEX('Price History'!T:T,MATCH(9.99E+307,'Price History'!$A:$A))-'Price History'!T3)*(ROW()-3)/(MATCH(9.99E+307,'Returns (Calc)'!$A:$A)-3),"")</f>
        <v>32.2647169811321</v>
      </c>
      <c r="AO33" s="112" t="n">
        <f aca="false">IFERROR('Price History'!V3+(INDEX('Price History'!V:V,MATCH(9.99E+307,'Price History'!$A:$A))-'Price History'!V3)*(ROW()-3)/(MATCH(9.99E+307,'Returns (Calc)'!$A:$A)-3),"")</f>
        <v>70.7679245283019</v>
      </c>
    </row>
    <row r="34" customFormat="false" ht="15" hidden="false" customHeight="true" outlineLevel="0" collapsed="false">
      <c r="A34" s="108" t="n">
        <f aca="false">IF('Price History'!A35="","",'Price History'!A35)</f>
        <v>45373</v>
      </c>
      <c r="B34" s="109" t="n">
        <f aca="false">IFERROR(IF(OR(NOT(ISNUMBER('Price History'!B35)),NOT(ISNUMBER('Price History'!B34)),'Price History'!B34=0),"",'Price History'!B35/'Price History'!B34-1),"")</f>
        <v>0.0143361897412988</v>
      </c>
      <c r="C34" s="109" t="n">
        <f aca="false">IFERROR(IF(OR(NOT(ISNUMBER('Price History'!C35)),NOT(ISNUMBER('Price History'!C34)),'Price History'!C34=0),"",'Price History'!C35/'Price History'!C34-1),"")</f>
        <v>0.103413510010082</v>
      </c>
      <c r="D34" s="109" t="n">
        <f aca="false">IFERROR(IF(OR(NOT(ISNUMBER('Price History'!D35)),NOT(ISNUMBER('Price History'!D34)),'Price History'!D34=0),"",'Price History'!D35/'Price History'!D34-1),"")</f>
        <v>0.042277789004584</v>
      </c>
      <c r="E34" s="109" t="n">
        <f aca="false">IFERROR(IF(OR(NOT(ISNUMBER('Price History'!E35)),NOT(ISNUMBER('Price History'!E34)),'Price History'!E34=0),"",'Price History'!E35/'Price History'!E34-1),"")</f>
        <v>0.0955078915418859</v>
      </c>
      <c r="F34" s="109" t="n">
        <f aca="false">IFERROR(IF(OR(NOT(ISNUMBER('Price History'!F35)),NOT(ISNUMBER('Price History'!F34)),'Price History'!F34=0),"",'Price History'!F35/'Price History'!F34-1),"")</f>
        <v>0.0378912685337727</v>
      </c>
      <c r="G34" s="109" t="n">
        <f aca="false">IFERROR(IF(OR(NOT(ISNUMBER('Price History'!G35)),NOT(ISNUMBER('Price History'!G34)),'Price History'!G34=0),"",'Price History'!G35/'Price History'!G34-1),"")</f>
        <v>0.0390407954379295</v>
      </c>
      <c r="H34" s="109" t="n">
        <f aca="false">IFERROR(IF(OR(NOT(ISNUMBER('Price History'!H35)),NOT(ISNUMBER('Price History'!H34)),'Price History'!H34=0),"",'Price History'!H35/'Price History'!H34-1),"")</f>
        <v>0.181876675603217</v>
      </c>
      <c r="I34" s="109" t="n">
        <f aca="false">IFERROR(IF(OR(NOT(ISNUMBER('Price History'!I35)),NOT(ISNUMBER('Price History'!I34)),'Price History'!I34=0),"",'Price History'!I35/'Price History'!I34-1),"")</f>
        <v>0.0734289617486339</v>
      </c>
      <c r="J34" s="109" t="n">
        <f aca="false">IFERROR(IF(OR(NOT(ISNUMBER('Price History'!J35)),NOT(ISNUMBER('Price History'!J34)),'Price History'!J34=0),"",'Price History'!J35/'Price History'!J34-1),"")</f>
        <v>-0.00310029452798022</v>
      </c>
      <c r="K34" s="109" t="n">
        <f aca="false">IFERROR(IF(OR(NOT(ISNUMBER('Price History'!K35)),NOT(ISNUMBER('Price History'!K34)),'Price History'!K34=0),"",'Price History'!K35/'Price History'!K34-1),"")</f>
        <v>0.029374201787995</v>
      </c>
      <c r="L34" s="109" t="n">
        <f aca="false">IFERROR(IF(OR(NOT(ISNUMBER('Price History'!L35)),NOT(ISNUMBER('Price History'!L34)),'Price History'!L34=0),"",'Price History'!L35/'Price History'!L34-1),"")</f>
        <v>0.0259891955029932</v>
      </c>
      <c r="M34" s="109" t="n">
        <f aca="false">IFERROR(IF(OR(NOT(ISNUMBER('Price History'!M35)),NOT(ISNUMBER('Price History'!M34)),'Price History'!M34=0),"",'Price History'!M35/'Price History'!M34-1),"")</f>
        <v>0.112459546925566</v>
      </c>
      <c r="N34" s="109" t="n">
        <f aca="false">IFERROR(IF(OR(NOT(ISNUMBER('Price History'!N35)),NOT(ISNUMBER('Price History'!N34)),'Price History'!N34=0),"",'Price History'!N35/'Price History'!N34-1),"")</f>
        <v>0.0195491672594375</v>
      </c>
      <c r="O34" s="109" t="n">
        <f aca="false">IFERROR(IF(OR(NOT(ISNUMBER('Price History'!O35)),NOT(ISNUMBER('Price History'!O34)),'Price History'!O34=0),"",'Price History'!O35/'Price History'!O34-1),"")</f>
        <v>0.0239406541530853</v>
      </c>
      <c r="P34" s="109" t="str">
        <f aca="false">IFERROR(IF(OR(NOT(ISNUMBER('Price History'!P35)),NOT(ISNUMBER('Price History'!P34)),'Price History'!P34=0),"",'Price History'!P35/'Price History'!P34-1),"")</f>
        <v/>
      </c>
      <c r="Q34" s="109" t="n">
        <f aca="false">IFERROR(IF(OR(NOT(ISNUMBER('Price History'!Q35)),NOT(ISNUMBER('Price History'!Q34)),'Price History'!Q34=0),"",'Price History'!Q35/'Price History'!Q34-1),"")</f>
        <v>0.0154454022988506</v>
      </c>
      <c r="R34" s="109" t="n">
        <f aca="false">IFERROR(IF(OR(NOT(ISNUMBER('Price History'!R35)),NOT(ISNUMBER('Price History'!R34)),'Price History'!R34=0),"",'Price History'!R35/'Price History'!R34-1),"")</f>
        <v>0.0255150255150256</v>
      </c>
      <c r="S34" s="109" t="n">
        <f aca="false">IFERROR(IF(OR(NOT(ISNUMBER('Price History'!S35)),NOT(ISNUMBER('Price History'!S34)),'Price History'!S34=0),"",'Price History'!S35/'Price History'!S34-1),"")</f>
        <v>0.028502353989057</v>
      </c>
      <c r="T34" s="109" t="n">
        <f aca="false">IFERROR(IF(OR(NOT(ISNUMBER('Price History'!T35)),NOT(ISNUMBER('Price History'!T34)),'Price History'!T34=0),"",'Price History'!T35/'Price History'!T34-1),"")</f>
        <v>0.0240693196405648</v>
      </c>
      <c r="U34" s="109" t="str">
        <f aca="false">IFERROR(IF(OR(NOT(ISNUMBER('Price History'!U35)),NOT(ISNUMBER('Price History'!U34)),'Price History'!U34=0),"",'Price History'!U35/'Price History'!U34-1),"")</f>
        <v/>
      </c>
      <c r="V34" s="110" t="n">
        <f aca="false">IFERROR(IF(OR(NOT(ISNUMBER('Price History'!V35)),NOT(ISNUMBER('Price History'!V34)),'Price History'!V34=0),"",'Price History'!V35/'Price History'!V34-1),"")</f>
        <v>0.000792050691244439</v>
      </c>
      <c r="W34" s="111" t="n">
        <f aca="false">IFERROR('Price History'!B3+(INDEX('Price History'!B:B,MATCH(9.99E+307,'Price History'!$A:$A))-'Price History'!B3)*(ROW()-3)/(MATCH(9.99E+307,'Returns (Calc)'!$A:$A)-3),"")</f>
        <v>461.279308176101</v>
      </c>
      <c r="X34" s="111" t="n">
        <f aca="false">IFERROR('Price History'!C3+(INDEX('Price History'!C:C,MATCH(9.99E+307,'Price History'!$A:$A))-'Price History'!C3)*(ROW()-3)/(MATCH(9.99E+307,'Returns (Calc)'!$A:$A)-3),"")</f>
        <v>72.9930817610063</v>
      </c>
      <c r="Y34" s="111" t="n">
        <f aca="false">IFERROR('Price History'!D3+(INDEX('Price History'!D:D,MATCH(9.99E+307,'Price History'!$A:$A))-'Price History'!D3)*(ROW()-3)/(MATCH(9.99E+307,'Returns (Calc)'!$A:$A)-3),"")</f>
        <v>867.101383647799</v>
      </c>
      <c r="Z34" s="111" t="n">
        <f aca="false">IFERROR('Price History'!E3+(INDEX('Price History'!E:E,MATCH(9.99E+307,'Price History'!$A:$A))-'Price History'!E3)*(ROW()-3)/(MATCH(9.99E+307,'Returns (Calc)'!$A:$A)-3),"")</f>
        <v>136.580754716981</v>
      </c>
      <c r="AA34" s="111" t="n">
        <f aca="false">IFERROR('Price History'!F3+(INDEX('Price History'!F:F,MATCH(9.99E+307,'Price History'!$A:$A))-'Price History'!F3)*(ROW()-3)/(MATCH(9.99E+307,'Returns (Calc)'!$A:$A)-3),"")</f>
        <v>71.3822641509434</v>
      </c>
      <c r="AB34" s="111" t="n">
        <f aca="false">IFERROR('Price History'!G3+(INDEX('Price History'!G:G,MATCH(9.99E+307,'Price History'!$A:$A))-'Price History'!G3)*(ROW()-3)/(MATCH(9.99E+307,'Returns (Calc)'!$A:$A)-3),"")</f>
        <v>74.7471698113208</v>
      </c>
      <c r="AC34" s="111" t="n">
        <f aca="false">IFERROR('Price History'!H3+(INDEX('Price History'!H:H,MATCH(9.99E+307,'Price History'!$A:$A))-'Price History'!H3)*(ROW()-3)/(MATCH(9.99E+307,'Returns (Calc)'!$A:$A)-3),"")</f>
        <v>250.022955974843</v>
      </c>
      <c r="AD34" s="111" t="n">
        <f aca="false">IFERROR('Price History'!I3+(INDEX('Price History'!I:I,MATCH(9.99E+307,'Price History'!$A:$A))-'Price History'!I3)*(ROW()-3)/(MATCH(9.99E+307,'Returns (Calc)'!$A:$A)-3),"")</f>
        <v>77.7984905660377</v>
      </c>
      <c r="AE34" s="111" t="n">
        <f aca="false">IFERROR('Price History'!J3+(INDEX('Price History'!J:J,MATCH(9.99E+307,'Price History'!$A:$A))-'Price History'!J3)*(ROW()-3)/(MATCH(9.99E+307,'Returns (Calc)'!$A:$A)-3),"")</f>
        <v>126.20641509434</v>
      </c>
      <c r="AF34" s="111" t="n">
        <f aca="false">IFERROR('Price History'!K3+(INDEX('Price History'!K:K,MATCH(9.99E+307,'Price History'!$A:$A))-'Price History'!K3)*(ROW()-3)/(MATCH(9.99E+307,'Returns (Calc)'!$A:$A)-3),"")</f>
        <v>46.3944025157233</v>
      </c>
      <c r="AG34" s="111" t="n">
        <f aca="false">IFERROR('Price History'!L3+(INDEX('Price History'!L:L,MATCH(9.99E+307,'Price History'!$A:$A))-'Price History'!L3)*(ROW()-3)/(MATCH(9.99E+307,'Returns (Calc)'!$A:$A)-3),"")</f>
        <v>157.678805031447</v>
      </c>
      <c r="AH34" s="111" t="n">
        <f aca="false">IFERROR('Price History'!M3+(INDEX('Price History'!M:M,MATCH(9.99E+307,'Price History'!$A:$A))-'Price History'!M3)*(ROW()-3)/(MATCH(9.99E+307,'Returns (Calc)'!$A:$A)-3),"")</f>
        <v>81.6711320754717</v>
      </c>
      <c r="AI34" s="111" t="n">
        <f aca="false">IFERROR('Price History'!N3+(INDEX('Price History'!N:N,MATCH(9.99E+307,'Price History'!$A:$A))-'Price History'!N3)*(ROW()-3)/(MATCH(9.99E+307,'Returns (Calc)'!$A:$A)-3),"")</f>
        <v>388.124528301887</v>
      </c>
      <c r="AJ34" s="111" t="n">
        <f aca="false">IFERROR('Price History'!O3+(INDEX('Price History'!O:O,MATCH(9.99E+307,'Price History'!$A:$A))-'Price History'!O3)*(ROW()-3)/(MATCH(9.99E+307,'Returns (Calc)'!$A:$A)-3),"")</f>
        <v>91.444213836478</v>
      </c>
      <c r="AK34" s="111" t="n">
        <f aca="false">IFERROR('Price History'!Q3+(INDEX('Price History'!Q:Q,MATCH(9.99E+307,'Price History'!$A:$A))-'Price History'!Q3)*(ROW()-3)/(MATCH(9.99E+307,'Returns (Calc)'!$A:$A)-3),"")</f>
        <v>53.7159748427673</v>
      </c>
      <c r="AL34" s="111" t="n">
        <f aca="false">IFERROR('Price History'!R3+(INDEX('Price History'!R:R,MATCH(9.99E+307,'Price History'!$A:$A))-'Price History'!R3)*(ROW()-3)/(MATCH(9.99E+307,'Returns (Calc)'!$A:$A)-3),"")</f>
        <v>50.1693710691824</v>
      </c>
      <c r="AM34" s="111" t="n">
        <f aca="false">IFERROR('Price History'!S3+(INDEX('Price History'!S:S,MATCH(9.99E+307,'Price History'!$A:$A))-'Price History'!S3)*(ROW()-3)/(MATCH(9.99E+307,'Returns (Calc)'!$A:$A)-3),"")</f>
        <v>76.3172327044025</v>
      </c>
      <c r="AN34" s="111" t="n">
        <f aca="false">IFERROR('Price History'!T3+(INDEX('Price History'!T:T,MATCH(9.99E+307,'Price History'!$A:$A))-'Price History'!T3)*(ROW()-3)/(MATCH(9.99E+307,'Returns (Calc)'!$A:$A)-3),"")</f>
        <v>32.4432075471698</v>
      </c>
      <c r="AO34" s="112" t="n">
        <f aca="false">IFERROR('Price History'!V3+(INDEX('Price History'!V:V,MATCH(9.99E+307,'Price History'!$A:$A))-'Price History'!V3)*(ROW()-3)/(MATCH(9.99E+307,'Returns (Calc)'!$A:$A)-3),"")</f>
        <v>73.126855345912</v>
      </c>
    </row>
    <row r="35" customFormat="false" ht="15" hidden="false" customHeight="true" outlineLevel="0" collapsed="false">
      <c r="A35" s="108" t="n">
        <f aca="false">IF('Price History'!A36="","",'Price History'!A36)</f>
        <v>45379</v>
      </c>
      <c r="B35" s="109" t="n">
        <f aca="false">IFERROR(IF(OR(NOT(ISNUMBER('Price History'!B36)),NOT(ISNUMBER('Price History'!B35)),'Price History'!B35=0),"",'Price History'!B36/'Price History'!B35-1),"")</f>
        <v>0.0101697629724535</v>
      </c>
      <c r="C35" s="109" t="n">
        <f aca="false">IFERROR(IF(OR(NOT(ISNUMBER('Price History'!C36)),NOT(ISNUMBER('Price History'!C35)),'Price History'!C35=0),"",'Price History'!C36/'Price History'!C35-1),"")</f>
        <v>-0.0536483487795327</v>
      </c>
      <c r="D35" s="109" t="n">
        <f aca="false">IFERROR(IF(OR(NOT(ISNUMBER('Price History'!D36)),NOT(ISNUMBER('Price History'!D35)),'Price History'!D35=0),"",'Price History'!D36/'Price History'!D35-1),"")</f>
        <v>-0.0096840687374995</v>
      </c>
      <c r="E35" s="109" t="n">
        <f aca="false">IFERROR(IF(OR(NOT(ISNUMBER('Price History'!E36)),NOT(ISNUMBER('Price History'!E35)),'Price History'!E35=0),"",'Price History'!E36/'Price History'!E35-1),"")</f>
        <v>-0.0207609900258589</v>
      </c>
      <c r="F35" s="109" t="n">
        <f aca="false">IFERROR(IF(OR(NOT(ISNUMBER('Price History'!F36)),NOT(ISNUMBER('Price History'!F35)),'Price History'!F35=0),"",'Price History'!F36/'Price History'!F35-1),"")</f>
        <v>-0.0213675213675214</v>
      </c>
      <c r="G35" s="109" t="n">
        <f aca="false">IFERROR(IF(OR(NOT(ISNUMBER('Price History'!G36)),NOT(ISNUMBER('Price History'!G35)),'Price History'!G35=0),"",'Price History'!G36/'Price History'!G35-1),"")</f>
        <v>-0.0168871376301717</v>
      </c>
      <c r="H35" s="109" t="n">
        <f aca="false">IFERROR(IF(OR(NOT(ISNUMBER('Price History'!H36)),NOT(ISNUMBER('Price History'!H35)),'Price History'!H35=0),"",'Price History'!H36/'Price History'!H35-1),"")</f>
        <v>0.0696851465384267</v>
      </c>
      <c r="I35" s="109" t="n">
        <f aca="false">IFERROR(IF(OR(NOT(ISNUMBER('Price History'!I36)),NOT(ISNUMBER('Price History'!I35)),'Price History'!I35=0),"",'Price History'!I36/'Price History'!I35-1),"")</f>
        <v>-0.0416799236398346</v>
      </c>
      <c r="J35" s="109" t="n">
        <f aca="false">IFERROR(IF(OR(NOT(ISNUMBER('Price History'!J36)),NOT(ISNUMBER('Price History'!J35)),'Price History'!J35=0),"",'Price History'!J36/'Price History'!J35-1),"")</f>
        <v>0.0124397449852278</v>
      </c>
      <c r="K35" s="109" t="n">
        <f aca="false">IFERROR(IF(OR(NOT(ISNUMBER('Price History'!K36)),NOT(ISNUMBER('Price History'!K35)),'Price History'!K35=0),"",'Price History'!K36/'Price History'!K35-1),"")</f>
        <v>-0.0483870967741935</v>
      </c>
      <c r="L35" s="109" t="n">
        <f aca="false">IFERROR(IF(OR(NOT(ISNUMBER('Price History'!L36)),NOT(ISNUMBER('Price History'!L35)),'Price History'!L35=0),"",'Price History'!L36/'Price History'!L35-1),"")</f>
        <v>-0.0319481998007684</v>
      </c>
      <c r="M35" s="109" t="n">
        <f aca="false">IFERROR(IF(OR(NOT(ISNUMBER('Price History'!M36)),NOT(ISNUMBER('Price History'!M35)),'Price History'!M35=0),"",'Price History'!M36/'Price History'!M35-1),"")</f>
        <v>-0.010060606060606</v>
      </c>
      <c r="N35" s="109" t="n">
        <f aca="false">IFERROR(IF(OR(NOT(ISNUMBER('Price History'!N36)),NOT(ISNUMBER('Price History'!N35)),'Price History'!N35=0),"",'Price History'!N36/'Price History'!N35-1),"")</f>
        <v>0.00565365924072547</v>
      </c>
      <c r="O35" s="109" t="n">
        <f aca="false">IFERROR(IF(OR(NOT(ISNUMBER('Price History'!O36)),NOT(ISNUMBER('Price History'!O35)),'Price History'!O35=0),"",'Price History'!O36/'Price History'!O35-1),"")</f>
        <v>0.0286498353457738</v>
      </c>
      <c r="P35" s="109" t="str">
        <f aca="false">IFERROR(IF(OR(NOT(ISNUMBER('Price History'!P36)),NOT(ISNUMBER('Price History'!P35)),'Price History'!P35=0),"",'Price History'!P36/'Price History'!P35-1),"")</f>
        <v/>
      </c>
      <c r="Q35" s="109" t="n">
        <f aca="false">IFERROR(IF(OR(NOT(ISNUMBER('Price History'!Q36)),NOT(ISNUMBER('Price History'!Q35)),'Price History'!Q35=0),"",'Price History'!Q36/'Price History'!Q35-1),"")</f>
        <v>0.0107888220728687</v>
      </c>
      <c r="R35" s="109" t="n">
        <f aca="false">IFERROR(IF(OR(NOT(ISNUMBER('Price History'!R36)),NOT(ISNUMBER('Price History'!R35)),'Price History'!R35=0),"",'Price History'!R36/'Price History'!R35-1),"")</f>
        <v>-0.000368595650571235</v>
      </c>
      <c r="S35" s="109" t="n">
        <f aca="false">IFERROR(IF(OR(NOT(ISNUMBER('Price History'!S36)),NOT(ISNUMBER('Price History'!S35)),'Price History'!S35=0),"",'Price History'!S36/'Price History'!S35-1),"")</f>
        <v>-0.00754670295682292</v>
      </c>
      <c r="T35" s="109" t="n">
        <f aca="false">IFERROR(IF(OR(NOT(ISNUMBER('Price History'!T36)),NOT(ISNUMBER('Price History'!T35)),'Price History'!T35=0),"",'Price History'!T36/'Price History'!T35-1),"")</f>
        <v>0.0156690692572861</v>
      </c>
      <c r="U35" s="109" t="str">
        <f aca="false">IFERROR(IF(OR(NOT(ISNUMBER('Price History'!U36)),NOT(ISNUMBER('Price History'!U35)),'Price History'!U35=0),"",'Price History'!U36/'Price History'!U35-1),"")</f>
        <v/>
      </c>
      <c r="V35" s="110" t="str">
        <f aca="false">IFERROR(IF(OR(NOT(ISNUMBER('Price History'!V36)),NOT(ISNUMBER('Price History'!V35)),'Price History'!V35=0),"",'Price History'!V36/'Price History'!V35-1),"")</f>
        <v/>
      </c>
      <c r="W35" s="111" t="n">
        <f aca="false">IFERROR('Price History'!B3+(INDEX('Price History'!B:B,MATCH(9.99E+307,'Price History'!$A:$A))-'Price History'!B3)*(ROW()-3)/(MATCH(9.99E+307,'Returns (Calc)'!$A:$A)-3),"")</f>
        <v>459.757672955975</v>
      </c>
      <c r="X35" s="111" t="n">
        <f aca="false">IFERROR('Price History'!C3+(INDEX('Price History'!C:C,MATCH(9.99E+307,'Price History'!$A:$A))-'Price History'!C3)*(ROW()-3)/(MATCH(9.99E+307,'Returns (Calc)'!$A:$A)-3),"")</f>
        <v>73.9367295597484</v>
      </c>
      <c r="Y35" s="111" t="n">
        <f aca="false">IFERROR('Price History'!D3+(INDEX('Price History'!D:D,MATCH(9.99E+307,'Price History'!$A:$A))-'Price History'!D3)*(ROW()-3)/(MATCH(9.99E+307,'Returns (Calc)'!$A:$A)-3),"")</f>
        <v>873.72465408805</v>
      </c>
      <c r="Z35" s="111" t="n">
        <f aca="false">IFERROR('Price History'!E3+(INDEX('Price History'!E:E,MATCH(9.99E+307,'Price History'!$A:$A))-'Price History'!E3)*(ROW()-3)/(MATCH(9.99E+307,'Returns (Calc)'!$A:$A)-3),"")</f>
        <v>138.309811320755</v>
      </c>
      <c r="AA35" s="111" t="n">
        <f aca="false">IFERROR('Price History'!F3+(INDEX('Price History'!F:F,MATCH(9.99E+307,'Price History'!$A:$A))-'Price History'!F3)*(ROW()-3)/(MATCH(9.99E+307,'Returns (Calc)'!$A:$A)-3),"")</f>
        <v>72.4894339622641</v>
      </c>
      <c r="AB35" s="111" t="n">
        <f aca="false">IFERROR('Price History'!G3+(INDEX('Price History'!G:G,MATCH(9.99E+307,'Price History'!$A:$A))-'Price History'!G3)*(ROW()-3)/(MATCH(9.99E+307,'Returns (Calc)'!$A:$A)-3),"")</f>
        <v>75.6132075471698</v>
      </c>
      <c r="AC35" s="111" t="n">
        <f aca="false">IFERROR('Price History'!H3+(INDEX('Price History'!H:H,MATCH(9.99E+307,'Price History'!$A:$A))-'Price History'!H3)*(ROW()-3)/(MATCH(9.99E+307,'Returns (Calc)'!$A:$A)-3),"")</f>
        <v>256.011761006289</v>
      </c>
      <c r="AD35" s="111" t="n">
        <f aca="false">IFERROR('Price History'!I3+(INDEX('Price History'!I:I,MATCH(9.99E+307,'Price History'!$A:$A))-'Price History'!I3)*(ROW()-3)/(MATCH(9.99E+307,'Returns (Calc)'!$A:$A)-3),"")</f>
        <v>78.9903773584906</v>
      </c>
      <c r="AE35" s="111" t="n">
        <f aca="false">IFERROR('Price History'!J3+(INDEX('Price History'!J:J,MATCH(9.99E+307,'Price History'!$A:$A))-'Price History'!J3)*(ROW()-3)/(MATCH(9.99E+307,'Returns (Calc)'!$A:$A)-3),"")</f>
        <v>126.293396226415</v>
      </c>
      <c r="AF35" s="111" t="n">
        <f aca="false">IFERROR('Price History'!K3+(INDEX('Price History'!K:K,MATCH(9.99E+307,'Price History'!$A:$A))-'Price History'!K3)*(ROW()-3)/(MATCH(9.99E+307,'Returns (Calc)'!$A:$A)-3),"")</f>
        <v>47.3938993710692</v>
      </c>
      <c r="AG35" s="111" t="n">
        <f aca="false">IFERROR('Price History'!L3+(INDEX('Price History'!L:L,MATCH(9.99E+307,'Price History'!$A:$A))-'Price History'!L3)*(ROW()-3)/(MATCH(9.99E+307,'Returns (Calc)'!$A:$A)-3),"")</f>
        <v>159.797798742138</v>
      </c>
      <c r="AH35" s="111" t="n">
        <f aca="false">IFERROR('Price History'!M3+(INDEX('Price History'!M:M,MATCH(9.99E+307,'Price History'!$A:$A))-'Price History'!M3)*(ROW()-3)/(MATCH(9.99E+307,'Returns (Calc)'!$A:$A)-3),"")</f>
        <v>83.2247169811321</v>
      </c>
      <c r="AI35" s="111" t="n">
        <f aca="false">IFERROR('Price History'!N3+(INDEX('Price History'!N:N,MATCH(9.99E+307,'Price History'!$A:$A))-'Price History'!N3)*(ROW()-3)/(MATCH(9.99E+307,'Returns (Calc)'!$A:$A)-3),"")</f>
        <v>389.358867924528</v>
      </c>
      <c r="AJ35" s="111" t="n">
        <f aca="false">IFERROR('Price History'!O3+(INDEX('Price History'!O:O,MATCH(9.99E+307,'Price History'!$A:$A))-'Price History'!O3)*(ROW()-3)/(MATCH(9.99E+307,'Returns (Calc)'!$A:$A)-3),"")</f>
        <v>91.7214465408805</v>
      </c>
      <c r="AK35" s="111" t="n">
        <f aca="false">IFERROR('Price History'!Q3+(INDEX('Price History'!Q:Q,MATCH(9.99E+307,'Price History'!$A:$A))-'Price History'!Q3)*(ROW()-3)/(MATCH(9.99E+307,'Returns (Calc)'!$A:$A)-3),"")</f>
        <v>53.8410062893082</v>
      </c>
      <c r="AL35" s="111" t="n">
        <f aca="false">IFERROR('Price History'!R3+(INDEX('Price History'!R:R,MATCH(9.99E+307,'Price History'!$A:$A))-'Price History'!R3)*(ROW()-3)/(MATCH(9.99E+307,'Returns (Calc)'!$A:$A)-3),"")</f>
        <v>50.2451572327044</v>
      </c>
      <c r="AM35" s="111" t="n">
        <f aca="false">IFERROR('Price History'!S3+(INDEX('Price History'!S:S,MATCH(9.99E+307,'Price History'!$A:$A))-'Price History'!S3)*(ROW()-3)/(MATCH(9.99E+307,'Returns (Calc)'!$A:$A)-3),"")</f>
        <v>76.8906918238994</v>
      </c>
      <c r="AN35" s="111" t="n">
        <f aca="false">IFERROR('Price History'!T3+(INDEX('Price History'!T:T,MATCH(9.99E+307,'Price History'!$A:$A))-'Price History'!T3)*(ROW()-3)/(MATCH(9.99E+307,'Returns (Calc)'!$A:$A)-3),"")</f>
        <v>32.6216981132075</v>
      </c>
      <c r="AO35" s="112" t="n">
        <f aca="false">IFERROR('Price History'!V3+(INDEX('Price History'!V:V,MATCH(9.99E+307,'Price History'!$A:$A))-'Price History'!V3)*(ROW()-3)/(MATCH(9.99E+307,'Returns (Calc)'!$A:$A)-3),"")</f>
        <v>75.485786163522</v>
      </c>
    </row>
    <row r="36" customFormat="false" ht="15" hidden="false" customHeight="true" outlineLevel="0" collapsed="false">
      <c r="A36" s="108" t="n">
        <f aca="false">IF('Price History'!A37="","",'Price History'!A37)</f>
        <v>45387</v>
      </c>
      <c r="B36" s="109" t="n">
        <f aca="false">IFERROR(IF(OR(NOT(ISNUMBER('Price History'!B37)),NOT(ISNUMBER('Price History'!B36)),'Price History'!B36=0),"",'Price History'!B37/'Price History'!B36-1),"")</f>
        <v>-0.0386048355132779</v>
      </c>
      <c r="C36" s="109" t="n">
        <f aca="false">IFERROR(IF(OR(NOT(ISNUMBER('Price History'!C37)),NOT(ISNUMBER('Price History'!C36)),'Price History'!C36=0),"",'Price History'!C37/'Price History'!C36-1),"")</f>
        <v>0.0262068965517241</v>
      </c>
      <c r="D36" s="109" t="n">
        <f aca="false">IFERROR(IF(OR(NOT(ISNUMBER('Price History'!D37)),NOT(ISNUMBER('Price History'!D36)),'Price History'!D36=0),"",'Price History'!D37/'Price History'!D36-1),"")</f>
        <v>0.00935629128154392</v>
      </c>
      <c r="E36" s="109" t="n">
        <f aca="false">IFERROR(IF(OR(NOT(ISNUMBER('Price History'!E37)),NOT(ISNUMBER('Price History'!E36)),'Price History'!E36=0),"",'Price History'!E37/'Price History'!E36-1),"")</f>
        <v>0.0105628489512601</v>
      </c>
      <c r="F36" s="109" t="n">
        <f aca="false">IFERROR(IF(OR(NOT(ISNUMBER('Price History'!F37)),NOT(ISNUMBER('Price History'!F36)),'Price History'!F36=0),"",'Price History'!F37/'Price History'!F36-1),"")</f>
        <v>-0.015845290081098</v>
      </c>
      <c r="G36" s="109" t="n">
        <f aca="false">IFERROR(IF(OR(NOT(ISNUMBER('Price History'!G37)),NOT(ISNUMBER('Price History'!G36)),'Price History'!G36=0),"",'Price History'!G37/'Price History'!G36-1),"")</f>
        <v>-0.0226166618952189</v>
      </c>
      <c r="H36" s="109" t="n">
        <f aca="false">IFERROR(IF(OR(NOT(ISNUMBER('Price History'!H37)),NOT(ISNUMBER('Price History'!H36)),'Price History'!H36=0),"",'Price History'!H37/'Price History'!H36-1),"")</f>
        <v>0.0482653320892357</v>
      </c>
      <c r="I36" s="109" t="n">
        <f aca="false">IFERROR(IF(OR(NOT(ISNUMBER('Price History'!I37)),NOT(ISNUMBER('Price History'!I36)),'Price History'!I36=0),"",'Price History'!I37/'Price History'!I36-1),"")</f>
        <v>-0.0260070827799911</v>
      </c>
      <c r="J36" s="109" t="n">
        <f aca="false">IFERROR(IF(OR(NOT(ISNUMBER('Price History'!J37)),NOT(ISNUMBER('Price History'!J36)),'Price History'!J36=0),"",'Price History'!J37/'Price History'!J36-1),"")</f>
        <v>-0.0420826293964062</v>
      </c>
      <c r="K36" s="109" t="n">
        <f aca="false">IFERROR(IF(OR(NOT(ISNUMBER('Price History'!K37)),NOT(ISNUMBER('Price History'!K36)),'Price History'!K36=0),"",'Price History'!K37/'Price History'!K36-1),"")</f>
        <v>-0.00217296827466318</v>
      </c>
      <c r="L36" s="109" t="n">
        <f aca="false">IFERROR(IF(OR(NOT(ISNUMBER('Price History'!L37)),NOT(ISNUMBER('Price History'!L36)),'Price History'!L36=0),"",'Price History'!L37/'Price History'!L36-1),"")</f>
        <v>0.0390297684674752</v>
      </c>
      <c r="M36" s="109" t="n">
        <f aca="false">IFERROR(IF(OR(NOT(ISNUMBER('Price History'!M37)),NOT(ISNUMBER('Price History'!M36)),'Price History'!M36=0),"",'Price History'!M37/'Price History'!M36-1),"")</f>
        <v>0.0449369413493328</v>
      </c>
      <c r="N36" s="109" t="n">
        <f aca="false">IFERROR(IF(OR(NOT(ISNUMBER('Price History'!N37)),NOT(ISNUMBER('Price History'!N36)),'Price History'!N36=0),"",'Price History'!N37/'Price History'!N36-1),"")</f>
        <v>-0.0271285375947943</v>
      </c>
      <c r="O36" s="109" t="n">
        <f aca="false">IFERROR(IF(OR(NOT(ISNUMBER('Price History'!O37)),NOT(ISNUMBER('Price History'!O36)),'Price History'!O36=0),"",'Price History'!O37/'Price History'!O36-1),"")</f>
        <v>-0.0215558638352363</v>
      </c>
      <c r="P36" s="109" t="str">
        <f aca="false">IFERROR(IF(OR(NOT(ISNUMBER('Price History'!P37)),NOT(ISNUMBER('Price History'!P36)),'Price History'!P36=0),"",'Price History'!P37/'Price History'!P36-1),"")</f>
        <v/>
      </c>
      <c r="Q36" s="109" t="n">
        <f aca="false">IFERROR(IF(OR(NOT(ISNUMBER('Price History'!Q37)),NOT(ISNUMBER('Price History'!Q36)),'Price History'!Q36=0),"",'Price History'!Q37/'Price History'!Q36-1),"")</f>
        <v>0.00104986876640423</v>
      </c>
      <c r="R36" s="109" t="n">
        <f aca="false">IFERROR(IF(OR(NOT(ISNUMBER('Price History'!R37)),NOT(ISNUMBER('Price History'!R36)),'Price History'!R36=0),"",'Price History'!R37/'Price History'!R36-1),"")</f>
        <v>-0.0119837758112095</v>
      </c>
      <c r="S36" s="109" t="n">
        <f aca="false">IFERROR(IF(OR(NOT(ISNUMBER('Price History'!S37)),NOT(ISNUMBER('Price History'!S36)),'Price History'!S36=0),"",'Price History'!S37/'Price History'!S36-1),"")</f>
        <v>0.00286711543256057</v>
      </c>
      <c r="T36" s="109" t="n">
        <f aca="false">IFERROR(IF(OR(NOT(ISNUMBER('Price History'!T37)),NOT(ISNUMBER('Price History'!T36)),'Price History'!T36=0),"",'Price History'!T37/'Price History'!T36-1),"")</f>
        <v>-0.00246837395865474</v>
      </c>
      <c r="U36" s="109" t="str">
        <f aca="false">IFERROR(IF(OR(NOT(ISNUMBER('Price History'!U37)),NOT(ISNUMBER('Price History'!U36)),'Price History'!U36=0),"",'Price History'!U37/'Price History'!U36-1),"")</f>
        <v/>
      </c>
      <c r="V36" s="110" t="str">
        <f aca="false">IFERROR(IF(OR(NOT(ISNUMBER('Price History'!V37)),NOT(ISNUMBER('Price History'!V36)),'Price History'!V36=0),"",'Price History'!V37/'Price History'!V36-1),"")</f>
        <v/>
      </c>
      <c r="W36" s="111" t="n">
        <f aca="false">IFERROR('Price History'!B3+(INDEX('Price History'!B:B,MATCH(9.99E+307,'Price History'!$A:$A))-'Price History'!B3)*(ROW()-3)/(MATCH(9.99E+307,'Returns (Calc)'!$A:$A)-3),"")</f>
        <v>458.236037735849</v>
      </c>
      <c r="X36" s="111" t="n">
        <f aca="false">IFERROR('Price History'!C3+(INDEX('Price History'!C:C,MATCH(9.99E+307,'Price History'!$A:$A))-'Price History'!C3)*(ROW()-3)/(MATCH(9.99E+307,'Returns (Calc)'!$A:$A)-3),"")</f>
        <v>74.8803773584906</v>
      </c>
      <c r="Y36" s="111" t="n">
        <f aca="false">IFERROR('Price History'!D3+(INDEX('Price History'!D:D,MATCH(9.99E+307,'Price History'!$A:$A))-'Price History'!D3)*(ROW()-3)/(MATCH(9.99E+307,'Returns (Calc)'!$A:$A)-3),"")</f>
        <v>880.347924528302</v>
      </c>
      <c r="Z36" s="111" t="n">
        <f aca="false">IFERROR('Price History'!E3+(INDEX('Price History'!E:E,MATCH(9.99E+307,'Price History'!$A:$A))-'Price History'!E3)*(ROW()-3)/(MATCH(9.99E+307,'Returns (Calc)'!$A:$A)-3),"")</f>
        <v>140.038867924528</v>
      </c>
      <c r="AA36" s="111" t="n">
        <f aca="false">IFERROR('Price History'!F3+(INDEX('Price History'!F:F,MATCH(9.99E+307,'Price History'!$A:$A))-'Price History'!F3)*(ROW()-3)/(MATCH(9.99E+307,'Returns (Calc)'!$A:$A)-3),"")</f>
        <v>73.5966037735849</v>
      </c>
      <c r="AB36" s="111" t="n">
        <f aca="false">IFERROR('Price History'!G3+(INDEX('Price History'!G:G,MATCH(9.99E+307,'Price History'!$A:$A))-'Price History'!G3)*(ROW()-3)/(MATCH(9.99E+307,'Returns (Calc)'!$A:$A)-3),"")</f>
        <v>76.4792452830189</v>
      </c>
      <c r="AC36" s="111" t="n">
        <f aca="false">IFERROR('Price History'!H3+(INDEX('Price History'!H:H,MATCH(9.99E+307,'Price History'!$A:$A))-'Price History'!H3)*(ROW()-3)/(MATCH(9.99E+307,'Returns (Calc)'!$A:$A)-3),"")</f>
        <v>262.000566037736</v>
      </c>
      <c r="AD36" s="111" t="n">
        <f aca="false">IFERROR('Price History'!I3+(INDEX('Price History'!I:I,MATCH(9.99E+307,'Price History'!$A:$A))-'Price History'!I3)*(ROW()-3)/(MATCH(9.99E+307,'Returns (Calc)'!$A:$A)-3),"")</f>
        <v>80.1822641509434</v>
      </c>
      <c r="AE36" s="111" t="n">
        <f aca="false">IFERROR('Price History'!J3+(INDEX('Price History'!J:J,MATCH(9.99E+307,'Price History'!$A:$A))-'Price History'!J3)*(ROW()-3)/(MATCH(9.99E+307,'Returns (Calc)'!$A:$A)-3),"")</f>
        <v>126.380377358491</v>
      </c>
      <c r="AF36" s="111" t="n">
        <f aca="false">IFERROR('Price History'!K3+(INDEX('Price History'!K:K,MATCH(9.99E+307,'Price History'!$A:$A))-'Price History'!K3)*(ROW()-3)/(MATCH(9.99E+307,'Returns (Calc)'!$A:$A)-3),"")</f>
        <v>48.3933962264151</v>
      </c>
      <c r="AG36" s="111" t="n">
        <f aca="false">IFERROR('Price History'!L3+(INDEX('Price History'!L:L,MATCH(9.99E+307,'Price History'!$A:$A))-'Price History'!L3)*(ROW()-3)/(MATCH(9.99E+307,'Returns (Calc)'!$A:$A)-3),"")</f>
        <v>161.91679245283</v>
      </c>
      <c r="AH36" s="111" t="n">
        <f aca="false">IFERROR('Price History'!M3+(INDEX('Price History'!M:M,MATCH(9.99E+307,'Price History'!$A:$A))-'Price History'!M3)*(ROW()-3)/(MATCH(9.99E+307,'Returns (Calc)'!$A:$A)-3),"")</f>
        <v>84.7783018867925</v>
      </c>
      <c r="AI36" s="111" t="n">
        <f aca="false">IFERROR('Price History'!N3+(INDEX('Price History'!N:N,MATCH(9.99E+307,'Price History'!$A:$A))-'Price History'!N3)*(ROW()-3)/(MATCH(9.99E+307,'Returns (Calc)'!$A:$A)-3),"")</f>
        <v>390.59320754717</v>
      </c>
      <c r="AJ36" s="111" t="n">
        <f aca="false">IFERROR('Price History'!O3+(INDEX('Price History'!O:O,MATCH(9.99E+307,'Price History'!$A:$A))-'Price History'!O3)*(ROW()-3)/(MATCH(9.99E+307,'Returns (Calc)'!$A:$A)-3),"")</f>
        <v>91.998679245283</v>
      </c>
      <c r="AK36" s="111" t="n">
        <f aca="false">IFERROR('Price History'!Q3+(INDEX('Price History'!Q:Q,MATCH(9.99E+307,'Price History'!$A:$A))-'Price History'!Q3)*(ROW()-3)/(MATCH(9.99E+307,'Returns (Calc)'!$A:$A)-3),"")</f>
        <v>53.9660377358491</v>
      </c>
      <c r="AL36" s="111" t="n">
        <f aca="false">IFERROR('Price History'!R3+(INDEX('Price History'!R:R,MATCH(9.99E+307,'Price History'!$A:$A))-'Price History'!R3)*(ROW()-3)/(MATCH(9.99E+307,'Returns (Calc)'!$A:$A)-3),"")</f>
        <v>50.3209433962264</v>
      </c>
      <c r="AM36" s="111" t="n">
        <f aca="false">IFERROR('Price History'!S3+(INDEX('Price History'!S:S,MATCH(9.99E+307,'Price History'!$A:$A))-'Price History'!S3)*(ROW()-3)/(MATCH(9.99E+307,'Returns (Calc)'!$A:$A)-3),"")</f>
        <v>77.4641509433962</v>
      </c>
      <c r="AN36" s="111" t="n">
        <f aca="false">IFERROR('Price History'!T3+(INDEX('Price History'!T:T,MATCH(9.99E+307,'Price History'!$A:$A))-'Price History'!T3)*(ROW()-3)/(MATCH(9.99E+307,'Returns (Calc)'!$A:$A)-3),"")</f>
        <v>32.8001886792453</v>
      </c>
      <c r="AO36" s="112" t="n">
        <f aca="false">IFERROR('Price History'!V3+(INDEX('Price History'!V:V,MATCH(9.99E+307,'Price History'!$A:$A))-'Price History'!V3)*(ROW()-3)/(MATCH(9.99E+307,'Returns (Calc)'!$A:$A)-3),"")</f>
        <v>77.8447169811321</v>
      </c>
    </row>
    <row r="37" customFormat="false" ht="15" hidden="false" customHeight="true" outlineLevel="0" collapsed="false">
      <c r="A37" s="108" t="n">
        <f aca="false">IF('Price History'!A38="","",'Price History'!A38)</f>
        <v>45394</v>
      </c>
      <c r="B37" s="109" t="n">
        <f aca="false">IFERROR(IF(OR(NOT(ISNUMBER('Price History'!B38)),NOT(ISNUMBER('Price History'!B37)),'Price History'!B37=0),"",'Price History'!B38/'Price History'!B37-1),"")</f>
        <v>-0.0227366424802111</v>
      </c>
      <c r="C37" s="109" t="n">
        <f aca="false">IFERROR(IF(OR(NOT(ISNUMBER('Price History'!C38)),NOT(ISNUMBER('Price History'!C37)),'Price History'!C37=0),"",'Price History'!C38/'Price History'!C37-1),"")</f>
        <v>-0.0885752688172043</v>
      </c>
      <c r="D37" s="109" t="n">
        <f aca="false">IFERROR(IF(OR(NOT(ISNUMBER('Price History'!D38)),NOT(ISNUMBER('Price History'!D37)),'Price History'!D37=0),"",'Price History'!D38/'Price History'!D37-1),"")</f>
        <v>-0.0180797304884895</v>
      </c>
      <c r="E37" s="109" t="n">
        <f aca="false">IFERROR(IF(OR(NOT(ISNUMBER('Price History'!E38)),NOT(ISNUMBER('Price History'!E37)),'Price History'!E37=0),"",'Price History'!E38/'Price History'!E37-1),"")</f>
        <v>0.00350903389577417</v>
      </c>
      <c r="F37" s="109" t="n">
        <f aca="false">IFERROR(IF(OR(NOT(ISNUMBER('Price History'!F38)),NOT(ISNUMBER('Price History'!F37)),'Price History'!F37=0),"",'Price History'!F38/'Price History'!F37-1),"")</f>
        <v>-0.0205375253549694</v>
      </c>
      <c r="G37" s="109" t="n">
        <f aca="false">IFERROR(IF(OR(NOT(ISNUMBER('Price History'!G38)),NOT(ISNUMBER('Price History'!G37)),'Price History'!G37=0),"",'Price History'!G38/'Price History'!G37-1),"")</f>
        <v>-0.00292911540714713</v>
      </c>
      <c r="H37" s="109" t="n">
        <f aca="false">IFERROR(IF(OR(NOT(ISNUMBER('Price History'!H38)),NOT(ISNUMBER('Price History'!H37)),'Price History'!H37=0),"",'Price History'!H38/'Price History'!H37-1),"")</f>
        <v>-0.00857743971516434</v>
      </c>
      <c r="I37" s="109" t="n">
        <f aca="false">IFERROR(IF(OR(NOT(ISNUMBER('Price History'!I38)),NOT(ISNUMBER('Price History'!I37)),'Price History'!I37=0),"",'Price History'!I38/'Price History'!I37-1),"")</f>
        <v>0.00204522213384828</v>
      </c>
      <c r="J37" s="109" t="n">
        <f aca="false">IFERROR(IF(OR(NOT(ISNUMBER('Price History'!J38)),NOT(ISNUMBER('Price History'!J37)),'Price History'!J37=0),"",'Price History'!J38/'Price History'!J37-1),"")</f>
        <v>-0.0460157126823794</v>
      </c>
      <c r="K37" s="109" t="n">
        <f aca="false">IFERROR(IF(OR(NOT(ISNUMBER('Price History'!K38)),NOT(ISNUMBER('Price History'!K37)),'Price History'!K37=0),"",'Price History'!K38/'Price History'!K37-1),"")</f>
        <v>-0.0126306620209059</v>
      </c>
      <c r="L37" s="109" t="n">
        <f aca="false">IFERROR(IF(OR(NOT(ISNUMBER('Price History'!L38)),NOT(ISNUMBER('Price History'!L37)),'Price History'!L37=0),"",'Price History'!L38/'Price History'!L37-1),"")</f>
        <v>0.008205998868138</v>
      </c>
      <c r="M37" s="109" t="n">
        <f aca="false">IFERROR(IF(OR(NOT(ISNUMBER('Price History'!M38)),NOT(ISNUMBER('Price History'!M37)),'Price History'!M37=0),"",'Price History'!M38/'Price History'!M37-1),"")</f>
        <v>-0.0169908600890556</v>
      </c>
      <c r="N37" s="109" t="n">
        <f aca="false">IFERROR(IF(OR(NOT(ISNUMBER('Price History'!N38)),NOT(ISNUMBER('Price History'!N37)),'Price History'!N37=0),"",'Price History'!N38/'Price History'!N37-1),"")</f>
        <v>-0.0248850419258858</v>
      </c>
      <c r="O37" s="109" t="n">
        <f aca="false">IFERROR(IF(OR(NOT(ISNUMBER('Price History'!O38)),NOT(ISNUMBER('Price History'!O37)),'Price History'!O37=0),"",'Price History'!O38/'Price History'!O37-1),"")</f>
        <v>-0.0308648707601701</v>
      </c>
      <c r="P37" s="109" t="str">
        <f aca="false">IFERROR(IF(OR(NOT(ISNUMBER('Price History'!P38)),NOT(ISNUMBER('Price History'!P37)),'Price History'!P37=0),"",'Price History'!P38/'Price History'!P37-1),"")</f>
        <v/>
      </c>
      <c r="Q37" s="109" t="n">
        <f aca="false">IFERROR(IF(OR(NOT(ISNUMBER('Price History'!Q38)),NOT(ISNUMBER('Price History'!Q37)),'Price History'!Q37=0),"",'Price History'!Q38/'Price History'!Q37-1),"")</f>
        <v>-0.00262191924488719</v>
      </c>
      <c r="R37" s="109" t="n">
        <f aca="false">IFERROR(IF(OR(NOT(ISNUMBER('Price History'!R38)),NOT(ISNUMBER('Price History'!R37)),'Price History'!R37=0),"",'Price History'!R38/'Price History'!R37-1),"")</f>
        <v>-0.0035454375816385</v>
      </c>
      <c r="S37" s="109" t="n">
        <f aca="false">IFERROR(IF(OR(NOT(ISNUMBER('Price History'!S38)),NOT(ISNUMBER('Price History'!S37)),'Price History'!S37=0),"",'Price History'!S38/'Price History'!S37-1),"")</f>
        <v>-0.0140459912989436</v>
      </c>
      <c r="T37" s="109" t="n">
        <f aca="false">IFERROR(IF(OR(NOT(ISNUMBER('Price History'!T38)),NOT(ISNUMBER('Price History'!T37)),'Price History'!T37=0),"",'Price History'!T38/'Price History'!T37-1),"")</f>
        <v>-0.0259820600061862</v>
      </c>
      <c r="U37" s="109" t="str">
        <f aca="false">IFERROR(IF(OR(NOT(ISNUMBER('Price History'!U38)),NOT(ISNUMBER('Price History'!U37)),'Price History'!U37=0),"",'Price History'!U38/'Price History'!U37-1),"")</f>
        <v/>
      </c>
      <c r="V37" s="110" t="n">
        <f aca="false">IFERROR(IF(OR(NOT(ISNUMBER('Price History'!V38)),NOT(ISNUMBER('Price History'!V37)),'Price History'!V37=0),"",'Price History'!V38/'Price History'!V37-1),"")</f>
        <v>-0.00422840754494991</v>
      </c>
      <c r="W37" s="111" t="n">
        <f aca="false">IFERROR('Price History'!B3+(INDEX('Price History'!B:B,MATCH(9.99E+307,'Price History'!$A:$A))-'Price History'!B3)*(ROW()-3)/(MATCH(9.99E+307,'Returns (Calc)'!$A:$A)-3),"")</f>
        <v>456.714402515723</v>
      </c>
      <c r="X37" s="111" t="n">
        <f aca="false">IFERROR('Price History'!C3+(INDEX('Price History'!C:C,MATCH(9.99E+307,'Price History'!$A:$A))-'Price History'!C3)*(ROW()-3)/(MATCH(9.99E+307,'Returns (Calc)'!$A:$A)-3),"")</f>
        <v>75.8240251572327</v>
      </c>
      <c r="Y37" s="111" t="n">
        <f aca="false">IFERROR('Price History'!D3+(INDEX('Price History'!D:D,MATCH(9.99E+307,'Price History'!$A:$A))-'Price History'!D3)*(ROW()-3)/(MATCH(9.99E+307,'Returns (Calc)'!$A:$A)-3),"")</f>
        <v>886.971194968553</v>
      </c>
      <c r="Z37" s="111" t="n">
        <f aca="false">IFERROR('Price History'!E3+(INDEX('Price History'!E:E,MATCH(9.99E+307,'Price History'!$A:$A))-'Price History'!E3)*(ROW()-3)/(MATCH(9.99E+307,'Returns (Calc)'!$A:$A)-3),"")</f>
        <v>141.767924528302</v>
      </c>
      <c r="AA37" s="111" t="n">
        <f aca="false">IFERROR('Price History'!F3+(INDEX('Price History'!F:F,MATCH(9.99E+307,'Price History'!$A:$A))-'Price History'!F3)*(ROW()-3)/(MATCH(9.99E+307,'Returns (Calc)'!$A:$A)-3),"")</f>
        <v>74.7037735849057</v>
      </c>
      <c r="AB37" s="111" t="n">
        <f aca="false">IFERROR('Price History'!G3+(INDEX('Price History'!G:G,MATCH(9.99E+307,'Price History'!$A:$A))-'Price History'!G3)*(ROW()-3)/(MATCH(9.99E+307,'Returns (Calc)'!$A:$A)-3),"")</f>
        <v>77.3452830188679</v>
      </c>
      <c r="AC37" s="111" t="n">
        <f aca="false">IFERROR('Price History'!H3+(INDEX('Price History'!H:H,MATCH(9.99E+307,'Price History'!$A:$A))-'Price History'!H3)*(ROW()-3)/(MATCH(9.99E+307,'Returns (Calc)'!$A:$A)-3),"")</f>
        <v>267.989371069182</v>
      </c>
      <c r="AD37" s="111" t="n">
        <f aca="false">IFERROR('Price History'!I3+(INDEX('Price History'!I:I,MATCH(9.99E+307,'Price History'!$A:$A))-'Price History'!I3)*(ROW()-3)/(MATCH(9.99E+307,'Returns (Calc)'!$A:$A)-3),"")</f>
        <v>81.3741509433962</v>
      </c>
      <c r="AE37" s="111" t="n">
        <f aca="false">IFERROR('Price History'!J3+(INDEX('Price History'!J:J,MATCH(9.99E+307,'Price History'!$A:$A))-'Price History'!J3)*(ROW()-3)/(MATCH(9.99E+307,'Returns (Calc)'!$A:$A)-3),"")</f>
        <v>126.467358490566</v>
      </c>
      <c r="AF37" s="111" t="n">
        <f aca="false">IFERROR('Price History'!K3+(INDEX('Price History'!K:K,MATCH(9.99E+307,'Price History'!$A:$A))-'Price History'!K3)*(ROW()-3)/(MATCH(9.99E+307,'Returns (Calc)'!$A:$A)-3),"")</f>
        <v>49.392893081761</v>
      </c>
      <c r="AG37" s="111" t="n">
        <f aca="false">IFERROR('Price History'!L3+(INDEX('Price History'!L:L,MATCH(9.99E+307,'Price History'!$A:$A))-'Price History'!L3)*(ROW()-3)/(MATCH(9.99E+307,'Returns (Calc)'!$A:$A)-3),"")</f>
        <v>164.035786163522</v>
      </c>
      <c r="AH37" s="111" t="n">
        <f aca="false">IFERROR('Price History'!M3+(INDEX('Price History'!M:M,MATCH(9.99E+307,'Price History'!$A:$A))-'Price History'!M3)*(ROW()-3)/(MATCH(9.99E+307,'Returns (Calc)'!$A:$A)-3),"")</f>
        <v>86.3318867924528</v>
      </c>
      <c r="AI37" s="111" t="n">
        <f aca="false">IFERROR('Price History'!N3+(INDEX('Price History'!N:N,MATCH(9.99E+307,'Price History'!$A:$A))-'Price History'!N3)*(ROW()-3)/(MATCH(9.99E+307,'Returns (Calc)'!$A:$A)-3),"")</f>
        <v>391.827547169811</v>
      </c>
      <c r="AJ37" s="111" t="n">
        <f aca="false">IFERROR('Price History'!O3+(INDEX('Price History'!O:O,MATCH(9.99E+307,'Price History'!$A:$A))-'Price History'!O3)*(ROW()-3)/(MATCH(9.99E+307,'Returns (Calc)'!$A:$A)-3),"")</f>
        <v>92.2759119496855</v>
      </c>
      <c r="AK37" s="111" t="n">
        <f aca="false">IFERROR('Price History'!Q3+(INDEX('Price History'!Q:Q,MATCH(9.99E+307,'Price History'!$A:$A))-'Price History'!Q3)*(ROW()-3)/(MATCH(9.99E+307,'Returns (Calc)'!$A:$A)-3),"")</f>
        <v>54.0910691823899</v>
      </c>
      <c r="AL37" s="111" t="n">
        <f aca="false">IFERROR('Price History'!R3+(INDEX('Price History'!R:R,MATCH(9.99E+307,'Price History'!$A:$A))-'Price History'!R3)*(ROW()-3)/(MATCH(9.99E+307,'Returns (Calc)'!$A:$A)-3),"")</f>
        <v>50.3967295597484</v>
      </c>
      <c r="AM37" s="111" t="n">
        <f aca="false">IFERROR('Price History'!S3+(INDEX('Price History'!S:S,MATCH(9.99E+307,'Price History'!$A:$A))-'Price History'!S3)*(ROW()-3)/(MATCH(9.99E+307,'Returns (Calc)'!$A:$A)-3),"")</f>
        <v>78.0376100628931</v>
      </c>
      <c r="AN37" s="111" t="n">
        <f aca="false">IFERROR('Price History'!T3+(INDEX('Price History'!T:T,MATCH(9.99E+307,'Price History'!$A:$A))-'Price History'!T3)*(ROW()-3)/(MATCH(9.99E+307,'Returns (Calc)'!$A:$A)-3),"")</f>
        <v>32.978679245283</v>
      </c>
      <c r="AO37" s="112" t="n">
        <f aca="false">IFERROR('Price History'!V3+(INDEX('Price History'!V:V,MATCH(9.99E+307,'Price History'!$A:$A))-'Price History'!V3)*(ROW()-3)/(MATCH(9.99E+307,'Returns (Calc)'!$A:$A)-3),"")</f>
        <v>80.2036477987421</v>
      </c>
    </row>
    <row r="38" customFormat="false" ht="15" hidden="false" customHeight="true" outlineLevel="0" collapsed="false">
      <c r="A38" s="108" t="n">
        <f aca="false">IF('Price History'!A39="","",'Price History'!A39)</f>
        <v>45401</v>
      </c>
      <c r="B38" s="109" t="n">
        <f aca="false">IFERROR(IF(OR(NOT(ISNUMBER('Price History'!B39)),NOT(ISNUMBER('Price History'!B38)),'Price History'!B38=0),"",'Price History'!B39/'Price History'!B38-1),"")</f>
        <v>-0.0191313885549157</v>
      </c>
      <c r="C38" s="109" t="n">
        <f aca="false">IFERROR(IF(OR(NOT(ISNUMBER('Price History'!C39)),NOT(ISNUMBER('Price History'!C38)),'Price History'!C38=0),"",'Price History'!C39/'Price History'!C38-1),"")</f>
        <v>-0.0927591800619377</v>
      </c>
      <c r="D38" s="109" t="n">
        <f aca="false">IFERROR(IF(OR(NOT(ISNUMBER('Price History'!D39)),NOT(ISNUMBER('Price History'!D38)),'Price History'!D38=0),"",'Price History'!D39/'Price History'!D38-1),"")</f>
        <v>-0.106358645928637</v>
      </c>
      <c r="E38" s="109" t="n">
        <f aca="false">IFERROR(IF(OR(NOT(ISNUMBER('Price History'!E39)),NOT(ISNUMBER('Price History'!E38)),'Price History'!E38=0),"",'Price History'!E39/'Price History'!E38-1),"")</f>
        <v>-0.103712521389777</v>
      </c>
      <c r="F38" s="109" t="n">
        <f aca="false">IFERROR(IF(OR(NOT(ISNUMBER('Price History'!F39)),NOT(ISNUMBER('Price History'!F38)),'Price History'!F38=0),"",'Price History'!F39/'Price History'!F38-1),"")</f>
        <v>-0.0854258348433861</v>
      </c>
      <c r="G38" s="109" t="n">
        <f aca="false">IFERROR(IF(OR(NOT(ISNUMBER('Price History'!G39)),NOT(ISNUMBER('Price History'!G38)),'Price History'!G38=0),"",'Price History'!G39/'Price History'!G38-1),"")</f>
        <v>-0.077262044653349</v>
      </c>
      <c r="H38" s="109" t="n">
        <f aca="false">IFERROR(IF(OR(NOT(ISNUMBER('Price History'!H39)),NOT(ISNUMBER('Price History'!H38)),'Price History'!H38=0),"",'Price History'!H39/'Price History'!H38-1),"")</f>
        <v>-0.128550440744368</v>
      </c>
      <c r="I38" s="109" t="n">
        <f aca="false">IFERROR(IF(OR(NOT(ISNUMBER('Price History'!I39)),NOT(ISNUMBER('Price History'!I38)),'Price History'!I38=0),"",'Price History'!I39/'Price History'!I38-1),"")</f>
        <v>-0.135956457648259</v>
      </c>
      <c r="J38" s="109" t="n">
        <f aca="false">IFERROR(IF(OR(NOT(ISNUMBER('Price History'!J39)),NOT(ISNUMBER('Price History'!J38)),'Price History'!J38=0),"",'Price History'!J39/'Price History'!J38-1),"")</f>
        <v>-0.130336134453782</v>
      </c>
      <c r="K38" s="109" t="n">
        <f aca="false">IFERROR(IF(OR(NOT(ISNUMBER('Price History'!K39)),NOT(ISNUMBER('Price History'!K38)),'Price History'!K38=0),"",'Price History'!K39/'Price History'!K38-1),"")</f>
        <v>-0.0970445522717248</v>
      </c>
      <c r="L38" s="109" t="n">
        <f aca="false">IFERROR(IF(OR(NOT(ISNUMBER('Price History'!L39)),NOT(ISNUMBER('Price History'!L38)),'Price History'!L38=0),"",'Price History'!L39/'Price History'!L38-1),"")</f>
        <v>-0.103985405557115</v>
      </c>
      <c r="M38" s="109" t="n">
        <f aca="false">IFERROR(IF(OR(NOT(ISNUMBER('Price History'!M39)),NOT(ISNUMBER('Price History'!M38)),'Price History'!M38=0),"",'Price History'!M39/'Price History'!M38-1),"")</f>
        <v>-0.105852902610561</v>
      </c>
      <c r="N38" s="109" t="n">
        <f aca="false">IFERROR(IF(OR(NOT(ISNUMBER('Price History'!N39)),NOT(ISNUMBER('Price History'!N38)),'Price History'!N38=0),"",'Price History'!N39/'Price History'!N38-1),"")</f>
        <v>-0.00572437271466408</v>
      </c>
      <c r="O38" s="109" t="n">
        <f aca="false">IFERROR(IF(OR(NOT(ISNUMBER('Price History'!O39)),NOT(ISNUMBER('Price History'!O38)),'Price History'!O38=0),"",'Price History'!O39/'Price History'!O38-1),"")</f>
        <v>-0.00900292595093399</v>
      </c>
      <c r="P38" s="109" t="str">
        <f aca="false">IFERROR(IF(OR(NOT(ISNUMBER('Price History'!P39)),NOT(ISNUMBER('Price History'!P38)),'Price History'!P38=0),"",'Price History'!P39/'Price History'!P38-1),"")</f>
        <v/>
      </c>
      <c r="Q38" s="109" t="n">
        <f aca="false">IFERROR(IF(OR(NOT(ISNUMBER('Price History'!Q39)),NOT(ISNUMBER('Price History'!Q38)),'Price History'!Q38=0),"",'Price History'!Q39/'Price History'!Q38-1),"")</f>
        <v>0.0110410094637223</v>
      </c>
      <c r="R38" s="109" t="n">
        <f aca="false">IFERROR(IF(OR(NOT(ISNUMBER('Price History'!R39)),NOT(ISNUMBER('Price History'!R38)),'Price History'!R38=0),"",'Price History'!R39/'Price History'!R38-1),"")</f>
        <v>-0.047940074906367</v>
      </c>
      <c r="S38" s="109" t="n">
        <f aca="false">IFERROR(IF(OR(NOT(ISNUMBER('Price History'!S39)),NOT(ISNUMBER('Price History'!S38)),'Price History'!S38=0),"",'Price History'!S39/'Price History'!S38-1),"")</f>
        <v>-0.0568582955118506</v>
      </c>
      <c r="T38" s="109" t="n">
        <f aca="false">IFERROR(IF(OR(NOT(ISNUMBER('Price History'!T39)),NOT(ISNUMBER('Price History'!T38)),'Price History'!T38=0),"",'Price History'!T39/'Price History'!T38-1),"")</f>
        <v>-0.017783423308987</v>
      </c>
      <c r="U38" s="109" t="str">
        <f aca="false">IFERROR(IF(OR(NOT(ISNUMBER('Price History'!U39)),NOT(ISNUMBER('Price History'!U38)),'Price History'!U38=0),"",'Price History'!U39/'Price History'!U38-1),"")</f>
        <v/>
      </c>
      <c r="V38" s="110" t="n">
        <f aca="false">IFERROR(IF(OR(NOT(ISNUMBER('Price History'!V39)),NOT(ISNUMBER('Price History'!V38)),'Price History'!V38=0),"",'Price History'!V39/'Price History'!V38-1),"")</f>
        <v>-0.0224134111217783</v>
      </c>
      <c r="W38" s="111" t="n">
        <f aca="false">IFERROR('Price History'!B3+(INDEX('Price History'!B:B,MATCH(9.99E+307,'Price History'!$A:$A))-'Price History'!B3)*(ROW()-3)/(MATCH(9.99E+307,'Returns (Calc)'!$A:$A)-3),"")</f>
        <v>455.192767295598</v>
      </c>
      <c r="X38" s="111" t="n">
        <f aca="false">IFERROR('Price History'!C3+(INDEX('Price History'!C:C,MATCH(9.99E+307,'Price History'!$A:$A))-'Price History'!C3)*(ROW()-3)/(MATCH(9.99E+307,'Returns (Calc)'!$A:$A)-3),"")</f>
        <v>76.7676729559749</v>
      </c>
      <c r="Y38" s="111" t="n">
        <f aca="false">IFERROR('Price History'!D3+(INDEX('Price History'!D:D,MATCH(9.99E+307,'Price History'!$A:$A))-'Price History'!D3)*(ROW()-3)/(MATCH(9.99E+307,'Returns (Calc)'!$A:$A)-3),"")</f>
        <v>893.594465408805</v>
      </c>
      <c r="Z38" s="111" t="n">
        <f aca="false">IFERROR('Price History'!E3+(INDEX('Price History'!E:E,MATCH(9.99E+307,'Price History'!$A:$A))-'Price History'!E3)*(ROW()-3)/(MATCH(9.99E+307,'Returns (Calc)'!$A:$A)-3),"")</f>
        <v>143.496981132075</v>
      </c>
      <c r="AA38" s="111" t="n">
        <f aca="false">IFERROR('Price History'!F3+(INDEX('Price History'!F:F,MATCH(9.99E+307,'Price History'!$A:$A))-'Price History'!F3)*(ROW()-3)/(MATCH(9.99E+307,'Returns (Calc)'!$A:$A)-3),"")</f>
        <v>75.8109433962264</v>
      </c>
      <c r="AB38" s="111" t="n">
        <f aca="false">IFERROR('Price History'!G3+(INDEX('Price History'!G:G,MATCH(9.99E+307,'Price History'!$A:$A))-'Price History'!G3)*(ROW()-3)/(MATCH(9.99E+307,'Returns (Calc)'!$A:$A)-3),"")</f>
        <v>78.211320754717</v>
      </c>
      <c r="AC38" s="111" t="n">
        <f aca="false">IFERROR('Price History'!H3+(INDEX('Price History'!H:H,MATCH(9.99E+307,'Price History'!$A:$A))-'Price History'!H3)*(ROW()-3)/(MATCH(9.99E+307,'Returns (Calc)'!$A:$A)-3),"")</f>
        <v>273.978176100629</v>
      </c>
      <c r="AD38" s="111" t="n">
        <f aca="false">IFERROR('Price History'!I3+(INDEX('Price History'!I:I,MATCH(9.99E+307,'Price History'!$A:$A))-'Price History'!I3)*(ROW()-3)/(MATCH(9.99E+307,'Returns (Calc)'!$A:$A)-3),"")</f>
        <v>82.5660377358491</v>
      </c>
      <c r="AE38" s="111" t="n">
        <f aca="false">IFERROR('Price History'!J3+(INDEX('Price History'!J:J,MATCH(9.99E+307,'Price History'!$A:$A))-'Price History'!J3)*(ROW()-3)/(MATCH(9.99E+307,'Returns (Calc)'!$A:$A)-3),"")</f>
        <v>126.554339622642</v>
      </c>
      <c r="AF38" s="111" t="n">
        <f aca="false">IFERROR('Price History'!K3+(INDEX('Price History'!K:K,MATCH(9.99E+307,'Price History'!$A:$A))-'Price History'!K3)*(ROW()-3)/(MATCH(9.99E+307,'Returns (Calc)'!$A:$A)-3),"")</f>
        <v>50.3923899371069</v>
      </c>
      <c r="AG38" s="111" t="n">
        <f aca="false">IFERROR('Price History'!L3+(INDEX('Price History'!L:L,MATCH(9.99E+307,'Price History'!$A:$A))-'Price History'!L3)*(ROW()-3)/(MATCH(9.99E+307,'Returns (Calc)'!$A:$A)-3),"")</f>
        <v>166.154779874214</v>
      </c>
      <c r="AH38" s="111" t="n">
        <f aca="false">IFERROR('Price History'!M3+(INDEX('Price History'!M:M,MATCH(9.99E+307,'Price History'!$A:$A))-'Price History'!M3)*(ROW()-3)/(MATCH(9.99E+307,'Returns (Calc)'!$A:$A)-3),"")</f>
        <v>87.8854716981132</v>
      </c>
      <c r="AI38" s="111" t="n">
        <f aca="false">IFERROR('Price History'!N3+(INDEX('Price History'!N:N,MATCH(9.99E+307,'Price History'!$A:$A))-'Price History'!N3)*(ROW()-3)/(MATCH(9.99E+307,'Returns (Calc)'!$A:$A)-3),"")</f>
        <v>393.061886792453</v>
      </c>
      <c r="AJ38" s="111" t="n">
        <f aca="false">IFERROR('Price History'!O3+(INDEX('Price History'!O:O,MATCH(9.99E+307,'Price History'!$A:$A))-'Price History'!O3)*(ROW()-3)/(MATCH(9.99E+307,'Returns (Calc)'!$A:$A)-3),"")</f>
        <v>92.553144654088</v>
      </c>
      <c r="AK38" s="111" t="n">
        <f aca="false">IFERROR('Price History'!Q3+(INDEX('Price History'!Q:Q,MATCH(9.99E+307,'Price History'!$A:$A))-'Price History'!Q3)*(ROW()-3)/(MATCH(9.99E+307,'Returns (Calc)'!$A:$A)-3),"")</f>
        <v>54.2161006289308</v>
      </c>
      <c r="AL38" s="111" t="n">
        <f aca="false">IFERROR('Price History'!R3+(INDEX('Price History'!R:R,MATCH(9.99E+307,'Price History'!$A:$A))-'Price History'!R3)*(ROW()-3)/(MATCH(9.99E+307,'Returns (Calc)'!$A:$A)-3),"")</f>
        <v>50.4725157232704</v>
      </c>
      <c r="AM38" s="111" t="n">
        <f aca="false">IFERROR('Price History'!S3+(INDEX('Price History'!S:S,MATCH(9.99E+307,'Price History'!$A:$A))-'Price History'!S3)*(ROW()-3)/(MATCH(9.99E+307,'Returns (Calc)'!$A:$A)-3),"")</f>
        <v>78.6110691823899</v>
      </c>
      <c r="AN38" s="111" t="n">
        <f aca="false">IFERROR('Price History'!T3+(INDEX('Price History'!T:T,MATCH(9.99E+307,'Price History'!$A:$A))-'Price History'!T3)*(ROW()-3)/(MATCH(9.99E+307,'Returns (Calc)'!$A:$A)-3),"")</f>
        <v>33.1571698113208</v>
      </c>
      <c r="AO38" s="112" t="n">
        <f aca="false">IFERROR('Price History'!V3+(INDEX('Price History'!V:V,MATCH(9.99E+307,'Price History'!$A:$A))-'Price History'!V3)*(ROW()-3)/(MATCH(9.99E+307,'Returns (Calc)'!$A:$A)-3),"")</f>
        <v>82.5625786163522</v>
      </c>
    </row>
    <row r="39" customFormat="false" ht="15" hidden="false" customHeight="true" outlineLevel="0" collapsed="false">
      <c r="A39" s="108" t="n">
        <f aca="false">IF('Price History'!A40="","",'Price History'!A40)</f>
        <v>45408</v>
      </c>
      <c r="B39" s="109" t="n">
        <f aca="false">IFERROR(IF(OR(NOT(ISNUMBER('Price History'!B40)),NOT(ISNUMBER('Price History'!B39)),'Price History'!B39=0),"",'Price History'!B40/'Price History'!B39-1),"")</f>
        <v>0.0269665820824911</v>
      </c>
      <c r="C39" s="109" t="n">
        <f aca="false">IFERROR(IF(OR(NOT(ISNUMBER('Price History'!C40)),NOT(ISNUMBER('Price History'!C39)),'Price History'!C39=0),"",'Price History'!C40/'Price History'!C39-1),"")</f>
        <v>0.0757477243172953</v>
      </c>
      <c r="D39" s="109" t="n">
        <f aca="false">IFERROR(IF(OR(NOT(ISNUMBER('Price History'!D40)),NOT(ISNUMBER('Price History'!D39)),'Price History'!D39=0),"",'Price History'!D40/'Price History'!D39-1),"")</f>
        <v>0.0691416338972009</v>
      </c>
      <c r="E39" s="109" t="n">
        <f aca="false">IFERROR(IF(OR(NOT(ISNUMBER('Price History'!E40)),NOT(ISNUMBER('Price History'!E39)),'Price History'!E39=0),"",'Price History'!E40/'Price History'!E39-1),"")</f>
        <v>0.115713455632108</v>
      </c>
      <c r="F39" s="109" t="n">
        <f aca="false">IFERROR(IF(OR(NOT(ISNUMBER('Price History'!F40)),NOT(ISNUMBER('Price History'!F39)),'Price History'!F39=0),"",'Price History'!F40/'Price History'!F39-1),"")</f>
        <v>0.0758562128502689</v>
      </c>
      <c r="G39" s="109" t="n">
        <f aca="false">IFERROR(IF(OR(NOT(ISNUMBER('Price History'!G40)),NOT(ISNUMBER('Price History'!G39)),'Price History'!G39=0),"",'Price History'!G40/'Price History'!G39-1),"")</f>
        <v>0.124323463865011</v>
      </c>
      <c r="H39" s="109" t="n">
        <f aca="false">IFERROR(IF(OR(NOT(ISNUMBER('Price History'!H40)),NOT(ISNUMBER('Price History'!H39)),'Price History'!H39=0),"",'Price History'!H40/'Price History'!H39-1),"")</f>
        <v>0.0755830289407138</v>
      </c>
      <c r="I39" s="109" t="n">
        <f aca="false">IFERROR(IF(OR(NOT(ISNUMBER('Price History'!I40)),NOT(ISNUMBER('Price History'!I39)),'Price History'!I39=0),"",'Price History'!I40/'Price History'!I39-1),"")</f>
        <v>0.151443569553806</v>
      </c>
      <c r="J39" s="109" t="n">
        <f aca="false">IFERROR(IF(OR(NOT(ISNUMBER('Price History'!J40)),NOT(ISNUMBER('Price History'!J39)),'Price History'!J39=0),"",'Price History'!J40/'Price History'!J39-1),"")</f>
        <v>0.00550777852932649</v>
      </c>
      <c r="K39" s="109" t="n">
        <f aca="false">IFERROR(IF(OR(NOT(ISNUMBER('Price History'!K40)),NOT(ISNUMBER('Price History'!K39)),'Price History'!K39=0),"",'Price History'!K40/'Price History'!K39-1),"")</f>
        <v>0.100146555935515</v>
      </c>
      <c r="L39" s="109" t="n">
        <f aca="false">IFERROR(IF(OR(NOT(ISNUMBER('Price History'!L40)),NOT(ISNUMBER('Price History'!L39)),'Price History'!L39=0),"",'Price History'!L40/'Price History'!L39-1),"")</f>
        <v>0.0830070477682068</v>
      </c>
      <c r="M39" s="109" t="n">
        <f aca="false">IFERROR(IF(OR(NOT(ISNUMBER('Price History'!M40)),NOT(ISNUMBER('Price History'!M39)),'Price History'!M39=0),"",'Price History'!M40/'Price History'!M39-1),"")</f>
        <v>0.246367151046527</v>
      </c>
      <c r="N39" s="109" t="n">
        <f aca="false">IFERROR(IF(OR(NOT(ISNUMBER('Price History'!N40)),NOT(ISNUMBER('Price History'!N39)),'Price History'!N39=0),"",'Price History'!N40/'Price History'!N39-1),"")</f>
        <v>0.00811605965303852</v>
      </c>
      <c r="O39" s="109" t="n">
        <f aca="false">IFERROR(IF(OR(NOT(ISNUMBER('Price History'!O40)),NOT(ISNUMBER('Price History'!O39)),'Price History'!O39=0),"",'Price History'!O40/'Price History'!O39-1),"")</f>
        <v>0.0247558482852599</v>
      </c>
      <c r="P39" s="109" t="str">
        <f aca="false">IFERROR(IF(OR(NOT(ISNUMBER('Price History'!P40)),NOT(ISNUMBER('Price History'!P39)),'Price History'!P39=0),"",'Price History'!P40/'Price History'!P39-1),"")</f>
        <v/>
      </c>
      <c r="Q39" s="109" t="n">
        <f aca="false">IFERROR(IF(OR(NOT(ISNUMBER('Price History'!Q40)),NOT(ISNUMBER('Price History'!Q39)),'Price History'!Q39=0),"",'Price History'!Q40/'Price History'!Q39-1),"")</f>
        <v>0.00901369388108853</v>
      </c>
      <c r="R39" s="109" t="n">
        <f aca="false">IFERROR(IF(OR(NOT(ISNUMBER('Price History'!R40)),NOT(ISNUMBER('Price History'!R39)),'Price History'!R39=0),"",'Price History'!R40/'Price History'!R39-1),"")</f>
        <v>0.0357985837922894</v>
      </c>
      <c r="S39" s="109" t="n">
        <f aca="false">IFERROR(IF(OR(NOT(ISNUMBER('Price History'!S40)),NOT(ISNUMBER('Price History'!S39)),'Price History'!S39=0),"",'Price History'!S40/'Price History'!S39-1),"")</f>
        <v>0.0300761930223232</v>
      </c>
      <c r="T39" s="109" t="n">
        <f aca="false">IFERROR(IF(OR(NOT(ISNUMBER('Price History'!T40)),NOT(ISNUMBER('Price History'!T39)),'Price History'!T39=0),"",'Price History'!T40/'Price History'!T39-1),"")</f>
        <v>0.0126091173617846</v>
      </c>
      <c r="U39" s="109" t="str">
        <f aca="false">IFERROR(IF(OR(NOT(ISNUMBER('Price History'!U40)),NOT(ISNUMBER('Price History'!U39)),'Price History'!U39=0),"",'Price History'!U40/'Price History'!U39-1),"")</f>
        <v/>
      </c>
      <c r="V39" s="110" t="n">
        <f aca="false">IFERROR(IF(OR(NOT(ISNUMBER('Price History'!V40)),NOT(ISNUMBER('Price History'!V39)),'Price History'!V39=0),"",'Price History'!V40/'Price History'!V39-1),"")</f>
        <v>0.0175637393767705</v>
      </c>
      <c r="W39" s="111" t="n">
        <f aca="false">IFERROR('Price History'!B3+(INDEX('Price History'!B:B,MATCH(9.99E+307,'Price History'!$A:$A))-'Price History'!B3)*(ROW()-3)/(MATCH(9.99E+307,'Returns (Calc)'!$A:$A)-3),"")</f>
        <v>453.671132075472</v>
      </c>
      <c r="X39" s="111" t="n">
        <f aca="false">IFERROR('Price History'!C3+(INDEX('Price History'!C:C,MATCH(9.99E+307,'Price History'!$A:$A))-'Price History'!C3)*(ROW()-3)/(MATCH(9.99E+307,'Returns (Calc)'!$A:$A)-3),"")</f>
        <v>77.711320754717</v>
      </c>
      <c r="Y39" s="111" t="n">
        <f aca="false">IFERROR('Price History'!D3+(INDEX('Price History'!D:D,MATCH(9.99E+307,'Price History'!$A:$A))-'Price History'!D3)*(ROW()-3)/(MATCH(9.99E+307,'Returns (Calc)'!$A:$A)-3),"")</f>
        <v>900.217735849057</v>
      </c>
      <c r="Z39" s="111" t="n">
        <f aca="false">IFERROR('Price History'!E3+(INDEX('Price History'!E:E,MATCH(9.99E+307,'Price History'!$A:$A))-'Price History'!E3)*(ROW()-3)/(MATCH(9.99E+307,'Returns (Calc)'!$A:$A)-3),"")</f>
        <v>145.226037735849</v>
      </c>
      <c r="AA39" s="111" t="n">
        <f aca="false">IFERROR('Price History'!F3+(INDEX('Price History'!F:F,MATCH(9.99E+307,'Price History'!$A:$A))-'Price History'!F3)*(ROW()-3)/(MATCH(9.99E+307,'Returns (Calc)'!$A:$A)-3),"")</f>
        <v>76.9181132075472</v>
      </c>
      <c r="AB39" s="111" t="n">
        <f aca="false">IFERROR('Price History'!G3+(INDEX('Price History'!G:G,MATCH(9.99E+307,'Price History'!$A:$A))-'Price History'!G3)*(ROW()-3)/(MATCH(9.99E+307,'Returns (Calc)'!$A:$A)-3),"")</f>
        <v>79.077358490566</v>
      </c>
      <c r="AC39" s="111" t="n">
        <f aca="false">IFERROR('Price History'!H3+(INDEX('Price History'!H:H,MATCH(9.99E+307,'Price History'!$A:$A))-'Price History'!H3)*(ROW()-3)/(MATCH(9.99E+307,'Returns (Calc)'!$A:$A)-3),"")</f>
        <v>279.966981132076</v>
      </c>
      <c r="AD39" s="111" t="n">
        <f aca="false">IFERROR('Price History'!I3+(INDEX('Price History'!I:I,MATCH(9.99E+307,'Price History'!$A:$A))-'Price History'!I3)*(ROW()-3)/(MATCH(9.99E+307,'Returns (Calc)'!$A:$A)-3),"")</f>
        <v>83.7579245283019</v>
      </c>
      <c r="AE39" s="111" t="n">
        <f aca="false">IFERROR('Price History'!J3+(INDEX('Price History'!J:J,MATCH(9.99E+307,'Price History'!$A:$A))-'Price History'!J3)*(ROW()-3)/(MATCH(9.99E+307,'Returns (Calc)'!$A:$A)-3),"")</f>
        <v>126.641320754717</v>
      </c>
      <c r="AF39" s="111" t="n">
        <f aca="false">IFERROR('Price History'!K3+(INDEX('Price History'!K:K,MATCH(9.99E+307,'Price History'!$A:$A))-'Price History'!K3)*(ROW()-3)/(MATCH(9.99E+307,'Returns (Calc)'!$A:$A)-3),"")</f>
        <v>51.3918867924528</v>
      </c>
      <c r="AG39" s="111" t="n">
        <f aca="false">IFERROR('Price History'!L3+(INDEX('Price History'!L:L,MATCH(9.99E+307,'Price History'!$A:$A))-'Price History'!L3)*(ROW()-3)/(MATCH(9.99E+307,'Returns (Calc)'!$A:$A)-3),"")</f>
        <v>168.273773584906</v>
      </c>
      <c r="AH39" s="111" t="n">
        <f aca="false">IFERROR('Price History'!M3+(INDEX('Price History'!M:M,MATCH(9.99E+307,'Price History'!$A:$A))-'Price History'!M3)*(ROW()-3)/(MATCH(9.99E+307,'Returns (Calc)'!$A:$A)-3),"")</f>
        <v>89.4390566037736</v>
      </c>
      <c r="AI39" s="111" t="n">
        <f aca="false">IFERROR('Price History'!N3+(INDEX('Price History'!N:N,MATCH(9.99E+307,'Price History'!$A:$A))-'Price History'!N3)*(ROW()-3)/(MATCH(9.99E+307,'Returns (Calc)'!$A:$A)-3),"")</f>
        <v>394.296226415094</v>
      </c>
      <c r="AJ39" s="111" t="n">
        <f aca="false">IFERROR('Price History'!O3+(INDEX('Price History'!O:O,MATCH(9.99E+307,'Price History'!$A:$A))-'Price History'!O3)*(ROW()-3)/(MATCH(9.99E+307,'Returns (Calc)'!$A:$A)-3),"")</f>
        <v>92.8303773584906</v>
      </c>
      <c r="AK39" s="111" t="n">
        <f aca="false">IFERROR('Price History'!Q3+(INDEX('Price History'!Q:Q,MATCH(9.99E+307,'Price History'!$A:$A))-'Price History'!Q3)*(ROW()-3)/(MATCH(9.99E+307,'Returns (Calc)'!$A:$A)-3),"")</f>
        <v>54.3411320754717</v>
      </c>
      <c r="AL39" s="111" t="n">
        <f aca="false">IFERROR('Price History'!R3+(INDEX('Price History'!R:R,MATCH(9.99E+307,'Price History'!$A:$A))-'Price History'!R3)*(ROW()-3)/(MATCH(9.99E+307,'Returns (Calc)'!$A:$A)-3),"")</f>
        <v>50.5483018867925</v>
      </c>
      <c r="AM39" s="111" t="n">
        <f aca="false">IFERROR('Price History'!S3+(INDEX('Price History'!S:S,MATCH(9.99E+307,'Price History'!$A:$A))-'Price History'!S3)*(ROW()-3)/(MATCH(9.99E+307,'Returns (Calc)'!$A:$A)-3),"")</f>
        <v>79.1845283018868</v>
      </c>
      <c r="AN39" s="111" t="n">
        <f aca="false">IFERROR('Price History'!T3+(INDEX('Price History'!T:T,MATCH(9.99E+307,'Price History'!$A:$A))-'Price History'!T3)*(ROW()-3)/(MATCH(9.99E+307,'Returns (Calc)'!$A:$A)-3),"")</f>
        <v>33.3356603773585</v>
      </c>
      <c r="AO39" s="112" t="n">
        <f aca="false">IFERROR('Price History'!V3+(INDEX('Price History'!V:V,MATCH(9.99E+307,'Price History'!$A:$A))-'Price History'!V3)*(ROW()-3)/(MATCH(9.99E+307,'Returns (Calc)'!$A:$A)-3),"")</f>
        <v>84.9215094339623</v>
      </c>
    </row>
    <row r="40" customFormat="false" ht="15" hidden="false" customHeight="true" outlineLevel="0" collapsed="false">
      <c r="A40" s="108" t="n">
        <f aca="false">IF('Price History'!A41="","",'Price History'!A41)</f>
        <v>45415</v>
      </c>
      <c r="B40" s="109" t="n">
        <f aca="false">IFERROR(IF(OR(NOT(ISNUMBER('Price History'!B41)),NOT(ISNUMBER('Price History'!B40)),'Price History'!B40=0),"",'Price History'!B41/'Price History'!B40-1),"")</f>
        <v>0.0180500879470642</v>
      </c>
      <c r="C40" s="109" t="n">
        <f aca="false">IFERROR(IF(OR(NOT(ISNUMBER('Price History'!C41)),NOT(ISNUMBER('Price History'!C40)),'Price History'!C40=0),"",'Price History'!C41/'Price History'!C40-1),"")</f>
        <v>0.0365669386521605</v>
      </c>
      <c r="D40" s="109" t="n">
        <f aca="false">IFERROR(IF(OR(NOT(ISNUMBER('Price History'!D41)),NOT(ISNUMBER('Price History'!D40)),'Price History'!D40=0),"",'Price History'!D41/'Price History'!D40-1),"")</f>
        <v>-0.0188689511083061</v>
      </c>
      <c r="E40" s="109" t="n">
        <f aca="false">IFERROR(IF(OR(NOT(ISNUMBER('Price History'!E41)),NOT(ISNUMBER('Price History'!E40)),'Price History'!E40=0),"",'Price History'!E41/'Price History'!E40-1),"")</f>
        <v>-0.049103489323711</v>
      </c>
      <c r="F40" s="109" t="n">
        <f aca="false">IFERROR(IF(OR(NOT(ISNUMBER('Price History'!F41)),NOT(ISNUMBER('Price History'!F40)),'Price History'!F40=0),"",'Price History'!F41/'Price History'!F40-1),"")</f>
        <v>0.0201262825572217</v>
      </c>
      <c r="G40" s="109" t="n">
        <f aca="false">IFERROR(IF(OR(NOT(ISNUMBER('Price History'!G41)),NOT(ISNUMBER('Price History'!G40)),'Price History'!G40=0),"",'Price History'!G41/'Price History'!G40-1),"")</f>
        <v>-0.0137335409882486</v>
      </c>
      <c r="H40" s="109" t="n">
        <f aca="false">IFERROR(IF(OR(NOT(ISNUMBER('Price History'!H41)),NOT(ISNUMBER('Price History'!H40)),'Price History'!H40=0),"",'Price History'!H41/'Price History'!H40-1),"")</f>
        <v>-0.00121908742598398</v>
      </c>
      <c r="I40" s="109" t="n">
        <f aca="false">IFERROR(IF(OR(NOT(ISNUMBER('Price History'!I41)),NOT(ISNUMBER('Price History'!I40)),'Price History'!I40=0),"",'Price History'!I41/'Price History'!I40-1),"")</f>
        <v>0.0119671757465241</v>
      </c>
      <c r="J40" s="109" t="n">
        <f aca="false">IFERROR(IF(OR(NOT(ISNUMBER('Price History'!J41)),NOT(ISNUMBER('Price History'!J40)),'Price History'!J40=0),"",'Price History'!J41/'Price History'!J40-1),"")</f>
        <v>0.0175860080722661</v>
      </c>
      <c r="K40" s="109" t="n">
        <f aca="false">IFERROR(IF(OR(NOT(ISNUMBER('Price History'!K41)),NOT(ISNUMBER('Price History'!K40)),'Price History'!K40=0),"",'Price History'!K41/'Price History'!K40-1),"")</f>
        <v>0.0359680284191828</v>
      </c>
      <c r="L40" s="109" t="n">
        <f aca="false">IFERROR(IF(OR(NOT(ISNUMBER('Price History'!L41)),NOT(ISNUMBER('Price History'!L40)),'Price History'!L40=0),"",'Price History'!L41/'Price History'!L40-1),"")</f>
        <v>0.0235719450469991</v>
      </c>
      <c r="M40" s="109" t="n">
        <f aca="false">IFERROR(IF(OR(NOT(ISNUMBER('Price History'!M41)),NOT(ISNUMBER('Price History'!M40)),'Price History'!M40=0),"",'Price History'!M41/'Price History'!M40-1),"")</f>
        <v>-0.00513423895603793</v>
      </c>
      <c r="N40" s="109" t="n">
        <f aca="false">IFERROR(IF(OR(NOT(ISNUMBER('Price History'!N41)),NOT(ISNUMBER('Price History'!N40)),'Price History'!N40=0),"",'Price History'!N41/'Price History'!N40-1),"")</f>
        <v>0.00905705947469038</v>
      </c>
      <c r="O40" s="109" t="n">
        <f aca="false">IFERROR(IF(OR(NOT(ISNUMBER('Price History'!O41)),NOT(ISNUMBER('Price History'!O40)),'Price History'!O40=0),"",'Price History'!O41/'Price History'!O40-1),"")</f>
        <v>0.00687056737588665</v>
      </c>
      <c r="P40" s="109" t="str">
        <f aca="false">IFERROR(IF(OR(NOT(ISNUMBER('Price History'!P41)),NOT(ISNUMBER('Price History'!P40)),'Price History'!P40=0),"",'Price History'!P41/'Price History'!P40-1),"")</f>
        <v/>
      </c>
      <c r="Q40" s="109" t="n">
        <f aca="false">IFERROR(IF(OR(NOT(ISNUMBER('Price History'!Q41)),NOT(ISNUMBER('Price History'!Q40)),'Price History'!Q40=0),"",'Price History'!Q41/'Price History'!Q40-1),"")</f>
        <v>0.00326404397869773</v>
      </c>
      <c r="R40" s="109" t="n">
        <f aca="false">IFERROR(IF(OR(NOT(ISNUMBER('Price History'!R41)),NOT(ISNUMBER('Price History'!R40)),'Price History'!R40=0),"",'Price History'!R41/'Price History'!R40-1),"")</f>
        <v>0.00170907709836698</v>
      </c>
      <c r="S40" s="109" t="n">
        <f aca="false">IFERROR(IF(OR(NOT(ISNUMBER('Price History'!S41)),NOT(ISNUMBER('Price History'!S40)),'Price History'!S40=0),"",'Price History'!S41/'Price History'!S40-1),"")</f>
        <v>0.00986244484817012</v>
      </c>
      <c r="T40" s="109" t="n">
        <f aca="false">IFERROR(IF(OR(NOT(ISNUMBER('Price History'!T41)),NOT(ISNUMBER('Price History'!T40)),'Price History'!T40=0),"",'Price History'!T41/'Price History'!T40-1),"")</f>
        <v>-0.0156449553001278</v>
      </c>
      <c r="U40" s="109" t="str">
        <f aca="false">IFERROR(IF(OR(NOT(ISNUMBER('Price History'!U41)),NOT(ISNUMBER('Price History'!U40)),'Price History'!U40=0),"",'Price History'!U41/'Price History'!U40-1),"")</f>
        <v/>
      </c>
      <c r="V40" s="110" t="n">
        <f aca="false">IFERROR(IF(OR(NOT(ISNUMBER('Price History'!V41)),NOT(ISNUMBER('Price History'!V40)),'Price History'!V40=0),"",'Price History'!V41/'Price History'!V40-1),"")</f>
        <v>-0.0219376391982181</v>
      </c>
      <c r="W40" s="111" t="n">
        <f aca="false">IFERROR('Price History'!B3+(INDEX('Price History'!B:B,MATCH(9.99E+307,'Price History'!$A:$A))-'Price History'!B3)*(ROW()-3)/(MATCH(9.99E+307,'Returns (Calc)'!$A:$A)-3),"")</f>
        <v>452.149496855346</v>
      </c>
      <c r="X40" s="111" t="n">
        <f aca="false">IFERROR('Price History'!C3+(INDEX('Price History'!C:C,MATCH(9.99E+307,'Price History'!$A:$A))-'Price History'!C3)*(ROW()-3)/(MATCH(9.99E+307,'Returns (Calc)'!$A:$A)-3),"")</f>
        <v>78.6549685534591</v>
      </c>
      <c r="Y40" s="111" t="n">
        <f aca="false">IFERROR('Price History'!D3+(INDEX('Price History'!D:D,MATCH(9.99E+307,'Price History'!$A:$A))-'Price History'!D3)*(ROW()-3)/(MATCH(9.99E+307,'Returns (Calc)'!$A:$A)-3),"")</f>
        <v>906.841006289308</v>
      </c>
      <c r="Z40" s="111" t="n">
        <f aca="false">IFERROR('Price History'!E3+(INDEX('Price History'!E:E,MATCH(9.99E+307,'Price History'!$A:$A))-'Price History'!E3)*(ROW()-3)/(MATCH(9.99E+307,'Returns (Calc)'!$A:$A)-3),"")</f>
        <v>146.955094339623</v>
      </c>
      <c r="AA40" s="111" t="n">
        <f aca="false">IFERROR('Price History'!F3+(INDEX('Price History'!F:F,MATCH(9.99E+307,'Price History'!$A:$A))-'Price History'!F3)*(ROW()-3)/(MATCH(9.99E+307,'Returns (Calc)'!$A:$A)-3),"")</f>
        <v>78.0252830188679</v>
      </c>
      <c r="AB40" s="111" t="n">
        <f aca="false">IFERROR('Price History'!G3+(INDEX('Price History'!G:G,MATCH(9.99E+307,'Price History'!$A:$A))-'Price History'!G3)*(ROW()-3)/(MATCH(9.99E+307,'Returns (Calc)'!$A:$A)-3),"")</f>
        <v>79.9433962264151</v>
      </c>
      <c r="AC40" s="111" t="n">
        <f aca="false">IFERROR('Price History'!H3+(INDEX('Price History'!H:H,MATCH(9.99E+307,'Price History'!$A:$A))-'Price History'!H3)*(ROW()-3)/(MATCH(9.99E+307,'Returns (Calc)'!$A:$A)-3),"")</f>
        <v>285.955786163522</v>
      </c>
      <c r="AD40" s="111" t="n">
        <f aca="false">IFERROR('Price History'!I3+(INDEX('Price History'!I:I,MATCH(9.99E+307,'Price History'!$A:$A))-'Price History'!I3)*(ROW()-3)/(MATCH(9.99E+307,'Returns (Calc)'!$A:$A)-3),"")</f>
        <v>84.9498113207547</v>
      </c>
      <c r="AE40" s="111" t="n">
        <f aca="false">IFERROR('Price History'!J3+(INDEX('Price History'!J:J,MATCH(9.99E+307,'Price History'!$A:$A))-'Price History'!J3)*(ROW()-3)/(MATCH(9.99E+307,'Returns (Calc)'!$A:$A)-3),"")</f>
        <v>126.728301886792</v>
      </c>
      <c r="AF40" s="111" t="n">
        <f aca="false">IFERROR('Price History'!K3+(INDEX('Price History'!K:K,MATCH(9.99E+307,'Price History'!$A:$A))-'Price History'!K3)*(ROW()-3)/(MATCH(9.99E+307,'Returns (Calc)'!$A:$A)-3),"")</f>
        <v>52.3913836477988</v>
      </c>
      <c r="AG40" s="111" t="n">
        <f aca="false">IFERROR('Price History'!L3+(INDEX('Price History'!L:L,MATCH(9.99E+307,'Price History'!$A:$A))-'Price History'!L3)*(ROW()-3)/(MATCH(9.99E+307,'Returns (Calc)'!$A:$A)-3),"")</f>
        <v>170.392767295597</v>
      </c>
      <c r="AH40" s="111" t="n">
        <f aca="false">IFERROR('Price History'!M3+(INDEX('Price History'!M:M,MATCH(9.99E+307,'Price History'!$A:$A))-'Price History'!M3)*(ROW()-3)/(MATCH(9.99E+307,'Returns (Calc)'!$A:$A)-3),"")</f>
        <v>90.992641509434</v>
      </c>
      <c r="AI40" s="111" t="n">
        <f aca="false">IFERROR('Price History'!N3+(INDEX('Price History'!N:N,MATCH(9.99E+307,'Price History'!$A:$A))-'Price History'!N3)*(ROW()-3)/(MATCH(9.99E+307,'Returns (Calc)'!$A:$A)-3),"")</f>
        <v>395.530566037736</v>
      </c>
      <c r="AJ40" s="111" t="n">
        <f aca="false">IFERROR('Price History'!O3+(INDEX('Price History'!O:O,MATCH(9.99E+307,'Price History'!$A:$A))-'Price History'!O3)*(ROW()-3)/(MATCH(9.99E+307,'Returns (Calc)'!$A:$A)-3),"")</f>
        <v>93.1076100628931</v>
      </c>
      <c r="AK40" s="111" t="n">
        <f aca="false">IFERROR('Price History'!Q3+(INDEX('Price History'!Q:Q,MATCH(9.99E+307,'Price History'!$A:$A))-'Price History'!Q3)*(ROW()-3)/(MATCH(9.99E+307,'Returns (Calc)'!$A:$A)-3),"")</f>
        <v>54.4661635220126</v>
      </c>
      <c r="AL40" s="111" t="n">
        <f aca="false">IFERROR('Price History'!R3+(INDEX('Price History'!R:R,MATCH(9.99E+307,'Price History'!$A:$A))-'Price History'!R3)*(ROW()-3)/(MATCH(9.99E+307,'Returns (Calc)'!$A:$A)-3),"")</f>
        <v>50.6240880503145</v>
      </c>
      <c r="AM40" s="111" t="n">
        <f aca="false">IFERROR('Price History'!S3+(INDEX('Price History'!S:S,MATCH(9.99E+307,'Price History'!$A:$A))-'Price History'!S3)*(ROW()-3)/(MATCH(9.99E+307,'Returns (Calc)'!$A:$A)-3),"")</f>
        <v>79.7579874213837</v>
      </c>
      <c r="AN40" s="111" t="n">
        <f aca="false">IFERROR('Price History'!T3+(INDEX('Price History'!T:T,MATCH(9.99E+307,'Price History'!$A:$A))-'Price History'!T3)*(ROW()-3)/(MATCH(9.99E+307,'Returns (Calc)'!$A:$A)-3),"")</f>
        <v>33.5141509433962</v>
      </c>
      <c r="AO40" s="112" t="n">
        <f aca="false">IFERROR('Price History'!V3+(INDEX('Price History'!V:V,MATCH(9.99E+307,'Price History'!$A:$A))-'Price History'!V3)*(ROW()-3)/(MATCH(9.99E+307,'Returns (Calc)'!$A:$A)-3),"")</f>
        <v>87.2804402515723</v>
      </c>
    </row>
    <row r="41" customFormat="false" ht="15" hidden="false" customHeight="true" outlineLevel="0" collapsed="false">
      <c r="A41" s="108" t="n">
        <f aca="false">IF('Price History'!A42="","",'Price History'!A42)</f>
        <v>45422</v>
      </c>
      <c r="B41" s="109" t="n">
        <f aca="false">IFERROR(IF(OR(NOT(ISNUMBER('Price History'!B42)),NOT(ISNUMBER('Price History'!B41)),'Price History'!B41=0),"",'Price History'!B42/'Price History'!B41-1),"")</f>
        <v>-0.00800115183676819</v>
      </c>
      <c r="C41" s="109" t="n">
        <f aca="false">IFERROR(IF(OR(NOT(ISNUMBER('Price History'!C42)),NOT(ISNUMBER('Price History'!C41)),'Price History'!C41=0),"",'Price History'!C42/'Price History'!C41-1),"")</f>
        <v>0.144460641399417</v>
      </c>
      <c r="D41" s="109" t="n">
        <f aca="false">IFERROR(IF(OR(NOT(ISNUMBER('Price History'!D42)),NOT(ISNUMBER('Price History'!D41)),'Price History'!D41=0),"",'Price History'!D42/'Price History'!D41-1),"")</f>
        <v>0.0317868748821579</v>
      </c>
      <c r="E41" s="109" t="n">
        <f aca="false">IFERROR(IF(OR(NOT(ISNUMBER('Price History'!E42)),NOT(ISNUMBER('Price History'!E41)),'Price History'!E41=0),"",'Price History'!E42/'Price History'!E41-1),"")</f>
        <v>0.0427979031374697</v>
      </c>
      <c r="F41" s="109" t="n">
        <f aca="false">IFERROR(IF(OR(NOT(ISNUMBER('Price History'!F42)),NOT(ISNUMBER('Price History'!F41)),'Price History'!F41=0),"",'Price History'!F42/'Price History'!F41-1),"")</f>
        <v>0.0340425531914894</v>
      </c>
      <c r="G41" s="109" t="n">
        <f aca="false">IFERROR(IF(OR(NOT(ISNUMBER('Price History'!G42)),NOT(ISNUMBER('Price History'!G41)),'Price History'!G41=0),"",'Price History'!G42/'Price History'!G41-1),"")</f>
        <v>0.0311513063451048</v>
      </c>
      <c r="H41" s="109" t="n">
        <f aca="false">IFERROR(IF(OR(NOT(ISNUMBER('Price History'!H42)),NOT(ISNUMBER('Price History'!H41)),'Price History'!H41=0),"",'Price History'!H42/'Price History'!H41-1),"")</f>
        <v>0.0570183086312117</v>
      </c>
      <c r="I41" s="109" t="n">
        <f aca="false">IFERROR(IF(OR(NOT(ISNUMBER('Price History'!I42)),NOT(ISNUMBER('Price History'!I41)),'Price History'!I41=0),"",'Price History'!I42/'Price History'!I41-1),"")</f>
        <v>0.0122761572249126</v>
      </c>
      <c r="J41" s="109" t="n">
        <f aca="false">IFERROR(IF(OR(NOT(ISNUMBER('Price History'!J42)),NOT(ISNUMBER('Price History'!J41)),'Price History'!J41=0),"",'Price History'!J42/'Price History'!J41-1),"")</f>
        <v>0.015110019831901</v>
      </c>
      <c r="K41" s="109" t="n">
        <f aca="false">IFERROR(IF(OR(NOT(ISNUMBER('Price History'!K42)),NOT(ISNUMBER('Price History'!K41)),'Price History'!K41=0),"",'Price History'!K42/'Price History'!K41-1),"")</f>
        <v>-0.11701671667381</v>
      </c>
      <c r="L41" s="109" t="n">
        <f aca="false">IFERROR(IF(OR(NOT(ISNUMBER('Price History'!L42)),NOT(ISNUMBER('Price History'!L41)),'Price History'!L41=0),"",'Price History'!L42/'Price History'!L41-1),"")</f>
        <v>0.054393896580955</v>
      </c>
      <c r="M41" s="109" t="n">
        <f aca="false">IFERROR(IF(OR(NOT(ISNUMBER('Price History'!M42)),NOT(ISNUMBER('Price History'!M41)),'Price History'!M41=0),"",'Price History'!M42/'Price History'!M41-1),"")</f>
        <v>0.0256961617030427</v>
      </c>
      <c r="N41" s="109" t="n">
        <f aca="false">IFERROR(IF(OR(NOT(ISNUMBER('Price History'!N42)),NOT(ISNUMBER('Price History'!N41)),'Price History'!N41=0),"",'Price History'!N42/'Price History'!N41-1),"")</f>
        <v>0.0541039194175725</v>
      </c>
      <c r="O41" s="109" t="n">
        <f aca="false">IFERROR(IF(OR(NOT(ISNUMBER('Price History'!O42)),NOT(ISNUMBER('Price History'!O41)),'Price History'!O41=0),"",'Price History'!O42/'Price History'!O41-1),"")</f>
        <v>0.017279330838653</v>
      </c>
      <c r="P41" s="109" t="str">
        <f aca="false">IFERROR(IF(OR(NOT(ISNUMBER('Price History'!P42)),NOT(ISNUMBER('Price History'!P41)),'Price History'!P41=0),"",'Price History'!P42/'Price History'!P41-1),"")</f>
        <v/>
      </c>
      <c r="Q41" s="109" t="n">
        <f aca="false">IFERROR(IF(OR(NOT(ISNUMBER('Price History'!Q42)),NOT(ISNUMBER('Price History'!Q41)),'Price History'!Q41=0),"",'Price History'!Q42/'Price History'!Q41-1),"")</f>
        <v>0.00273972602739736</v>
      </c>
      <c r="R41" s="109" t="n">
        <f aca="false">IFERROR(IF(OR(NOT(ISNUMBER('Price History'!R42)),NOT(ISNUMBER('Price History'!R41)),'Price History'!R41=0),"",'Price History'!R42/'Price History'!R41-1),"")</f>
        <v>0.0138388625592416</v>
      </c>
      <c r="S41" s="109" t="n">
        <f aca="false">IFERROR(IF(OR(NOT(ISNUMBER('Price History'!S42)),NOT(ISNUMBER('Price History'!S41)),'Price History'!S41=0),"",'Price History'!S42/'Price History'!S41-1),"")</f>
        <v>0.0222307890002571</v>
      </c>
      <c r="T41" s="109" t="n">
        <f aca="false">IFERROR(IF(OR(NOT(ISNUMBER('Price History'!T42)),NOT(ISNUMBER('Price History'!T41)),'Price History'!T41=0),"",'Price History'!T42/'Price History'!T41-1),"")</f>
        <v>0.0220564385338957</v>
      </c>
      <c r="U41" s="109" t="str">
        <f aca="false">IFERROR(IF(OR(NOT(ISNUMBER('Price History'!U42)),NOT(ISNUMBER('Price History'!U41)),'Price History'!U41=0),"",'Price History'!U42/'Price History'!U41-1),"")</f>
        <v/>
      </c>
      <c r="V41" s="110" t="n">
        <f aca="false">IFERROR(IF(OR(NOT(ISNUMBER('Price History'!V42)),NOT(ISNUMBER('Price History'!V41)),'Price History'!V41=0),"",'Price History'!V42/'Price History'!V41-1),"")</f>
        <v>0.045618429541918</v>
      </c>
      <c r="W41" s="111" t="n">
        <f aca="false">IFERROR('Price History'!B3+(INDEX('Price History'!B:B,MATCH(9.99E+307,'Price History'!$A:$A))-'Price History'!B3)*(ROW()-3)/(MATCH(9.99E+307,'Returns (Calc)'!$A:$A)-3),"")</f>
        <v>450.62786163522</v>
      </c>
      <c r="X41" s="111" t="n">
        <f aca="false">IFERROR('Price History'!C3+(INDEX('Price History'!C:C,MATCH(9.99E+307,'Price History'!$A:$A))-'Price History'!C3)*(ROW()-3)/(MATCH(9.99E+307,'Returns (Calc)'!$A:$A)-3),"")</f>
        <v>79.5986163522013</v>
      </c>
      <c r="Y41" s="111" t="n">
        <f aca="false">IFERROR('Price History'!D3+(INDEX('Price History'!D:D,MATCH(9.99E+307,'Price History'!$A:$A))-'Price History'!D3)*(ROW()-3)/(MATCH(9.99E+307,'Returns (Calc)'!$A:$A)-3),"")</f>
        <v>913.46427672956</v>
      </c>
      <c r="Z41" s="111" t="n">
        <f aca="false">IFERROR('Price History'!E3+(INDEX('Price History'!E:E,MATCH(9.99E+307,'Price History'!$A:$A))-'Price History'!E3)*(ROW()-3)/(MATCH(9.99E+307,'Returns (Calc)'!$A:$A)-3),"")</f>
        <v>148.684150943396</v>
      </c>
      <c r="AA41" s="111" t="n">
        <f aca="false">IFERROR('Price History'!F3+(INDEX('Price History'!F:F,MATCH(9.99E+307,'Price History'!$A:$A))-'Price History'!F3)*(ROW()-3)/(MATCH(9.99E+307,'Returns (Calc)'!$A:$A)-3),"")</f>
        <v>79.1324528301887</v>
      </c>
      <c r="AB41" s="111" t="n">
        <f aca="false">IFERROR('Price History'!G3+(INDEX('Price History'!G:G,MATCH(9.99E+307,'Price History'!$A:$A))-'Price History'!G3)*(ROW()-3)/(MATCH(9.99E+307,'Returns (Calc)'!$A:$A)-3),"")</f>
        <v>80.8094339622641</v>
      </c>
      <c r="AC41" s="111" t="n">
        <f aca="false">IFERROR('Price History'!H3+(INDEX('Price History'!H:H,MATCH(9.99E+307,'Price History'!$A:$A))-'Price History'!H3)*(ROW()-3)/(MATCH(9.99E+307,'Returns (Calc)'!$A:$A)-3),"")</f>
        <v>291.944591194969</v>
      </c>
      <c r="AD41" s="111" t="n">
        <f aca="false">IFERROR('Price History'!I3+(INDEX('Price History'!I:I,MATCH(9.99E+307,'Price History'!$A:$A))-'Price History'!I3)*(ROW()-3)/(MATCH(9.99E+307,'Returns (Calc)'!$A:$A)-3),"")</f>
        <v>86.1416981132076</v>
      </c>
      <c r="AE41" s="111" t="n">
        <f aca="false">IFERROR('Price History'!J3+(INDEX('Price History'!J:J,MATCH(9.99E+307,'Price History'!$A:$A))-'Price History'!J3)*(ROW()-3)/(MATCH(9.99E+307,'Returns (Calc)'!$A:$A)-3),"")</f>
        <v>126.815283018868</v>
      </c>
      <c r="AF41" s="111" t="n">
        <f aca="false">IFERROR('Price History'!K3+(INDEX('Price History'!K:K,MATCH(9.99E+307,'Price History'!$A:$A))-'Price History'!K3)*(ROW()-3)/(MATCH(9.99E+307,'Returns (Calc)'!$A:$A)-3),"")</f>
        <v>53.3908805031447</v>
      </c>
      <c r="AG41" s="111" t="n">
        <f aca="false">IFERROR('Price History'!L3+(INDEX('Price History'!L:L,MATCH(9.99E+307,'Price History'!$A:$A))-'Price History'!L3)*(ROW()-3)/(MATCH(9.99E+307,'Returns (Calc)'!$A:$A)-3),"")</f>
        <v>172.511761006289</v>
      </c>
      <c r="AH41" s="111" t="n">
        <f aca="false">IFERROR('Price History'!M3+(INDEX('Price History'!M:M,MATCH(9.99E+307,'Price History'!$A:$A))-'Price History'!M3)*(ROW()-3)/(MATCH(9.99E+307,'Returns (Calc)'!$A:$A)-3),"")</f>
        <v>92.5462264150943</v>
      </c>
      <c r="AI41" s="111" t="n">
        <f aca="false">IFERROR('Price History'!N3+(INDEX('Price History'!N:N,MATCH(9.99E+307,'Price History'!$A:$A))-'Price History'!N3)*(ROW()-3)/(MATCH(9.99E+307,'Returns (Calc)'!$A:$A)-3),"")</f>
        <v>396.764905660377</v>
      </c>
      <c r="AJ41" s="111" t="n">
        <f aca="false">IFERROR('Price History'!O3+(INDEX('Price History'!O:O,MATCH(9.99E+307,'Price History'!$A:$A))-'Price History'!O3)*(ROW()-3)/(MATCH(9.99E+307,'Returns (Calc)'!$A:$A)-3),"")</f>
        <v>93.3848427672956</v>
      </c>
      <c r="AK41" s="111" t="n">
        <f aca="false">IFERROR('Price History'!Q3+(INDEX('Price History'!Q:Q,MATCH(9.99E+307,'Price History'!$A:$A))-'Price History'!Q3)*(ROW()-3)/(MATCH(9.99E+307,'Returns (Calc)'!$A:$A)-3),"")</f>
        <v>54.5911949685535</v>
      </c>
      <c r="AL41" s="111" t="n">
        <f aca="false">IFERROR('Price History'!R3+(INDEX('Price History'!R:R,MATCH(9.99E+307,'Price History'!$A:$A))-'Price History'!R3)*(ROW()-3)/(MATCH(9.99E+307,'Returns (Calc)'!$A:$A)-3),"")</f>
        <v>50.6998742138365</v>
      </c>
      <c r="AM41" s="111" t="n">
        <f aca="false">IFERROR('Price History'!S3+(INDEX('Price History'!S:S,MATCH(9.99E+307,'Price History'!$A:$A))-'Price History'!S3)*(ROW()-3)/(MATCH(9.99E+307,'Returns (Calc)'!$A:$A)-3),"")</f>
        <v>80.3314465408805</v>
      </c>
      <c r="AN41" s="111" t="n">
        <f aca="false">IFERROR('Price History'!T3+(INDEX('Price History'!T:T,MATCH(9.99E+307,'Price History'!$A:$A))-'Price History'!T3)*(ROW()-3)/(MATCH(9.99E+307,'Returns (Calc)'!$A:$A)-3),"")</f>
        <v>33.692641509434</v>
      </c>
      <c r="AO41" s="112" t="n">
        <f aca="false">IFERROR('Price History'!V3+(INDEX('Price History'!V:V,MATCH(9.99E+307,'Price History'!$A:$A))-'Price History'!V3)*(ROW()-3)/(MATCH(9.99E+307,'Returns (Calc)'!$A:$A)-3),"")</f>
        <v>89.6393710691824</v>
      </c>
    </row>
    <row r="42" customFormat="false" ht="15" hidden="false" customHeight="true" outlineLevel="0" collapsed="false">
      <c r="A42" s="108" t="n">
        <f aca="false">IF('Price History'!A43="","",'Price History'!A43)</f>
        <v>45429</v>
      </c>
      <c r="B42" s="109" t="n">
        <f aca="false">IFERROR(IF(OR(NOT(ISNUMBER('Price History'!B43)),NOT(ISNUMBER('Price History'!B42)),'Price History'!B42=0),"",'Price History'!B43/'Price History'!B42-1),"")</f>
        <v>0.00236372307118127</v>
      </c>
      <c r="C42" s="109" t="n">
        <f aca="false">IFERROR(IF(OR(NOT(ISNUMBER('Price History'!C43)),NOT(ISNUMBER('Price History'!C42)),'Price History'!C42=0),"",'Price History'!C43/'Price History'!C42-1),"")</f>
        <v>0.0185963571519552</v>
      </c>
      <c r="D42" s="109" t="n">
        <f aca="false">IFERROR(IF(OR(NOT(ISNUMBER('Price History'!D43)),NOT(ISNUMBER('Price History'!D42)),'Price History'!D42=0),"",'Price History'!D43/'Price History'!D42-1),"")</f>
        <v>-0.0057186468735555</v>
      </c>
      <c r="E42" s="109" t="n">
        <f aca="false">IFERROR(IF(OR(NOT(ISNUMBER('Price History'!E43)),NOT(ISNUMBER('Price History'!E42)),'Price History'!E42=0),"",'Price History'!E43/'Price History'!E42-1),"")</f>
        <v>0.0468937575030013</v>
      </c>
      <c r="F42" s="109" t="n">
        <f aca="false">IFERROR(IF(OR(NOT(ISNUMBER('Price History'!F43)),NOT(ISNUMBER('Price History'!F42)),'Price History'!F42=0),"",'Price History'!F43/'Price History'!F42-1),"")</f>
        <v>0.0784387080683378</v>
      </c>
      <c r="G42" s="109" t="n">
        <f aca="false">IFERROR(IF(OR(NOT(ISNUMBER('Price History'!G43)),NOT(ISNUMBER('Price History'!G42)),'Price History'!G42=0),"",'Price History'!G43/'Price History'!G42-1),"")</f>
        <v>0.0409299735486566</v>
      </c>
      <c r="H42" s="109" t="n">
        <f aca="false">IFERROR(IF(OR(NOT(ISNUMBER('Price History'!H43)),NOT(ISNUMBER('Price History'!H42)),'Price History'!H42=0),"",'Price History'!H43/'Price History'!H42-1),"")</f>
        <v>0.0334048168921148</v>
      </c>
      <c r="I42" s="109" t="n">
        <f aca="false">IFERROR(IF(OR(NOT(ISNUMBER('Price History'!I43)),NOT(ISNUMBER('Price History'!I42)),'Price History'!I42=0),"",'Price History'!I43/'Price History'!I42-1),"")</f>
        <v>0.0289274588340009</v>
      </c>
      <c r="J42" s="109" t="n">
        <f aca="false">IFERROR(IF(OR(NOT(ISNUMBER('Price History'!J43)),NOT(ISNUMBER('Price History'!J42)),'Price History'!J42=0),"",'Price History'!J43/'Price History'!J42-1),"")</f>
        <v>0.0373057958879897</v>
      </c>
      <c r="K42" s="109" t="n">
        <f aca="false">IFERROR(IF(OR(NOT(ISNUMBER('Price History'!K43)),NOT(ISNUMBER('Price History'!K42)),'Price History'!K42=0),"",'Price History'!K43/'Price History'!K42-1),"")</f>
        <v>0.0563106796116506</v>
      </c>
      <c r="L42" s="109" t="n">
        <f aca="false">IFERROR(IF(OR(NOT(ISNUMBER('Price History'!L43)),NOT(ISNUMBER('Price History'!L42)),'Price History'!L42=0),"",'Price History'!L43/'Price History'!L42-1),"")</f>
        <v>0.0162133190406004</v>
      </c>
      <c r="M42" s="109" t="n">
        <f aca="false">IFERROR(IF(OR(NOT(ISNUMBER('Price History'!M43)),NOT(ISNUMBER('Price History'!M42)),'Price History'!M42=0),"",'Price History'!M43/'Price History'!M42-1),"")</f>
        <v>0.0147798742138365</v>
      </c>
      <c r="N42" s="109" t="n">
        <f aca="false">IFERROR(IF(OR(NOT(ISNUMBER('Price History'!N43)),NOT(ISNUMBER('Price History'!N42)),'Price History'!N42=0),"",'Price History'!N43/'Price History'!N42-1),"")</f>
        <v>0.0530535976157813</v>
      </c>
      <c r="O42" s="109" t="n">
        <f aca="false">IFERROR(IF(OR(NOT(ISNUMBER('Price History'!O43)),NOT(ISNUMBER('Price History'!O42)),'Price History'!O42=0),"",'Price History'!O43/'Price History'!O42-1),"")</f>
        <v>0.0110353781239856</v>
      </c>
      <c r="P42" s="109" t="str">
        <f aca="false">IFERROR(IF(OR(NOT(ISNUMBER('Price History'!P43)),NOT(ISNUMBER('Price History'!P42)),'Price History'!P42=0),"",'Price History'!P43/'Price History'!P42-1),"")</f>
        <v/>
      </c>
      <c r="Q42" s="109" t="n">
        <f aca="false">IFERROR(IF(OR(NOT(ISNUMBER('Price History'!Q43)),NOT(ISNUMBER('Price History'!Q42)),'Price History'!Q42=0),"",'Price History'!Q43/'Price History'!Q42-1),"")</f>
        <v>0.00717213114754078</v>
      </c>
      <c r="R42" s="109" t="n">
        <f aca="false">IFERROR(IF(OR(NOT(ISNUMBER('Price History'!R43)),NOT(ISNUMBER('Price History'!R42)),'Price History'!R42=0),"",'Price History'!R43/'Price History'!R42-1),"")</f>
        <v>0.011967090501122</v>
      </c>
      <c r="S42" s="109" t="n">
        <f aca="false">IFERROR(IF(OR(NOT(ISNUMBER('Price History'!S43)),NOT(ISNUMBER('Price History'!S42)),'Price History'!S42=0),"",'Price History'!S43/'Price History'!S42-1),"")</f>
        <v>0.0150848522941547</v>
      </c>
      <c r="T42" s="109" t="n">
        <f aca="false">IFERROR(IF(OR(NOT(ISNUMBER('Price History'!T43)),NOT(ISNUMBER('Price History'!T42)),'Price History'!T42=0),"",'Price History'!T43/'Price History'!T42-1),"")</f>
        <v>0.00920342748333858</v>
      </c>
      <c r="U42" s="109" t="str">
        <f aca="false">IFERROR(IF(OR(NOT(ISNUMBER('Price History'!U43)),NOT(ISNUMBER('Price History'!U42)),'Price History'!U42=0),"",'Price History'!U43/'Price History'!U42-1),"")</f>
        <v/>
      </c>
      <c r="V42" s="110" t="n">
        <f aca="false">IFERROR(IF(OR(NOT(ISNUMBER('Price History'!V43)),NOT(ISNUMBER('Price History'!V42)),'Price History'!V42=0),"",'Price History'!V43/'Price History'!V42-1),"")</f>
        <v>-0.000435555878189553</v>
      </c>
      <c r="W42" s="111" t="n">
        <f aca="false">IFERROR('Price History'!B3+(INDEX('Price History'!B:B,MATCH(9.99E+307,'Price History'!$A:$A))-'Price History'!B3)*(ROW()-3)/(MATCH(9.99E+307,'Returns (Calc)'!$A:$A)-3),"")</f>
        <v>449.106226415094</v>
      </c>
      <c r="X42" s="111" t="n">
        <f aca="false">IFERROR('Price History'!C3+(INDEX('Price History'!C:C,MATCH(9.99E+307,'Price History'!$A:$A))-'Price History'!C3)*(ROW()-3)/(MATCH(9.99E+307,'Returns (Calc)'!$A:$A)-3),"")</f>
        <v>80.5422641509434</v>
      </c>
      <c r="Y42" s="111" t="n">
        <f aca="false">IFERROR('Price History'!D3+(INDEX('Price History'!D:D,MATCH(9.99E+307,'Price History'!$A:$A))-'Price History'!D3)*(ROW()-3)/(MATCH(9.99E+307,'Returns (Calc)'!$A:$A)-3),"")</f>
        <v>920.087547169811</v>
      </c>
      <c r="Z42" s="111" t="n">
        <f aca="false">IFERROR('Price History'!E3+(INDEX('Price History'!E:E,MATCH(9.99E+307,'Price History'!$A:$A))-'Price History'!E3)*(ROW()-3)/(MATCH(9.99E+307,'Returns (Calc)'!$A:$A)-3),"")</f>
        <v>150.41320754717</v>
      </c>
      <c r="AA42" s="111" t="n">
        <f aca="false">IFERROR('Price History'!F3+(INDEX('Price History'!F:F,MATCH(9.99E+307,'Price History'!$A:$A))-'Price History'!F3)*(ROW()-3)/(MATCH(9.99E+307,'Returns (Calc)'!$A:$A)-3),"")</f>
        <v>80.2396226415094</v>
      </c>
      <c r="AB42" s="111" t="n">
        <f aca="false">IFERROR('Price History'!G3+(INDEX('Price History'!G:G,MATCH(9.99E+307,'Price History'!$A:$A))-'Price History'!G3)*(ROW()-3)/(MATCH(9.99E+307,'Returns (Calc)'!$A:$A)-3),"")</f>
        <v>81.6754716981132</v>
      </c>
      <c r="AC42" s="111" t="n">
        <f aca="false">IFERROR('Price History'!H3+(INDEX('Price History'!H:H,MATCH(9.99E+307,'Price History'!$A:$A))-'Price History'!H3)*(ROW()-3)/(MATCH(9.99E+307,'Returns (Calc)'!$A:$A)-3),"")</f>
        <v>297.933396226415</v>
      </c>
      <c r="AD42" s="111" t="n">
        <f aca="false">IFERROR('Price History'!I3+(INDEX('Price History'!I:I,MATCH(9.99E+307,'Price History'!$A:$A))-'Price History'!I3)*(ROW()-3)/(MATCH(9.99E+307,'Returns (Calc)'!$A:$A)-3),"")</f>
        <v>87.3335849056604</v>
      </c>
      <c r="AE42" s="111" t="n">
        <f aca="false">IFERROR('Price History'!J3+(INDEX('Price History'!J:J,MATCH(9.99E+307,'Price History'!$A:$A))-'Price History'!J3)*(ROW()-3)/(MATCH(9.99E+307,'Returns (Calc)'!$A:$A)-3),"")</f>
        <v>126.902264150943</v>
      </c>
      <c r="AF42" s="111" t="n">
        <f aca="false">IFERROR('Price History'!K3+(INDEX('Price History'!K:K,MATCH(9.99E+307,'Price History'!$A:$A))-'Price History'!K3)*(ROW()-3)/(MATCH(9.99E+307,'Returns (Calc)'!$A:$A)-3),"")</f>
        <v>54.3903773584906</v>
      </c>
      <c r="AG42" s="111" t="n">
        <f aca="false">IFERROR('Price History'!L3+(INDEX('Price History'!L:L,MATCH(9.99E+307,'Price History'!$A:$A))-'Price History'!L3)*(ROW()-3)/(MATCH(9.99E+307,'Returns (Calc)'!$A:$A)-3),"")</f>
        <v>174.630754716981</v>
      </c>
      <c r="AH42" s="111" t="n">
        <f aca="false">IFERROR('Price History'!M3+(INDEX('Price History'!M:M,MATCH(9.99E+307,'Price History'!$A:$A))-'Price History'!M3)*(ROW()-3)/(MATCH(9.99E+307,'Returns (Calc)'!$A:$A)-3),"")</f>
        <v>94.0998113207547</v>
      </c>
      <c r="AI42" s="111" t="n">
        <f aca="false">IFERROR('Price History'!N3+(INDEX('Price History'!N:N,MATCH(9.99E+307,'Price History'!$A:$A))-'Price History'!N3)*(ROW()-3)/(MATCH(9.99E+307,'Returns (Calc)'!$A:$A)-3),"")</f>
        <v>397.999245283019</v>
      </c>
      <c r="AJ42" s="111" t="n">
        <f aca="false">IFERROR('Price History'!O3+(INDEX('Price History'!O:O,MATCH(9.99E+307,'Price History'!$A:$A))-'Price History'!O3)*(ROW()-3)/(MATCH(9.99E+307,'Returns (Calc)'!$A:$A)-3),"")</f>
        <v>93.6620754716981</v>
      </c>
      <c r="AK42" s="111" t="n">
        <f aca="false">IFERROR('Price History'!Q3+(INDEX('Price History'!Q:Q,MATCH(9.99E+307,'Price History'!$A:$A))-'Price History'!Q3)*(ROW()-3)/(MATCH(9.99E+307,'Returns (Calc)'!$A:$A)-3),"")</f>
        <v>54.7162264150943</v>
      </c>
      <c r="AL42" s="111" t="n">
        <f aca="false">IFERROR('Price History'!R3+(INDEX('Price History'!R:R,MATCH(9.99E+307,'Price History'!$A:$A))-'Price History'!R3)*(ROW()-3)/(MATCH(9.99E+307,'Returns (Calc)'!$A:$A)-3),"")</f>
        <v>50.7756603773585</v>
      </c>
      <c r="AM42" s="111" t="n">
        <f aca="false">IFERROR('Price History'!S3+(INDEX('Price History'!S:S,MATCH(9.99E+307,'Price History'!$A:$A))-'Price History'!S3)*(ROW()-3)/(MATCH(9.99E+307,'Returns (Calc)'!$A:$A)-3),"")</f>
        <v>80.9049056603774</v>
      </c>
      <c r="AN42" s="111" t="n">
        <f aca="false">IFERROR('Price History'!T3+(INDEX('Price History'!T:T,MATCH(9.99E+307,'Price History'!$A:$A))-'Price History'!T3)*(ROW()-3)/(MATCH(9.99E+307,'Returns (Calc)'!$A:$A)-3),"")</f>
        <v>33.8711320754717</v>
      </c>
      <c r="AO42" s="112" t="n">
        <f aca="false">IFERROR('Price History'!V3+(INDEX('Price History'!V:V,MATCH(9.99E+307,'Price History'!$A:$A))-'Price History'!V3)*(ROW()-3)/(MATCH(9.99E+307,'Returns (Calc)'!$A:$A)-3),"")</f>
        <v>91.9983018867925</v>
      </c>
    </row>
    <row r="43" customFormat="false" ht="15" hidden="false" customHeight="true" outlineLevel="0" collapsed="false">
      <c r="A43" s="108" t="n">
        <f aca="false">IF('Price History'!A44="","",'Price History'!A44)</f>
        <v>45436</v>
      </c>
      <c r="B43" s="109" t="n">
        <f aca="false">IFERROR(IF(OR(NOT(ISNUMBER('Price History'!B44)),NOT(ISNUMBER('Price History'!B43)),'Price History'!B43=0),"",'Price History'!B44/'Price History'!B43-1),"")</f>
        <v>-0.0165484144550401</v>
      </c>
      <c r="C43" s="109" t="n">
        <f aca="false">IFERROR(IF(OR(NOT(ISNUMBER('Price History'!C44)),NOT(ISNUMBER('Price History'!C43)),'Price History'!C43=0),"",'Price History'!C44/'Price History'!C43-1),"")</f>
        <v>-0.0416406152307115</v>
      </c>
      <c r="D43" s="109" t="n">
        <f aca="false">IFERROR(IF(OR(NOT(ISNUMBER('Price History'!D44)),NOT(ISNUMBER('Price History'!D43)),'Price History'!D43=0),"",'Price History'!D44/'Price History'!D43-1),"")</f>
        <v>0.0337848795096056</v>
      </c>
      <c r="E43" s="109" t="n">
        <f aca="false">IFERROR(IF(OR(NOT(ISNUMBER('Price History'!E44)),NOT(ISNUMBER('Price History'!E43)),'Price History'!E43=0),"",'Price History'!E44/'Price History'!E43-1),"")</f>
        <v>0.00895864688597436</v>
      </c>
      <c r="F43" s="109" t="n">
        <f aca="false">IFERROR(IF(OR(NOT(ISNUMBER('Price History'!F44)),NOT(ISNUMBER('Price History'!F43)),'Price History'!F43=0),"",'Price History'!F44/'Price History'!F43-1),"")</f>
        <v>0.0160730804810361</v>
      </c>
      <c r="G43" s="109" t="n">
        <f aca="false">IFERROR(IF(OR(NOT(ISNUMBER('Price History'!G44)),NOT(ISNUMBER('Price History'!G43)),'Price History'!G43=0),"",'Price History'!G44/'Price History'!G43-1),"")</f>
        <v>0.0419954527216799</v>
      </c>
      <c r="H43" s="109" t="n">
        <f aca="false">IFERROR(IF(OR(NOT(ISNUMBER('Price History'!H44)),NOT(ISNUMBER('Price History'!H43)),'Price History'!H43=0),"",'Price History'!H44/'Price History'!H43-1),"")</f>
        <v>0.0335222284300423</v>
      </c>
      <c r="I43" s="109" t="n">
        <f aca="false">IFERROR(IF(OR(NOT(ISNUMBER('Price History'!I44)),NOT(ISNUMBER('Price History'!I43)),'Price History'!I43=0),"",'Price History'!I44/'Price History'!I43-1),"")</f>
        <v>0.151275951557093</v>
      </c>
      <c r="J43" s="109" t="n">
        <f aca="false">IFERROR(IF(OR(NOT(ISNUMBER('Price History'!J44)),NOT(ISNUMBER('Price History'!J43)),'Price History'!J43=0),"",'Price History'!J44/'Price History'!J43-1),"")</f>
        <v>-0.0605381165919282</v>
      </c>
      <c r="K43" s="109" t="n">
        <f aca="false">IFERROR(IF(OR(NOT(ISNUMBER('Price History'!K44)),NOT(ISNUMBER('Price History'!K43)),'Price History'!K43=0),"",'Price History'!K44/'Price History'!K43-1),"")</f>
        <v>-0.0344669117647058</v>
      </c>
      <c r="L43" s="109" t="n">
        <f aca="false">IFERROR(IF(OR(NOT(ISNUMBER('Price History'!L44)),NOT(ISNUMBER('Price History'!L43)),'Price History'!L43=0),"",'Price History'!L44/'Price History'!L43-1),"")</f>
        <v>0.0548523206751055</v>
      </c>
      <c r="M43" s="109" t="n">
        <f aca="false">IFERROR(IF(OR(NOT(ISNUMBER('Price History'!M44)),NOT(ISNUMBER('Price History'!M43)),'Price History'!M43=0),"",'Price History'!M44/'Price History'!M43-1),"")</f>
        <v>0.0966842268360706</v>
      </c>
      <c r="N43" s="109" t="n">
        <f aca="false">IFERROR(IF(OR(NOT(ISNUMBER('Price History'!N44)),NOT(ISNUMBER('Price History'!N43)),'Price History'!N43=0),"",'Price History'!N44/'Price History'!N43-1),"")</f>
        <v>0.0263695784012039</v>
      </c>
      <c r="O43" s="109" t="n">
        <f aca="false">IFERROR(IF(OR(NOT(ISNUMBER('Price History'!O44)),NOT(ISNUMBER('Price History'!O43)),'Price History'!O43=0),"",'Price History'!O44/'Price History'!O43-1),"")</f>
        <v>-0.0148742643124665</v>
      </c>
      <c r="P43" s="109" t="str">
        <f aca="false">IFERROR(IF(OR(NOT(ISNUMBER('Price History'!P44)),NOT(ISNUMBER('Price History'!P43)),'Price History'!P43=0),"",'Price History'!P44/'Price History'!P43-1),"")</f>
        <v/>
      </c>
      <c r="Q43" s="109" t="n">
        <f aca="false">IFERROR(IF(OR(NOT(ISNUMBER('Price History'!Q44)),NOT(ISNUMBER('Price History'!Q43)),'Price History'!Q43=0),"",'Price History'!Q44/'Price History'!Q43-1),"")</f>
        <v>0.00339097999321814</v>
      </c>
      <c r="R43" s="109" t="n">
        <f aca="false">IFERROR(IF(OR(NOT(ISNUMBER('Price History'!R44)),NOT(ISNUMBER('Price History'!R43)),'Price History'!R43=0),"",'Price History'!R44/'Price History'!R43-1),"")</f>
        <v>0.00480413895048049</v>
      </c>
      <c r="S43" s="109" t="n">
        <f aca="false">IFERROR(IF(OR(NOT(ISNUMBER('Price History'!S44)),NOT(ISNUMBER('Price History'!S43)),'Price History'!S43=0),"",'Price History'!S44/'Price History'!S43-1),"")</f>
        <v>0.0194427244582043</v>
      </c>
      <c r="T43" s="109" t="n">
        <f aca="false">IFERROR(IF(OR(NOT(ISNUMBER('Price History'!T44)),NOT(ISNUMBER('Price History'!T43)),'Price History'!T43=0),"",'Price History'!T44/'Price History'!T43-1),"")</f>
        <v>-0.0169811320754717</v>
      </c>
      <c r="U43" s="109" t="str">
        <f aca="false">IFERROR(IF(OR(NOT(ISNUMBER('Price History'!U44)),NOT(ISNUMBER('Price History'!U43)),'Price History'!U43=0),"",'Price History'!U44/'Price History'!U43-1),"")</f>
        <v/>
      </c>
      <c r="V43" s="110" t="n">
        <f aca="false">IFERROR(IF(OR(NOT(ISNUMBER('Price History'!V44)),NOT(ISNUMBER('Price History'!V43)),'Price History'!V43=0),"",'Price History'!V44/'Price History'!V43-1),"")</f>
        <v>-0.0200443008097606</v>
      </c>
      <c r="W43" s="111" t="n">
        <f aca="false">IFERROR('Price History'!B3+(INDEX('Price History'!B:B,MATCH(9.99E+307,'Price History'!$A:$A))-'Price History'!B3)*(ROW()-3)/(MATCH(9.99E+307,'Returns (Calc)'!$A:$A)-3),"")</f>
        <v>447.584591194969</v>
      </c>
      <c r="X43" s="111" t="n">
        <f aca="false">IFERROR('Price History'!C3+(INDEX('Price History'!C:C,MATCH(9.99E+307,'Price History'!$A:$A))-'Price History'!C3)*(ROW()-3)/(MATCH(9.99E+307,'Returns (Calc)'!$A:$A)-3),"")</f>
        <v>81.4859119496855</v>
      </c>
      <c r="Y43" s="111" t="n">
        <f aca="false">IFERROR('Price History'!D3+(INDEX('Price History'!D:D,MATCH(9.99E+307,'Price History'!$A:$A))-'Price History'!D3)*(ROW()-3)/(MATCH(9.99E+307,'Returns (Calc)'!$A:$A)-3),"")</f>
        <v>926.710817610063</v>
      </c>
      <c r="Z43" s="111" t="n">
        <f aca="false">IFERROR('Price History'!E3+(INDEX('Price History'!E:E,MATCH(9.99E+307,'Price History'!$A:$A))-'Price History'!E3)*(ROW()-3)/(MATCH(9.99E+307,'Returns (Calc)'!$A:$A)-3),"")</f>
        <v>152.142264150943</v>
      </c>
      <c r="AA43" s="111" t="n">
        <f aca="false">IFERROR('Price History'!F3+(INDEX('Price History'!F:F,MATCH(9.99E+307,'Price History'!$A:$A))-'Price History'!F3)*(ROW()-3)/(MATCH(9.99E+307,'Returns (Calc)'!$A:$A)-3),"")</f>
        <v>81.3467924528302</v>
      </c>
      <c r="AB43" s="111" t="n">
        <f aca="false">IFERROR('Price History'!G3+(INDEX('Price History'!G:G,MATCH(9.99E+307,'Price History'!$A:$A))-'Price History'!G3)*(ROW()-3)/(MATCH(9.99E+307,'Returns (Calc)'!$A:$A)-3),"")</f>
        <v>82.5415094339623</v>
      </c>
      <c r="AC43" s="111" t="n">
        <f aca="false">IFERROR('Price History'!H3+(INDEX('Price History'!H:H,MATCH(9.99E+307,'Price History'!$A:$A))-'Price History'!H3)*(ROW()-3)/(MATCH(9.99E+307,'Returns (Calc)'!$A:$A)-3),"")</f>
        <v>303.922201257862</v>
      </c>
      <c r="AD43" s="111" t="n">
        <f aca="false">IFERROR('Price History'!I3+(INDEX('Price History'!I:I,MATCH(9.99E+307,'Price History'!$A:$A))-'Price History'!I3)*(ROW()-3)/(MATCH(9.99E+307,'Returns (Calc)'!$A:$A)-3),"")</f>
        <v>88.5254716981132</v>
      </c>
      <c r="AE43" s="111" t="n">
        <f aca="false">IFERROR('Price History'!J3+(INDEX('Price History'!J:J,MATCH(9.99E+307,'Price History'!$A:$A))-'Price History'!J3)*(ROW()-3)/(MATCH(9.99E+307,'Returns (Calc)'!$A:$A)-3),"")</f>
        <v>126.989245283019</v>
      </c>
      <c r="AF43" s="111" t="n">
        <f aca="false">IFERROR('Price History'!K3+(INDEX('Price History'!K:K,MATCH(9.99E+307,'Price History'!$A:$A))-'Price History'!K3)*(ROW()-3)/(MATCH(9.99E+307,'Returns (Calc)'!$A:$A)-3),"")</f>
        <v>55.3898742138365</v>
      </c>
      <c r="AG43" s="111" t="n">
        <f aca="false">IFERROR('Price History'!L3+(INDEX('Price History'!L:L,MATCH(9.99E+307,'Price History'!$A:$A))-'Price History'!L3)*(ROW()-3)/(MATCH(9.99E+307,'Returns (Calc)'!$A:$A)-3),"")</f>
        <v>176.749748427673</v>
      </c>
      <c r="AH43" s="111" t="n">
        <f aca="false">IFERROR('Price History'!M3+(INDEX('Price History'!M:M,MATCH(9.99E+307,'Price History'!$A:$A))-'Price History'!M3)*(ROW()-3)/(MATCH(9.99E+307,'Returns (Calc)'!$A:$A)-3),"")</f>
        <v>95.6533962264151</v>
      </c>
      <c r="AI43" s="111" t="n">
        <f aca="false">IFERROR('Price History'!N3+(INDEX('Price History'!N:N,MATCH(9.99E+307,'Price History'!$A:$A))-'Price History'!N3)*(ROW()-3)/(MATCH(9.99E+307,'Returns (Calc)'!$A:$A)-3),"")</f>
        <v>399.23358490566</v>
      </c>
      <c r="AJ43" s="111" t="n">
        <f aca="false">IFERROR('Price History'!O3+(INDEX('Price History'!O:O,MATCH(9.99E+307,'Price History'!$A:$A))-'Price History'!O3)*(ROW()-3)/(MATCH(9.99E+307,'Returns (Calc)'!$A:$A)-3),"")</f>
        <v>93.9393081761006</v>
      </c>
      <c r="AK43" s="111" t="n">
        <f aca="false">IFERROR('Price History'!Q3+(INDEX('Price History'!Q:Q,MATCH(9.99E+307,'Price History'!$A:$A))-'Price History'!Q3)*(ROW()-3)/(MATCH(9.99E+307,'Returns (Calc)'!$A:$A)-3),"")</f>
        <v>54.8412578616352</v>
      </c>
      <c r="AL43" s="111" t="n">
        <f aca="false">IFERROR('Price History'!R3+(INDEX('Price History'!R:R,MATCH(9.99E+307,'Price History'!$A:$A))-'Price History'!R3)*(ROW()-3)/(MATCH(9.99E+307,'Returns (Calc)'!$A:$A)-3),"")</f>
        <v>50.8514465408805</v>
      </c>
      <c r="AM43" s="111" t="n">
        <f aca="false">IFERROR('Price History'!S3+(INDEX('Price History'!S:S,MATCH(9.99E+307,'Price History'!$A:$A))-'Price History'!S3)*(ROW()-3)/(MATCH(9.99E+307,'Returns (Calc)'!$A:$A)-3),"")</f>
        <v>81.4783647798742</v>
      </c>
      <c r="AN43" s="111" t="n">
        <f aca="false">IFERROR('Price History'!T3+(INDEX('Price History'!T:T,MATCH(9.99E+307,'Price History'!$A:$A))-'Price History'!T3)*(ROW()-3)/(MATCH(9.99E+307,'Returns (Calc)'!$A:$A)-3),"")</f>
        <v>34.0496226415094</v>
      </c>
      <c r="AO43" s="112" t="n">
        <f aca="false">IFERROR('Price History'!V3+(INDEX('Price History'!V:V,MATCH(9.99E+307,'Price History'!$A:$A))-'Price History'!V3)*(ROW()-3)/(MATCH(9.99E+307,'Returns (Calc)'!$A:$A)-3),"")</f>
        <v>94.3572327044025</v>
      </c>
    </row>
    <row r="44" customFormat="false" ht="15" hidden="false" customHeight="true" outlineLevel="0" collapsed="false">
      <c r="A44" s="108" t="n">
        <f aca="false">IF('Price History'!A45="","",'Price History'!A45)</f>
        <v>45443</v>
      </c>
      <c r="B44" s="109" t="n">
        <f aca="false">IFERROR(IF(OR(NOT(ISNUMBER('Price History'!B45)),NOT(ISNUMBER('Price History'!B44)),'Price History'!B44=0),"",'Price History'!B45/'Price History'!B44-1),"")</f>
        <v>-0.0645100225059421</v>
      </c>
      <c r="C44" s="109" t="n">
        <f aca="false">IFERROR(IF(OR(NOT(ISNUMBER('Price History'!C45)),NOT(ISNUMBER('Price History'!C44)),'Price History'!C44=0),"",'Price History'!C45/'Price History'!C44-1),"")</f>
        <v>-0.0290970772442589</v>
      </c>
      <c r="D44" s="109" t="n">
        <f aca="false">IFERROR(IF(OR(NOT(ISNUMBER('Price History'!D45)),NOT(ISNUMBER('Price History'!D44)),'Price History'!D44=0),"",'Price History'!D45/'Price History'!D44-1),"")</f>
        <v>0.00431908974922091</v>
      </c>
      <c r="E44" s="109" t="n">
        <f aca="false">IFERROR(IF(OR(NOT(ISNUMBER('Price History'!E45)),NOT(ISNUMBER('Price History'!E44)),'Price History'!E44=0),"",'Price History'!E45/'Price History'!E44-1),"")</f>
        <v>-0.0563290240090922</v>
      </c>
      <c r="F44" s="109" t="n">
        <f aca="false">IFERROR(IF(OR(NOT(ISNUMBER('Price History'!F45)),NOT(ISNUMBER('Price History'!F44)),'Price History'!F44=0),"",'Price History'!F45/'Price History'!F44-1),"")</f>
        <v>-0.107545237282349</v>
      </c>
      <c r="G44" s="109" t="n">
        <f aca="false">IFERROR(IF(OR(NOT(ISNUMBER('Price History'!G45)),NOT(ISNUMBER('Price History'!G44)),'Price History'!G44=0),"",'Price History'!G45/'Price History'!G44-1),"")</f>
        <v>-0.0251572327044024</v>
      </c>
      <c r="H44" s="109" t="n">
        <f aca="false">IFERROR(IF(OR(NOT(ISNUMBER('Price History'!H45)),NOT(ISNUMBER('Price History'!H44)),'Price History'!H44=0),"",'Price History'!H45/'Price History'!H44-1),"")</f>
        <v>-0.0346744922387829</v>
      </c>
      <c r="I44" s="109" t="n">
        <f aca="false">IFERROR(IF(OR(NOT(ISNUMBER('Price History'!I45)),NOT(ISNUMBER('Price History'!I44)),'Price History'!I44=0),"",'Price History'!I45/'Price History'!I44-1),"")</f>
        <v>0.0296797219874143</v>
      </c>
      <c r="J44" s="109" t="n">
        <f aca="false">IFERROR(IF(OR(NOT(ISNUMBER('Price History'!J45)),NOT(ISNUMBER('Price History'!J44)),'Price History'!J44=0),"",'Price History'!J45/'Price History'!J44-1),"")</f>
        <v>0.054797136038186</v>
      </c>
      <c r="K44" s="109" t="n">
        <f aca="false">IFERROR(IF(OR(NOT(ISNUMBER('Price History'!K45)),NOT(ISNUMBER('Price History'!K44)),'Price History'!K44=0),"",'Price History'!K45/'Price History'!K44-1),"")</f>
        <v>0.031889576392194</v>
      </c>
      <c r="L44" s="109" t="n">
        <f aca="false">IFERROR(IF(OR(NOT(ISNUMBER('Price History'!L45)),NOT(ISNUMBER('Price History'!L44)),'Price History'!L44=0),"",'Price History'!L45/'Price History'!L44-1),"")</f>
        <v>-0.0560000000000001</v>
      </c>
      <c r="M44" s="109" t="n">
        <f aca="false">IFERROR(IF(OR(NOT(ISNUMBER('Price History'!M45)),NOT(ISNUMBER('Price History'!M44)),'Price History'!M44=0),"",'Price History'!M45/'Price History'!M44-1),"")</f>
        <v>-0.0762927380615994</v>
      </c>
      <c r="N44" s="109" t="n">
        <f aca="false">IFERROR(IF(OR(NOT(ISNUMBER('Price History'!N45)),NOT(ISNUMBER('Price History'!N44)),'Price History'!N44=0),"",'Price History'!N45/'Price History'!N44-1),"")</f>
        <v>-0.00352336141809828</v>
      </c>
      <c r="O44" s="109" t="n">
        <f aca="false">IFERROR(IF(OR(NOT(ISNUMBER('Price History'!O45)),NOT(ISNUMBER('Price History'!O44)),'Price History'!O44=0),"",'Price History'!O45/'Price History'!O44-1),"")</f>
        <v>0.0107538561807516</v>
      </c>
      <c r="P44" s="109" t="str">
        <f aca="false">IFERROR(IF(OR(NOT(ISNUMBER('Price History'!P45)),NOT(ISNUMBER('Price History'!P44)),'Price History'!P44=0),"",'Price History'!P45/'Price History'!P44-1),"")</f>
        <v/>
      </c>
      <c r="Q44" s="109" t="n">
        <f aca="false">IFERROR(IF(OR(NOT(ISNUMBER('Price History'!Q45)),NOT(ISNUMBER('Price History'!Q44)),'Price History'!Q44=0),"",'Price History'!Q45/'Price History'!Q44-1),"")</f>
        <v>-0.00659006421088204</v>
      </c>
      <c r="R44" s="109" t="n">
        <f aca="false">IFERROR(IF(OR(NOT(ISNUMBER('Price History'!R45)),NOT(ISNUMBER('Price History'!R44)),'Price History'!R44=0),"",'Price History'!R45/'Price History'!R44-1),"")</f>
        <v>-0.00349393159249733</v>
      </c>
      <c r="S44" s="109" t="n">
        <f aca="false">IFERROR(IF(OR(NOT(ISNUMBER('Price History'!S45)),NOT(ISNUMBER('Price History'!S44)),'Price History'!S44=0),"",'Price History'!S45/'Price History'!S44-1),"")</f>
        <v>-0.0109329446064139</v>
      </c>
      <c r="T44" s="109" t="n">
        <f aca="false">IFERROR(IF(OR(NOT(ISNUMBER('Price History'!T45)),NOT(ISNUMBER('Price History'!T44)),'Price History'!T44=0),"",'Price History'!T45/'Price History'!T44-1),"")</f>
        <v>0.0115163147792705</v>
      </c>
      <c r="U44" s="109" t="str">
        <f aca="false">IFERROR(IF(OR(NOT(ISNUMBER('Price History'!U45)),NOT(ISNUMBER('Price History'!U44)),'Price History'!U44=0),"",'Price History'!U45/'Price History'!U44-1),"")</f>
        <v/>
      </c>
      <c r="V44" s="110" t="n">
        <f aca="false">IFERROR(IF(OR(NOT(ISNUMBER('Price History'!V45)),NOT(ISNUMBER('Price History'!V44)),'Price History'!V44=0),"",'Price History'!V45/'Price History'!V44-1),"")</f>
        <v>-0.00737392077667032</v>
      </c>
      <c r="W44" s="111" t="n">
        <f aca="false">IFERROR('Price History'!B3+(INDEX('Price History'!B:B,MATCH(9.99E+307,'Price History'!$A:$A))-'Price History'!B3)*(ROW()-3)/(MATCH(9.99E+307,'Returns (Calc)'!$A:$A)-3),"")</f>
        <v>446.062955974843</v>
      </c>
      <c r="X44" s="111" t="n">
        <f aca="false">IFERROR('Price History'!C3+(INDEX('Price History'!C:C,MATCH(9.99E+307,'Price History'!$A:$A))-'Price History'!C3)*(ROW()-3)/(MATCH(9.99E+307,'Returns (Calc)'!$A:$A)-3),"")</f>
        <v>82.4295597484277</v>
      </c>
      <c r="Y44" s="111" t="n">
        <f aca="false">IFERROR('Price History'!D3+(INDEX('Price History'!D:D,MATCH(9.99E+307,'Price History'!$A:$A))-'Price History'!D3)*(ROW()-3)/(MATCH(9.99E+307,'Returns (Calc)'!$A:$A)-3),"")</f>
        <v>933.334088050314</v>
      </c>
      <c r="Z44" s="111" t="n">
        <f aca="false">IFERROR('Price History'!E3+(INDEX('Price History'!E:E,MATCH(9.99E+307,'Price History'!$A:$A))-'Price History'!E3)*(ROW()-3)/(MATCH(9.99E+307,'Returns (Calc)'!$A:$A)-3),"")</f>
        <v>153.871320754717</v>
      </c>
      <c r="AA44" s="111" t="n">
        <f aca="false">IFERROR('Price History'!F3+(INDEX('Price History'!F:F,MATCH(9.99E+307,'Price History'!$A:$A))-'Price History'!F3)*(ROW()-3)/(MATCH(9.99E+307,'Returns (Calc)'!$A:$A)-3),"")</f>
        <v>82.453962264151</v>
      </c>
      <c r="AB44" s="111" t="n">
        <f aca="false">IFERROR('Price History'!G3+(INDEX('Price History'!G:G,MATCH(9.99E+307,'Price History'!$A:$A))-'Price History'!G3)*(ROW()-3)/(MATCH(9.99E+307,'Returns (Calc)'!$A:$A)-3),"")</f>
        <v>83.4075471698113</v>
      </c>
      <c r="AC44" s="111" t="n">
        <f aca="false">IFERROR('Price History'!H3+(INDEX('Price History'!H:H,MATCH(9.99E+307,'Price History'!$A:$A))-'Price History'!H3)*(ROW()-3)/(MATCH(9.99E+307,'Returns (Calc)'!$A:$A)-3),"")</f>
        <v>309.911006289308</v>
      </c>
      <c r="AD44" s="111" t="n">
        <f aca="false">IFERROR('Price History'!I3+(INDEX('Price History'!I:I,MATCH(9.99E+307,'Price History'!$A:$A))-'Price History'!I3)*(ROW()-3)/(MATCH(9.99E+307,'Returns (Calc)'!$A:$A)-3),"")</f>
        <v>89.717358490566</v>
      </c>
      <c r="AE44" s="111" t="n">
        <f aca="false">IFERROR('Price History'!J3+(INDEX('Price History'!J:J,MATCH(9.99E+307,'Price History'!$A:$A))-'Price History'!J3)*(ROW()-3)/(MATCH(9.99E+307,'Returns (Calc)'!$A:$A)-3),"")</f>
        <v>127.076226415094</v>
      </c>
      <c r="AF44" s="111" t="n">
        <f aca="false">IFERROR('Price History'!K3+(INDEX('Price History'!K:K,MATCH(9.99E+307,'Price History'!$A:$A))-'Price History'!K3)*(ROW()-3)/(MATCH(9.99E+307,'Returns (Calc)'!$A:$A)-3),"")</f>
        <v>56.3893710691824</v>
      </c>
      <c r="AG44" s="111" t="n">
        <f aca="false">IFERROR('Price History'!L3+(INDEX('Price History'!L:L,MATCH(9.99E+307,'Price History'!$A:$A))-'Price History'!L3)*(ROW()-3)/(MATCH(9.99E+307,'Returns (Calc)'!$A:$A)-3),"")</f>
        <v>178.868742138365</v>
      </c>
      <c r="AH44" s="111" t="n">
        <f aca="false">IFERROR('Price History'!M3+(INDEX('Price History'!M:M,MATCH(9.99E+307,'Price History'!$A:$A))-'Price History'!M3)*(ROW()-3)/(MATCH(9.99E+307,'Returns (Calc)'!$A:$A)-3),"")</f>
        <v>97.2069811320755</v>
      </c>
      <c r="AI44" s="111" t="n">
        <f aca="false">IFERROR('Price History'!N3+(INDEX('Price History'!N:N,MATCH(9.99E+307,'Price History'!$A:$A))-'Price History'!N3)*(ROW()-3)/(MATCH(9.99E+307,'Returns (Calc)'!$A:$A)-3),"")</f>
        <v>400.467924528302</v>
      </c>
      <c r="AJ44" s="111" t="n">
        <f aca="false">IFERROR('Price History'!O3+(INDEX('Price History'!O:O,MATCH(9.99E+307,'Price History'!$A:$A))-'Price History'!O3)*(ROW()-3)/(MATCH(9.99E+307,'Returns (Calc)'!$A:$A)-3),"")</f>
        <v>94.2165408805032</v>
      </c>
      <c r="AK44" s="111" t="n">
        <f aca="false">IFERROR('Price History'!Q3+(INDEX('Price History'!Q:Q,MATCH(9.99E+307,'Price History'!$A:$A))-'Price History'!Q3)*(ROW()-3)/(MATCH(9.99E+307,'Returns (Calc)'!$A:$A)-3),"")</f>
        <v>54.9662893081761</v>
      </c>
      <c r="AL44" s="111" t="n">
        <f aca="false">IFERROR('Price History'!R3+(INDEX('Price History'!R:R,MATCH(9.99E+307,'Price History'!$A:$A))-'Price History'!R3)*(ROW()-3)/(MATCH(9.99E+307,'Returns (Calc)'!$A:$A)-3),"")</f>
        <v>50.9272327044025</v>
      </c>
      <c r="AM44" s="111" t="n">
        <f aca="false">IFERROR('Price History'!S3+(INDEX('Price History'!S:S,MATCH(9.99E+307,'Price History'!$A:$A))-'Price History'!S3)*(ROW()-3)/(MATCH(9.99E+307,'Returns (Calc)'!$A:$A)-3),"")</f>
        <v>82.0518238993711</v>
      </c>
      <c r="AN44" s="111" t="n">
        <f aca="false">IFERROR('Price History'!T3+(INDEX('Price History'!T:T,MATCH(9.99E+307,'Price History'!$A:$A))-'Price History'!T3)*(ROW()-3)/(MATCH(9.99E+307,'Returns (Calc)'!$A:$A)-3),"")</f>
        <v>34.2281132075472</v>
      </c>
      <c r="AO44" s="112" t="n">
        <f aca="false">IFERROR('Price History'!V3+(INDEX('Price History'!V:V,MATCH(9.99E+307,'Price History'!$A:$A))-'Price History'!V3)*(ROW()-3)/(MATCH(9.99E+307,'Returns (Calc)'!$A:$A)-3),"")</f>
        <v>96.7161635220126</v>
      </c>
    </row>
    <row r="45" customFormat="false" ht="15" hidden="false" customHeight="true" outlineLevel="0" collapsed="false">
      <c r="A45" s="108" t="n">
        <f aca="false">IF('Price History'!A46="","",'Price History'!A46)</f>
        <v>45450</v>
      </c>
      <c r="B45" s="109" t="n">
        <f aca="false">IFERROR(IF(OR(NOT(ISNUMBER('Price History'!B46)),NOT(ISNUMBER('Price History'!B45)),'Price History'!B45=0),"",'Price History'!B46/'Price History'!B45-1),"")</f>
        <v>0.0464745031027971</v>
      </c>
      <c r="C45" s="109" t="n">
        <f aca="false">IFERROR(IF(OR(NOT(ISNUMBER('Price History'!C46)),NOT(ISNUMBER('Price History'!C45)),'Price History'!C45=0),"",'Price History'!C46/'Price History'!C45-1),"")</f>
        <v>-0.00282220131702715</v>
      </c>
      <c r="D45" s="109" t="n">
        <f aca="false">IFERROR(IF(OR(NOT(ISNUMBER('Price History'!D46)),NOT(ISNUMBER('Price History'!D45)),'Price History'!D45=0),"",'Price History'!D46/'Price History'!D45-1),"")</f>
        <v>0.070880408184516</v>
      </c>
      <c r="E45" s="109" t="n">
        <f aca="false">IFERROR(IF(OR(NOT(ISNUMBER('Price History'!E46)),NOT(ISNUMBER('Price History'!E45)),'Price History'!E45=0),"",'Price History'!E46/'Price History'!E45-1),"")</f>
        <v>0.0587881068874672</v>
      </c>
      <c r="F45" s="109" t="n">
        <f aca="false">IFERROR(IF(OR(NOT(ISNUMBER('Price History'!F46)),NOT(ISNUMBER('Price History'!F45)),'Price History'!F45=0),"",'Price History'!F46/'Price History'!F45-1),"")</f>
        <v>0.112981382300434</v>
      </c>
      <c r="G45" s="109" t="n">
        <f aca="false">IFERROR(IF(OR(NOT(ISNUMBER('Price History'!G46)),NOT(ISNUMBER('Price History'!G45)),'Price History'!G45=0),"",'Price History'!G46/'Price History'!G45-1),"")</f>
        <v>0.0125082290980909</v>
      </c>
      <c r="H45" s="109" t="n">
        <f aca="false">IFERROR(IF(OR(NOT(ISNUMBER('Price History'!H46)),NOT(ISNUMBER('Price History'!H45)),'Price History'!H45=0),"",'Price History'!H46/'Price History'!H45-1),"")</f>
        <v>0.04752</v>
      </c>
      <c r="I45" s="109" t="n">
        <f aca="false">IFERROR(IF(OR(NOT(ISNUMBER('Price History'!I46)),NOT(ISNUMBER('Price History'!I45)),'Price History'!I45=0),"",'Price History'!I46/'Price History'!I45-1),"")</f>
        <v>0.102709112469215</v>
      </c>
      <c r="J45" s="109" t="n">
        <f aca="false">IFERROR(IF(OR(NOT(ISNUMBER('Price History'!J46)),NOT(ISNUMBER('Price History'!J45)),'Price History'!J45=0),"",'Price History'!J46/'Price History'!J45-1),"")</f>
        <v>-0.00262467191601046</v>
      </c>
      <c r="K45" s="109" t="n">
        <f aca="false">IFERROR(IF(OR(NOT(ISNUMBER('Price History'!K46)),NOT(ISNUMBER('Price History'!K45)),'Price History'!K45=0),"",'Price History'!K46/'Price History'!K45-1),"")</f>
        <v>0.0751845018450184</v>
      </c>
      <c r="L45" s="109" t="n">
        <f aca="false">IFERROR(IF(OR(NOT(ISNUMBER('Price History'!L46)),NOT(ISNUMBER('Price History'!L45)),'Price History'!L45=0),"",'Price History'!L46/'Price History'!L45-1),"")</f>
        <v>0.0883871822033897</v>
      </c>
      <c r="M45" s="109" t="n">
        <f aca="false">IFERROR(IF(OR(NOT(ISNUMBER('Price History'!M46)),NOT(ISNUMBER('Price History'!M45)),'Price History'!M45=0),"",'Price History'!M46/'Price History'!M45-1),"")</f>
        <v>-0.105944733353727</v>
      </c>
      <c r="N45" s="109" t="n">
        <f aca="false">IFERROR(IF(OR(NOT(ISNUMBER('Price History'!N46)),NOT(ISNUMBER('Price History'!N45)),'Price History'!N45=0),"",'Price History'!N46/'Price History'!N45-1),"")</f>
        <v>0.0608336627574999</v>
      </c>
      <c r="O45" s="109" t="n">
        <f aca="false">IFERROR(IF(OR(NOT(ISNUMBER('Price History'!O46)),NOT(ISNUMBER('Price History'!O45)),'Price History'!O45=0),"",'Price History'!O46/'Price History'!O45-1),"")</f>
        <v>-0.0340677055346588</v>
      </c>
      <c r="P45" s="109" t="str">
        <f aca="false">IFERROR(IF(OR(NOT(ISNUMBER('Price History'!P46)),NOT(ISNUMBER('Price History'!P45)),'Price History'!P45=0),"",'Price History'!P46/'Price History'!P45-1),"")</f>
        <v/>
      </c>
      <c r="Q45" s="109" t="n">
        <f aca="false">IFERROR(IF(OR(NOT(ISNUMBER('Price History'!Q46)),NOT(ISNUMBER('Price History'!Q45)),'Price History'!Q45=0),"",'Price History'!Q46/'Price History'!Q45-1),"")</f>
        <v>-0.00425242388161251</v>
      </c>
      <c r="R45" s="109" t="n">
        <f aca="false">IFERROR(IF(OR(NOT(ISNUMBER('Price History'!R46)),NOT(ISNUMBER('Price History'!R45)),'Price History'!R45=0),"",'Price History'!R46/'Price History'!R45-1),"")</f>
        <v>0.00553607676693124</v>
      </c>
      <c r="S45" s="109" t="n">
        <f aca="false">IFERROR(IF(OR(NOT(ISNUMBER('Price History'!S46)),NOT(ISNUMBER('Price History'!S45)),'Price History'!S45=0),"",'Price History'!S46/'Price History'!S45-1),"")</f>
        <v>0.0303365266519282</v>
      </c>
      <c r="T45" s="109" t="n">
        <f aca="false">IFERROR(IF(OR(NOT(ISNUMBER('Price History'!T46)),NOT(ISNUMBER('Price History'!T45)),'Price History'!T45=0),"",'Price History'!T46/'Price History'!T45-1),"")</f>
        <v>-0.0211891208096142</v>
      </c>
      <c r="U45" s="109" t="str">
        <f aca="false">IFERROR(IF(OR(NOT(ISNUMBER('Price History'!U46)),NOT(ISNUMBER('Price History'!U45)),'Price History'!U45=0),"",'Price History'!U46/'Price History'!U45-1),"")</f>
        <v/>
      </c>
      <c r="V45" s="110" t="n">
        <f aca="false">IFERROR(IF(OR(NOT(ISNUMBER('Price History'!V46)),NOT(ISNUMBER('Price History'!V45)),'Price History'!V45=0),"",'Price History'!V46/'Price History'!V45-1),"")</f>
        <v>0.0227713901747051</v>
      </c>
      <c r="W45" s="111" t="n">
        <f aca="false">IFERROR('Price History'!B3+(INDEX('Price History'!B:B,MATCH(9.99E+307,'Price History'!$A:$A))-'Price History'!B3)*(ROW()-3)/(MATCH(9.99E+307,'Returns (Calc)'!$A:$A)-3),"")</f>
        <v>444.541320754717</v>
      </c>
      <c r="X45" s="111" t="n">
        <f aca="false">IFERROR('Price History'!C3+(INDEX('Price History'!C:C,MATCH(9.99E+307,'Price History'!$A:$A))-'Price History'!C3)*(ROW()-3)/(MATCH(9.99E+307,'Returns (Calc)'!$A:$A)-3),"")</f>
        <v>83.3732075471698</v>
      </c>
      <c r="Y45" s="111" t="n">
        <f aca="false">IFERROR('Price History'!D3+(INDEX('Price History'!D:D,MATCH(9.99E+307,'Price History'!$A:$A))-'Price History'!D3)*(ROW()-3)/(MATCH(9.99E+307,'Returns (Calc)'!$A:$A)-3),"")</f>
        <v>939.957358490566</v>
      </c>
      <c r="Z45" s="111" t="n">
        <f aca="false">IFERROR('Price History'!E3+(INDEX('Price History'!E:E,MATCH(9.99E+307,'Price History'!$A:$A))-'Price History'!E3)*(ROW()-3)/(MATCH(9.99E+307,'Returns (Calc)'!$A:$A)-3),"")</f>
        <v>155.600377358491</v>
      </c>
      <c r="AA45" s="111" t="n">
        <f aca="false">IFERROR('Price History'!F3+(INDEX('Price History'!F:F,MATCH(9.99E+307,'Price History'!$A:$A))-'Price History'!F3)*(ROW()-3)/(MATCH(9.99E+307,'Returns (Calc)'!$A:$A)-3),"")</f>
        <v>83.5611320754717</v>
      </c>
      <c r="AB45" s="111" t="n">
        <f aca="false">IFERROR('Price History'!G3+(INDEX('Price History'!G:G,MATCH(9.99E+307,'Price History'!$A:$A))-'Price History'!G3)*(ROW()-3)/(MATCH(9.99E+307,'Returns (Calc)'!$A:$A)-3),"")</f>
        <v>84.2735849056604</v>
      </c>
      <c r="AC45" s="111" t="n">
        <f aca="false">IFERROR('Price History'!H3+(INDEX('Price History'!H:H,MATCH(9.99E+307,'Price History'!$A:$A))-'Price History'!H3)*(ROW()-3)/(MATCH(9.99E+307,'Returns (Calc)'!$A:$A)-3),"")</f>
        <v>315.899811320755</v>
      </c>
      <c r="AD45" s="111" t="n">
        <f aca="false">IFERROR('Price History'!I3+(INDEX('Price History'!I:I,MATCH(9.99E+307,'Price History'!$A:$A))-'Price History'!I3)*(ROW()-3)/(MATCH(9.99E+307,'Returns (Calc)'!$A:$A)-3),"")</f>
        <v>90.9092452830189</v>
      </c>
      <c r="AE45" s="111" t="n">
        <f aca="false">IFERROR('Price History'!J3+(INDEX('Price History'!J:J,MATCH(9.99E+307,'Price History'!$A:$A))-'Price History'!J3)*(ROW()-3)/(MATCH(9.99E+307,'Returns (Calc)'!$A:$A)-3),"")</f>
        <v>127.16320754717</v>
      </c>
      <c r="AF45" s="111" t="n">
        <f aca="false">IFERROR('Price History'!K3+(INDEX('Price History'!K:K,MATCH(9.99E+307,'Price History'!$A:$A))-'Price History'!K3)*(ROW()-3)/(MATCH(9.99E+307,'Returns (Calc)'!$A:$A)-3),"")</f>
        <v>57.3888679245283</v>
      </c>
      <c r="AG45" s="111" t="n">
        <f aca="false">IFERROR('Price History'!L3+(INDEX('Price History'!L:L,MATCH(9.99E+307,'Price History'!$A:$A))-'Price History'!L3)*(ROW()-3)/(MATCH(9.99E+307,'Returns (Calc)'!$A:$A)-3),"")</f>
        <v>180.987735849057</v>
      </c>
      <c r="AH45" s="111" t="n">
        <f aca="false">IFERROR('Price History'!M3+(INDEX('Price History'!M:M,MATCH(9.99E+307,'Price History'!$A:$A))-'Price History'!M3)*(ROW()-3)/(MATCH(9.99E+307,'Returns (Calc)'!$A:$A)-3),"")</f>
        <v>98.7605660377359</v>
      </c>
      <c r="AI45" s="111" t="n">
        <f aca="false">IFERROR('Price History'!N3+(INDEX('Price History'!N:N,MATCH(9.99E+307,'Price History'!$A:$A))-'Price History'!N3)*(ROW()-3)/(MATCH(9.99E+307,'Returns (Calc)'!$A:$A)-3),"")</f>
        <v>401.702264150943</v>
      </c>
      <c r="AJ45" s="111" t="n">
        <f aca="false">IFERROR('Price History'!O3+(INDEX('Price History'!O:O,MATCH(9.99E+307,'Price History'!$A:$A))-'Price History'!O3)*(ROW()-3)/(MATCH(9.99E+307,'Returns (Calc)'!$A:$A)-3),"")</f>
        <v>94.4937735849057</v>
      </c>
      <c r="AK45" s="111" t="n">
        <f aca="false">IFERROR('Price History'!Q3+(INDEX('Price History'!Q:Q,MATCH(9.99E+307,'Price History'!$A:$A))-'Price History'!Q3)*(ROW()-3)/(MATCH(9.99E+307,'Returns (Calc)'!$A:$A)-3),"")</f>
        <v>55.091320754717</v>
      </c>
      <c r="AL45" s="111" t="n">
        <f aca="false">IFERROR('Price History'!R3+(INDEX('Price History'!R:R,MATCH(9.99E+307,'Price History'!$A:$A))-'Price History'!R3)*(ROW()-3)/(MATCH(9.99E+307,'Returns (Calc)'!$A:$A)-3),"")</f>
        <v>51.0030188679245</v>
      </c>
      <c r="AM45" s="111" t="n">
        <f aca="false">IFERROR('Price History'!S3+(INDEX('Price History'!S:S,MATCH(9.99E+307,'Price History'!$A:$A))-'Price History'!S3)*(ROW()-3)/(MATCH(9.99E+307,'Returns (Calc)'!$A:$A)-3),"")</f>
        <v>82.6252830188679</v>
      </c>
      <c r="AN45" s="111" t="n">
        <f aca="false">IFERROR('Price History'!T3+(INDEX('Price History'!T:T,MATCH(9.99E+307,'Price History'!$A:$A))-'Price History'!T3)*(ROW()-3)/(MATCH(9.99E+307,'Returns (Calc)'!$A:$A)-3),"")</f>
        <v>34.4066037735849</v>
      </c>
      <c r="AO45" s="112" t="n">
        <f aca="false">IFERROR('Price History'!V3+(INDEX('Price History'!V:V,MATCH(9.99E+307,'Price History'!$A:$A))-'Price History'!V3)*(ROW()-3)/(MATCH(9.99E+307,'Returns (Calc)'!$A:$A)-3),"")</f>
        <v>99.0750943396227</v>
      </c>
    </row>
    <row r="46" customFormat="false" ht="15" hidden="false" customHeight="true" outlineLevel="0" collapsed="false">
      <c r="A46" s="108" t="n">
        <f aca="false">IF('Price History'!A47="","",'Price History'!A47)</f>
        <v>45457</v>
      </c>
      <c r="B46" s="109" t="n">
        <f aca="false">IFERROR(IF(OR(NOT(ISNUMBER('Price History'!B47)),NOT(ISNUMBER('Price History'!B46)),'Price History'!B46=0),"",'Price History'!B47/'Price History'!B46-1),"")</f>
        <v>0.128655222052725</v>
      </c>
      <c r="C46" s="109" t="n">
        <f aca="false">IFERROR(IF(OR(NOT(ISNUMBER('Price History'!C47)),NOT(ISNUMBER('Price History'!C46)),'Price History'!C46=0),"",'Price History'!C47/'Price History'!C46-1),"")</f>
        <v>0.106873315363881</v>
      </c>
      <c r="D46" s="109" t="n">
        <f aca="false">IFERROR(IF(OR(NOT(ISNUMBER('Price History'!D47)),NOT(ISNUMBER('Price History'!D46)),'Price History'!D46=0),"",'Price History'!D47/'Price History'!D46-1),"")</f>
        <v>-0.000505629995527057</v>
      </c>
      <c r="E46" s="109" t="n">
        <f aca="false">IFERROR(IF(OR(NOT(ISNUMBER('Price History'!E47)),NOT(ISNUMBER('Price History'!E46)),'Price History'!E46=0),"",'Price History'!E47/'Price History'!E46-1),"")</f>
        <v>0.233470780605716</v>
      </c>
      <c r="F46" s="109" t="n">
        <f aca="false">IFERROR(IF(OR(NOT(ISNUMBER('Price History'!F47)),NOT(ISNUMBER('Price History'!F46)),'Price History'!F46=0),"",'Price History'!F47/'Price History'!F46-1),"")</f>
        <v>0.104032997250229</v>
      </c>
      <c r="G46" s="109" t="n">
        <f aca="false">IFERROR(IF(OR(NOT(ISNUMBER('Price History'!G47)),NOT(ISNUMBER('Price History'!G46)),'Price History'!G46=0),"",'Price History'!G47/'Price History'!G46-1),"")</f>
        <v>0.0725617685305591</v>
      </c>
      <c r="H46" s="109" t="n">
        <f aca="false">IFERROR(IF(OR(NOT(ISNUMBER('Price History'!H47)),NOT(ISNUMBER('Price History'!H46)),'Price History'!H46=0),"",'Price History'!H47/'Price History'!H46-1),"")</f>
        <v>0.0795784328700169</v>
      </c>
      <c r="I46" s="109" t="n">
        <f aca="false">IFERROR(IF(OR(NOT(ISNUMBER('Price History'!I47)),NOT(ISNUMBER('Price History'!I46)),'Price History'!I46=0),"",'Price History'!I47/'Price History'!I46-1),"")</f>
        <v>0.0909090909090908</v>
      </c>
      <c r="J46" s="109" t="n">
        <f aca="false">IFERROR(IF(OR(NOT(ISNUMBER('Price History'!J47)),NOT(ISNUMBER('Price History'!J46)),'Price History'!J46=0),"",'Price History'!J47/'Price History'!J46-1),"")</f>
        <v>0.0189655172413794</v>
      </c>
      <c r="K46" s="109" t="n">
        <f aca="false">IFERROR(IF(OR(NOT(ISNUMBER('Price History'!K47)),NOT(ISNUMBER('Price History'!K46)),'Price History'!K46=0),"",'Price History'!K47/'Price History'!K46-1),"")</f>
        <v>0.0111540111540112</v>
      </c>
      <c r="L46" s="109" t="n">
        <f aca="false">IFERROR(IF(OR(NOT(ISNUMBER('Price History'!L47)),NOT(ISNUMBER('Price History'!L46)),'Price History'!L46=0),"",'Price History'!L47/'Price History'!L46-1),"")</f>
        <v>0.0493947320396617</v>
      </c>
      <c r="M46" s="109" t="n">
        <f aca="false">IFERROR(IF(OR(NOT(ISNUMBER('Price History'!M47)),NOT(ISNUMBER('Price History'!M46)),'Price History'!M46=0),"",'Price History'!M47/'Price History'!M46-1),"")</f>
        <v>0.0433394160583942</v>
      </c>
      <c r="N46" s="109" t="n">
        <f aca="false">IFERROR(IF(OR(NOT(ISNUMBER('Price History'!N47)),NOT(ISNUMBER('Price History'!N46)),'Price History'!N46=0),"",'Price History'!N47/'Price History'!N46-1),"")</f>
        <v>-0.00478221265319645</v>
      </c>
      <c r="O46" s="109" t="n">
        <f aca="false">IFERROR(IF(OR(NOT(ISNUMBER('Price History'!O47)),NOT(ISNUMBER('Price History'!O46)),'Price History'!O46=0),"",'Price History'!O47/'Price History'!O46-1),"")</f>
        <v>-0.0239207832665775</v>
      </c>
      <c r="P46" s="109" t="str">
        <f aca="false">IFERROR(IF(OR(NOT(ISNUMBER('Price History'!P47)),NOT(ISNUMBER('Price History'!P46)),'Price History'!P46=0),"",'Price History'!P47/'Price History'!P46-1),"")</f>
        <v/>
      </c>
      <c r="Q46" s="109" t="n">
        <f aca="false">IFERROR(IF(OR(NOT(ISNUMBER('Price History'!Q47)),NOT(ISNUMBER('Price History'!Q46)),'Price History'!Q46=0),"",'Price History'!Q47/'Price History'!Q46-1),"")</f>
        <v>-0.0107618722241203</v>
      </c>
      <c r="R46" s="109" t="n">
        <f aca="false">IFERROR(IF(OR(NOT(ISNUMBER('Price History'!R47)),NOT(ISNUMBER('Price History'!R46)),'Price History'!R46=0),"",'Price History'!R47/'Price History'!R46-1),"")</f>
        <v>0.0126628739218204</v>
      </c>
      <c r="S46" s="109" t="n">
        <f aca="false">IFERROR(IF(OR(NOT(ISNUMBER('Price History'!S47)),NOT(ISNUMBER('Price History'!S46)),'Price History'!S46=0),"",'Price History'!S47/'Price History'!S46-1),"")</f>
        <v>0.0421981165812375</v>
      </c>
      <c r="T46" s="109" t="n">
        <f aca="false">IFERROR(IF(OR(NOT(ISNUMBER('Price History'!T47)),NOT(ISNUMBER('Price History'!T46)),'Price History'!T46=0),"",'Price History'!T47/'Price History'!T46-1),"")</f>
        <v>-0.00420032310177698</v>
      </c>
      <c r="U46" s="109" t="str">
        <f aca="false">IFERROR(IF(OR(NOT(ISNUMBER('Price History'!U47)),NOT(ISNUMBER('Price History'!U46)),'Price History'!U46=0),"",'Price History'!U47/'Price History'!U46-1),"")</f>
        <v/>
      </c>
      <c r="V46" s="110" t="n">
        <f aca="false">IFERROR(IF(OR(NOT(ISNUMBER('Price History'!V47)),NOT(ISNUMBER('Price History'!V46)),'Price History'!V46=0),"",'Price History'!V47/'Price History'!V46-1),"")</f>
        <v>-0.0287247244324403</v>
      </c>
      <c r="W46" s="111" t="n">
        <f aca="false">IFERROR('Price History'!B3+(INDEX('Price History'!B:B,MATCH(9.99E+307,'Price History'!$A:$A))-'Price History'!B3)*(ROW()-3)/(MATCH(9.99E+307,'Returns (Calc)'!$A:$A)-3),"")</f>
        <v>443.019685534591</v>
      </c>
      <c r="X46" s="111" t="n">
        <f aca="false">IFERROR('Price History'!C3+(INDEX('Price History'!C:C,MATCH(9.99E+307,'Price History'!$A:$A))-'Price History'!C3)*(ROW()-3)/(MATCH(9.99E+307,'Returns (Calc)'!$A:$A)-3),"")</f>
        <v>84.316855345912</v>
      </c>
      <c r="Y46" s="111" t="n">
        <f aca="false">IFERROR('Price History'!D3+(INDEX('Price History'!D:D,MATCH(9.99E+307,'Price History'!$A:$A))-'Price History'!D3)*(ROW()-3)/(MATCH(9.99E+307,'Returns (Calc)'!$A:$A)-3),"")</f>
        <v>946.580628930818</v>
      </c>
      <c r="Z46" s="111" t="n">
        <f aca="false">IFERROR('Price History'!E3+(INDEX('Price History'!E:E,MATCH(9.99E+307,'Price History'!$A:$A))-'Price History'!E3)*(ROW()-3)/(MATCH(9.99E+307,'Returns (Calc)'!$A:$A)-3),"")</f>
        <v>157.329433962264</v>
      </c>
      <c r="AA46" s="111" t="n">
        <f aca="false">IFERROR('Price History'!F3+(INDEX('Price History'!F:F,MATCH(9.99E+307,'Price History'!$A:$A))-'Price History'!F3)*(ROW()-3)/(MATCH(9.99E+307,'Returns (Calc)'!$A:$A)-3),"")</f>
        <v>84.6683018867925</v>
      </c>
      <c r="AB46" s="111" t="n">
        <f aca="false">IFERROR('Price History'!G3+(INDEX('Price History'!G:G,MATCH(9.99E+307,'Price History'!$A:$A))-'Price History'!G3)*(ROW()-3)/(MATCH(9.99E+307,'Returns (Calc)'!$A:$A)-3),"")</f>
        <v>85.1396226415094</v>
      </c>
      <c r="AC46" s="111" t="n">
        <f aca="false">IFERROR('Price History'!H3+(INDEX('Price History'!H:H,MATCH(9.99E+307,'Price History'!$A:$A))-'Price History'!H3)*(ROW()-3)/(MATCH(9.99E+307,'Returns (Calc)'!$A:$A)-3),"")</f>
        <v>321.888616352201</v>
      </c>
      <c r="AD46" s="111" t="n">
        <f aca="false">IFERROR('Price History'!I3+(INDEX('Price History'!I:I,MATCH(9.99E+307,'Price History'!$A:$A))-'Price History'!I3)*(ROW()-3)/(MATCH(9.99E+307,'Returns (Calc)'!$A:$A)-3),"")</f>
        <v>92.1011320754717</v>
      </c>
      <c r="AE46" s="111" t="n">
        <f aca="false">IFERROR('Price History'!J3+(INDEX('Price History'!J:J,MATCH(9.99E+307,'Price History'!$A:$A))-'Price History'!J3)*(ROW()-3)/(MATCH(9.99E+307,'Returns (Calc)'!$A:$A)-3),"")</f>
        <v>127.250188679245</v>
      </c>
      <c r="AF46" s="111" t="n">
        <f aca="false">IFERROR('Price History'!K3+(INDEX('Price History'!K:K,MATCH(9.99E+307,'Price History'!$A:$A))-'Price History'!K3)*(ROW()-3)/(MATCH(9.99E+307,'Returns (Calc)'!$A:$A)-3),"")</f>
        <v>58.3883647798742</v>
      </c>
      <c r="AG46" s="111" t="n">
        <f aca="false">IFERROR('Price History'!L3+(INDEX('Price History'!L:L,MATCH(9.99E+307,'Price History'!$A:$A))-'Price History'!L3)*(ROW()-3)/(MATCH(9.99E+307,'Returns (Calc)'!$A:$A)-3),"")</f>
        <v>183.106729559748</v>
      </c>
      <c r="AH46" s="111" t="n">
        <f aca="false">IFERROR('Price History'!M3+(INDEX('Price History'!M:M,MATCH(9.99E+307,'Price History'!$A:$A))-'Price History'!M3)*(ROW()-3)/(MATCH(9.99E+307,'Returns (Calc)'!$A:$A)-3),"")</f>
        <v>100.314150943396</v>
      </c>
      <c r="AI46" s="111" t="n">
        <f aca="false">IFERROR('Price History'!N3+(INDEX('Price History'!N:N,MATCH(9.99E+307,'Price History'!$A:$A))-'Price History'!N3)*(ROW()-3)/(MATCH(9.99E+307,'Returns (Calc)'!$A:$A)-3),"")</f>
        <v>402.936603773585</v>
      </c>
      <c r="AJ46" s="111" t="n">
        <f aca="false">IFERROR('Price History'!O3+(INDEX('Price History'!O:O,MATCH(9.99E+307,'Price History'!$A:$A))-'Price History'!O3)*(ROW()-3)/(MATCH(9.99E+307,'Returns (Calc)'!$A:$A)-3),"")</f>
        <v>94.7710062893082</v>
      </c>
      <c r="AK46" s="111" t="n">
        <f aca="false">IFERROR('Price History'!Q3+(INDEX('Price History'!Q:Q,MATCH(9.99E+307,'Price History'!$A:$A))-'Price History'!Q3)*(ROW()-3)/(MATCH(9.99E+307,'Returns (Calc)'!$A:$A)-3),"")</f>
        <v>55.2163522012579</v>
      </c>
      <c r="AL46" s="111" t="n">
        <f aca="false">IFERROR('Price History'!R3+(INDEX('Price History'!R:R,MATCH(9.99E+307,'Price History'!$A:$A))-'Price History'!R3)*(ROW()-3)/(MATCH(9.99E+307,'Returns (Calc)'!$A:$A)-3),"")</f>
        <v>51.0788050314465</v>
      </c>
      <c r="AM46" s="111" t="n">
        <f aca="false">IFERROR('Price History'!S3+(INDEX('Price History'!S:S,MATCH(9.99E+307,'Price History'!$A:$A))-'Price History'!S3)*(ROW()-3)/(MATCH(9.99E+307,'Returns (Calc)'!$A:$A)-3),"")</f>
        <v>83.1987421383648</v>
      </c>
      <c r="AN46" s="111" t="n">
        <f aca="false">IFERROR('Price History'!T3+(INDEX('Price History'!T:T,MATCH(9.99E+307,'Price History'!$A:$A))-'Price History'!T3)*(ROW()-3)/(MATCH(9.99E+307,'Returns (Calc)'!$A:$A)-3),"")</f>
        <v>34.5850943396226</v>
      </c>
      <c r="AO46" s="112" t="n">
        <f aca="false">IFERROR('Price History'!V3+(INDEX('Price History'!V:V,MATCH(9.99E+307,'Price History'!$A:$A))-'Price History'!V3)*(ROW()-3)/(MATCH(9.99E+307,'Returns (Calc)'!$A:$A)-3),"")</f>
        <v>101.434025157233</v>
      </c>
    </row>
    <row r="47" customFormat="false" ht="15" hidden="false" customHeight="true" outlineLevel="0" collapsed="false">
      <c r="A47" s="108" t="n">
        <f aca="false">IF('Price History'!A48="","",'Price History'!A48)</f>
        <v>45464</v>
      </c>
      <c r="B47" s="109" t="n">
        <f aca="false">IFERROR(IF(OR(NOT(ISNUMBER('Price History'!B48)),NOT(ISNUMBER('Price History'!B47)),'Price History'!B47=0),"",'Price History'!B48/'Price History'!B47-1),"")</f>
        <v>0.0154765757362321</v>
      </c>
      <c r="C47" s="109" t="n">
        <f aca="false">IFERROR(IF(OR(NOT(ISNUMBER('Price History'!C48)),NOT(ISNUMBER('Price History'!C47)),'Price History'!C47=0),"",'Price History'!C48/'Price History'!C47-1),"")</f>
        <v>0.0269085596006333</v>
      </c>
      <c r="D47" s="109" t="n">
        <f aca="false">IFERROR(IF(OR(NOT(ISNUMBER('Price History'!D48)),NOT(ISNUMBER('Price History'!D47)),'Price History'!D47=0),"",'Price History'!D48/'Price History'!D47-1),"")</f>
        <v>0.0084638583519796</v>
      </c>
      <c r="E47" s="109" t="n">
        <f aca="false">IFERROR(IF(OR(NOT(ISNUMBER('Price History'!E48)),NOT(ISNUMBER('Price History'!E47)),'Price History'!E47=0),"",'Price History'!E48/'Price History'!E47-1),"")</f>
        <v>-0.0440345821325647</v>
      </c>
      <c r="F47" s="109" t="n">
        <f aca="false">IFERROR(IF(OR(NOT(ISNUMBER('Price History'!F48)),NOT(ISNUMBER('Price History'!F47)),'Price History'!F47=0),"",'Price History'!F48/'Price History'!F47-1),"")</f>
        <v>-0.0124533001245331</v>
      </c>
      <c r="G47" s="109" t="n">
        <f aca="false">IFERROR(IF(OR(NOT(ISNUMBER('Price History'!G48)),NOT(ISNUMBER('Price History'!G47)),'Price History'!G47=0),"",'Price History'!G48/'Price History'!G47-1),"")</f>
        <v>-0.00994180407371492</v>
      </c>
      <c r="H47" s="109" t="n">
        <f aca="false">IFERROR(IF(OR(NOT(ISNUMBER('Price History'!H48)),NOT(ISNUMBER('Price History'!H47)),'Price History'!H47=0),"",'Price History'!H48/'Price History'!H47-1),"")</f>
        <v>-0.0128749292586307</v>
      </c>
      <c r="I47" s="109" t="n">
        <f aca="false">IFERROR(IF(OR(NOT(ISNUMBER('Price History'!I48)),NOT(ISNUMBER('Price History'!I47)),'Price History'!I47=0),"",'Price History'!I48/'Price History'!I47-1),"")</f>
        <v>-0.0402638762511374</v>
      </c>
      <c r="J47" s="109" t="n">
        <f aca="false">IFERROR(IF(OR(NOT(ISNUMBER('Price History'!J48)),NOT(ISNUMBER('Price History'!J47)),'Price History'!J47=0),"",'Price History'!J48/'Price History'!J47-1),"")</f>
        <v>-0.0257369311603883</v>
      </c>
      <c r="K47" s="109" t="n">
        <f aca="false">IFERROR(IF(OR(NOT(ISNUMBER('Price History'!K48)),NOT(ISNUMBER('Price History'!K47)),'Price History'!K47=0),"",'Price History'!K48/'Price History'!K47-1),"")</f>
        <v>0.0114552397114978</v>
      </c>
      <c r="L47" s="109" t="n">
        <f aca="false">IFERROR(IF(OR(NOT(ISNUMBER('Price History'!L48)),NOT(ISNUMBER('Price History'!L47)),'Price History'!L47=0),"",'Price History'!L48/'Price History'!L47-1),"")</f>
        <v>0.00840530983711108</v>
      </c>
      <c r="M47" s="109" t="n">
        <f aca="false">IFERROR(IF(OR(NOT(ISNUMBER('Price History'!M48)),NOT(ISNUMBER('Price History'!M47)),'Price History'!M47=0),"",'Price History'!M48/'Price History'!M47-1),"")</f>
        <v>-0.00940096195889817</v>
      </c>
      <c r="N47" s="109" t="n">
        <f aca="false">IFERROR(IF(OR(NOT(ISNUMBER('Price History'!N48)),NOT(ISNUMBER('Price History'!N47)),'Price History'!N47=0),"",'Price History'!N48/'Price History'!N47-1),"")</f>
        <v>-0.0250036402970483</v>
      </c>
      <c r="O47" s="109" t="n">
        <f aca="false">IFERROR(IF(OR(NOT(ISNUMBER('Price History'!O48)),NOT(ISNUMBER('Price History'!O47)),'Price History'!O47=0),"",'Price History'!O48/'Price History'!O47-1),"")</f>
        <v>0.010828678901174</v>
      </c>
      <c r="P47" s="109" t="str">
        <f aca="false">IFERROR(IF(OR(NOT(ISNUMBER('Price History'!P48)),NOT(ISNUMBER('Price History'!P47)),'Price History'!P47=0),"",'Price History'!P48/'Price History'!P47-1),"")</f>
        <v/>
      </c>
      <c r="Q47" s="109" t="n">
        <f aca="false">IFERROR(IF(OR(NOT(ISNUMBER('Price History'!Q48)),NOT(ISNUMBER('Price History'!Q47)),'Price History'!Q47=0),"",'Price History'!Q48/'Price History'!Q47-1),"")</f>
        <v>0.000690726990157264</v>
      </c>
      <c r="R47" s="109" t="n">
        <f aca="false">IFERROR(IF(OR(NOT(ISNUMBER('Price History'!R48)),NOT(ISNUMBER('Price History'!R47)),'Price History'!R47=0),"",'Price History'!R48/'Price History'!R47-1),"")</f>
        <v>0.00108735048930786</v>
      </c>
      <c r="S47" s="109" t="n">
        <f aca="false">IFERROR(IF(OR(NOT(ISNUMBER('Price History'!S48)),NOT(ISNUMBER('Price History'!S47)),'Price History'!S47=0),"",'Price History'!S48/'Price History'!S47-1),"")</f>
        <v>-0.000800640512410022</v>
      </c>
      <c r="T47" s="109" t="n">
        <f aca="false">IFERROR(IF(OR(NOT(ISNUMBER('Price History'!T48)),NOT(ISNUMBER('Price History'!T47)),'Price History'!T47=0),"",'Price History'!T48/'Price History'!T47-1),"")</f>
        <v>0.00973393900064901</v>
      </c>
      <c r="U47" s="109" t="str">
        <f aca="false">IFERROR(IF(OR(NOT(ISNUMBER('Price History'!U48)),NOT(ISNUMBER('Price History'!U47)),'Price History'!U47=0),"",'Price History'!U48/'Price History'!U47-1),"")</f>
        <v/>
      </c>
      <c r="V47" s="110" t="n">
        <f aca="false">IFERROR(IF(OR(NOT(ISNUMBER('Price History'!V48)),NOT(ISNUMBER('Price History'!V47)),'Price History'!V47=0),"",'Price History'!V48/'Price History'!V47-1),"")</f>
        <v>0.0168351433617675</v>
      </c>
      <c r="W47" s="111" t="n">
        <f aca="false">IFERROR('Price History'!B3+(INDEX('Price History'!B:B,MATCH(9.99E+307,'Price History'!$A:$A))-'Price History'!B3)*(ROW()-3)/(MATCH(9.99E+307,'Returns (Calc)'!$A:$A)-3),"")</f>
        <v>441.498050314465</v>
      </c>
      <c r="X47" s="111" t="n">
        <f aca="false">IFERROR('Price History'!C3+(INDEX('Price History'!C:C,MATCH(9.99E+307,'Price History'!$A:$A))-'Price History'!C3)*(ROW()-3)/(MATCH(9.99E+307,'Returns (Calc)'!$A:$A)-3),"")</f>
        <v>85.2605031446541</v>
      </c>
      <c r="Y47" s="111" t="n">
        <f aca="false">IFERROR('Price History'!D3+(INDEX('Price History'!D:D,MATCH(9.99E+307,'Price History'!$A:$A))-'Price History'!D3)*(ROW()-3)/(MATCH(9.99E+307,'Returns (Calc)'!$A:$A)-3),"")</f>
        <v>953.203899371069</v>
      </c>
      <c r="Z47" s="111" t="n">
        <f aca="false">IFERROR('Price History'!E3+(INDEX('Price History'!E:E,MATCH(9.99E+307,'Price History'!$A:$A))-'Price History'!E3)*(ROW()-3)/(MATCH(9.99E+307,'Returns (Calc)'!$A:$A)-3),"")</f>
        <v>159.058490566038</v>
      </c>
      <c r="AA47" s="111" t="n">
        <f aca="false">IFERROR('Price History'!F3+(INDEX('Price History'!F:F,MATCH(9.99E+307,'Price History'!$A:$A))-'Price History'!F3)*(ROW()-3)/(MATCH(9.99E+307,'Returns (Calc)'!$A:$A)-3),"")</f>
        <v>85.7754716981132</v>
      </c>
      <c r="AB47" s="111" t="n">
        <f aca="false">IFERROR('Price History'!G3+(INDEX('Price History'!G:G,MATCH(9.99E+307,'Price History'!$A:$A))-'Price History'!G3)*(ROW()-3)/(MATCH(9.99E+307,'Returns (Calc)'!$A:$A)-3),"")</f>
        <v>86.0056603773585</v>
      </c>
      <c r="AC47" s="111" t="n">
        <f aca="false">IFERROR('Price History'!H3+(INDEX('Price History'!H:H,MATCH(9.99E+307,'Price History'!$A:$A))-'Price History'!H3)*(ROW()-3)/(MATCH(9.99E+307,'Returns (Calc)'!$A:$A)-3),"")</f>
        <v>327.877421383648</v>
      </c>
      <c r="AD47" s="111" t="n">
        <f aca="false">IFERROR('Price History'!I3+(INDEX('Price History'!I:I,MATCH(9.99E+307,'Price History'!$A:$A))-'Price History'!I3)*(ROW()-3)/(MATCH(9.99E+307,'Returns (Calc)'!$A:$A)-3),"")</f>
        <v>93.2930188679245</v>
      </c>
      <c r="AE47" s="111" t="n">
        <f aca="false">IFERROR('Price History'!J3+(INDEX('Price History'!J:J,MATCH(9.99E+307,'Price History'!$A:$A))-'Price History'!J3)*(ROW()-3)/(MATCH(9.99E+307,'Returns (Calc)'!$A:$A)-3),"")</f>
        <v>127.337169811321</v>
      </c>
      <c r="AF47" s="111" t="n">
        <f aca="false">IFERROR('Price History'!K3+(INDEX('Price History'!K:K,MATCH(9.99E+307,'Price History'!$A:$A))-'Price History'!K3)*(ROW()-3)/(MATCH(9.99E+307,'Returns (Calc)'!$A:$A)-3),"")</f>
        <v>59.3878616352201</v>
      </c>
      <c r="AG47" s="111" t="n">
        <f aca="false">IFERROR('Price History'!L3+(INDEX('Price History'!L:L,MATCH(9.99E+307,'Price History'!$A:$A))-'Price History'!L3)*(ROW()-3)/(MATCH(9.99E+307,'Returns (Calc)'!$A:$A)-3),"")</f>
        <v>185.22572327044</v>
      </c>
      <c r="AH47" s="111" t="n">
        <f aca="false">IFERROR('Price History'!M3+(INDEX('Price History'!M:M,MATCH(9.99E+307,'Price History'!$A:$A))-'Price History'!M3)*(ROW()-3)/(MATCH(9.99E+307,'Returns (Calc)'!$A:$A)-3),"")</f>
        <v>101.867735849057</v>
      </c>
      <c r="AI47" s="111" t="n">
        <f aca="false">IFERROR('Price History'!N3+(INDEX('Price History'!N:N,MATCH(9.99E+307,'Price History'!$A:$A))-'Price History'!N3)*(ROW()-3)/(MATCH(9.99E+307,'Returns (Calc)'!$A:$A)-3),"")</f>
        <v>404.170943396226</v>
      </c>
      <c r="AJ47" s="111" t="n">
        <f aca="false">IFERROR('Price History'!O3+(INDEX('Price History'!O:O,MATCH(9.99E+307,'Price History'!$A:$A))-'Price History'!O3)*(ROW()-3)/(MATCH(9.99E+307,'Returns (Calc)'!$A:$A)-3),"")</f>
        <v>95.0482389937107</v>
      </c>
      <c r="AK47" s="111" t="n">
        <f aca="false">IFERROR('Price History'!Q3+(INDEX('Price History'!Q:Q,MATCH(9.99E+307,'Price History'!$A:$A))-'Price History'!Q3)*(ROW()-3)/(MATCH(9.99E+307,'Returns (Calc)'!$A:$A)-3),"")</f>
        <v>55.3413836477987</v>
      </c>
      <c r="AL47" s="111" t="n">
        <f aca="false">IFERROR('Price History'!R3+(INDEX('Price History'!R:R,MATCH(9.99E+307,'Price History'!$A:$A))-'Price History'!R3)*(ROW()-3)/(MATCH(9.99E+307,'Returns (Calc)'!$A:$A)-3),"")</f>
        <v>51.1545911949686</v>
      </c>
      <c r="AM47" s="111" t="n">
        <f aca="false">IFERROR('Price History'!S3+(INDEX('Price History'!S:S,MATCH(9.99E+307,'Price History'!$A:$A))-'Price History'!S3)*(ROW()-3)/(MATCH(9.99E+307,'Returns (Calc)'!$A:$A)-3),"")</f>
        <v>83.7722012578616</v>
      </c>
      <c r="AN47" s="111" t="n">
        <f aca="false">IFERROR('Price History'!T3+(INDEX('Price History'!T:T,MATCH(9.99E+307,'Price History'!$A:$A))-'Price History'!T3)*(ROW()-3)/(MATCH(9.99E+307,'Returns (Calc)'!$A:$A)-3),"")</f>
        <v>34.7635849056604</v>
      </c>
      <c r="AO47" s="112" t="n">
        <f aca="false">IFERROR('Price History'!V3+(INDEX('Price History'!V:V,MATCH(9.99E+307,'Price History'!$A:$A))-'Price History'!V3)*(ROW()-3)/(MATCH(9.99E+307,'Returns (Calc)'!$A:$A)-3),"")</f>
        <v>103.792955974843</v>
      </c>
    </row>
    <row r="48" customFormat="false" ht="15" hidden="false" customHeight="true" outlineLevel="0" collapsed="false">
      <c r="A48" s="108" t="n">
        <f aca="false">IF('Price History'!A49="","",'Price History'!A49)</f>
        <v>45471</v>
      </c>
      <c r="B48" s="109" t="n">
        <f aca="false">IFERROR(IF(OR(NOT(ISNUMBER('Price History'!B49)),NOT(ISNUMBER('Price History'!B48)),'Price History'!B48=0),"",'Price History'!B49/'Price History'!B48-1),"")</f>
        <v>0.0414292141571684</v>
      </c>
      <c r="C48" s="109" t="n">
        <f aca="false">IFERROR(IF(OR(NOT(ISNUMBER('Price History'!C49)),NOT(ISNUMBER('Price History'!C48)),'Price History'!C48=0),"",'Price History'!C49/'Price History'!C48-1),"")</f>
        <v>0.0388902063078018</v>
      </c>
      <c r="D48" s="109" t="n">
        <f aca="false">IFERROR(IF(OR(NOT(ISNUMBER('Price History'!D49)),NOT(ISNUMBER('Price History'!D48)),'Price History'!D48=0),"",'Price History'!D49/'Price History'!D48-1),"")</f>
        <v>-0.0133802816901407</v>
      </c>
      <c r="E48" s="109" t="n">
        <f aca="false">IFERROR(IF(OR(NOT(ISNUMBER('Price History'!E49)),NOT(ISNUMBER('Price History'!E48)),'Price History'!E48=0),"",'Price History'!E49/'Price History'!E48-1),"")</f>
        <v>-0.0320149523694683</v>
      </c>
      <c r="F48" s="109" t="n">
        <f aca="false">IFERROR(IF(OR(NOT(ISNUMBER('Price History'!F49)),NOT(ISNUMBER('Price History'!F48)),'Price History'!F48=0),"",'Price History'!F49/'Price History'!F48-1),"")</f>
        <v>0.00672551492223628</v>
      </c>
      <c r="G48" s="109" t="n">
        <f aca="false">IFERROR(IF(OR(NOT(ISNUMBER('Price History'!G49)),NOT(ISNUMBER('Price History'!G48)),'Price History'!G48=0),"",'Price History'!G49/'Price History'!G48-1),"")</f>
        <v>0.00967425912319375</v>
      </c>
      <c r="H48" s="109" t="n">
        <f aca="false">IFERROR(IF(OR(NOT(ISNUMBER('Price History'!H49)),NOT(ISNUMBER('Price History'!H48)),'Price History'!H48=0),"",'Price History'!H49/'Price History'!H48-1),"")</f>
        <v>-0.0574028952271749</v>
      </c>
      <c r="I48" s="109" t="n">
        <f aca="false">IFERROR(IF(OR(NOT(ISNUMBER('Price History'!I49)),NOT(ISNUMBER('Price History'!I48)),'Price History'!I48=0),"",'Price History'!I49/'Price History'!I48-1),"")</f>
        <v>-0.023939322114245</v>
      </c>
      <c r="J48" s="109" t="n">
        <f aca="false">IFERROR(IF(OR(NOT(ISNUMBER('Price History'!J49)),NOT(ISNUMBER('Price History'!J48)),'Price History'!J48=0),"",'Price History'!J49/'Price History'!J48-1),"")</f>
        <v>0.0265996343692869</v>
      </c>
      <c r="K48" s="109" t="n">
        <f aca="false">IFERROR(IF(OR(NOT(ISNUMBER('Price History'!K49)),NOT(ISNUMBER('Price History'!K48)),'Price History'!K48=0),"",'Price History'!K49/'Price History'!K48-1),"")</f>
        <v>0.0625</v>
      </c>
      <c r="L48" s="109" t="n">
        <f aca="false">IFERROR(IF(OR(NOT(ISNUMBER('Price History'!L49)),NOT(ISNUMBER('Price History'!L48)),'Price History'!L48=0),"",'Price History'!L49/'Price History'!L48-1),"")</f>
        <v>-0.000862267187859311</v>
      </c>
      <c r="M48" s="109" t="n">
        <f aca="false">IFERROR(IF(OR(NOT(ISNUMBER('Price History'!M49)),NOT(ISNUMBER('Price History'!M48)),'Price History'!M48=0),"",'Price History'!M49/'Price History'!M48-1),"")</f>
        <v>-0.044692120944604</v>
      </c>
      <c r="N48" s="109" t="n">
        <f aca="false">IFERROR(IF(OR(NOT(ISNUMBER('Price History'!N49)),NOT(ISNUMBER('Price History'!N48)),'Price History'!N48=0),"",'Price History'!N49/'Price History'!N48-1),"")</f>
        <v>2.13351539333218E-005</v>
      </c>
      <c r="O48" s="109" t="n">
        <f aca="false">IFERROR(IF(OR(NOT(ISNUMBER('Price History'!O49)),NOT(ISNUMBER('Price History'!O48)),'Price History'!O48=0),"",'Price History'!O49/'Price History'!O48-1),"")</f>
        <v>0.0117275597654487</v>
      </c>
      <c r="P48" s="109" t="str">
        <f aca="false">IFERROR(IF(OR(NOT(ISNUMBER('Price History'!P49)),NOT(ISNUMBER('Price History'!P48)),'Price History'!P48=0),"",'Price History'!P49/'Price History'!P48-1),"")</f>
        <v/>
      </c>
      <c r="Q48" s="109" t="n">
        <f aca="false">IFERROR(IF(OR(NOT(ISNUMBER('Price History'!Q49)),NOT(ISNUMBER('Price History'!Q48)),'Price History'!Q48=0),"",'Price History'!Q49/'Price History'!Q48-1),"")</f>
        <v>0.0262295081967212</v>
      </c>
      <c r="R48" s="109" t="n">
        <f aca="false">IFERROR(IF(OR(NOT(ISNUMBER('Price History'!R49)),NOT(ISNUMBER('Price History'!R48)),'Price History'!R48=0),"",'Price History'!R49/'Price History'!R48-1),"")</f>
        <v>0.00470673425054313</v>
      </c>
      <c r="S48" s="109" t="n">
        <f aca="false">IFERROR(IF(OR(NOT(ISNUMBER('Price History'!S49)),NOT(ISNUMBER('Price History'!S48)),'Price History'!S48=0),"",'Price History'!S49/'Price History'!S48-1),"")</f>
        <v>0.00114468864468864</v>
      </c>
      <c r="T48" s="109" t="n">
        <f aca="false">IFERROR(IF(OR(NOT(ISNUMBER('Price History'!T49)),NOT(ISNUMBER('Price History'!T48)),'Price History'!T48=0),"",'Price History'!T49/'Price History'!T48-1),"")</f>
        <v>-0.00642673521850901</v>
      </c>
      <c r="U48" s="109" t="str">
        <f aca="false">IFERROR(IF(OR(NOT(ISNUMBER('Price History'!U49)),NOT(ISNUMBER('Price History'!U48)),'Price History'!U48=0),"",'Price History'!U49/'Price History'!U48-1),"")</f>
        <v/>
      </c>
      <c r="V48" s="110" t="n">
        <f aca="false">IFERROR(IF(OR(NOT(ISNUMBER('Price History'!V49)),NOT(ISNUMBER('Price History'!V48)),'Price History'!V48=0),"",'Price History'!V49/'Price History'!V48-1),"")</f>
        <v>-0.0463431760227649</v>
      </c>
      <c r="W48" s="111" t="n">
        <f aca="false">IFERROR('Price History'!B3+(INDEX('Price History'!B:B,MATCH(9.99E+307,'Price History'!$A:$A))-'Price History'!B3)*(ROW()-3)/(MATCH(9.99E+307,'Returns (Calc)'!$A:$A)-3),"")</f>
        <v>439.97641509434</v>
      </c>
      <c r="X48" s="111" t="n">
        <f aca="false">IFERROR('Price History'!C3+(INDEX('Price History'!C:C,MATCH(9.99E+307,'Price History'!$A:$A))-'Price History'!C3)*(ROW()-3)/(MATCH(9.99E+307,'Returns (Calc)'!$A:$A)-3),"")</f>
        <v>86.2041509433962</v>
      </c>
      <c r="Y48" s="111" t="n">
        <f aca="false">IFERROR('Price History'!D3+(INDEX('Price History'!D:D,MATCH(9.99E+307,'Price History'!$A:$A))-'Price History'!D3)*(ROW()-3)/(MATCH(9.99E+307,'Returns (Calc)'!$A:$A)-3),"")</f>
        <v>959.827169811321</v>
      </c>
      <c r="Z48" s="111" t="n">
        <f aca="false">IFERROR('Price History'!E3+(INDEX('Price History'!E:E,MATCH(9.99E+307,'Price History'!$A:$A))-'Price History'!E3)*(ROW()-3)/(MATCH(9.99E+307,'Returns (Calc)'!$A:$A)-3),"")</f>
        <v>160.787547169811</v>
      </c>
      <c r="AA48" s="111" t="n">
        <f aca="false">IFERROR('Price History'!F3+(INDEX('Price History'!F:F,MATCH(9.99E+307,'Price History'!$A:$A))-'Price History'!F3)*(ROW()-3)/(MATCH(9.99E+307,'Returns (Calc)'!$A:$A)-3),"")</f>
        <v>86.882641509434</v>
      </c>
      <c r="AB48" s="111" t="n">
        <f aca="false">IFERROR('Price History'!G3+(INDEX('Price History'!G:G,MATCH(9.99E+307,'Price History'!$A:$A))-'Price History'!G3)*(ROW()-3)/(MATCH(9.99E+307,'Returns (Calc)'!$A:$A)-3),"")</f>
        <v>86.8716981132075</v>
      </c>
      <c r="AC48" s="111" t="n">
        <f aca="false">IFERROR('Price History'!H3+(INDEX('Price History'!H:H,MATCH(9.99E+307,'Price History'!$A:$A))-'Price History'!H3)*(ROW()-3)/(MATCH(9.99E+307,'Returns (Calc)'!$A:$A)-3),"")</f>
        <v>333.866226415094</v>
      </c>
      <c r="AD48" s="111" t="n">
        <f aca="false">IFERROR('Price History'!I3+(INDEX('Price History'!I:I,MATCH(9.99E+307,'Price History'!$A:$A))-'Price History'!I3)*(ROW()-3)/(MATCH(9.99E+307,'Returns (Calc)'!$A:$A)-3),"")</f>
        <v>94.4849056603774</v>
      </c>
      <c r="AE48" s="111" t="n">
        <f aca="false">IFERROR('Price History'!J3+(INDEX('Price History'!J:J,MATCH(9.99E+307,'Price History'!$A:$A))-'Price History'!J3)*(ROW()-3)/(MATCH(9.99E+307,'Returns (Calc)'!$A:$A)-3),"")</f>
        <v>127.424150943396</v>
      </c>
      <c r="AF48" s="111" t="n">
        <f aca="false">IFERROR('Price History'!K3+(INDEX('Price History'!K:K,MATCH(9.99E+307,'Price History'!$A:$A))-'Price History'!K3)*(ROW()-3)/(MATCH(9.99E+307,'Returns (Calc)'!$A:$A)-3),"")</f>
        <v>60.387358490566</v>
      </c>
      <c r="AG48" s="111" t="n">
        <f aca="false">IFERROR('Price History'!L3+(INDEX('Price History'!L:L,MATCH(9.99E+307,'Price History'!$A:$A))-'Price History'!L3)*(ROW()-3)/(MATCH(9.99E+307,'Returns (Calc)'!$A:$A)-3),"")</f>
        <v>187.344716981132</v>
      </c>
      <c r="AH48" s="111" t="n">
        <f aca="false">IFERROR('Price History'!M3+(INDEX('Price History'!M:M,MATCH(9.99E+307,'Price History'!$A:$A))-'Price History'!M3)*(ROW()-3)/(MATCH(9.99E+307,'Returns (Calc)'!$A:$A)-3),"")</f>
        <v>103.421320754717</v>
      </c>
      <c r="AI48" s="111" t="n">
        <f aca="false">IFERROR('Price History'!N3+(INDEX('Price History'!N:N,MATCH(9.99E+307,'Price History'!$A:$A))-'Price History'!N3)*(ROW()-3)/(MATCH(9.99E+307,'Returns (Calc)'!$A:$A)-3),"")</f>
        <v>405.405283018868</v>
      </c>
      <c r="AJ48" s="111" t="n">
        <f aca="false">IFERROR('Price History'!O3+(INDEX('Price History'!O:O,MATCH(9.99E+307,'Price History'!$A:$A))-'Price History'!O3)*(ROW()-3)/(MATCH(9.99E+307,'Returns (Calc)'!$A:$A)-3),"")</f>
        <v>95.3254716981132</v>
      </c>
      <c r="AK48" s="111" t="n">
        <f aca="false">IFERROR('Price History'!Q3+(INDEX('Price History'!Q:Q,MATCH(9.99E+307,'Price History'!$A:$A))-'Price History'!Q3)*(ROW()-3)/(MATCH(9.99E+307,'Returns (Calc)'!$A:$A)-3),"")</f>
        <v>55.4664150943396</v>
      </c>
      <c r="AL48" s="111" t="n">
        <f aca="false">IFERROR('Price History'!R3+(INDEX('Price History'!R:R,MATCH(9.99E+307,'Price History'!$A:$A))-'Price History'!R3)*(ROW()-3)/(MATCH(9.99E+307,'Returns (Calc)'!$A:$A)-3),"")</f>
        <v>51.2303773584906</v>
      </c>
      <c r="AM48" s="111" t="n">
        <f aca="false">IFERROR('Price History'!S3+(INDEX('Price History'!S:S,MATCH(9.99E+307,'Price History'!$A:$A))-'Price History'!S3)*(ROW()-3)/(MATCH(9.99E+307,'Returns (Calc)'!$A:$A)-3),"")</f>
        <v>84.3456603773585</v>
      </c>
      <c r="AN48" s="111" t="n">
        <f aca="false">IFERROR('Price History'!T3+(INDEX('Price History'!T:T,MATCH(9.99E+307,'Price History'!$A:$A))-'Price History'!T3)*(ROW()-3)/(MATCH(9.99E+307,'Returns (Calc)'!$A:$A)-3),"")</f>
        <v>34.9420754716981</v>
      </c>
      <c r="AO48" s="112" t="n">
        <f aca="false">IFERROR('Price History'!V3+(INDEX('Price History'!V:V,MATCH(9.99E+307,'Price History'!$A:$A))-'Price History'!V3)*(ROW()-3)/(MATCH(9.99E+307,'Returns (Calc)'!$A:$A)-3),"")</f>
        <v>106.151886792453</v>
      </c>
    </row>
    <row r="49" customFormat="false" ht="15" hidden="false" customHeight="true" outlineLevel="0" collapsed="false">
      <c r="A49" s="108" t="n">
        <f aca="false">IF('Price History'!A50="","",'Price History'!A50)</f>
        <v>45478</v>
      </c>
      <c r="B49" s="109" t="n">
        <f aca="false">IFERROR(IF(OR(NOT(ISNUMBER('Price History'!B50)),NOT(ISNUMBER('Price History'!B49)),'Price History'!B49=0),"",'Price History'!B50/'Price History'!B49-1),"")</f>
        <v>0.0410411491521765</v>
      </c>
      <c r="C49" s="109" t="n">
        <f aca="false">IFERROR(IF(OR(NOT(ISNUMBER('Price History'!C50)),NOT(ISNUMBER('Price History'!C49)),'Price History'!C49=0),"",'Price History'!C50/'Price History'!C49-1),"")</f>
        <v>0.0447386441451723</v>
      </c>
      <c r="D49" s="109" t="n">
        <f aca="false">IFERROR(IF(OR(NOT(ISNUMBER('Price History'!D50)),NOT(ISNUMBER('Price History'!D49)),'Price History'!D49=0),"",'Price History'!D50/'Price History'!D49-1),"")</f>
        <v>0.0505998650670265</v>
      </c>
      <c r="E49" s="109" t="n">
        <f aca="false">IFERROR(IF(OR(NOT(ISNUMBER('Price History'!E50)),NOT(ISNUMBER('Price History'!E49)),'Price History'!E49=0),"",'Price History'!E50/'Price History'!E49-1),"")</f>
        <v>0.0609156026160074</v>
      </c>
      <c r="F49" s="109" t="n">
        <f aca="false">IFERROR(IF(OR(NOT(ISNUMBER('Price History'!F50)),NOT(ISNUMBER('Price History'!F49)),'Price History'!F49=0),"",'Price History'!F50/'Price History'!F49-1),"")</f>
        <v>0.016910229645094</v>
      </c>
      <c r="G49" s="109" t="n">
        <f aca="false">IFERROR(IF(OR(NOT(ISNUMBER('Price History'!G50)),NOT(ISNUMBER('Price History'!G49)),'Price History'!G49=0),"",'Price History'!G50/'Price History'!G49-1),"")</f>
        <v>0.0372346876895087</v>
      </c>
      <c r="H49" s="109" t="n">
        <f aca="false">IFERROR(IF(OR(NOT(ISNUMBER('Price History'!H50)),NOT(ISNUMBER('Price History'!H49)),'Price History'!H49=0),"",'Price History'!H50/'Price History'!H49-1),"")</f>
        <v>0.000532197977647586</v>
      </c>
      <c r="I49" s="109" t="n">
        <f aca="false">IFERROR(IF(OR(NOT(ISNUMBER('Price History'!I50)),NOT(ISNUMBER('Price History'!I49)),'Price History'!I49=0),"",'Price History'!I50/'Price History'!I49-1),"")</f>
        <v>0.0185365063946898</v>
      </c>
      <c r="J49" s="109" t="n">
        <f aca="false">IFERROR(IF(OR(NOT(ISNUMBER('Price History'!J50)),NOT(ISNUMBER('Price History'!J49)),'Price History'!J49=0),"",'Price History'!J50/'Price History'!J49-1),"")</f>
        <v>0.0191434422580357</v>
      </c>
      <c r="K49" s="109" t="n">
        <f aca="false">IFERROR(IF(OR(NOT(ISNUMBER('Price History'!K50)),NOT(ISNUMBER('Price History'!K49)),'Price History'!K49=0),"",'Price History'!K50/'Price History'!K49-1),"")</f>
        <v>0.0750098697197001</v>
      </c>
      <c r="L49" s="109" t="n">
        <f aca="false">IFERROR(IF(OR(NOT(ISNUMBER('Price History'!L50)),NOT(ISNUMBER('Price History'!L49)),'Price History'!L49=0),"",'Price History'!L50/'Price History'!L49-1),"")</f>
        <v>0.0585697025487602</v>
      </c>
      <c r="M49" s="109" t="n">
        <f aca="false">IFERROR(IF(OR(NOT(ISNUMBER('Price History'!M50)),NOT(ISNUMBER('Price History'!M49)),'Price History'!M49=0),"",'Price History'!M50/'Price History'!M49-1),"")</f>
        <v>0.0601825112625622</v>
      </c>
      <c r="N49" s="109" t="n">
        <f aca="false">IFERROR(IF(OR(NOT(ISNUMBER('Price History'!N50)),NOT(ISNUMBER('Price History'!N49)),'Price History'!N49=0),"",'Price History'!N50/'Price History'!N49-1),"")</f>
        <v>0.0124807987711213</v>
      </c>
      <c r="O49" s="109" t="n">
        <f aca="false">IFERROR(IF(OR(NOT(ISNUMBER('Price History'!O50)),NOT(ISNUMBER('Price History'!O49)),'Price History'!O49=0),"",'Price History'!O50/'Price History'!O49-1),"")</f>
        <v>-0.0164957646009809</v>
      </c>
      <c r="P49" s="109" t="str">
        <f aca="false">IFERROR(IF(OR(NOT(ISNUMBER('Price History'!P50)),NOT(ISNUMBER('Price History'!P49)),'Price History'!P49=0),"",'Price History'!P50/'Price History'!P49-1),"")</f>
        <v/>
      </c>
      <c r="Q49" s="109" t="n">
        <f aca="false">IFERROR(IF(OR(NOT(ISNUMBER('Price History'!Q50)),NOT(ISNUMBER('Price History'!Q49)),'Price History'!Q49=0),"",'Price History'!Q50/'Price History'!Q49-1),"")</f>
        <v>0.00874390448965867</v>
      </c>
      <c r="R49" s="109" t="n">
        <f aca="false">IFERROR(IF(OR(NOT(ISNUMBER('Price History'!R50)),NOT(ISNUMBER('Price History'!R49)),'Price History'!R49=0),"",'Price History'!R50/'Price History'!R49-1),"")</f>
        <v>0.006846846846847</v>
      </c>
      <c r="S49" s="109" t="n">
        <f aca="false">IFERROR(IF(OR(NOT(ISNUMBER('Price History'!S50)),NOT(ISNUMBER('Price History'!S49)),'Price History'!S49=0),"",'Price History'!S50/'Price History'!S49-1),"")</f>
        <v>0.0309855934141323</v>
      </c>
      <c r="T49" s="109" t="n">
        <f aca="false">IFERROR(IF(OR(NOT(ISNUMBER('Price History'!T50)),NOT(ISNUMBER('Price History'!T49)),'Price History'!T49=0),"",'Price History'!T50/'Price History'!T49-1),"")</f>
        <v>-0.0200517464424321</v>
      </c>
      <c r="U49" s="109" t="str">
        <f aca="false">IFERROR(IF(OR(NOT(ISNUMBER('Price History'!U50)),NOT(ISNUMBER('Price History'!U49)),'Price History'!U49=0),"",'Price History'!U50/'Price History'!U49-1),"")</f>
        <v/>
      </c>
      <c r="V49" s="110" t="n">
        <f aca="false">IFERROR(IF(OR(NOT(ISNUMBER('Price History'!V50)),NOT(ISNUMBER('Price History'!V49)),'Price History'!V49=0),"",'Price History'!V50/'Price History'!V49-1),"")</f>
        <v>0.0300716915326487</v>
      </c>
      <c r="W49" s="111" t="n">
        <f aca="false">IFERROR('Price History'!B3+(INDEX('Price History'!B:B,MATCH(9.99E+307,'Price History'!$A:$A))-'Price History'!B3)*(ROW()-3)/(MATCH(9.99E+307,'Returns (Calc)'!$A:$A)-3),"")</f>
        <v>438.454779874214</v>
      </c>
      <c r="X49" s="111" t="n">
        <f aca="false">IFERROR('Price History'!C3+(INDEX('Price History'!C:C,MATCH(9.99E+307,'Price History'!$A:$A))-'Price History'!C3)*(ROW()-3)/(MATCH(9.99E+307,'Returns (Calc)'!$A:$A)-3),"")</f>
        <v>87.1477987421384</v>
      </c>
      <c r="Y49" s="111" t="n">
        <f aca="false">IFERROR('Price History'!D3+(INDEX('Price History'!D:D,MATCH(9.99E+307,'Price History'!$A:$A))-'Price History'!D3)*(ROW()-3)/(MATCH(9.99E+307,'Returns (Calc)'!$A:$A)-3),"")</f>
        <v>966.450440251572</v>
      </c>
      <c r="Z49" s="111" t="n">
        <f aca="false">IFERROR('Price History'!E3+(INDEX('Price History'!E:E,MATCH(9.99E+307,'Price History'!$A:$A))-'Price History'!E3)*(ROW()-3)/(MATCH(9.99E+307,'Returns (Calc)'!$A:$A)-3),"")</f>
        <v>162.516603773585</v>
      </c>
      <c r="AA49" s="111" t="n">
        <f aca="false">IFERROR('Price History'!F3+(INDEX('Price History'!F:F,MATCH(9.99E+307,'Price History'!$A:$A))-'Price History'!F3)*(ROW()-3)/(MATCH(9.99E+307,'Returns (Calc)'!$A:$A)-3),"")</f>
        <v>87.9898113207547</v>
      </c>
      <c r="AB49" s="111" t="n">
        <f aca="false">IFERROR('Price History'!G3+(INDEX('Price History'!G:G,MATCH(9.99E+307,'Price History'!$A:$A))-'Price History'!G3)*(ROW()-3)/(MATCH(9.99E+307,'Returns (Calc)'!$A:$A)-3),"")</f>
        <v>87.7377358490566</v>
      </c>
      <c r="AC49" s="111" t="n">
        <f aca="false">IFERROR('Price History'!H3+(INDEX('Price History'!H:H,MATCH(9.99E+307,'Price History'!$A:$A))-'Price History'!H3)*(ROW()-3)/(MATCH(9.99E+307,'Returns (Calc)'!$A:$A)-3),"")</f>
        <v>339.855031446541</v>
      </c>
      <c r="AD49" s="111" t="n">
        <f aca="false">IFERROR('Price History'!I3+(INDEX('Price History'!I:I,MATCH(9.99E+307,'Price History'!$A:$A))-'Price History'!I3)*(ROW()-3)/(MATCH(9.99E+307,'Returns (Calc)'!$A:$A)-3),"")</f>
        <v>95.6767924528302</v>
      </c>
      <c r="AE49" s="111" t="n">
        <f aca="false">IFERROR('Price History'!J3+(INDEX('Price History'!J:J,MATCH(9.99E+307,'Price History'!$A:$A))-'Price History'!J3)*(ROW()-3)/(MATCH(9.99E+307,'Returns (Calc)'!$A:$A)-3),"")</f>
        <v>127.511132075472</v>
      </c>
      <c r="AF49" s="111" t="n">
        <f aca="false">IFERROR('Price History'!K3+(INDEX('Price History'!K:K,MATCH(9.99E+307,'Price History'!$A:$A))-'Price History'!K3)*(ROW()-3)/(MATCH(9.99E+307,'Returns (Calc)'!$A:$A)-3),"")</f>
        <v>61.386855345912</v>
      </c>
      <c r="AG49" s="111" t="n">
        <f aca="false">IFERROR('Price History'!L3+(INDEX('Price History'!L:L,MATCH(9.99E+307,'Price History'!$A:$A))-'Price History'!L3)*(ROW()-3)/(MATCH(9.99E+307,'Returns (Calc)'!$A:$A)-3),"")</f>
        <v>189.463710691824</v>
      </c>
      <c r="AH49" s="111" t="n">
        <f aca="false">IFERROR('Price History'!M3+(INDEX('Price History'!M:M,MATCH(9.99E+307,'Price History'!$A:$A))-'Price History'!M3)*(ROW()-3)/(MATCH(9.99E+307,'Returns (Calc)'!$A:$A)-3),"")</f>
        <v>104.974905660377</v>
      </c>
      <c r="AI49" s="111" t="n">
        <f aca="false">IFERROR('Price History'!N3+(INDEX('Price History'!N:N,MATCH(9.99E+307,'Price History'!$A:$A))-'Price History'!N3)*(ROW()-3)/(MATCH(9.99E+307,'Returns (Calc)'!$A:$A)-3),"")</f>
        <v>406.639622641509</v>
      </c>
      <c r="AJ49" s="111" t="n">
        <f aca="false">IFERROR('Price History'!O3+(INDEX('Price History'!O:O,MATCH(9.99E+307,'Price History'!$A:$A))-'Price History'!O3)*(ROW()-3)/(MATCH(9.99E+307,'Returns (Calc)'!$A:$A)-3),"")</f>
        <v>95.6027044025157</v>
      </c>
      <c r="AK49" s="111" t="n">
        <f aca="false">IFERROR('Price History'!Q3+(INDEX('Price History'!Q:Q,MATCH(9.99E+307,'Price History'!$A:$A))-'Price History'!Q3)*(ROW()-3)/(MATCH(9.99E+307,'Returns (Calc)'!$A:$A)-3),"")</f>
        <v>55.5914465408805</v>
      </c>
      <c r="AL49" s="111" t="n">
        <f aca="false">IFERROR('Price History'!R3+(INDEX('Price History'!R:R,MATCH(9.99E+307,'Price History'!$A:$A))-'Price History'!R3)*(ROW()-3)/(MATCH(9.99E+307,'Returns (Calc)'!$A:$A)-3),"")</f>
        <v>51.3061635220126</v>
      </c>
      <c r="AM49" s="111" t="n">
        <f aca="false">IFERROR('Price History'!S3+(INDEX('Price History'!S:S,MATCH(9.99E+307,'Price History'!$A:$A))-'Price History'!S3)*(ROW()-3)/(MATCH(9.99E+307,'Returns (Calc)'!$A:$A)-3),"")</f>
        <v>84.9191194968553</v>
      </c>
      <c r="AN49" s="111" t="n">
        <f aca="false">IFERROR('Price History'!T3+(INDEX('Price History'!T:T,MATCH(9.99E+307,'Price History'!$A:$A))-'Price History'!T3)*(ROW()-3)/(MATCH(9.99E+307,'Returns (Calc)'!$A:$A)-3),"")</f>
        <v>35.1205660377359</v>
      </c>
      <c r="AO49" s="112" t="n">
        <f aca="false">IFERROR('Price History'!V3+(INDEX('Price History'!V:V,MATCH(9.99E+307,'Price History'!$A:$A))-'Price History'!V3)*(ROW()-3)/(MATCH(9.99E+307,'Returns (Calc)'!$A:$A)-3),"")</f>
        <v>108.510817610063</v>
      </c>
    </row>
    <row r="50" customFormat="false" ht="15" hidden="false" customHeight="true" outlineLevel="0" collapsed="false">
      <c r="A50" s="108" t="n">
        <f aca="false">IF('Price History'!A51="","",'Price History'!A51)</f>
        <v>45485</v>
      </c>
      <c r="B50" s="109" t="n">
        <f aca="false">IFERROR(IF(OR(NOT(ISNUMBER('Price History'!B51)),NOT(ISNUMBER('Price History'!B50)),'Price History'!B50=0),"",'Price History'!B51/'Price History'!B50-1),"")</f>
        <v>-0.0333540823736903</v>
      </c>
      <c r="C50" s="109" t="n">
        <f aca="false">IFERROR(IF(OR(NOT(ISNUMBER('Price History'!C51)),NOT(ISNUMBER('Price History'!C50)),'Price History'!C50=0),"",'Price History'!C51/'Price History'!C50-1),"")</f>
        <v>-0.0115796373170199</v>
      </c>
      <c r="D50" s="109" t="n">
        <f aca="false">IFERROR(IF(OR(NOT(ISNUMBER('Price History'!D51)),NOT(ISNUMBER('Price History'!D50)),'Price History'!D50=0),"",'Price History'!D51/'Price History'!D50-1),"")</f>
        <v>0.0100327600327601</v>
      </c>
      <c r="E50" s="109" t="n">
        <f aca="false">IFERROR(IF(OR(NOT(ISNUMBER('Price History'!E51)),NOT(ISNUMBER('Price History'!E50)),'Price History'!E50=0),"",'Price History'!E51/'Price History'!E50-1),"")</f>
        <v>-0.00152644865848661</v>
      </c>
      <c r="F50" s="109" t="n">
        <f aca="false">IFERROR(IF(OR(NOT(ISNUMBER('Price History'!F51)),NOT(ISNUMBER('Price History'!F50)),'Price History'!F50=0),"",'Price History'!F51/'Price History'!F50-1),"")</f>
        <v>-0.0471155820160132</v>
      </c>
      <c r="G50" s="109" t="n">
        <f aca="false">IFERROR(IF(OR(NOT(ISNUMBER('Price History'!G51)),NOT(ISNUMBER('Price History'!G50)),'Price History'!G50=0),"",'Price History'!G51/'Price History'!G50-1),"")</f>
        <v>0.00292329279700665</v>
      </c>
      <c r="H50" s="109" t="n">
        <f aca="false">IFERROR(IF(OR(NOT(ISNUMBER('Price History'!H51)),NOT(ISNUMBER('Price History'!H50)),'Price History'!H50=0),"",'Price History'!H51/'Price History'!H50-1),"")</f>
        <v>0.0148176291793314</v>
      </c>
      <c r="I50" s="109" t="n">
        <f aca="false">IFERROR(IF(OR(NOT(ISNUMBER('Price History'!I51)),NOT(ISNUMBER('Price History'!I50)),'Price History'!I50=0),"",'Price History'!I51/'Price History'!I50-1),"")</f>
        <v>0.0271000556306129</v>
      </c>
      <c r="J50" s="109" t="n">
        <f aca="false">IFERROR(IF(OR(NOT(ISNUMBER('Price History'!J51)),NOT(ISNUMBER('Price History'!J50)),'Price History'!J50=0),"",'Price History'!J51/'Price History'!J50-1),"")</f>
        <v>0.0497116896732484</v>
      </c>
      <c r="K50" s="109" t="n">
        <f aca="false">IFERROR(IF(OR(NOT(ISNUMBER('Price History'!K51)),NOT(ISNUMBER('Price History'!K50)),'Price History'!K50=0),"",'Price History'!K51/'Price History'!K50-1),"")</f>
        <v>0.0308483290488433</v>
      </c>
      <c r="L50" s="109" t="n">
        <f aca="false">IFERROR(IF(OR(NOT(ISNUMBER('Price History'!L51)),NOT(ISNUMBER('Price History'!L50)),'Price History'!L50=0),"",'Price History'!L51/'Price History'!L50-1),"")</f>
        <v>0.0182618620577204</v>
      </c>
      <c r="M50" s="109" t="n">
        <f aca="false">IFERROR(IF(OR(NOT(ISNUMBER('Price History'!M51)),NOT(ISNUMBER('Price History'!M50)),'Price History'!M50=0),"",'Price History'!M51/'Price History'!M50-1),"")</f>
        <v>-0.0229897581172369</v>
      </c>
      <c r="N50" s="109" t="n">
        <f aca="false">IFERROR(IF(OR(NOT(ISNUMBER('Price History'!N51)),NOT(ISNUMBER('Price History'!N50)),'Price History'!N50=0),"",'Price History'!N51/'Price History'!N50-1),"")</f>
        <v>0.0298586088459027</v>
      </c>
      <c r="O50" s="109" t="n">
        <f aca="false">IFERROR(IF(OR(NOT(ISNUMBER('Price History'!O51)),NOT(ISNUMBER('Price History'!O50)),'Price History'!O50=0),"",'Price History'!O51/'Price History'!O50-1),"")</f>
        <v>0.0557570262919311</v>
      </c>
      <c r="P50" s="109" t="str">
        <f aca="false">IFERROR(IF(OR(NOT(ISNUMBER('Price History'!P51)),NOT(ISNUMBER('Price History'!P50)),'Price History'!P50=0),"",'Price History'!P51/'Price History'!P50-1),"")</f>
        <v/>
      </c>
      <c r="Q50" s="109" t="n">
        <f aca="false">IFERROR(IF(OR(NOT(ISNUMBER('Price History'!Q51)),NOT(ISNUMBER('Price History'!Q50)),'Price History'!Q50=0),"",'Price History'!Q51/'Price History'!Q50-1),"")</f>
        <v>0.00366727787964649</v>
      </c>
      <c r="R50" s="109" t="n">
        <f aca="false">IFERROR(IF(OR(NOT(ISNUMBER('Price History'!R51)),NOT(ISNUMBER('Price History'!R50)),'Price History'!R50=0),"",'Price History'!R51/'Price History'!R50-1),"")</f>
        <v>-0.000715819613457347</v>
      </c>
      <c r="S50" s="109" t="n">
        <f aca="false">IFERROR(IF(OR(NOT(ISNUMBER('Price History'!S51)),NOT(ISNUMBER('Price History'!S50)),'Price History'!S50=0),"",'Price History'!S51/'Price History'!S50-1),"")</f>
        <v>-0.00199622934457144</v>
      </c>
      <c r="T50" s="109" t="n">
        <f aca="false">IFERROR(IF(OR(NOT(ISNUMBER('Price History'!T51)),NOT(ISNUMBER('Price History'!T50)),'Price History'!T50=0),"",'Price History'!T51/'Price History'!T50-1),"")</f>
        <v>0.0382838283828384</v>
      </c>
      <c r="U50" s="109" t="str">
        <f aca="false">IFERROR(IF(OR(NOT(ISNUMBER('Price History'!U51)),NOT(ISNUMBER('Price History'!U50)),'Price History'!U50=0),"",'Price History'!U51/'Price History'!U50-1),"")</f>
        <v/>
      </c>
      <c r="V50" s="110" t="n">
        <f aca="false">IFERROR(IF(OR(NOT(ISNUMBER('Price History'!V51)),NOT(ISNUMBER('Price History'!V50)),'Price History'!V50=0),"",'Price History'!V51/'Price History'!V50-1),"")</f>
        <v>-0.0170798690794177</v>
      </c>
      <c r="W50" s="111" t="n">
        <f aca="false">IFERROR('Price History'!B3+(INDEX('Price History'!B:B,MATCH(9.99E+307,'Price History'!$A:$A))-'Price History'!B3)*(ROW()-3)/(MATCH(9.99E+307,'Returns (Calc)'!$A:$A)-3),"")</f>
        <v>436.933144654088</v>
      </c>
      <c r="X50" s="111" t="n">
        <f aca="false">IFERROR('Price History'!C3+(INDEX('Price History'!C:C,MATCH(9.99E+307,'Price History'!$A:$A))-'Price History'!C3)*(ROW()-3)/(MATCH(9.99E+307,'Returns (Calc)'!$A:$A)-3),"")</f>
        <v>88.0914465408805</v>
      </c>
      <c r="Y50" s="111" t="n">
        <f aca="false">IFERROR('Price History'!D3+(INDEX('Price History'!D:D,MATCH(9.99E+307,'Price History'!$A:$A))-'Price History'!D3)*(ROW()-3)/(MATCH(9.99E+307,'Returns (Calc)'!$A:$A)-3),"")</f>
        <v>973.073710691824</v>
      </c>
      <c r="Z50" s="111" t="n">
        <f aca="false">IFERROR('Price History'!E3+(INDEX('Price History'!E:E,MATCH(9.99E+307,'Price History'!$A:$A))-'Price History'!E3)*(ROW()-3)/(MATCH(9.99E+307,'Returns (Calc)'!$A:$A)-3),"")</f>
        <v>164.245660377359</v>
      </c>
      <c r="AA50" s="111" t="n">
        <f aca="false">IFERROR('Price History'!F3+(INDEX('Price History'!F:F,MATCH(9.99E+307,'Price History'!$A:$A))-'Price History'!F3)*(ROW()-3)/(MATCH(9.99E+307,'Returns (Calc)'!$A:$A)-3),"")</f>
        <v>89.0969811320755</v>
      </c>
      <c r="AB50" s="111" t="n">
        <f aca="false">IFERROR('Price History'!G3+(INDEX('Price History'!G:G,MATCH(9.99E+307,'Price History'!$A:$A))-'Price History'!G3)*(ROW()-3)/(MATCH(9.99E+307,'Returns (Calc)'!$A:$A)-3),"")</f>
        <v>88.6037735849057</v>
      </c>
      <c r="AC50" s="111" t="n">
        <f aca="false">IFERROR('Price History'!H3+(INDEX('Price History'!H:H,MATCH(9.99E+307,'Price History'!$A:$A))-'Price History'!H3)*(ROW()-3)/(MATCH(9.99E+307,'Returns (Calc)'!$A:$A)-3),"")</f>
        <v>345.843836477987</v>
      </c>
      <c r="AD50" s="111" t="n">
        <f aca="false">IFERROR('Price History'!I3+(INDEX('Price History'!I:I,MATCH(9.99E+307,'Price History'!$A:$A))-'Price History'!I3)*(ROW()-3)/(MATCH(9.99E+307,'Returns (Calc)'!$A:$A)-3),"")</f>
        <v>96.868679245283</v>
      </c>
      <c r="AE50" s="111" t="n">
        <f aca="false">IFERROR('Price History'!J3+(INDEX('Price History'!J:J,MATCH(9.99E+307,'Price History'!$A:$A))-'Price History'!J3)*(ROW()-3)/(MATCH(9.99E+307,'Returns (Calc)'!$A:$A)-3),"")</f>
        <v>127.598113207547</v>
      </c>
      <c r="AF50" s="111" t="n">
        <f aca="false">IFERROR('Price History'!K3+(INDEX('Price History'!K:K,MATCH(9.99E+307,'Price History'!$A:$A))-'Price History'!K3)*(ROW()-3)/(MATCH(9.99E+307,'Returns (Calc)'!$A:$A)-3),"")</f>
        <v>62.3863522012579</v>
      </c>
      <c r="AG50" s="111" t="n">
        <f aca="false">IFERROR('Price History'!L3+(INDEX('Price History'!L:L,MATCH(9.99E+307,'Price History'!$A:$A))-'Price History'!L3)*(ROW()-3)/(MATCH(9.99E+307,'Returns (Calc)'!$A:$A)-3),"")</f>
        <v>191.582704402516</v>
      </c>
      <c r="AH50" s="111" t="n">
        <f aca="false">IFERROR('Price History'!M3+(INDEX('Price History'!M:M,MATCH(9.99E+307,'Price History'!$A:$A))-'Price History'!M3)*(ROW()-3)/(MATCH(9.99E+307,'Returns (Calc)'!$A:$A)-3),"")</f>
        <v>106.528490566038</v>
      </c>
      <c r="AI50" s="111" t="n">
        <f aca="false">IFERROR('Price History'!N3+(INDEX('Price History'!N:N,MATCH(9.99E+307,'Price History'!$A:$A))-'Price History'!N3)*(ROW()-3)/(MATCH(9.99E+307,'Returns (Calc)'!$A:$A)-3),"")</f>
        <v>407.873962264151</v>
      </c>
      <c r="AJ50" s="111" t="n">
        <f aca="false">IFERROR('Price History'!O3+(INDEX('Price History'!O:O,MATCH(9.99E+307,'Price History'!$A:$A))-'Price History'!O3)*(ROW()-3)/(MATCH(9.99E+307,'Returns (Calc)'!$A:$A)-3),"")</f>
        <v>95.8799371069182</v>
      </c>
      <c r="AK50" s="111" t="n">
        <f aca="false">IFERROR('Price History'!Q3+(INDEX('Price History'!Q:Q,MATCH(9.99E+307,'Price History'!$A:$A))-'Price History'!Q3)*(ROW()-3)/(MATCH(9.99E+307,'Returns (Calc)'!$A:$A)-3),"")</f>
        <v>55.7164779874214</v>
      </c>
      <c r="AL50" s="111" t="n">
        <f aca="false">IFERROR('Price History'!R3+(INDEX('Price History'!R:R,MATCH(9.99E+307,'Price History'!$A:$A))-'Price History'!R3)*(ROW()-3)/(MATCH(9.99E+307,'Returns (Calc)'!$A:$A)-3),"")</f>
        <v>51.3819496855346</v>
      </c>
      <c r="AM50" s="111" t="n">
        <f aca="false">IFERROR('Price History'!S3+(INDEX('Price History'!S:S,MATCH(9.99E+307,'Price History'!$A:$A))-'Price History'!S3)*(ROW()-3)/(MATCH(9.99E+307,'Returns (Calc)'!$A:$A)-3),"")</f>
        <v>85.4925786163522</v>
      </c>
      <c r="AN50" s="111" t="n">
        <f aca="false">IFERROR('Price History'!T3+(INDEX('Price History'!T:T,MATCH(9.99E+307,'Price History'!$A:$A))-'Price History'!T3)*(ROW()-3)/(MATCH(9.99E+307,'Returns (Calc)'!$A:$A)-3),"")</f>
        <v>35.2990566037736</v>
      </c>
      <c r="AO50" s="112" t="n">
        <f aca="false">IFERROR('Price History'!V3+(INDEX('Price History'!V:V,MATCH(9.99E+307,'Price History'!$A:$A))-'Price History'!V3)*(ROW()-3)/(MATCH(9.99E+307,'Returns (Calc)'!$A:$A)-3),"")</f>
        <v>110.869748427673</v>
      </c>
    </row>
    <row r="51" customFormat="false" ht="15" hidden="false" customHeight="true" outlineLevel="0" collapsed="false">
      <c r="A51" s="108" t="n">
        <f aca="false">IF('Price History'!A52="","",'Price History'!A52)</f>
        <v>45492</v>
      </c>
      <c r="B51" s="109" t="n">
        <f aca="false">IFERROR(IF(OR(NOT(ISNUMBER('Price History'!B52)),NOT(ISNUMBER('Price History'!B51)),'Price History'!B51=0),"",'Price History'!B52/'Price History'!B51-1),"")</f>
        <v>-0.0143994276003935</v>
      </c>
      <c r="C51" s="109" t="n">
        <f aca="false">IFERROR(IF(OR(NOT(ISNUMBER('Price History'!C52)),NOT(ISNUMBER('Price History'!C51)),'Price History'!C51=0),"",'Price History'!C52/'Price History'!C51-1),"")</f>
        <v>-0.0866489832007074</v>
      </c>
      <c r="D51" s="109" t="n">
        <f aca="false">IFERROR(IF(OR(NOT(ISNUMBER('Price History'!D52)),NOT(ISNUMBER('Price History'!D51)),'Price History'!D51=0),"",'Price History'!D52/'Price History'!D51-1),"")</f>
        <v>-0.174971896135488</v>
      </c>
      <c r="E51" s="109" t="n">
        <f aca="false">IFERROR(IF(OR(NOT(ISNUMBER('Price History'!E52)),NOT(ISNUMBER('Price History'!E51)),'Price History'!E51=0),"",'Price History'!E52/'Price History'!E51-1),"")</f>
        <v>-0.0747927324043041</v>
      </c>
      <c r="F51" s="109" t="n">
        <f aca="false">IFERROR(IF(OR(NOT(ISNUMBER('Price History'!F52)),NOT(ISNUMBER('Price History'!F51)),'Price History'!F51=0),"",'Price History'!F52/'Price History'!F51-1),"")</f>
        <v>-0.178713777873532</v>
      </c>
      <c r="G51" s="109" t="n">
        <f aca="false">IFERROR(IF(OR(NOT(ISNUMBER('Price History'!G52)),NOT(ISNUMBER('Price History'!G51)),'Price History'!G51=0),"",'Price History'!G52/'Price History'!G51-1),"")</f>
        <v>-0.110877929345925</v>
      </c>
      <c r="H51" s="109" t="n">
        <f aca="false">IFERROR(IF(OR(NOT(ISNUMBER('Price History'!H52)),NOT(ISNUMBER('Price History'!H51)),'Price History'!H51=0),"",'Price History'!H52/'Price History'!H51-1),"")</f>
        <v>-0.144440284537626</v>
      </c>
      <c r="I51" s="109" t="n">
        <f aca="false">IFERROR(IF(OR(NOT(ISNUMBER('Price History'!I52)),NOT(ISNUMBER('Price History'!I51)),'Price History'!I51=0),"",'Price History'!I52/'Price History'!I51-1),"")</f>
        <v>-0.0875116063138347</v>
      </c>
      <c r="J51" s="109" t="n">
        <f aca="false">IFERROR(IF(OR(NOT(ISNUMBER('Price History'!J52)),NOT(ISNUMBER('Price History'!J51)),'Price History'!J51=0),"",'Price History'!J52/'Price History'!J51-1),"")</f>
        <v>0.0299625468164793</v>
      </c>
      <c r="K51" s="109" t="n">
        <f aca="false">IFERROR(IF(OR(NOT(ISNUMBER('Price History'!K52)),NOT(ISNUMBER('Price History'!K51)),'Price History'!K51=0),"",'Price History'!K52/'Price History'!K51-1),"")</f>
        <v>0.0181688635553972</v>
      </c>
      <c r="L51" s="109" t="n">
        <f aca="false">IFERROR(IF(OR(NOT(ISNUMBER('Price History'!L52)),NOT(ISNUMBER('Price History'!L51)),'Price History'!L51=0),"",'Price History'!L52/'Price History'!L51-1),"")</f>
        <v>-0.115185481718708</v>
      </c>
      <c r="M51" s="109" t="n">
        <f aca="false">IFERROR(IF(OR(NOT(ISNUMBER('Price History'!M52)),NOT(ISNUMBER('Price History'!M51)),'Price History'!M51=0),"",'Price History'!M52/'Price History'!M51-1),"")</f>
        <v>-0.0486227277796364</v>
      </c>
      <c r="N51" s="109" t="n">
        <f aca="false">IFERROR(IF(OR(NOT(ISNUMBER('Price History'!N52)),NOT(ISNUMBER('Price History'!N51)),'Price History'!N51=0),"",'Price History'!N52/'Price History'!N51-1),"")</f>
        <v>0.00579039980357643</v>
      </c>
      <c r="O51" s="109" t="n">
        <f aca="false">IFERROR(IF(OR(NOT(ISNUMBER('Price History'!O52)),NOT(ISNUMBER('Price History'!O51)),'Price History'!O51=0),"",'Price History'!O52/'Price History'!O51-1),"")</f>
        <v>0.0264061829111208</v>
      </c>
      <c r="P51" s="109" t="str">
        <f aca="false">IFERROR(IF(OR(NOT(ISNUMBER('Price History'!P52)),NOT(ISNUMBER('Price History'!P51)),'Price History'!P51=0),"",'Price History'!P52/'Price History'!P51-1),"")</f>
        <v/>
      </c>
      <c r="Q51" s="109" t="n">
        <f aca="false">IFERROR(IF(OR(NOT(ISNUMBER('Price History'!Q52)),NOT(ISNUMBER('Price History'!Q51)),'Price History'!Q51=0),"",'Price History'!Q52/'Price History'!Q51-1),"")</f>
        <v>-0.0270719149642917</v>
      </c>
      <c r="R51" s="109" t="n">
        <f aca="false">IFERROR(IF(OR(NOT(ISNUMBER('Price History'!R52)),NOT(ISNUMBER('Price History'!R51)),'Price History'!R51=0),"",'Price History'!R52/'Price History'!R51-1),"")</f>
        <v>-0.0295487106017193</v>
      </c>
      <c r="S51" s="109" t="n">
        <f aca="false">IFERROR(IF(OR(NOT(ISNUMBER('Price History'!S52)),NOT(ISNUMBER('Price History'!S51)),'Price History'!S51=0),"",'Price History'!S52/'Price History'!S51-1),"")</f>
        <v>-0.0404489387709746</v>
      </c>
      <c r="T51" s="109" t="n">
        <f aca="false">IFERROR(IF(OR(NOT(ISNUMBER('Price History'!T52)),NOT(ISNUMBER('Price History'!T51)),'Price History'!T51=0),"",'Price History'!T52/'Price History'!T51-1),"")</f>
        <v>0.0152574698029244</v>
      </c>
      <c r="U51" s="109" t="str">
        <f aca="false">IFERROR(IF(OR(NOT(ISNUMBER('Price History'!U52)),NOT(ISNUMBER('Price History'!U51)),'Price History'!U51=0),"",'Price History'!U52/'Price History'!U51-1),"")</f>
        <v/>
      </c>
      <c r="V51" s="110" t="n">
        <f aca="false">IFERROR(IF(OR(NOT(ISNUMBER('Price History'!V52)),NOT(ISNUMBER('Price History'!V51)),'Price History'!V51=0),"",'Price History'!V52/'Price History'!V51-1),"")</f>
        <v>-0.00107168829180526</v>
      </c>
      <c r="W51" s="111" t="n">
        <f aca="false">IFERROR('Price History'!B3+(INDEX('Price History'!B:B,MATCH(9.99E+307,'Price History'!$A:$A))-'Price History'!B3)*(ROW()-3)/(MATCH(9.99E+307,'Returns (Calc)'!$A:$A)-3),"")</f>
        <v>435.411509433962</v>
      </c>
      <c r="X51" s="111" t="n">
        <f aca="false">IFERROR('Price History'!C3+(INDEX('Price History'!C:C,MATCH(9.99E+307,'Price History'!$A:$A))-'Price History'!C3)*(ROW()-3)/(MATCH(9.99E+307,'Returns (Calc)'!$A:$A)-3),"")</f>
        <v>89.0350943396227</v>
      </c>
      <c r="Y51" s="111" t="n">
        <f aca="false">IFERROR('Price History'!D3+(INDEX('Price History'!D:D,MATCH(9.99E+307,'Price History'!$A:$A))-'Price History'!D3)*(ROW()-3)/(MATCH(9.99E+307,'Returns (Calc)'!$A:$A)-3),"")</f>
        <v>979.696981132076</v>
      </c>
      <c r="Z51" s="111" t="n">
        <f aca="false">IFERROR('Price History'!E3+(INDEX('Price History'!E:E,MATCH(9.99E+307,'Price History'!$A:$A))-'Price History'!E3)*(ROW()-3)/(MATCH(9.99E+307,'Returns (Calc)'!$A:$A)-3),"")</f>
        <v>165.974716981132</v>
      </c>
      <c r="AA51" s="111" t="n">
        <f aca="false">IFERROR('Price History'!F3+(INDEX('Price History'!F:F,MATCH(9.99E+307,'Price History'!$A:$A))-'Price History'!F3)*(ROW()-3)/(MATCH(9.99E+307,'Returns (Calc)'!$A:$A)-3),"")</f>
        <v>90.2041509433962</v>
      </c>
      <c r="AB51" s="111" t="n">
        <f aca="false">IFERROR('Price History'!G3+(INDEX('Price History'!G:G,MATCH(9.99E+307,'Price History'!$A:$A))-'Price History'!G3)*(ROW()-3)/(MATCH(9.99E+307,'Returns (Calc)'!$A:$A)-3),"")</f>
        <v>89.4698113207547</v>
      </c>
      <c r="AC51" s="111" t="n">
        <f aca="false">IFERROR('Price History'!H3+(INDEX('Price History'!H:H,MATCH(9.99E+307,'Price History'!$A:$A))-'Price History'!H3)*(ROW()-3)/(MATCH(9.99E+307,'Returns (Calc)'!$A:$A)-3),"")</f>
        <v>351.832641509434</v>
      </c>
      <c r="AD51" s="111" t="n">
        <f aca="false">IFERROR('Price History'!I3+(INDEX('Price History'!I:I,MATCH(9.99E+307,'Price History'!$A:$A))-'Price History'!I3)*(ROW()-3)/(MATCH(9.99E+307,'Returns (Calc)'!$A:$A)-3),"")</f>
        <v>98.0605660377359</v>
      </c>
      <c r="AE51" s="111" t="n">
        <f aca="false">IFERROR('Price History'!J3+(INDEX('Price History'!J:J,MATCH(9.99E+307,'Price History'!$A:$A))-'Price History'!J3)*(ROW()-3)/(MATCH(9.99E+307,'Returns (Calc)'!$A:$A)-3),"")</f>
        <v>127.685094339623</v>
      </c>
      <c r="AF51" s="111" t="n">
        <f aca="false">IFERROR('Price History'!K3+(INDEX('Price History'!K:K,MATCH(9.99E+307,'Price History'!$A:$A))-'Price History'!K3)*(ROW()-3)/(MATCH(9.99E+307,'Returns (Calc)'!$A:$A)-3),"")</f>
        <v>63.3858490566038</v>
      </c>
      <c r="AG51" s="111" t="n">
        <f aca="false">IFERROR('Price History'!L3+(INDEX('Price History'!L:L,MATCH(9.99E+307,'Price History'!$A:$A))-'Price History'!L3)*(ROW()-3)/(MATCH(9.99E+307,'Returns (Calc)'!$A:$A)-3),"")</f>
        <v>193.701698113208</v>
      </c>
      <c r="AH51" s="111" t="n">
        <f aca="false">IFERROR('Price History'!M3+(INDEX('Price History'!M:M,MATCH(9.99E+307,'Price History'!$A:$A))-'Price History'!M3)*(ROW()-3)/(MATCH(9.99E+307,'Returns (Calc)'!$A:$A)-3),"")</f>
        <v>108.082075471698</v>
      </c>
      <c r="AI51" s="111" t="n">
        <f aca="false">IFERROR('Price History'!N3+(INDEX('Price History'!N:N,MATCH(9.99E+307,'Price History'!$A:$A))-'Price History'!N3)*(ROW()-3)/(MATCH(9.99E+307,'Returns (Calc)'!$A:$A)-3),"")</f>
        <v>409.108301886792</v>
      </c>
      <c r="AJ51" s="111" t="n">
        <f aca="false">IFERROR('Price History'!O3+(INDEX('Price History'!O:O,MATCH(9.99E+307,'Price History'!$A:$A))-'Price History'!O3)*(ROW()-3)/(MATCH(9.99E+307,'Returns (Calc)'!$A:$A)-3),"")</f>
        <v>96.1571698113208</v>
      </c>
      <c r="AK51" s="111" t="n">
        <f aca="false">IFERROR('Price History'!Q3+(INDEX('Price History'!Q:Q,MATCH(9.99E+307,'Price History'!$A:$A))-'Price History'!Q3)*(ROW()-3)/(MATCH(9.99E+307,'Returns (Calc)'!$A:$A)-3),"")</f>
        <v>55.8415094339623</v>
      </c>
      <c r="AL51" s="111" t="n">
        <f aca="false">IFERROR('Price History'!R3+(INDEX('Price History'!R:R,MATCH(9.99E+307,'Price History'!$A:$A))-'Price History'!R3)*(ROW()-3)/(MATCH(9.99E+307,'Returns (Calc)'!$A:$A)-3),"")</f>
        <v>51.4577358490566</v>
      </c>
      <c r="AM51" s="111" t="n">
        <f aca="false">IFERROR('Price History'!S3+(INDEX('Price History'!S:S,MATCH(9.99E+307,'Price History'!$A:$A))-'Price History'!S3)*(ROW()-3)/(MATCH(9.99E+307,'Returns (Calc)'!$A:$A)-3),"")</f>
        <v>86.0660377358491</v>
      </c>
      <c r="AN51" s="111" t="n">
        <f aca="false">IFERROR('Price History'!T3+(INDEX('Price History'!T:T,MATCH(9.99E+307,'Price History'!$A:$A))-'Price History'!T3)*(ROW()-3)/(MATCH(9.99E+307,'Returns (Calc)'!$A:$A)-3),"")</f>
        <v>35.4775471698113</v>
      </c>
      <c r="AO51" s="112" t="n">
        <f aca="false">IFERROR('Price History'!V3+(INDEX('Price History'!V:V,MATCH(9.99E+307,'Price History'!$A:$A))-'Price History'!V3)*(ROW()-3)/(MATCH(9.99E+307,'Returns (Calc)'!$A:$A)-3),"")</f>
        <v>113.228679245283</v>
      </c>
    </row>
    <row r="52" customFormat="false" ht="15" hidden="false" customHeight="true" outlineLevel="0" collapsed="false">
      <c r="A52" s="108" t="n">
        <f aca="false">IF('Price History'!A53="","",'Price History'!A53)</f>
        <v>45499</v>
      </c>
      <c r="B52" s="109" t="n">
        <f aca="false">IFERROR(IF(OR(NOT(ISNUMBER('Price History'!B53)),NOT(ISNUMBER('Price History'!B52)),'Price History'!B52=0),"",'Price History'!B53/'Price History'!B52-1),"")</f>
        <v>-0.0155353901996369</v>
      </c>
      <c r="C52" s="109" t="n">
        <f aca="false">IFERROR(IF(OR(NOT(ISNUMBER('Price History'!C53)),NOT(ISNUMBER('Price History'!C52)),'Price History'!C52=0),"",'Price History'!C53/'Price History'!C52-1),"")</f>
        <v>-0.0343659244917716</v>
      </c>
      <c r="D52" s="109" t="n">
        <f aca="false">IFERROR(IF(OR(NOT(ISNUMBER('Price History'!D53)),NOT(ISNUMBER('Price History'!D52)),'Price History'!D52=0),"",'Price History'!D53/'Price History'!D52-1),"")</f>
        <v>-0.00779565989479214</v>
      </c>
      <c r="E52" s="109" t="n">
        <f aca="false">IFERROR(IF(OR(NOT(ISNUMBER('Price History'!E53)),NOT(ISNUMBER('Price History'!E52)),'Price History'!E52=0),"",'Price History'!E53/'Price History'!E52-1),"")</f>
        <v>-0.0363520813473149</v>
      </c>
      <c r="F52" s="109" t="n">
        <f aca="false">IFERROR(IF(OR(NOT(ISNUMBER('Price History'!F53)),NOT(ISNUMBER('Price History'!F52)),'Price History'!F52=0),"",'Price History'!F53/'Price History'!F52-1),"")</f>
        <v>-0.160020986358867</v>
      </c>
      <c r="G52" s="109" t="n">
        <f aca="false">IFERROR(IF(OR(NOT(ISNUMBER('Price History'!G53)),NOT(ISNUMBER('Price History'!G52)),'Price History'!G52=0),"",'Price History'!G53/'Price History'!G52-1),"")</f>
        <v>0.032520325203252</v>
      </c>
      <c r="H52" s="109" t="n">
        <f aca="false">IFERROR(IF(OR(NOT(ISNUMBER('Price History'!H53)),NOT(ISNUMBER('Price History'!H52)),'Price History'!H52=0),"",'Price History'!H53/'Price History'!H52-1),"")</f>
        <v>-0.042447050586382</v>
      </c>
      <c r="I52" s="109" t="n">
        <f aca="false">IFERROR(IF(OR(NOT(ISNUMBER('Price History'!I53)),NOT(ISNUMBER('Price History'!I52)),'Price History'!I52=0),"",'Price History'!I53/'Price History'!I52-1),"")</f>
        <v>-0.0412956838802679</v>
      </c>
      <c r="J52" s="109" t="n">
        <f aca="false">IFERROR(IF(OR(NOT(ISNUMBER('Price History'!J53)),NOT(ISNUMBER('Price History'!J52)),'Price History'!J52=0),"",'Price History'!J53/'Price History'!J52-1),"")</f>
        <v>-0.00864646464646457</v>
      </c>
      <c r="K52" s="109" t="n">
        <f aca="false">IFERROR(IF(OR(NOT(ISNUMBER('Price History'!K53)),NOT(ISNUMBER('Price History'!K52)),'Price History'!K52=0),"",'Price History'!K53/'Price History'!K52-1),"")</f>
        <v>-0.0489853044086773</v>
      </c>
      <c r="L52" s="109" t="n">
        <f aca="false">IFERROR(IF(OR(NOT(ISNUMBER('Price History'!L53)),NOT(ISNUMBER('Price History'!L52)),'Price History'!L52=0),"",'Price History'!L53/'Price History'!L52-1),"")</f>
        <v>-0.023104301140134</v>
      </c>
      <c r="M52" s="109" t="n">
        <f aca="false">IFERROR(IF(OR(NOT(ISNUMBER('Price History'!M53)),NOT(ISNUMBER('Price History'!M52)),'Price History'!M52=0),"",'Price History'!M53/'Price History'!M52-1),"")</f>
        <v>-0.0960028132692533</v>
      </c>
      <c r="N52" s="109" t="n">
        <f aca="false">IFERROR(IF(OR(NOT(ISNUMBER('Price History'!N53)),NOT(ISNUMBER('Price History'!N52)),'Price History'!N52=0),"",'Price History'!N53/'Price History'!N52-1),"")</f>
        <v>0.0075065606119169</v>
      </c>
      <c r="O52" s="109" t="n">
        <f aca="false">IFERROR(IF(OR(NOT(ISNUMBER('Price History'!O53)),NOT(ISNUMBER('Price History'!O52)),'Price History'!O52=0),"",'Price History'!O53/'Price History'!O52-1),"")</f>
        <v>0.0362894791884543</v>
      </c>
      <c r="P52" s="109" t="str">
        <f aca="false">IFERROR(IF(OR(NOT(ISNUMBER('Price History'!P53)),NOT(ISNUMBER('Price History'!P52)),'Price History'!P52=0),"",'Price History'!P53/'Price History'!P52-1),"")</f>
        <v/>
      </c>
      <c r="Q52" s="109" t="n">
        <f aca="false">IFERROR(IF(OR(NOT(ISNUMBER('Price History'!Q53)),NOT(ISNUMBER('Price History'!Q52)),'Price History'!Q52=0),"",'Price History'!Q53/'Price History'!Q52-1),"")</f>
        <v>0.0259474223284397</v>
      </c>
      <c r="R52" s="109" t="n">
        <f aca="false">IFERROR(IF(OR(NOT(ISNUMBER('Price History'!R53)),NOT(ISNUMBER('Price History'!R52)),'Price History'!R52=0),"",'Price History'!R53/'Price History'!R52-1),"")</f>
        <v>-0.0226979147444177</v>
      </c>
      <c r="S52" s="109" t="n">
        <f aca="false">IFERROR(IF(OR(NOT(ISNUMBER('Price History'!S53)),NOT(ISNUMBER('Price History'!S52)),'Price History'!S52=0),"",'Price History'!S53/'Price History'!S52-1),"")</f>
        <v>-0.0188766647365373</v>
      </c>
      <c r="T52" s="109" t="n">
        <f aca="false">IFERROR(IF(OR(NOT(ISNUMBER('Price History'!T53)),NOT(ISNUMBER('Price History'!T52)),'Price History'!T52=0),"",'Price History'!T53/'Price History'!T52-1),"")</f>
        <v>0.0178459611772073</v>
      </c>
      <c r="U52" s="109" t="str">
        <f aca="false">IFERROR(IF(OR(NOT(ISNUMBER('Price History'!U53)),NOT(ISNUMBER('Price History'!U52)),'Price History'!U52=0),"",'Price History'!U53/'Price History'!U52-1),"")</f>
        <v/>
      </c>
      <c r="V52" s="110" t="n">
        <f aca="false">IFERROR(IF(OR(NOT(ISNUMBER('Price History'!V53)),NOT(ISNUMBER('Price History'!V52)),'Price History'!V52=0),"",'Price History'!V53/'Price History'!V52-1),"")</f>
        <v>-0.0226062301237595</v>
      </c>
      <c r="W52" s="111" t="n">
        <f aca="false">IFERROR('Price History'!B3+(INDEX('Price History'!B:B,MATCH(9.99E+307,'Price History'!$A:$A))-'Price History'!B3)*(ROW()-3)/(MATCH(9.99E+307,'Returns (Calc)'!$A:$A)-3),"")</f>
        <v>433.889874213837</v>
      </c>
      <c r="X52" s="111" t="n">
        <f aca="false">IFERROR('Price History'!C3+(INDEX('Price History'!C:C,MATCH(9.99E+307,'Price History'!$A:$A))-'Price History'!C3)*(ROW()-3)/(MATCH(9.99E+307,'Returns (Calc)'!$A:$A)-3),"")</f>
        <v>89.9787421383648</v>
      </c>
      <c r="Y52" s="111" t="n">
        <f aca="false">IFERROR('Price History'!D3+(INDEX('Price History'!D:D,MATCH(9.99E+307,'Price History'!$A:$A))-'Price History'!D3)*(ROW()-3)/(MATCH(9.99E+307,'Returns (Calc)'!$A:$A)-3),"")</f>
        <v>986.320251572327</v>
      </c>
      <c r="Z52" s="111" t="n">
        <f aca="false">IFERROR('Price History'!E3+(INDEX('Price History'!E:E,MATCH(9.99E+307,'Price History'!$A:$A))-'Price History'!E3)*(ROW()-3)/(MATCH(9.99E+307,'Returns (Calc)'!$A:$A)-3),"")</f>
        <v>167.703773584906</v>
      </c>
      <c r="AA52" s="111" t="n">
        <f aca="false">IFERROR('Price History'!F3+(INDEX('Price History'!F:F,MATCH(9.99E+307,'Price History'!$A:$A))-'Price History'!F3)*(ROW()-3)/(MATCH(9.99E+307,'Returns (Calc)'!$A:$A)-3),"")</f>
        <v>91.311320754717</v>
      </c>
      <c r="AB52" s="111" t="n">
        <f aca="false">IFERROR('Price History'!G3+(INDEX('Price History'!G:G,MATCH(9.99E+307,'Price History'!$A:$A))-'Price History'!G3)*(ROW()-3)/(MATCH(9.99E+307,'Returns (Calc)'!$A:$A)-3),"")</f>
        <v>90.3358490566038</v>
      </c>
      <c r="AC52" s="111" t="n">
        <f aca="false">IFERROR('Price History'!H3+(INDEX('Price History'!H:H,MATCH(9.99E+307,'Price History'!$A:$A))-'Price History'!H3)*(ROW()-3)/(MATCH(9.99E+307,'Returns (Calc)'!$A:$A)-3),"")</f>
        <v>357.821446540881</v>
      </c>
      <c r="AD52" s="111" t="n">
        <f aca="false">IFERROR('Price History'!I3+(INDEX('Price History'!I:I,MATCH(9.99E+307,'Price History'!$A:$A))-'Price History'!I3)*(ROW()-3)/(MATCH(9.99E+307,'Returns (Calc)'!$A:$A)-3),"")</f>
        <v>99.2524528301887</v>
      </c>
      <c r="AE52" s="111" t="n">
        <f aca="false">IFERROR('Price History'!J3+(INDEX('Price History'!J:J,MATCH(9.99E+307,'Price History'!$A:$A))-'Price History'!J3)*(ROW()-3)/(MATCH(9.99E+307,'Returns (Calc)'!$A:$A)-3),"")</f>
        <v>127.772075471698</v>
      </c>
      <c r="AF52" s="111" t="n">
        <f aca="false">IFERROR('Price History'!K3+(INDEX('Price History'!K:K,MATCH(9.99E+307,'Price History'!$A:$A))-'Price History'!K3)*(ROW()-3)/(MATCH(9.99E+307,'Returns (Calc)'!$A:$A)-3),"")</f>
        <v>64.3853459119497</v>
      </c>
      <c r="AG52" s="111" t="n">
        <f aca="false">IFERROR('Price History'!L3+(INDEX('Price History'!L:L,MATCH(9.99E+307,'Price History'!$A:$A))-'Price History'!L3)*(ROW()-3)/(MATCH(9.99E+307,'Returns (Calc)'!$A:$A)-3),"")</f>
        <v>195.820691823899</v>
      </c>
      <c r="AH52" s="111" t="n">
        <f aca="false">IFERROR('Price History'!M3+(INDEX('Price History'!M:M,MATCH(9.99E+307,'Price History'!$A:$A))-'Price History'!M3)*(ROW()-3)/(MATCH(9.99E+307,'Returns (Calc)'!$A:$A)-3),"")</f>
        <v>109.635660377358</v>
      </c>
      <c r="AI52" s="111" t="n">
        <f aca="false">IFERROR('Price History'!N3+(INDEX('Price History'!N:N,MATCH(9.99E+307,'Price History'!$A:$A))-'Price History'!N3)*(ROW()-3)/(MATCH(9.99E+307,'Returns (Calc)'!$A:$A)-3),"")</f>
        <v>410.342641509434</v>
      </c>
      <c r="AJ52" s="111" t="n">
        <f aca="false">IFERROR('Price History'!O3+(INDEX('Price History'!O:O,MATCH(9.99E+307,'Price History'!$A:$A))-'Price History'!O3)*(ROW()-3)/(MATCH(9.99E+307,'Returns (Calc)'!$A:$A)-3),"")</f>
        <v>96.4344025157233</v>
      </c>
      <c r="AK52" s="111" t="n">
        <f aca="false">IFERROR('Price History'!Q3+(INDEX('Price History'!Q:Q,MATCH(9.99E+307,'Price History'!$A:$A))-'Price History'!Q3)*(ROW()-3)/(MATCH(9.99E+307,'Returns (Calc)'!$A:$A)-3),"")</f>
        <v>55.9665408805031</v>
      </c>
      <c r="AL52" s="111" t="n">
        <f aca="false">IFERROR('Price History'!R3+(INDEX('Price History'!R:R,MATCH(9.99E+307,'Price History'!$A:$A))-'Price History'!R3)*(ROW()-3)/(MATCH(9.99E+307,'Returns (Calc)'!$A:$A)-3),"")</f>
        <v>51.5335220125786</v>
      </c>
      <c r="AM52" s="111" t="n">
        <f aca="false">IFERROR('Price History'!S3+(INDEX('Price History'!S:S,MATCH(9.99E+307,'Price History'!$A:$A))-'Price History'!S3)*(ROW()-3)/(MATCH(9.99E+307,'Returns (Calc)'!$A:$A)-3),"")</f>
        <v>86.6394968553459</v>
      </c>
      <c r="AN52" s="111" t="n">
        <f aca="false">IFERROR('Price History'!T3+(INDEX('Price History'!T:T,MATCH(9.99E+307,'Price History'!$A:$A))-'Price History'!T3)*(ROW()-3)/(MATCH(9.99E+307,'Returns (Calc)'!$A:$A)-3),"")</f>
        <v>35.6560377358491</v>
      </c>
      <c r="AO52" s="112" t="n">
        <f aca="false">IFERROR('Price History'!V3+(INDEX('Price History'!V:V,MATCH(9.99E+307,'Price History'!$A:$A))-'Price History'!V3)*(ROW()-3)/(MATCH(9.99E+307,'Returns (Calc)'!$A:$A)-3),"")</f>
        <v>115.587610062893</v>
      </c>
    </row>
    <row r="53" customFormat="false" ht="15" hidden="false" customHeight="true" outlineLevel="0" collapsed="false">
      <c r="A53" s="108" t="n">
        <f aca="false">IF('Price History'!A54="","",'Price History'!A54)</f>
        <v>45506</v>
      </c>
      <c r="B53" s="109" t="n">
        <f aca="false">IFERROR(IF(OR(NOT(ISNUMBER('Price History'!B54)),NOT(ISNUMBER('Price History'!B53)),'Price History'!B53=0),"",'Price History'!B54/'Price History'!B53-1),"")</f>
        <v>-0.0299941007300348</v>
      </c>
      <c r="C53" s="109" t="n">
        <f aca="false">IFERROR(IF(OR(NOT(ISNUMBER('Price History'!C54)),NOT(ISNUMBER('Price History'!C53)),'Price History'!C53=0),"",'Price History'!C54/'Price History'!C53-1),"")</f>
        <v>0.000375939849624141</v>
      </c>
      <c r="D53" s="109" t="n">
        <f aca="false">IFERROR(IF(OR(NOT(ISNUMBER('Price History'!D54)),NOT(ISNUMBER('Price History'!D53)),'Price History'!D53=0),"",'Price History'!D54/'Price History'!D53-1),"")</f>
        <v>-0.0889699343756684</v>
      </c>
      <c r="E53" s="109" t="n">
        <f aca="false">IFERROR(IF(OR(NOT(ISNUMBER('Price History'!E54)),NOT(ISNUMBER('Price History'!E53)),'Price History'!E53=0),"",'Price History'!E54/'Price History'!E53-1),"")</f>
        <v>-0.0515069577260436</v>
      </c>
      <c r="F53" s="109" t="n">
        <f aca="false">IFERROR(IF(OR(NOT(ISNUMBER('Price History'!F54)),NOT(ISNUMBER('Price History'!F53)),'Price History'!F53=0),"",'Price History'!F54/'Price History'!F53-1),"")</f>
        <v>-0.149437851342911</v>
      </c>
      <c r="G53" s="109" t="n">
        <f aca="false">IFERROR(IF(OR(NOT(ISNUMBER('Price History'!G54)),NOT(ISNUMBER('Price History'!G53)),'Price History'!G53=0),"",'Price History'!G54/'Price History'!G53-1),"")</f>
        <v>-0.115824231648463</v>
      </c>
      <c r="H53" s="109" t="n">
        <f aca="false">IFERROR(IF(OR(NOT(ISNUMBER('Price History'!H54)),NOT(ISNUMBER('Price History'!H53)),'Price History'!H53=0),"",'Price History'!H54/'Price History'!H53-1),"")</f>
        <v>-0.152728269810803</v>
      </c>
      <c r="I53" s="109" t="n">
        <f aca="false">IFERROR(IF(OR(NOT(ISNUMBER('Price History'!I54)),NOT(ISNUMBER('Price History'!I53)),'Price History'!I53=0),"",'Price History'!I54/'Price History'!I53-1),"")</f>
        <v>-0.0512117459755882</v>
      </c>
      <c r="J53" s="109" t="n">
        <f aca="false">IFERROR(IF(OR(NOT(ISNUMBER('Price History'!J54)),NOT(ISNUMBER('Price History'!J53)),'Price History'!J53=0),"",'Price History'!J54/'Price History'!J53-1),"")</f>
        <v>0.0105966742745354</v>
      </c>
      <c r="K53" s="109" t="n">
        <f aca="false">IFERROR(IF(OR(NOT(ISNUMBER('Price History'!K54)),NOT(ISNUMBER('Price History'!K53)),'Price History'!K53=0),"",'Price History'!K54/'Price History'!K53-1),"")</f>
        <v>-0.0897718910963945</v>
      </c>
      <c r="L53" s="109" t="n">
        <f aca="false">IFERROR(IF(OR(NOT(ISNUMBER('Price History'!L54)),NOT(ISNUMBER('Price History'!L53)),'Price History'!L53=0),"",'Price History'!L54/'Price History'!L53-1),"")</f>
        <v>-0.0745955292083487</v>
      </c>
      <c r="M53" s="109" t="n">
        <f aca="false">IFERROR(IF(OR(NOT(ISNUMBER('Price History'!M54)),NOT(ISNUMBER('Price History'!M53)),'Price History'!M53=0),"",'Price History'!M54/'Price History'!M53-1),"")</f>
        <v>-0.0993257261410789</v>
      </c>
      <c r="N53" s="109" t="n">
        <f aca="false">IFERROR(IF(OR(NOT(ISNUMBER('Price History'!N54)),NOT(ISNUMBER('Price History'!N53)),'Price History'!N53=0),"",'Price History'!N54/'Price History'!N53-1),"")</f>
        <v>-0.00161531316884067</v>
      </c>
      <c r="O53" s="109" t="n">
        <f aca="false">IFERROR(IF(OR(NOT(ISNUMBER('Price History'!O54)),NOT(ISNUMBER('Price History'!O53)),'Price History'!O53=0),"",'Price History'!O54/'Price History'!O53-1),"")</f>
        <v>-0.0714501967907962</v>
      </c>
      <c r="P53" s="109" t="str">
        <f aca="false">IFERROR(IF(OR(NOT(ISNUMBER('Price History'!P54)),NOT(ISNUMBER('Price History'!P53)),'Price History'!P53=0),"",'Price History'!P54/'Price History'!P53-1),"")</f>
        <v/>
      </c>
      <c r="Q53" s="109" t="n">
        <f aca="false">IFERROR(IF(OR(NOT(ISNUMBER('Price History'!Q54)),NOT(ISNUMBER('Price History'!Q53)),'Price History'!Q53=0),"",'Price History'!Q54/'Price History'!Q53-1),"")</f>
        <v>0.00831946755407653</v>
      </c>
      <c r="R53" s="109" t="n">
        <f aca="false">IFERROR(IF(OR(NOT(ISNUMBER('Price History'!R54)),NOT(ISNUMBER('Price History'!R53)),'Price History'!R53=0),"",'Price History'!R54/'Price History'!R53-1),"")</f>
        <v>-0.0343655589123867</v>
      </c>
      <c r="S53" s="109" t="n">
        <f aca="false">IFERROR(IF(OR(NOT(ISNUMBER('Price History'!S54)),NOT(ISNUMBER('Price History'!S53)),'Price History'!S53=0),"",'Price History'!S54/'Price History'!S53-1),"")</f>
        <v>-0.0297450424929178</v>
      </c>
      <c r="T53" s="109" t="n">
        <f aca="false">IFERROR(IF(OR(NOT(ISNUMBER('Price History'!T54)),NOT(ISNUMBER('Price History'!T53)),'Price History'!T53=0),"",'Price History'!T54/'Price History'!T53-1),"")</f>
        <v>-0.0286065825899723</v>
      </c>
      <c r="U53" s="109" t="str">
        <f aca="false">IFERROR(IF(OR(NOT(ISNUMBER('Price History'!U54)),NOT(ISNUMBER('Price History'!U53)),'Price History'!U53=0),"",'Price History'!U54/'Price History'!U53-1),"")</f>
        <v/>
      </c>
      <c r="V53" s="110" t="n">
        <f aca="false">IFERROR(IF(OR(NOT(ISNUMBER('Price History'!V54)),NOT(ISNUMBER('Price History'!V53)),'Price History'!V53=0),"",'Price History'!V54/'Price History'!V53-1),"")</f>
        <v>0.0274804970794622</v>
      </c>
      <c r="W53" s="111" t="n">
        <f aca="false">IFERROR('Price History'!B3+(INDEX('Price History'!B:B,MATCH(9.99E+307,'Price History'!$A:$A))-'Price History'!B3)*(ROW()-3)/(MATCH(9.99E+307,'Returns (Calc)'!$A:$A)-3),"")</f>
        <v>432.368238993711</v>
      </c>
      <c r="X53" s="111" t="n">
        <f aca="false">IFERROR('Price History'!C3+(INDEX('Price History'!C:C,MATCH(9.99E+307,'Price History'!$A:$A))-'Price History'!C3)*(ROW()-3)/(MATCH(9.99E+307,'Returns (Calc)'!$A:$A)-3),"")</f>
        <v>90.9223899371069</v>
      </c>
      <c r="Y53" s="111" t="n">
        <f aca="false">IFERROR('Price History'!D3+(INDEX('Price History'!D:D,MATCH(9.99E+307,'Price History'!$A:$A))-'Price History'!D3)*(ROW()-3)/(MATCH(9.99E+307,'Returns (Calc)'!$A:$A)-3),"")</f>
        <v>992.943522012579</v>
      </c>
      <c r="Z53" s="111" t="n">
        <f aca="false">IFERROR('Price History'!E3+(INDEX('Price History'!E:E,MATCH(9.99E+307,'Price History'!$A:$A))-'Price History'!E3)*(ROW()-3)/(MATCH(9.99E+307,'Returns (Calc)'!$A:$A)-3),"")</f>
        <v>169.432830188679</v>
      </c>
      <c r="AA53" s="111" t="n">
        <f aca="false">IFERROR('Price History'!F3+(INDEX('Price History'!F:F,MATCH(9.99E+307,'Price History'!$A:$A))-'Price History'!F3)*(ROW()-3)/(MATCH(9.99E+307,'Returns (Calc)'!$A:$A)-3),"")</f>
        <v>92.4184905660378</v>
      </c>
      <c r="AB53" s="111" t="n">
        <f aca="false">IFERROR('Price History'!G3+(INDEX('Price History'!G:G,MATCH(9.99E+307,'Price History'!$A:$A))-'Price History'!G3)*(ROW()-3)/(MATCH(9.99E+307,'Returns (Calc)'!$A:$A)-3),"")</f>
        <v>91.2018867924528</v>
      </c>
      <c r="AC53" s="111" t="n">
        <f aca="false">IFERROR('Price History'!H3+(INDEX('Price History'!H:H,MATCH(9.99E+307,'Price History'!$A:$A))-'Price History'!H3)*(ROW()-3)/(MATCH(9.99E+307,'Returns (Calc)'!$A:$A)-3),"")</f>
        <v>363.810251572327</v>
      </c>
      <c r="AD53" s="111" t="n">
        <f aca="false">IFERROR('Price History'!I3+(INDEX('Price History'!I:I,MATCH(9.99E+307,'Price History'!$A:$A))-'Price History'!I3)*(ROW()-3)/(MATCH(9.99E+307,'Returns (Calc)'!$A:$A)-3),"")</f>
        <v>100.444339622642</v>
      </c>
      <c r="AE53" s="111" t="n">
        <f aca="false">IFERROR('Price History'!J3+(INDEX('Price History'!J:J,MATCH(9.99E+307,'Price History'!$A:$A))-'Price History'!J3)*(ROW()-3)/(MATCH(9.99E+307,'Returns (Calc)'!$A:$A)-3),"")</f>
        <v>127.859056603774</v>
      </c>
      <c r="AF53" s="111" t="n">
        <f aca="false">IFERROR('Price History'!K3+(INDEX('Price History'!K:K,MATCH(9.99E+307,'Price History'!$A:$A))-'Price History'!K3)*(ROW()-3)/(MATCH(9.99E+307,'Returns (Calc)'!$A:$A)-3),"")</f>
        <v>65.3848427672956</v>
      </c>
      <c r="AG53" s="111" t="n">
        <f aca="false">IFERROR('Price History'!L3+(INDEX('Price History'!L:L,MATCH(9.99E+307,'Price History'!$A:$A))-'Price History'!L3)*(ROW()-3)/(MATCH(9.99E+307,'Returns (Calc)'!$A:$A)-3),"")</f>
        <v>197.939685534591</v>
      </c>
      <c r="AH53" s="111" t="n">
        <f aca="false">IFERROR('Price History'!M3+(INDEX('Price History'!M:M,MATCH(9.99E+307,'Price History'!$A:$A))-'Price History'!M3)*(ROW()-3)/(MATCH(9.99E+307,'Returns (Calc)'!$A:$A)-3),"")</f>
        <v>111.189245283019</v>
      </c>
      <c r="AI53" s="111" t="n">
        <f aca="false">IFERROR('Price History'!N3+(INDEX('Price History'!N:N,MATCH(9.99E+307,'Price History'!$A:$A))-'Price History'!N3)*(ROW()-3)/(MATCH(9.99E+307,'Returns (Calc)'!$A:$A)-3),"")</f>
        <v>411.576981132076</v>
      </c>
      <c r="AJ53" s="111" t="n">
        <f aca="false">IFERROR('Price History'!O3+(INDEX('Price History'!O:O,MATCH(9.99E+307,'Price History'!$A:$A))-'Price History'!O3)*(ROW()-3)/(MATCH(9.99E+307,'Returns (Calc)'!$A:$A)-3),"")</f>
        <v>96.7116352201258</v>
      </c>
      <c r="AK53" s="111" t="n">
        <f aca="false">IFERROR('Price History'!Q3+(INDEX('Price History'!Q:Q,MATCH(9.99E+307,'Price History'!$A:$A))-'Price History'!Q3)*(ROW()-3)/(MATCH(9.99E+307,'Returns (Calc)'!$A:$A)-3),"")</f>
        <v>56.091572327044</v>
      </c>
      <c r="AL53" s="111" t="n">
        <f aca="false">IFERROR('Price History'!R3+(INDEX('Price History'!R:R,MATCH(9.99E+307,'Price History'!$A:$A))-'Price History'!R3)*(ROW()-3)/(MATCH(9.99E+307,'Returns (Calc)'!$A:$A)-3),"")</f>
        <v>51.6093081761006</v>
      </c>
      <c r="AM53" s="111" t="n">
        <f aca="false">IFERROR('Price History'!S3+(INDEX('Price History'!S:S,MATCH(9.99E+307,'Price History'!$A:$A))-'Price History'!S3)*(ROW()-3)/(MATCH(9.99E+307,'Returns (Calc)'!$A:$A)-3),"")</f>
        <v>87.2129559748428</v>
      </c>
      <c r="AN53" s="111" t="n">
        <f aca="false">IFERROR('Price History'!T3+(INDEX('Price History'!T:T,MATCH(9.99E+307,'Price History'!$A:$A))-'Price History'!T3)*(ROW()-3)/(MATCH(9.99E+307,'Returns (Calc)'!$A:$A)-3),"")</f>
        <v>35.8345283018868</v>
      </c>
      <c r="AO53" s="112" t="n">
        <f aca="false">IFERROR('Price History'!V3+(INDEX('Price History'!V:V,MATCH(9.99E+307,'Price History'!$A:$A))-'Price History'!V3)*(ROW()-3)/(MATCH(9.99E+307,'Returns (Calc)'!$A:$A)-3),"")</f>
        <v>117.946540880503</v>
      </c>
    </row>
    <row r="54" customFormat="false" ht="15" hidden="false" customHeight="true" outlineLevel="0" collapsed="false">
      <c r="A54" s="108" t="n">
        <f aca="false">IF('Price History'!A55="","",'Price History'!A55)</f>
        <v>45513</v>
      </c>
      <c r="B54" s="109" t="n">
        <f aca="false">IFERROR(IF(OR(NOT(ISNUMBER('Price History'!B55)),NOT(ISNUMBER('Price History'!B54)),'Price History'!B54=0),"",'Price History'!B55/'Price History'!B54-1),"")</f>
        <v>0.0192523328962122</v>
      </c>
      <c r="C54" s="109" t="n">
        <f aca="false">IFERROR(IF(OR(NOT(ISNUMBER('Price History'!C55)),NOT(ISNUMBER('Price History'!C54)),'Price History'!C54=0),"",'Price History'!C55/'Price History'!C54-1),"")</f>
        <v>0.0516096705499187</v>
      </c>
      <c r="D54" s="109" t="n">
        <f aca="false">IFERROR(IF(OR(NOT(ISNUMBER('Price History'!D55)),NOT(ISNUMBER('Price History'!D54)),'Price History'!D54=0),"",'Price History'!D55/'Price History'!D54-1),"")</f>
        <v>0.0632606412553283</v>
      </c>
      <c r="E54" s="109" t="n">
        <f aca="false">IFERROR(IF(OR(NOT(ISNUMBER('Price History'!E55)),NOT(ISNUMBER('Price History'!E54)),'Price History'!E54=0),"",'Price History'!E55/'Price History'!E54-1),"")</f>
        <v>0.03087192323738</v>
      </c>
      <c r="F54" s="109" t="n">
        <f aca="false">IFERROR(IF(OR(NOT(ISNUMBER('Price History'!F55)),NOT(ISNUMBER('Price History'!F54)),'Price History'!F54=0),"",'Price History'!F55/'Price History'!F54-1),"")</f>
        <v>0.105746282357261</v>
      </c>
      <c r="G54" s="109" t="n">
        <f aca="false">IFERROR(IF(OR(NOT(ISNUMBER('Price History'!G55)),NOT(ISNUMBER('Price History'!G54)),'Price History'!G54=0),"",'Price History'!G55/'Price History'!G54-1),"")</f>
        <v>0.0726802642918702</v>
      </c>
      <c r="H54" s="109" t="n">
        <f aca="false">IFERROR(IF(OR(NOT(ISNUMBER('Price History'!H55)),NOT(ISNUMBER('Price History'!H54)),'Price History'!H54=0),"",'Price History'!H55/'Price History'!H54-1),"")</f>
        <v>0.00409924487594382</v>
      </c>
      <c r="I54" s="109" t="n">
        <f aca="false">IFERROR(IF(OR(NOT(ISNUMBER('Price History'!I55)),NOT(ISNUMBER('Price History'!I54)),'Price History'!I54=0),"",'Price History'!I55/'Price History'!I54-1),"")</f>
        <v>-0.023492122681085</v>
      </c>
      <c r="J54" s="109" t="n">
        <f aca="false">IFERROR(IF(OR(NOT(ISNUMBER('Price History'!J55)),NOT(ISNUMBER('Price History'!J54)),'Price History'!J54=0),"",'Price History'!J55/'Price History'!J54-1),"")</f>
        <v>-0.0167768994999193</v>
      </c>
      <c r="K54" s="109" t="n">
        <f aca="false">IFERROR(IF(OR(NOT(ISNUMBER('Price History'!K55)),NOT(ISNUMBER('Price History'!K54)),'Price History'!K54=0),"",'Price History'!K55/'Price History'!K54-1),"")</f>
        <v>0.21301535974131</v>
      </c>
      <c r="L54" s="109" t="n">
        <f aca="false">IFERROR(IF(OR(NOT(ISNUMBER('Price History'!L55)),NOT(ISNUMBER('Price History'!L54)),'Price History'!L54=0),"",'Price History'!L55/'Price History'!L54-1),"")</f>
        <v>0.115174162551715</v>
      </c>
      <c r="M54" s="109" t="n">
        <f aca="false">IFERROR(IF(OR(NOT(ISNUMBER('Price History'!M55)),NOT(ISNUMBER('Price History'!M54)),'Price History'!M54=0),"",'Price History'!M55/'Price History'!M54-1),"")</f>
        <v>0.0287935502447452</v>
      </c>
      <c r="N54" s="109" t="n">
        <f aca="false">IFERROR(IF(OR(NOT(ISNUMBER('Price History'!N55)),NOT(ISNUMBER('Price History'!N54)),'Price History'!N54=0),"",'Price History'!N55/'Price History'!N54-1),"")</f>
        <v>-0.0526028394612305</v>
      </c>
      <c r="O54" s="109" t="n">
        <f aca="false">IFERROR(IF(OR(NOT(ISNUMBER('Price History'!O55)),NOT(ISNUMBER('Price History'!O54)),'Price History'!O54=0),"",'Price History'!O55/'Price History'!O54-1),"")</f>
        <v>-0.0176067818715357</v>
      </c>
      <c r="P54" s="109" t="str">
        <f aca="false">IFERROR(IF(OR(NOT(ISNUMBER('Price History'!P55)),NOT(ISNUMBER('Price History'!P54)),'Price History'!P54=0),"",'Price History'!P55/'Price History'!P54-1),"")</f>
        <v/>
      </c>
      <c r="Q54" s="109" t="n">
        <f aca="false">IFERROR(IF(OR(NOT(ISNUMBER('Price History'!Q55)),NOT(ISNUMBER('Price History'!Q54)),'Price History'!Q54=0),"",'Price History'!Q55/'Price History'!Q54-1),"")</f>
        <v>0.00561056105610547</v>
      </c>
      <c r="R54" s="109" t="n">
        <f aca="false">IFERROR(IF(OR(NOT(ISNUMBER('Price History'!R55)),NOT(ISNUMBER('Price History'!R54)),'Price History'!R54=0),"",'Price History'!R55/'Price History'!R54-1),"")</f>
        <v>0.00293312475557284</v>
      </c>
      <c r="S54" s="109" t="n">
        <f aca="false">IFERROR(IF(OR(NOT(ISNUMBER('Price History'!S55)),NOT(ISNUMBER('Price History'!S54)),'Price History'!S54=0),"",'Price History'!S55/'Price History'!S54-1),"")</f>
        <v>0.0172749391727494</v>
      </c>
      <c r="T54" s="109" t="n">
        <f aca="false">IFERROR(IF(OR(NOT(ISNUMBER('Price History'!T55)),NOT(ISNUMBER('Price History'!T54)),'Price History'!T54=0),"",'Price History'!T55/'Price History'!T54-1),"")</f>
        <v>-0.00158328055731471</v>
      </c>
      <c r="U54" s="109" t="str">
        <f aca="false">IFERROR(IF(OR(NOT(ISNUMBER('Price History'!U55)),NOT(ISNUMBER('Price History'!U54)),'Price History'!U54=0),"",'Price History'!U55/'Price History'!U54-1),"")</f>
        <v/>
      </c>
      <c r="V54" s="110" t="n">
        <f aca="false">IFERROR(IF(OR(NOT(ISNUMBER('Price History'!V55)),NOT(ISNUMBER('Price History'!V54)),'Price History'!V54=0),"",'Price History'!V55/'Price History'!V54-1),"")</f>
        <v>-0.0236550934757727</v>
      </c>
      <c r="W54" s="111" t="n">
        <f aca="false">IFERROR('Price History'!B3+(INDEX('Price History'!B:B,MATCH(9.99E+307,'Price History'!$A:$A))-'Price History'!B3)*(ROW()-3)/(MATCH(9.99E+307,'Returns (Calc)'!$A:$A)-3),"")</f>
        <v>430.846603773585</v>
      </c>
      <c r="X54" s="111" t="n">
        <f aca="false">IFERROR('Price History'!C3+(INDEX('Price History'!C:C,MATCH(9.99E+307,'Price History'!$A:$A))-'Price History'!C3)*(ROW()-3)/(MATCH(9.99E+307,'Returns (Calc)'!$A:$A)-3),"")</f>
        <v>91.8660377358491</v>
      </c>
      <c r="Y54" s="111" t="n">
        <f aca="false">IFERROR('Price History'!D3+(INDEX('Price History'!D:D,MATCH(9.99E+307,'Price History'!$A:$A))-'Price History'!D3)*(ROW()-3)/(MATCH(9.99E+307,'Returns (Calc)'!$A:$A)-3),"")</f>
        <v>999.56679245283</v>
      </c>
      <c r="Z54" s="111" t="n">
        <f aca="false">IFERROR('Price History'!E3+(INDEX('Price History'!E:E,MATCH(9.99E+307,'Price History'!$A:$A))-'Price History'!E3)*(ROW()-3)/(MATCH(9.99E+307,'Returns (Calc)'!$A:$A)-3),"")</f>
        <v>171.161886792453</v>
      </c>
      <c r="AA54" s="111" t="n">
        <f aca="false">IFERROR('Price History'!F3+(INDEX('Price History'!F:F,MATCH(9.99E+307,'Price History'!$A:$A))-'Price History'!F3)*(ROW()-3)/(MATCH(9.99E+307,'Returns (Calc)'!$A:$A)-3),"")</f>
        <v>93.5256603773585</v>
      </c>
      <c r="AB54" s="111" t="n">
        <f aca="false">IFERROR('Price History'!G3+(INDEX('Price History'!G:G,MATCH(9.99E+307,'Price History'!$A:$A))-'Price History'!G3)*(ROW()-3)/(MATCH(9.99E+307,'Returns (Calc)'!$A:$A)-3),"")</f>
        <v>92.0679245283019</v>
      </c>
      <c r="AC54" s="111" t="n">
        <f aca="false">IFERROR('Price History'!H3+(INDEX('Price History'!H:H,MATCH(9.99E+307,'Price History'!$A:$A))-'Price History'!H3)*(ROW()-3)/(MATCH(9.99E+307,'Returns (Calc)'!$A:$A)-3),"")</f>
        <v>369.799056603774</v>
      </c>
      <c r="AD54" s="111" t="n">
        <f aca="false">IFERROR('Price History'!I3+(INDEX('Price History'!I:I,MATCH(9.99E+307,'Price History'!$A:$A))-'Price History'!I3)*(ROW()-3)/(MATCH(9.99E+307,'Returns (Calc)'!$A:$A)-3),"")</f>
        <v>101.636226415094</v>
      </c>
      <c r="AE54" s="111" t="n">
        <f aca="false">IFERROR('Price History'!J3+(INDEX('Price History'!J:J,MATCH(9.99E+307,'Price History'!$A:$A))-'Price History'!J3)*(ROW()-3)/(MATCH(9.99E+307,'Returns (Calc)'!$A:$A)-3),"")</f>
        <v>127.946037735849</v>
      </c>
      <c r="AF54" s="111" t="n">
        <f aca="false">IFERROR('Price History'!K3+(INDEX('Price History'!K:K,MATCH(9.99E+307,'Price History'!$A:$A))-'Price History'!K3)*(ROW()-3)/(MATCH(9.99E+307,'Returns (Calc)'!$A:$A)-3),"")</f>
        <v>66.3843396226415</v>
      </c>
      <c r="AG54" s="111" t="n">
        <f aca="false">IFERROR('Price History'!L3+(INDEX('Price History'!L:L,MATCH(9.99E+307,'Price History'!$A:$A))-'Price History'!L3)*(ROW()-3)/(MATCH(9.99E+307,'Returns (Calc)'!$A:$A)-3),"")</f>
        <v>200.058679245283</v>
      </c>
      <c r="AH54" s="111" t="n">
        <f aca="false">IFERROR('Price History'!M3+(INDEX('Price History'!M:M,MATCH(9.99E+307,'Price History'!$A:$A))-'Price History'!M3)*(ROW()-3)/(MATCH(9.99E+307,'Returns (Calc)'!$A:$A)-3),"")</f>
        <v>112.742830188679</v>
      </c>
      <c r="AI54" s="111" t="n">
        <f aca="false">IFERROR('Price History'!N3+(INDEX('Price History'!N:N,MATCH(9.99E+307,'Price History'!$A:$A))-'Price History'!N3)*(ROW()-3)/(MATCH(9.99E+307,'Returns (Calc)'!$A:$A)-3),"")</f>
        <v>412.811320754717</v>
      </c>
      <c r="AJ54" s="111" t="n">
        <f aca="false">IFERROR('Price History'!O3+(INDEX('Price History'!O:O,MATCH(9.99E+307,'Price History'!$A:$A))-'Price History'!O3)*(ROW()-3)/(MATCH(9.99E+307,'Returns (Calc)'!$A:$A)-3),"")</f>
        <v>96.9888679245283</v>
      </c>
      <c r="AK54" s="111" t="n">
        <f aca="false">IFERROR('Price History'!Q3+(INDEX('Price History'!Q:Q,MATCH(9.99E+307,'Price History'!$A:$A))-'Price History'!Q3)*(ROW()-3)/(MATCH(9.99E+307,'Returns (Calc)'!$A:$A)-3),"")</f>
        <v>56.2166037735849</v>
      </c>
      <c r="AL54" s="111" t="n">
        <f aca="false">IFERROR('Price History'!R3+(INDEX('Price History'!R:R,MATCH(9.99E+307,'Price History'!$A:$A))-'Price History'!R3)*(ROW()-3)/(MATCH(9.99E+307,'Returns (Calc)'!$A:$A)-3),"")</f>
        <v>51.6850943396226</v>
      </c>
      <c r="AM54" s="111" t="n">
        <f aca="false">IFERROR('Price History'!S3+(INDEX('Price History'!S:S,MATCH(9.99E+307,'Price History'!$A:$A))-'Price History'!S3)*(ROW()-3)/(MATCH(9.99E+307,'Returns (Calc)'!$A:$A)-3),"")</f>
        <v>87.7864150943396</v>
      </c>
      <c r="AN54" s="111" t="n">
        <f aca="false">IFERROR('Price History'!T3+(INDEX('Price History'!T:T,MATCH(9.99E+307,'Price History'!$A:$A))-'Price History'!T3)*(ROW()-3)/(MATCH(9.99E+307,'Returns (Calc)'!$A:$A)-3),"")</f>
        <v>36.0130188679245</v>
      </c>
      <c r="AO54" s="112" t="n">
        <f aca="false">IFERROR('Price History'!V3+(INDEX('Price History'!V:V,MATCH(9.99E+307,'Price History'!$A:$A))-'Price History'!V3)*(ROW()-3)/(MATCH(9.99E+307,'Returns (Calc)'!$A:$A)-3),"")</f>
        <v>120.305471698113</v>
      </c>
    </row>
    <row r="55" customFormat="false" ht="15" hidden="false" customHeight="true" outlineLevel="0" collapsed="false">
      <c r="A55" s="108" t="n">
        <f aca="false">IF('Price History'!A56="","",'Price History'!A56)</f>
        <v>45520</v>
      </c>
      <c r="B55" s="109" t="n">
        <f aca="false">IFERROR(IF(OR(NOT(ISNUMBER('Price History'!B56)),NOT(ISNUMBER('Price History'!B55)),'Price History'!B55=0),"",'Price History'!B56/'Price History'!B55-1),"")</f>
        <v>0.0319970165951895</v>
      </c>
      <c r="C55" s="109" t="n">
        <f aca="false">IFERROR(IF(OR(NOT(ISNUMBER('Price History'!C56)),NOT(ISNUMBER('Price History'!C55)),'Price History'!C55=0),"",'Price History'!C56/'Price History'!C55-1),"")</f>
        <v>0.0538415723645027</v>
      </c>
      <c r="D55" s="109" t="n">
        <f aca="false">IFERROR(IF(OR(NOT(ISNUMBER('Price History'!D56)),NOT(ISNUMBER('Price History'!D55)),'Price History'!D55=0),"",'Price History'!D56/'Price History'!D55-1),"")</f>
        <v>0.0675265818371971</v>
      </c>
      <c r="E55" s="109" t="n">
        <f aca="false">IFERROR(IF(OR(NOT(ISNUMBER('Price History'!E56)),NOT(ISNUMBER('Price History'!E55)),'Price History'!E55=0),"",'Price History'!E56/'Price History'!E55-1),"")</f>
        <v>0.117766086604614</v>
      </c>
      <c r="F55" s="109" t="n">
        <f aca="false">IFERROR(IF(OR(NOT(ISNUMBER('Price History'!F56)),NOT(ISNUMBER('Price History'!F55)),'Price History'!F55=0),"",'Price History'!F56/'Price History'!F55-1),"")</f>
        <v>0.0898223476672755</v>
      </c>
      <c r="G55" s="109" t="n">
        <f aca="false">IFERROR(IF(OR(NOT(ISNUMBER('Price History'!G56)),NOT(ISNUMBER('Price History'!G55)),'Price History'!G55=0),"",'Price History'!G56/'Price History'!G55-1),"")</f>
        <v>0.0974825923942151</v>
      </c>
      <c r="H55" s="109" t="n">
        <f aca="false">IFERROR(IF(OR(NOT(ISNUMBER('Price History'!H56)),NOT(ISNUMBER('Price History'!H55)),'Price History'!H55=0),"",'Price History'!H56/'Price History'!H55-1),"")</f>
        <v>0.160184787279759</v>
      </c>
      <c r="I55" s="109" t="n">
        <f aca="false">IFERROR(IF(OR(NOT(ISNUMBER('Price History'!I56)),NOT(ISNUMBER('Price History'!I55)),'Price History'!I55=0),"",'Price History'!I56/'Price History'!I55-1),"")</f>
        <v>0.189307875894988</v>
      </c>
      <c r="J55" s="109" t="n">
        <f aca="false">IFERROR(IF(OR(NOT(ISNUMBER('Price History'!J56)),NOT(ISNUMBER('Price History'!J55)),'Price History'!J55=0),"",'Price History'!J56/'Price History'!J55-1),"")</f>
        <v>0.00779327317473322</v>
      </c>
      <c r="K55" s="109" t="n">
        <f aca="false">IFERROR(IF(OR(NOT(ISNUMBER('Price History'!K56)),NOT(ISNUMBER('Price History'!K55)),'Price History'!K55=0),"",'Price History'!K56/'Price History'!K55-1),"")</f>
        <v>0.0689770076641119</v>
      </c>
      <c r="L55" s="109" t="n">
        <f aca="false">IFERROR(IF(OR(NOT(ISNUMBER('Price History'!L56)),NOT(ISNUMBER('Price History'!L55)),'Price History'!L55=0),"",'Price History'!L56/'Price History'!L55-1),"")</f>
        <v>0.0443992340832933</v>
      </c>
      <c r="M55" s="109" t="n">
        <f aca="false">IFERROR(IF(OR(NOT(ISNUMBER('Price History'!M56)),NOT(ISNUMBER('Price History'!M55)),'Price History'!M55=0),"",'Price History'!M56/'Price History'!M55-1),"")</f>
        <v>0.111390987965295</v>
      </c>
      <c r="N55" s="109" t="n">
        <f aca="false">IFERROR(IF(OR(NOT(ISNUMBER('Price History'!N56)),NOT(ISNUMBER('Price History'!N55)),'Price History'!N55=0),"",'Price History'!N56/'Price History'!N55-1),"")</f>
        <v>0.0190415199060732</v>
      </c>
      <c r="O55" s="109" t="n">
        <f aca="false">IFERROR(IF(OR(NOT(ISNUMBER('Price History'!O56)),NOT(ISNUMBER('Price History'!O55)),'Price History'!O55=0),"",'Price History'!O56/'Price History'!O55-1),"")</f>
        <v>0.0285429804181878</v>
      </c>
      <c r="P55" s="109" t="str">
        <f aca="false">IFERROR(IF(OR(NOT(ISNUMBER('Price History'!P56)),NOT(ISNUMBER('Price History'!P55)),'Price History'!P55=0),"",'Price History'!P56/'Price History'!P55-1),"")</f>
        <v/>
      </c>
      <c r="Q55" s="109" t="n">
        <f aca="false">IFERROR(IF(OR(NOT(ISNUMBER('Price History'!Q56)),NOT(ISNUMBER('Price History'!Q55)),'Price History'!Q55=0),"",'Price History'!Q56/'Price History'!Q55-1),"")</f>
        <v>0.0013127666557271</v>
      </c>
      <c r="R55" s="109" t="n">
        <f aca="false">IFERROR(IF(OR(NOT(ISNUMBER('Price History'!R56)),NOT(ISNUMBER('Price History'!R55)),'Price History'!R55=0),"",'Price History'!R56/'Price History'!R55-1),"")</f>
        <v>0.0421134724117762</v>
      </c>
      <c r="S55" s="109" t="n">
        <f aca="false">IFERROR(IF(OR(NOT(ISNUMBER('Price History'!S56)),NOT(ISNUMBER('Price History'!S55)),'Price History'!S55=0),"",'Price History'!S56/'Price History'!S55-1),"")</f>
        <v>0.0570437694331498</v>
      </c>
      <c r="T55" s="109" t="n">
        <f aca="false">IFERROR(IF(OR(NOT(ISNUMBER('Price History'!T56)),NOT(ISNUMBER('Price History'!T55)),'Price History'!T55=0),"",'Price History'!T56/'Price History'!T55-1),"")</f>
        <v>0.0161750713606088</v>
      </c>
      <c r="U55" s="109" t="str">
        <f aca="false">IFERROR(IF(OR(NOT(ISNUMBER('Price History'!U56)),NOT(ISNUMBER('Price History'!U55)),'Price History'!U55=0),"",'Price History'!U56/'Price History'!U55-1),"")</f>
        <v/>
      </c>
      <c r="V55" s="110" t="n">
        <f aca="false">IFERROR(IF(OR(NOT(ISNUMBER('Price History'!V56)),NOT(ISNUMBER('Price History'!V55)),'Price History'!V55=0),"",'Price History'!V56/'Price History'!V55-1),"")</f>
        <v>0.0293474013286441</v>
      </c>
      <c r="W55" s="111" t="n">
        <f aca="false">IFERROR('Price History'!B3+(INDEX('Price History'!B:B,MATCH(9.99E+307,'Price History'!$A:$A))-'Price History'!B3)*(ROW()-3)/(MATCH(9.99E+307,'Returns (Calc)'!$A:$A)-3),"")</f>
        <v>429.324968553459</v>
      </c>
      <c r="X55" s="111" t="n">
        <f aca="false">IFERROR('Price History'!C3+(INDEX('Price History'!C:C,MATCH(9.99E+307,'Price History'!$A:$A))-'Price History'!C3)*(ROW()-3)/(MATCH(9.99E+307,'Returns (Calc)'!$A:$A)-3),"")</f>
        <v>92.8096855345912</v>
      </c>
      <c r="Y55" s="111" t="n">
        <f aca="false">IFERROR('Price History'!D3+(INDEX('Price History'!D:D,MATCH(9.99E+307,'Price History'!$A:$A))-'Price History'!D3)*(ROW()-3)/(MATCH(9.99E+307,'Returns (Calc)'!$A:$A)-3),"")</f>
        <v>1006.19006289308</v>
      </c>
      <c r="Z55" s="111" t="n">
        <f aca="false">IFERROR('Price History'!E3+(INDEX('Price History'!E:E,MATCH(9.99E+307,'Price History'!$A:$A))-'Price History'!E3)*(ROW()-3)/(MATCH(9.99E+307,'Returns (Calc)'!$A:$A)-3),"")</f>
        <v>172.890943396226</v>
      </c>
      <c r="AA55" s="111" t="n">
        <f aca="false">IFERROR('Price History'!F3+(INDEX('Price History'!F:F,MATCH(9.99E+307,'Price History'!$A:$A))-'Price History'!F3)*(ROW()-3)/(MATCH(9.99E+307,'Returns (Calc)'!$A:$A)-3),"")</f>
        <v>94.6328301886793</v>
      </c>
      <c r="AB55" s="111" t="n">
        <f aca="false">IFERROR('Price History'!G3+(INDEX('Price History'!G:G,MATCH(9.99E+307,'Price History'!$A:$A))-'Price History'!G3)*(ROW()-3)/(MATCH(9.99E+307,'Returns (Calc)'!$A:$A)-3),"")</f>
        <v>92.933962264151</v>
      </c>
      <c r="AC55" s="111" t="n">
        <f aca="false">IFERROR('Price History'!H3+(INDEX('Price History'!H:H,MATCH(9.99E+307,'Price History'!$A:$A))-'Price History'!H3)*(ROW()-3)/(MATCH(9.99E+307,'Returns (Calc)'!$A:$A)-3),"")</f>
        <v>375.78786163522</v>
      </c>
      <c r="AD55" s="111" t="n">
        <f aca="false">IFERROR('Price History'!I3+(INDEX('Price History'!I:I,MATCH(9.99E+307,'Price History'!$A:$A))-'Price History'!I3)*(ROW()-3)/(MATCH(9.99E+307,'Returns (Calc)'!$A:$A)-3),"")</f>
        <v>102.828113207547</v>
      </c>
      <c r="AE55" s="111" t="n">
        <f aca="false">IFERROR('Price History'!J3+(INDEX('Price History'!J:J,MATCH(9.99E+307,'Price History'!$A:$A))-'Price History'!J3)*(ROW()-3)/(MATCH(9.99E+307,'Returns (Calc)'!$A:$A)-3),"")</f>
        <v>128.033018867925</v>
      </c>
      <c r="AF55" s="111" t="n">
        <f aca="false">IFERROR('Price History'!K3+(INDEX('Price History'!K:K,MATCH(9.99E+307,'Price History'!$A:$A))-'Price History'!K3)*(ROW()-3)/(MATCH(9.99E+307,'Returns (Calc)'!$A:$A)-3),"")</f>
        <v>67.3838364779874</v>
      </c>
      <c r="AG55" s="111" t="n">
        <f aca="false">IFERROR('Price History'!L3+(INDEX('Price History'!L:L,MATCH(9.99E+307,'Price History'!$A:$A))-'Price History'!L3)*(ROW()-3)/(MATCH(9.99E+307,'Returns (Calc)'!$A:$A)-3),"")</f>
        <v>202.177672955975</v>
      </c>
      <c r="AH55" s="111" t="n">
        <f aca="false">IFERROR('Price History'!M3+(INDEX('Price History'!M:M,MATCH(9.99E+307,'Price History'!$A:$A))-'Price History'!M3)*(ROW()-3)/(MATCH(9.99E+307,'Returns (Calc)'!$A:$A)-3),"")</f>
        <v>114.29641509434</v>
      </c>
      <c r="AI55" s="111" t="n">
        <f aca="false">IFERROR('Price History'!N3+(INDEX('Price History'!N:N,MATCH(9.99E+307,'Price History'!$A:$A))-'Price History'!N3)*(ROW()-3)/(MATCH(9.99E+307,'Returns (Calc)'!$A:$A)-3),"")</f>
        <v>414.045660377359</v>
      </c>
      <c r="AJ55" s="111" t="n">
        <f aca="false">IFERROR('Price History'!O3+(INDEX('Price History'!O:O,MATCH(9.99E+307,'Price History'!$A:$A))-'Price History'!O3)*(ROW()-3)/(MATCH(9.99E+307,'Returns (Calc)'!$A:$A)-3),"")</f>
        <v>97.2661006289308</v>
      </c>
      <c r="AK55" s="111" t="n">
        <f aca="false">IFERROR('Price History'!Q3+(INDEX('Price History'!Q:Q,MATCH(9.99E+307,'Price History'!$A:$A))-'Price History'!Q3)*(ROW()-3)/(MATCH(9.99E+307,'Returns (Calc)'!$A:$A)-3),"")</f>
        <v>56.3416352201258</v>
      </c>
      <c r="AL55" s="111" t="n">
        <f aca="false">IFERROR('Price History'!R3+(INDEX('Price History'!R:R,MATCH(9.99E+307,'Price History'!$A:$A))-'Price History'!R3)*(ROW()-3)/(MATCH(9.99E+307,'Returns (Calc)'!$A:$A)-3),"")</f>
        <v>51.7608805031447</v>
      </c>
      <c r="AM55" s="111" t="n">
        <f aca="false">IFERROR('Price History'!S3+(INDEX('Price History'!S:S,MATCH(9.99E+307,'Price History'!$A:$A))-'Price History'!S3)*(ROW()-3)/(MATCH(9.99E+307,'Returns (Calc)'!$A:$A)-3),"")</f>
        <v>88.3598742138365</v>
      </c>
      <c r="AN55" s="111" t="n">
        <f aca="false">IFERROR('Price History'!T3+(INDEX('Price History'!T:T,MATCH(9.99E+307,'Price History'!$A:$A))-'Price History'!T3)*(ROW()-3)/(MATCH(9.99E+307,'Returns (Calc)'!$A:$A)-3),"")</f>
        <v>36.1915094339623</v>
      </c>
      <c r="AO55" s="112" t="n">
        <f aca="false">IFERROR('Price History'!V3+(INDEX('Price History'!V:V,MATCH(9.99E+307,'Price History'!$A:$A))-'Price History'!V3)*(ROW()-3)/(MATCH(9.99E+307,'Returns (Calc)'!$A:$A)-3),"")</f>
        <v>122.664402515723</v>
      </c>
    </row>
    <row r="56" customFormat="false" ht="15" hidden="false" customHeight="true" outlineLevel="0" collapsed="false">
      <c r="A56" s="108" t="n">
        <f aca="false">IF('Price History'!A57="","",'Price History'!A57)</f>
        <v>45527</v>
      </c>
      <c r="B56" s="109" t="n">
        <f aca="false">IFERROR(IF(OR(NOT(ISNUMBER('Price History'!B57)),NOT(ISNUMBER('Price History'!B56)),'Price History'!B56=0),"",'Price History'!B57/'Price History'!B56-1),"")</f>
        <v>0.00874498608752194</v>
      </c>
      <c r="C56" s="109" t="n">
        <f aca="false">IFERROR(IF(OR(NOT(ISNUMBER('Price History'!C57)),NOT(ISNUMBER('Price History'!C56)),'Price History'!C56=0),"",'Price History'!C57/'Price History'!C56-1),"")</f>
        <v>0.00350401265965861</v>
      </c>
      <c r="D56" s="109" t="n">
        <f aca="false">IFERROR(IF(OR(NOT(ISNUMBER('Price History'!D57)),NOT(ISNUMBER('Price History'!D56)),'Price History'!D56=0),"",'Price History'!D57/'Price History'!D56-1),"")</f>
        <v>-0.0124093788779309</v>
      </c>
      <c r="E56" s="109" t="n">
        <f aca="false">IFERROR(IF(OR(NOT(ISNUMBER('Price History'!E57)),NOT(ISNUMBER('Price History'!E56)),'Price History'!E56=0),"",'Price History'!E57/'Price History'!E56-1),"")</f>
        <v>0.00386193579531757</v>
      </c>
      <c r="F56" s="109" t="n">
        <f aca="false">IFERROR(IF(OR(NOT(ISNUMBER('Price History'!F57)),NOT(ISNUMBER('Price History'!F56)),'Price History'!F56=0),"",'Price History'!F57/'Price History'!F56-1),"")</f>
        <v>0.0342778793418648</v>
      </c>
      <c r="G56" s="109" t="n">
        <f aca="false">IFERROR(IF(OR(NOT(ISNUMBER('Price History'!G57)),NOT(ISNUMBER('Price History'!G56)),'Price History'!G56=0),"",'Price History'!G57/'Price History'!G56-1),"")</f>
        <v>-0.0021961932650072</v>
      </c>
      <c r="H56" s="109" t="n">
        <f aca="false">IFERROR(IF(OR(NOT(ISNUMBER('Price History'!H57)),NOT(ISNUMBER('Price History'!H56)),'Price History'!H56=0),"",'Price History'!H57/'Price History'!H56-1),"")</f>
        <v>-0.0475969997221966</v>
      </c>
      <c r="I56" s="109" t="n">
        <f aca="false">IFERROR(IF(OR(NOT(ISNUMBER('Price History'!I57)),NOT(ISNUMBER('Price History'!I56)),'Price History'!I56=0),"",'Price History'!I57/'Price History'!I56-1),"")</f>
        <v>0.0384491892759673</v>
      </c>
      <c r="J56" s="109" t="n">
        <f aca="false">IFERROR(IF(OR(NOT(ISNUMBER('Price History'!J57)),NOT(ISNUMBER('Price History'!J56)),'Price History'!J56=0),"",'Price History'!J57/'Price History'!J56-1),"")</f>
        <v>0.0489214489214491</v>
      </c>
      <c r="K56" s="109" t="n">
        <f aca="false">IFERROR(IF(OR(NOT(ISNUMBER('Price History'!K57)),NOT(ISNUMBER('Price History'!K56)),'Price History'!K56=0),"",'Price History'!K57/'Price History'!K56-1),"")</f>
        <v>-0.00935162094763087</v>
      </c>
      <c r="L56" s="109" t="n">
        <f aca="false">IFERROR(IF(OR(NOT(ISNUMBER('Price History'!L57)),NOT(ISNUMBER('Price History'!L56)),'Price History'!L56=0),"",'Price History'!L57/'Price History'!L56-1),"")</f>
        <v>-0.0186776670104274</v>
      </c>
      <c r="M56" s="109" t="n">
        <f aca="false">IFERROR(IF(OR(NOT(ISNUMBER('Price History'!M57)),NOT(ISNUMBER('Price History'!M56)),'Price History'!M56=0),"",'Price History'!M57/'Price History'!M56-1),"")</f>
        <v>-0.0109544195416772</v>
      </c>
      <c r="N56" s="109" t="n">
        <f aca="false">IFERROR(IF(OR(NOT(ISNUMBER('Price History'!N57)),NOT(ISNUMBER('Price History'!N56)),'Price History'!N56=0),"",'Price History'!N57/'Price History'!N56-1),"")</f>
        <v>0.00810691916123751</v>
      </c>
      <c r="O56" s="109" t="n">
        <f aca="false">IFERROR(IF(OR(NOT(ISNUMBER('Price History'!O57)),NOT(ISNUMBER('Price History'!O56)),'Price History'!O56=0),"",'Price History'!O57/'Price History'!O56-1),"")</f>
        <v>0.0310852963321502</v>
      </c>
      <c r="P56" s="109" t="str">
        <f aca="false">IFERROR(IF(OR(NOT(ISNUMBER('Price History'!P57)),NOT(ISNUMBER('Price History'!P56)),'Price History'!P56=0),"",'Price History'!P57/'Price History'!P56-1),"")</f>
        <v/>
      </c>
      <c r="Q56" s="109" t="n">
        <f aca="false">IFERROR(IF(OR(NOT(ISNUMBER('Price History'!Q57)),NOT(ISNUMBER('Price History'!Q56)),'Price History'!Q56=0),"",'Price History'!Q57/'Price History'!Q56-1),"")</f>
        <v>0.00803015404785312</v>
      </c>
      <c r="R56" s="109" t="n">
        <f aca="false">IFERROR(IF(OR(NOT(ISNUMBER('Price History'!R57)),NOT(ISNUMBER('Price History'!R56)),'Price History'!R56=0),"",'Price History'!R57/'Price History'!R56-1),"")</f>
        <v>0.00841908325537877</v>
      </c>
      <c r="S56" s="109" t="n">
        <f aca="false">IFERROR(IF(OR(NOT(ISNUMBER('Price History'!S57)),NOT(ISNUMBER('Price History'!S56)),'Price History'!S56=0),"",'Price History'!S57/'Price History'!S56-1),"")</f>
        <v>0.0138024663423464</v>
      </c>
      <c r="T56" s="109" t="n">
        <f aca="false">IFERROR(IF(OR(NOT(ISNUMBER('Price History'!T57)),NOT(ISNUMBER('Price History'!T56)),'Price History'!T56=0),"",'Price History'!T57/'Price History'!T56-1),"")</f>
        <v>0.0327715355805245</v>
      </c>
      <c r="U56" s="109" t="str">
        <f aca="false">IFERROR(IF(OR(NOT(ISNUMBER('Price History'!U57)),NOT(ISNUMBER('Price History'!U56)),'Price History'!U56=0),"",'Price History'!U57/'Price History'!U56-1),"")</f>
        <v/>
      </c>
      <c r="V56" s="110" t="n">
        <f aca="false">IFERROR(IF(OR(NOT(ISNUMBER('Price History'!V57)),NOT(ISNUMBER('Price History'!V56)),'Price History'!V56=0),"",'Price History'!V57/'Price History'!V56-1),"")</f>
        <v>0.000227781785050007</v>
      </c>
      <c r="W56" s="111" t="n">
        <f aca="false">IFERROR('Price History'!B3+(INDEX('Price History'!B:B,MATCH(9.99E+307,'Price History'!$A:$A))-'Price History'!B3)*(ROW()-3)/(MATCH(9.99E+307,'Returns (Calc)'!$A:$A)-3),"")</f>
        <v>427.803333333333</v>
      </c>
      <c r="X56" s="111" t="n">
        <f aca="false">IFERROR('Price History'!C3+(INDEX('Price History'!C:C,MATCH(9.99E+307,'Price History'!$A:$A))-'Price History'!C3)*(ROW()-3)/(MATCH(9.99E+307,'Returns (Calc)'!$A:$A)-3),"")</f>
        <v>93.7533333333333</v>
      </c>
      <c r="Y56" s="111" t="n">
        <f aca="false">IFERROR('Price History'!D3+(INDEX('Price History'!D:D,MATCH(9.99E+307,'Price History'!$A:$A))-'Price History'!D3)*(ROW()-3)/(MATCH(9.99E+307,'Returns (Calc)'!$A:$A)-3),"")</f>
        <v>1012.81333333333</v>
      </c>
      <c r="Z56" s="111" t="n">
        <f aca="false">IFERROR('Price History'!E3+(INDEX('Price History'!E:E,MATCH(9.99E+307,'Price History'!$A:$A))-'Price History'!E3)*(ROW()-3)/(MATCH(9.99E+307,'Returns (Calc)'!$A:$A)-3),"")</f>
        <v>174.62</v>
      </c>
      <c r="AA56" s="111" t="n">
        <f aca="false">IFERROR('Price History'!F3+(INDEX('Price History'!F:F,MATCH(9.99E+307,'Price History'!$A:$A))-'Price History'!F3)*(ROW()-3)/(MATCH(9.99E+307,'Returns (Calc)'!$A:$A)-3),"")</f>
        <v>95.74</v>
      </c>
      <c r="AB56" s="111" t="n">
        <f aca="false">IFERROR('Price History'!G3+(INDEX('Price History'!G:G,MATCH(9.99E+307,'Price History'!$A:$A))-'Price History'!G3)*(ROW()-3)/(MATCH(9.99E+307,'Returns (Calc)'!$A:$A)-3),"")</f>
        <v>93.8</v>
      </c>
      <c r="AC56" s="111" t="n">
        <f aca="false">IFERROR('Price History'!H3+(INDEX('Price History'!H:H,MATCH(9.99E+307,'Price History'!$A:$A))-'Price History'!H3)*(ROW()-3)/(MATCH(9.99E+307,'Returns (Calc)'!$A:$A)-3),"")</f>
        <v>381.776666666667</v>
      </c>
      <c r="AD56" s="111" t="n">
        <f aca="false">IFERROR('Price History'!I3+(INDEX('Price History'!I:I,MATCH(9.99E+307,'Price History'!$A:$A))-'Price History'!I3)*(ROW()-3)/(MATCH(9.99E+307,'Returns (Calc)'!$A:$A)-3),"")</f>
        <v>104.02</v>
      </c>
      <c r="AE56" s="111" t="n">
        <f aca="false">IFERROR('Price History'!J3+(INDEX('Price History'!J:J,MATCH(9.99E+307,'Price History'!$A:$A))-'Price History'!J3)*(ROW()-3)/(MATCH(9.99E+307,'Returns (Calc)'!$A:$A)-3),"")</f>
        <v>128.12</v>
      </c>
      <c r="AF56" s="111" t="n">
        <f aca="false">IFERROR('Price History'!K3+(INDEX('Price History'!K:K,MATCH(9.99E+307,'Price History'!$A:$A))-'Price History'!K3)*(ROW()-3)/(MATCH(9.99E+307,'Returns (Calc)'!$A:$A)-3),"")</f>
        <v>68.3833333333333</v>
      </c>
      <c r="AG56" s="111" t="n">
        <f aca="false">IFERROR('Price History'!L3+(INDEX('Price History'!L:L,MATCH(9.99E+307,'Price History'!$A:$A))-'Price History'!L3)*(ROW()-3)/(MATCH(9.99E+307,'Returns (Calc)'!$A:$A)-3),"")</f>
        <v>204.296666666667</v>
      </c>
      <c r="AH56" s="111" t="n">
        <f aca="false">IFERROR('Price History'!M3+(INDEX('Price History'!M:M,MATCH(9.99E+307,'Price History'!$A:$A))-'Price History'!M3)*(ROW()-3)/(MATCH(9.99E+307,'Returns (Calc)'!$A:$A)-3),"")</f>
        <v>115.85</v>
      </c>
      <c r="AI56" s="111" t="n">
        <f aca="false">IFERROR('Price History'!N3+(INDEX('Price History'!N:N,MATCH(9.99E+307,'Price History'!$A:$A))-'Price History'!N3)*(ROW()-3)/(MATCH(9.99E+307,'Returns (Calc)'!$A:$A)-3),"")</f>
        <v>415.28</v>
      </c>
      <c r="AJ56" s="111" t="n">
        <f aca="false">IFERROR('Price History'!O3+(INDEX('Price History'!O:O,MATCH(9.99E+307,'Price History'!$A:$A))-'Price History'!O3)*(ROW()-3)/(MATCH(9.99E+307,'Returns (Calc)'!$A:$A)-3),"")</f>
        <v>97.5433333333333</v>
      </c>
      <c r="AK56" s="111" t="n">
        <f aca="false">IFERROR('Price History'!Q3+(INDEX('Price History'!Q:Q,MATCH(9.99E+307,'Price History'!$A:$A))-'Price History'!Q3)*(ROW()-3)/(MATCH(9.99E+307,'Returns (Calc)'!$A:$A)-3),"")</f>
        <v>56.4666666666667</v>
      </c>
      <c r="AL56" s="111" t="n">
        <f aca="false">IFERROR('Price History'!R3+(INDEX('Price History'!R:R,MATCH(9.99E+307,'Price History'!$A:$A))-'Price History'!R3)*(ROW()-3)/(MATCH(9.99E+307,'Returns (Calc)'!$A:$A)-3),"")</f>
        <v>51.8366666666667</v>
      </c>
      <c r="AM56" s="111" t="n">
        <f aca="false">IFERROR('Price History'!S3+(INDEX('Price History'!S:S,MATCH(9.99E+307,'Price History'!$A:$A))-'Price History'!S3)*(ROW()-3)/(MATCH(9.99E+307,'Returns (Calc)'!$A:$A)-3),"")</f>
        <v>88.9333333333333</v>
      </c>
      <c r="AN56" s="111" t="n">
        <f aca="false">IFERROR('Price History'!T3+(INDEX('Price History'!T:T,MATCH(9.99E+307,'Price History'!$A:$A))-'Price History'!T3)*(ROW()-3)/(MATCH(9.99E+307,'Returns (Calc)'!$A:$A)-3),"")</f>
        <v>36.37</v>
      </c>
      <c r="AO56" s="112" t="n">
        <f aca="false">IFERROR('Price History'!V3+(INDEX('Price History'!V:V,MATCH(9.99E+307,'Price History'!$A:$A))-'Price History'!V3)*(ROW()-3)/(MATCH(9.99E+307,'Returns (Calc)'!$A:$A)-3),"")</f>
        <v>125.023333333333</v>
      </c>
    </row>
    <row r="57" customFormat="false" ht="15" hidden="false" customHeight="true" outlineLevel="0" collapsed="false">
      <c r="A57" s="108" t="n">
        <f aca="false">IF('Price History'!A58="","",'Price History'!A58)</f>
        <v>45534</v>
      </c>
      <c r="B57" s="109" t="n">
        <f aca="false">IFERROR(IF(OR(NOT(ISNUMBER('Price History'!B58)),NOT(ISNUMBER('Price History'!B57)),'Price History'!B57=0),"",'Price History'!B58/'Price History'!B57-1),"")</f>
        <v>0.0288554540569586</v>
      </c>
      <c r="C57" s="109" t="n">
        <f aca="false">IFERROR(IF(OR(NOT(ISNUMBER('Price History'!C58)),NOT(ISNUMBER('Price History'!C57)),'Price History'!C57=0),"",'Price History'!C58/'Price History'!C57-1),"")</f>
        <v>-0.00484343320567704</v>
      </c>
      <c r="D57" s="109" t="n">
        <f aca="false">IFERROR(IF(OR(NOT(ISNUMBER('Price History'!D58)),NOT(ISNUMBER('Price History'!D57)),'Price History'!D57=0),"",'Price History'!D58/'Price History'!D57-1),"")</f>
        <v>-0.00373652536207925</v>
      </c>
      <c r="E57" s="109" t="n">
        <f aca="false">IFERROR(IF(OR(NOT(ISNUMBER('Price History'!E58)),NOT(ISNUMBER('Price History'!E57)),'Price History'!E57=0),"",'Price History'!E58/'Price History'!E57-1),"")</f>
        <v>-0.0212791536427027</v>
      </c>
      <c r="F57" s="109" t="n">
        <f aca="false">IFERROR(IF(OR(NOT(ISNUMBER('Price History'!F58)),NOT(ISNUMBER('Price History'!F57)),'Price History'!F57=0),"",'Price History'!F58/'Price History'!F57-1),"")</f>
        <v>0.0210634850493445</v>
      </c>
      <c r="G57" s="109" t="n">
        <f aca="false">IFERROR(IF(OR(NOT(ISNUMBER('Price History'!G58)),NOT(ISNUMBER('Price History'!G57)),'Price History'!G57=0),"",'Price History'!G58/'Price History'!G57-1),"")</f>
        <v>0.00195646857422349</v>
      </c>
      <c r="H57" s="109" t="n">
        <f aca="false">IFERROR(IF(OR(NOT(ISNUMBER('Price History'!H58)),NOT(ISNUMBER('Price History'!H57)),'Price History'!H57=0),"",'Price History'!H58/'Price History'!H57-1),"")</f>
        <v>-0.0642683519688867</v>
      </c>
      <c r="I57" s="109" t="n">
        <f aca="false">IFERROR(IF(OR(NOT(ISNUMBER('Price History'!I58)),NOT(ISNUMBER('Price History'!I57)),'Price History'!I57=0),"",'Price History'!I58/'Price History'!I57-1),"")</f>
        <v>-0.0772976733400325</v>
      </c>
      <c r="J57" s="109" t="n">
        <f aca="false">IFERROR(IF(OR(NOT(ISNUMBER('Price History'!J58)),NOT(ISNUMBER('Price History'!J57)),'Price History'!J57=0),"",'Price History'!J58/'Price History'!J57-1),"")</f>
        <v>-0.00807077448393623</v>
      </c>
      <c r="K57" s="109" t="n">
        <f aca="false">IFERROR(IF(OR(NOT(ISNUMBER('Price History'!K58)),NOT(ISNUMBER('Price History'!K57)),'Price History'!K57=0),"",'Price History'!K58/'Price History'!K57-1),"")</f>
        <v>-0.0094398993077407</v>
      </c>
      <c r="L57" s="109" t="n">
        <f aca="false">IFERROR(IF(OR(NOT(ISNUMBER('Price History'!L58)),NOT(ISNUMBER('Price History'!L57)),'Price History'!L57=0),"",'Price History'!L58/'Price History'!L57-1),"")</f>
        <v>0.0024521251751517</v>
      </c>
      <c r="M57" s="109" t="n">
        <f aca="false">IFERROR(IF(OR(NOT(ISNUMBER('Price History'!M58)),NOT(ISNUMBER('Price History'!M57)),'Price History'!M57=0),"",'Price History'!M58/'Price History'!M57-1),"")</f>
        <v>0.0570337364735838</v>
      </c>
      <c r="N57" s="109" t="n">
        <f aca="false">IFERROR(IF(OR(NOT(ISNUMBER('Price History'!N58)),NOT(ISNUMBER('Price History'!N57)),'Price History'!N57=0),"",'Price History'!N58/'Price History'!N57-1),"")</f>
        <v>0.0304421910065664</v>
      </c>
      <c r="O57" s="109" t="n">
        <f aca="false">IFERROR(IF(OR(NOT(ISNUMBER('Price History'!O58)),NOT(ISNUMBER('Price History'!O57)),'Price History'!O57=0),"",'Price History'!O58/'Price History'!O57-1),"")</f>
        <v>0.000521593991237301</v>
      </c>
      <c r="P57" s="109" t="str">
        <f aca="false">IFERROR(IF(OR(NOT(ISNUMBER('Price History'!P58)),NOT(ISNUMBER('Price History'!P57)),'Price History'!P57=0),"",'Price History'!P58/'Price History'!P57-1),"")</f>
        <v/>
      </c>
      <c r="Q57" s="109" t="n">
        <f aca="false">IFERROR(IF(OR(NOT(ISNUMBER('Price History'!Q58)),NOT(ISNUMBER('Price History'!Q57)),'Price History'!Q57=0),"",'Price History'!Q58/'Price History'!Q57-1),"")</f>
        <v>0.00829133474231836</v>
      </c>
      <c r="R57" s="109" t="n">
        <f aca="false">IFERROR(IF(OR(NOT(ISNUMBER('Price History'!R58)),NOT(ISNUMBER('Price History'!R57)),'Price History'!R57=0),"",'Price History'!R58/'Price History'!R57-1),"")</f>
        <v>0.00333951762523199</v>
      </c>
      <c r="S57" s="109" t="n">
        <f aca="false">IFERROR(IF(OR(NOT(ISNUMBER('Price History'!S58)),NOT(ISNUMBER('Price History'!S57)),'Price History'!S57=0),"",'Price History'!S58/'Price History'!S57-1),"")</f>
        <v>-0.00401740877134249</v>
      </c>
      <c r="T57" s="109" t="n">
        <f aca="false">IFERROR(IF(OR(NOT(ISNUMBER('Price History'!T58)),NOT(ISNUMBER('Price History'!T57)),'Price History'!T57=0),"",'Price History'!T58/'Price History'!T57-1),"")</f>
        <v>0.00332426715019651</v>
      </c>
      <c r="U57" s="109" t="str">
        <f aca="false">IFERROR(IF(OR(NOT(ISNUMBER('Price History'!U58)),NOT(ISNUMBER('Price History'!U57)),'Price History'!U57=0),"",'Price History'!U58/'Price History'!U57-1),"")</f>
        <v/>
      </c>
      <c r="V57" s="110" t="n">
        <f aca="false">IFERROR(IF(OR(NOT(ISNUMBER('Price History'!V58)),NOT(ISNUMBER('Price History'!V57)),'Price History'!V57=0),"",'Price History'!V58/'Price History'!V57-1),"")</f>
        <v>0.0334003871408508</v>
      </c>
      <c r="W57" s="111" t="n">
        <f aca="false">IFERROR('Price History'!B3+(INDEX('Price History'!B:B,MATCH(9.99E+307,'Price History'!$A:$A))-'Price History'!B3)*(ROW()-3)/(MATCH(9.99E+307,'Returns (Calc)'!$A:$A)-3),"")</f>
        <v>426.281698113208</v>
      </c>
      <c r="X57" s="111" t="n">
        <f aca="false">IFERROR('Price History'!C3+(INDEX('Price History'!C:C,MATCH(9.99E+307,'Price History'!$A:$A))-'Price History'!C3)*(ROW()-3)/(MATCH(9.99E+307,'Returns (Calc)'!$A:$A)-3),"")</f>
        <v>94.6969811320755</v>
      </c>
      <c r="Y57" s="111" t="n">
        <f aca="false">IFERROR('Price History'!D3+(INDEX('Price History'!D:D,MATCH(9.99E+307,'Price History'!$A:$A))-'Price History'!D3)*(ROW()-3)/(MATCH(9.99E+307,'Returns (Calc)'!$A:$A)-3),"")</f>
        <v>1019.43660377358</v>
      </c>
      <c r="Z57" s="111" t="n">
        <f aca="false">IFERROR('Price History'!E3+(INDEX('Price History'!E:E,MATCH(9.99E+307,'Price History'!$A:$A))-'Price History'!E3)*(ROW()-3)/(MATCH(9.99E+307,'Returns (Calc)'!$A:$A)-3),"")</f>
        <v>176.349056603774</v>
      </c>
      <c r="AA57" s="111" t="n">
        <f aca="false">IFERROR('Price History'!F3+(INDEX('Price History'!F:F,MATCH(9.99E+307,'Price History'!$A:$A))-'Price History'!F3)*(ROW()-3)/(MATCH(9.99E+307,'Returns (Calc)'!$A:$A)-3),"")</f>
        <v>96.8471698113208</v>
      </c>
      <c r="AB57" s="111" t="n">
        <f aca="false">IFERROR('Price History'!G3+(INDEX('Price History'!G:G,MATCH(9.99E+307,'Price History'!$A:$A))-'Price History'!G3)*(ROW()-3)/(MATCH(9.99E+307,'Returns (Calc)'!$A:$A)-3),"")</f>
        <v>94.6660377358491</v>
      </c>
      <c r="AC57" s="111" t="n">
        <f aca="false">IFERROR('Price History'!H3+(INDEX('Price History'!H:H,MATCH(9.99E+307,'Price History'!$A:$A))-'Price History'!H3)*(ROW()-3)/(MATCH(9.99E+307,'Returns (Calc)'!$A:$A)-3),"")</f>
        <v>387.765471698113</v>
      </c>
      <c r="AD57" s="111" t="n">
        <f aca="false">IFERROR('Price History'!I3+(INDEX('Price History'!I:I,MATCH(9.99E+307,'Price History'!$A:$A))-'Price History'!I3)*(ROW()-3)/(MATCH(9.99E+307,'Returns (Calc)'!$A:$A)-3),"")</f>
        <v>105.211886792453</v>
      </c>
      <c r="AE57" s="111" t="n">
        <f aca="false">IFERROR('Price History'!J3+(INDEX('Price History'!J:J,MATCH(9.99E+307,'Price History'!$A:$A))-'Price History'!J3)*(ROW()-3)/(MATCH(9.99E+307,'Returns (Calc)'!$A:$A)-3),"")</f>
        <v>128.206981132075</v>
      </c>
      <c r="AF57" s="111" t="n">
        <f aca="false">IFERROR('Price History'!K3+(INDEX('Price History'!K:K,MATCH(9.99E+307,'Price History'!$A:$A))-'Price History'!K3)*(ROW()-3)/(MATCH(9.99E+307,'Returns (Calc)'!$A:$A)-3),"")</f>
        <v>69.3828301886793</v>
      </c>
      <c r="AG57" s="111" t="n">
        <f aca="false">IFERROR('Price History'!L3+(INDEX('Price History'!L:L,MATCH(9.99E+307,'Price History'!$A:$A))-'Price History'!L3)*(ROW()-3)/(MATCH(9.99E+307,'Returns (Calc)'!$A:$A)-3),"")</f>
        <v>206.415660377359</v>
      </c>
      <c r="AH57" s="111" t="n">
        <f aca="false">IFERROR('Price History'!M3+(INDEX('Price History'!M:M,MATCH(9.99E+307,'Price History'!$A:$A))-'Price History'!M3)*(ROW()-3)/(MATCH(9.99E+307,'Returns (Calc)'!$A:$A)-3),"")</f>
        <v>117.40358490566</v>
      </c>
      <c r="AI57" s="111" t="n">
        <f aca="false">IFERROR('Price History'!N3+(INDEX('Price History'!N:N,MATCH(9.99E+307,'Price History'!$A:$A))-'Price History'!N3)*(ROW()-3)/(MATCH(9.99E+307,'Returns (Calc)'!$A:$A)-3),"")</f>
        <v>416.514339622642</v>
      </c>
      <c r="AJ57" s="111" t="n">
        <f aca="false">IFERROR('Price History'!O3+(INDEX('Price History'!O:O,MATCH(9.99E+307,'Price History'!$A:$A))-'Price History'!O3)*(ROW()-3)/(MATCH(9.99E+307,'Returns (Calc)'!$A:$A)-3),"")</f>
        <v>97.8205660377358</v>
      </c>
      <c r="AK57" s="111" t="n">
        <f aca="false">IFERROR('Price History'!Q3+(INDEX('Price History'!Q:Q,MATCH(9.99E+307,'Price History'!$A:$A))-'Price History'!Q3)*(ROW()-3)/(MATCH(9.99E+307,'Returns (Calc)'!$A:$A)-3),"")</f>
        <v>56.5916981132076</v>
      </c>
      <c r="AL57" s="111" t="n">
        <f aca="false">IFERROR('Price History'!R3+(INDEX('Price History'!R:R,MATCH(9.99E+307,'Price History'!$A:$A))-'Price History'!R3)*(ROW()-3)/(MATCH(9.99E+307,'Returns (Calc)'!$A:$A)-3),"")</f>
        <v>51.9124528301887</v>
      </c>
      <c r="AM57" s="111" t="n">
        <f aca="false">IFERROR('Price History'!S3+(INDEX('Price History'!S:S,MATCH(9.99E+307,'Price History'!$A:$A))-'Price History'!S3)*(ROW()-3)/(MATCH(9.99E+307,'Returns (Calc)'!$A:$A)-3),"")</f>
        <v>89.5067924528302</v>
      </c>
      <c r="AN57" s="111" t="n">
        <f aca="false">IFERROR('Price History'!T3+(INDEX('Price History'!T:T,MATCH(9.99E+307,'Price History'!$A:$A))-'Price History'!T3)*(ROW()-3)/(MATCH(9.99E+307,'Returns (Calc)'!$A:$A)-3),"")</f>
        <v>36.5484905660377</v>
      </c>
      <c r="AO57" s="112" t="n">
        <f aca="false">IFERROR('Price History'!V3+(INDEX('Price History'!V:V,MATCH(9.99E+307,'Price History'!$A:$A))-'Price History'!V3)*(ROW()-3)/(MATCH(9.99E+307,'Returns (Calc)'!$A:$A)-3),"")</f>
        <v>127.382264150943</v>
      </c>
    </row>
    <row r="58" customFormat="false" ht="15" hidden="false" customHeight="true" outlineLevel="0" collapsed="false">
      <c r="A58" s="108" t="n">
        <f aca="false">IF('Price History'!A59="","",'Price History'!A59)</f>
        <v>45541</v>
      </c>
      <c r="B58" s="109" t="n">
        <f aca="false">IFERROR(IF(OR(NOT(ISNUMBER('Price History'!B59)),NOT(ISNUMBER('Price History'!B58)),'Price History'!B58=0),"",'Price History'!B59/'Price History'!B58-1),"")</f>
        <v>-0.0191500844344632</v>
      </c>
      <c r="C58" s="109" t="n">
        <f aca="false">IFERROR(IF(OR(NOT(ISNUMBER('Price History'!C59)),NOT(ISNUMBER('Price History'!C58)),'Price History'!C58=0),"",'Price History'!C59/'Price History'!C58-1),"")</f>
        <v>-0.110582908885116</v>
      </c>
      <c r="D58" s="109" t="n">
        <f aca="false">IFERROR(IF(OR(NOT(ISNUMBER('Price History'!D59)),NOT(ISNUMBER('Price History'!D58)),'Price History'!D58=0),"",'Price History'!D59/'Price History'!D58-1),"")</f>
        <v>-0.167147930565236</v>
      </c>
      <c r="E58" s="109" t="n">
        <f aca="false">IFERROR(IF(OR(NOT(ISNUMBER('Price History'!E59)),NOT(ISNUMBER('Price History'!E58)),'Price History'!E58=0),"",'Price History'!E59/'Price History'!E58-1),"")</f>
        <v>-0.158580027023707</v>
      </c>
      <c r="F58" s="109" t="n">
        <f aca="false">IFERROR(IF(OR(NOT(ISNUMBER('Price History'!F59)),NOT(ISNUMBER('Price History'!F58)),'Price History'!F58=0),"",'Price History'!F59/'Price History'!F58-1),"")</f>
        <v>-0.11136757068667</v>
      </c>
      <c r="G58" s="109" t="n">
        <f aca="false">IFERROR(IF(OR(NOT(ISNUMBER('Price History'!G59)),NOT(ISNUMBER('Price History'!G58)),'Price History'!G58=0),"",'Price History'!G59/'Price History'!G58-1),"")</f>
        <v>-0.142299243348792</v>
      </c>
      <c r="H58" s="109" t="n">
        <f aca="false">IFERROR(IF(OR(NOT(ISNUMBER('Price History'!H59)),NOT(ISNUMBER('Price History'!H58)),'Price History'!H58=0),"",'Price History'!H59/'Price History'!H58-1),"")</f>
        <v>-0.102452202826268</v>
      </c>
      <c r="I58" s="109" t="n">
        <f aca="false">IFERROR(IF(OR(NOT(ISNUMBER('Price History'!I59)),NOT(ISNUMBER('Price History'!I58)),'Price History'!I58=0),"",'Price History'!I59/'Price History'!I58-1),"")</f>
        <v>-0.138560777414761</v>
      </c>
      <c r="J58" s="109" t="n">
        <f aca="false">IFERROR(IF(OR(NOT(ISNUMBER('Price History'!J59)),NOT(ISNUMBER('Price History'!J58)),'Price History'!J58=0),"",'Price History'!J59/'Price History'!J58-1),"")</f>
        <v>-0.0046158660616491</v>
      </c>
      <c r="K58" s="109" t="n">
        <f aca="false">IFERROR(IF(OR(NOT(ISNUMBER('Price History'!K59)),NOT(ISNUMBER('Price History'!K58)),'Price History'!K58=0),"",'Price History'!K59/'Price History'!K58-1),"")</f>
        <v>-0.0365311308767472</v>
      </c>
      <c r="L58" s="109" t="n">
        <f aca="false">IFERROR(IF(OR(NOT(ISNUMBER('Price History'!L59)),NOT(ISNUMBER('Price History'!L58)),'Price History'!L58=0),"",'Price History'!L59/'Price History'!L58-1),"")</f>
        <v>-0.0866627839254514</v>
      </c>
      <c r="M58" s="109" t="n">
        <f aca="false">IFERROR(IF(OR(NOT(ISNUMBER('Price History'!M59)),NOT(ISNUMBER('Price History'!M58)),'Price History'!M58=0),"",'Price History'!M59/'Price History'!M58-1),"")</f>
        <v>-0.1356136336264</v>
      </c>
      <c r="N58" s="109" t="n">
        <f aca="false">IFERROR(IF(OR(NOT(ISNUMBER('Price History'!N59)),NOT(ISNUMBER('Price History'!N58)),'Price History'!N58=0),"",'Price History'!N59/'Price History'!N58-1),"")</f>
        <v>-0.0562423118030208</v>
      </c>
      <c r="O58" s="109" t="n">
        <f aca="false">IFERROR(IF(OR(NOT(ISNUMBER('Price History'!O59)),NOT(ISNUMBER('Price History'!O58)),'Price History'!O58=0),"",'Price History'!O59/'Price History'!O58-1),"")</f>
        <v>-0.0566155771035345</v>
      </c>
      <c r="P58" s="109" t="str">
        <f aca="false">IFERROR(IF(OR(NOT(ISNUMBER('Price History'!P59)),NOT(ISNUMBER('Price History'!P58)),'Price History'!P58=0),"",'Price History'!P59/'Price History'!P58-1),"")</f>
        <v/>
      </c>
      <c r="Q58" s="109" t="n">
        <f aca="false">IFERROR(IF(OR(NOT(ISNUMBER('Price History'!Q59)),NOT(ISNUMBER('Price History'!Q58)),'Price History'!Q58=0),"",'Price History'!Q59/'Price History'!Q58-1),"")</f>
        <v>-0.00274105127378266</v>
      </c>
      <c r="R58" s="109" t="n">
        <f aca="false">IFERROR(IF(OR(NOT(ISNUMBER('Price History'!R59)),NOT(ISNUMBER('Price History'!R58)),'Price History'!R58=0),"",'Price History'!R59/'Price History'!R58-1),"")</f>
        <v>-0.0502958579881657</v>
      </c>
      <c r="S58" s="109" t="n">
        <f aca="false">IFERROR(IF(OR(NOT(ISNUMBER('Price History'!S59)),NOT(ISNUMBER('Price History'!S58)),'Price History'!S58=0),"",'Price History'!S59/'Price History'!S58-1),"")</f>
        <v>-0.059719887955182</v>
      </c>
      <c r="T58" s="109" t="n">
        <f aca="false">IFERROR(IF(OR(NOT(ISNUMBER('Price History'!T59)),NOT(ISNUMBER('Price History'!T58)),'Price History'!T58=0),"",'Price History'!T59/'Price History'!T58-1),"")</f>
        <v>-0.041265060240964</v>
      </c>
      <c r="U58" s="109" t="str">
        <f aca="false">IFERROR(IF(OR(NOT(ISNUMBER('Price History'!U59)),NOT(ISNUMBER('Price History'!U58)),'Price History'!U58=0),"",'Price History'!U59/'Price History'!U58-1),"")</f>
        <v/>
      </c>
      <c r="V58" s="110" t="n">
        <f aca="false">IFERROR(IF(OR(NOT(ISNUMBER('Price History'!V59)),NOT(ISNUMBER('Price History'!V58)),'Price History'!V58=0),"",'Price History'!V59/'Price History'!V58-1),"")</f>
        <v>0.0108348330701145</v>
      </c>
      <c r="W58" s="111" t="n">
        <f aca="false">IFERROR('Price History'!B3+(INDEX('Price History'!B:B,MATCH(9.99E+307,'Price History'!$A:$A))-'Price History'!B3)*(ROW()-3)/(MATCH(9.99E+307,'Returns (Calc)'!$A:$A)-3),"")</f>
        <v>424.760062893082</v>
      </c>
      <c r="X58" s="111" t="n">
        <f aca="false">IFERROR('Price History'!C3+(INDEX('Price History'!C:C,MATCH(9.99E+307,'Price History'!$A:$A))-'Price History'!C3)*(ROW()-3)/(MATCH(9.99E+307,'Returns (Calc)'!$A:$A)-3),"")</f>
        <v>95.6406289308176</v>
      </c>
      <c r="Y58" s="111" t="n">
        <f aca="false">IFERROR('Price History'!D3+(INDEX('Price History'!D:D,MATCH(9.99E+307,'Price History'!$A:$A))-'Price History'!D3)*(ROW()-3)/(MATCH(9.99E+307,'Returns (Calc)'!$A:$A)-3),"")</f>
        <v>1026.05987421384</v>
      </c>
      <c r="Z58" s="111" t="n">
        <f aca="false">IFERROR('Price History'!E3+(INDEX('Price History'!E:E,MATCH(9.99E+307,'Price History'!$A:$A))-'Price History'!E3)*(ROW()-3)/(MATCH(9.99E+307,'Returns (Calc)'!$A:$A)-3),"")</f>
        <v>178.078113207547</v>
      </c>
      <c r="AA58" s="111" t="n">
        <f aca="false">IFERROR('Price History'!F3+(INDEX('Price History'!F:F,MATCH(9.99E+307,'Price History'!$A:$A))-'Price History'!F3)*(ROW()-3)/(MATCH(9.99E+307,'Returns (Calc)'!$A:$A)-3),"")</f>
        <v>97.9543396226415</v>
      </c>
      <c r="AB58" s="111" t="n">
        <f aca="false">IFERROR('Price History'!G3+(INDEX('Price History'!G:G,MATCH(9.99E+307,'Price History'!$A:$A))-'Price History'!G3)*(ROW()-3)/(MATCH(9.99E+307,'Returns (Calc)'!$A:$A)-3),"")</f>
        <v>95.5320754716981</v>
      </c>
      <c r="AC58" s="111" t="n">
        <f aca="false">IFERROR('Price History'!H3+(INDEX('Price History'!H:H,MATCH(9.99E+307,'Price History'!$A:$A))-'Price History'!H3)*(ROW()-3)/(MATCH(9.99E+307,'Returns (Calc)'!$A:$A)-3),"")</f>
        <v>393.75427672956</v>
      </c>
      <c r="AD58" s="111" t="n">
        <f aca="false">IFERROR('Price History'!I3+(INDEX('Price History'!I:I,MATCH(9.99E+307,'Price History'!$A:$A))-'Price History'!I3)*(ROW()-3)/(MATCH(9.99E+307,'Returns (Calc)'!$A:$A)-3),"")</f>
        <v>106.403773584906</v>
      </c>
      <c r="AE58" s="111" t="n">
        <f aca="false">IFERROR('Price History'!J3+(INDEX('Price History'!J:J,MATCH(9.99E+307,'Price History'!$A:$A))-'Price History'!J3)*(ROW()-3)/(MATCH(9.99E+307,'Returns (Calc)'!$A:$A)-3),"")</f>
        <v>128.293962264151</v>
      </c>
      <c r="AF58" s="111" t="n">
        <f aca="false">IFERROR('Price History'!K3+(INDEX('Price History'!K:K,MATCH(9.99E+307,'Price History'!$A:$A))-'Price History'!K3)*(ROW()-3)/(MATCH(9.99E+307,'Returns (Calc)'!$A:$A)-3),"")</f>
        <v>70.3823270440252</v>
      </c>
      <c r="AG58" s="111" t="n">
        <f aca="false">IFERROR('Price History'!L3+(INDEX('Price History'!L:L,MATCH(9.99E+307,'Price History'!$A:$A))-'Price History'!L3)*(ROW()-3)/(MATCH(9.99E+307,'Returns (Calc)'!$A:$A)-3),"")</f>
        <v>208.53465408805</v>
      </c>
      <c r="AH58" s="111" t="n">
        <f aca="false">IFERROR('Price History'!M3+(INDEX('Price History'!M:M,MATCH(9.99E+307,'Price History'!$A:$A))-'Price History'!M3)*(ROW()-3)/(MATCH(9.99E+307,'Returns (Calc)'!$A:$A)-3),"")</f>
        <v>118.957169811321</v>
      </c>
      <c r="AI58" s="111" t="n">
        <f aca="false">IFERROR('Price History'!N3+(INDEX('Price History'!N:N,MATCH(9.99E+307,'Price History'!$A:$A))-'Price History'!N3)*(ROW()-3)/(MATCH(9.99E+307,'Returns (Calc)'!$A:$A)-3),"")</f>
        <v>417.748679245283</v>
      </c>
      <c r="AJ58" s="111" t="n">
        <f aca="false">IFERROR('Price History'!O3+(INDEX('Price History'!O:O,MATCH(9.99E+307,'Price History'!$A:$A))-'Price History'!O3)*(ROW()-3)/(MATCH(9.99E+307,'Returns (Calc)'!$A:$A)-3),"")</f>
        <v>98.0977987421384</v>
      </c>
      <c r="AK58" s="111" t="n">
        <f aca="false">IFERROR('Price History'!Q3+(INDEX('Price History'!Q:Q,MATCH(9.99E+307,'Price History'!$A:$A))-'Price History'!Q3)*(ROW()-3)/(MATCH(9.99E+307,'Returns (Calc)'!$A:$A)-3),"")</f>
        <v>56.7167295597484</v>
      </c>
      <c r="AL58" s="111" t="n">
        <f aca="false">IFERROR('Price History'!R3+(INDEX('Price History'!R:R,MATCH(9.99E+307,'Price History'!$A:$A))-'Price History'!R3)*(ROW()-3)/(MATCH(9.99E+307,'Returns (Calc)'!$A:$A)-3),"")</f>
        <v>51.9882389937107</v>
      </c>
      <c r="AM58" s="111" t="n">
        <f aca="false">IFERROR('Price History'!S3+(INDEX('Price History'!S:S,MATCH(9.99E+307,'Price History'!$A:$A))-'Price History'!S3)*(ROW()-3)/(MATCH(9.99E+307,'Returns (Calc)'!$A:$A)-3),"")</f>
        <v>90.080251572327</v>
      </c>
      <c r="AN58" s="111" t="n">
        <f aca="false">IFERROR('Price History'!T3+(INDEX('Price History'!T:T,MATCH(9.99E+307,'Price History'!$A:$A))-'Price History'!T3)*(ROW()-3)/(MATCH(9.99E+307,'Returns (Calc)'!$A:$A)-3),"")</f>
        <v>36.7269811320755</v>
      </c>
      <c r="AO58" s="112" t="n">
        <f aca="false">IFERROR('Price History'!V3+(INDEX('Price History'!V:V,MATCH(9.99E+307,'Price History'!$A:$A))-'Price History'!V3)*(ROW()-3)/(MATCH(9.99E+307,'Returns (Calc)'!$A:$A)-3),"")</f>
        <v>129.741194968553</v>
      </c>
    </row>
    <row r="59" customFormat="false" ht="15" hidden="false" customHeight="true" outlineLevel="0" collapsed="false">
      <c r="A59" s="108" t="n">
        <f aca="false">IF('Price History'!A60="","",'Price History'!A60)</f>
        <v>45548</v>
      </c>
      <c r="B59" s="109" t="n">
        <f aca="false">IFERROR(IF(OR(NOT(ISNUMBER('Price History'!B60)),NOT(ISNUMBER('Price History'!B59)),'Price History'!B59=0),"",'Price History'!B60/'Price History'!B59-1),"")</f>
        <v>-0.0471060151577004</v>
      </c>
      <c r="C59" s="109" t="n">
        <f aca="false">IFERROR(IF(OR(NOT(ISNUMBER('Price History'!C60)),NOT(ISNUMBER('Price History'!C59)),'Price History'!C59=0),"",'Price History'!C60/'Price History'!C59-1),"")</f>
        <v>0.14456604734029</v>
      </c>
      <c r="D59" s="109" t="n">
        <f aca="false">IFERROR(IF(OR(NOT(ISNUMBER('Price History'!D60)),NOT(ISNUMBER('Price History'!D59)),'Price History'!D59=0),"",'Price History'!D60/'Price History'!D59-1),"")</f>
        <v>0.0844458613956085</v>
      </c>
      <c r="E59" s="109" t="n">
        <f aca="false">IFERROR(IF(OR(NOT(ISNUMBER('Price History'!E60)),NOT(ISNUMBER('Price History'!E59)),'Price History'!E59=0),"",'Price History'!E60/'Price History'!E59-1),"")</f>
        <v>0.224014598540146</v>
      </c>
      <c r="F59" s="109" t="n">
        <f aca="false">IFERROR(IF(OR(NOT(ISNUMBER('Price History'!F60)),NOT(ISNUMBER('Price History'!F59)),'Price History'!F59=0),"",'Price History'!F60/'Price History'!F59-1),"")</f>
        <v>0.0516233766233767</v>
      </c>
      <c r="G59" s="109" t="n">
        <f aca="false">IFERROR(IF(OR(NOT(ISNUMBER('Price History'!G60)),NOT(ISNUMBER('Price History'!G59)),'Price History'!G59=0),"",'Price History'!G60/'Price History'!G59-1),"")</f>
        <v>0.069294251565168</v>
      </c>
      <c r="H59" s="109" t="n">
        <f aca="false">IFERROR(IF(OR(NOT(ISNUMBER('Price History'!H60)),NOT(ISNUMBER('Price History'!H59)),'Price History'!H59=0),"",'Price History'!H60/'Price History'!H59-1),"")</f>
        <v>0.0560314887705489</v>
      </c>
      <c r="I59" s="109" t="n">
        <f aca="false">IFERROR(IF(OR(NOT(ISNUMBER('Price History'!I60)),NOT(ISNUMBER('Price History'!I59)),'Price History'!I59=0),"",'Price History'!I60/'Price History'!I59-1),"")</f>
        <v>0.158222308664786</v>
      </c>
      <c r="J59" s="109" t="n">
        <f aca="false">IFERROR(IF(OR(NOT(ISNUMBER('Price History'!J60)),NOT(ISNUMBER('Price History'!J59)),'Price History'!J59=0),"",'Price History'!J60/'Price History'!J59-1),"")</f>
        <v>0.0216143991197044</v>
      </c>
      <c r="K59" s="109" t="n">
        <f aca="false">IFERROR(IF(OR(NOT(ISNUMBER('Price History'!K60)),NOT(ISNUMBER('Price History'!K59)),'Price History'!K59=0),"",'Price History'!K60/'Price History'!K59-1),"")</f>
        <v>0.173425651170458</v>
      </c>
      <c r="L59" s="109" t="n">
        <f aca="false">IFERROR(IF(OR(NOT(ISNUMBER('Price History'!L60)),NOT(ISNUMBER('Price History'!L59)),'Price History'!L59=0),"",'Price History'!L60/'Price History'!L59-1),"")</f>
        <v>0.0999872465246781</v>
      </c>
      <c r="M59" s="109" t="n">
        <f aca="false">IFERROR(IF(OR(NOT(ISNUMBER('Price History'!M60)),NOT(ISNUMBER('Price History'!M59)),'Price History'!M59=0),"",'Price History'!M60/'Price History'!M59-1),"")</f>
        <v>0.194928242998468</v>
      </c>
      <c r="N59" s="109" t="n">
        <f aca="false">IFERROR(IF(OR(NOT(ISNUMBER('Price History'!N60)),NOT(ISNUMBER('Price History'!N59)),'Price History'!N59=0),"",'Price History'!N60/'Price History'!N59-1),"")</f>
        <v>0.0371153846153847</v>
      </c>
      <c r="O59" s="109" t="n">
        <f aca="false">IFERROR(IF(OR(NOT(ISNUMBER('Price History'!O60)),NOT(ISNUMBER('Price History'!O59)),'Price History'!O59=0),"",'Price History'!O60/'Price History'!O59-1),"")</f>
        <v>0.0288461538461537</v>
      </c>
      <c r="P59" s="109" t="str">
        <f aca="false">IFERROR(IF(OR(NOT(ISNUMBER('Price History'!P60)),NOT(ISNUMBER('Price History'!P59)),'Price History'!P59=0),"",'Price History'!P60/'Price History'!P59-1),"")</f>
        <v/>
      </c>
      <c r="Q59" s="109" t="n">
        <f aca="false">IFERROR(IF(OR(NOT(ISNUMBER('Price History'!Q60)),NOT(ISNUMBER('Price History'!Q59)),'Price History'!Q59=0),"",'Price History'!Q60/'Price History'!Q59-1),"")</f>
        <v>-0.00889248181083269</v>
      </c>
      <c r="R59" s="109" t="n">
        <f aca="false">IFERROR(IF(OR(NOT(ISNUMBER('Price History'!R60)),NOT(ISNUMBER('Price History'!R59)),'Price History'!R59=0),"",'Price History'!R60/'Price History'!R59-1),"")</f>
        <v>0.0465342679127725</v>
      </c>
      <c r="S59" s="109" t="n">
        <f aca="false">IFERROR(IF(OR(NOT(ISNUMBER('Price History'!S60)),NOT(ISNUMBER('Price History'!S59)),'Price History'!S59=0),"",'Price History'!S60/'Price History'!S59-1),"")</f>
        <v>0.061487130600572</v>
      </c>
      <c r="T59" s="109" t="n">
        <f aca="false">IFERROR(IF(OR(NOT(ISNUMBER('Price History'!T60)),NOT(ISNUMBER('Price History'!T59)),'Price History'!T59=0),"",'Price History'!T60/'Price History'!T59-1),"")</f>
        <v>0.0235626767200754</v>
      </c>
      <c r="U59" s="109" t="str">
        <f aca="false">IFERROR(IF(OR(NOT(ISNUMBER('Price History'!U60)),NOT(ISNUMBER('Price History'!U59)),'Price History'!U59=0),"",'Price History'!U60/'Price History'!U59-1),"")</f>
        <v/>
      </c>
      <c r="V59" s="110" t="n">
        <f aca="false">IFERROR(IF(OR(NOT(ISNUMBER('Price History'!V60)),NOT(ISNUMBER('Price History'!V59)),'Price History'!V59=0),"",'Price History'!V60/'Price History'!V59-1),"")</f>
        <v>0.028558971005014</v>
      </c>
      <c r="W59" s="111" t="n">
        <f aca="false">IFERROR('Price History'!B3+(INDEX('Price History'!B:B,MATCH(9.99E+307,'Price History'!$A:$A))-'Price History'!B3)*(ROW()-3)/(MATCH(9.99E+307,'Returns (Calc)'!$A:$A)-3),"")</f>
        <v>423.238427672956</v>
      </c>
      <c r="X59" s="111" t="n">
        <f aca="false">IFERROR('Price History'!C3+(INDEX('Price History'!C:C,MATCH(9.99E+307,'Price History'!$A:$A))-'Price History'!C3)*(ROW()-3)/(MATCH(9.99E+307,'Returns (Calc)'!$A:$A)-3),"")</f>
        <v>96.5842767295598</v>
      </c>
      <c r="Y59" s="111" t="n">
        <f aca="false">IFERROR('Price History'!D3+(INDEX('Price History'!D:D,MATCH(9.99E+307,'Price History'!$A:$A))-'Price History'!D3)*(ROW()-3)/(MATCH(9.99E+307,'Returns (Calc)'!$A:$A)-3),"")</f>
        <v>1032.68314465409</v>
      </c>
      <c r="Z59" s="111" t="n">
        <f aca="false">IFERROR('Price History'!E3+(INDEX('Price History'!E:E,MATCH(9.99E+307,'Price History'!$A:$A))-'Price History'!E3)*(ROW()-3)/(MATCH(9.99E+307,'Returns (Calc)'!$A:$A)-3),"")</f>
        <v>179.807169811321</v>
      </c>
      <c r="AA59" s="111" t="n">
        <f aca="false">IFERROR('Price History'!F3+(INDEX('Price History'!F:F,MATCH(9.99E+307,'Price History'!$A:$A))-'Price History'!F3)*(ROW()-3)/(MATCH(9.99E+307,'Returns (Calc)'!$A:$A)-3),"")</f>
        <v>99.0615094339623</v>
      </c>
      <c r="AB59" s="111" t="n">
        <f aca="false">IFERROR('Price History'!G3+(INDEX('Price History'!G:G,MATCH(9.99E+307,'Price History'!$A:$A))-'Price History'!G3)*(ROW()-3)/(MATCH(9.99E+307,'Returns (Calc)'!$A:$A)-3),"")</f>
        <v>96.3981132075472</v>
      </c>
      <c r="AC59" s="111" t="n">
        <f aca="false">IFERROR('Price History'!H3+(INDEX('Price History'!H:H,MATCH(9.99E+307,'Price History'!$A:$A))-'Price History'!H3)*(ROW()-3)/(MATCH(9.99E+307,'Returns (Calc)'!$A:$A)-3),"")</f>
        <v>399.743081761006</v>
      </c>
      <c r="AD59" s="111" t="n">
        <f aca="false">IFERROR('Price History'!I3+(INDEX('Price History'!I:I,MATCH(9.99E+307,'Price History'!$A:$A))-'Price History'!I3)*(ROW()-3)/(MATCH(9.99E+307,'Returns (Calc)'!$A:$A)-3),"")</f>
        <v>107.595660377359</v>
      </c>
      <c r="AE59" s="111" t="n">
        <f aca="false">IFERROR('Price History'!J3+(INDEX('Price History'!J:J,MATCH(9.99E+307,'Price History'!$A:$A))-'Price History'!J3)*(ROW()-3)/(MATCH(9.99E+307,'Returns (Calc)'!$A:$A)-3),"")</f>
        <v>128.380943396226</v>
      </c>
      <c r="AF59" s="111" t="n">
        <f aca="false">IFERROR('Price History'!K3+(INDEX('Price History'!K:K,MATCH(9.99E+307,'Price History'!$A:$A))-'Price History'!K3)*(ROW()-3)/(MATCH(9.99E+307,'Returns (Calc)'!$A:$A)-3),"")</f>
        <v>71.3818238993711</v>
      </c>
      <c r="AG59" s="111" t="n">
        <f aca="false">IFERROR('Price History'!L3+(INDEX('Price History'!L:L,MATCH(9.99E+307,'Price History'!$A:$A))-'Price History'!L3)*(ROW()-3)/(MATCH(9.99E+307,'Returns (Calc)'!$A:$A)-3),"")</f>
        <v>210.653647798742</v>
      </c>
      <c r="AH59" s="111" t="n">
        <f aca="false">IFERROR('Price History'!M3+(INDEX('Price History'!M:M,MATCH(9.99E+307,'Price History'!$A:$A))-'Price History'!M3)*(ROW()-3)/(MATCH(9.99E+307,'Returns (Calc)'!$A:$A)-3),"")</f>
        <v>120.510754716981</v>
      </c>
      <c r="AI59" s="111" t="n">
        <f aca="false">IFERROR('Price History'!N3+(INDEX('Price History'!N:N,MATCH(9.99E+307,'Price History'!$A:$A))-'Price History'!N3)*(ROW()-3)/(MATCH(9.99E+307,'Returns (Calc)'!$A:$A)-3),"")</f>
        <v>418.983018867925</v>
      </c>
      <c r="AJ59" s="111" t="n">
        <f aca="false">IFERROR('Price History'!O3+(INDEX('Price History'!O:O,MATCH(9.99E+307,'Price History'!$A:$A))-'Price History'!O3)*(ROW()-3)/(MATCH(9.99E+307,'Returns (Calc)'!$A:$A)-3),"")</f>
        <v>98.3750314465409</v>
      </c>
      <c r="AK59" s="111" t="n">
        <f aca="false">IFERROR('Price History'!Q3+(INDEX('Price History'!Q:Q,MATCH(9.99E+307,'Price History'!$A:$A))-'Price History'!Q3)*(ROW()-3)/(MATCH(9.99E+307,'Returns (Calc)'!$A:$A)-3),"")</f>
        <v>56.8417610062893</v>
      </c>
      <c r="AL59" s="111" t="n">
        <f aca="false">IFERROR('Price History'!R3+(INDEX('Price History'!R:R,MATCH(9.99E+307,'Price History'!$A:$A))-'Price History'!R3)*(ROW()-3)/(MATCH(9.99E+307,'Returns (Calc)'!$A:$A)-3),"")</f>
        <v>52.0640251572327</v>
      </c>
      <c r="AM59" s="111" t="n">
        <f aca="false">IFERROR('Price History'!S3+(INDEX('Price History'!S:S,MATCH(9.99E+307,'Price History'!$A:$A))-'Price History'!S3)*(ROW()-3)/(MATCH(9.99E+307,'Returns (Calc)'!$A:$A)-3),"")</f>
        <v>90.6537106918239</v>
      </c>
      <c r="AN59" s="111" t="n">
        <f aca="false">IFERROR('Price History'!T3+(INDEX('Price History'!T:T,MATCH(9.99E+307,'Price History'!$A:$A))-'Price History'!T3)*(ROW()-3)/(MATCH(9.99E+307,'Returns (Calc)'!$A:$A)-3),"")</f>
        <v>36.9054716981132</v>
      </c>
      <c r="AO59" s="112" t="n">
        <f aca="false">IFERROR('Price History'!V3+(INDEX('Price History'!V:V,MATCH(9.99E+307,'Price History'!$A:$A))-'Price History'!V3)*(ROW()-3)/(MATCH(9.99E+307,'Returns (Calc)'!$A:$A)-3),"")</f>
        <v>132.100125786164</v>
      </c>
    </row>
    <row r="60" customFormat="false" ht="15" hidden="false" customHeight="true" outlineLevel="0" collapsed="false">
      <c r="A60" s="108" t="n">
        <f aca="false">IF('Price History'!A61="","",'Price History'!A61)</f>
        <v>45555</v>
      </c>
      <c r="B60" s="109" t="n">
        <f aca="false">IFERROR(IF(OR(NOT(ISNUMBER('Price History'!B61)),NOT(ISNUMBER('Price History'!B60)),'Price History'!B60=0),"",'Price History'!B61/'Price History'!B60-1),"")</f>
        <v>-0.0271387859258294</v>
      </c>
      <c r="C60" s="109" t="n">
        <f aca="false">IFERROR(IF(OR(NOT(ISNUMBER('Price History'!C61)),NOT(ISNUMBER('Price History'!C60)),'Price History'!C60=0),"",'Price History'!C61/'Price History'!C60-1),"")</f>
        <v>0.0687124749833223</v>
      </c>
      <c r="D60" s="109" t="n">
        <f aca="false">IFERROR(IF(OR(NOT(ISNUMBER('Price History'!D61)),NOT(ISNUMBER('Price History'!D60)),'Price History'!D60=0),"",'Price History'!D61/'Price History'!D60-1),"")</f>
        <v>-0.0258219413004067</v>
      </c>
      <c r="E60" s="109" t="n">
        <f aca="false">IFERROR(IF(OR(NOT(ISNUMBER('Price History'!E61)),NOT(ISNUMBER('Price History'!E60)),'Price History'!E60=0),"",'Price History'!E61/'Price History'!E60-1),"")</f>
        <v>0.0203351422267279</v>
      </c>
      <c r="F60" s="109" t="n">
        <f aca="false">IFERROR(IF(OR(NOT(ISNUMBER('Price History'!F61)),NOT(ISNUMBER('Price History'!F60)),'Price History'!F60=0),"",'Price History'!F61/'Price History'!F60-1),"")</f>
        <v>0.157147267675208</v>
      </c>
      <c r="G60" s="109" t="n">
        <f aca="false">IFERROR(IF(OR(NOT(ISNUMBER('Price History'!G61)),NOT(ISNUMBER('Price History'!G60)),'Price History'!G60=0),"",'Price History'!G61/'Price History'!G60-1),"")</f>
        <v>0.00984697272122426</v>
      </c>
      <c r="H60" s="109" t="n">
        <f aca="false">IFERROR(IF(OR(NOT(ISNUMBER('Price History'!H61)),NOT(ISNUMBER('Price History'!H60)),'Price History'!H60=0),"",'Price History'!H61/'Price History'!H60-1),"")</f>
        <v>-0.00350800263100193</v>
      </c>
      <c r="I60" s="109" t="n">
        <f aca="false">IFERROR(IF(OR(NOT(ISNUMBER('Price History'!I61)),NOT(ISNUMBER('Price History'!I60)),'Price History'!I60=0),"",'Price History'!I61/'Price History'!I60-1),"")</f>
        <v>-0.0260285474391267</v>
      </c>
      <c r="J60" s="109" t="n">
        <f aca="false">IFERROR(IF(OR(NOT(ISNUMBER('Price History'!J61)),NOT(ISNUMBER('Price History'!J60)),'Price History'!J60=0),"",'Price History'!J61/'Price History'!J60-1),"")</f>
        <v>-0.0346976457916602</v>
      </c>
      <c r="K60" s="109" t="n">
        <f aca="false">IFERROR(IF(OR(NOT(ISNUMBER('Price History'!K61)),NOT(ISNUMBER('Price History'!K60)),'Price History'!K60=0),"",'Price History'!K61/'Price History'!K60-1),"")</f>
        <v>0.0452374262433268</v>
      </c>
      <c r="L60" s="109" t="n">
        <f aca="false">IFERROR(IF(OR(NOT(ISNUMBER('Price History'!L61)),NOT(ISNUMBER('Price History'!L60)),'Price History'!L60=0),"",'Price History'!L61/'Price History'!L60-1),"")</f>
        <v>0.00915942028985506</v>
      </c>
      <c r="M60" s="109" t="n">
        <f aca="false">IFERROR(IF(OR(NOT(ISNUMBER('Price History'!M61)),NOT(ISNUMBER('Price History'!M60)),'Price History'!M60=0),"",'Price History'!M61/'Price History'!M60-1),"")</f>
        <v>0.102378731343284</v>
      </c>
      <c r="N60" s="109" t="n">
        <f aca="false">IFERROR(IF(OR(NOT(ISNUMBER('Price History'!N61)),NOT(ISNUMBER('Price History'!N60)),'Price History'!N60=0),"",'Price History'!N61/'Price History'!N60-1),"")</f>
        <v>-0.0421328059006531</v>
      </c>
      <c r="O60" s="109" t="n">
        <f aca="false">IFERROR(IF(OR(NOT(ISNUMBER('Price History'!O61)),NOT(ISNUMBER('Price History'!O60)),'Price History'!O60=0),"",'Price History'!O61/'Price History'!O60-1),"")</f>
        <v>0.03018584165861</v>
      </c>
      <c r="P60" s="109" t="str">
        <f aca="false">IFERROR(IF(OR(NOT(ISNUMBER('Price History'!P61)),NOT(ISNUMBER('Price History'!P60)),'Price History'!P60=0),"",'Price History'!P61/'Price History'!P60-1),"")</f>
        <v/>
      </c>
      <c r="Q60" s="109" t="n">
        <f aca="false">IFERROR(IF(OR(NOT(ISNUMBER('Price History'!Q61)),NOT(ISNUMBER('Price History'!Q60)),'Price History'!Q60=0),"",'Price History'!Q61/'Price History'!Q60-1),"")</f>
        <v>0.0243066884176184</v>
      </c>
      <c r="R60" s="109" t="n">
        <f aca="false">IFERROR(IF(OR(NOT(ISNUMBER('Price History'!R61)),NOT(ISNUMBER('Price History'!R60)),'Price History'!R60=0),"",'Price History'!R61/'Price History'!R60-1),"")</f>
        <v>0.0122790697674418</v>
      </c>
      <c r="S60" s="109" t="n">
        <f aca="false">IFERROR(IF(OR(NOT(ISNUMBER('Price History'!S61)),NOT(ISNUMBER('Price History'!S60)),'Price History'!S60=0),"",'Price History'!S61/'Price History'!S60-1),"")</f>
        <v>0.0162775033677594</v>
      </c>
      <c r="T60" s="109" t="n">
        <f aca="false">IFERROR(IF(OR(NOT(ISNUMBER('Price History'!T61)),NOT(ISNUMBER('Price History'!T60)),'Price History'!T60=0),"",'Price History'!T61/'Price History'!T60-1),"")</f>
        <v>0.0171884591774096</v>
      </c>
      <c r="U60" s="109" t="str">
        <f aca="false">IFERROR(IF(OR(NOT(ISNUMBER('Price History'!U61)),NOT(ISNUMBER('Price History'!U60)),'Price History'!U60=0),"",'Price History'!U61/'Price History'!U60-1),"")</f>
        <v/>
      </c>
      <c r="V60" s="110" t="n">
        <f aca="false">IFERROR(IF(OR(NOT(ISNUMBER('Price History'!V61)),NOT(ISNUMBER('Price History'!V60)),'Price History'!V60=0),"",'Price History'!V61/'Price History'!V60-1),"")</f>
        <v>-0.00897272855729814</v>
      </c>
      <c r="W60" s="111" t="n">
        <f aca="false">IFERROR('Price History'!B3+(INDEX('Price History'!B:B,MATCH(9.99E+307,'Price History'!$A:$A))-'Price History'!B3)*(ROW()-3)/(MATCH(9.99E+307,'Returns (Calc)'!$A:$A)-3),"")</f>
        <v>421.71679245283</v>
      </c>
      <c r="X60" s="111" t="n">
        <f aca="false">IFERROR('Price History'!C3+(INDEX('Price History'!C:C,MATCH(9.99E+307,'Price History'!$A:$A))-'Price History'!C3)*(ROW()-3)/(MATCH(9.99E+307,'Returns (Calc)'!$A:$A)-3),"")</f>
        <v>97.5279245283019</v>
      </c>
      <c r="Y60" s="111" t="n">
        <f aca="false">IFERROR('Price History'!D3+(INDEX('Price History'!D:D,MATCH(9.99E+307,'Price History'!$A:$A))-'Price History'!D3)*(ROW()-3)/(MATCH(9.99E+307,'Returns (Calc)'!$A:$A)-3),"")</f>
        <v>1039.30641509434</v>
      </c>
      <c r="Z60" s="111" t="n">
        <f aca="false">IFERROR('Price History'!E3+(INDEX('Price History'!E:E,MATCH(9.99E+307,'Price History'!$A:$A))-'Price History'!E3)*(ROW()-3)/(MATCH(9.99E+307,'Returns (Calc)'!$A:$A)-3),"")</f>
        <v>181.536226415094</v>
      </c>
      <c r="AA60" s="111" t="n">
        <f aca="false">IFERROR('Price History'!F3+(INDEX('Price History'!F:F,MATCH(9.99E+307,'Price History'!$A:$A))-'Price History'!F3)*(ROW()-3)/(MATCH(9.99E+307,'Returns (Calc)'!$A:$A)-3),"")</f>
        <v>100.168679245283</v>
      </c>
      <c r="AB60" s="111" t="n">
        <f aca="false">IFERROR('Price History'!G3+(INDEX('Price History'!G:G,MATCH(9.99E+307,'Price History'!$A:$A))-'Price History'!G3)*(ROW()-3)/(MATCH(9.99E+307,'Returns (Calc)'!$A:$A)-3),"")</f>
        <v>97.2641509433962</v>
      </c>
      <c r="AC60" s="111" t="n">
        <f aca="false">IFERROR('Price History'!H3+(INDEX('Price History'!H:H,MATCH(9.99E+307,'Price History'!$A:$A))-'Price History'!H3)*(ROW()-3)/(MATCH(9.99E+307,'Returns (Calc)'!$A:$A)-3),"")</f>
        <v>405.731886792453</v>
      </c>
      <c r="AD60" s="111" t="n">
        <f aca="false">IFERROR('Price History'!I3+(INDEX('Price History'!I:I,MATCH(9.99E+307,'Price History'!$A:$A))-'Price History'!I3)*(ROW()-3)/(MATCH(9.99E+307,'Returns (Calc)'!$A:$A)-3),"")</f>
        <v>108.787547169811</v>
      </c>
      <c r="AE60" s="111" t="n">
        <f aca="false">IFERROR('Price History'!J3+(INDEX('Price History'!J:J,MATCH(9.99E+307,'Price History'!$A:$A))-'Price History'!J3)*(ROW()-3)/(MATCH(9.99E+307,'Returns (Calc)'!$A:$A)-3),"")</f>
        <v>128.467924528302</v>
      </c>
      <c r="AF60" s="111" t="n">
        <f aca="false">IFERROR('Price History'!K3+(INDEX('Price History'!K:K,MATCH(9.99E+307,'Price History'!$A:$A))-'Price History'!K3)*(ROW()-3)/(MATCH(9.99E+307,'Returns (Calc)'!$A:$A)-3),"")</f>
        <v>72.381320754717</v>
      </c>
      <c r="AG60" s="111" t="n">
        <f aca="false">IFERROR('Price History'!L3+(INDEX('Price History'!L:L,MATCH(9.99E+307,'Price History'!$A:$A))-'Price History'!L3)*(ROW()-3)/(MATCH(9.99E+307,'Returns (Calc)'!$A:$A)-3),"")</f>
        <v>212.772641509434</v>
      </c>
      <c r="AH60" s="111" t="n">
        <f aca="false">IFERROR('Price History'!M3+(INDEX('Price History'!M:M,MATCH(9.99E+307,'Price History'!$A:$A))-'Price History'!M3)*(ROW()-3)/(MATCH(9.99E+307,'Returns (Calc)'!$A:$A)-3),"")</f>
        <v>122.064339622642</v>
      </c>
      <c r="AI60" s="111" t="n">
        <f aca="false">IFERROR('Price History'!N3+(INDEX('Price History'!N:N,MATCH(9.99E+307,'Price History'!$A:$A))-'Price History'!N3)*(ROW()-3)/(MATCH(9.99E+307,'Returns (Calc)'!$A:$A)-3),"")</f>
        <v>420.217358490566</v>
      </c>
      <c r="AJ60" s="111" t="n">
        <f aca="false">IFERROR('Price History'!O3+(INDEX('Price History'!O:O,MATCH(9.99E+307,'Price History'!$A:$A))-'Price History'!O3)*(ROW()-3)/(MATCH(9.99E+307,'Returns (Calc)'!$A:$A)-3),"")</f>
        <v>98.6522641509434</v>
      </c>
      <c r="AK60" s="111" t="n">
        <f aca="false">IFERROR('Price History'!Q3+(INDEX('Price History'!Q:Q,MATCH(9.99E+307,'Price History'!$A:$A))-'Price History'!Q3)*(ROW()-3)/(MATCH(9.99E+307,'Returns (Calc)'!$A:$A)-3),"")</f>
        <v>56.9667924528302</v>
      </c>
      <c r="AL60" s="111" t="n">
        <f aca="false">IFERROR('Price History'!R3+(INDEX('Price History'!R:R,MATCH(9.99E+307,'Price History'!$A:$A))-'Price History'!R3)*(ROW()-3)/(MATCH(9.99E+307,'Returns (Calc)'!$A:$A)-3),"")</f>
        <v>52.1398113207547</v>
      </c>
      <c r="AM60" s="111" t="n">
        <f aca="false">IFERROR('Price History'!S3+(INDEX('Price History'!S:S,MATCH(9.99E+307,'Price History'!$A:$A))-'Price History'!S3)*(ROW()-3)/(MATCH(9.99E+307,'Returns (Calc)'!$A:$A)-3),"")</f>
        <v>91.2271698113208</v>
      </c>
      <c r="AN60" s="111" t="n">
        <f aca="false">IFERROR('Price History'!T3+(INDEX('Price History'!T:T,MATCH(9.99E+307,'Price History'!$A:$A))-'Price History'!T3)*(ROW()-3)/(MATCH(9.99E+307,'Returns (Calc)'!$A:$A)-3),"")</f>
        <v>37.0839622641509</v>
      </c>
      <c r="AO60" s="112" t="n">
        <f aca="false">IFERROR('Price History'!V3+(INDEX('Price History'!V:V,MATCH(9.99E+307,'Price History'!$A:$A))-'Price History'!V3)*(ROW()-3)/(MATCH(9.99E+307,'Returns (Calc)'!$A:$A)-3),"")</f>
        <v>134.459056603774</v>
      </c>
    </row>
    <row r="61" customFormat="false" ht="15" hidden="false" customHeight="true" outlineLevel="0" collapsed="false">
      <c r="A61" s="108" t="n">
        <f aca="false">IF('Price History'!A62="","",'Price History'!A62)</f>
        <v>45562</v>
      </c>
      <c r="B61" s="109" t="n">
        <f aca="false">IFERROR(IF(OR(NOT(ISNUMBER('Price History'!B62)),NOT(ISNUMBER('Price History'!B61)),'Price History'!B61=0),"",'Price History'!B62/'Price History'!B61-1),"")</f>
        <v>-0.0130576297147232</v>
      </c>
      <c r="C61" s="109" t="n">
        <f aca="false">IFERROR(IF(OR(NOT(ISNUMBER('Price History'!C62)),NOT(ISNUMBER('Price History'!C61)),'Price History'!C61=0),"",'Price History'!C62/'Price History'!C61-1),"")</f>
        <v>-0.0109238451935082</v>
      </c>
      <c r="D61" s="109" t="n">
        <f aca="false">IFERROR(IF(OR(NOT(ISNUMBER('Price History'!D62)),NOT(ISNUMBER('Price History'!D61)),'Price History'!D61=0),"",'Price History'!D62/'Price History'!D61-1),"")</f>
        <v>0.0581681923347752</v>
      </c>
      <c r="E61" s="109" t="n">
        <f aca="false">IFERROR(IF(OR(NOT(ISNUMBER('Price History'!E62)),NOT(ISNUMBER('Price History'!E61)),'Price History'!E61=0),"",'Price History'!E62/'Price History'!E61-1),"")</f>
        <v>0.00929281122150782</v>
      </c>
      <c r="F61" s="109" t="n">
        <f aca="false">IFERROR(IF(OR(NOT(ISNUMBER('Price History'!F62)),NOT(ISNUMBER('Price History'!F61)),'Price History'!F61=0),"",'Price History'!F62/'Price History'!F61-1),"")</f>
        <v>-0.0465581643543223</v>
      </c>
      <c r="G61" s="109" t="n">
        <f aca="false">IFERROR(IF(OR(NOT(ISNUMBER('Price History'!G62)),NOT(ISNUMBER('Price History'!G61)),'Price History'!G61=0),"",'Price History'!G62/'Price History'!G61-1),"")</f>
        <v>0.0309658716563446</v>
      </c>
      <c r="H61" s="109" t="n">
        <f aca="false">IFERROR(IF(OR(NOT(ISNUMBER('Price History'!H62)),NOT(ISNUMBER('Price History'!H61)),'Price History'!H61=0),"",'Price History'!H62/'Price History'!H61-1),"")</f>
        <v>0.182618261826182</v>
      </c>
      <c r="I61" s="109" t="n">
        <f aca="false">IFERROR(IF(OR(NOT(ISNUMBER('Price History'!I62)),NOT(ISNUMBER('Price History'!I61)),'Price History'!I61=0),"",'Price History'!I62/'Price History'!I61-1),"")</f>
        <v>0.0465517241379312</v>
      </c>
      <c r="J61" s="109" t="n">
        <f aca="false">IFERROR(IF(OR(NOT(ISNUMBER('Price History'!J62)),NOT(ISNUMBER('Price History'!J61)),'Price History'!J61=0),"",'Price History'!J62/'Price History'!J61-1),"")</f>
        <v>0.000956403921256177</v>
      </c>
      <c r="K61" s="109" t="n">
        <f aca="false">IFERROR(IF(OR(NOT(ISNUMBER('Price History'!K62)),NOT(ISNUMBER('Price History'!K61)),'Price History'!K61=0),"",'Price History'!K62/'Price History'!K61-1),"")</f>
        <v>-0.00967741935483868</v>
      </c>
      <c r="L61" s="109" t="n">
        <f aca="false">IFERROR(IF(OR(NOT(ISNUMBER('Price History'!L62)),NOT(ISNUMBER('Price History'!L61)),'Price History'!L61=0),"",'Price History'!L62/'Price History'!L61-1),"")</f>
        <v>0.0223460477941175</v>
      </c>
      <c r="M61" s="109" t="n">
        <f aca="false">IFERROR(IF(OR(NOT(ISNUMBER('Price History'!M62)),NOT(ISNUMBER('Price History'!M61)),'Price History'!M61=0),"",'Price History'!M62/'Price History'!M61-1),"")</f>
        <v>0.0409350539454199</v>
      </c>
      <c r="N61" s="109" t="n">
        <f aca="false">IFERROR(IF(OR(NOT(ISNUMBER('Price History'!N62)),NOT(ISNUMBER('Price History'!N61)),'Price History'!N61=0),"",'Price History'!N62/'Price History'!N61-1),"")</f>
        <v>-0.00438785167340627</v>
      </c>
      <c r="O61" s="109" t="n">
        <f aca="false">IFERROR(IF(OR(NOT(ISNUMBER('Price History'!O62)),NOT(ISNUMBER('Price History'!O61)),'Price History'!O61=0),"",'Price History'!O62/'Price History'!O61-1),"")</f>
        <v>-0.00354535974973935</v>
      </c>
      <c r="P61" s="109" t="str">
        <f aca="false">IFERROR(IF(OR(NOT(ISNUMBER('Price History'!P62)),NOT(ISNUMBER('Price History'!P61)),'Price History'!P61=0),"",'Price History'!P62/'Price History'!P61-1),"")</f>
        <v/>
      </c>
      <c r="Q61" s="109" t="n">
        <f aca="false">IFERROR(IF(OR(NOT(ISNUMBER('Price History'!Q62)),NOT(ISNUMBER('Price History'!Q61)),'Price History'!Q61=0),"",'Price History'!Q62/'Price History'!Q61-1),"")</f>
        <v>-0.00955566172957478</v>
      </c>
      <c r="R61" s="109" t="n">
        <f aca="false">IFERROR(IF(OR(NOT(ISNUMBER('Price History'!R62)),NOT(ISNUMBER('Price History'!R61)),'Price History'!R61=0),"",'Price History'!R62/'Price History'!R61-1),"")</f>
        <v>0.00716780003675788</v>
      </c>
      <c r="S61" s="109" t="n">
        <f aca="false">IFERROR(IF(OR(NOT(ISNUMBER('Price History'!S62)),NOT(ISNUMBER('Price History'!S61)),'Price History'!S61=0),"",'Price History'!S62/'Price History'!S61-1),"")</f>
        <v>-0.00209875179498509</v>
      </c>
      <c r="T61" s="109" t="n">
        <f aca="false">IFERROR(IF(OR(NOT(ISNUMBER('Price History'!T62)),NOT(ISNUMBER('Price History'!T61)),'Price History'!T61=0),"",'Price History'!T62/'Price History'!T61-1),"")</f>
        <v>0.00211225105612556</v>
      </c>
      <c r="U61" s="109" t="str">
        <f aca="false">IFERROR(IF(OR(NOT(ISNUMBER('Price History'!U62)),NOT(ISNUMBER('Price History'!U61)),'Price History'!U61=0),"",'Price History'!U62/'Price History'!U61-1),"")</f>
        <v/>
      </c>
      <c r="V61" s="110" t="n">
        <f aca="false">IFERROR(IF(OR(NOT(ISNUMBER('Price History'!V62)),NOT(ISNUMBER('Price History'!V61)),'Price History'!V61=0),"",'Price History'!V62/'Price History'!V61-1),"")</f>
        <v>-0.0337206815427391</v>
      </c>
      <c r="W61" s="111" t="n">
        <f aca="false">IFERROR('Price History'!B3+(INDEX('Price History'!B:B,MATCH(9.99E+307,'Price History'!$A:$A))-'Price History'!B3)*(ROW()-3)/(MATCH(9.99E+307,'Returns (Calc)'!$A:$A)-3),"")</f>
        <v>420.195157232704</v>
      </c>
      <c r="X61" s="111" t="n">
        <f aca="false">IFERROR('Price History'!C3+(INDEX('Price History'!C:C,MATCH(9.99E+307,'Price History'!$A:$A))-'Price History'!C3)*(ROW()-3)/(MATCH(9.99E+307,'Returns (Calc)'!$A:$A)-3),"")</f>
        <v>98.471572327044</v>
      </c>
      <c r="Y61" s="111" t="n">
        <f aca="false">IFERROR('Price History'!D3+(INDEX('Price History'!D:D,MATCH(9.99E+307,'Price History'!$A:$A))-'Price History'!D3)*(ROW()-3)/(MATCH(9.99E+307,'Returns (Calc)'!$A:$A)-3),"")</f>
        <v>1045.92968553459</v>
      </c>
      <c r="Z61" s="111" t="n">
        <f aca="false">IFERROR('Price History'!E3+(INDEX('Price History'!E:E,MATCH(9.99E+307,'Price History'!$A:$A))-'Price History'!E3)*(ROW()-3)/(MATCH(9.99E+307,'Returns (Calc)'!$A:$A)-3),"")</f>
        <v>183.265283018868</v>
      </c>
      <c r="AA61" s="111" t="n">
        <f aca="false">IFERROR('Price History'!F3+(INDEX('Price History'!F:F,MATCH(9.99E+307,'Price History'!$A:$A))-'Price History'!F3)*(ROW()-3)/(MATCH(9.99E+307,'Returns (Calc)'!$A:$A)-3),"")</f>
        <v>101.275849056604</v>
      </c>
      <c r="AB61" s="111" t="n">
        <f aca="false">IFERROR('Price History'!G3+(INDEX('Price History'!G:G,MATCH(9.99E+307,'Price History'!$A:$A))-'Price History'!G3)*(ROW()-3)/(MATCH(9.99E+307,'Returns (Calc)'!$A:$A)-3),"")</f>
        <v>98.1301886792453</v>
      </c>
      <c r="AC61" s="111" t="n">
        <f aca="false">IFERROR('Price History'!H3+(INDEX('Price History'!H:H,MATCH(9.99E+307,'Price History'!$A:$A))-'Price History'!H3)*(ROW()-3)/(MATCH(9.99E+307,'Returns (Calc)'!$A:$A)-3),"")</f>
        <v>411.720691823899</v>
      </c>
      <c r="AD61" s="111" t="n">
        <f aca="false">IFERROR('Price History'!I3+(INDEX('Price History'!I:I,MATCH(9.99E+307,'Price History'!$A:$A))-'Price History'!I3)*(ROW()-3)/(MATCH(9.99E+307,'Returns (Calc)'!$A:$A)-3),"")</f>
        <v>109.979433962264</v>
      </c>
      <c r="AE61" s="111" t="n">
        <f aca="false">IFERROR('Price History'!J3+(INDEX('Price History'!J:J,MATCH(9.99E+307,'Price History'!$A:$A))-'Price History'!J3)*(ROW()-3)/(MATCH(9.99E+307,'Returns (Calc)'!$A:$A)-3),"")</f>
        <v>128.554905660377</v>
      </c>
      <c r="AF61" s="111" t="n">
        <f aca="false">IFERROR('Price History'!K3+(INDEX('Price History'!K:K,MATCH(9.99E+307,'Price History'!$A:$A))-'Price History'!K3)*(ROW()-3)/(MATCH(9.99E+307,'Returns (Calc)'!$A:$A)-3),"")</f>
        <v>73.3808176100629</v>
      </c>
      <c r="AG61" s="111" t="n">
        <f aca="false">IFERROR('Price History'!L3+(INDEX('Price History'!L:L,MATCH(9.99E+307,'Price History'!$A:$A))-'Price History'!L3)*(ROW()-3)/(MATCH(9.99E+307,'Returns (Calc)'!$A:$A)-3),"")</f>
        <v>214.891635220126</v>
      </c>
      <c r="AH61" s="111" t="n">
        <f aca="false">IFERROR('Price History'!M3+(INDEX('Price History'!M:M,MATCH(9.99E+307,'Price History'!$A:$A))-'Price History'!M3)*(ROW()-3)/(MATCH(9.99E+307,'Returns (Calc)'!$A:$A)-3),"")</f>
        <v>123.617924528302</v>
      </c>
      <c r="AI61" s="111" t="n">
        <f aca="false">IFERROR('Price History'!N3+(INDEX('Price History'!N:N,MATCH(9.99E+307,'Price History'!$A:$A))-'Price History'!N3)*(ROW()-3)/(MATCH(9.99E+307,'Returns (Calc)'!$A:$A)-3),"")</f>
        <v>421.451698113208</v>
      </c>
      <c r="AJ61" s="111" t="n">
        <f aca="false">IFERROR('Price History'!O3+(INDEX('Price History'!O:O,MATCH(9.99E+307,'Price History'!$A:$A))-'Price History'!O3)*(ROW()-3)/(MATCH(9.99E+307,'Returns (Calc)'!$A:$A)-3),"")</f>
        <v>98.9294968553459</v>
      </c>
      <c r="AK61" s="111" t="n">
        <f aca="false">IFERROR('Price History'!Q3+(INDEX('Price History'!Q:Q,MATCH(9.99E+307,'Price History'!$A:$A))-'Price History'!Q3)*(ROW()-3)/(MATCH(9.99E+307,'Returns (Calc)'!$A:$A)-3),"")</f>
        <v>57.0918238993711</v>
      </c>
      <c r="AL61" s="111" t="n">
        <f aca="false">IFERROR('Price History'!R3+(INDEX('Price History'!R:R,MATCH(9.99E+307,'Price History'!$A:$A))-'Price History'!R3)*(ROW()-3)/(MATCH(9.99E+307,'Returns (Calc)'!$A:$A)-3),"")</f>
        <v>52.2155974842767</v>
      </c>
      <c r="AM61" s="111" t="n">
        <f aca="false">IFERROR('Price History'!S3+(INDEX('Price History'!S:S,MATCH(9.99E+307,'Price History'!$A:$A))-'Price History'!S3)*(ROW()-3)/(MATCH(9.99E+307,'Returns (Calc)'!$A:$A)-3),"")</f>
        <v>91.8006289308176</v>
      </c>
      <c r="AN61" s="111" t="n">
        <f aca="false">IFERROR('Price History'!T3+(INDEX('Price History'!T:T,MATCH(9.99E+307,'Price History'!$A:$A))-'Price History'!T3)*(ROW()-3)/(MATCH(9.99E+307,'Returns (Calc)'!$A:$A)-3),"")</f>
        <v>37.2624528301887</v>
      </c>
      <c r="AO61" s="112" t="n">
        <f aca="false">IFERROR('Price History'!V3+(INDEX('Price History'!V:V,MATCH(9.99E+307,'Price History'!$A:$A))-'Price History'!V3)*(ROW()-3)/(MATCH(9.99E+307,'Returns (Calc)'!$A:$A)-3),"")</f>
        <v>136.817987421384</v>
      </c>
    </row>
    <row r="62" customFormat="false" ht="15" hidden="false" customHeight="true" outlineLevel="0" collapsed="false">
      <c r="A62" s="108" t="n">
        <f aca="false">IF('Price History'!A63="","",'Price History'!A63)</f>
        <v>45569</v>
      </c>
      <c r="B62" s="109" t="n">
        <f aca="false">IFERROR(IF(OR(NOT(ISNUMBER('Price History'!B63)),NOT(ISNUMBER('Price History'!B62)),'Price History'!B62=0),"",'Price History'!B63/'Price History'!B62-1),"")</f>
        <v>-0.0160239000543183</v>
      </c>
      <c r="C62" s="109" t="n">
        <f aca="false">IFERROR(IF(OR(NOT(ISNUMBER('Price History'!C63)),NOT(ISNUMBER('Price History'!C62)),'Price History'!C62=0),"",'Price History'!C63/'Price History'!C62-1),"")</f>
        <v>0.0412327758493742</v>
      </c>
      <c r="D62" s="109" t="n">
        <f aca="false">IFERROR(IF(OR(NOT(ISNUMBER('Price History'!D63)),NOT(ISNUMBER('Price History'!D62)),'Price History'!D62=0),"",'Price History'!D63/'Price History'!D62-1),"")</f>
        <v>-0.0101480618865413</v>
      </c>
      <c r="E62" s="109" t="n">
        <f aca="false">IFERROR(IF(OR(NOT(ISNUMBER('Price History'!E63)),NOT(ISNUMBER('Price History'!E62)),'Price History'!E62=0),"",'Price History'!E63/'Price History'!E62-1),"")</f>
        <v>0.0228733568822745</v>
      </c>
      <c r="F62" s="109" t="n">
        <f aca="false">IFERROR(IF(OR(NOT(ISNUMBER('Price History'!F63)),NOT(ISNUMBER('Price History'!F62)),'Price History'!F62=0),"",'Price History'!F63/'Price History'!F62-1),"")</f>
        <v>0.0222470966839234</v>
      </c>
      <c r="G62" s="109" t="n">
        <f aca="false">IFERROR(IF(OR(NOT(ISNUMBER('Price History'!G63)),NOT(ISNUMBER('Price History'!G62)),'Price History'!G62=0),"",'Price History'!G63/'Price History'!G62-1),"")</f>
        <v>0.00639059304703471</v>
      </c>
      <c r="H62" s="109" t="n">
        <f aca="false">IFERROR(IF(OR(NOT(ISNUMBER('Price History'!H63)),NOT(ISNUMBER('Price History'!H62)),'Price History'!H62=0),"",'Price History'!H63/'Price History'!H62-1),"")</f>
        <v>-0.0488372093023256</v>
      </c>
      <c r="I62" s="109" t="n">
        <f aca="false">IFERROR(IF(OR(NOT(ISNUMBER('Price History'!I63)),NOT(ISNUMBER('Price History'!I62)),'Price History'!I62=0),"",'Price History'!I63/'Price History'!I62-1),"")</f>
        <v>0.0289950576606259</v>
      </c>
      <c r="J62" s="109" t="n">
        <f aca="false">IFERROR(IF(OR(NOT(ISNUMBER('Price History'!J63)),NOT(ISNUMBER('Price History'!J62)),'Price History'!J62=0),"",'Price History'!J63/'Price History'!J62-1),"")</f>
        <v>-0.0252408631260451</v>
      </c>
      <c r="K62" s="109" t="n">
        <f aca="false">IFERROR(IF(OR(NOT(ISNUMBER('Price History'!K63)),NOT(ISNUMBER('Price History'!K62)),'Price History'!K62=0),"",'Price History'!K63/'Price History'!K62-1),"")</f>
        <v>0.0860477741585233</v>
      </c>
      <c r="L62" s="109" t="n">
        <f aca="false">IFERROR(IF(OR(NOT(ISNUMBER('Price History'!L63)),NOT(ISNUMBER('Price History'!L62)),'Price History'!L62=0),"",'Price History'!L63/'Price History'!L62-1),"")</f>
        <v>0.0179243692757207</v>
      </c>
      <c r="M62" s="109" t="n">
        <f aca="false">IFERROR(IF(OR(NOT(ISNUMBER('Price History'!M63)),NOT(ISNUMBER('Price History'!M62)),'Price History'!M62=0),"",'Price History'!M63/'Price History'!M62-1),"")</f>
        <v>0.0689970531450057</v>
      </c>
      <c r="N62" s="109" t="n">
        <f aca="false">IFERROR(IF(OR(NOT(ISNUMBER('Price History'!N63)),NOT(ISNUMBER('Price History'!N62)),'Price History'!N62=0),"",'Price History'!N63/'Price History'!N62-1),"")</f>
        <v>-0.0163541306602143</v>
      </c>
      <c r="O62" s="109" t="n">
        <f aca="false">IFERROR(IF(OR(NOT(ISNUMBER('Price History'!O63)),NOT(ISNUMBER('Price History'!O62)),'Price History'!O62=0),"",'Price History'!O63/'Price History'!O62-1),"")</f>
        <v>0.00282544997907075</v>
      </c>
      <c r="P62" s="109" t="str">
        <f aca="false">IFERROR(IF(OR(NOT(ISNUMBER('Price History'!P63)),NOT(ISNUMBER('Price History'!P62)),'Price History'!P62=0),"",'Price History'!P63/'Price History'!P62-1),"")</f>
        <v/>
      </c>
      <c r="Q62" s="109" t="n">
        <f aca="false">IFERROR(IF(OR(NOT(ISNUMBER('Price History'!Q63)),NOT(ISNUMBER('Price History'!Q62)),'Price History'!Q62=0),"",'Price History'!Q63/'Price History'!Q62-1),"")</f>
        <v>0.00755748512622612</v>
      </c>
      <c r="R62" s="109" t="n">
        <f aca="false">IFERROR(IF(OR(NOT(ISNUMBER('Price History'!R63)),NOT(ISNUMBER('Price History'!R62)),'Price History'!R62=0),"",'Price History'!R63/'Price History'!R62-1),"")</f>
        <v>-0.00784671532846715</v>
      </c>
      <c r="S62" s="109" t="n">
        <f aca="false">IFERROR(IF(OR(NOT(ISNUMBER('Price History'!S63)),NOT(ISNUMBER('Price History'!S62)),'Price History'!S62=0),"",'Price History'!S63/'Price History'!S62-1),"")</f>
        <v>0.0149435466017267</v>
      </c>
      <c r="T62" s="109" t="n">
        <f aca="false">IFERROR(IF(OR(NOT(ISNUMBER('Price History'!T63)),NOT(ISNUMBER('Price History'!T62)),'Price History'!T62=0),"",'Price History'!T63/'Price History'!T62-1),"")</f>
        <v>0.0186690755796446</v>
      </c>
      <c r="U62" s="109" t="str">
        <f aca="false">IFERROR(IF(OR(NOT(ISNUMBER('Price History'!U63)),NOT(ISNUMBER('Price History'!U62)),'Price History'!U62=0),"",'Price History'!U63/'Price History'!U62-1),"")</f>
        <v/>
      </c>
      <c r="V62" s="110" t="n">
        <f aca="false">IFERROR(IF(OR(NOT(ISNUMBER('Price History'!V63)),NOT(ISNUMBER('Price History'!V62)),'Price History'!V62=0),"",'Price History'!V63/'Price History'!V62-1),"")</f>
        <v>0.010033938320791</v>
      </c>
      <c r="W62" s="111" t="n">
        <f aca="false">IFERROR('Price History'!B3+(INDEX('Price History'!B:B,MATCH(9.99E+307,'Price History'!$A:$A))-'Price History'!B3)*(ROW()-3)/(MATCH(9.99E+307,'Returns (Calc)'!$A:$A)-3),"")</f>
        <v>418.673522012579</v>
      </c>
      <c r="X62" s="111" t="n">
        <f aca="false">IFERROR('Price History'!C3+(INDEX('Price History'!C:C,MATCH(9.99E+307,'Price History'!$A:$A))-'Price History'!C3)*(ROW()-3)/(MATCH(9.99E+307,'Returns (Calc)'!$A:$A)-3),"")</f>
        <v>99.4152201257862</v>
      </c>
      <c r="Y62" s="111" t="n">
        <f aca="false">IFERROR('Price History'!D3+(INDEX('Price History'!D:D,MATCH(9.99E+307,'Price History'!$A:$A))-'Price History'!D3)*(ROW()-3)/(MATCH(9.99E+307,'Returns (Calc)'!$A:$A)-3),"")</f>
        <v>1052.55295597484</v>
      </c>
      <c r="Z62" s="111" t="n">
        <f aca="false">IFERROR('Price History'!E3+(INDEX('Price History'!E:E,MATCH(9.99E+307,'Price History'!$A:$A))-'Price History'!E3)*(ROW()-3)/(MATCH(9.99E+307,'Returns (Calc)'!$A:$A)-3),"")</f>
        <v>184.994339622642</v>
      </c>
      <c r="AA62" s="111" t="n">
        <f aca="false">IFERROR('Price History'!F3+(INDEX('Price History'!F:F,MATCH(9.99E+307,'Price History'!$A:$A))-'Price History'!F3)*(ROW()-3)/(MATCH(9.99E+307,'Returns (Calc)'!$A:$A)-3),"")</f>
        <v>102.383018867925</v>
      </c>
      <c r="AB62" s="111" t="n">
        <f aca="false">IFERROR('Price History'!G3+(INDEX('Price History'!G:G,MATCH(9.99E+307,'Price History'!$A:$A))-'Price History'!G3)*(ROW()-3)/(MATCH(9.99E+307,'Returns (Calc)'!$A:$A)-3),"")</f>
        <v>98.9962264150943</v>
      </c>
      <c r="AC62" s="111" t="n">
        <f aca="false">IFERROR('Price History'!H3+(INDEX('Price History'!H:H,MATCH(9.99E+307,'Price History'!$A:$A))-'Price History'!H3)*(ROW()-3)/(MATCH(9.99E+307,'Returns (Calc)'!$A:$A)-3),"")</f>
        <v>417.709496855346</v>
      </c>
      <c r="AD62" s="111" t="n">
        <f aca="false">IFERROR('Price History'!I3+(INDEX('Price History'!I:I,MATCH(9.99E+307,'Price History'!$A:$A))-'Price History'!I3)*(ROW()-3)/(MATCH(9.99E+307,'Returns (Calc)'!$A:$A)-3),"")</f>
        <v>111.171320754717</v>
      </c>
      <c r="AE62" s="111" t="n">
        <f aca="false">IFERROR('Price History'!J3+(INDEX('Price History'!J:J,MATCH(9.99E+307,'Price History'!$A:$A))-'Price History'!J3)*(ROW()-3)/(MATCH(9.99E+307,'Returns (Calc)'!$A:$A)-3),"")</f>
        <v>128.641886792453</v>
      </c>
      <c r="AF62" s="111" t="n">
        <f aca="false">IFERROR('Price History'!K3+(INDEX('Price History'!K:K,MATCH(9.99E+307,'Price History'!$A:$A))-'Price History'!K3)*(ROW()-3)/(MATCH(9.99E+307,'Returns (Calc)'!$A:$A)-3),"")</f>
        <v>74.3803144654088</v>
      </c>
      <c r="AG62" s="111" t="n">
        <f aca="false">IFERROR('Price History'!L3+(INDEX('Price History'!L:L,MATCH(9.99E+307,'Price History'!$A:$A))-'Price History'!L3)*(ROW()-3)/(MATCH(9.99E+307,'Returns (Calc)'!$A:$A)-3),"")</f>
        <v>217.010628930818</v>
      </c>
      <c r="AH62" s="111" t="n">
        <f aca="false">IFERROR('Price History'!M3+(INDEX('Price History'!M:M,MATCH(9.99E+307,'Price History'!$A:$A))-'Price History'!M3)*(ROW()-3)/(MATCH(9.99E+307,'Returns (Calc)'!$A:$A)-3),"")</f>
        <v>125.171509433962</v>
      </c>
      <c r="AI62" s="111" t="n">
        <f aca="false">IFERROR('Price History'!N3+(INDEX('Price History'!N:N,MATCH(9.99E+307,'Price History'!$A:$A))-'Price History'!N3)*(ROW()-3)/(MATCH(9.99E+307,'Returns (Calc)'!$A:$A)-3),"")</f>
        <v>422.686037735849</v>
      </c>
      <c r="AJ62" s="111" t="n">
        <f aca="false">IFERROR('Price History'!O3+(INDEX('Price History'!O:O,MATCH(9.99E+307,'Price History'!$A:$A))-'Price History'!O3)*(ROW()-3)/(MATCH(9.99E+307,'Returns (Calc)'!$A:$A)-3),"")</f>
        <v>99.2067295597484</v>
      </c>
      <c r="AK62" s="111" t="n">
        <f aca="false">IFERROR('Price History'!Q3+(INDEX('Price History'!Q:Q,MATCH(9.99E+307,'Price History'!$A:$A))-'Price History'!Q3)*(ROW()-3)/(MATCH(9.99E+307,'Returns (Calc)'!$A:$A)-3),"")</f>
        <v>57.216855345912</v>
      </c>
      <c r="AL62" s="111" t="n">
        <f aca="false">IFERROR('Price History'!R3+(INDEX('Price History'!R:R,MATCH(9.99E+307,'Price History'!$A:$A))-'Price History'!R3)*(ROW()-3)/(MATCH(9.99E+307,'Returns (Calc)'!$A:$A)-3),"")</f>
        <v>52.2913836477987</v>
      </c>
      <c r="AM62" s="111" t="n">
        <f aca="false">IFERROR('Price History'!S3+(INDEX('Price History'!S:S,MATCH(9.99E+307,'Price History'!$A:$A))-'Price History'!S3)*(ROW()-3)/(MATCH(9.99E+307,'Returns (Calc)'!$A:$A)-3),"")</f>
        <v>92.3740880503145</v>
      </c>
      <c r="AN62" s="111" t="n">
        <f aca="false">IFERROR('Price History'!T3+(INDEX('Price History'!T:T,MATCH(9.99E+307,'Price History'!$A:$A))-'Price History'!T3)*(ROW()-3)/(MATCH(9.99E+307,'Returns (Calc)'!$A:$A)-3),"")</f>
        <v>37.4409433962264</v>
      </c>
      <c r="AO62" s="112" t="n">
        <f aca="false">IFERROR('Price History'!V3+(INDEX('Price History'!V:V,MATCH(9.99E+307,'Price History'!$A:$A))-'Price History'!V3)*(ROW()-3)/(MATCH(9.99E+307,'Returns (Calc)'!$A:$A)-3),"")</f>
        <v>139.176918238994</v>
      </c>
    </row>
    <row r="63" customFormat="false" ht="15" hidden="false" customHeight="true" outlineLevel="0" collapsed="false">
      <c r="A63" s="108" t="n">
        <f aca="false">IF('Price History'!A64="","",'Price History'!A64)</f>
        <v>45576</v>
      </c>
      <c r="B63" s="109" t="n">
        <f aca="false">IFERROR(IF(OR(NOT(ISNUMBER('Price History'!B64)),NOT(ISNUMBER('Price History'!B63)),'Price History'!B63=0),"",'Price History'!B64/'Price History'!B63-1),"")</f>
        <v>-0.0232640668743346</v>
      </c>
      <c r="C63" s="109" t="n">
        <f aca="false">IFERROR(IF(OR(NOT(ISNUMBER('Price History'!C64)),NOT(ISNUMBER('Price History'!C63)),'Price History'!C63=0),"",'Price History'!C64/'Price History'!C63-1),"")</f>
        <v>0.0529346398626125</v>
      </c>
      <c r="D63" s="109" t="n">
        <f aca="false">IFERROR(IF(OR(NOT(ISNUMBER('Price History'!D64)),NOT(ISNUMBER('Price History'!D63)),'Price History'!D63=0),"",'Price History'!D64/'Price History'!D63-1),"")</f>
        <v>0.0092316926770708</v>
      </c>
      <c r="E63" s="109" t="n">
        <f aca="false">IFERROR(IF(OR(NOT(ISNUMBER('Price History'!E64)),NOT(ISNUMBER('Price History'!E63)),'Price History'!E63=0),"",'Price History'!E64/'Price History'!E63-1),"")</f>
        <v>0.0274003623188406</v>
      </c>
      <c r="F63" s="109" t="n">
        <f aca="false">IFERROR(IF(OR(NOT(ISNUMBER('Price History'!F64)),NOT(ISNUMBER('Price History'!F63)),'Price History'!F63=0),"",'Price History'!F64/'Price History'!F63-1),"")</f>
        <v>0.0956747878456064</v>
      </c>
      <c r="G63" s="109" t="n">
        <f aca="false">IFERROR(IF(OR(NOT(ISNUMBER('Price History'!G64)),NOT(ISNUMBER('Price History'!G63)),'Price History'!G63=0),"",'Price History'!G64/'Price History'!G63-1),"")</f>
        <v>0.020701041402083</v>
      </c>
      <c r="H63" s="109" t="n">
        <f aca="false">IFERROR(IF(OR(NOT(ISNUMBER('Price History'!H64)),NOT(ISNUMBER('Price History'!H63)),'Price History'!H63=0),"",'Price History'!H64/'Price History'!H63-1),"")</f>
        <v>0.0456723716381418</v>
      </c>
      <c r="I63" s="109" t="n">
        <f aca="false">IFERROR(IF(OR(NOT(ISNUMBER('Price History'!I64)),NOT(ISNUMBER('Price History'!I63)),'Price History'!I63=0),"",'Price History'!I64/'Price History'!I63-1),"")</f>
        <v>0.0790906179955173</v>
      </c>
      <c r="J63" s="109" t="n">
        <f aca="false">IFERROR(IF(OR(NOT(ISNUMBER('Price History'!J64)),NOT(ISNUMBER('Price History'!J63)),'Price History'!J63=0),"",'Price History'!J64/'Price History'!J63-1),"")</f>
        <v>-0.0178075477863094</v>
      </c>
      <c r="K63" s="109" t="n">
        <f aca="false">IFERROR(IF(OR(NOT(ISNUMBER('Price History'!K64)),NOT(ISNUMBER('Price History'!K63)),'Price History'!K63=0),"",'Price History'!K64/'Price History'!K63-1),"")</f>
        <v>0.0874781304673831</v>
      </c>
      <c r="L63" s="109" t="n">
        <f aca="false">IFERROR(IF(OR(NOT(ISNUMBER('Price History'!L64)),NOT(ISNUMBER('Price History'!L63)),'Price History'!L63=0),"",'Price History'!L64/'Price History'!L63-1),"")</f>
        <v>0.0532678295429454</v>
      </c>
      <c r="M63" s="109" t="n">
        <f aca="false">IFERROR(IF(OR(NOT(ISNUMBER('Price History'!M64)),NOT(ISNUMBER('Price History'!M63)),'Price History'!M63=0),"",'Price History'!M64/'Price History'!M63-1),"")</f>
        <v>0.0631178707224334</v>
      </c>
      <c r="N63" s="109" t="n">
        <f aca="false">IFERROR(IF(OR(NOT(ISNUMBER('Price History'!N64)),NOT(ISNUMBER('Price History'!N63)),'Price History'!N63=0),"",'Price History'!N64/'Price History'!N63-1),"")</f>
        <v>0.0579824734796073</v>
      </c>
      <c r="O63" s="109" t="n">
        <f aca="false">IFERROR(IF(OR(NOT(ISNUMBER('Price History'!O64)),NOT(ISNUMBER('Price History'!O63)),'Price History'!O63=0),"",'Price History'!O64/'Price History'!O63-1),"")</f>
        <v>0.0118960659501199</v>
      </c>
      <c r="P63" s="109" t="str">
        <f aca="false">IFERROR(IF(OR(NOT(ISNUMBER('Price History'!P64)),NOT(ISNUMBER('Price History'!P63)),'Price History'!P63=0),"",'Price History'!P64/'Price History'!P63-1),"")</f>
        <v/>
      </c>
      <c r="Q63" s="109" t="n">
        <f aca="false">IFERROR(IF(OR(NOT(ISNUMBER('Price History'!Q64)),NOT(ISNUMBER('Price History'!Q63)),'Price History'!Q63=0),"",'Price History'!Q64/'Price History'!Q63-1),"")</f>
        <v>0.00606447494414297</v>
      </c>
      <c r="R63" s="109" t="n">
        <f aca="false">IFERROR(IF(OR(NOT(ISNUMBER('Price History'!R64)),NOT(ISNUMBER('Price History'!R63)),'Price History'!R63=0),"",'Price History'!R64/'Price History'!R63-1),"")</f>
        <v>0.00901232297222743</v>
      </c>
      <c r="S63" s="109" t="n">
        <f aca="false">IFERROR(IF(OR(NOT(ISNUMBER('Price History'!S64)),NOT(ISNUMBER('Price History'!S63)),'Price History'!S63=0),"",'Price History'!S64/'Price History'!S63-1),"")</f>
        <v>0.021594503217363</v>
      </c>
      <c r="T63" s="109" t="n">
        <f aca="false">IFERROR(IF(OR(NOT(ISNUMBER('Price History'!T64)),NOT(ISNUMBER('Price History'!T63)),'Price History'!T63=0),"",'Price History'!T64/'Price History'!T63-1),"")</f>
        <v>0.00354714750221707</v>
      </c>
      <c r="U63" s="109" t="str">
        <f aca="false">IFERROR(IF(OR(NOT(ISNUMBER('Price History'!U64)),NOT(ISNUMBER('Price History'!U63)),'Price History'!U63=0),"",'Price History'!U64/'Price History'!U63-1),"")</f>
        <v/>
      </c>
      <c r="V63" s="110" t="n">
        <f aca="false">IFERROR(IF(OR(NOT(ISNUMBER('Price History'!V64)),NOT(ISNUMBER('Price History'!V63)),'Price History'!V63=0),"",'Price History'!V64/'Price History'!V63-1),"")</f>
        <v>-0.000328707085463953</v>
      </c>
      <c r="W63" s="111" t="n">
        <f aca="false">IFERROR('Price History'!B3+(INDEX('Price History'!B:B,MATCH(9.99E+307,'Price History'!$A:$A))-'Price History'!B3)*(ROW()-3)/(MATCH(9.99E+307,'Returns (Calc)'!$A:$A)-3),"")</f>
        <v>417.151886792453</v>
      </c>
      <c r="X63" s="111" t="n">
        <f aca="false">IFERROR('Price History'!C3+(INDEX('Price History'!C:C,MATCH(9.99E+307,'Price History'!$A:$A))-'Price History'!C3)*(ROW()-3)/(MATCH(9.99E+307,'Returns (Calc)'!$A:$A)-3),"")</f>
        <v>100.358867924528</v>
      </c>
      <c r="Y63" s="111" t="n">
        <f aca="false">IFERROR('Price History'!D3+(INDEX('Price History'!D:D,MATCH(9.99E+307,'Price History'!$A:$A))-'Price History'!D3)*(ROW()-3)/(MATCH(9.99E+307,'Returns (Calc)'!$A:$A)-3),"")</f>
        <v>1059.17622641509</v>
      </c>
      <c r="Z63" s="111" t="n">
        <f aca="false">IFERROR('Price History'!E3+(INDEX('Price History'!E:E,MATCH(9.99E+307,'Price History'!$A:$A))-'Price History'!E3)*(ROW()-3)/(MATCH(9.99E+307,'Returns (Calc)'!$A:$A)-3),"")</f>
        <v>186.723396226415</v>
      </c>
      <c r="AA63" s="111" t="n">
        <f aca="false">IFERROR('Price History'!F3+(INDEX('Price History'!F:F,MATCH(9.99E+307,'Price History'!$A:$A))-'Price History'!F3)*(ROW()-3)/(MATCH(9.99E+307,'Returns (Calc)'!$A:$A)-3),"")</f>
        <v>103.490188679245</v>
      </c>
      <c r="AB63" s="111" t="n">
        <f aca="false">IFERROR('Price History'!G3+(INDEX('Price History'!G:G,MATCH(9.99E+307,'Price History'!$A:$A))-'Price History'!G3)*(ROW()-3)/(MATCH(9.99E+307,'Returns (Calc)'!$A:$A)-3),"")</f>
        <v>99.8622641509434</v>
      </c>
      <c r="AC63" s="111" t="n">
        <f aca="false">IFERROR('Price History'!H3+(INDEX('Price History'!H:H,MATCH(9.99E+307,'Price History'!$A:$A))-'Price History'!H3)*(ROW()-3)/(MATCH(9.99E+307,'Returns (Calc)'!$A:$A)-3),"")</f>
        <v>423.698301886793</v>
      </c>
      <c r="AD63" s="111" t="n">
        <f aca="false">IFERROR('Price History'!I3+(INDEX('Price History'!I:I,MATCH(9.99E+307,'Price History'!$A:$A))-'Price History'!I3)*(ROW()-3)/(MATCH(9.99E+307,'Returns (Calc)'!$A:$A)-3),"")</f>
        <v>112.36320754717</v>
      </c>
      <c r="AE63" s="111" t="n">
        <f aca="false">IFERROR('Price History'!J3+(INDEX('Price History'!J:J,MATCH(9.99E+307,'Price History'!$A:$A))-'Price History'!J3)*(ROW()-3)/(MATCH(9.99E+307,'Returns (Calc)'!$A:$A)-3),"")</f>
        <v>128.728867924528</v>
      </c>
      <c r="AF63" s="111" t="n">
        <f aca="false">IFERROR('Price History'!K3+(INDEX('Price History'!K:K,MATCH(9.99E+307,'Price History'!$A:$A))-'Price History'!K3)*(ROW()-3)/(MATCH(9.99E+307,'Returns (Calc)'!$A:$A)-3),"")</f>
        <v>75.3798113207547</v>
      </c>
      <c r="AG63" s="111" t="n">
        <f aca="false">IFERROR('Price History'!L3+(INDEX('Price History'!L:L,MATCH(9.99E+307,'Price History'!$A:$A))-'Price History'!L3)*(ROW()-3)/(MATCH(9.99E+307,'Returns (Calc)'!$A:$A)-3),"")</f>
        <v>219.129622641509</v>
      </c>
      <c r="AH63" s="111" t="n">
        <f aca="false">IFERROR('Price History'!M3+(INDEX('Price History'!M:M,MATCH(9.99E+307,'Price History'!$A:$A))-'Price History'!M3)*(ROW()-3)/(MATCH(9.99E+307,'Returns (Calc)'!$A:$A)-3),"")</f>
        <v>126.725094339623</v>
      </c>
      <c r="AI63" s="111" t="n">
        <f aca="false">IFERROR('Price History'!N3+(INDEX('Price History'!N:N,MATCH(9.99E+307,'Price History'!$A:$A))-'Price History'!N3)*(ROW()-3)/(MATCH(9.99E+307,'Returns (Calc)'!$A:$A)-3),"")</f>
        <v>423.920377358491</v>
      </c>
      <c r="AJ63" s="111" t="n">
        <f aca="false">IFERROR('Price History'!O3+(INDEX('Price History'!O:O,MATCH(9.99E+307,'Price History'!$A:$A))-'Price History'!O3)*(ROW()-3)/(MATCH(9.99E+307,'Returns (Calc)'!$A:$A)-3),"")</f>
        <v>99.483962264151</v>
      </c>
      <c r="AK63" s="111" t="n">
        <f aca="false">IFERROR('Price History'!Q3+(INDEX('Price History'!Q:Q,MATCH(9.99E+307,'Price History'!$A:$A))-'Price History'!Q3)*(ROW()-3)/(MATCH(9.99E+307,'Returns (Calc)'!$A:$A)-3),"")</f>
        <v>57.3418867924528</v>
      </c>
      <c r="AL63" s="111" t="n">
        <f aca="false">IFERROR('Price History'!R3+(INDEX('Price History'!R:R,MATCH(9.99E+307,'Price History'!$A:$A))-'Price History'!R3)*(ROW()-3)/(MATCH(9.99E+307,'Returns (Calc)'!$A:$A)-3),"")</f>
        <v>52.3671698113208</v>
      </c>
      <c r="AM63" s="111" t="n">
        <f aca="false">IFERROR('Price History'!S3+(INDEX('Price History'!S:S,MATCH(9.99E+307,'Price History'!$A:$A))-'Price History'!S3)*(ROW()-3)/(MATCH(9.99E+307,'Returns (Calc)'!$A:$A)-3),"")</f>
        <v>92.9475471698113</v>
      </c>
      <c r="AN63" s="111" t="n">
        <f aca="false">IFERROR('Price History'!T3+(INDEX('Price History'!T:T,MATCH(9.99E+307,'Price History'!$A:$A))-'Price History'!T3)*(ROW()-3)/(MATCH(9.99E+307,'Returns (Calc)'!$A:$A)-3),"")</f>
        <v>37.6194339622642</v>
      </c>
      <c r="AO63" s="112" t="n">
        <f aca="false">IFERROR('Price History'!V3+(INDEX('Price History'!V:V,MATCH(9.99E+307,'Price History'!$A:$A))-'Price History'!V3)*(ROW()-3)/(MATCH(9.99E+307,'Returns (Calc)'!$A:$A)-3),"")</f>
        <v>141.535849056604</v>
      </c>
    </row>
    <row r="64" customFormat="false" ht="15" hidden="false" customHeight="true" outlineLevel="0" collapsed="false">
      <c r="A64" s="108" t="n">
        <f aca="false">IF('Price History'!A65="","",'Price History'!A65)</f>
        <v>45583</v>
      </c>
      <c r="B64" s="109" t="n">
        <f aca="false">IFERROR(IF(OR(NOT(ISNUMBER('Price History'!B65)),NOT(ISNUMBER('Price History'!B64)),'Price History'!B64=0),"",'Price History'!B65/'Price History'!B64-1),"")</f>
        <v>-0.0010496144685318</v>
      </c>
      <c r="C64" s="109" t="n">
        <f aca="false">IFERROR(IF(OR(NOT(ISNUMBER('Price History'!C65)),NOT(ISNUMBER('Price History'!C64)),'Price History'!C64=0),"",'Price History'!C65/'Price History'!C64-1),"")</f>
        <v>-0.0357862419648853</v>
      </c>
      <c r="D64" s="109" t="n">
        <f aca="false">IFERROR(IF(OR(NOT(ISNUMBER('Price History'!D65)),NOT(ISNUMBER('Price History'!D64)),'Price History'!D64=0),"",'Price History'!D65/'Price History'!D64-1),"")</f>
        <v>-0.139682879539426</v>
      </c>
      <c r="E64" s="109" t="n">
        <f aca="false">IFERROR(IF(OR(NOT(ISNUMBER('Price History'!E65)),NOT(ISNUMBER('Price History'!E64)),'Price History'!E64=0),"",'Price History'!E65/'Price History'!E64-1),"")</f>
        <v>-0.00876129601057973</v>
      </c>
      <c r="F64" s="109" t="n">
        <f aca="false">IFERROR(IF(OR(NOT(ISNUMBER('Price History'!F65)),NOT(ISNUMBER('Price History'!F64)),'Price History'!F64=0),"",'Price History'!F65/'Price History'!F64-1),"")</f>
        <v>-0.0313554028732042</v>
      </c>
      <c r="G64" s="109" t="n">
        <f aca="false">IFERROR(IF(OR(NOT(ISNUMBER('Price History'!G65)),NOT(ISNUMBER('Price History'!G64)),'Price History'!G64=0),"",'Price History'!G65/'Price History'!G64-1),"")</f>
        <v>-0.155779519721289</v>
      </c>
      <c r="H64" s="109" t="n">
        <f aca="false">IFERROR(IF(OR(NOT(ISNUMBER('Price History'!H65)),NOT(ISNUMBER('Price History'!H64)),'Price History'!H64=0),"",'Price History'!H65/'Price History'!H64-1),"")</f>
        <v>0.0395622895622896</v>
      </c>
      <c r="I64" s="109" t="n">
        <f aca="false">IFERROR(IF(OR(NOT(ISNUMBER('Price History'!I65)),NOT(ISNUMBER('Price History'!I64)),'Price History'!I64=0),"",'Price History'!I65/'Price History'!I64-1),"")</f>
        <v>0.0237388724035608</v>
      </c>
      <c r="J64" s="109" t="n">
        <f aca="false">IFERROR(IF(OR(NOT(ISNUMBER('Price History'!J65)),NOT(ISNUMBER('Price History'!J64)),'Price History'!J64=0),"",'Price History'!J65/'Price History'!J64-1),"")</f>
        <v>0.0187957418496341</v>
      </c>
      <c r="K64" s="109" t="n">
        <f aca="false">IFERROR(IF(OR(NOT(ISNUMBER('Price History'!K65)),NOT(ISNUMBER('Price History'!K64)),'Price History'!K64=0),"",'Price History'!K65/'Price History'!K64-1),"")</f>
        <v>-0.01241094001379</v>
      </c>
      <c r="L64" s="109" t="n">
        <f aca="false">IFERROR(IF(OR(NOT(ISNUMBER('Price History'!L65)),NOT(ISNUMBER('Price History'!L64)),'Price History'!L64=0),"",'Price History'!L65/'Price History'!L64-1),"")</f>
        <v>0.052250930244746</v>
      </c>
      <c r="M64" s="109" t="n">
        <f aca="false">IFERROR(IF(OR(NOT(ISNUMBER('Price History'!M65)),NOT(ISNUMBER('Price History'!M64)),'Price History'!M64=0),"",'Price History'!M65/'Price History'!M64-1),"")</f>
        <v>0.00366595135908443</v>
      </c>
      <c r="N64" s="109" t="n">
        <f aca="false">IFERROR(IF(OR(NOT(ISNUMBER('Price History'!N65)),NOT(ISNUMBER('Price History'!N64)),'Price History'!N64=0),"",'Price History'!N65/'Price History'!N64-1),"")</f>
        <v>0.0026779597683253</v>
      </c>
      <c r="O64" s="109" t="n">
        <f aca="false">IFERROR(IF(OR(NOT(ISNUMBER('Price History'!O65)),NOT(ISNUMBER('Price History'!O64)),'Price History'!O64=0),"",'Price History'!O65/'Price History'!O64-1),"")</f>
        <v>0.0125812106837166</v>
      </c>
      <c r="P64" s="109" t="str">
        <f aca="false">IFERROR(IF(OR(NOT(ISNUMBER('Price History'!P65)),NOT(ISNUMBER('Price History'!P64)),'Price History'!P64=0),"",'Price History'!P65/'Price History'!P64-1),"")</f>
        <v/>
      </c>
      <c r="Q64" s="109" t="n">
        <f aca="false">IFERROR(IF(OR(NOT(ISNUMBER('Price History'!Q65)),NOT(ISNUMBER('Price History'!Q64)),'Price History'!Q64=0),"",'Price History'!Q65/'Price History'!Q64-1),"")</f>
        <v>0.00380710659898487</v>
      </c>
      <c r="R64" s="109" t="n">
        <f aca="false">IFERROR(IF(OR(NOT(ISNUMBER('Price History'!R65)),NOT(ISNUMBER('Price History'!R64)),'Price History'!R64=0),"",'Price History'!R65/'Price History'!R64-1),"")</f>
        <v>0.00747356908494345</v>
      </c>
      <c r="S64" s="109" t="n">
        <f aca="false">IFERROR(IF(OR(NOT(ISNUMBER('Price History'!S65)),NOT(ISNUMBER('Price History'!S64)),'Price History'!S64=0),"",'Price History'!S65/'Price History'!S64-1),"")</f>
        <v>0.00427031066510075</v>
      </c>
      <c r="T64" s="109" t="n">
        <f aca="false">IFERROR(IF(OR(NOT(ISNUMBER('Price History'!T65)),NOT(ISNUMBER('Price History'!T64)),'Price History'!T64=0),"",'Price History'!T65/'Price History'!T64-1),"")</f>
        <v>-0.00471281296023574</v>
      </c>
      <c r="U64" s="109" t="str">
        <f aca="false">IFERROR(IF(OR(NOT(ISNUMBER('Price History'!U65)),NOT(ISNUMBER('Price History'!U64)),'Price History'!U64=0),"",'Price History'!U65/'Price History'!U64-1),"")</f>
        <v/>
      </c>
      <c r="V64" s="110" t="n">
        <f aca="false">IFERROR(IF(OR(NOT(ISNUMBER('Price History'!V65)),NOT(ISNUMBER('Price History'!V64)),'Price History'!V64=0),"",'Price History'!V65/'Price History'!V64-1),"")</f>
        <v>0.0459975886887583</v>
      </c>
      <c r="W64" s="111" t="n">
        <f aca="false">IFERROR('Price History'!B3+(INDEX('Price History'!B:B,MATCH(9.99E+307,'Price History'!$A:$A))-'Price History'!B3)*(ROW()-3)/(MATCH(9.99E+307,'Returns (Calc)'!$A:$A)-3),"")</f>
        <v>415.630251572327</v>
      </c>
      <c r="X64" s="111" t="n">
        <f aca="false">IFERROR('Price History'!C3+(INDEX('Price History'!C:C,MATCH(9.99E+307,'Price History'!$A:$A))-'Price History'!C3)*(ROW()-3)/(MATCH(9.99E+307,'Returns (Calc)'!$A:$A)-3),"")</f>
        <v>101.30251572327</v>
      </c>
      <c r="Y64" s="111" t="n">
        <f aca="false">IFERROR('Price History'!D3+(INDEX('Price History'!D:D,MATCH(9.99E+307,'Price History'!$A:$A))-'Price History'!D3)*(ROW()-3)/(MATCH(9.99E+307,'Returns (Calc)'!$A:$A)-3),"")</f>
        <v>1065.79949685535</v>
      </c>
      <c r="Z64" s="111" t="n">
        <f aca="false">IFERROR('Price History'!E3+(INDEX('Price History'!E:E,MATCH(9.99E+307,'Price History'!$A:$A))-'Price History'!E3)*(ROW()-3)/(MATCH(9.99E+307,'Returns (Calc)'!$A:$A)-3),"")</f>
        <v>188.452452830189</v>
      </c>
      <c r="AA64" s="111" t="n">
        <f aca="false">IFERROR('Price History'!F3+(INDEX('Price History'!F:F,MATCH(9.99E+307,'Price History'!$A:$A))-'Price History'!F3)*(ROW()-3)/(MATCH(9.99E+307,'Returns (Calc)'!$A:$A)-3),"")</f>
        <v>104.597358490566</v>
      </c>
      <c r="AB64" s="111" t="n">
        <f aca="false">IFERROR('Price History'!G3+(INDEX('Price History'!G:G,MATCH(9.99E+307,'Price History'!$A:$A))-'Price History'!G3)*(ROW()-3)/(MATCH(9.99E+307,'Returns (Calc)'!$A:$A)-3),"")</f>
        <v>100.728301886792</v>
      </c>
      <c r="AC64" s="111" t="n">
        <f aca="false">IFERROR('Price History'!H3+(INDEX('Price History'!H:H,MATCH(9.99E+307,'Price History'!$A:$A))-'Price History'!H3)*(ROW()-3)/(MATCH(9.99E+307,'Returns (Calc)'!$A:$A)-3),"")</f>
        <v>429.687106918239</v>
      </c>
      <c r="AD64" s="111" t="n">
        <f aca="false">IFERROR('Price History'!I3+(INDEX('Price History'!I:I,MATCH(9.99E+307,'Price History'!$A:$A))-'Price History'!I3)*(ROW()-3)/(MATCH(9.99E+307,'Returns (Calc)'!$A:$A)-3),"")</f>
        <v>113.555094339623</v>
      </c>
      <c r="AE64" s="111" t="n">
        <f aca="false">IFERROR('Price History'!J3+(INDEX('Price History'!J:J,MATCH(9.99E+307,'Price History'!$A:$A))-'Price History'!J3)*(ROW()-3)/(MATCH(9.99E+307,'Returns (Calc)'!$A:$A)-3),"")</f>
        <v>128.815849056604</v>
      </c>
      <c r="AF64" s="111" t="n">
        <f aca="false">IFERROR('Price History'!K3+(INDEX('Price History'!K:K,MATCH(9.99E+307,'Price History'!$A:$A))-'Price History'!K3)*(ROW()-3)/(MATCH(9.99E+307,'Returns (Calc)'!$A:$A)-3),"")</f>
        <v>76.3793081761006</v>
      </c>
      <c r="AG64" s="111" t="n">
        <f aca="false">IFERROR('Price History'!L3+(INDEX('Price History'!L:L,MATCH(9.99E+307,'Price History'!$A:$A))-'Price History'!L3)*(ROW()-3)/(MATCH(9.99E+307,'Returns (Calc)'!$A:$A)-3),"")</f>
        <v>221.248616352201</v>
      </c>
      <c r="AH64" s="111" t="n">
        <f aca="false">IFERROR('Price History'!M3+(INDEX('Price History'!M:M,MATCH(9.99E+307,'Price History'!$A:$A))-'Price History'!M3)*(ROW()-3)/(MATCH(9.99E+307,'Returns (Calc)'!$A:$A)-3),"")</f>
        <v>128.278679245283</v>
      </c>
      <c r="AI64" s="111" t="n">
        <f aca="false">IFERROR('Price History'!N3+(INDEX('Price History'!N:N,MATCH(9.99E+307,'Price History'!$A:$A))-'Price History'!N3)*(ROW()-3)/(MATCH(9.99E+307,'Returns (Calc)'!$A:$A)-3),"")</f>
        <v>425.154716981132</v>
      </c>
      <c r="AJ64" s="111" t="n">
        <f aca="false">IFERROR('Price History'!O3+(INDEX('Price History'!O:O,MATCH(9.99E+307,'Price History'!$A:$A))-'Price History'!O3)*(ROW()-3)/(MATCH(9.99E+307,'Returns (Calc)'!$A:$A)-3),"")</f>
        <v>99.7611949685535</v>
      </c>
      <c r="AK64" s="111" t="n">
        <f aca="false">IFERROR('Price History'!Q3+(INDEX('Price History'!Q:Q,MATCH(9.99E+307,'Price History'!$A:$A))-'Price History'!Q3)*(ROW()-3)/(MATCH(9.99E+307,'Returns (Calc)'!$A:$A)-3),"")</f>
        <v>57.4669182389937</v>
      </c>
      <c r="AL64" s="111" t="n">
        <f aca="false">IFERROR('Price History'!R3+(INDEX('Price History'!R:R,MATCH(9.99E+307,'Price History'!$A:$A))-'Price History'!R3)*(ROW()-3)/(MATCH(9.99E+307,'Returns (Calc)'!$A:$A)-3),"")</f>
        <v>52.4429559748428</v>
      </c>
      <c r="AM64" s="111" t="n">
        <f aca="false">IFERROR('Price History'!S3+(INDEX('Price History'!S:S,MATCH(9.99E+307,'Price History'!$A:$A))-'Price History'!S3)*(ROW()-3)/(MATCH(9.99E+307,'Returns (Calc)'!$A:$A)-3),"")</f>
        <v>93.5210062893082</v>
      </c>
      <c r="AN64" s="111" t="n">
        <f aca="false">IFERROR('Price History'!T3+(INDEX('Price History'!T:T,MATCH(9.99E+307,'Price History'!$A:$A))-'Price History'!T3)*(ROW()-3)/(MATCH(9.99E+307,'Returns (Calc)'!$A:$A)-3),"")</f>
        <v>37.7979245283019</v>
      </c>
      <c r="AO64" s="112" t="n">
        <f aca="false">IFERROR('Price History'!V3+(INDEX('Price History'!V:V,MATCH(9.99E+307,'Price History'!$A:$A))-'Price History'!V3)*(ROW()-3)/(MATCH(9.99E+307,'Returns (Calc)'!$A:$A)-3),"")</f>
        <v>143.894779874214</v>
      </c>
    </row>
    <row r="65" customFormat="false" ht="15" hidden="false" customHeight="true" outlineLevel="0" collapsed="false">
      <c r="A65" s="108" t="n">
        <f aca="false">IF('Price History'!A66="","",'Price History'!A66)</f>
        <v>45590</v>
      </c>
      <c r="B65" s="109" t="n">
        <f aca="false">IFERROR(IF(OR(NOT(ISNUMBER('Price History'!B66)),NOT(ISNUMBER('Price History'!B65)),'Price History'!B65=0),"",'Price History'!B66/'Price History'!B65-1),"")</f>
        <v>-0.0225904223075368</v>
      </c>
      <c r="C65" s="109" t="n">
        <f aca="false">IFERROR(IF(OR(NOT(ISNUMBER('Price History'!C66)),NOT(ISNUMBER('Price History'!C65)),'Price History'!C65=0),"",'Price History'!C66/'Price History'!C65-1),"")</f>
        <v>-0.0197014925373135</v>
      </c>
      <c r="D65" s="109" t="n">
        <f aca="false">IFERROR(IF(OR(NOT(ISNUMBER('Price History'!D66)),NOT(ISNUMBER('Price History'!D65)),'Price History'!D65=0),"",'Price History'!D66/'Price History'!D65-1),"")</f>
        <v>-0.0159831872355722</v>
      </c>
      <c r="E65" s="109" t="n">
        <f aca="false">IFERROR(IF(OR(NOT(ISNUMBER('Price History'!E66)),NOT(ISNUMBER('Price History'!E65)),'Price History'!E65=0),"",'Price History'!E66/'Price History'!E65-1),"")</f>
        <v>-0.0383011840569236</v>
      </c>
      <c r="F65" s="109" t="n">
        <f aca="false">IFERROR(IF(OR(NOT(ISNUMBER('Price History'!F66)),NOT(ISNUMBER('Price History'!F65)),'Price History'!F65=0),"",'Price History'!F66/'Price History'!F65-1),"")</f>
        <v>-0.0306938354397731</v>
      </c>
      <c r="G65" s="109" t="n">
        <f aca="false">IFERROR(IF(OR(NOT(ISNUMBER('Price History'!G66)),NOT(ISNUMBER('Price History'!G65)),'Price History'!G65=0),"",'Price History'!G66/'Price History'!G65-1),"")</f>
        <v>-0.0079587324981576</v>
      </c>
      <c r="H65" s="109" t="n">
        <f aca="false">IFERROR(IF(OR(NOT(ISNUMBER('Price History'!H66)),NOT(ISNUMBER('Price History'!H65)),'Price History'!H65=0),"",'Price History'!H66/'Price History'!H65-1),"")</f>
        <v>-0.0291497975708502</v>
      </c>
      <c r="I65" s="109" t="n">
        <f aca="false">IFERROR(IF(OR(NOT(ISNUMBER('Price History'!I66)),NOT(ISNUMBER('Price History'!I65)),'Price History'!I65=0),"",'Price History'!I66/'Price History'!I65-1),"")</f>
        <v>0.0256521739130435</v>
      </c>
      <c r="J65" s="109" t="n">
        <f aca="false">IFERROR(IF(OR(NOT(ISNUMBER('Price History'!J66)),NOT(ISNUMBER('Price History'!J65)),'Price History'!J65=0),"",'Price History'!J66/'Price History'!J65-1),"")</f>
        <v>-0.0404897959183673</v>
      </c>
      <c r="K65" s="109" t="n">
        <f aca="false">IFERROR(IF(OR(NOT(ISNUMBER('Price History'!K66)),NOT(ISNUMBER('Price History'!K65)),'Price History'!K65=0),"",'Price History'!K66/'Price History'!K65-1),"")</f>
        <v>0.0439841750058181</v>
      </c>
      <c r="L65" s="109" t="n">
        <f aca="false">IFERROR(IF(OR(NOT(ISNUMBER('Price History'!L66)),NOT(ISNUMBER('Price History'!L65)),'Price History'!L65=0),"",'Price History'!L66/'Price History'!L65-1),"")</f>
        <v>0.0132483315071221</v>
      </c>
      <c r="M65" s="109" t="n">
        <f aca="false">IFERROR(IF(OR(NOT(ISNUMBER('Price History'!M66)),NOT(ISNUMBER('Price History'!M65)),'Price History'!M65=0),"",'Price History'!M66/'Price History'!M65-1),"")</f>
        <v>-0.000712694877505582</v>
      </c>
      <c r="N65" s="109" t="n">
        <f aca="false">IFERROR(IF(OR(NOT(ISNUMBER('Price History'!N66)),NOT(ISNUMBER('Price History'!N65)),'Price History'!N65=0),"",'Price History'!N66/'Price History'!N65-1),"")</f>
        <v>-0.0109730848861284</v>
      </c>
      <c r="O65" s="109" t="n">
        <f aca="false">IFERROR(IF(OR(NOT(ISNUMBER('Price History'!O66)),NOT(ISNUMBER('Price History'!O65)),'Price History'!O65=0),"",'Price History'!O66/'Price History'!O65-1),"")</f>
        <v>-0.0333027803238619</v>
      </c>
      <c r="P65" s="109" t="str">
        <f aca="false">IFERROR(IF(OR(NOT(ISNUMBER('Price History'!P66)),NOT(ISNUMBER('Price History'!P65)),'Price History'!P65=0),"",'Price History'!P66/'Price History'!P65-1),"")</f>
        <v/>
      </c>
      <c r="Q65" s="109" t="n">
        <f aca="false">IFERROR(IF(OR(NOT(ISNUMBER('Price History'!Q66)),NOT(ISNUMBER('Price History'!Q65)),'Price History'!Q65=0),"",'Price History'!Q66/'Price History'!Q65-1),"")</f>
        <v>-0.00173830594184576</v>
      </c>
      <c r="R65" s="109" t="n">
        <f aca="false">IFERROR(IF(OR(NOT(ISNUMBER('Price History'!R66)),NOT(ISNUMBER('Price History'!R65)),'Price History'!R65=0),"",'Price History'!R66/'Price History'!R65-1),"")</f>
        <v>0.0023520897412701</v>
      </c>
      <c r="S65" s="109" t="n">
        <f aca="false">IFERROR(IF(OR(NOT(ISNUMBER('Price History'!S66)),NOT(ISNUMBER('Price History'!S65)),'Price History'!S65=0),"",'Price History'!S66/'Price History'!S65-1),"")</f>
        <v>-0.0146699266503667</v>
      </c>
      <c r="T65" s="109" t="n">
        <f aca="false">IFERROR(IF(OR(NOT(ISNUMBER('Price History'!T66)),NOT(ISNUMBER('Price History'!T65)),'Price History'!T65=0),"",'Price History'!T66/'Price History'!T65-1),"")</f>
        <v>-0.0192364604912696</v>
      </c>
      <c r="U65" s="109" t="str">
        <f aca="false">IFERROR(IF(OR(NOT(ISNUMBER('Price History'!U66)),NOT(ISNUMBER('Price History'!U65)),'Price History'!U65=0),"",'Price History'!U66/'Price History'!U65-1),"")</f>
        <v/>
      </c>
      <c r="V65" s="110" t="n">
        <f aca="false">IFERROR(IF(OR(NOT(ISNUMBER('Price History'!V66)),NOT(ISNUMBER('Price History'!V65)),'Price History'!V65=0),"",'Price History'!V66/'Price History'!V65-1),"")</f>
        <v>-0.030562347188264</v>
      </c>
      <c r="W65" s="111" t="n">
        <f aca="false">IFERROR('Price History'!B3+(INDEX('Price History'!B:B,MATCH(9.99E+307,'Price History'!$A:$A))-'Price History'!B3)*(ROW()-3)/(MATCH(9.99E+307,'Returns (Calc)'!$A:$A)-3),"")</f>
        <v>414.108616352201</v>
      </c>
      <c r="X65" s="111" t="n">
        <f aca="false">IFERROR('Price History'!C3+(INDEX('Price History'!C:C,MATCH(9.99E+307,'Price History'!$A:$A))-'Price History'!C3)*(ROW()-3)/(MATCH(9.99E+307,'Returns (Calc)'!$A:$A)-3),"")</f>
        <v>102.246163522013</v>
      </c>
      <c r="Y65" s="111" t="n">
        <f aca="false">IFERROR('Price History'!D3+(INDEX('Price History'!D:D,MATCH(9.99E+307,'Price History'!$A:$A))-'Price History'!D3)*(ROW()-3)/(MATCH(9.99E+307,'Returns (Calc)'!$A:$A)-3),"")</f>
        <v>1072.4227672956</v>
      </c>
      <c r="Z65" s="111" t="n">
        <f aca="false">IFERROR('Price History'!E3+(INDEX('Price History'!E:E,MATCH(9.99E+307,'Price History'!$A:$A))-'Price History'!E3)*(ROW()-3)/(MATCH(9.99E+307,'Returns (Calc)'!$A:$A)-3),"")</f>
        <v>190.181509433962</v>
      </c>
      <c r="AA65" s="111" t="n">
        <f aca="false">IFERROR('Price History'!F3+(INDEX('Price History'!F:F,MATCH(9.99E+307,'Price History'!$A:$A))-'Price History'!F3)*(ROW()-3)/(MATCH(9.99E+307,'Returns (Calc)'!$A:$A)-3),"")</f>
        <v>105.704528301887</v>
      </c>
      <c r="AB65" s="111" t="n">
        <f aca="false">IFERROR('Price History'!G3+(INDEX('Price History'!G:G,MATCH(9.99E+307,'Price History'!$A:$A))-'Price History'!G3)*(ROW()-3)/(MATCH(9.99E+307,'Returns (Calc)'!$A:$A)-3),"")</f>
        <v>101.594339622642</v>
      </c>
      <c r="AC65" s="111" t="n">
        <f aca="false">IFERROR('Price History'!H3+(INDEX('Price History'!H:H,MATCH(9.99E+307,'Price History'!$A:$A))-'Price History'!H3)*(ROW()-3)/(MATCH(9.99E+307,'Returns (Calc)'!$A:$A)-3),"")</f>
        <v>435.675911949686</v>
      </c>
      <c r="AD65" s="111" t="n">
        <f aca="false">IFERROR('Price History'!I3+(INDEX('Price History'!I:I,MATCH(9.99E+307,'Price History'!$A:$A))-'Price History'!I3)*(ROW()-3)/(MATCH(9.99E+307,'Returns (Calc)'!$A:$A)-3),"")</f>
        <v>114.746981132075</v>
      </c>
      <c r="AE65" s="111" t="n">
        <f aca="false">IFERROR('Price History'!J3+(INDEX('Price History'!J:J,MATCH(9.99E+307,'Price History'!$A:$A))-'Price History'!J3)*(ROW()-3)/(MATCH(9.99E+307,'Returns (Calc)'!$A:$A)-3),"")</f>
        <v>128.902830188679</v>
      </c>
      <c r="AF65" s="111" t="n">
        <f aca="false">IFERROR('Price History'!K3+(INDEX('Price History'!K:K,MATCH(9.99E+307,'Price History'!$A:$A))-'Price History'!K3)*(ROW()-3)/(MATCH(9.99E+307,'Returns (Calc)'!$A:$A)-3),"")</f>
        <v>77.3788050314466</v>
      </c>
      <c r="AG65" s="111" t="n">
        <f aca="false">IFERROR('Price History'!L3+(INDEX('Price History'!L:L,MATCH(9.99E+307,'Price History'!$A:$A))-'Price History'!L3)*(ROW()-3)/(MATCH(9.99E+307,'Returns (Calc)'!$A:$A)-3),"")</f>
        <v>223.367610062893</v>
      </c>
      <c r="AH65" s="111" t="n">
        <f aca="false">IFERROR('Price History'!M3+(INDEX('Price History'!M:M,MATCH(9.99E+307,'Price History'!$A:$A))-'Price History'!M3)*(ROW()-3)/(MATCH(9.99E+307,'Returns (Calc)'!$A:$A)-3),"")</f>
        <v>129.832264150943</v>
      </c>
      <c r="AI65" s="111" t="n">
        <f aca="false">IFERROR('Price History'!N3+(INDEX('Price History'!N:N,MATCH(9.99E+307,'Price History'!$A:$A))-'Price History'!N3)*(ROW()-3)/(MATCH(9.99E+307,'Returns (Calc)'!$A:$A)-3),"")</f>
        <v>426.389056603774</v>
      </c>
      <c r="AJ65" s="111" t="n">
        <f aca="false">IFERROR('Price History'!O3+(INDEX('Price History'!O:O,MATCH(9.99E+307,'Price History'!$A:$A))-'Price History'!O3)*(ROW()-3)/(MATCH(9.99E+307,'Returns (Calc)'!$A:$A)-3),"")</f>
        <v>100.038427672956</v>
      </c>
      <c r="AK65" s="111" t="n">
        <f aca="false">IFERROR('Price History'!Q3+(INDEX('Price History'!Q:Q,MATCH(9.99E+307,'Price History'!$A:$A))-'Price History'!Q3)*(ROW()-3)/(MATCH(9.99E+307,'Returns (Calc)'!$A:$A)-3),"")</f>
        <v>57.5919496855346</v>
      </c>
      <c r="AL65" s="111" t="n">
        <f aca="false">IFERROR('Price History'!R3+(INDEX('Price History'!R:R,MATCH(9.99E+307,'Price History'!$A:$A))-'Price History'!R3)*(ROW()-3)/(MATCH(9.99E+307,'Returns (Calc)'!$A:$A)-3),"")</f>
        <v>52.5187421383648</v>
      </c>
      <c r="AM65" s="111" t="n">
        <f aca="false">IFERROR('Price History'!S3+(INDEX('Price History'!S:S,MATCH(9.99E+307,'Price History'!$A:$A))-'Price History'!S3)*(ROW()-3)/(MATCH(9.99E+307,'Returns (Calc)'!$A:$A)-3),"")</f>
        <v>94.094465408805</v>
      </c>
      <c r="AN65" s="111" t="n">
        <f aca="false">IFERROR('Price History'!T3+(INDEX('Price History'!T:T,MATCH(9.99E+307,'Price History'!$A:$A))-'Price History'!T3)*(ROW()-3)/(MATCH(9.99E+307,'Returns (Calc)'!$A:$A)-3),"")</f>
        <v>37.9764150943396</v>
      </c>
      <c r="AO65" s="112" t="n">
        <f aca="false">IFERROR('Price History'!V3+(INDEX('Price History'!V:V,MATCH(9.99E+307,'Price History'!$A:$A))-'Price History'!V3)*(ROW()-3)/(MATCH(9.99E+307,'Returns (Calc)'!$A:$A)-3),"")</f>
        <v>146.253710691824</v>
      </c>
    </row>
    <row r="66" customFormat="false" ht="15" hidden="false" customHeight="true" outlineLevel="0" collapsed="false">
      <c r="A66" s="108" t="n">
        <f aca="false">IF('Price History'!A67="","",'Price History'!A67)</f>
        <v>45597</v>
      </c>
      <c r="B66" s="109" t="n">
        <f aca="false">IFERROR(IF(OR(NOT(ISNUMBER('Price History'!B67)),NOT(ISNUMBER('Price History'!B66)),'Price History'!B66=0),"",'Price History'!B67/'Price History'!B66-1),"")</f>
        <v>-0.00190192673447454</v>
      </c>
      <c r="C66" s="109" t="n">
        <f aca="false">IFERROR(IF(OR(NOT(ISNUMBER('Price History'!C67)),NOT(ISNUMBER('Price History'!C66)),'Price History'!C66=0),"",'Price History'!C67/'Price History'!C66-1),"")</f>
        <v>0.000203004466098333</v>
      </c>
      <c r="D66" s="109" t="n">
        <f aca="false">IFERROR(IF(OR(NOT(ISNUMBER('Price History'!D67)),NOT(ISNUMBER('Price History'!D66)),'Price History'!D66=0),"",'Price History'!D67/'Price History'!D66-1),"")</f>
        <v>-0.051946044681748</v>
      </c>
      <c r="E66" s="109" t="n">
        <f aca="false">IFERROR(IF(OR(NOT(ISNUMBER('Price History'!E67)),NOT(ISNUMBER('Price History'!E66)),'Price History'!E66=0),"",'Price History'!E67/'Price History'!E66-1),"")</f>
        <v>-0.0235838150289018</v>
      </c>
      <c r="F66" s="109" t="n">
        <f aca="false">IFERROR(IF(OR(NOT(ISNUMBER('Price History'!F67)),NOT(ISNUMBER('Price History'!F66)),'Price History'!F66=0),"",'Price History'!F67/'Price History'!F66-1),"")</f>
        <v>0.00824906865353925</v>
      </c>
      <c r="G66" s="109" t="n">
        <f aca="false">IFERROR(IF(OR(NOT(ISNUMBER('Price History'!G67)),NOT(ISNUMBER('Price History'!G66)),'Price History'!G66=0),"",'Price History'!G67/'Price History'!G66-1),"")</f>
        <v>-0.00549695439013531</v>
      </c>
      <c r="H66" s="109" t="n">
        <f aca="false">IFERROR(IF(OR(NOT(ISNUMBER('Price History'!H67)),NOT(ISNUMBER('Price History'!H66)),'Price History'!H66=0),"",'Price History'!H67/'Price History'!H66-1),"")</f>
        <v>-0.0758039106662959</v>
      </c>
      <c r="I66" s="109" t="n">
        <f aca="false">IFERROR(IF(OR(NOT(ISNUMBER('Price History'!I67)),NOT(ISNUMBER('Price History'!I66)),'Price History'!I66=0),"",'Price History'!I67/'Price History'!I66-1),"")</f>
        <v>-0.0433799632612688</v>
      </c>
      <c r="J66" s="109" t="n">
        <f aca="false">IFERROR(IF(OR(NOT(ISNUMBER('Price History'!J67)),NOT(ISNUMBER('Price History'!J66)),'Price History'!J66=0),"",'Price History'!J67/'Price History'!J66-1),"")</f>
        <v>-0.0352220520673813</v>
      </c>
      <c r="K66" s="109" t="n">
        <f aca="false">IFERROR(IF(OR(NOT(ISNUMBER('Price History'!K67)),NOT(ISNUMBER('Price History'!K66)),'Price History'!K66=0),"",'Price History'!K67/'Price History'!K66-1),"")</f>
        <v>-0.0655372269282211</v>
      </c>
      <c r="L66" s="109" t="n">
        <f aca="false">IFERROR(IF(OR(NOT(ISNUMBER('Price History'!L67)),NOT(ISNUMBER('Price History'!L66)),'Price History'!L66=0),"",'Price History'!L67/'Price History'!L66-1),"")</f>
        <v>-0.0515631144317735</v>
      </c>
      <c r="M66" s="109" t="n">
        <f aca="false">IFERROR(IF(OR(NOT(ISNUMBER('Price History'!M67)),NOT(ISNUMBER('Price History'!M66)),'Price History'!M66=0),"",'Price History'!M67/'Price History'!M66-1),"")</f>
        <v>-0.0469822590710528</v>
      </c>
      <c r="N66" s="109" t="n">
        <f aca="false">IFERROR(IF(OR(NOT(ISNUMBER('Price History'!N67)),NOT(ISNUMBER('Price History'!N66)),'Price History'!N66=0),"",'Price History'!N67/'Price History'!N66-1),"")</f>
        <v>-0.0137743353569185</v>
      </c>
      <c r="O66" s="109" t="n">
        <f aca="false">IFERROR(IF(OR(NOT(ISNUMBER('Price History'!O67)),NOT(ISNUMBER('Price History'!O66)),'Price History'!O66=0),"",'Price History'!O67/'Price History'!O66-1),"")</f>
        <v>-0.00242309313105782</v>
      </c>
      <c r="P66" s="109" t="str">
        <f aca="false">IFERROR(IF(OR(NOT(ISNUMBER('Price History'!P67)),NOT(ISNUMBER('Price History'!P66)),'Price History'!P66=0),"",'Price History'!P67/'Price History'!P66-1),"")</f>
        <v/>
      </c>
      <c r="Q66" s="109" t="n">
        <f aca="false">IFERROR(IF(OR(NOT(ISNUMBER('Price History'!Q67)),NOT(ISNUMBER('Price History'!Q66)),'Price History'!Q66=0),"",'Price History'!Q67/'Price History'!Q66-1),"")</f>
        <v>-0.0123476333702707</v>
      </c>
      <c r="R66" s="109" t="n">
        <f aca="false">IFERROR(IF(OR(NOT(ISNUMBER('Price History'!R67)),NOT(ISNUMBER('Price History'!R66)),'Price History'!R66=0),"",'Price History'!R67/'Price History'!R66-1),"")</f>
        <v>-0.0173285198555957</v>
      </c>
      <c r="S66" s="109" t="n">
        <f aca="false">IFERROR(IF(OR(NOT(ISNUMBER('Price History'!S67)),NOT(ISNUMBER('Price History'!S66)),'Price History'!S66=0),"",'Price History'!S67/'Price History'!S66-1),"")</f>
        <v>-0.0137015859315999</v>
      </c>
      <c r="T66" s="109" t="n">
        <f aca="false">IFERROR(IF(OR(NOT(ISNUMBER('Price History'!T67)),NOT(ISNUMBER('Price History'!T66)),'Price History'!T66=0),"",'Price History'!T67/'Price History'!T66-1),"")</f>
        <v>0.000603500301749937</v>
      </c>
      <c r="U66" s="109" t="str">
        <f aca="false">IFERROR(IF(OR(NOT(ISNUMBER('Price History'!U67)),NOT(ISNUMBER('Price History'!U66)),'Price History'!U66=0),"",'Price History'!U67/'Price History'!U66-1),"")</f>
        <v/>
      </c>
      <c r="V66" s="110" t="n">
        <f aca="false">IFERROR(IF(OR(NOT(ISNUMBER('Price History'!V67)),NOT(ISNUMBER('Price History'!V66)),'Price History'!V66=0),"",'Price History'!V67/'Price History'!V66-1),"")</f>
        <v>0.0319582057286976</v>
      </c>
      <c r="W66" s="111" t="n">
        <f aca="false">IFERROR('Price History'!B3+(INDEX('Price History'!B:B,MATCH(9.99E+307,'Price History'!$A:$A))-'Price History'!B3)*(ROW()-3)/(MATCH(9.99E+307,'Returns (Calc)'!$A:$A)-3),"")</f>
        <v>412.586981132076</v>
      </c>
      <c r="X66" s="111" t="n">
        <f aca="false">IFERROR('Price History'!C3+(INDEX('Price History'!C:C,MATCH(9.99E+307,'Price History'!$A:$A))-'Price History'!C3)*(ROW()-3)/(MATCH(9.99E+307,'Returns (Calc)'!$A:$A)-3),"")</f>
        <v>103.189811320755</v>
      </c>
      <c r="Y66" s="111" t="n">
        <f aca="false">IFERROR('Price History'!D3+(INDEX('Price History'!D:D,MATCH(9.99E+307,'Price History'!$A:$A))-'Price History'!D3)*(ROW()-3)/(MATCH(9.99E+307,'Returns (Calc)'!$A:$A)-3),"")</f>
        <v>1079.04603773585</v>
      </c>
      <c r="Z66" s="111" t="n">
        <f aca="false">IFERROR('Price History'!E3+(INDEX('Price History'!E:E,MATCH(9.99E+307,'Price History'!$A:$A))-'Price History'!E3)*(ROW()-3)/(MATCH(9.99E+307,'Returns (Calc)'!$A:$A)-3),"")</f>
        <v>191.910566037736</v>
      </c>
      <c r="AA66" s="111" t="n">
        <f aca="false">IFERROR('Price History'!F3+(INDEX('Price History'!F:F,MATCH(9.99E+307,'Price History'!$A:$A))-'Price History'!F3)*(ROW()-3)/(MATCH(9.99E+307,'Returns (Calc)'!$A:$A)-3),"")</f>
        <v>106.811698113208</v>
      </c>
      <c r="AB66" s="111" t="n">
        <f aca="false">IFERROR('Price History'!G3+(INDEX('Price History'!G:G,MATCH(9.99E+307,'Price History'!$A:$A))-'Price History'!G3)*(ROW()-3)/(MATCH(9.99E+307,'Returns (Calc)'!$A:$A)-3),"")</f>
        <v>102.460377358491</v>
      </c>
      <c r="AC66" s="111" t="n">
        <f aca="false">IFERROR('Price History'!H3+(INDEX('Price History'!H:H,MATCH(9.99E+307,'Price History'!$A:$A))-'Price History'!H3)*(ROW()-3)/(MATCH(9.99E+307,'Returns (Calc)'!$A:$A)-3),"")</f>
        <v>441.664716981132</v>
      </c>
      <c r="AD66" s="111" t="n">
        <f aca="false">IFERROR('Price History'!I3+(INDEX('Price History'!I:I,MATCH(9.99E+307,'Price History'!$A:$A))-'Price History'!I3)*(ROW()-3)/(MATCH(9.99E+307,'Returns (Calc)'!$A:$A)-3),"")</f>
        <v>115.938867924528</v>
      </c>
      <c r="AE66" s="111" t="n">
        <f aca="false">IFERROR('Price History'!J3+(INDEX('Price History'!J:J,MATCH(9.99E+307,'Price History'!$A:$A))-'Price History'!J3)*(ROW()-3)/(MATCH(9.99E+307,'Returns (Calc)'!$A:$A)-3),"")</f>
        <v>128.989811320755</v>
      </c>
      <c r="AF66" s="111" t="n">
        <f aca="false">IFERROR('Price History'!K3+(INDEX('Price History'!K:K,MATCH(9.99E+307,'Price History'!$A:$A))-'Price History'!K3)*(ROW()-3)/(MATCH(9.99E+307,'Returns (Calc)'!$A:$A)-3),"")</f>
        <v>78.3783018867925</v>
      </c>
      <c r="AG66" s="111" t="n">
        <f aca="false">IFERROR('Price History'!L3+(INDEX('Price History'!L:L,MATCH(9.99E+307,'Price History'!$A:$A))-'Price History'!L3)*(ROW()-3)/(MATCH(9.99E+307,'Returns (Calc)'!$A:$A)-3),"")</f>
        <v>225.486603773585</v>
      </c>
      <c r="AH66" s="111" t="n">
        <f aca="false">IFERROR('Price History'!M3+(INDEX('Price History'!M:M,MATCH(9.99E+307,'Price History'!$A:$A))-'Price History'!M3)*(ROW()-3)/(MATCH(9.99E+307,'Returns (Calc)'!$A:$A)-3),"")</f>
        <v>131.385849056604</v>
      </c>
      <c r="AI66" s="111" t="n">
        <f aca="false">IFERROR('Price History'!N3+(INDEX('Price History'!N:N,MATCH(9.99E+307,'Price History'!$A:$A))-'Price History'!N3)*(ROW()-3)/(MATCH(9.99E+307,'Returns (Calc)'!$A:$A)-3),"")</f>
        <v>427.623396226415</v>
      </c>
      <c r="AJ66" s="111" t="n">
        <f aca="false">IFERROR('Price History'!O3+(INDEX('Price History'!O:O,MATCH(9.99E+307,'Price History'!$A:$A))-'Price History'!O3)*(ROW()-3)/(MATCH(9.99E+307,'Returns (Calc)'!$A:$A)-3),"")</f>
        <v>100.315660377358</v>
      </c>
      <c r="AK66" s="111" t="n">
        <f aca="false">IFERROR('Price History'!Q3+(INDEX('Price History'!Q:Q,MATCH(9.99E+307,'Price History'!$A:$A))-'Price History'!Q3)*(ROW()-3)/(MATCH(9.99E+307,'Returns (Calc)'!$A:$A)-3),"")</f>
        <v>57.7169811320755</v>
      </c>
      <c r="AL66" s="111" t="n">
        <f aca="false">IFERROR('Price History'!R3+(INDEX('Price History'!R:R,MATCH(9.99E+307,'Price History'!$A:$A))-'Price History'!R3)*(ROW()-3)/(MATCH(9.99E+307,'Returns (Calc)'!$A:$A)-3),"")</f>
        <v>52.5945283018868</v>
      </c>
      <c r="AM66" s="111" t="n">
        <f aca="false">IFERROR('Price History'!S3+(INDEX('Price History'!S:S,MATCH(9.99E+307,'Price History'!$A:$A))-'Price History'!S3)*(ROW()-3)/(MATCH(9.99E+307,'Returns (Calc)'!$A:$A)-3),"")</f>
        <v>94.6679245283019</v>
      </c>
      <c r="AN66" s="111" t="n">
        <f aca="false">IFERROR('Price History'!T3+(INDEX('Price History'!T:T,MATCH(9.99E+307,'Price History'!$A:$A))-'Price History'!T3)*(ROW()-3)/(MATCH(9.99E+307,'Returns (Calc)'!$A:$A)-3),"")</f>
        <v>38.1549056603774</v>
      </c>
      <c r="AO66" s="112" t="n">
        <f aca="false">IFERROR('Price History'!V3+(INDEX('Price History'!V:V,MATCH(9.99E+307,'Price History'!$A:$A))-'Price History'!V3)*(ROW()-3)/(MATCH(9.99E+307,'Returns (Calc)'!$A:$A)-3),"")</f>
        <v>148.612641509434</v>
      </c>
    </row>
    <row r="67" customFormat="false" ht="15" hidden="false" customHeight="true" outlineLevel="0" collapsed="false">
      <c r="A67" s="108" t="n">
        <f aca="false">IF('Price History'!A68="","",'Price History'!A68)</f>
        <v>45604</v>
      </c>
      <c r="B67" s="109" t="n">
        <f aca="false">IFERROR(IF(OR(NOT(ISNUMBER('Price History'!B68)),NOT(ISNUMBER('Price History'!B67)),'Price History'!B67=0),"",'Price History'!B68/'Price History'!B67-1),"")</f>
        <v>0.0246064623032312</v>
      </c>
      <c r="C67" s="109" t="n">
        <f aca="false">IFERROR(IF(OR(NOT(ISNUMBER('Price History'!C68)),NOT(ISNUMBER('Price History'!C67)),'Price History'!C67=0),"",'Price History'!C68/'Price History'!C67-1),"")</f>
        <v>0.0159326161964684</v>
      </c>
      <c r="D67" s="109" t="n">
        <f aca="false">IFERROR(IF(OR(NOT(ISNUMBER('Price History'!D68)),NOT(ISNUMBER('Price History'!D67)),'Price History'!D67=0),"",'Price History'!D68/'Price History'!D67-1),"")</f>
        <v>-0.00779571087694331</v>
      </c>
      <c r="E67" s="109" t="n">
        <f aca="false">IFERROR(IF(OR(NOT(ISNUMBER('Price History'!E68)),NOT(ISNUMBER('Price History'!E67)),'Price History'!E67=0),"",'Price History'!E68/'Price History'!E67-1),"")</f>
        <v>0.0871418422922092</v>
      </c>
      <c r="F67" s="109" t="n">
        <f aca="false">IFERROR(IF(OR(NOT(ISNUMBER('Price History'!F68)),NOT(ISNUMBER('Price History'!F67)),'Price History'!F67=0),"",'Price History'!F68/'Price History'!F67-1),"")</f>
        <v>0.0888097123251519</v>
      </c>
      <c r="G67" s="109" t="n">
        <f aca="false">IFERROR(IF(OR(NOT(ISNUMBER('Price History'!G68)),NOT(ISNUMBER('Price History'!G67)),'Price History'!G67=0),"",'Price History'!G68/'Price History'!G67-1),"")</f>
        <v>0.0268897520167313</v>
      </c>
      <c r="H67" s="109" t="n">
        <f aca="false">IFERROR(IF(OR(NOT(ISNUMBER('Price History'!H68)),NOT(ISNUMBER('Price History'!H67)),'Price History'!H67=0),"",'Price History'!H68/'Price History'!H67-1),"")</f>
        <v>0.122029479594906</v>
      </c>
      <c r="I67" s="109" t="n">
        <f aca="false">IFERROR(IF(OR(NOT(ISNUMBER('Price History'!I68)),NOT(ISNUMBER('Price History'!I67)),'Price History'!I67=0),"",'Price History'!I68/'Price History'!I67-1),"")</f>
        <v>0.0903249630723781</v>
      </c>
      <c r="J67" s="109" t="n">
        <f aca="false">IFERROR(IF(OR(NOT(ISNUMBER('Price History'!J68)),NOT(ISNUMBER('Price History'!J67)),'Price History'!J67=0),"",'Price History'!J68/'Price History'!J67-1),"")</f>
        <v>0.0214285714285714</v>
      </c>
      <c r="K67" s="109" t="n">
        <f aca="false">IFERROR(IF(OR(NOT(ISNUMBER('Price History'!K68)),NOT(ISNUMBER('Price History'!K67)),'Price History'!K67=0),"",'Price History'!K68/'Price History'!K67-1),"")</f>
        <v>0.392891221374046</v>
      </c>
      <c r="L67" s="109" t="n">
        <f aca="false">IFERROR(IF(OR(NOT(ISNUMBER('Price History'!L68)),NOT(ISNUMBER('Price History'!L67)),'Price History'!L67=0),"",'Price History'!L68/'Price History'!L67-1),"")</f>
        <v>0.0427571909821198</v>
      </c>
      <c r="M67" s="109" t="n">
        <f aca="false">IFERROR(IF(OR(NOT(ISNUMBER('Price History'!M68)),NOT(ISNUMBER('Price History'!M67)),'Price History'!M67=0),"",'Price History'!M68/'Price History'!M67-1),"")</f>
        <v>0.176333021515435</v>
      </c>
      <c r="N67" s="109" t="n">
        <f aca="false">IFERROR(IF(OR(NOT(ISNUMBER('Price History'!N68)),NOT(ISNUMBER('Price History'!N67)),'Price History'!N67=0),"",'Price History'!N68/'Price History'!N67-1),"")</f>
        <v>0.0968330786211582</v>
      </c>
      <c r="O67" s="109" t="n">
        <f aca="false">IFERROR(IF(OR(NOT(ISNUMBER('Price History'!O68)),NOT(ISNUMBER('Price History'!O67)),'Price History'!O67=0),"",'Price History'!O68/'Price History'!O67-1),"")</f>
        <v>0.0886049213222093</v>
      </c>
      <c r="P67" s="109" t="str">
        <f aca="false">IFERROR(IF(OR(NOT(ISNUMBER('Price History'!P68)),NOT(ISNUMBER('Price History'!P67)),'Price History'!P67=0),"",'Price History'!P68/'Price History'!P67-1),"")</f>
        <v/>
      </c>
      <c r="Q67" s="109" t="n">
        <f aca="false">IFERROR(IF(OR(NOT(ISNUMBER('Price History'!Q68)),NOT(ISNUMBER('Price History'!Q67)),'Price History'!Q67=0),"",'Price History'!Q68/'Price History'!Q67-1),"")</f>
        <v>0.00416733450873541</v>
      </c>
      <c r="R67" s="109" t="n">
        <f aca="false">IFERROR(IF(OR(NOT(ISNUMBER('Price History'!R68)),NOT(ISNUMBER('Price History'!R67)),'Price History'!R67=0),"",'Price History'!R68/'Price History'!R67-1),"")</f>
        <v>0.038574577516532</v>
      </c>
      <c r="S67" s="109" t="n">
        <f aca="false">IFERROR(IF(OR(NOT(ISNUMBER('Price History'!S68)),NOT(ISNUMBER('Price History'!S67)),'Price History'!S67=0),"",'Price History'!S68/'Price History'!S67-1),"")</f>
        <v>0.0598337344126012</v>
      </c>
      <c r="T67" s="109" t="n">
        <f aca="false">IFERROR(IF(OR(NOT(ISNUMBER('Price History'!T68)),NOT(ISNUMBER('Price History'!T67)),'Price History'!T67=0),"",'Price History'!T68/'Price History'!T67-1),"")</f>
        <v>0.0775030156815439</v>
      </c>
      <c r="U67" s="109" t="str">
        <f aca="false">IFERROR(IF(OR(NOT(ISNUMBER('Price History'!U68)),NOT(ISNUMBER('Price History'!U67)),'Price History'!U67=0),"",'Price History'!U68/'Price History'!U67-1),"")</f>
        <v/>
      </c>
      <c r="V67" s="110" t="n">
        <f aca="false">IFERROR(IF(OR(NOT(ISNUMBER('Price History'!V68)),NOT(ISNUMBER('Price History'!V67)),'Price History'!V67=0),"",'Price History'!V68/'Price History'!V67-1),"")</f>
        <v>0.0589344319530758</v>
      </c>
      <c r="W67" s="111" t="n">
        <f aca="false">IFERROR('Price History'!B3+(INDEX('Price History'!B:B,MATCH(9.99E+307,'Price History'!$A:$A))-'Price History'!B3)*(ROW()-3)/(MATCH(9.99E+307,'Returns (Calc)'!$A:$A)-3),"")</f>
        <v>411.06534591195</v>
      </c>
      <c r="X67" s="111" t="n">
        <f aca="false">IFERROR('Price History'!C3+(INDEX('Price History'!C:C,MATCH(9.99E+307,'Price History'!$A:$A))-'Price History'!C3)*(ROW()-3)/(MATCH(9.99E+307,'Returns (Calc)'!$A:$A)-3),"")</f>
        <v>104.133459119497</v>
      </c>
      <c r="Y67" s="111" t="n">
        <f aca="false">IFERROR('Price History'!D3+(INDEX('Price History'!D:D,MATCH(9.99E+307,'Price History'!$A:$A))-'Price History'!D3)*(ROW()-3)/(MATCH(9.99E+307,'Returns (Calc)'!$A:$A)-3),"")</f>
        <v>1085.6693081761</v>
      </c>
      <c r="Z67" s="111" t="n">
        <f aca="false">IFERROR('Price History'!E3+(INDEX('Price History'!E:E,MATCH(9.99E+307,'Price History'!$A:$A))-'Price History'!E3)*(ROW()-3)/(MATCH(9.99E+307,'Returns (Calc)'!$A:$A)-3),"")</f>
        <v>193.639622641509</v>
      </c>
      <c r="AA67" s="111" t="n">
        <f aca="false">IFERROR('Price History'!F3+(INDEX('Price History'!F:F,MATCH(9.99E+307,'Price History'!$A:$A))-'Price History'!F3)*(ROW()-3)/(MATCH(9.99E+307,'Returns (Calc)'!$A:$A)-3),"")</f>
        <v>107.918867924528</v>
      </c>
      <c r="AB67" s="111" t="n">
        <f aca="false">IFERROR('Price History'!G3+(INDEX('Price History'!G:G,MATCH(9.99E+307,'Price History'!$A:$A))-'Price History'!G3)*(ROW()-3)/(MATCH(9.99E+307,'Returns (Calc)'!$A:$A)-3),"")</f>
        <v>103.32641509434</v>
      </c>
      <c r="AC67" s="111" t="n">
        <f aca="false">IFERROR('Price History'!H3+(INDEX('Price History'!H:H,MATCH(9.99E+307,'Price History'!$A:$A))-'Price History'!H3)*(ROW()-3)/(MATCH(9.99E+307,'Returns (Calc)'!$A:$A)-3),"")</f>
        <v>447.653522012579</v>
      </c>
      <c r="AD67" s="111" t="n">
        <f aca="false">IFERROR('Price History'!I3+(INDEX('Price History'!I:I,MATCH(9.99E+307,'Price History'!$A:$A))-'Price History'!I3)*(ROW()-3)/(MATCH(9.99E+307,'Returns (Calc)'!$A:$A)-3),"")</f>
        <v>117.130754716981</v>
      </c>
      <c r="AE67" s="111" t="n">
        <f aca="false">IFERROR('Price History'!J3+(INDEX('Price History'!J:J,MATCH(9.99E+307,'Price History'!$A:$A))-'Price History'!J3)*(ROW()-3)/(MATCH(9.99E+307,'Returns (Calc)'!$A:$A)-3),"")</f>
        <v>129.07679245283</v>
      </c>
      <c r="AF67" s="111" t="n">
        <f aca="false">IFERROR('Price History'!K3+(INDEX('Price History'!K:K,MATCH(9.99E+307,'Price History'!$A:$A))-'Price History'!K3)*(ROW()-3)/(MATCH(9.99E+307,'Returns (Calc)'!$A:$A)-3),"")</f>
        <v>79.3777987421384</v>
      </c>
      <c r="AG67" s="111" t="n">
        <f aca="false">IFERROR('Price History'!L3+(INDEX('Price History'!L:L,MATCH(9.99E+307,'Price History'!$A:$A))-'Price History'!L3)*(ROW()-3)/(MATCH(9.99E+307,'Returns (Calc)'!$A:$A)-3),"")</f>
        <v>227.605597484277</v>
      </c>
      <c r="AH67" s="111" t="n">
        <f aca="false">IFERROR('Price History'!M3+(INDEX('Price History'!M:M,MATCH(9.99E+307,'Price History'!$A:$A))-'Price History'!M3)*(ROW()-3)/(MATCH(9.99E+307,'Returns (Calc)'!$A:$A)-3),"")</f>
        <v>132.939433962264</v>
      </c>
      <c r="AI67" s="111" t="n">
        <f aca="false">IFERROR('Price History'!N3+(INDEX('Price History'!N:N,MATCH(9.99E+307,'Price History'!$A:$A))-'Price History'!N3)*(ROW()-3)/(MATCH(9.99E+307,'Returns (Calc)'!$A:$A)-3),"")</f>
        <v>428.857735849057</v>
      </c>
      <c r="AJ67" s="111" t="n">
        <f aca="false">IFERROR('Price History'!O3+(INDEX('Price History'!O:O,MATCH(9.99E+307,'Price History'!$A:$A))-'Price History'!O3)*(ROW()-3)/(MATCH(9.99E+307,'Returns (Calc)'!$A:$A)-3),"")</f>
        <v>100.592893081761</v>
      </c>
      <c r="AK67" s="111" t="n">
        <f aca="false">IFERROR('Price History'!Q3+(INDEX('Price History'!Q:Q,MATCH(9.99E+307,'Price History'!$A:$A))-'Price History'!Q3)*(ROW()-3)/(MATCH(9.99E+307,'Returns (Calc)'!$A:$A)-3),"")</f>
        <v>57.8420125786164</v>
      </c>
      <c r="AL67" s="111" t="n">
        <f aca="false">IFERROR('Price History'!R3+(INDEX('Price History'!R:R,MATCH(9.99E+307,'Price History'!$A:$A))-'Price History'!R3)*(ROW()-3)/(MATCH(9.99E+307,'Returns (Calc)'!$A:$A)-3),"")</f>
        <v>52.6703144654088</v>
      </c>
      <c r="AM67" s="111" t="n">
        <f aca="false">IFERROR('Price History'!S3+(INDEX('Price History'!S:S,MATCH(9.99E+307,'Price History'!$A:$A))-'Price History'!S3)*(ROW()-3)/(MATCH(9.99E+307,'Returns (Calc)'!$A:$A)-3),"")</f>
        <v>95.2413836477987</v>
      </c>
      <c r="AN67" s="111" t="n">
        <f aca="false">IFERROR('Price History'!T3+(INDEX('Price History'!T:T,MATCH(9.99E+307,'Price History'!$A:$A))-'Price History'!T3)*(ROW()-3)/(MATCH(9.99E+307,'Returns (Calc)'!$A:$A)-3),"")</f>
        <v>38.3333962264151</v>
      </c>
      <c r="AO67" s="112" t="n">
        <f aca="false">IFERROR('Price History'!V3+(INDEX('Price History'!V:V,MATCH(9.99E+307,'Price History'!$A:$A))-'Price History'!V3)*(ROW()-3)/(MATCH(9.99E+307,'Returns (Calc)'!$A:$A)-3),"")</f>
        <v>150.971572327044</v>
      </c>
    </row>
    <row r="68" customFormat="false" ht="15" hidden="false" customHeight="true" outlineLevel="0" collapsed="false">
      <c r="A68" s="108" t="n">
        <f aca="false">IF('Price History'!A69="","",'Price History'!A69)</f>
        <v>45611</v>
      </c>
      <c r="B68" s="109" t="n">
        <f aca="false">IFERROR(IF(OR(NOT(ISNUMBER('Price History'!B69)),NOT(ISNUMBER('Price History'!B68)),'Price History'!B68=0),"",'Price History'!B69/'Price History'!B68-1),"")</f>
        <v>0.0175669119430744</v>
      </c>
      <c r="C68" s="109" t="n">
        <f aca="false">IFERROR(IF(OR(NOT(ISNUMBER('Price History'!C69)),NOT(ISNUMBER('Price History'!C68)),'Price History'!C68=0),"",'Price History'!C69/'Price History'!C68-1),"")</f>
        <v>-0.0650284686844471</v>
      </c>
      <c r="D68" s="109" t="n">
        <f aca="false">IFERROR(IF(OR(NOT(ISNUMBER('Price History'!D69)),NOT(ISNUMBER('Price History'!D68)),'Price History'!D68=0),"",'Price History'!D69/'Price History'!D68-1),"")</f>
        <v>-0.0161919130058106</v>
      </c>
      <c r="E68" s="109" t="n">
        <f aca="false">IFERROR(IF(OR(NOT(ISNUMBER('Price History'!E69)),NOT(ISNUMBER('Price History'!E68)),'Price History'!E68=0),"",'Price History'!E69/'Price History'!E68-1),"")</f>
        <v>-0.102374210411675</v>
      </c>
      <c r="F68" s="109" t="n">
        <f aca="false">IFERROR(IF(OR(NOT(ISNUMBER('Price History'!F69)),NOT(ISNUMBER('Price History'!F68)),'Price History'!F68=0),"",'Price History'!F69/'Price History'!F68-1),"")</f>
        <v>0.020361168343231</v>
      </c>
      <c r="G68" s="109" t="n">
        <f aca="false">IFERROR(IF(OR(NOT(ISNUMBER('Price History'!G69)),NOT(ISNUMBER('Price History'!G68)),'Price History'!G68=0),"",'Price History'!G69/'Price History'!G68-1),"")</f>
        <v>-0.106051789351178</v>
      </c>
      <c r="H68" s="109" t="n">
        <f aca="false">IFERROR(IF(OR(NOT(ISNUMBER('Price History'!H69)),NOT(ISNUMBER('Price History'!H68)),'Price History'!H68=0),"",'Price History'!H69/'Price History'!H68-1),"")</f>
        <v>-0.1390527256479</v>
      </c>
      <c r="I68" s="109" t="n">
        <f aca="false">IFERROR(IF(OR(NOT(ISNUMBER('Price History'!I69)),NOT(ISNUMBER('Price History'!I68)),'Price History'!I68=0),"",'Price History'!I69/'Price History'!I68-1),"")</f>
        <v>-0.0382713540608278</v>
      </c>
      <c r="J68" s="109" t="n">
        <f aca="false">IFERROR(IF(OR(NOT(ISNUMBER('Price History'!J69)),NOT(ISNUMBER('Price History'!J68)),'Price History'!J68=0),"",'Price History'!J69/'Price History'!J68-1),"")</f>
        <v>-0.0208063541396875</v>
      </c>
      <c r="K68" s="109" t="n">
        <f aca="false">IFERROR(IF(OR(NOT(ISNUMBER('Price History'!K69)),NOT(ISNUMBER('Price History'!K68)),'Price History'!K68=0),"",'Price History'!K69/'Price History'!K68-1),"")</f>
        <v>0.126391505394759</v>
      </c>
      <c r="L68" s="109" t="n">
        <f aca="false">IFERROR(IF(OR(NOT(ISNUMBER('Price History'!L69)),NOT(ISNUMBER('Price History'!L68)),'Price History'!L68=0),"",'Price History'!L69/'Price History'!L68-1),"")</f>
        <v>-0.0754970178926442</v>
      </c>
      <c r="M68" s="109" t="n">
        <f aca="false">IFERROR(IF(OR(NOT(ISNUMBER('Price History'!M69)),NOT(ISNUMBER('Price History'!M68)),'Price History'!M68=0),"",'Price History'!M69/'Price History'!M68-1),"")</f>
        <v>-0.038807157057654</v>
      </c>
      <c r="N68" s="109" t="n">
        <f aca="false">IFERROR(IF(OR(NOT(ISNUMBER('Price History'!N69)),NOT(ISNUMBER('Price History'!N68)),'Price History'!N68=0),"",'Price History'!N69/'Price History'!N68-1),"")</f>
        <v>-0.0987730773696637</v>
      </c>
      <c r="O68" s="109" t="n">
        <f aca="false">IFERROR(IF(OR(NOT(ISNUMBER('Price History'!O69)),NOT(ISNUMBER('Price History'!O68)),'Price History'!O68=0),"",'Price History'!O69/'Price History'!O68-1),"")</f>
        <v>-0.0194024058983314</v>
      </c>
      <c r="P68" s="109" t="str">
        <f aca="false">IFERROR(IF(OR(NOT(ISNUMBER('Price History'!P69)),NOT(ISNUMBER('Price History'!P68)),'Price History'!P68=0),"",'Price History'!P69/'Price History'!P68-1),"")</f>
        <v/>
      </c>
      <c r="Q68" s="109" t="n">
        <f aca="false">IFERROR(IF(OR(NOT(ISNUMBER('Price History'!Q69)),NOT(ISNUMBER('Price History'!Q68)),'Price History'!Q68=0),"",'Price History'!Q69/'Price History'!Q68-1),"")</f>
        <v>-0.00399042298483643</v>
      </c>
      <c r="R68" s="109" t="n">
        <f aca="false">IFERROR(IF(OR(NOT(ISNUMBER('Price History'!R69)),NOT(ISNUMBER('Price History'!R68)),'Price History'!R68=0),"",'Price History'!R69/'Price History'!R68-1),"")</f>
        <v>-0.0164485320127343</v>
      </c>
      <c r="S68" s="109" t="n">
        <f aca="false">IFERROR(IF(OR(NOT(ISNUMBER('Price History'!S69)),NOT(ISNUMBER('Price History'!S68)),'Price History'!S68=0),"",'Price History'!S69/'Price History'!S68-1),"")</f>
        <v>-0.030859737847043</v>
      </c>
      <c r="T68" s="109" t="n">
        <f aca="false">IFERROR(IF(OR(NOT(ISNUMBER('Price History'!T69)),NOT(ISNUMBER('Price History'!T68)),'Price History'!T68=0),"",'Price History'!T69/'Price History'!T68-1),"")</f>
        <v>-0.0153932269801287</v>
      </c>
      <c r="U68" s="109" t="str">
        <f aca="false">IFERROR(IF(OR(NOT(ISNUMBER('Price History'!U69)),NOT(ISNUMBER('Price History'!U68)),'Price History'!U68=0),"",'Price History'!U69/'Price History'!U68-1),"")</f>
        <v/>
      </c>
      <c r="V68" s="110" t="n">
        <f aca="false">IFERROR(IF(OR(NOT(ISNUMBER('Price History'!V69)),NOT(ISNUMBER('Price History'!V68)),'Price History'!V68=0),"",'Price History'!V69/'Price History'!V68-1),"")</f>
        <v>0.00764919221892524</v>
      </c>
      <c r="W68" s="111" t="n">
        <f aca="false">IFERROR('Price History'!B3+(INDEX('Price History'!B:B,MATCH(9.99E+307,'Price History'!$A:$A))-'Price History'!B3)*(ROW()-3)/(MATCH(9.99E+307,'Returns (Calc)'!$A:$A)-3),"")</f>
        <v>409.543710691824</v>
      </c>
      <c r="X68" s="111" t="n">
        <f aca="false">IFERROR('Price History'!C3+(INDEX('Price History'!C:C,MATCH(9.99E+307,'Price History'!$A:$A))-'Price History'!C3)*(ROW()-3)/(MATCH(9.99E+307,'Returns (Calc)'!$A:$A)-3),"")</f>
        <v>105.077106918239</v>
      </c>
      <c r="Y68" s="111" t="n">
        <f aca="false">IFERROR('Price History'!D3+(INDEX('Price History'!D:D,MATCH(9.99E+307,'Price History'!$A:$A))-'Price History'!D3)*(ROW()-3)/(MATCH(9.99E+307,'Returns (Calc)'!$A:$A)-3),"")</f>
        <v>1092.29257861635</v>
      </c>
      <c r="Z68" s="111" t="n">
        <f aca="false">IFERROR('Price History'!E3+(INDEX('Price History'!E:E,MATCH(9.99E+307,'Price History'!$A:$A))-'Price History'!E3)*(ROW()-3)/(MATCH(9.99E+307,'Returns (Calc)'!$A:$A)-3),"")</f>
        <v>195.368679245283</v>
      </c>
      <c r="AA68" s="111" t="n">
        <f aca="false">IFERROR('Price History'!F3+(INDEX('Price History'!F:F,MATCH(9.99E+307,'Price History'!$A:$A))-'Price History'!F3)*(ROW()-3)/(MATCH(9.99E+307,'Returns (Calc)'!$A:$A)-3),"")</f>
        <v>109.026037735849</v>
      </c>
      <c r="AB68" s="111" t="n">
        <f aca="false">IFERROR('Price History'!G3+(INDEX('Price History'!G:G,MATCH(9.99E+307,'Price History'!$A:$A))-'Price History'!G3)*(ROW()-3)/(MATCH(9.99E+307,'Returns (Calc)'!$A:$A)-3),"")</f>
        <v>104.192452830189</v>
      </c>
      <c r="AC68" s="111" t="n">
        <f aca="false">IFERROR('Price History'!H3+(INDEX('Price History'!H:H,MATCH(9.99E+307,'Price History'!$A:$A))-'Price History'!H3)*(ROW()-3)/(MATCH(9.99E+307,'Returns (Calc)'!$A:$A)-3),"")</f>
        <v>453.642327044025</v>
      </c>
      <c r="AD68" s="111" t="n">
        <f aca="false">IFERROR('Price History'!I3+(INDEX('Price History'!I:I,MATCH(9.99E+307,'Price History'!$A:$A))-'Price History'!I3)*(ROW()-3)/(MATCH(9.99E+307,'Returns (Calc)'!$A:$A)-3),"")</f>
        <v>118.322641509434</v>
      </c>
      <c r="AE68" s="111" t="n">
        <f aca="false">IFERROR('Price History'!J3+(INDEX('Price History'!J:J,MATCH(9.99E+307,'Price History'!$A:$A))-'Price History'!J3)*(ROW()-3)/(MATCH(9.99E+307,'Returns (Calc)'!$A:$A)-3),"")</f>
        <v>129.163773584906</v>
      </c>
      <c r="AF68" s="111" t="n">
        <f aca="false">IFERROR('Price History'!K3+(INDEX('Price History'!K:K,MATCH(9.99E+307,'Price History'!$A:$A))-'Price History'!K3)*(ROW()-3)/(MATCH(9.99E+307,'Returns (Calc)'!$A:$A)-3),"")</f>
        <v>80.3772955974843</v>
      </c>
      <c r="AG68" s="111" t="n">
        <f aca="false">IFERROR('Price History'!L3+(INDEX('Price History'!L:L,MATCH(9.99E+307,'Price History'!$A:$A))-'Price History'!L3)*(ROW()-3)/(MATCH(9.99E+307,'Returns (Calc)'!$A:$A)-3),"")</f>
        <v>229.724591194969</v>
      </c>
      <c r="AH68" s="111" t="n">
        <f aca="false">IFERROR('Price History'!M3+(INDEX('Price History'!M:M,MATCH(9.99E+307,'Price History'!$A:$A))-'Price History'!M3)*(ROW()-3)/(MATCH(9.99E+307,'Returns (Calc)'!$A:$A)-3),"")</f>
        <v>134.493018867925</v>
      </c>
      <c r="AI68" s="111" t="n">
        <f aca="false">IFERROR('Price History'!N3+(INDEX('Price History'!N:N,MATCH(9.99E+307,'Price History'!$A:$A))-'Price History'!N3)*(ROW()-3)/(MATCH(9.99E+307,'Returns (Calc)'!$A:$A)-3),"")</f>
        <v>430.092075471698</v>
      </c>
      <c r="AJ68" s="111" t="n">
        <f aca="false">IFERROR('Price History'!O3+(INDEX('Price History'!O:O,MATCH(9.99E+307,'Price History'!$A:$A))-'Price History'!O3)*(ROW()-3)/(MATCH(9.99E+307,'Returns (Calc)'!$A:$A)-3),"")</f>
        <v>100.870125786164</v>
      </c>
      <c r="AK68" s="111" t="n">
        <f aca="false">IFERROR('Price History'!Q3+(INDEX('Price History'!Q:Q,MATCH(9.99E+307,'Price History'!$A:$A))-'Price History'!Q3)*(ROW()-3)/(MATCH(9.99E+307,'Returns (Calc)'!$A:$A)-3),"")</f>
        <v>57.9670440251572</v>
      </c>
      <c r="AL68" s="111" t="n">
        <f aca="false">IFERROR('Price History'!R3+(INDEX('Price History'!R:R,MATCH(9.99E+307,'Price History'!$A:$A))-'Price History'!R3)*(ROW()-3)/(MATCH(9.99E+307,'Returns (Calc)'!$A:$A)-3),"")</f>
        <v>52.7461006289308</v>
      </c>
      <c r="AM68" s="111" t="n">
        <f aca="false">IFERROR('Price History'!S3+(INDEX('Price History'!S:S,MATCH(9.99E+307,'Price History'!$A:$A))-'Price History'!S3)*(ROW()-3)/(MATCH(9.99E+307,'Returns (Calc)'!$A:$A)-3),"")</f>
        <v>95.8148427672956</v>
      </c>
      <c r="AN68" s="111" t="n">
        <f aca="false">IFERROR('Price History'!T3+(INDEX('Price History'!T:T,MATCH(9.99E+307,'Price History'!$A:$A))-'Price History'!T3)*(ROW()-3)/(MATCH(9.99E+307,'Returns (Calc)'!$A:$A)-3),"")</f>
        <v>38.5118867924528</v>
      </c>
      <c r="AO68" s="112" t="n">
        <f aca="false">IFERROR('Price History'!V3+(INDEX('Price History'!V:V,MATCH(9.99E+307,'Price History'!$A:$A))-'Price History'!V3)*(ROW()-3)/(MATCH(9.99E+307,'Returns (Calc)'!$A:$A)-3),"")</f>
        <v>153.330503144654</v>
      </c>
    </row>
    <row r="69" customFormat="false" ht="15" hidden="false" customHeight="true" outlineLevel="0" collapsed="false">
      <c r="A69" s="108" t="n">
        <f aca="false">IF('Price History'!A70="","",'Price History'!A70)</f>
        <v>45618</v>
      </c>
      <c r="B69" s="109" t="n">
        <f aca="false">IFERROR(IF(OR(NOT(ISNUMBER('Price History'!B70)),NOT(ISNUMBER('Price History'!B69)),'Price History'!B69=0),"",'Price History'!B70/'Price History'!B69-1),"")</f>
        <v>0.0174424379680951</v>
      </c>
      <c r="C69" s="109" t="n">
        <f aca="false">IFERROR(IF(OR(NOT(ISNUMBER('Price History'!C70)),NOT(ISNUMBER('Price History'!C69)),'Price History'!C69=0),"",'Price History'!C70/'Price History'!C69-1),"")</f>
        <v>0.0856837606837608</v>
      </c>
      <c r="D69" s="109" t="n">
        <f aca="false">IFERROR(IF(OR(NOT(ISNUMBER('Price History'!D70)),NOT(ISNUMBER('Price History'!D69)),'Price History'!D69=0),"",'Price History'!D70/'Price History'!D69-1),"")</f>
        <v>0.0216358198077828</v>
      </c>
      <c r="E69" s="109" t="n">
        <f aca="false">IFERROR(IF(OR(NOT(ISNUMBER('Price History'!E70)),NOT(ISNUMBER('Price History'!E69)),'Price History'!E69=0),"",'Price History'!E70/'Price History'!E69-1),"")</f>
        <v>-0.00370055811696202</v>
      </c>
      <c r="F69" s="109" t="n">
        <f aca="false">IFERROR(IF(OR(NOT(ISNUMBER('Price History'!F70)),NOT(ISNUMBER('Price History'!F69)),'Price History'!F69=0),"",'Price History'!F70/'Price History'!F69-1),"")</f>
        <v>0.10547570970424</v>
      </c>
      <c r="G69" s="109" t="n">
        <f aca="false">IFERROR(IF(OR(NOT(ISNUMBER('Price History'!G70)),NOT(ISNUMBER('Price History'!G69)),'Price History'!G69=0),"",'Price History'!G70/'Price History'!G69-1),"")</f>
        <v>0.040846216436127</v>
      </c>
      <c r="H69" s="109" t="n">
        <f aca="false">IFERROR(IF(OR(NOT(ISNUMBER('Price History'!H70)),NOT(ISNUMBER('Price History'!H69)),'Price History'!H69=0),"",'Price History'!H70/'Price History'!H69-1),"")</f>
        <v>0.0653933983807349</v>
      </c>
      <c r="I69" s="109" t="n">
        <f aca="false">IFERROR(IF(OR(NOT(ISNUMBER('Price History'!I70)),NOT(ISNUMBER('Price History'!I69)),'Price History'!I69=0),"",'Price History'!I70/'Price History'!I69-1),"")</f>
        <v>-0.000211297365826146</v>
      </c>
      <c r="J69" s="109" t="n">
        <f aca="false">IFERROR(IF(OR(NOT(ISNUMBER('Price History'!J70)),NOT(ISNUMBER('Price History'!J69)),'Price History'!J69=0),"",'Price History'!J70/'Price History'!J69-1),"")</f>
        <v>0.0209839534473637</v>
      </c>
      <c r="K69" s="109" t="n">
        <f aca="false">IFERROR(IF(OR(NOT(ISNUMBER('Price History'!K70)),NOT(ISNUMBER('Price History'!K69)),'Price History'!K69=0),"",'Price History'!K70/'Price History'!K69-1),"")</f>
        <v>-0.0215903907556637</v>
      </c>
      <c r="L69" s="109" t="n">
        <f aca="false">IFERROR(IF(OR(NOT(ISNUMBER('Price History'!L70)),NOT(ISNUMBER('Price History'!L69)),'Price History'!L69=0),"",'Price History'!L70/'Price History'!L69-1),"")</f>
        <v>0.0218805440567713</v>
      </c>
      <c r="M69" s="109" t="n">
        <f aca="false">IFERROR(IF(OR(NOT(ISNUMBER('Price History'!M70)),NOT(ISNUMBER('Price History'!M69)),'Price History'!M69=0),"",'Price History'!M70/'Price History'!M69-1),"")</f>
        <v>0.159510217589145</v>
      </c>
      <c r="N69" s="109" t="n">
        <f aca="false">IFERROR(IF(OR(NOT(ISNUMBER('Price History'!N70)),NOT(ISNUMBER('Price History'!N69)),'Price History'!N69=0),"",'Price History'!N70/'Price History'!N69-1),"")</f>
        <v>-0.0316298045952329</v>
      </c>
      <c r="O69" s="109" t="n">
        <f aca="false">IFERROR(IF(OR(NOT(ISNUMBER('Price History'!O70)),NOT(ISNUMBER('Price History'!O69)),'Price History'!O69=0),"",'Price History'!O70/'Price History'!O69-1),"")</f>
        <v>0.0366046695686586</v>
      </c>
      <c r="P69" s="109" t="str">
        <f aca="false">IFERROR(IF(OR(NOT(ISNUMBER('Price History'!P70)),NOT(ISNUMBER('Price History'!P69)),'Price History'!P69=0),"",'Price History'!P70/'Price History'!P69-1),"")</f>
        <v/>
      </c>
      <c r="Q69" s="109" t="n">
        <f aca="false">IFERROR(IF(OR(NOT(ISNUMBER('Price History'!Q70)),NOT(ISNUMBER('Price History'!Q69)),'Price History'!Q69=0),"",'Price History'!Q70/'Price History'!Q69-1),"")</f>
        <v>-0.0121794871794871</v>
      </c>
      <c r="R69" s="109" t="n">
        <f aca="false">IFERROR(IF(OR(NOT(ISNUMBER('Price History'!R70)),NOT(ISNUMBER('Price History'!R69)),'Price History'!R69=0),"",'Price History'!R70/'Price History'!R69-1),"")</f>
        <v>0.0172630821794642</v>
      </c>
      <c r="S69" s="109" t="n">
        <f aca="false">IFERROR(IF(OR(NOT(ISNUMBER('Price History'!S70)),NOT(ISNUMBER('Price History'!S69)),'Price History'!S69=0),"",'Price History'!S70/'Price History'!S69-1),"")</f>
        <v>0.0178913738019169</v>
      </c>
      <c r="T69" s="109" t="n">
        <f aca="false">IFERROR(IF(OR(NOT(ISNUMBER('Price History'!T70)),NOT(ISNUMBER('Price History'!T69)),'Price History'!T69=0),"",'Price History'!T70/'Price History'!T69-1),"")</f>
        <v>0.0386583285957931</v>
      </c>
      <c r="U69" s="109" t="str">
        <f aca="false">IFERROR(IF(OR(NOT(ISNUMBER('Price History'!U70)),NOT(ISNUMBER('Price History'!U69)),'Price History'!U69=0),"",'Price History'!U70/'Price History'!U69-1),"")</f>
        <v/>
      </c>
      <c r="V69" s="110" t="n">
        <f aca="false">IFERROR(IF(OR(NOT(ISNUMBER('Price History'!V70)),NOT(ISNUMBER('Price History'!V69)),'Price History'!V69=0),"",'Price History'!V70/'Price History'!V69-1),"")</f>
        <v>0.000916170407695649</v>
      </c>
      <c r="W69" s="111" t="n">
        <f aca="false">IFERROR('Price History'!B3+(INDEX('Price History'!B:B,MATCH(9.99E+307,'Price History'!$A:$A))-'Price History'!B3)*(ROW()-3)/(MATCH(9.99E+307,'Returns (Calc)'!$A:$A)-3),"")</f>
        <v>408.022075471698</v>
      </c>
      <c r="X69" s="111" t="n">
        <f aca="false">IFERROR('Price History'!C3+(INDEX('Price History'!C:C,MATCH(9.99E+307,'Price History'!$A:$A))-'Price History'!C3)*(ROW()-3)/(MATCH(9.99E+307,'Returns (Calc)'!$A:$A)-3),"")</f>
        <v>106.020754716981</v>
      </c>
      <c r="Y69" s="111" t="n">
        <f aca="false">IFERROR('Price History'!D3+(INDEX('Price History'!D:D,MATCH(9.99E+307,'Price History'!$A:$A))-'Price History'!D3)*(ROW()-3)/(MATCH(9.99E+307,'Returns (Calc)'!$A:$A)-3),"")</f>
        <v>1098.9158490566</v>
      </c>
      <c r="Z69" s="111" t="n">
        <f aca="false">IFERROR('Price History'!E3+(INDEX('Price History'!E:E,MATCH(9.99E+307,'Price History'!$A:$A))-'Price History'!E3)*(ROW()-3)/(MATCH(9.99E+307,'Returns (Calc)'!$A:$A)-3),"")</f>
        <v>197.097735849057</v>
      </c>
      <c r="AA69" s="111" t="n">
        <f aca="false">IFERROR('Price History'!F3+(INDEX('Price History'!F:F,MATCH(9.99E+307,'Price History'!$A:$A))-'Price History'!F3)*(ROW()-3)/(MATCH(9.99E+307,'Returns (Calc)'!$A:$A)-3),"")</f>
        <v>110.13320754717</v>
      </c>
      <c r="AB69" s="111" t="n">
        <f aca="false">IFERROR('Price History'!G3+(INDEX('Price History'!G:G,MATCH(9.99E+307,'Price History'!$A:$A))-'Price History'!G3)*(ROW()-3)/(MATCH(9.99E+307,'Returns (Calc)'!$A:$A)-3),"")</f>
        <v>105.058490566038</v>
      </c>
      <c r="AC69" s="111" t="n">
        <f aca="false">IFERROR('Price History'!H3+(INDEX('Price History'!H:H,MATCH(9.99E+307,'Price History'!$A:$A))-'Price History'!H3)*(ROW()-3)/(MATCH(9.99E+307,'Returns (Calc)'!$A:$A)-3),"")</f>
        <v>459.631132075472</v>
      </c>
      <c r="AD69" s="111" t="n">
        <f aca="false">IFERROR('Price History'!I3+(INDEX('Price History'!I:I,MATCH(9.99E+307,'Price History'!$A:$A))-'Price History'!I3)*(ROW()-3)/(MATCH(9.99E+307,'Returns (Calc)'!$A:$A)-3),"")</f>
        <v>119.514528301887</v>
      </c>
      <c r="AE69" s="111" t="n">
        <f aca="false">IFERROR('Price History'!J3+(INDEX('Price History'!J:J,MATCH(9.99E+307,'Price History'!$A:$A))-'Price History'!J3)*(ROW()-3)/(MATCH(9.99E+307,'Returns (Calc)'!$A:$A)-3),"")</f>
        <v>129.250754716981</v>
      </c>
      <c r="AF69" s="111" t="n">
        <f aca="false">IFERROR('Price History'!K3+(INDEX('Price History'!K:K,MATCH(9.99E+307,'Price History'!$A:$A))-'Price History'!K3)*(ROW()-3)/(MATCH(9.99E+307,'Returns (Calc)'!$A:$A)-3),"")</f>
        <v>81.3767924528302</v>
      </c>
      <c r="AG69" s="111" t="n">
        <f aca="false">IFERROR('Price History'!L3+(INDEX('Price History'!L:L,MATCH(9.99E+307,'Price History'!$A:$A))-'Price History'!L3)*(ROW()-3)/(MATCH(9.99E+307,'Returns (Calc)'!$A:$A)-3),"")</f>
        <v>231.84358490566</v>
      </c>
      <c r="AH69" s="111" t="n">
        <f aca="false">IFERROR('Price History'!M3+(INDEX('Price History'!M:M,MATCH(9.99E+307,'Price History'!$A:$A))-'Price History'!M3)*(ROW()-3)/(MATCH(9.99E+307,'Returns (Calc)'!$A:$A)-3),"")</f>
        <v>136.046603773585</v>
      </c>
      <c r="AI69" s="111" t="n">
        <f aca="false">IFERROR('Price History'!N3+(INDEX('Price History'!N:N,MATCH(9.99E+307,'Price History'!$A:$A))-'Price History'!N3)*(ROW()-3)/(MATCH(9.99E+307,'Returns (Calc)'!$A:$A)-3),"")</f>
        <v>431.32641509434</v>
      </c>
      <c r="AJ69" s="111" t="n">
        <f aca="false">IFERROR('Price History'!O3+(INDEX('Price History'!O:O,MATCH(9.99E+307,'Price History'!$A:$A))-'Price History'!O3)*(ROW()-3)/(MATCH(9.99E+307,'Returns (Calc)'!$A:$A)-3),"")</f>
        <v>101.147358490566</v>
      </c>
      <c r="AK69" s="111" t="n">
        <f aca="false">IFERROR('Price History'!Q3+(INDEX('Price History'!Q:Q,MATCH(9.99E+307,'Price History'!$A:$A))-'Price History'!Q3)*(ROW()-3)/(MATCH(9.99E+307,'Returns (Calc)'!$A:$A)-3),"")</f>
        <v>58.0920754716981</v>
      </c>
      <c r="AL69" s="111" t="n">
        <f aca="false">IFERROR('Price History'!R3+(INDEX('Price History'!R:R,MATCH(9.99E+307,'Price History'!$A:$A))-'Price History'!R3)*(ROW()-3)/(MATCH(9.99E+307,'Returns (Calc)'!$A:$A)-3),"")</f>
        <v>52.8218867924528</v>
      </c>
      <c r="AM69" s="111" t="n">
        <f aca="false">IFERROR('Price History'!S3+(INDEX('Price History'!S:S,MATCH(9.99E+307,'Price History'!$A:$A))-'Price History'!S3)*(ROW()-3)/(MATCH(9.99E+307,'Returns (Calc)'!$A:$A)-3),"")</f>
        <v>96.3883018867925</v>
      </c>
      <c r="AN69" s="111" t="n">
        <f aca="false">IFERROR('Price History'!T3+(INDEX('Price History'!T:T,MATCH(9.99E+307,'Price History'!$A:$A))-'Price History'!T3)*(ROW()-3)/(MATCH(9.99E+307,'Returns (Calc)'!$A:$A)-3),"")</f>
        <v>38.6903773584906</v>
      </c>
      <c r="AO69" s="112" t="n">
        <f aca="false">IFERROR('Price History'!V3+(INDEX('Price History'!V:V,MATCH(9.99E+307,'Price History'!$A:$A))-'Price History'!V3)*(ROW()-3)/(MATCH(9.99E+307,'Returns (Calc)'!$A:$A)-3),"")</f>
        <v>155.689433962264</v>
      </c>
    </row>
    <row r="70" customFormat="false" ht="15" hidden="false" customHeight="true" outlineLevel="0" collapsed="false">
      <c r="A70" s="108" t="n">
        <f aca="false">IF('Price History'!A71="","",'Price History'!A71)</f>
        <v>45625</v>
      </c>
      <c r="B70" s="109" t="n">
        <f aca="false">IFERROR(IF(OR(NOT(ISNUMBER('Price History'!B71)),NOT(ISNUMBER('Price History'!B70)),'Price History'!B70=0),"",'Price History'!B71/'Price History'!B70-1),"")</f>
        <v>0.00738065020013656</v>
      </c>
      <c r="C70" s="109" t="n">
        <f aca="false">IFERROR(IF(OR(NOT(ISNUMBER('Price History'!C71)),NOT(ISNUMBER('Price History'!C70)),'Price History'!C70=0),"",'Price History'!C71/'Price History'!C70-1),"")</f>
        <v>-0.00157449320999814</v>
      </c>
      <c r="D70" s="109" t="n">
        <f aca="false">IFERROR(IF(OR(NOT(ISNUMBER('Price History'!D71)),NOT(ISNUMBER('Price History'!D70)),'Price History'!D70=0),"",'Price History'!D71/'Price History'!D70-1),"")</f>
        <v>0.0204048270122459</v>
      </c>
      <c r="E70" s="109" t="n">
        <f aca="false">IFERROR(IF(OR(NOT(ISNUMBER('Price History'!E71)),NOT(ISNUMBER('Price History'!E70)),'Price History'!E70=0),"",'Price History'!E71/'Price History'!E70-1),"")</f>
        <v>-0.0130913962126284</v>
      </c>
      <c r="F70" s="109" t="n">
        <f aca="false">IFERROR(IF(OR(NOT(ISNUMBER('Price History'!F71)),NOT(ISNUMBER('Price History'!F70)),'Price History'!F70=0),"",'Price History'!F71/'Price History'!F70-1),"")</f>
        <v>-0.070699473514559</v>
      </c>
      <c r="G70" s="109" t="n">
        <f aca="false">IFERROR(IF(OR(NOT(ISNUMBER('Price History'!G71)),NOT(ISNUMBER('Price History'!G70)),'Price History'!G70=0),"",'Price History'!G71/'Price History'!G70-1),"")</f>
        <v>0.0115697310819263</v>
      </c>
      <c r="H70" s="109" t="n">
        <f aca="false">IFERROR(IF(OR(NOT(ISNUMBER('Price History'!H71)),NOT(ISNUMBER('Price History'!H70)),'Price History'!H70=0),"",'Price History'!H71/'Price History'!H70-1),"")</f>
        <v>-0.0456936866718628</v>
      </c>
      <c r="I70" s="109" t="n">
        <f aca="false">IFERROR(IF(OR(NOT(ISNUMBER('Price History'!I71)),NOT(ISNUMBER('Price History'!I70)),'Price History'!I70=0),"",'Price History'!I71/'Price History'!I70-1),"")</f>
        <v>-0.0260655160267699</v>
      </c>
      <c r="J70" s="109" t="n">
        <f aca="false">IFERROR(IF(OR(NOT(ISNUMBER('Price History'!J71)),NOT(ISNUMBER('Price History'!J70)),'Price History'!J70=0),"",'Price History'!J71/'Price History'!J70-1),"")</f>
        <v>0.00846286701208987</v>
      </c>
      <c r="K70" s="109" t="n">
        <f aca="false">IFERROR(IF(OR(NOT(ISNUMBER('Price History'!K71)),NOT(ISNUMBER('Price History'!K70)),'Price History'!K70=0),"",'Price History'!K71/'Price History'!K70-1),"")</f>
        <v>0.0424242424242425</v>
      </c>
      <c r="L70" s="109" t="n">
        <f aca="false">IFERROR(IF(OR(NOT(ISNUMBER('Price History'!L71)),NOT(ISNUMBER('Price History'!L70)),'Price History'!L70=0),"",'Price History'!L71/'Price History'!L70-1),"")</f>
        <v>-0.0285143097643098</v>
      </c>
      <c r="M70" s="109" t="n">
        <f aca="false">IFERROR(IF(OR(NOT(ISNUMBER('Price History'!M71)),NOT(ISNUMBER('Price History'!M70)),'Price History'!M70=0),"",'Price History'!M71/'Price History'!M70-1),"")</f>
        <v>-0.0895469140206922</v>
      </c>
      <c r="N70" s="109" t="n">
        <f aca="false">IFERROR(IF(OR(NOT(ISNUMBER('Price History'!N71)),NOT(ISNUMBER('Price History'!N70)),'Price History'!N70=0),"",'Price History'!N71/'Price History'!N70-1),"")</f>
        <v>0.0380513116171806</v>
      </c>
      <c r="O70" s="109" t="n">
        <f aca="false">IFERROR(IF(OR(NOT(ISNUMBER('Price History'!O71)),NOT(ISNUMBER('Price History'!O70)),'Price History'!O70=0),"",'Price History'!O71/'Price History'!O70-1),"")</f>
        <v>0.00677610230960091</v>
      </c>
      <c r="P70" s="109" t="str">
        <f aca="false">IFERROR(IF(OR(NOT(ISNUMBER('Price History'!P71)),NOT(ISNUMBER('Price History'!P70)),'Price History'!P70=0),"",'Price History'!P71/'Price History'!P70-1),"")</f>
        <v/>
      </c>
      <c r="Q70" s="109" t="n">
        <f aca="false">IFERROR(IF(OR(NOT(ISNUMBER('Price History'!Q71)),NOT(ISNUMBER('Price History'!Q70)),'Price History'!Q70=0),"",'Price History'!Q71/'Price History'!Q70-1),"")</f>
        <v>0.0171966255678131</v>
      </c>
      <c r="R70" s="109" t="n">
        <f aca="false">IFERROR(IF(OR(NOT(ISNUMBER('Price History'!R71)),NOT(ISNUMBER('Price History'!R70)),'Price History'!R70=0),"",'Price History'!R71/'Price History'!R70-1),"")</f>
        <v>0.00919215131695261</v>
      </c>
      <c r="S70" s="109" t="n">
        <f aca="false">IFERROR(IF(OR(NOT(ISNUMBER('Price History'!S71)),NOT(ISNUMBER('Price History'!S70)),'Price History'!S70=0),"",'Price History'!S71/'Price History'!S70-1),"")</f>
        <v>0.0130780498012137</v>
      </c>
      <c r="T70" s="109" t="n">
        <f aca="false">IFERROR(IF(OR(NOT(ISNUMBER('Price History'!T71)),NOT(ISNUMBER('Price History'!T70)),'Price History'!T70=0),"",'Price History'!T71/'Price History'!T70-1),"")</f>
        <v>0.00191570881226055</v>
      </c>
      <c r="U70" s="109" t="str">
        <f aca="false">IFERROR(IF(OR(NOT(ISNUMBER('Price History'!U71)),NOT(ISNUMBER('Price History'!U70)),'Price History'!U70=0),"",'Price History'!U71/'Price History'!U70-1),"")</f>
        <v/>
      </c>
      <c r="V70" s="110" t="n">
        <f aca="false">IFERROR(IF(OR(NOT(ISNUMBER('Price History'!V71)),NOT(ISNUMBER('Price History'!V70)),'Price History'!V70=0),"",'Price History'!V71/'Price History'!V70-1),"")</f>
        <v>0.0166394246485782</v>
      </c>
      <c r="W70" s="111" t="n">
        <f aca="false">IFERROR('Price History'!B3+(INDEX('Price History'!B:B,MATCH(9.99E+307,'Price History'!$A:$A))-'Price History'!B3)*(ROW()-3)/(MATCH(9.99E+307,'Returns (Calc)'!$A:$A)-3),"")</f>
        <v>406.500440251572</v>
      </c>
      <c r="X70" s="111" t="n">
        <f aca="false">IFERROR('Price History'!C3+(INDEX('Price History'!C:C,MATCH(9.99E+307,'Price History'!$A:$A))-'Price History'!C3)*(ROW()-3)/(MATCH(9.99E+307,'Returns (Calc)'!$A:$A)-3),"")</f>
        <v>106.964402515723</v>
      </c>
      <c r="Y70" s="111" t="n">
        <f aca="false">IFERROR('Price History'!D3+(INDEX('Price History'!D:D,MATCH(9.99E+307,'Price History'!$A:$A))-'Price History'!D3)*(ROW()-3)/(MATCH(9.99E+307,'Returns (Calc)'!$A:$A)-3),"")</f>
        <v>1105.53911949686</v>
      </c>
      <c r="Z70" s="111" t="n">
        <f aca="false">IFERROR('Price History'!E3+(INDEX('Price History'!E:E,MATCH(9.99E+307,'Price History'!$A:$A))-'Price History'!E3)*(ROW()-3)/(MATCH(9.99E+307,'Returns (Calc)'!$A:$A)-3),"")</f>
        <v>198.82679245283</v>
      </c>
      <c r="AA70" s="111" t="n">
        <f aca="false">IFERROR('Price History'!F3+(INDEX('Price History'!F:F,MATCH(9.99E+307,'Price History'!$A:$A))-'Price History'!F3)*(ROW()-3)/(MATCH(9.99E+307,'Returns (Calc)'!$A:$A)-3),"")</f>
        <v>111.240377358491</v>
      </c>
      <c r="AB70" s="111" t="n">
        <f aca="false">IFERROR('Price History'!G3+(INDEX('Price History'!G:G,MATCH(9.99E+307,'Price History'!$A:$A))-'Price History'!G3)*(ROW()-3)/(MATCH(9.99E+307,'Returns (Calc)'!$A:$A)-3),"")</f>
        <v>105.924528301887</v>
      </c>
      <c r="AC70" s="111" t="n">
        <f aca="false">IFERROR('Price History'!H3+(INDEX('Price History'!H:H,MATCH(9.99E+307,'Price History'!$A:$A))-'Price History'!H3)*(ROW()-3)/(MATCH(9.99E+307,'Returns (Calc)'!$A:$A)-3),"")</f>
        <v>465.619937106918</v>
      </c>
      <c r="AD70" s="111" t="n">
        <f aca="false">IFERROR('Price History'!I3+(INDEX('Price History'!I:I,MATCH(9.99E+307,'Price History'!$A:$A))-'Price History'!I3)*(ROW()-3)/(MATCH(9.99E+307,'Returns (Calc)'!$A:$A)-3),"")</f>
        <v>120.70641509434</v>
      </c>
      <c r="AE70" s="111" t="n">
        <f aca="false">IFERROR('Price History'!J3+(INDEX('Price History'!J:J,MATCH(9.99E+307,'Price History'!$A:$A))-'Price History'!J3)*(ROW()-3)/(MATCH(9.99E+307,'Returns (Calc)'!$A:$A)-3),"")</f>
        <v>129.337735849057</v>
      </c>
      <c r="AF70" s="111" t="n">
        <f aca="false">IFERROR('Price History'!K3+(INDEX('Price History'!K:K,MATCH(9.99E+307,'Price History'!$A:$A))-'Price History'!K3)*(ROW()-3)/(MATCH(9.99E+307,'Returns (Calc)'!$A:$A)-3),"")</f>
        <v>82.3762893081761</v>
      </c>
      <c r="AG70" s="111" t="n">
        <f aca="false">IFERROR('Price History'!L3+(INDEX('Price History'!L:L,MATCH(9.99E+307,'Price History'!$A:$A))-'Price History'!L3)*(ROW()-3)/(MATCH(9.99E+307,'Returns (Calc)'!$A:$A)-3),"")</f>
        <v>233.962578616352</v>
      </c>
      <c r="AH70" s="111" t="n">
        <f aca="false">IFERROR('Price History'!M3+(INDEX('Price History'!M:M,MATCH(9.99E+307,'Price History'!$A:$A))-'Price History'!M3)*(ROW()-3)/(MATCH(9.99E+307,'Returns (Calc)'!$A:$A)-3),"")</f>
        <v>137.600188679245</v>
      </c>
      <c r="AI70" s="111" t="n">
        <f aca="false">IFERROR('Price History'!N3+(INDEX('Price History'!N:N,MATCH(9.99E+307,'Price History'!$A:$A))-'Price History'!N3)*(ROW()-3)/(MATCH(9.99E+307,'Returns (Calc)'!$A:$A)-3),"")</f>
        <v>432.560754716981</v>
      </c>
      <c r="AJ70" s="111" t="n">
        <f aca="false">IFERROR('Price History'!O3+(INDEX('Price History'!O:O,MATCH(9.99E+307,'Price History'!$A:$A))-'Price History'!O3)*(ROW()-3)/(MATCH(9.99E+307,'Returns (Calc)'!$A:$A)-3),"")</f>
        <v>101.424591194969</v>
      </c>
      <c r="AK70" s="111" t="n">
        <f aca="false">IFERROR('Price History'!Q3+(INDEX('Price History'!Q:Q,MATCH(9.99E+307,'Price History'!$A:$A))-'Price History'!Q3)*(ROW()-3)/(MATCH(9.99E+307,'Returns (Calc)'!$A:$A)-3),"")</f>
        <v>58.217106918239</v>
      </c>
      <c r="AL70" s="111" t="n">
        <f aca="false">IFERROR('Price History'!R3+(INDEX('Price History'!R:R,MATCH(9.99E+307,'Price History'!$A:$A))-'Price History'!R3)*(ROW()-3)/(MATCH(9.99E+307,'Returns (Calc)'!$A:$A)-3),"")</f>
        <v>52.8976729559748</v>
      </c>
      <c r="AM70" s="111" t="n">
        <f aca="false">IFERROR('Price History'!S3+(INDEX('Price History'!S:S,MATCH(9.99E+307,'Price History'!$A:$A))-'Price History'!S3)*(ROW()-3)/(MATCH(9.99E+307,'Returns (Calc)'!$A:$A)-3),"")</f>
        <v>96.9617610062893</v>
      </c>
      <c r="AN70" s="111" t="n">
        <f aca="false">IFERROR('Price History'!T3+(INDEX('Price History'!T:T,MATCH(9.99E+307,'Price History'!$A:$A))-'Price History'!T3)*(ROW()-3)/(MATCH(9.99E+307,'Returns (Calc)'!$A:$A)-3),"")</f>
        <v>38.8688679245283</v>
      </c>
      <c r="AO70" s="112" t="n">
        <f aca="false">IFERROR('Price History'!V3+(INDEX('Price History'!V:V,MATCH(9.99E+307,'Price History'!$A:$A))-'Price History'!V3)*(ROW()-3)/(MATCH(9.99E+307,'Returns (Calc)'!$A:$A)-3),"")</f>
        <v>158.048364779874</v>
      </c>
    </row>
    <row r="71" customFormat="false" ht="15" hidden="false" customHeight="true" outlineLevel="0" collapsed="false">
      <c r="A71" s="108" t="n">
        <f aca="false">IF('Price History'!A72="","",'Price History'!A72)</f>
        <v>45632</v>
      </c>
      <c r="B71" s="109" t="n">
        <f aca="false">IFERROR(IF(OR(NOT(ISNUMBER('Price History'!B72)),NOT(ISNUMBER('Price History'!B71)),'Price History'!B71=0),"",'Price History'!B72/'Price History'!B71-1),"")</f>
        <v>0.0717733025798075</v>
      </c>
      <c r="C71" s="109" t="n">
        <f aca="false">IFERROR(IF(OR(NOT(ISNUMBER('Price History'!C72)),NOT(ISNUMBER('Price History'!C71)),'Price History'!C71=0),"",'Price History'!C72/'Price History'!C71-1),"")</f>
        <v>0.0669229252907551</v>
      </c>
      <c r="D71" s="109" t="n">
        <f aca="false">IFERROR(IF(OR(NOT(ISNUMBER('Price History'!D72)),NOT(ISNUMBER('Price History'!D71)),'Price History'!D71=0),"",'Price History'!D72/'Price History'!D71-1),"")</f>
        <v>0.0325803585732802</v>
      </c>
      <c r="E71" s="109" t="n">
        <f aca="false">IFERROR(IF(OR(NOT(ISNUMBER('Price History'!E72)),NOT(ISNUMBER('Price History'!E71)),'Price History'!E71=0),"",'Price History'!E72/'Price History'!E71-1),"")</f>
        <v>0.107662882527147</v>
      </c>
      <c r="F71" s="109" t="n">
        <f aca="false">IFERROR(IF(OR(NOT(ISNUMBER('Price History'!F72)),NOT(ISNUMBER('Price History'!F71)),'Price History'!F71=0),"",'Price History'!F72/'Price History'!F71-1),"")</f>
        <v>0.0568851890391953</v>
      </c>
      <c r="G71" s="109" t="n">
        <f aca="false">IFERROR(IF(OR(NOT(ISNUMBER('Price History'!G72)),NOT(ISNUMBER('Price History'!G71)),'Price History'!G71=0),"",'Price History'!G72/'Price History'!G71-1),"")</f>
        <v>0.00200927357032454</v>
      </c>
      <c r="H71" s="109" t="n">
        <f aca="false">IFERROR(IF(OR(NOT(ISNUMBER('Price History'!H72)),NOT(ISNUMBER('Price History'!H71)),'Price History'!H71=0),"",'Price History'!H72/'Price History'!H71-1),"")</f>
        <v>0.0328739152628892</v>
      </c>
      <c r="I71" s="109" t="n">
        <f aca="false">IFERROR(IF(OR(NOT(ISNUMBER('Price History'!I72)),NOT(ISNUMBER('Price History'!I71)),'Price History'!I71=0),"",'Price History'!I72/'Price History'!I71-1),"")</f>
        <v>0.0303074141048825</v>
      </c>
      <c r="J71" s="109" t="n">
        <f aca="false">IFERROR(IF(OR(NOT(ISNUMBER('Price History'!J72)),NOT(ISNUMBER('Price History'!J71)),'Price History'!J71=0),"",'Price History'!J72/'Price History'!J71-1),"")</f>
        <v>-0.0409316663812297</v>
      </c>
      <c r="K71" s="109" t="n">
        <f aca="false">IFERROR(IF(OR(NOT(ISNUMBER('Price History'!K72)),NOT(ISNUMBER('Price History'!K71)),'Price History'!K71=0),"",'Price History'!K72/'Price History'!K71-1),"")</f>
        <v>0.13804412641622</v>
      </c>
      <c r="L71" s="109" t="n">
        <f aca="false">IFERROR(IF(OR(NOT(ISNUMBER('Price History'!L72)),NOT(ISNUMBER('Price History'!L71)),'Price History'!L71=0),"",'Price History'!L72/'Price History'!L71-1),"")</f>
        <v>0.099425972056753</v>
      </c>
      <c r="M71" s="109" t="n">
        <f aca="false">IFERROR(IF(OR(NOT(ISNUMBER('Price History'!M72)),NOT(ISNUMBER('Price History'!M71)),'Price History'!M71=0),"",'Price History'!M72/'Price History'!M71-1),"")</f>
        <v>0.0489811912225706</v>
      </c>
      <c r="N71" s="109" t="n">
        <f aca="false">IFERROR(IF(OR(NOT(ISNUMBER('Price History'!N72)),NOT(ISNUMBER('Price History'!N71)),'Price History'!N71=0),"",'Price History'!N72/'Price History'!N71-1),"")</f>
        <v>-0.0128810373186935</v>
      </c>
      <c r="O71" s="109" t="n">
        <f aca="false">IFERROR(IF(OR(NOT(ISNUMBER('Price History'!O72)),NOT(ISNUMBER('Price History'!O71)),'Price History'!O71=0),"",'Price History'!O72/'Price History'!O71-1),"")</f>
        <v>-0.0208550573514076</v>
      </c>
      <c r="P71" s="109" t="str">
        <f aca="false">IFERROR(IF(OR(NOT(ISNUMBER('Price History'!P72)),NOT(ISNUMBER('Price History'!P71)),'Price History'!P71=0),"",'Price History'!P72/'Price History'!P71-1),"")</f>
        <v/>
      </c>
      <c r="Q71" s="109" t="n">
        <f aca="false">IFERROR(IF(OR(NOT(ISNUMBER('Price History'!Q72)),NOT(ISNUMBER('Price History'!Q71)),'Price History'!Q71=0),"",'Price History'!Q72/'Price History'!Q71-1),"")</f>
        <v>0.0103668261562999</v>
      </c>
      <c r="R71" s="109" t="n">
        <f aca="false">IFERROR(IF(OR(NOT(ISNUMBER('Price History'!R72)),NOT(ISNUMBER('Price History'!R71)),'Price History'!R71=0),"",'Price History'!R72/'Price History'!R71-1),"")</f>
        <v>0.00928358731826928</v>
      </c>
      <c r="S71" s="109" t="n">
        <f aca="false">IFERROR(IF(OR(NOT(ISNUMBER('Price History'!S72)),NOT(ISNUMBER('Price History'!S71)),'Price History'!S71=0),"",'Price History'!S72/'Price History'!S71-1),"")</f>
        <v>0.0193121966332748</v>
      </c>
      <c r="T71" s="109" t="n">
        <f aca="false">IFERROR(IF(OR(NOT(ISNUMBER('Price History'!T72)),NOT(ISNUMBER('Price History'!T71)),'Price History'!T71=0),"",'Price History'!T72/'Price History'!T71-1),"")</f>
        <v>-0.00081944823818636</v>
      </c>
      <c r="U71" s="109" t="str">
        <f aca="false">IFERROR(IF(OR(NOT(ISNUMBER('Price History'!U72)),NOT(ISNUMBER('Price History'!U71)),'Price History'!U71=0),"",'Price History'!U72/'Price History'!U71-1),"")</f>
        <v/>
      </c>
      <c r="V71" s="110" t="n">
        <f aca="false">IFERROR(IF(OR(NOT(ISNUMBER('Price History'!V72)),NOT(ISNUMBER('Price History'!V71)),'Price History'!V71=0),"",'Price History'!V72/'Price History'!V71-1),"")</f>
        <v>-0.0129264606578989</v>
      </c>
      <c r="W71" s="111" t="n">
        <f aca="false">IFERROR('Price History'!B3+(INDEX('Price History'!B:B,MATCH(9.99E+307,'Price History'!$A:$A))-'Price History'!B3)*(ROW()-3)/(MATCH(9.99E+307,'Returns (Calc)'!$A:$A)-3),"")</f>
        <v>404.978805031447</v>
      </c>
      <c r="X71" s="111" t="n">
        <f aca="false">IFERROR('Price History'!C3+(INDEX('Price History'!C:C,MATCH(9.99E+307,'Price History'!$A:$A))-'Price History'!C3)*(ROW()-3)/(MATCH(9.99E+307,'Returns (Calc)'!$A:$A)-3),"")</f>
        <v>107.908050314465</v>
      </c>
      <c r="Y71" s="111" t="n">
        <f aca="false">IFERROR('Price History'!D3+(INDEX('Price History'!D:D,MATCH(9.99E+307,'Price History'!$A:$A))-'Price History'!D3)*(ROW()-3)/(MATCH(9.99E+307,'Returns (Calc)'!$A:$A)-3),"")</f>
        <v>1112.16238993711</v>
      </c>
      <c r="Z71" s="111" t="n">
        <f aca="false">IFERROR('Price History'!E3+(INDEX('Price History'!E:E,MATCH(9.99E+307,'Price History'!$A:$A))-'Price History'!E3)*(ROW()-3)/(MATCH(9.99E+307,'Returns (Calc)'!$A:$A)-3),"")</f>
        <v>200.555849056604</v>
      </c>
      <c r="AA71" s="111" t="n">
        <f aca="false">IFERROR('Price History'!F3+(INDEX('Price History'!F:F,MATCH(9.99E+307,'Price History'!$A:$A))-'Price History'!F3)*(ROW()-3)/(MATCH(9.99E+307,'Returns (Calc)'!$A:$A)-3),"")</f>
        <v>112.347547169811</v>
      </c>
      <c r="AB71" s="111" t="n">
        <f aca="false">IFERROR('Price History'!G3+(INDEX('Price History'!G:G,MATCH(9.99E+307,'Price History'!$A:$A))-'Price History'!G3)*(ROW()-3)/(MATCH(9.99E+307,'Returns (Calc)'!$A:$A)-3),"")</f>
        <v>106.790566037736</v>
      </c>
      <c r="AC71" s="111" t="n">
        <f aca="false">IFERROR('Price History'!H3+(INDEX('Price History'!H:H,MATCH(9.99E+307,'Price History'!$A:$A))-'Price History'!H3)*(ROW()-3)/(MATCH(9.99E+307,'Returns (Calc)'!$A:$A)-3),"")</f>
        <v>471.608742138365</v>
      </c>
      <c r="AD71" s="111" t="n">
        <f aca="false">IFERROR('Price History'!I3+(INDEX('Price History'!I:I,MATCH(9.99E+307,'Price History'!$A:$A))-'Price History'!I3)*(ROW()-3)/(MATCH(9.99E+307,'Returns (Calc)'!$A:$A)-3),"")</f>
        <v>121.898301886792</v>
      </c>
      <c r="AE71" s="111" t="n">
        <f aca="false">IFERROR('Price History'!J3+(INDEX('Price History'!J:J,MATCH(9.99E+307,'Price History'!$A:$A))-'Price History'!J3)*(ROW()-3)/(MATCH(9.99E+307,'Returns (Calc)'!$A:$A)-3),"")</f>
        <v>129.424716981132</v>
      </c>
      <c r="AF71" s="111" t="n">
        <f aca="false">IFERROR('Price History'!K3+(INDEX('Price History'!K:K,MATCH(9.99E+307,'Price History'!$A:$A))-'Price History'!K3)*(ROW()-3)/(MATCH(9.99E+307,'Returns (Calc)'!$A:$A)-3),"")</f>
        <v>83.375786163522</v>
      </c>
      <c r="AG71" s="111" t="n">
        <f aca="false">IFERROR('Price History'!L3+(INDEX('Price History'!L:L,MATCH(9.99E+307,'Price History'!$A:$A))-'Price History'!L3)*(ROW()-3)/(MATCH(9.99E+307,'Returns (Calc)'!$A:$A)-3),"")</f>
        <v>236.081572327044</v>
      </c>
      <c r="AH71" s="111" t="n">
        <f aca="false">IFERROR('Price History'!M3+(INDEX('Price History'!M:M,MATCH(9.99E+307,'Price History'!$A:$A))-'Price History'!M3)*(ROW()-3)/(MATCH(9.99E+307,'Returns (Calc)'!$A:$A)-3),"")</f>
        <v>139.153773584906</v>
      </c>
      <c r="AI71" s="111" t="n">
        <f aca="false">IFERROR('Price History'!N3+(INDEX('Price History'!N:N,MATCH(9.99E+307,'Price History'!$A:$A))-'Price History'!N3)*(ROW()-3)/(MATCH(9.99E+307,'Returns (Calc)'!$A:$A)-3),"")</f>
        <v>433.795094339623</v>
      </c>
      <c r="AJ71" s="111" t="n">
        <f aca="false">IFERROR('Price History'!O3+(INDEX('Price History'!O:O,MATCH(9.99E+307,'Price History'!$A:$A))-'Price History'!O3)*(ROW()-3)/(MATCH(9.99E+307,'Returns (Calc)'!$A:$A)-3),"")</f>
        <v>101.701823899371</v>
      </c>
      <c r="AK71" s="111" t="n">
        <f aca="false">IFERROR('Price History'!Q3+(INDEX('Price History'!Q:Q,MATCH(9.99E+307,'Price History'!$A:$A))-'Price History'!Q3)*(ROW()-3)/(MATCH(9.99E+307,'Returns (Calc)'!$A:$A)-3),"")</f>
        <v>58.3421383647799</v>
      </c>
      <c r="AL71" s="111" t="n">
        <f aca="false">IFERROR('Price History'!R3+(INDEX('Price History'!R:R,MATCH(9.99E+307,'Price History'!$A:$A))-'Price History'!R3)*(ROW()-3)/(MATCH(9.99E+307,'Returns (Calc)'!$A:$A)-3),"")</f>
        <v>52.9734591194969</v>
      </c>
      <c r="AM71" s="111" t="n">
        <f aca="false">IFERROR('Price History'!S3+(INDEX('Price History'!S:S,MATCH(9.99E+307,'Price History'!$A:$A))-'Price History'!S3)*(ROW()-3)/(MATCH(9.99E+307,'Returns (Calc)'!$A:$A)-3),"")</f>
        <v>97.5352201257862</v>
      </c>
      <c r="AN71" s="111" t="n">
        <f aca="false">IFERROR('Price History'!T3+(INDEX('Price History'!T:T,MATCH(9.99E+307,'Price History'!$A:$A))-'Price History'!T3)*(ROW()-3)/(MATCH(9.99E+307,'Returns (Calc)'!$A:$A)-3),"")</f>
        <v>39.047358490566</v>
      </c>
      <c r="AO71" s="112" t="n">
        <f aca="false">IFERROR('Price History'!V3+(INDEX('Price History'!V:V,MATCH(9.99E+307,'Price History'!$A:$A))-'Price History'!V3)*(ROW()-3)/(MATCH(9.99E+307,'Returns (Calc)'!$A:$A)-3),"")</f>
        <v>160.407295597484</v>
      </c>
    </row>
    <row r="72" customFormat="false" ht="15" hidden="false" customHeight="true" outlineLevel="0" collapsed="false">
      <c r="A72" s="108" t="n">
        <f aca="false">IF('Price History'!A73="","",'Price History'!A73)</f>
        <v>45639</v>
      </c>
      <c r="B72" s="109" t="n">
        <f aca="false">IFERROR(IF(OR(NOT(ISNUMBER('Price History'!B73)),NOT(ISNUMBER('Price History'!B72)),'Price History'!B72=0),"",'Price History'!B73/'Price History'!B72-1),"")</f>
        <v>-0.157823350694445</v>
      </c>
      <c r="C72" s="109" t="n">
        <f aca="false">IFERROR(IF(OR(NOT(ISNUMBER('Price History'!C73)),NOT(ISNUMBER('Price History'!C72)),'Price History'!C72=0),"",'Price History'!C73/'Price History'!C72-1),"")</f>
        <v>0.0380600461893765</v>
      </c>
      <c r="D72" s="109" t="n">
        <f aca="false">IFERROR(IF(OR(NOT(ISNUMBER('Price History'!D73)),NOT(ISNUMBER('Price History'!D72)),'Price History'!D72=0),"",'Price History'!D73/'Price History'!D72-1),"")</f>
        <v>0.0135405794239611</v>
      </c>
      <c r="E72" s="109" t="n">
        <f aca="false">IFERROR(IF(OR(NOT(ISNUMBER('Price History'!E73)),NOT(ISNUMBER('Price History'!E72)),'Price History'!E72=0),"",'Price History'!E73/'Price History'!E72-1),"")</f>
        <v>0.252158413635604</v>
      </c>
      <c r="F72" s="109" t="n">
        <f aca="false">IFERROR(IF(OR(NOT(ISNUMBER('Price History'!F73)),NOT(ISNUMBER('Price History'!F72)),'Price History'!F72=0),"",'Price History'!F73/'Price History'!F72-1),"")</f>
        <v>0.00656383327863486</v>
      </c>
      <c r="G72" s="109" t="n">
        <f aca="false">IFERROR(IF(OR(NOT(ISNUMBER('Price History'!G73)),NOT(ISNUMBER('Price History'!G72)),'Price History'!G72=0),"",'Price History'!G73/'Price History'!G72-1),"")</f>
        <v>0.00848372666975172</v>
      </c>
      <c r="H72" s="109" t="n">
        <f aca="false">IFERROR(IF(OR(NOT(ISNUMBER('Price History'!H73)),NOT(ISNUMBER('Price History'!H72)),'Price History'!H72=0),"",'Price History'!H73/'Price History'!H72-1),"")</f>
        <v>0.0131461895818918</v>
      </c>
      <c r="I72" s="109" t="n">
        <f aca="false">IFERROR(IF(OR(NOT(ISNUMBER('Price History'!I73)),NOT(ISNUMBER('Price History'!I72)),'Price History'!I72=0),"",'Price History'!I73/'Price History'!I72-1),"")</f>
        <v>-0.0574978938500421</v>
      </c>
      <c r="J72" s="109" t="n">
        <f aca="false">IFERROR(IF(OR(NOT(ISNUMBER('Price History'!J73)),NOT(ISNUMBER('Price History'!J72)),'Price History'!J72=0),"",'Price History'!J73/'Price History'!J72-1),"")</f>
        <v>-0.00776785714285722</v>
      </c>
      <c r="K72" s="109" t="n">
        <f aca="false">IFERROR(IF(OR(NOT(ISNUMBER('Price History'!K73)),NOT(ISNUMBER('Price History'!K72)),'Price History'!K72=0),"",'Price History'!K73/'Price History'!K72-1),"")</f>
        <v>-0.00353680901231346</v>
      </c>
      <c r="L72" s="109" t="n">
        <f aca="false">IFERROR(IF(OR(NOT(ISNUMBER('Price History'!L73)),NOT(ISNUMBER('Price History'!L72)),'Price History'!L72=0),"",'Price History'!L73/'Price History'!L72-1),"")</f>
        <v>-0.0099990148753818</v>
      </c>
      <c r="M72" s="109" t="n">
        <f aca="false">IFERROR(IF(OR(NOT(ISNUMBER('Price History'!M73)),NOT(ISNUMBER('Price History'!M72)),'Price History'!M72=0),"",'Price History'!M73/'Price History'!M72-1),"")</f>
        <v>-0.0602913709376167</v>
      </c>
      <c r="N72" s="109" t="n">
        <f aca="false">IFERROR(IF(OR(NOT(ISNUMBER('Price History'!N73)),NOT(ISNUMBER('Price History'!N72)),'Price History'!N72=0),"",'Price History'!N73/'Price History'!N72-1),"")</f>
        <v>0.00352737502705036</v>
      </c>
      <c r="O72" s="109" t="n">
        <f aca="false">IFERROR(IF(OR(NOT(ISNUMBER('Price History'!O73)),NOT(ISNUMBER('Price History'!O72)),'Price History'!O72=0),"",'Price History'!O73/'Price History'!O72-1),"")</f>
        <v>-0.0123922935424533</v>
      </c>
      <c r="P72" s="109" t="str">
        <f aca="false">IFERROR(IF(OR(NOT(ISNUMBER('Price History'!P73)),NOT(ISNUMBER('Price History'!P72)),'Price History'!P72=0),"",'Price History'!P73/'Price History'!P72-1),"")</f>
        <v/>
      </c>
      <c r="Q72" s="109" t="n">
        <f aca="false">IFERROR(IF(OR(NOT(ISNUMBER('Price History'!Q73)),NOT(ISNUMBER('Price History'!Q72)),'Price History'!Q72=0),"",'Price History'!Q73/'Price History'!Q72-1),"")</f>
        <v>-0.00868192580899774</v>
      </c>
      <c r="R72" s="109" t="n">
        <f aca="false">IFERROR(IF(OR(NOT(ISNUMBER('Price History'!R73)),NOT(ISNUMBER('Price History'!R72)),'Price History'!R72=0),"",'Price History'!R73/'Price History'!R72-1),"")</f>
        <v>0.00399166955918084</v>
      </c>
      <c r="S72" s="109" t="n">
        <f aca="false">IFERROR(IF(OR(NOT(ISNUMBER('Price History'!S73)),NOT(ISNUMBER('Price History'!S72)),'Price History'!S72=0),"",'Price History'!S73/'Price History'!S72-1),"")</f>
        <v>-0.00942249240121584</v>
      </c>
      <c r="T72" s="109" t="n">
        <f aca="false">IFERROR(IF(OR(NOT(ISNUMBER('Price History'!T73)),NOT(ISNUMBER('Price History'!T72)),'Price History'!T72=0),"",'Price History'!T73/'Price History'!T72-1),"")</f>
        <v>-0.0440131219245489</v>
      </c>
      <c r="U72" s="109" t="str">
        <f aca="false">IFERROR(IF(OR(NOT(ISNUMBER('Price History'!U73)),NOT(ISNUMBER('Price History'!U72)),'Price History'!U72=0),"",'Price History'!U73/'Price History'!U72-1),"")</f>
        <v/>
      </c>
      <c r="V72" s="110" t="n">
        <f aca="false">IFERROR(IF(OR(NOT(ISNUMBER('Price History'!V73)),NOT(ISNUMBER('Price History'!V72)),'Price History'!V72=0),"",'Price History'!V73/'Price History'!V72-1),"")</f>
        <v>0.0119881421637291</v>
      </c>
      <c r="W72" s="111" t="n">
        <f aca="false">IFERROR('Price History'!B3+(INDEX('Price History'!B:B,MATCH(9.99E+307,'Price History'!$A:$A))-'Price History'!B3)*(ROW()-3)/(MATCH(9.99E+307,'Returns (Calc)'!$A:$A)-3),"")</f>
        <v>403.457169811321</v>
      </c>
      <c r="X72" s="111" t="n">
        <f aca="false">IFERROR('Price History'!C3+(INDEX('Price History'!C:C,MATCH(9.99E+307,'Price History'!$A:$A))-'Price History'!C3)*(ROW()-3)/(MATCH(9.99E+307,'Returns (Calc)'!$A:$A)-3),"")</f>
        <v>108.851698113208</v>
      </c>
      <c r="Y72" s="111" t="n">
        <f aca="false">IFERROR('Price History'!D3+(INDEX('Price History'!D:D,MATCH(9.99E+307,'Price History'!$A:$A))-'Price History'!D3)*(ROW()-3)/(MATCH(9.99E+307,'Returns (Calc)'!$A:$A)-3),"")</f>
        <v>1118.78566037736</v>
      </c>
      <c r="Z72" s="111" t="n">
        <f aca="false">IFERROR('Price History'!E3+(INDEX('Price History'!E:E,MATCH(9.99E+307,'Price History'!$A:$A))-'Price History'!E3)*(ROW()-3)/(MATCH(9.99E+307,'Returns (Calc)'!$A:$A)-3),"")</f>
        <v>202.284905660377</v>
      </c>
      <c r="AA72" s="111" t="n">
        <f aca="false">IFERROR('Price History'!F3+(INDEX('Price History'!F:F,MATCH(9.99E+307,'Price History'!$A:$A))-'Price History'!F3)*(ROW()-3)/(MATCH(9.99E+307,'Returns (Calc)'!$A:$A)-3),"")</f>
        <v>113.454716981132</v>
      </c>
      <c r="AB72" s="111" t="n">
        <f aca="false">IFERROR('Price History'!G3+(INDEX('Price History'!G:G,MATCH(9.99E+307,'Price History'!$A:$A))-'Price History'!G3)*(ROW()-3)/(MATCH(9.99E+307,'Returns (Calc)'!$A:$A)-3),"")</f>
        <v>107.656603773585</v>
      </c>
      <c r="AC72" s="111" t="n">
        <f aca="false">IFERROR('Price History'!H3+(INDEX('Price History'!H:H,MATCH(9.99E+307,'Price History'!$A:$A))-'Price History'!H3)*(ROW()-3)/(MATCH(9.99E+307,'Returns (Calc)'!$A:$A)-3),"")</f>
        <v>477.597547169811</v>
      </c>
      <c r="AD72" s="111" t="n">
        <f aca="false">IFERROR('Price History'!I3+(INDEX('Price History'!I:I,MATCH(9.99E+307,'Price History'!$A:$A))-'Price History'!I3)*(ROW()-3)/(MATCH(9.99E+307,'Returns (Calc)'!$A:$A)-3),"")</f>
        <v>123.090188679245</v>
      </c>
      <c r="AE72" s="111" t="n">
        <f aca="false">IFERROR('Price History'!J3+(INDEX('Price History'!J:J,MATCH(9.99E+307,'Price History'!$A:$A))-'Price History'!J3)*(ROW()-3)/(MATCH(9.99E+307,'Returns (Calc)'!$A:$A)-3),"")</f>
        <v>129.511698113208</v>
      </c>
      <c r="AF72" s="111" t="n">
        <f aca="false">IFERROR('Price History'!K3+(INDEX('Price History'!K:K,MATCH(9.99E+307,'Price History'!$A:$A))-'Price History'!K3)*(ROW()-3)/(MATCH(9.99E+307,'Returns (Calc)'!$A:$A)-3),"")</f>
        <v>84.3752830188679</v>
      </c>
      <c r="AG72" s="111" t="n">
        <f aca="false">IFERROR('Price History'!L3+(INDEX('Price History'!L:L,MATCH(9.99E+307,'Price History'!$A:$A))-'Price History'!L3)*(ROW()-3)/(MATCH(9.99E+307,'Returns (Calc)'!$A:$A)-3),"")</f>
        <v>238.200566037736</v>
      </c>
      <c r="AH72" s="111" t="n">
        <f aca="false">IFERROR('Price History'!M3+(INDEX('Price History'!M:M,MATCH(9.99E+307,'Price History'!$A:$A))-'Price History'!M3)*(ROW()-3)/(MATCH(9.99E+307,'Returns (Calc)'!$A:$A)-3),"")</f>
        <v>140.707358490566</v>
      </c>
      <c r="AI72" s="111" t="n">
        <f aca="false">IFERROR('Price History'!N3+(INDEX('Price History'!N:N,MATCH(9.99E+307,'Price History'!$A:$A))-'Price History'!N3)*(ROW()-3)/(MATCH(9.99E+307,'Returns (Calc)'!$A:$A)-3),"")</f>
        <v>435.029433962264</v>
      </c>
      <c r="AJ72" s="111" t="n">
        <f aca="false">IFERROR('Price History'!O3+(INDEX('Price History'!O:O,MATCH(9.99E+307,'Price History'!$A:$A))-'Price History'!O3)*(ROW()-3)/(MATCH(9.99E+307,'Returns (Calc)'!$A:$A)-3),"")</f>
        <v>101.979056603774</v>
      </c>
      <c r="AK72" s="111" t="n">
        <f aca="false">IFERROR('Price History'!Q3+(INDEX('Price History'!Q:Q,MATCH(9.99E+307,'Price History'!$A:$A))-'Price History'!Q3)*(ROW()-3)/(MATCH(9.99E+307,'Returns (Calc)'!$A:$A)-3),"")</f>
        <v>58.4671698113208</v>
      </c>
      <c r="AL72" s="111" t="n">
        <f aca="false">IFERROR('Price History'!R3+(INDEX('Price History'!R:R,MATCH(9.99E+307,'Price History'!$A:$A))-'Price History'!R3)*(ROW()-3)/(MATCH(9.99E+307,'Returns (Calc)'!$A:$A)-3),"")</f>
        <v>53.0492452830189</v>
      </c>
      <c r="AM72" s="111" t="n">
        <f aca="false">IFERROR('Price History'!S3+(INDEX('Price History'!S:S,MATCH(9.99E+307,'Price History'!$A:$A))-'Price History'!S3)*(ROW()-3)/(MATCH(9.99E+307,'Returns (Calc)'!$A:$A)-3),"")</f>
        <v>98.108679245283</v>
      </c>
      <c r="AN72" s="111" t="n">
        <f aca="false">IFERROR('Price History'!T3+(INDEX('Price History'!T:T,MATCH(9.99E+307,'Price History'!$A:$A))-'Price History'!T3)*(ROW()-3)/(MATCH(9.99E+307,'Returns (Calc)'!$A:$A)-3),"")</f>
        <v>39.2258490566038</v>
      </c>
      <c r="AO72" s="112" t="n">
        <f aca="false">IFERROR('Price History'!V3+(INDEX('Price History'!V:V,MATCH(9.99E+307,'Price History'!$A:$A))-'Price History'!V3)*(ROW()-3)/(MATCH(9.99E+307,'Returns (Calc)'!$A:$A)-3),"")</f>
        <v>162.766226415094</v>
      </c>
    </row>
    <row r="73" customFormat="false" ht="15" hidden="false" customHeight="true" outlineLevel="0" collapsed="false">
      <c r="A73" s="108" t="n">
        <f aca="false">IF('Price History'!A74="","",'Price History'!A74)</f>
        <v>45646</v>
      </c>
      <c r="B73" s="109" t="n">
        <f aca="false">IFERROR(IF(OR(NOT(ISNUMBER('Price History'!B74)),NOT(ISNUMBER('Price History'!B73)),'Price History'!B73=0),"",'Price History'!B74/'Price History'!B73-1),"")</f>
        <v>-0.0397689450063347</v>
      </c>
      <c r="C73" s="109" t="n">
        <f aca="false">IFERROR(IF(OR(NOT(ISNUMBER('Price History'!C74)),NOT(ISNUMBER('Price History'!C73)),'Price History'!C73=0),"",'Price History'!C74/'Price History'!C73-1),"")</f>
        <v>0.00391563584586629</v>
      </c>
      <c r="D73" s="109" t="n">
        <f aca="false">IFERROR(IF(OR(NOT(ISNUMBER('Price History'!D74)),NOT(ISNUMBER('Price History'!D73)),'Price History'!D73=0),"",'Price History'!D74/'Price History'!D73-1),"")</f>
        <v>-0.0179520721422808</v>
      </c>
      <c r="E73" s="109" t="n">
        <f aca="false">IFERROR(IF(OR(NOT(ISNUMBER('Price History'!E74)),NOT(ISNUMBER('Price History'!E73)),'Price History'!E73=0),"",'Price History'!E74/'Price History'!E73-1),"")</f>
        <v>-0.0178380782918151</v>
      </c>
      <c r="F73" s="109" t="n">
        <f aca="false">IFERROR(IF(OR(NOT(ISNUMBER('Price History'!F74)),NOT(ISNUMBER('Price History'!F73)),'Price History'!F73=0),"",'Price History'!F74/'Price History'!F73-1),"")</f>
        <v>-0.0156504727746986</v>
      </c>
      <c r="G73" s="109" t="n">
        <f aca="false">IFERROR(IF(OR(NOT(ISNUMBER('Price History'!G74)),NOT(ISNUMBER('Price History'!G73)),'Price History'!G73=0),"",'Price History'!G74/'Price History'!G73-1),"")</f>
        <v>-0.0373202814316305</v>
      </c>
      <c r="H73" s="109" t="n">
        <f aca="false">IFERROR(IF(OR(NOT(ISNUMBER('Price History'!H74)),NOT(ISNUMBER('Price History'!H73)),'Price History'!H73=0),"",'Price History'!H74/'Price History'!H73-1),"")</f>
        <v>-0.120780487804878</v>
      </c>
      <c r="I73" s="109" t="n">
        <f aca="false">IFERROR(IF(OR(NOT(ISNUMBER('Price History'!I74)),NOT(ISNUMBER('Price History'!I73)),'Price History'!I73=0),"",'Price History'!I74/'Price History'!I73-1),"")</f>
        <v>0.00335195530726251</v>
      </c>
      <c r="J73" s="109" t="n">
        <f aca="false">IFERROR(IF(OR(NOT(ISNUMBER('Price History'!J74)),NOT(ISNUMBER('Price History'!J73)),'Price History'!J73=0),"",'Price History'!J74/'Price History'!J73-1),"")</f>
        <v>-0.0702780527310357</v>
      </c>
      <c r="K73" s="109" t="n">
        <f aca="false">IFERROR(IF(OR(NOT(ISNUMBER('Price History'!K74)),NOT(ISNUMBER('Price History'!K73)),'Price History'!K73=0),"",'Price History'!K74/'Price History'!K73-1),"")</f>
        <v>0.0588931247535165</v>
      </c>
      <c r="L73" s="109" t="n">
        <f aca="false">IFERROR(IF(OR(NOT(ISNUMBER('Price History'!L74)),NOT(ISNUMBER('Price History'!L73)),'Price History'!L73=0),"",'Price History'!L74/'Price History'!L73-1),"")</f>
        <v>-0.0188069058162098</v>
      </c>
      <c r="M73" s="109" t="n">
        <f aca="false">IFERROR(IF(OR(NOT(ISNUMBER('Price History'!M74)),NOT(ISNUMBER('Price History'!M73)),'Price History'!M73=0),"",'Price History'!M74/'Price History'!M73-1),"")</f>
        <v>-0.0456352361265702</v>
      </c>
      <c r="N73" s="109" t="n">
        <f aca="false">IFERROR(IF(OR(NOT(ISNUMBER('Price History'!N74)),NOT(ISNUMBER('Price History'!N73)),'Price History'!N73=0),"",'Price History'!N74/'Price History'!N73-1),"")</f>
        <v>-0.14331615379639</v>
      </c>
      <c r="O73" s="109" t="n">
        <f aca="false">IFERROR(IF(OR(NOT(ISNUMBER('Price History'!O74)),NOT(ISNUMBER('Price History'!O73)),'Price History'!O73=0),"",'Price History'!O74/'Price History'!O73-1),"")</f>
        <v>-0.0578374669150084</v>
      </c>
      <c r="P73" s="109" t="str">
        <f aca="false">IFERROR(IF(OR(NOT(ISNUMBER('Price History'!P74)),NOT(ISNUMBER('Price History'!P73)),'Price History'!P73=0),"",'Price History'!P74/'Price History'!P73-1),"")</f>
        <v/>
      </c>
      <c r="Q73" s="109" t="n">
        <f aca="false">IFERROR(IF(OR(NOT(ISNUMBER('Price History'!Q74)),NOT(ISNUMBER('Price History'!Q73)),'Price History'!Q73=0),"",'Price History'!Q74/'Price History'!Q73-1),"")</f>
        <v>-0.000636942675159236</v>
      </c>
      <c r="R73" s="109" t="n">
        <f aca="false">IFERROR(IF(OR(NOT(ISNUMBER('Price History'!R74)),NOT(ISNUMBER('Price History'!R73)),'Price History'!R73=0),"",'Price History'!R74/'Price History'!R73-1),"")</f>
        <v>-0.0112359550561798</v>
      </c>
      <c r="S73" s="109" t="n">
        <f aca="false">IFERROR(IF(OR(NOT(ISNUMBER('Price History'!S74)),NOT(ISNUMBER('Price History'!S73)),'Price History'!S73=0),"",'Price History'!S74/'Price History'!S73-1),"")</f>
        <v>-0.0223995090518564</v>
      </c>
      <c r="T73" s="109" t="n">
        <f aca="false">IFERROR(IF(OR(NOT(ISNUMBER('Price History'!T74)),NOT(ISNUMBER('Price History'!T73)),'Price History'!T73=0),"",'Price History'!T74/'Price History'!T73-1),"")</f>
        <v>-0.0305976551329711</v>
      </c>
      <c r="U73" s="109" t="str">
        <f aca="false">IFERROR(IF(OR(NOT(ISNUMBER('Price History'!U74)),NOT(ISNUMBER('Price History'!U73)),'Price History'!U73=0),"",'Price History'!U74/'Price History'!U73-1),"")</f>
        <v/>
      </c>
      <c r="V73" s="110" t="n">
        <f aca="false">IFERROR(IF(OR(NOT(ISNUMBER('Price History'!V74)),NOT(ISNUMBER('Price History'!V73)),'Price History'!V73=0),"",'Price History'!V74/'Price History'!V73-1),"")</f>
        <v>0.00946402704007721</v>
      </c>
      <c r="W73" s="111" t="n">
        <f aca="false">IFERROR('Price History'!B3+(INDEX('Price History'!B:B,MATCH(9.99E+307,'Price History'!$A:$A))-'Price History'!B3)*(ROW()-3)/(MATCH(9.99E+307,'Returns (Calc)'!$A:$A)-3),"")</f>
        <v>401.935534591195</v>
      </c>
      <c r="X73" s="111" t="n">
        <f aca="false">IFERROR('Price History'!C3+(INDEX('Price History'!C:C,MATCH(9.99E+307,'Price History'!$A:$A))-'Price History'!C3)*(ROW()-3)/(MATCH(9.99E+307,'Returns (Calc)'!$A:$A)-3),"")</f>
        <v>109.79534591195</v>
      </c>
      <c r="Y73" s="111" t="n">
        <f aca="false">IFERROR('Price History'!D3+(INDEX('Price History'!D:D,MATCH(9.99E+307,'Price History'!$A:$A))-'Price History'!D3)*(ROW()-3)/(MATCH(9.99E+307,'Returns (Calc)'!$A:$A)-3),"")</f>
        <v>1125.40893081761</v>
      </c>
      <c r="Z73" s="111" t="n">
        <f aca="false">IFERROR('Price History'!E3+(INDEX('Price History'!E:E,MATCH(9.99E+307,'Price History'!$A:$A))-'Price History'!E3)*(ROW()-3)/(MATCH(9.99E+307,'Returns (Calc)'!$A:$A)-3),"")</f>
        <v>204.013962264151</v>
      </c>
      <c r="AA73" s="111" t="n">
        <f aca="false">IFERROR('Price History'!F3+(INDEX('Price History'!F:F,MATCH(9.99E+307,'Price History'!$A:$A))-'Price History'!F3)*(ROW()-3)/(MATCH(9.99E+307,'Returns (Calc)'!$A:$A)-3),"")</f>
        <v>114.561886792453</v>
      </c>
      <c r="AB73" s="111" t="n">
        <f aca="false">IFERROR('Price History'!G3+(INDEX('Price History'!G:G,MATCH(9.99E+307,'Price History'!$A:$A))-'Price History'!G3)*(ROW()-3)/(MATCH(9.99E+307,'Returns (Calc)'!$A:$A)-3),"")</f>
        <v>108.522641509434</v>
      </c>
      <c r="AC73" s="111" t="n">
        <f aca="false">IFERROR('Price History'!H3+(INDEX('Price History'!H:H,MATCH(9.99E+307,'Price History'!$A:$A))-'Price History'!H3)*(ROW()-3)/(MATCH(9.99E+307,'Returns (Calc)'!$A:$A)-3),"")</f>
        <v>483.586352201258</v>
      </c>
      <c r="AD73" s="111" t="n">
        <f aca="false">IFERROR('Price History'!I3+(INDEX('Price History'!I:I,MATCH(9.99E+307,'Price History'!$A:$A))-'Price History'!I3)*(ROW()-3)/(MATCH(9.99E+307,'Returns (Calc)'!$A:$A)-3),"")</f>
        <v>124.282075471698</v>
      </c>
      <c r="AE73" s="111" t="n">
        <f aca="false">IFERROR('Price History'!J3+(INDEX('Price History'!J:J,MATCH(9.99E+307,'Price History'!$A:$A))-'Price History'!J3)*(ROW()-3)/(MATCH(9.99E+307,'Returns (Calc)'!$A:$A)-3),"")</f>
        <v>129.598679245283</v>
      </c>
      <c r="AF73" s="111" t="n">
        <f aca="false">IFERROR('Price History'!K3+(INDEX('Price History'!K:K,MATCH(9.99E+307,'Price History'!$A:$A))-'Price History'!K3)*(ROW()-3)/(MATCH(9.99E+307,'Returns (Calc)'!$A:$A)-3),"")</f>
        <v>85.3747798742138</v>
      </c>
      <c r="AG73" s="111" t="n">
        <f aca="false">IFERROR('Price History'!L3+(INDEX('Price History'!L:L,MATCH(9.99E+307,'Price History'!$A:$A))-'Price History'!L3)*(ROW()-3)/(MATCH(9.99E+307,'Returns (Calc)'!$A:$A)-3),"")</f>
        <v>240.319559748428</v>
      </c>
      <c r="AH73" s="111" t="n">
        <f aca="false">IFERROR('Price History'!M3+(INDEX('Price History'!M:M,MATCH(9.99E+307,'Price History'!$A:$A))-'Price History'!M3)*(ROW()-3)/(MATCH(9.99E+307,'Returns (Calc)'!$A:$A)-3),"")</f>
        <v>142.260943396226</v>
      </c>
      <c r="AI73" s="111" t="n">
        <f aca="false">IFERROR('Price History'!N3+(INDEX('Price History'!N:N,MATCH(9.99E+307,'Price History'!$A:$A))-'Price History'!N3)*(ROW()-3)/(MATCH(9.99E+307,'Returns (Calc)'!$A:$A)-3),"")</f>
        <v>436.263773584906</v>
      </c>
      <c r="AJ73" s="111" t="n">
        <f aca="false">IFERROR('Price History'!O3+(INDEX('Price History'!O:O,MATCH(9.99E+307,'Price History'!$A:$A))-'Price History'!O3)*(ROW()-3)/(MATCH(9.99E+307,'Returns (Calc)'!$A:$A)-3),"")</f>
        <v>102.256289308176</v>
      </c>
      <c r="AK73" s="111" t="n">
        <f aca="false">IFERROR('Price History'!Q3+(INDEX('Price History'!Q:Q,MATCH(9.99E+307,'Price History'!$A:$A))-'Price History'!Q3)*(ROW()-3)/(MATCH(9.99E+307,'Returns (Calc)'!$A:$A)-3),"")</f>
        <v>58.5922012578616</v>
      </c>
      <c r="AL73" s="111" t="n">
        <f aca="false">IFERROR('Price History'!R3+(INDEX('Price History'!R:R,MATCH(9.99E+307,'Price History'!$A:$A))-'Price History'!R3)*(ROW()-3)/(MATCH(9.99E+307,'Returns (Calc)'!$A:$A)-3),"")</f>
        <v>53.1250314465409</v>
      </c>
      <c r="AM73" s="111" t="n">
        <f aca="false">IFERROR('Price History'!S3+(INDEX('Price History'!S:S,MATCH(9.99E+307,'Price History'!$A:$A))-'Price History'!S3)*(ROW()-3)/(MATCH(9.99E+307,'Returns (Calc)'!$A:$A)-3),"")</f>
        <v>98.6821383647799</v>
      </c>
      <c r="AN73" s="111" t="n">
        <f aca="false">IFERROR('Price History'!T3+(INDEX('Price History'!T:T,MATCH(9.99E+307,'Price History'!$A:$A))-'Price History'!T3)*(ROW()-3)/(MATCH(9.99E+307,'Returns (Calc)'!$A:$A)-3),"")</f>
        <v>39.4043396226415</v>
      </c>
      <c r="AO73" s="112" t="n">
        <f aca="false">IFERROR('Price History'!V3+(INDEX('Price History'!V:V,MATCH(9.99E+307,'Price History'!$A:$A))-'Price History'!V3)*(ROW()-3)/(MATCH(9.99E+307,'Returns (Calc)'!$A:$A)-3),"")</f>
        <v>165.125157232704</v>
      </c>
    </row>
    <row r="74" customFormat="false" ht="15" hidden="false" customHeight="true" outlineLevel="0" collapsed="false">
      <c r="A74" s="108" t="n">
        <f aca="false">IF('Price History'!A75="","",'Price History'!A75)</f>
        <v>45653</v>
      </c>
      <c r="B74" s="109" t="n">
        <f aca="false">IFERROR(IF(OR(NOT(ISNUMBER('Price History'!B75)),NOT(ISNUMBER('Price History'!B74)),'Price History'!B74=0),"",'Price History'!B75/'Price History'!B74-1),"")</f>
        <v>-0.00154303732361294</v>
      </c>
      <c r="C74" s="109" t="n">
        <f aca="false">IFERROR(IF(OR(NOT(ISNUMBER('Price History'!C75)),NOT(ISNUMBER('Price History'!C74)),'Price History'!C74=0),"",'Price History'!C75/'Price History'!C74-1),"")</f>
        <v>0.00195018172147865</v>
      </c>
      <c r="D74" s="109" t="n">
        <f aca="false">IFERROR(IF(OR(NOT(ISNUMBER('Price History'!D75)),NOT(ISNUMBER('Price History'!D74)),'Price History'!D74=0),"",'Price History'!D75/'Price History'!D74-1),"")</f>
        <v>0.011209046593357</v>
      </c>
      <c r="E74" s="109" t="n">
        <f aca="false">IFERROR(IF(OR(NOT(ISNUMBER('Price History'!E75)),NOT(ISNUMBER('Price History'!E74)),'Price History'!E74=0),"",'Price History'!E75/'Price History'!E74-1),"")</f>
        <v>0.0949318356809639</v>
      </c>
      <c r="F74" s="109" t="n">
        <f aca="false">IFERROR(IF(OR(NOT(ISNUMBER('Price History'!F75)),NOT(ISNUMBER('Price History'!F74)),'Price History'!F74=0),"",'Price History'!F75/'Price History'!F74-1),"")</f>
        <v>-0.0200949541790879</v>
      </c>
      <c r="G74" s="109" t="n">
        <f aca="false">IFERROR(IF(OR(NOT(ISNUMBER('Price History'!G75)),NOT(ISNUMBER('Price History'!G74)),'Price History'!G74=0),"",'Price History'!G75/'Price History'!G74-1),"")</f>
        <v>0.0244677470606929</v>
      </c>
      <c r="H74" s="109" t="n">
        <f aca="false">IFERROR(IF(OR(NOT(ISNUMBER('Price History'!H75)),NOT(ISNUMBER('Price History'!H74)),'Price History'!H74=0),"",'Price History'!H75/'Price History'!H74-1),"")</f>
        <v>-0.0165335108743898</v>
      </c>
      <c r="I74" s="109" t="n">
        <f aca="false">IFERROR(IF(OR(NOT(ISNUMBER('Price History'!I75)),NOT(ISNUMBER('Price History'!I74)),'Price History'!I74=0),"",'Price History'!I75/'Price History'!I74-1),"")</f>
        <v>0.0171492204899777</v>
      </c>
      <c r="J74" s="109" t="n">
        <f aca="false">IFERROR(IF(OR(NOT(ISNUMBER('Price History'!J75)),NOT(ISNUMBER('Price History'!J74)),'Price History'!J74=0),"",'Price History'!J75/'Price History'!J74-1),"")</f>
        <v>0.0185830429732869</v>
      </c>
      <c r="K74" s="109" t="n">
        <f aca="false">IFERROR(IF(OR(NOT(ISNUMBER('Price History'!K75)),NOT(ISNUMBER('Price History'!K74)),'Price History'!K74=0),"",'Price History'!K75/'Price History'!K74-1),"")</f>
        <v>-0.0182495344506518</v>
      </c>
      <c r="L74" s="109" t="n">
        <f aca="false">IFERROR(IF(OR(NOT(ISNUMBER('Price History'!L75)),NOT(ISNUMBER('Price History'!L74)),'Price History'!L74=0),"",'Price History'!L75/'Price History'!L74-1),"")</f>
        <v>0.0224126565589979</v>
      </c>
      <c r="M74" s="109" t="n">
        <f aca="false">IFERROR(IF(OR(NOT(ISNUMBER('Price History'!M75)),NOT(ISNUMBER('Price History'!M74)),'Price History'!M74=0),"",'Price History'!M75/'Price History'!M74-1),"")</f>
        <v>-0.0410696434521827</v>
      </c>
      <c r="N74" s="109" t="n">
        <f aca="false">IFERROR(IF(OR(NOT(ISNUMBER('Price History'!N75)),NOT(ISNUMBER('Price History'!N74)),'Price History'!N74=0),"",'Price History'!N75/'Price History'!N74-1),"")</f>
        <v>0.0289223953482518</v>
      </c>
      <c r="O74" s="109" t="n">
        <f aca="false">IFERROR(IF(OR(NOT(ISNUMBER('Price History'!O75)),NOT(ISNUMBER('Price History'!O74)),'Price History'!O74=0),"",'Price History'!O75/'Price History'!O74-1),"")</f>
        <v>0.00395380293413794</v>
      </c>
      <c r="P74" s="109" t="str">
        <f aca="false">IFERROR(IF(OR(NOT(ISNUMBER('Price History'!P75)),NOT(ISNUMBER('Price History'!P74)),'Price History'!P74=0),"",'Price History'!P75/'Price History'!P74-1),"")</f>
        <v/>
      </c>
      <c r="Q74" s="109" t="n">
        <f aca="false">IFERROR(IF(OR(NOT(ISNUMBER('Price History'!Q75)),NOT(ISNUMBER('Price History'!Q74)),'Price History'!Q74=0),"",'Price History'!Q75/'Price History'!Q74-1),"")</f>
        <v>0.0105162523900575</v>
      </c>
      <c r="R74" s="109" t="n">
        <f aca="false">IFERROR(IF(OR(NOT(ISNUMBER('Price History'!R75)),NOT(ISNUMBER('Price History'!R74)),'Price History'!R74=0),"",'Price History'!R75/'Price History'!R74-1),"")</f>
        <v>0.00944055944055933</v>
      </c>
      <c r="S74" s="109" t="n">
        <f aca="false">IFERROR(IF(OR(NOT(ISNUMBER('Price History'!S75)),NOT(ISNUMBER('Price History'!S74)),'Price History'!S74=0),"",'Price History'!S75/'Price History'!S74-1),"")</f>
        <v>0.0105670642393807</v>
      </c>
      <c r="T74" s="109" t="n">
        <f aca="false">IFERROR(IF(OR(NOT(ISNUMBER('Price History'!T75)),NOT(ISNUMBER('Price History'!T74)),'Price History'!T74=0),"",'Price History'!T75/'Price History'!T74-1),"")</f>
        <v>0.00914454277286136</v>
      </c>
      <c r="U74" s="109" t="str">
        <f aca="false">IFERROR(IF(OR(NOT(ISNUMBER('Price History'!U75)),NOT(ISNUMBER('Price History'!U74)),'Price History'!U74=0),"",'Price History'!U75/'Price History'!U74-1),"")</f>
        <v/>
      </c>
      <c r="V74" s="110" t="n">
        <f aca="false">IFERROR(IF(OR(NOT(ISNUMBER('Price History'!V75)),NOT(ISNUMBER('Price History'!V74)),'Price History'!V74=0),"",'Price History'!V75/'Price History'!V74-1),"")</f>
        <v>0.00296565579259545</v>
      </c>
      <c r="W74" s="111" t="n">
        <f aca="false">IFERROR('Price History'!B3+(INDEX('Price History'!B:B,MATCH(9.99E+307,'Price History'!$A:$A))-'Price History'!B3)*(ROW()-3)/(MATCH(9.99E+307,'Returns (Calc)'!$A:$A)-3),"")</f>
        <v>400.413899371069</v>
      </c>
      <c r="X74" s="111" t="n">
        <f aca="false">IFERROR('Price History'!C3+(INDEX('Price History'!C:C,MATCH(9.99E+307,'Price History'!$A:$A))-'Price History'!C3)*(ROW()-3)/(MATCH(9.99E+307,'Returns (Calc)'!$A:$A)-3),"")</f>
        <v>110.738993710692</v>
      </c>
      <c r="Y74" s="111" t="n">
        <f aca="false">IFERROR('Price History'!D3+(INDEX('Price History'!D:D,MATCH(9.99E+307,'Price History'!$A:$A))-'Price History'!D3)*(ROW()-3)/(MATCH(9.99E+307,'Returns (Calc)'!$A:$A)-3),"")</f>
        <v>1132.03220125786</v>
      </c>
      <c r="Z74" s="111" t="n">
        <f aca="false">IFERROR('Price History'!E3+(INDEX('Price History'!E:E,MATCH(9.99E+307,'Price History'!$A:$A))-'Price History'!E3)*(ROW()-3)/(MATCH(9.99E+307,'Returns (Calc)'!$A:$A)-3),"")</f>
        <v>205.743018867925</v>
      </c>
      <c r="AA74" s="111" t="n">
        <f aca="false">IFERROR('Price History'!F3+(INDEX('Price History'!F:F,MATCH(9.99E+307,'Price History'!$A:$A))-'Price History'!F3)*(ROW()-3)/(MATCH(9.99E+307,'Returns (Calc)'!$A:$A)-3),"")</f>
        <v>115.669056603774</v>
      </c>
      <c r="AB74" s="111" t="n">
        <f aca="false">IFERROR('Price History'!G3+(INDEX('Price History'!G:G,MATCH(9.99E+307,'Price History'!$A:$A))-'Price History'!G3)*(ROW()-3)/(MATCH(9.99E+307,'Returns (Calc)'!$A:$A)-3),"")</f>
        <v>109.388679245283</v>
      </c>
      <c r="AC74" s="111" t="n">
        <f aca="false">IFERROR('Price History'!H3+(INDEX('Price History'!H:H,MATCH(9.99E+307,'Price History'!$A:$A))-'Price History'!H3)*(ROW()-3)/(MATCH(9.99E+307,'Returns (Calc)'!$A:$A)-3),"")</f>
        <v>489.575157232704</v>
      </c>
      <c r="AD74" s="111" t="n">
        <f aca="false">IFERROR('Price History'!I3+(INDEX('Price History'!I:I,MATCH(9.99E+307,'Price History'!$A:$A))-'Price History'!I3)*(ROW()-3)/(MATCH(9.99E+307,'Returns (Calc)'!$A:$A)-3),"")</f>
        <v>125.473962264151</v>
      </c>
      <c r="AE74" s="111" t="n">
        <f aca="false">IFERROR('Price History'!J3+(INDEX('Price History'!J:J,MATCH(9.99E+307,'Price History'!$A:$A))-'Price History'!J3)*(ROW()-3)/(MATCH(9.99E+307,'Returns (Calc)'!$A:$A)-3),"")</f>
        <v>129.685660377359</v>
      </c>
      <c r="AF74" s="111" t="n">
        <f aca="false">IFERROR('Price History'!K3+(INDEX('Price History'!K:K,MATCH(9.99E+307,'Price History'!$A:$A))-'Price History'!K3)*(ROW()-3)/(MATCH(9.99E+307,'Returns (Calc)'!$A:$A)-3),"")</f>
        <v>86.3742767295598</v>
      </c>
      <c r="AG74" s="111" t="n">
        <f aca="false">IFERROR('Price History'!L3+(INDEX('Price History'!L:L,MATCH(9.99E+307,'Price History'!$A:$A))-'Price History'!L3)*(ROW()-3)/(MATCH(9.99E+307,'Returns (Calc)'!$A:$A)-3),"")</f>
        <v>242.438553459119</v>
      </c>
      <c r="AH74" s="111" t="n">
        <f aca="false">IFERROR('Price History'!M3+(INDEX('Price History'!M:M,MATCH(9.99E+307,'Price History'!$A:$A))-'Price History'!M3)*(ROW()-3)/(MATCH(9.99E+307,'Returns (Calc)'!$A:$A)-3),"")</f>
        <v>143.814528301887</v>
      </c>
      <c r="AI74" s="111" t="n">
        <f aca="false">IFERROR('Price History'!N3+(INDEX('Price History'!N:N,MATCH(9.99E+307,'Price History'!$A:$A))-'Price History'!N3)*(ROW()-3)/(MATCH(9.99E+307,'Returns (Calc)'!$A:$A)-3),"")</f>
        <v>437.498113207547</v>
      </c>
      <c r="AJ74" s="111" t="n">
        <f aca="false">IFERROR('Price History'!O3+(INDEX('Price History'!O:O,MATCH(9.99E+307,'Price History'!$A:$A))-'Price History'!O3)*(ROW()-3)/(MATCH(9.99E+307,'Returns (Calc)'!$A:$A)-3),"")</f>
        <v>102.533522012579</v>
      </c>
      <c r="AK74" s="111" t="n">
        <f aca="false">IFERROR('Price History'!Q3+(INDEX('Price History'!Q:Q,MATCH(9.99E+307,'Price History'!$A:$A))-'Price History'!Q3)*(ROW()-3)/(MATCH(9.99E+307,'Returns (Calc)'!$A:$A)-3),"")</f>
        <v>58.7172327044025</v>
      </c>
      <c r="AL74" s="111" t="n">
        <f aca="false">IFERROR('Price History'!R3+(INDEX('Price History'!R:R,MATCH(9.99E+307,'Price History'!$A:$A))-'Price History'!R3)*(ROW()-3)/(MATCH(9.99E+307,'Returns (Calc)'!$A:$A)-3),"")</f>
        <v>53.2008176100629</v>
      </c>
      <c r="AM74" s="111" t="n">
        <f aca="false">IFERROR('Price History'!S3+(INDEX('Price History'!S:S,MATCH(9.99E+307,'Price History'!$A:$A))-'Price History'!S3)*(ROW()-3)/(MATCH(9.99E+307,'Returns (Calc)'!$A:$A)-3),"")</f>
        <v>99.2555974842767</v>
      </c>
      <c r="AN74" s="111" t="n">
        <f aca="false">IFERROR('Price History'!T3+(INDEX('Price History'!T:T,MATCH(9.99E+307,'Price History'!$A:$A))-'Price History'!T3)*(ROW()-3)/(MATCH(9.99E+307,'Returns (Calc)'!$A:$A)-3),"")</f>
        <v>39.5828301886792</v>
      </c>
      <c r="AO74" s="112" t="n">
        <f aca="false">IFERROR('Price History'!V3+(INDEX('Price History'!V:V,MATCH(9.99E+307,'Price History'!$A:$A))-'Price History'!V3)*(ROW()-3)/(MATCH(9.99E+307,'Returns (Calc)'!$A:$A)-3),"")</f>
        <v>167.484088050314</v>
      </c>
    </row>
    <row r="75" customFormat="false" ht="15" hidden="false" customHeight="true" outlineLevel="0" collapsed="false">
      <c r="A75" s="108" t="n">
        <f aca="false">IF('Price History'!A76="","",'Price History'!A76)</f>
        <v>45660</v>
      </c>
      <c r="B75" s="109" t="n">
        <f aca="false">IFERROR(IF(OR(NOT(ISNUMBER('Price History'!B76)),NOT(ISNUMBER('Price History'!B75)),'Price History'!B75=0),"",'Price History'!B76/'Price History'!B75-1),"")</f>
        <v>-0.0356342949292242</v>
      </c>
      <c r="C75" s="109" t="n">
        <f aca="false">IFERROR(IF(OR(NOT(ISNUMBER('Price History'!C76)),NOT(ISNUMBER('Price History'!C75)),'Price History'!C75=0),"",'Price History'!C76/'Price History'!C75-1),"")</f>
        <v>0.0191984428912679</v>
      </c>
      <c r="D75" s="109" t="n">
        <f aca="false">IFERROR(IF(OR(NOT(ISNUMBER('Price History'!D76)),NOT(ISNUMBER('Price History'!D75)),'Price History'!D75=0),"",'Price History'!D76/'Price History'!D75-1),"")</f>
        <v>0.00107905099566974</v>
      </c>
      <c r="E75" s="109" t="n">
        <f aca="false">IFERROR(IF(OR(NOT(ISNUMBER('Price History'!E76)),NOT(ISNUMBER('Price History'!E75)),'Price History'!E75=0),"",'Price History'!E76/'Price History'!E75-1),"")</f>
        <v>-0.0380558428128232</v>
      </c>
      <c r="F75" s="109" t="n">
        <f aca="false">IFERROR(IF(OR(NOT(ISNUMBER('Price History'!F76)),NOT(ISNUMBER('Price History'!F75)),'Price History'!F75=0),"",'Price History'!F76/'Price History'!F75-1),"")</f>
        <v>0.0113802816901409</v>
      </c>
      <c r="G75" s="109" t="n">
        <f aca="false">IFERROR(IF(OR(NOT(ISNUMBER('Price History'!G76)),NOT(ISNUMBER('Price History'!G75)),'Price History'!G75=0),"",'Price History'!G76/'Price History'!G75-1),"")</f>
        <v>0.0189205955334988</v>
      </c>
      <c r="H75" s="109" t="n">
        <f aca="false">IFERROR(IF(OR(NOT(ISNUMBER('Price History'!H76)),NOT(ISNUMBER('Price History'!H75)),'Price History'!H75=0),"",'Price History'!H76/'Price History'!H75-1),"")</f>
        <v>0.0139907480537065</v>
      </c>
      <c r="I75" s="109" t="n">
        <f aca="false">IFERROR(IF(OR(NOT(ISNUMBER('Price History'!I76)),NOT(ISNUMBER('Price History'!I75)),'Price History'!I75=0),"",'Price History'!I76/'Price History'!I75-1),"")</f>
        <v>0.0544485803955916</v>
      </c>
      <c r="J75" s="109" t="n">
        <f aca="false">IFERROR(IF(OR(NOT(ISNUMBER('Price History'!J76)),NOT(ISNUMBER('Price History'!J75)),'Price History'!J75=0),"",'Price History'!J76/'Price History'!J75-1),"")</f>
        <v>0.00370581527936142</v>
      </c>
      <c r="K75" s="109" t="n">
        <f aca="false">IFERROR(IF(OR(NOT(ISNUMBER('Price History'!K76)),NOT(ISNUMBER('Price History'!K75)),'Price History'!K75=0),"",'Price History'!K76/'Price History'!K75-1),"")</f>
        <v>0.0102427921092565</v>
      </c>
      <c r="L75" s="109" t="n">
        <f aca="false">IFERROR(IF(OR(NOT(ISNUMBER('Price History'!L76)),NOT(ISNUMBER('Price History'!L75)),'Price History'!L75=0),"",'Price History'!L76/'Price History'!L75-1),"")</f>
        <v>0.0346178644050985</v>
      </c>
      <c r="M75" s="109" t="n">
        <f aca="false">IFERROR(IF(OR(NOT(ISNUMBER('Price History'!M76)),NOT(ISNUMBER('Price History'!M75)),'Price History'!M75=0),"",'Price History'!M76/'Price History'!M75-1),"")</f>
        <v>0.0917383372426375</v>
      </c>
      <c r="N75" s="109" t="n">
        <f aca="false">IFERROR(IF(OR(NOT(ISNUMBER('Price History'!N76)),NOT(ISNUMBER('Price History'!N75)),'Price History'!N75=0),"",'Price History'!N76/'Price History'!N75-1),"")</f>
        <v>-0.0040365984930032</v>
      </c>
      <c r="O75" s="109" t="n">
        <f aca="false">IFERROR(IF(OR(NOT(ISNUMBER('Price History'!O76)),NOT(ISNUMBER('Price History'!O75)),'Price History'!O75=0),"",'Price History'!O76/'Price History'!O75-1),"")</f>
        <v>0.00777282619960618</v>
      </c>
      <c r="P75" s="109" t="str">
        <f aca="false">IFERROR(IF(OR(NOT(ISNUMBER('Price History'!P76)),NOT(ISNUMBER('Price History'!P75)),'Price History'!P75=0),"",'Price History'!P76/'Price History'!P75-1),"")</f>
        <v/>
      </c>
      <c r="Q75" s="109" t="n">
        <f aca="false">IFERROR(IF(OR(NOT(ISNUMBER('Price History'!Q76)),NOT(ISNUMBER('Price History'!Q75)),'Price History'!Q75=0),"",'Price History'!Q76/'Price History'!Q75-1),"")</f>
        <v>-0.00898770104068114</v>
      </c>
      <c r="R75" s="109" t="n">
        <f aca="false">IFERROR(IF(OR(NOT(ISNUMBER('Price History'!R76)),NOT(ISNUMBER('Price History'!R75)),'Price History'!R75=0),"",'Price History'!R76/'Price History'!R75-1),"")</f>
        <v>-0.0114305507447178</v>
      </c>
      <c r="S75" s="109" t="n">
        <f aca="false">IFERROR(IF(OR(NOT(ISNUMBER('Price History'!S76)),NOT(ISNUMBER('Price History'!S75)),'Price History'!S75=0),"",'Price History'!S76/'Price History'!S75-1),"")</f>
        <v>0.00310591158505025</v>
      </c>
      <c r="T75" s="109" t="n">
        <f aca="false">IFERROR(IF(OR(NOT(ISNUMBER('Price History'!T76)),NOT(ISNUMBER('Price History'!T75)),'Price History'!T75=0),"",'Price History'!T76/'Price History'!T75-1),"")</f>
        <v>0.00760011692487561</v>
      </c>
      <c r="U75" s="109" t="str">
        <f aca="false">IFERROR(IF(OR(NOT(ISNUMBER('Price History'!U76)),NOT(ISNUMBER('Price History'!U75)),'Price History'!U75=0),"",'Price History'!U76/'Price History'!U75-1),"")</f>
        <v/>
      </c>
      <c r="V75" s="110" t="n">
        <f aca="false">IFERROR(IF(OR(NOT(ISNUMBER('Price History'!V76)),NOT(ISNUMBER('Price History'!V75)),'Price History'!V75=0),"",'Price History'!V76/'Price History'!V75-1),"")</f>
        <v>-0.0117639577769298</v>
      </c>
      <c r="W75" s="111" t="n">
        <f aca="false">IFERROR('Price History'!B3+(INDEX('Price History'!B:B,MATCH(9.99E+307,'Price History'!$A:$A))-'Price History'!B3)*(ROW()-3)/(MATCH(9.99E+307,'Returns (Calc)'!$A:$A)-3),"")</f>
        <v>398.892264150943</v>
      </c>
      <c r="X75" s="111" t="n">
        <f aca="false">IFERROR('Price History'!C3+(INDEX('Price History'!C:C,MATCH(9.99E+307,'Price History'!$A:$A))-'Price History'!C3)*(ROW()-3)/(MATCH(9.99E+307,'Returns (Calc)'!$A:$A)-3),"")</f>
        <v>111.682641509434</v>
      </c>
      <c r="Y75" s="111" t="n">
        <f aca="false">IFERROR('Price History'!D3+(INDEX('Price History'!D:D,MATCH(9.99E+307,'Price History'!$A:$A))-'Price History'!D3)*(ROW()-3)/(MATCH(9.99E+307,'Returns (Calc)'!$A:$A)-3),"")</f>
        <v>1138.65547169811</v>
      </c>
      <c r="Z75" s="111" t="n">
        <f aca="false">IFERROR('Price History'!E3+(INDEX('Price History'!E:E,MATCH(9.99E+307,'Price History'!$A:$A))-'Price History'!E3)*(ROW()-3)/(MATCH(9.99E+307,'Returns (Calc)'!$A:$A)-3),"")</f>
        <v>207.472075471698</v>
      </c>
      <c r="AA75" s="111" t="n">
        <f aca="false">IFERROR('Price History'!F3+(INDEX('Price History'!F:F,MATCH(9.99E+307,'Price History'!$A:$A))-'Price History'!F3)*(ROW()-3)/(MATCH(9.99E+307,'Returns (Calc)'!$A:$A)-3),"")</f>
        <v>116.776226415094</v>
      </c>
      <c r="AB75" s="111" t="n">
        <f aca="false">IFERROR('Price History'!G3+(INDEX('Price History'!G:G,MATCH(9.99E+307,'Price History'!$A:$A))-'Price History'!G3)*(ROW()-3)/(MATCH(9.99E+307,'Returns (Calc)'!$A:$A)-3),"")</f>
        <v>110.254716981132</v>
      </c>
      <c r="AC75" s="111" t="n">
        <f aca="false">IFERROR('Price History'!H3+(INDEX('Price History'!H:H,MATCH(9.99E+307,'Price History'!$A:$A))-'Price History'!H3)*(ROW()-3)/(MATCH(9.99E+307,'Returns (Calc)'!$A:$A)-3),"")</f>
        <v>495.563962264151</v>
      </c>
      <c r="AD75" s="111" t="n">
        <f aca="false">IFERROR('Price History'!I3+(INDEX('Price History'!I:I,MATCH(9.99E+307,'Price History'!$A:$A))-'Price History'!I3)*(ROW()-3)/(MATCH(9.99E+307,'Returns (Calc)'!$A:$A)-3),"")</f>
        <v>126.665849056604</v>
      </c>
      <c r="AE75" s="111" t="n">
        <f aca="false">IFERROR('Price History'!J3+(INDEX('Price History'!J:J,MATCH(9.99E+307,'Price History'!$A:$A))-'Price History'!J3)*(ROW()-3)/(MATCH(9.99E+307,'Returns (Calc)'!$A:$A)-3),"")</f>
        <v>129.772641509434</v>
      </c>
      <c r="AF75" s="111" t="n">
        <f aca="false">IFERROR('Price History'!K3+(INDEX('Price History'!K:K,MATCH(9.99E+307,'Price History'!$A:$A))-'Price History'!K3)*(ROW()-3)/(MATCH(9.99E+307,'Returns (Calc)'!$A:$A)-3),"")</f>
        <v>87.3737735849057</v>
      </c>
      <c r="AG75" s="111" t="n">
        <f aca="false">IFERROR('Price History'!L3+(INDEX('Price History'!L:L,MATCH(9.99E+307,'Price History'!$A:$A))-'Price History'!L3)*(ROW()-3)/(MATCH(9.99E+307,'Returns (Calc)'!$A:$A)-3),"")</f>
        <v>244.557547169811</v>
      </c>
      <c r="AH75" s="111" t="n">
        <f aca="false">IFERROR('Price History'!M3+(INDEX('Price History'!M:M,MATCH(9.99E+307,'Price History'!$A:$A))-'Price History'!M3)*(ROW()-3)/(MATCH(9.99E+307,'Returns (Calc)'!$A:$A)-3),"")</f>
        <v>145.368113207547</v>
      </c>
      <c r="AI75" s="111" t="n">
        <f aca="false">IFERROR('Price History'!N3+(INDEX('Price History'!N:N,MATCH(9.99E+307,'Price History'!$A:$A))-'Price History'!N3)*(ROW()-3)/(MATCH(9.99E+307,'Returns (Calc)'!$A:$A)-3),"")</f>
        <v>438.732452830189</v>
      </c>
      <c r="AJ75" s="111" t="n">
        <f aca="false">IFERROR('Price History'!O3+(INDEX('Price History'!O:O,MATCH(9.99E+307,'Price History'!$A:$A))-'Price History'!O3)*(ROW()-3)/(MATCH(9.99E+307,'Returns (Calc)'!$A:$A)-3),"")</f>
        <v>102.810754716981</v>
      </c>
      <c r="AK75" s="111" t="n">
        <f aca="false">IFERROR('Price History'!Q3+(INDEX('Price History'!Q:Q,MATCH(9.99E+307,'Price History'!$A:$A))-'Price History'!Q3)*(ROW()-3)/(MATCH(9.99E+307,'Returns (Calc)'!$A:$A)-3),"")</f>
        <v>58.8422641509434</v>
      </c>
      <c r="AL75" s="111" t="n">
        <f aca="false">IFERROR('Price History'!R3+(INDEX('Price History'!R:R,MATCH(9.99E+307,'Price History'!$A:$A))-'Price History'!R3)*(ROW()-3)/(MATCH(9.99E+307,'Returns (Calc)'!$A:$A)-3),"")</f>
        <v>53.2766037735849</v>
      </c>
      <c r="AM75" s="111" t="n">
        <f aca="false">IFERROR('Price History'!S3+(INDEX('Price History'!S:S,MATCH(9.99E+307,'Price History'!$A:$A))-'Price History'!S3)*(ROW()-3)/(MATCH(9.99E+307,'Returns (Calc)'!$A:$A)-3),"")</f>
        <v>99.8290566037736</v>
      </c>
      <c r="AN75" s="111" t="n">
        <f aca="false">IFERROR('Price History'!T3+(INDEX('Price History'!T:T,MATCH(9.99E+307,'Price History'!$A:$A))-'Price History'!T3)*(ROW()-3)/(MATCH(9.99E+307,'Returns (Calc)'!$A:$A)-3),"")</f>
        <v>39.761320754717</v>
      </c>
      <c r="AO75" s="112" t="n">
        <f aca="false">IFERROR('Price History'!V3+(INDEX('Price History'!V:V,MATCH(9.99E+307,'Price History'!$A:$A))-'Price History'!V3)*(ROW()-3)/(MATCH(9.99E+307,'Returns (Calc)'!$A:$A)-3),"")</f>
        <v>169.843018867925</v>
      </c>
    </row>
    <row r="76" customFormat="false" ht="15" hidden="false" customHeight="true" outlineLevel="0" collapsed="false">
      <c r="A76" s="108" t="n">
        <f aca="false">IF('Price History'!A77="","",'Price History'!A77)</f>
        <v>45667</v>
      </c>
      <c r="B76" s="109" t="n">
        <f aca="false">IFERROR(IF(OR(NOT(ISNUMBER('Price History'!B77)),NOT(ISNUMBER('Price History'!B76)),'Price History'!B76=0),"",'Price History'!B77/'Price History'!B76-1),"")</f>
        <v>-0.0572496922683884</v>
      </c>
      <c r="C76" s="109" t="n">
        <f aca="false">IFERROR(IF(OR(NOT(ISNUMBER('Price History'!C77)),NOT(ISNUMBER('Price History'!C76)),'Price History'!C76=0),"",'Price History'!C77/'Price History'!C76-1),"")</f>
        <v>-0.00746527777777772</v>
      </c>
      <c r="D76" s="109" t="n">
        <f aca="false">IFERROR(IF(OR(NOT(ISNUMBER('Price History'!D77)),NOT(ISNUMBER('Price History'!D76)),'Price History'!D76=0),"",'Price History'!D77/'Price History'!D76-1),"")</f>
        <v>0.0345064113332214</v>
      </c>
      <c r="E76" s="109" t="n">
        <f aca="false">IFERROR(IF(OR(NOT(ISNUMBER('Price History'!E77)),NOT(ISNUMBER('Price History'!E76)),'Price History'!E76=0),"",'Price History'!E77/'Price History'!E76-1),"")</f>
        <v>-0.0354332401634058</v>
      </c>
      <c r="F76" s="109" t="n">
        <f aca="false">IFERROR(IF(OR(NOT(ISNUMBER('Price History'!F77)),NOT(ISNUMBER('Price History'!F76)),'Price History'!F76=0),"",'Price History'!F77/'Price History'!F76-1),"")</f>
        <v>-0.0284090909090911</v>
      </c>
      <c r="G76" s="109" t="n">
        <f aca="false">IFERROR(IF(OR(NOT(ISNUMBER('Price History'!G77)),NOT(ISNUMBER('Price History'!G76)),'Price History'!G76=0),"",'Price History'!G77/'Price History'!G76-1),"")</f>
        <v>0.0397260273972602</v>
      </c>
      <c r="H76" s="109" t="n">
        <f aca="false">IFERROR(IF(OR(NOT(ISNUMBER('Price History'!H77)),NOT(ISNUMBER('Price History'!H76)),'Price History'!H76=0),"",'Price History'!H77/'Price History'!H76-1),"")</f>
        <v>0.105374429731835</v>
      </c>
      <c r="I76" s="109" t="n">
        <f aca="false">IFERROR(IF(OR(NOT(ISNUMBER('Price History'!I77)),NOT(ISNUMBER('Price History'!I76)),'Price History'!I76=0),"",'Price History'!I77/'Price History'!I76-1),"")</f>
        <v>-0.0592510555824739</v>
      </c>
      <c r="J76" s="109" t="n">
        <f aca="false">IFERROR(IF(OR(NOT(ISNUMBER('Price History'!J77)),NOT(ISNUMBER('Price History'!J76)),'Price History'!J76=0),"",'Price History'!J77/'Price History'!J76-1),"")</f>
        <v>-0.0193126952570292</v>
      </c>
      <c r="K76" s="109" t="n">
        <f aca="false">IFERROR(IF(OR(NOT(ISNUMBER('Price History'!K77)),NOT(ISNUMBER('Price History'!K76)),'Price History'!K76=0),"",'Price History'!K77/'Price History'!K76-1),"")</f>
        <v>-0.1580923770184</v>
      </c>
      <c r="L76" s="109" t="n">
        <f aca="false">IFERROR(IF(OR(NOT(ISNUMBER('Price History'!L77)),NOT(ISNUMBER('Price History'!L76)),'Price History'!L76=0),"",'Price History'!L77/'Price History'!L76-1),"")</f>
        <v>-0.00115047217295439</v>
      </c>
      <c r="M76" s="109" t="n">
        <f aca="false">IFERROR(IF(OR(NOT(ISNUMBER('Price History'!M77)),NOT(ISNUMBER('Price History'!M76)),'Price History'!M76=0),"",'Price History'!M77/'Price History'!M76-1),"")</f>
        <v>0.0259409564733031</v>
      </c>
      <c r="N76" s="109" t="n">
        <f aca="false">IFERROR(IF(OR(NOT(ISNUMBER('Price History'!N77)),NOT(ISNUMBER('Price History'!N76)),'Price History'!N76=0),"",'Price History'!N77/'Price History'!N76-1),"")</f>
        <v>0.00601802952518971</v>
      </c>
      <c r="O76" s="109" t="n">
        <f aca="false">IFERROR(IF(OR(NOT(ISNUMBER('Price History'!O77)),NOT(ISNUMBER('Price History'!O76)),'Price History'!O76=0),"",'Price History'!O77/'Price History'!O76-1),"")</f>
        <v>-0.0262237762237761</v>
      </c>
      <c r="P76" s="109" t="str">
        <f aca="false">IFERROR(IF(OR(NOT(ISNUMBER('Price History'!P77)),NOT(ISNUMBER('Price History'!P76)),'Price History'!P76=0),"",'Price History'!P77/'Price History'!P76-1),"")</f>
        <v/>
      </c>
      <c r="Q76" s="109" t="n">
        <f aca="false">IFERROR(IF(OR(NOT(ISNUMBER('Price History'!Q77)),NOT(ISNUMBER('Price History'!Q76)),'Price History'!Q76=0),"",'Price History'!Q77/'Price History'!Q76-1),"")</f>
        <v>-0.00636435958631665</v>
      </c>
      <c r="R76" s="109" t="n">
        <f aca="false">IFERROR(IF(OR(NOT(ISNUMBER('Price History'!R77)),NOT(ISNUMBER('Price History'!R76)),'Price History'!R76=0),"",'Price History'!R77/'Price History'!R76-1),"")</f>
        <v>-0.0192711983181499</v>
      </c>
      <c r="S76" s="109" t="n">
        <f aca="false">IFERROR(IF(OR(NOT(ISNUMBER('Price History'!S77)),NOT(ISNUMBER('Price History'!S76)),'Price History'!S76=0),"",'Price History'!S77/'Price History'!S76-1),"")</f>
        <v>-0.0135204871503768</v>
      </c>
      <c r="T76" s="109" t="n">
        <f aca="false">IFERROR(IF(OR(NOT(ISNUMBER('Price History'!T77)),NOT(ISNUMBER('Price History'!T76)),'Price History'!T76=0),"",'Price History'!T77/'Price History'!T76-1),"")</f>
        <v>-0.000290107339715684</v>
      </c>
      <c r="U76" s="109" t="str">
        <f aca="false">IFERROR(IF(OR(NOT(ISNUMBER('Price History'!U77)),NOT(ISNUMBER('Price History'!U76)),'Price History'!U76=0),"",'Price History'!U77/'Price History'!U76-1),"")</f>
        <v/>
      </c>
      <c r="V76" s="110" t="n">
        <f aca="false">IFERROR(IF(OR(NOT(ISNUMBER('Price History'!V77)),NOT(ISNUMBER('Price History'!V76)),'Price History'!V76=0),"",'Price History'!V77/'Price History'!V76-1),"")</f>
        <v>-0.0228428029084357</v>
      </c>
      <c r="W76" s="111" t="n">
        <f aca="false">IFERROR('Price History'!B3+(INDEX('Price History'!B:B,MATCH(9.99E+307,'Price History'!$A:$A))-'Price History'!B3)*(ROW()-3)/(MATCH(9.99E+307,'Returns (Calc)'!$A:$A)-3),"")</f>
        <v>397.370628930818</v>
      </c>
      <c r="X76" s="111" t="n">
        <f aca="false">IFERROR('Price History'!C3+(INDEX('Price History'!C:C,MATCH(9.99E+307,'Price History'!$A:$A))-'Price History'!C3)*(ROW()-3)/(MATCH(9.99E+307,'Returns (Calc)'!$A:$A)-3),"")</f>
        <v>112.626289308176</v>
      </c>
      <c r="Y76" s="111" t="n">
        <f aca="false">IFERROR('Price History'!D3+(INDEX('Price History'!D:D,MATCH(9.99E+307,'Price History'!$A:$A))-'Price History'!D3)*(ROW()-3)/(MATCH(9.99E+307,'Returns (Calc)'!$A:$A)-3),"")</f>
        <v>1145.27874213836</v>
      </c>
      <c r="Z76" s="111" t="n">
        <f aca="false">IFERROR('Price History'!E3+(INDEX('Price History'!E:E,MATCH(9.99E+307,'Price History'!$A:$A))-'Price History'!E3)*(ROW()-3)/(MATCH(9.99E+307,'Returns (Calc)'!$A:$A)-3),"")</f>
        <v>209.201132075472</v>
      </c>
      <c r="AA76" s="111" t="n">
        <f aca="false">IFERROR('Price History'!F3+(INDEX('Price History'!F:F,MATCH(9.99E+307,'Price History'!$A:$A))-'Price History'!F3)*(ROW()-3)/(MATCH(9.99E+307,'Returns (Calc)'!$A:$A)-3),"")</f>
        <v>117.883396226415</v>
      </c>
      <c r="AB76" s="111" t="n">
        <f aca="false">IFERROR('Price History'!G3+(INDEX('Price History'!G:G,MATCH(9.99E+307,'Price History'!$A:$A))-'Price History'!G3)*(ROW()-3)/(MATCH(9.99E+307,'Returns (Calc)'!$A:$A)-3),"")</f>
        <v>111.120754716981</v>
      </c>
      <c r="AC76" s="111" t="n">
        <f aca="false">IFERROR('Price History'!H3+(INDEX('Price History'!H:H,MATCH(9.99E+307,'Price History'!$A:$A))-'Price History'!H3)*(ROW()-3)/(MATCH(9.99E+307,'Returns (Calc)'!$A:$A)-3),"")</f>
        <v>501.552767295597</v>
      </c>
      <c r="AD76" s="111" t="n">
        <f aca="false">IFERROR('Price History'!I3+(INDEX('Price History'!I:I,MATCH(9.99E+307,'Price History'!$A:$A))-'Price History'!I3)*(ROW()-3)/(MATCH(9.99E+307,'Returns (Calc)'!$A:$A)-3),"")</f>
        <v>127.857735849057</v>
      </c>
      <c r="AE76" s="111" t="n">
        <f aca="false">IFERROR('Price History'!J3+(INDEX('Price History'!J:J,MATCH(9.99E+307,'Price History'!$A:$A))-'Price History'!J3)*(ROW()-3)/(MATCH(9.99E+307,'Returns (Calc)'!$A:$A)-3),"")</f>
        <v>129.859622641509</v>
      </c>
      <c r="AF76" s="111" t="n">
        <f aca="false">IFERROR('Price History'!K3+(INDEX('Price History'!K:K,MATCH(9.99E+307,'Price History'!$A:$A))-'Price History'!K3)*(ROW()-3)/(MATCH(9.99E+307,'Returns (Calc)'!$A:$A)-3),"")</f>
        <v>88.3732704402516</v>
      </c>
      <c r="AG76" s="111" t="n">
        <f aca="false">IFERROR('Price History'!L3+(INDEX('Price History'!L:L,MATCH(9.99E+307,'Price History'!$A:$A))-'Price History'!L3)*(ROW()-3)/(MATCH(9.99E+307,'Returns (Calc)'!$A:$A)-3),"")</f>
        <v>246.676540880503</v>
      </c>
      <c r="AH76" s="111" t="n">
        <f aca="false">IFERROR('Price History'!M3+(INDEX('Price History'!M:M,MATCH(9.99E+307,'Price History'!$A:$A))-'Price History'!M3)*(ROW()-3)/(MATCH(9.99E+307,'Returns (Calc)'!$A:$A)-3),"")</f>
        <v>146.921698113208</v>
      </c>
      <c r="AI76" s="111" t="n">
        <f aca="false">IFERROR('Price History'!N3+(INDEX('Price History'!N:N,MATCH(9.99E+307,'Price History'!$A:$A))-'Price History'!N3)*(ROW()-3)/(MATCH(9.99E+307,'Returns (Calc)'!$A:$A)-3),"")</f>
        <v>439.96679245283</v>
      </c>
      <c r="AJ76" s="111" t="n">
        <f aca="false">IFERROR('Price History'!O3+(INDEX('Price History'!O:O,MATCH(9.99E+307,'Price History'!$A:$A))-'Price History'!O3)*(ROW()-3)/(MATCH(9.99E+307,'Returns (Calc)'!$A:$A)-3),"")</f>
        <v>103.087987421384</v>
      </c>
      <c r="AK76" s="111" t="n">
        <f aca="false">IFERROR('Price History'!Q3+(INDEX('Price History'!Q:Q,MATCH(9.99E+307,'Price History'!$A:$A))-'Price History'!Q3)*(ROW()-3)/(MATCH(9.99E+307,'Returns (Calc)'!$A:$A)-3),"")</f>
        <v>58.9672955974843</v>
      </c>
      <c r="AL76" s="111" t="n">
        <f aca="false">IFERROR('Price History'!R3+(INDEX('Price History'!R:R,MATCH(9.99E+307,'Price History'!$A:$A))-'Price History'!R3)*(ROW()-3)/(MATCH(9.99E+307,'Returns (Calc)'!$A:$A)-3),"")</f>
        <v>53.3523899371069</v>
      </c>
      <c r="AM76" s="111" t="n">
        <f aca="false">IFERROR('Price History'!S3+(INDEX('Price History'!S:S,MATCH(9.99E+307,'Price History'!$A:$A))-'Price History'!S3)*(ROW()-3)/(MATCH(9.99E+307,'Returns (Calc)'!$A:$A)-3),"")</f>
        <v>100.40251572327</v>
      </c>
      <c r="AN76" s="111" t="n">
        <f aca="false">IFERROR('Price History'!T3+(INDEX('Price History'!T:T,MATCH(9.99E+307,'Price History'!$A:$A))-'Price History'!T3)*(ROW()-3)/(MATCH(9.99E+307,'Returns (Calc)'!$A:$A)-3),"")</f>
        <v>39.9398113207547</v>
      </c>
      <c r="AO76" s="112" t="n">
        <f aca="false">IFERROR('Price History'!V3+(INDEX('Price History'!V:V,MATCH(9.99E+307,'Price History'!$A:$A))-'Price History'!V3)*(ROW()-3)/(MATCH(9.99E+307,'Returns (Calc)'!$A:$A)-3),"")</f>
        <v>172.201949685535</v>
      </c>
    </row>
    <row r="77" customFormat="false" ht="15" hidden="false" customHeight="true" outlineLevel="0" collapsed="false">
      <c r="A77" s="108" t="n">
        <f aca="false">IF('Price History'!A78="","",'Price History'!A78)</f>
        <v>45674</v>
      </c>
      <c r="B77" s="109" t="n">
        <f aca="false">IFERROR(IF(OR(NOT(ISNUMBER('Price History'!B78)),NOT(ISNUMBER('Price History'!B77)),'Price History'!B77=0),"",'Price History'!B78/'Price History'!B77-1),"")</f>
        <v>0.0592973985021679</v>
      </c>
      <c r="C77" s="109" t="n">
        <f aca="false">IFERROR(IF(OR(NOT(ISNUMBER('Price History'!C78)),NOT(ISNUMBER('Price History'!C77)),'Price History'!C77=0),"",'Price History'!C78/'Price History'!C77-1),"")</f>
        <v>0.0490641945076089</v>
      </c>
      <c r="D77" s="109" t="n">
        <f aca="false">IFERROR(IF(OR(NOT(ISNUMBER('Price History'!D78)),NOT(ISNUMBER('Price History'!D77)),'Price History'!D77=0),"",'Price History'!D78/'Price History'!D77-1),"")</f>
        <v>0.0234367599897161</v>
      </c>
      <c r="E77" s="109" t="n">
        <f aca="false">IFERROR(IF(OR(NOT(ISNUMBER('Price History'!E78)),NOT(ISNUMBER('Price History'!E77)),'Price History'!E77=0),"",'Price History'!E78/'Price History'!E77-1),"")</f>
        <v>0.0585350630823414</v>
      </c>
      <c r="F77" s="109" t="n">
        <f aca="false">IFERROR(IF(OR(NOT(ISNUMBER('Price History'!F78)),NOT(ISNUMBER('Price History'!F77)),'Price History'!F77=0),"",'Price History'!F78/'Price History'!F77-1),"")</f>
        <v>0.0233918128654971</v>
      </c>
      <c r="G77" s="109" t="n">
        <f aca="false">IFERROR(IF(OR(NOT(ISNUMBER('Price History'!G78)),NOT(ISNUMBER('Price History'!G77)),'Price History'!G77=0),"",'Price History'!G78/'Price History'!G77-1),"")</f>
        <v>0.108915239350022</v>
      </c>
      <c r="H77" s="109" t="n">
        <f aca="false">IFERROR(IF(OR(NOT(ISNUMBER('Price History'!H78)),NOT(ISNUMBER('Price History'!H77)),'Price History'!H77=0),"",'Price History'!H78/'Price History'!H77-1),"")</f>
        <v>0.0645258707469296</v>
      </c>
      <c r="I77" s="109" t="n">
        <f aca="false">IFERROR(IF(OR(NOT(ISNUMBER('Price History'!I78)),NOT(ISNUMBER('Price History'!I77)),'Price History'!I77=0),"",'Price History'!I78/'Price History'!I77-1),"")</f>
        <v>0.0132440585681701</v>
      </c>
      <c r="J77" s="109" t="n">
        <f aca="false">IFERROR(IF(OR(NOT(ISNUMBER('Price History'!J78)),NOT(ISNUMBER('Price History'!J77)),'Price History'!J77=0),"",'Price History'!J78/'Price History'!J77-1),"")</f>
        <v>0.056858770151559</v>
      </c>
      <c r="K77" s="109" t="n">
        <f aca="false">IFERROR(IF(OR(NOT(ISNUMBER('Price History'!K78)),NOT(ISNUMBER('Price History'!K77)),'Price History'!K77=0),"",'Price History'!K78/'Price History'!K77-1),"")</f>
        <v>0.0670532262860539</v>
      </c>
      <c r="L77" s="109" t="n">
        <f aca="false">IFERROR(IF(OR(NOT(ISNUMBER('Price History'!L78)),NOT(ISNUMBER('Price History'!L77)),'Price History'!L77=0),"",'Price History'!L78/'Price History'!L77-1),"")</f>
        <v>0.0150213562413015</v>
      </c>
      <c r="M77" s="109" t="n">
        <f aca="false">IFERROR(IF(OR(NOT(ISNUMBER('Price History'!M78)),NOT(ISNUMBER('Price History'!M77)),'Price History'!M77=0),"",'Price History'!M78/'Price History'!M77-1),"")</f>
        <v>0.0539052198867602</v>
      </c>
      <c r="N77" s="109" t="n">
        <f aca="false">IFERROR(IF(OR(NOT(ISNUMBER('Price History'!N78)),NOT(ISNUMBER('Price History'!N77)),'Price History'!N77=0),"",'Price History'!N78/'Price History'!N77-1),"")</f>
        <v>0.0303740599667937</v>
      </c>
      <c r="O77" s="109" t="n">
        <f aca="false">IFERROR(IF(OR(NOT(ISNUMBER('Price History'!O78)),NOT(ISNUMBER('Price History'!O77)),'Price History'!O77=0),"",'Price History'!O78/'Price History'!O77-1),"")</f>
        <v>0.0488963987749498</v>
      </c>
      <c r="P77" s="109" t="str">
        <f aca="false">IFERROR(IF(OR(NOT(ISNUMBER('Price History'!P78)),NOT(ISNUMBER('Price History'!P77)),'Price History'!P77=0),"",'Price History'!P78/'Price History'!P77-1),"")</f>
        <v/>
      </c>
      <c r="Q77" s="109" t="n">
        <f aca="false">IFERROR(IF(OR(NOT(ISNUMBER('Price History'!Q78)),NOT(ISNUMBER('Price History'!Q77)),'Price History'!Q77=0),"",'Price History'!Q78/'Price History'!Q77-1),"")</f>
        <v>-0.0174539631705365</v>
      </c>
      <c r="R77" s="109" t="n">
        <f aca="false">IFERROR(IF(OR(NOT(ISNUMBER('Price History'!R78)),NOT(ISNUMBER('Price History'!R77)),'Price History'!R77=0),"",'Price History'!R78/'Price History'!R77-1),"")</f>
        <v>0.0230439442658092</v>
      </c>
      <c r="S77" s="109" t="n">
        <f aca="false">IFERROR(IF(OR(NOT(ISNUMBER('Price History'!S78)),NOT(ISNUMBER('Price History'!S77)),'Price History'!S77=0),"",'Price History'!S78/'Price History'!S77-1),"")</f>
        <v>0.0321196903117809</v>
      </c>
      <c r="T77" s="109" t="n">
        <f aca="false">IFERROR(IF(OR(NOT(ISNUMBER('Price History'!T78)),NOT(ISNUMBER('Price History'!T77)),'Price History'!T77=0),"",'Price History'!T78/'Price History'!T77-1),"")</f>
        <v>0.038595473012188</v>
      </c>
      <c r="U77" s="109" t="str">
        <f aca="false">IFERROR(IF(OR(NOT(ISNUMBER('Price History'!U78)),NOT(ISNUMBER('Price History'!U77)),'Price History'!U77=0),"",'Price History'!U78/'Price History'!U77-1),"")</f>
        <v/>
      </c>
      <c r="V77" s="110" t="n">
        <f aca="false">IFERROR(IF(OR(NOT(ISNUMBER('Price History'!V78)),NOT(ISNUMBER('Price History'!V77)),'Price History'!V77=0),"",'Price History'!V78/'Price History'!V77-1),"")</f>
        <v>0.0386869485052022</v>
      </c>
      <c r="W77" s="111" t="n">
        <f aca="false">IFERROR('Price History'!B3+(INDEX('Price History'!B:B,MATCH(9.99E+307,'Price History'!$A:$A))-'Price History'!B3)*(ROW()-3)/(MATCH(9.99E+307,'Returns (Calc)'!$A:$A)-3),"")</f>
        <v>395.848993710692</v>
      </c>
      <c r="X77" s="111" t="n">
        <f aca="false">IFERROR('Price History'!C3+(INDEX('Price History'!C:C,MATCH(9.99E+307,'Price History'!$A:$A))-'Price History'!C3)*(ROW()-3)/(MATCH(9.99E+307,'Returns (Calc)'!$A:$A)-3),"")</f>
        <v>113.569937106918</v>
      </c>
      <c r="Y77" s="111" t="n">
        <f aca="false">IFERROR('Price History'!D3+(INDEX('Price History'!D:D,MATCH(9.99E+307,'Price History'!$A:$A))-'Price History'!D3)*(ROW()-3)/(MATCH(9.99E+307,'Returns (Calc)'!$A:$A)-3),"")</f>
        <v>1151.90201257862</v>
      </c>
      <c r="Z77" s="111" t="n">
        <f aca="false">IFERROR('Price History'!E3+(INDEX('Price History'!E:E,MATCH(9.99E+307,'Price History'!$A:$A))-'Price History'!E3)*(ROW()-3)/(MATCH(9.99E+307,'Returns (Calc)'!$A:$A)-3),"")</f>
        <v>210.930188679245</v>
      </c>
      <c r="AA77" s="111" t="n">
        <f aca="false">IFERROR('Price History'!F3+(INDEX('Price History'!F:F,MATCH(9.99E+307,'Price History'!$A:$A))-'Price History'!F3)*(ROW()-3)/(MATCH(9.99E+307,'Returns (Calc)'!$A:$A)-3),"")</f>
        <v>118.990566037736</v>
      </c>
      <c r="AB77" s="111" t="n">
        <f aca="false">IFERROR('Price History'!G3+(INDEX('Price History'!G:G,MATCH(9.99E+307,'Price History'!$A:$A))-'Price History'!G3)*(ROW()-3)/(MATCH(9.99E+307,'Returns (Calc)'!$A:$A)-3),"")</f>
        <v>111.98679245283</v>
      </c>
      <c r="AC77" s="111" t="n">
        <f aca="false">IFERROR('Price History'!H3+(INDEX('Price History'!H:H,MATCH(9.99E+307,'Price History'!$A:$A))-'Price History'!H3)*(ROW()-3)/(MATCH(9.99E+307,'Returns (Calc)'!$A:$A)-3),"")</f>
        <v>507.541572327044</v>
      </c>
      <c r="AD77" s="111" t="n">
        <f aca="false">IFERROR('Price History'!I3+(INDEX('Price History'!I:I,MATCH(9.99E+307,'Price History'!$A:$A))-'Price History'!I3)*(ROW()-3)/(MATCH(9.99E+307,'Returns (Calc)'!$A:$A)-3),"")</f>
        <v>129.049622641509</v>
      </c>
      <c r="AE77" s="111" t="n">
        <f aca="false">IFERROR('Price History'!J3+(INDEX('Price History'!J:J,MATCH(9.99E+307,'Price History'!$A:$A))-'Price History'!J3)*(ROW()-3)/(MATCH(9.99E+307,'Returns (Calc)'!$A:$A)-3),"")</f>
        <v>129.946603773585</v>
      </c>
      <c r="AF77" s="111" t="n">
        <f aca="false">IFERROR('Price History'!K3+(INDEX('Price History'!K:K,MATCH(9.99E+307,'Price History'!$A:$A))-'Price History'!K3)*(ROW()-3)/(MATCH(9.99E+307,'Returns (Calc)'!$A:$A)-3),"")</f>
        <v>89.3727672955975</v>
      </c>
      <c r="AG77" s="111" t="n">
        <f aca="false">IFERROR('Price History'!L3+(INDEX('Price History'!L:L,MATCH(9.99E+307,'Price History'!$A:$A))-'Price History'!L3)*(ROW()-3)/(MATCH(9.99E+307,'Returns (Calc)'!$A:$A)-3),"")</f>
        <v>248.795534591195</v>
      </c>
      <c r="AH77" s="111" t="n">
        <f aca="false">IFERROR('Price History'!M3+(INDEX('Price History'!M:M,MATCH(9.99E+307,'Price History'!$A:$A))-'Price History'!M3)*(ROW()-3)/(MATCH(9.99E+307,'Returns (Calc)'!$A:$A)-3),"")</f>
        <v>148.475283018868</v>
      </c>
      <c r="AI77" s="111" t="n">
        <f aca="false">IFERROR('Price History'!N3+(INDEX('Price History'!N:N,MATCH(9.99E+307,'Price History'!$A:$A))-'Price History'!N3)*(ROW()-3)/(MATCH(9.99E+307,'Returns (Calc)'!$A:$A)-3),"")</f>
        <v>441.201132075472</v>
      </c>
      <c r="AJ77" s="111" t="n">
        <f aca="false">IFERROR('Price History'!O3+(INDEX('Price History'!O:O,MATCH(9.99E+307,'Price History'!$A:$A))-'Price History'!O3)*(ROW()-3)/(MATCH(9.99E+307,'Returns (Calc)'!$A:$A)-3),"")</f>
        <v>103.365220125786</v>
      </c>
      <c r="AK77" s="111" t="n">
        <f aca="false">IFERROR('Price History'!Q3+(INDEX('Price History'!Q:Q,MATCH(9.99E+307,'Price History'!$A:$A))-'Price History'!Q3)*(ROW()-3)/(MATCH(9.99E+307,'Returns (Calc)'!$A:$A)-3),"")</f>
        <v>59.0923270440252</v>
      </c>
      <c r="AL77" s="111" t="n">
        <f aca="false">IFERROR('Price History'!R3+(INDEX('Price History'!R:R,MATCH(9.99E+307,'Price History'!$A:$A))-'Price History'!R3)*(ROW()-3)/(MATCH(9.99E+307,'Returns (Calc)'!$A:$A)-3),"")</f>
        <v>53.4281761006289</v>
      </c>
      <c r="AM77" s="111" t="n">
        <f aca="false">IFERROR('Price History'!S3+(INDEX('Price History'!S:S,MATCH(9.99E+307,'Price History'!$A:$A))-'Price History'!S3)*(ROW()-3)/(MATCH(9.99E+307,'Returns (Calc)'!$A:$A)-3),"")</f>
        <v>100.975974842767</v>
      </c>
      <c r="AN77" s="111" t="n">
        <f aca="false">IFERROR('Price History'!T3+(INDEX('Price History'!T:T,MATCH(9.99E+307,'Price History'!$A:$A))-'Price History'!T3)*(ROW()-3)/(MATCH(9.99E+307,'Returns (Calc)'!$A:$A)-3),"")</f>
        <v>40.1183018867925</v>
      </c>
      <c r="AO77" s="112" t="n">
        <f aca="false">IFERROR('Price History'!V3+(INDEX('Price History'!V:V,MATCH(9.99E+307,'Price History'!$A:$A))-'Price History'!V3)*(ROW()-3)/(MATCH(9.99E+307,'Returns (Calc)'!$A:$A)-3),"")</f>
        <v>174.560880503145</v>
      </c>
    </row>
    <row r="78" customFormat="false" ht="15" hidden="false" customHeight="true" outlineLevel="0" collapsed="false">
      <c r="A78" s="108" t="n">
        <f aca="false">IF('Price History'!A79="","",'Price History'!A79)</f>
        <v>45681</v>
      </c>
      <c r="B78" s="109" t="n">
        <f aca="false">IFERROR(IF(OR(NOT(ISNUMBER('Price History'!B79)),NOT(ISNUMBER('Price History'!B78)),'Price History'!B78=0),"",'Price History'!B79/'Price History'!B78-1),"")</f>
        <v>0.0125351752366334</v>
      </c>
      <c r="C78" s="109" t="n">
        <f aca="false">IFERROR(IF(OR(NOT(ISNUMBER('Price History'!C79)),NOT(ISNUMBER('Price History'!C78)),'Price History'!C78=0),"",'Price History'!C79/'Price History'!C78-1),"")</f>
        <v>0.0768653605669027</v>
      </c>
      <c r="D78" s="109" t="n">
        <f aca="false">IFERROR(IF(OR(NOT(ISNUMBER('Price History'!D79)),NOT(ISNUMBER('Price History'!D78)),'Price History'!D78=0),"",'Price History'!D79/'Price History'!D78-1),"")</f>
        <v>-0.0318379543321038</v>
      </c>
      <c r="E78" s="109" t="n">
        <f aca="false">IFERROR(IF(OR(NOT(ISNUMBER('Price History'!E79)),NOT(ISNUMBER('Price History'!E78)),'Price History'!E78=0),"",'Price History'!E79/'Price History'!E78-1),"")</f>
        <v>0.0305761455525606</v>
      </c>
      <c r="F78" s="109" t="n">
        <f aca="false">IFERROR(IF(OR(NOT(ISNUMBER('Price History'!F79)),NOT(ISNUMBER('Price History'!F78)),'Price History'!F78=0),"",'Price History'!F79/'Price History'!F78-1),"")</f>
        <v>0.0501960784313726</v>
      </c>
      <c r="G78" s="109" t="n">
        <f aca="false">IFERROR(IF(OR(NOT(ISNUMBER('Price History'!G79)),NOT(ISNUMBER('Price History'!G78)),'Price History'!G78=0),"",'Price History'!G79/'Price History'!G78-1),"")</f>
        <v>-0.0101650165016501</v>
      </c>
      <c r="H78" s="109" t="n">
        <f aca="false">IFERROR(IF(OR(NOT(ISNUMBER('Price History'!H79)),NOT(ISNUMBER('Price History'!H78)),'Price History'!H78=0),"",'Price History'!H79/'Price History'!H78-1),"")</f>
        <v>-0.0242080378250591</v>
      </c>
      <c r="I78" s="109" t="n">
        <f aca="false">IFERROR(IF(OR(NOT(ISNUMBER('Price History'!I79)),NOT(ISNUMBER('Price History'!I78)),'Price History'!I78=0),"",'Price History'!I79/'Price History'!I78-1),"")</f>
        <v>0.0356546365550794</v>
      </c>
      <c r="J78" s="109" t="n">
        <f aca="false">IFERROR(IF(OR(NOT(ISNUMBER('Price History'!J79)),NOT(ISNUMBER('Price History'!J78)),'Price History'!J78=0),"",'Price History'!J79/'Price History'!J78-1),"")</f>
        <v>0.0863171355498722</v>
      </c>
      <c r="K78" s="109" t="n">
        <f aca="false">IFERROR(IF(OR(NOT(ISNUMBER('Price History'!K79)),NOT(ISNUMBER('Price History'!K78)),'Price History'!K78=0),"",'Price History'!K79/'Price History'!K78-1),"")</f>
        <v>0.100459802145743</v>
      </c>
      <c r="L78" s="109" t="n">
        <f aca="false">IFERROR(IF(OR(NOT(ISNUMBER('Price History'!L79)),NOT(ISNUMBER('Price History'!L78)),'Price History'!L78=0),"",'Price History'!L79/'Price History'!L78-1),"")</f>
        <v>0.0490780141843972</v>
      </c>
      <c r="M78" s="109" t="n">
        <f aca="false">IFERROR(IF(OR(NOT(ISNUMBER('Price History'!M79)),NOT(ISNUMBER('Price History'!M78)),'Price History'!M78=0),"",'Price History'!M79/'Price History'!M78-1),"")</f>
        <v>0.0768324992640566</v>
      </c>
      <c r="N78" s="109" t="n">
        <f aca="false">IFERROR(IF(OR(NOT(ISNUMBER('Price History'!N79)),NOT(ISNUMBER('Price History'!N78)),'Price History'!N78=0),"",'Price History'!N79/'Price History'!N78-1),"")</f>
        <v>0.0417535545023697</v>
      </c>
      <c r="O78" s="109" t="n">
        <f aca="false">IFERROR(IF(OR(NOT(ISNUMBER('Price History'!O79)),NOT(ISNUMBER('Price History'!O78)),'Price History'!O78=0),"",'Price History'!O79/'Price History'!O78-1),"")</f>
        <v>0.00503423278292381</v>
      </c>
      <c r="P78" s="109" t="str">
        <f aca="false">IFERROR(IF(OR(NOT(ISNUMBER('Price History'!P79)),NOT(ISNUMBER('Price History'!P78)),'Price History'!P78=0),"",'Price History'!P79/'Price History'!P78-1),"")</f>
        <v/>
      </c>
      <c r="Q78" s="109" t="n">
        <f aca="false">IFERROR(IF(OR(NOT(ISNUMBER('Price History'!Q79)),NOT(ISNUMBER('Price History'!Q78)),'Price History'!Q78=0),"",'Price History'!Q79/'Price History'!Q78-1),"")</f>
        <v>-0.0141786179921772</v>
      </c>
      <c r="R78" s="109" t="n">
        <f aca="false">IFERROR(IF(OR(NOT(ISNUMBER('Price History'!R79)),NOT(ISNUMBER('Price History'!R78)),'Price History'!R78=0),"",'Price History'!R79/'Price History'!R78-1),"")</f>
        <v>0.0139689191548804</v>
      </c>
      <c r="S78" s="109" t="n">
        <f aca="false">IFERROR(IF(OR(NOT(ISNUMBER('Price History'!S79)),NOT(ISNUMBER('Price History'!S78)),'Price History'!S78=0),"",'Price History'!S79/'Price History'!S78-1),"")</f>
        <v>0.0271667511403952</v>
      </c>
      <c r="T78" s="109" t="n">
        <f aca="false">IFERROR(IF(OR(NOT(ISNUMBER('Price History'!T79)),NOT(ISNUMBER('Price History'!T78)),'Price History'!T78=0),"",'Price History'!T79/'Price History'!T78-1),"")</f>
        <v>0.00251466890192797</v>
      </c>
      <c r="U78" s="109" t="str">
        <f aca="false">IFERROR(IF(OR(NOT(ISNUMBER('Price History'!U79)),NOT(ISNUMBER('Price History'!U78)),'Price History'!U78=0),"",'Price History'!U79/'Price History'!U78-1),"")</f>
        <v/>
      </c>
      <c r="V78" s="110" t="n">
        <f aca="false">IFERROR(IF(OR(NOT(ISNUMBER('Price History'!V79)),NOT(ISNUMBER('Price History'!V78)),'Price History'!V78=0),"",'Price History'!V79/'Price History'!V78-1),"")</f>
        <v>0.0330934795701652</v>
      </c>
      <c r="W78" s="111" t="n">
        <f aca="false">IFERROR('Price History'!B3+(INDEX('Price History'!B:B,MATCH(9.99E+307,'Price History'!$A:$A))-'Price History'!B3)*(ROW()-3)/(MATCH(9.99E+307,'Returns (Calc)'!$A:$A)-3),"")</f>
        <v>394.327358490566</v>
      </c>
      <c r="X78" s="111" t="n">
        <f aca="false">IFERROR('Price History'!C3+(INDEX('Price History'!C:C,MATCH(9.99E+307,'Price History'!$A:$A))-'Price History'!C3)*(ROW()-3)/(MATCH(9.99E+307,'Returns (Calc)'!$A:$A)-3),"")</f>
        <v>114.51358490566</v>
      </c>
      <c r="Y78" s="111" t="n">
        <f aca="false">IFERROR('Price History'!D3+(INDEX('Price History'!D:D,MATCH(9.99E+307,'Price History'!$A:$A))-'Price History'!D3)*(ROW()-3)/(MATCH(9.99E+307,'Returns (Calc)'!$A:$A)-3),"")</f>
        <v>1158.52528301887</v>
      </c>
      <c r="Z78" s="111" t="n">
        <f aca="false">IFERROR('Price History'!E3+(INDEX('Price History'!E:E,MATCH(9.99E+307,'Price History'!$A:$A))-'Price History'!E3)*(ROW()-3)/(MATCH(9.99E+307,'Returns (Calc)'!$A:$A)-3),"")</f>
        <v>212.659245283019</v>
      </c>
      <c r="AA78" s="111" t="n">
        <f aca="false">IFERROR('Price History'!F3+(INDEX('Price History'!F:F,MATCH(9.99E+307,'Price History'!$A:$A))-'Price History'!F3)*(ROW()-3)/(MATCH(9.99E+307,'Returns (Calc)'!$A:$A)-3),"")</f>
        <v>120.097735849057</v>
      </c>
      <c r="AB78" s="111" t="n">
        <f aca="false">IFERROR('Price History'!G3+(INDEX('Price History'!G:G,MATCH(9.99E+307,'Price History'!$A:$A))-'Price History'!G3)*(ROW()-3)/(MATCH(9.99E+307,'Returns (Calc)'!$A:$A)-3),"")</f>
        <v>112.852830188679</v>
      </c>
      <c r="AC78" s="111" t="n">
        <f aca="false">IFERROR('Price History'!H3+(INDEX('Price History'!H:H,MATCH(9.99E+307,'Price History'!$A:$A))-'Price History'!H3)*(ROW()-3)/(MATCH(9.99E+307,'Returns (Calc)'!$A:$A)-3),"")</f>
        <v>513.530377358491</v>
      </c>
      <c r="AD78" s="111" t="n">
        <f aca="false">IFERROR('Price History'!I3+(INDEX('Price History'!I:I,MATCH(9.99E+307,'Price History'!$A:$A))-'Price History'!I3)*(ROW()-3)/(MATCH(9.99E+307,'Returns (Calc)'!$A:$A)-3),"")</f>
        <v>130.241509433962</v>
      </c>
      <c r="AE78" s="111" t="n">
        <f aca="false">IFERROR('Price History'!J3+(INDEX('Price History'!J:J,MATCH(9.99E+307,'Price History'!$A:$A))-'Price History'!J3)*(ROW()-3)/(MATCH(9.99E+307,'Returns (Calc)'!$A:$A)-3),"")</f>
        <v>130.03358490566</v>
      </c>
      <c r="AF78" s="111" t="n">
        <f aca="false">IFERROR('Price History'!K3+(INDEX('Price History'!K:K,MATCH(9.99E+307,'Price History'!$A:$A))-'Price History'!K3)*(ROW()-3)/(MATCH(9.99E+307,'Returns (Calc)'!$A:$A)-3),"")</f>
        <v>90.3722641509434</v>
      </c>
      <c r="AG78" s="111" t="n">
        <f aca="false">IFERROR('Price History'!L3+(INDEX('Price History'!L:L,MATCH(9.99E+307,'Price History'!$A:$A))-'Price History'!L3)*(ROW()-3)/(MATCH(9.99E+307,'Returns (Calc)'!$A:$A)-3),"")</f>
        <v>250.914528301887</v>
      </c>
      <c r="AH78" s="111" t="n">
        <f aca="false">IFERROR('Price History'!M3+(INDEX('Price History'!M:M,MATCH(9.99E+307,'Price History'!$A:$A))-'Price History'!M3)*(ROW()-3)/(MATCH(9.99E+307,'Returns (Calc)'!$A:$A)-3),"")</f>
        <v>150.028867924528</v>
      </c>
      <c r="AI78" s="111" t="n">
        <f aca="false">IFERROR('Price History'!N3+(INDEX('Price History'!N:N,MATCH(9.99E+307,'Price History'!$A:$A))-'Price History'!N3)*(ROW()-3)/(MATCH(9.99E+307,'Returns (Calc)'!$A:$A)-3),"")</f>
        <v>442.435471698113</v>
      </c>
      <c r="AJ78" s="111" t="n">
        <f aca="false">IFERROR('Price History'!O3+(INDEX('Price History'!O:O,MATCH(9.99E+307,'Price History'!$A:$A))-'Price History'!O3)*(ROW()-3)/(MATCH(9.99E+307,'Returns (Calc)'!$A:$A)-3),"")</f>
        <v>103.642452830189</v>
      </c>
      <c r="AK78" s="111" t="n">
        <f aca="false">IFERROR('Price History'!Q3+(INDEX('Price History'!Q:Q,MATCH(9.99E+307,'Price History'!$A:$A))-'Price History'!Q3)*(ROW()-3)/(MATCH(9.99E+307,'Returns (Calc)'!$A:$A)-3),"")</f>
        <v>59.217358490566</v>
      </c>
      <c r="AL78" s="111" t="n">
        <f aca="false">IFERROR('Price History'!R3+(INDEX('Price History'!R:R,MATCH(9.99E+307,'Price History'!$A:$A))-'Price History'!R3)*(ROW()-3)/(MATCH(9.99E+307,'Returns (Calc)'!$A:$A)-3),"")</f>
        <v>53.5039622641509</v>
      </c>
      <c r="AM78" s="111" t="n">
        <f aca="false">IFERROR('Price History'!S3+(INDEX('Price History'!S:S,MATCH(9.99E+307,'Price History'!$A:$A))-'Price History'!S3)*(ROW()-3)/(MATCH(9.99E+307,'Returns (Calc)'!$A:$A)-3),"")</f>
        <v>101.549433962264</v>
      </c>
      <c r="AN78" s="111" t="n">
        <f aca="false">IFERROR('Price History'!T3+(INDEX('Price History'!T:T,MATCH(9.99E+307,'Price History'!$A:$A))-'Price History'!T3)*(ROW()-3)/(MATCH(9.99E+307,'Returns (Calc)'!$A:$A)-3),"")</f>
        <v>40.2967924528302</v>
      </c>
      <c r="AO78" s="112" t="n">
        <f aca="false">IFERROR('Price History'!V3+(INDEX('Price History'!V:V,MATCH(9.99E+307,'Price History'!$A:$A))-'Price History'!V3)*(ROW()-3)/(MATCH(9.99E+307,'Returns (Calc)'!$A:$A)-3),"")</f>
        <v>176.919811320755</v>
      </c>
    </row>
    <row r="79" customFormat="false" ht="15" hidden="false" customHeight="true" outlineLevel="0" collapsed="false">
      <c r="A79" s="108" t="n">
        <f aca="false">IF('Price History'!A80="","",'Price History'!A80)</f>
        <v>45688</v>
      </c>
      <c r="B79" s="109" t="n">
        <f aca="false">IFERROR(IF(OR(NOT(ISNUMBER('Price History'!B80)),NOT(ISNUMBER('Price History'!B79)),'Price History'!B79=0),"",'Price History'!B80/'Price History'!B79-1),"")</f>
        <v>0.00475446736184471</v>
      </c>
      <c r="C79" s="109" t="n">
        <f aca="false">IFERROR(IF(OR(NOT(ISNUMBER('Price History'!C80)),NOT(ISNUMBER('Price History'!C79)),'Price History'!C79=0),"",'Price History'!C80/'Price History'!C79-1),"")</f>
        <v>-0.107919795618177</v>
      </c>
      <c r="D79" s="109" t="n">
        <f aca="false">IFERROR(IF(OR(NOT(ISNUMBER('Price History'!D80)),NOT(ISNUMBER('Price History'!D79)),'Price History'!D79=0),"",'Price History'!D80/'Price History'!D79-1),"")</f>
        <v>0.00964151587572548</v>
      </c>
      <c r="E79" s="109" t="n">
        <f aca="false">IFERROR(IF(OR(NOT(ISNUMBER('Price History'!E80)),NOT(ISNUMBER('Price History'!E79)),'Price History'!E79=0),"",'Price History'!E80/'Price History'!E79-1),"")</f>
        <v>-0.0957498978340825</v>
      </c>
      <c r="F79" s="109" t="n">
        <f aca="false">IFERROR(IF(OR(NOT(ISNUMBER('Price History'!F80)),NOT(ISNUMBER('Price History'!F79)),'Price History'!F79=0),"",'Price History'!F80/'Price History'!F79-1),"")</f>
        <v>0.0617731782780326</v>
      </c>
      <c r="G79" s="109" t="n">
        <f aca="false">IFERROR(IF(OR(NOT(ISNUMBER('Price History'!G80)),NOT(ISNUMBER('Price History'!G79)),'Price History'!G79=0),"",'Price History'!G80/'Price History'!G79-1),"")</f>
        <v>-0.0154707922112565</v>
      </c>
      <c r="H79" s="109" t="n">
        <f aca="false">IFERROR(IF(OR(NOT(ISNUMBER('Price History'!H80)),NOT(ISNUMBER('Price History'!H79)),'Price History'!H79=0),"",'Price History'!H80/'Price History'!H79-1),"")</f>
        <v>-0.115805795135188</v>
      </c>
      <c r="I79" s="109" t="n">
        <f aca="false">IFERROR(IF(OR(NOT(ISNUMBER('Price History'!I80)),NOT(ISNUMBER('Price History'!I79)),'Price History'!I79=0),"",'Price History'!I80/'Price History'!I79-1),"")</f>
        <v>-0.158112466694713</v>
      </c>
      <c r="J79" s="109" t="n">
        <f aca="false">IFERROR(IF(OR(NOT(ISNUMBER('Price History'!J80)),NOT(ISNUMBER('Price History'!J79)),'Price History'!J79=0),"",'Price History'!J80/'Price History'!J79-1),"")</f>
        <v>0.00269065837047</v>
      </c>
      <c r="K79" s="109" t="n">
        <f aca="false">IFERROR(IF(OR(NOT(ISNUMBER('Price History'!K80)),NOT(ISNUMBER('Price History'!K79)),'Price History'!K79=0),"",'Price History'!K80/'Price History'!K79-1),"")</f>
        <v>0.0444416307926057</v>
      </c>
      <c r="L79" s="109" t="n">
        <f aca="false">IFERROR(IF(OR(NOT(ISNUMBER('Price History'!L80)),NOT(ISNUMBER('Price History'!L79)),'Price History'!L79=0),"",'Price History'!L80/'Price History'!L79-1),"")</f>
        <v>-0.0566071750495764</v>
      </c>
      <c r="M79" s="109" t="n">
        <f aca="false">IFERROR(IF(OR(NOT(ISNUMBER('Price History'!M80)),NOT(ISNUMBER('Price History'!M79)),'Price History'!M79=0),"",'Price History'!M80/'Price History'!M79-1),"")</f>
        <v>-0.200246036085292</v>
      </c>
      <c r="N79" s="109" t="n">
        <f aca="false">IFERROR(IF(OR(NOT(ISNUMBER('Price History'!N80)),NOT(ISNUMBER('Price History'!N79)),'Price History'!N79=0),"",'Price History'!N80/'Price History'!N79-1),"")</f>
        <v>0.0501797006505618</v>
      </c>
      <c r="O79" s="109" t="n">
        <f aca="false">IFERROR(IF(OR(NOT(ISNUMBER('Price History'!O80)),NOT(ISNUMBER('Price History'!O79)),'Price History'!O79=0),"",'Price History'!O80/'Price History'!O79-1),"")</f>
        <v>-0.0151272290122219</v>
      </c>
      <c r="P79" s="109" t="str">
        <f aca="false">IFERROR(IF(OR(NOT(ISNUMBER('Price History'!P80)),NOT(ISNUMBER('Price History'!P79)),'Price History'!P79=0),"",'Price History'!P80/'Price History'!P79-1),"")</f>
        <v/>
      </c>
      <c r="Q79" s="109" t="n">
        <f aca="false">IFERROR(IF(OR(NOT(ISNUMBER('Price History'!Q80)),NOT(ISNUMBER('Price History'!Q79)),'Price History'!Q79=0),"",'Price History'!Q80/'Price History'!Q79-1),"")</f>
        <v>-0.00214911555629038</v>
      </c>
      <c r="R79" s="109" t="n">
        <f aca="false">IFERROR(IF(OR(NOT(ISNUMBER('Price History'!R80)),NOT(ISNUMBER('Price History'!R79)),'Price History'!R79=0),"",'Price History'!R80/'Price History'!R79-1),"")</f>
        <v>-0.0103323574995695</v>
      </c>
      <c r="S79" s="109" t="n">
        <f aca="false">IFERROR(IF(OR(NOT(ISNUMBER('Price History'!S80)),NOT(ISNUMBER('Price History'!S79)),'Price History'!S79=0),"",'Price History'!S80/'Price History'!S79-1),"")</f>
        <v>-0.0127306819303266</v>
      </c>
      <c r="T79" s="109" t="n">
        <f aca="false">IFERROR(IF(OR(NOT(ISNUMBER('Price History'!T80)),NOT(ISNUMBER('Price History'!T79)),'Price History'!T79=0),"",'Price History'!T80/'Price History'!T79-1),"")</f>
        <v>-0.0103121516164996</v>
      </c>
      <c r="U79" s="109" t="str">
        <f aca="false">IFERROR(IF(OR(NOT(ISNUMBER('Price History'!U80)),NOT(ISNUMBER('Price History'!U79)),'Price History'!U79=0),"",'Price History'!U80/'Price History'!U79-1),"")</f>
        <v/>
      </c>
      <c r="V79" s="110" t="n">
        <f aca="false">IFERROR(IF(OR(NOT(ISNUMBER('Price History'!V80)),NOT(ISNUMBER('Price History'!V79)),'Price History'!V79=0),"",'Price History'!V80/'Price History'!V79-1),"")</f>
        <v>0.0351323985149274</v>
      </c>
      <c r="W79" s="111" t="n">
        <f aca="false">IFERROR('Price History'!B3+(INDEX('Price History'!B:B,MATCH(9.99E+307,'Price History'!$A:$A))-'Price History'!B3)*(ROW()-3)/(MATCH(9.99E+307,'Returns (Calc)'!$A:$A)-3),"")</f>
        <v>392.80572327044</v>
      </c>
      <c r="X79" s="111" t="n">
        <f aca="false">IFERROR('Price History'!C3+(INDEX('Price History'!C:C,MATCH(9.99E+307,'Price History'!$A:$A))-'Price History'!C3)*(ROW()-3)/(MATCH(9.99E+307,'Returns (Calc)'!$A:$A)-3),"")</f>
        <v>115.457232704403</v>
      </c>
      <c r="Y79" s="111" t="n">
        <f aca="false">IFERROR('Price History'!D3+(INDEX('Price History'!D:D,MATCH(9.99E+307,'Price History'!$A:$A))-'Price History'!D3)*(ROW()-3)/(MATCH(9.99E+307,'Returns (Calc)'!$A:$A)-3),"")</f>
        <v>1165.14855345912</v>
      </c>
      <c r="Z79" s="111" t="n">
        <f aca="false">IFERROR('Price History'!E3+(INDEX('Price History'!E:E,MATCH(9.99E+307,'Price History'!$A:$A))-'Price History'!E3)*(ROW()-3)/(MATCH(9.99E+307,'Returns (Calc)'!$A:$A)-3),"")</f>
        <v>214.388301886792</v>
      </c>
      <c r="AA79" s="111" t="n">
        <f aca="false">IFERROR('Price History'!F3+(INDEX('Price History'!F:F,MATCH(9.99E+307,'Price History'!$A:$A))-'Price History'!F3)*(ROW()-3)/(MATCH(9.99E+307,'Returns (Calc)'!$A:$A)-3),"")</f>
        <v>121.204905660377</v>
      </c>
      <c r="AB79" s="111" t="n">
        <f aca="false">IFERROR('Price History'!G3+(INDEX('Price History'!G:G,MATCH(9.99E+307,'Price History'!$A:$A))-'Price History'!G3)*(ROW()-3)/(MATCH(9.99E+307,'Returns (Calc)'!$A:$A)-3),"")</f>
        <v>113.718867924528</v>
      </c>
      <c r="AC79" s="111" t="n">
        <f aca="false">IFERROR('Price History'!H3+(INDEX('Price History'!H:H,MATCH(9.99E+307,'Price History'!$A:$A))-'Price History'!H3)*(ROW()-3)/(MATCH(9.99E+307,'Returns (Calc)'!$A:$A)-3),"")</f>
        <v>519.519182389937</v>
      </c>
      <c r="AD79" s="111" t="n">
        <f aca="false">IFERROR('Price History'!I3+(INDEX('Price History'!I:I,MATCH(9.99E+307,'Price History'!$A:$A))-'Price History'!I3)*(ROW()-3)/(MATCH(9.99E+307,'Returns (Calc)'!$A:$A)-3),"")</f>
        <v>131.433396226415</v>
      </c>
      <c r="AE79" s="111" t="n">
        <f aca="false">IFERROR('Price History'!J3+(INDEX('Price History'!J:J,MATCH(9.99E+307,'Price History'!$A:$A))-'Price History'!J3)*(ROW()-3)/(MATCH(9.99E+307,'Returns (Calc)'!$A:$A)-3),"")</f>
        <v>130.120566037736</v>
      </c>
      <c r="AF79" s="111" t="n">
        <f aca="false">IFERROR('Price History'!K3+(INDEX('Price History'!K:K,MATCH(9.99E+307,'Price History'!$A:$A))-'Price History'!K3)*(ROW()-3)/(MATCH(9.99E+307,'Returns (Calc)'!$A:$A)-3),"")</f>
        <v>91.3717610062893</v>
      </c>
      <c r="AG79" s="111" t="n">
        <f aca="false">IFERROR('Price History'!L3+(INDEX('Price History'!L:L,MATCH(9.99E+307,'Price History'!$A:$A))-'Price History'!L3)*(ROW()-3)/(MATCH(9.99E+307,'Returns (Calc)'!$A:$A)-3),"")</f>
        <v>253.033522012579</v>
      </c>
      <c r="AH79" s="111" t="n">
        <f aca="false">IFERROR('Price History'!M3+(INDEX('Price History'!M:M,MATCH(9.99E+307,'Price History'!$A:$A))-'Price History'!M3)*(ROW()-3)/(MATCH(9.99E+307,'Returns (Calc)'!$A:$A)-3),"")</f>
        <v>151.582452830189</v>
      </c>
      <c r="AI79" s="111" t="n">
        <f aca="false">IFERROR('Price History'!N3+(INDEX('Price History'!N:N,MATCH(9.99E+307,'Price History'!$A:$A))-'Price History'!N3)*(ROW()-3)/(MATCH(9.99E+307,'Returns (Calc)'!$A:$A)-3),"")</f>
        <v>443.669811320755</v>
      </c>
      <c r="AJ79" s="111" t="n">
        <f aca="false">IFERROR('Price History'!O3+(INDEX('Price History'!O:O,MATCH(9.99E+307,'Price History'!$A:$A))-'Price History'!O3)*(ROW()-3)/(MATCH(9.99E+307,'Returns (Calc)'!$A:$A)-3),"")</f>
        <v>103.919685534591</v>
      </c>
      <c r="AK79" s="111" t="n">
        <f aca="false">IFERROR('Price History'!Q3+(INDEX('Price History'!Q:Q,MATCH(9.99E+307,'Price History'!$A:$A))-'Price History'!Q3)*(ROW()-3)/(MATCH(9.99E+307,'Returns (Calc)'!$A:$A)-3),"")</f>
        <v>59.3423899371069</v>
      </c>
      <c r="AL79" s="111" t="n">
        <f aca="false">IFERROR('Price History'!R3+(INDEX('Price History'!R:R,MATCH(9.99E+307,'Price History'!$A:$A))-'Price History'!R3)*(ROW()-3)/(MATCH(9.99E+307,'Returns (Calc)'!$A:$A)-3),"")</f>
        <v>53.579748427673</v>
      </c>
      <c r="AM79" s="111" t="n">
        <f aca="false">IFERROR('Price History'!S3+(INDEX('Price History'!S:S,MATCH(9.99E+307,'Price History'!$A:$A))-'Price History'!S3)*(ROW()-3)/(MATCH(9.99E+307,'Returns (Calc)'!$A:$A)-3),"")</f>
        <v>102.122893081761</v>
      </c>
      <c r="AN79" s="111" t="n">
        <f aca="false">IFERROR('Price History'!T3+(INDEX('Price History'!T:T,MATCH(9.99E+307,'Price History'!$A:$A))-'Price History'!T3)*(ROW()-3)/(MATCH(9.99E+307,'Returns (Calc)'!$A:$A)-3),"")</f>
        <v>40.4752830188679</v>
      </c>
      <c r="AO79" s="112" t="n">
        <f aca="false">IFERROR('Price History'!V3+(INDEX('Price History'!V:V,MATCH(9.99E+307,'Price History'!$A:$A))-'Price History'!V3)*(ROW()-3)/(MATCH(9.99E+307,'Returns (Calc)'!$A:$A)-3),"")</f>
        <v>179.278742138365</v>
      </c>
    </row>
    <row r="80" customFormat="false" ht="15" hidden="false" customHeight="true" outlineLevel="0" collapsed="false">
      <c r="A80" s="108" t="n">
        <f aca="false">IF('Price History'!A81="","",'Price History'!A81)</f>
        <v>45695</v>
      </c>
      <c r="B80" s="109" t="n">
        <f aca="false">IFERROR(IF(OR(NOT(ISNUMBER('Price History'!B81)),NOT(ISNUMBER('Price History'!B80)),'Price History'!B80=0),"",'Price History'!B81/'Price History'!B80-1),"")</f>
        <v>-0.0100125728654703</v>
      </c>
      <c r="C80" s="109" t="n">
        <f aca="false">IFERROR(IF(OR(NOT(ISNUMBER('Price History'!C81)),NOT(ISNUMBER('Price History'!C80)),'Price History'!C80=0),"",'Price History'!C81/'Price History'!C80-1),"")</f>
        <v>0.028117677688102</v>
      </c>
      <c r="D80" s="109" t="n">
        <f aca="false">IFERROR(IF(OR(NOT(ISNUMBER('Price History'!D81)),NOT(ISNUMBER('Price History'!D80)),'Price History'!D80=0),"",'Price History'!D81/'Price History'!D80-1),"")</f>
        <v>-0.015703831951414</v>
      </c>
      <c r="E80" s="109" t="n">
        <f aca="false">IFERROR(IF(OR(NOT(ISNUMBER('Price History'!E81)),NOT(ISNUMBER('Price History'!E80)),'Price History'!E80=0),"",'Price History'!E81/'Price History'!E80-1),"")</f>
        <v>0.0162697157319112</v>
      </c>
      <c r="F80" s="109" t="n">
        <f aca="false">IFERROR(IF(OR(NOT(ISNUMBER('Price History'!F81)),NOT(ISNUMBER('Price History'!F80)),'Price History'!F80=0),"",'Price History'!F81/'Price History'!F80-1),"")</f>
        <v>0.0590836012861737</v>
      </c>
      <c r="G80" s="109" t="n">
        <f aca="false">IFERROR(IF(OR(NOT(ISNUMBER('Price History'!G81)),NOT(ISNUMBER('Price History'!G80)),'Price History'!G80=0),"",'Price History'!G81/'Price History'!G80-1),"")</f>
        <v>0.0128691411541588</v>
      </c>
      <c r="H80" s="109" t="n">
        <f aca="false">IFERROR(IF(OR(NOT(ISNUMBER('Price History'!H81)),NOT(ISNUMBER('Price History'!H80)),'Price History'!H80=0),"",'Price History'!H81/'Price History'!H80-1),"")</f>
        <v>0.0116177115300307</v>
      </c>
      <c r="I80" s="109" t="n">
        <f aca="false">IFERROR(IF(OR(NOT(ISNUMBER('Price History'!I81)),NOT(ISNUMBER('Price History'!I80)),'Price History'!I80=0),"",'Price History'!I81/'Price History'!I80-1),"")</f>
        <v>0.0813692012992422</v>
      </c>
      <c r="J80" s="109" t="n">
        <f aca="false">IFERROR(IF(OR(NOT(ISNUMBER('Price History'!J81)),NOT(ISNUMBER('Price History'!J80)),'Price History'!J80=0),"",'Price History'!J81/'Price History'!J80-1),"")</f>
        <v>-0.0159329140461216</v>
      </c>
      <c r="K80" s="109" t="n">
        <f aca="false">IFERROR(IF(OR(NOT(ISNUMBER('Price History'!K81)),NOT(ISNUMBER('Price History'!K80)),'Price History'!K80=0),"",'Price History'!K81/'Price History'!K80-1),"")</f>
        <v>0.343799248393745</v>
      </c>
      <c r="L80" s="109" t="n">
        <f aca="false">IFERROR(IF(OR(NOT(ISNUMBER('Price History'!L81)),NOT(ISNUMBER('Price History'!L80)),'Price History'!L80=0),"",'Price History'!L81/'Price History'!L80-1),"")</f>
        <v>-0.0152875979361742</v>
      </c>
      <c r="M80" s="109" t="n">
        <f aca="false">IFERROR(IF(OR(NOT(ISNUMBER('Price History'!M81)),NOT(ISNUMBER('Price History'!M80)),'Price History'!M80=0),"",'Price History'!M81/'Price History'!M80-1),"")</f>
        <v>0.0372585882755085</v>
      </c>
      <c r="N80" s="109" t="n">
        <f aca="false">IFERROR(IF(OR(NOT(ISNUMBER('Price History'!N81)),NOT(ISNUMBER('Price History'!N80)),'Price History'!N80=0),"",'Price History'!N81/'Price History'!N80-1),"")</f>
        <v>0.0165482585340495</v>
      </c>
      <c r="O80" s="109" t="n">
        <f aca="false">IFERROR(IF(OR(NOT(ISNUMBER('Price History'!O81)),NOT(ISNUMBER('Price History'!O80)),'Price History'!O80=0),"",'Price History'!O81/'Price History'!O80-1),"")</f>
        <v>-0.0115959719255416</v>
      </c>
      <c r="P80" s="109" t="str">
        <f aca="false">IFERROR(IF(OR(NOT(ISNUMBER('Price History'!P81)),NOT(ISNUMBER('Price History'!P80)),'Price History'!P80=0),"",'Price History'!P81/'Price History'!P80-1),"")</f>
        <v/>
      </c>
      <c r="Q80" s="109" t="n">
        <f aca="false">IFERROR(IF(OR(NOT(ISNUMBER('Price History'!Q81)),NOT(ISNUMBER('Price History'!Q80)),'Price History'!Q80=0),"",'Price History'!Q81/'Price History'!Q80-1),"")</f>
        <v>-0.0129224652087475</v>
      </c>
      <c r="R80" s="109" t="n">
        <f aca="false">IFERROR(IF(OR(NOT(ISNUMBER('Price History'!R81)),NOT(ISNUMBER('Price History'!R80)),'Price History'!R80=0),"",'Price History'!R81/'Price History'!R80-1),"")</f>
        <v>-0.00522011484252649</v>
      </c>
      <c r="S80" s="109" t="n">
        <f aca="false">IFERROR(IF(OR(NOT(ISNUMBER('Price History'!S81)),NOT(ISNUMBER('Price History'!S80)),'Price History'!S80=0),"",'Price History'!S81/'Price History'!S80-1),"")</f>
        <v>0.0198920431827268</v>
      </c>
      <c r="T80" s="109" t="n">
        <f aca="false">IFERROR(IF(OR(NOT(ISNUMBER('Price History'!T81)),NOT(ISNUMBER('Price History'!T80)),'Price History'!T80=0),"",'Price History'!T81/'Price History'!T80-1),"")</f>
        <v>-0.00872993522951271</v>
      </c>
      <c r="U80" s="109" t="str">
        <f aca="false">IFERROR(IF(OR(NOT(ISNUMBER('Price History'!U81)),NOT(ISNUMBER('Price History'!U80)),'Price History'!U80=0),"",'Price History'!U81/'Price History'!U80-1),"")</f>
        <v/>
      </c>
      <c r="V80" s="110" t="n">
        <f aca="false">IFERROR(IF(OR(NOT(ISNUMBER('Price History'!V81)),NOT(ISNUMBER('Price History'!V80)),'Price History'!V80=0),"",'Price History'!V81/'Price History'!V80-1),"")</f>
        <v>0.0182001422812426</v>
      </c>
      <c r="W80" s="111" t="n">
        <f aca="false">IFERROR('Price History'!B3+(INDEX('Price History'!B:B,MATCH(9.99E+307,'Price History'!$A:$A))-'Price History'!B3)*(ROW()-3)/(MATCH(9.99E+307,'Returns (Calc)'!$A:$A)-3),"")</f>
        <v>391.284088050314</v>
      </c>
      <c r="X80" s="111" t="n">
        <f aca="false">IFERROR('Price History'!C3+(INDEX('Price History'!C:C,MATCH(9.99E+307,'Price History'!$A:$A))-'Price History'!C3)*(ROW()-3)/(MATCH(9.99E+307,'Returns (Calc)'!$A:$A)-3),"")</f>
        <v>116.400880503145</v>
      </c>
      <c r="Y80" s="111" t="n">
        <f aca="false">IFERROR('Price History'!D3+(INDEX('Price History'!D:D,MATCH(9.99E+307,'Price History'!$A:$A))-'Price History'!D3)*(ROW()-3)/(MATCH(9.99E+307,'Returns (Calc)'!$A:$A)-3),"")</f>
        <v>1171.77182389937</v>
      </c>
      <c r="Z80" s="111" t="n">
        <f aca="false">IFERROR('Price History'!E3+(INDEX('Price History'!E:E,MATCH(9.99E+307,'Price History'!$A:$A))-'Price History'!E3)*(ROW()-3)/(MATCH(9.99E+307,'Returns (Calc)'!$A:$A)-3),"")</f>
        <v>216.117358490566</v>
      </c>
      <c r="AA80" s="111" t="n">
        <f aca="false">IFERROR('Price History'!F3+(INDEX('Price History'!F:F,MATCH(9.99E+307,'Price History'!$A:$A))-'Price History'!F3)*(ROW()-3)/(MATCH(9.99E+307,'Returns (Calc)'!$A:$A)-3),"")</f>
        <v>122.312075471698</v>
      </c>
      <c r="AB80" s="111" t="n">
        <f aca="false">IFERROR('Price History'!G3+(INDEX('Price History'!G:G,MATCH(9.99E+307,'Price History'!$A:$A))-'Price History'!G3)*(ROW()-3)/(MATCH(9.99E+307,'Returns (Calc)'!$A:$A)-3),"")</f>
        <v>114.584905660377</v>
      </c>
      <c r="AC80" s="111" t="n">
        <f aca="false">IFERROR('Price History'!H3+(INDEX('Price History'!H:H,MATCH(9.99E+307,'Price History'!$A:$A))-'Price History'!H3)*(ROW()-3)/(MATCH(9.99E+307,'Returns (Calc)'!$A:$A)-3),"")</f>
        <v>525.507987421384</v>
      </c>
      <c r="AD80" s="111" t="n">
        <f aca="false">IFERROR('Price History'!I3+(INDEX('Price History'!I:I,MATCH(9.99E+307,'Price History'!$A:$A))-'Price History'!I3)*(ROW()-3)/(MATCH(9.99E+307,'Returns (Calc)'!$A:$A)-3),"")</f>
        <v>132.625283018868</v>
      </c>
      <c r="AE80" s="111" t="n">
        <f aca="false">IFERROR('Price History'!J3+(INDEX('Price History'!J:J,MATCH(9.99E+307,'Price History'!$A:$A))-'Price History'!J3)*(ROW()-3)/(MATCH(9.99E+307,'Returns (Calc)'!$A:$A)-3),"")</f>
        <v>130.207547169811</v>
      </c>
      <c r="AF80" s="111" t="n">
        <f aca="false">IFERROR('Price History'!K3+(INDEX('Price History'!K:K,MATCH(9.99E+307,'Price History'!$A:$A))-'Price History'!K3)*(ROW()-3)/(MATCH(9.99E+307,'Returns (Calc)'!$A:$A)-3),"")</f>
        <v>92.3712578616352</v>
      </c>
      <c r="AG80" s="111" t="n">
        <f aca="false">IFERROR('Price History'!L3+(INDEX('Price History'!L:L,MATCH(9.99E+307,'Price History'!$A:$A))-'Price History'!L3)*(ROW()-3)/(MATCH(9.99E+307,'Returns (Calc)'!$A:$A)-3),"")</f>
        <v>255.15251572327</v>
      </c>
      <c r="AH80" s="111" t="n">
        <f aca="false">IFERROR('Price History'!M3+(INDEX('Price History'!M:M,MATCH(9.99E+307,'Price History'!$A:$A))-'Price History'!M3)*(ROW()-3)/(MATCH(9.99E+307,'Returns (Calc)'!$A:$A)-3),"")</f>
        <v>153.136037735849</v>
      </c>
      <c r="AI80" s="111" t="n">
        <f aca="false">IFERROR('Price History'!N3+(INDEX('Price History'!N:N,MATCH(9.99E+307,'Price History'!$A:$A))-'Price History'!N3)*(ROW()-3)/(MATCH(9.99E+307,'Returns (Calc)'!$A:$A)-3),"")</f>
        <v>444.904150943396</v>
      </c>
      <c r="AJ80" s="111" t="n">
        <f aca="false">IFERROR('Price History'!O3+(INDEX('Price History'!O:O,MATCH(9.99E+307,'Price History'!$A:$A))-'Price History'!O3)*(ROW()-3)/(MATCH(9.99E+307,'Returns (Calc)'!$A:$A)-3),"")</f>
        <v>104.196918238994</v>
      </c>
      <c r="AK80" s="111" t="n">
        <f aca="false">IFERROR('Price History'!Q3+(INDEX('Price History'!Q:Q,MATCH(9.99E+307,'Price History'!$A:$A))-'Price History'!Q3)*(ROW()-3)/(MATCH(9.99E+307,'Returns (Calc)'!$A:$A)-3),"")</f>
        <v>59.4674213836478</v>
      </c>
      <c r="AL80" s="111" t="n">
        <f aca="false">IFERROR('Price History'!R3+(INDEX('Price History'!R:R,MATCH(9.99E+307,'Price History'!$A:$A))-'Price History'!R3)*(ROW()-3)/(MATCH(9.99E+307,'Returns (Calc)'!$A:$A)-3),"")</f>
        <v>53.655534591195</v>
      </c>
      <c r="AM80" s="111" t="n">
        <f aca="false">IFERROR('Price History'!S3+(INDEX('Price History'!S:S,MATCH(9.99E+307,'Price History'!$A:$A))-'Price History'!S3)*(ROW()-3)/(MATCH(9.99E+307,'Returns (Calc)'!$A:$A)-3),"")</f>
        <v>102.696352201258</v>
      </c>
      <c r="AN80" s="111" t="n">
        <f aca="false">IFERROR('Price History'!T3+(INDEX('Price History'!T:T,MATCH(9.99E+307,'Price History'!$A:$A))-'Price History'!T3)*(ROW()-3)/(MATCH(9.99E+307,'Returns (Calc)'!$A:$A)-3),"")</f>
        <v>40.6537735849057</v>
      </c>
      <c r="AO80" s="112" t="n">
        <f aca="false">IFERROR('Price History'!V3+(INDEX('Price History'!V:V,MATCH(9.99E+307,'Price History'!$A:$A))-'Price History'!V3)*(ROW()-3)/(MATCH(9.99E+307,'Returns (Calc)'!$A:$A)-3),"")</f>
        <v>181.637672955975</v>
      </c>
    </row>
    <row r="81" customFormat="false" ht="15" hidden="false" customHeight="true" outlineLevel="0" collapsed="false">
      <c r="A81" s="108" t="n">
        <f aca="false">IF('Price History'!A82="","",'Price History'!A82)</f>
        <v>45702</v>
      </c>
      <c r="B81" s="109" t="n">
        <f aca="false">IFERROR(IF(OR(NOT(ISNUMBER('Price History'!B82)),NOT(ISNUMBER('Price History'!B81)),'Price History'!B81=0),"",'Price History'!B82/'Price History'!B81-1),"")</f>
        <v>0.0625533978340684</v>
      </c>
      <c r="C81" s="109" t="n">
        <f aca="false">IFERROR(IF(OR(NOT(ISNUMBER('Price History'!C82)),NOT(ISNUMBER('Price History'!C81)),'Price History'!C81=0),"",'Price History'!C82/'Price History'!C81-1),"")</f>
        <v>-0.0979150839875074</v>
      </c>
      <c r="D81" s="109" t="n">
        <f aca="false">IFERROR(IF(OR(NOT(ISNUMBER('Price History'!D82)),NOT(ISNUMBER('Price History'!D81)),'Price History'!D81=0),"",'Price History'!D82/'Price History'!D81-1),"")</f>
        <v>0.0327744949841966</v>
      </c>
      <c r="E81" s="109" t="n">
        <f aca="false">IFERROR(IF(OR(NOT(ISNUMBER('Price History'!E82)),NOT(ISNUMBER('Price History'!E81)),'Price History'!E81=0),"",'Price History'!E82/'Price History'!E81-1),"")</f>
        <v>0.0363321029928403</v>
      </c>
      <c r="F81" s="109" t="n">
        <f aca="false">IFERROR(IF(OR(NOT(ISNUMBER('Price History'!F82)),NOT(ISNUMBER('Price History'!F81)),'Price History'!F81=0),"",'Price History'!F82/'Price History'!F81-1),"")</f>
        <v>0.0715370018975332</v>
      </c>
      <c r="G81" s="109" t="n">
        <f aca="false">IFERROR(IF(OR(NOT(ISNUMBER('Price History'!G82)),NOT(ISNUMBER('Price History'!G81)),'Price History'!G81=0),"",'Price History'!G82/'Price History'!G81-1),"")</f>
        <v>0.00401230440016054</v>
      </c>
      <c r="H81" s="109" t="n">
        <f aca="false">IFERROR(IF(OR(NOT(ISNUMBER('Price History'!H82)),NOT(ISNUMBER('Price History'!H81)),'Price History'!H81=0),"",'Price History'!H82/'Price History'!H81-1),"")</f>
        <v>0.0782231852654387</v>
      </c>
      <c r="I81" s="109" t="n">
        <f aca="false">IFERROR(IF(OR(NOT(ISNUMBER('Price History'!I82)),NOT(ISNUMBER('Price History'!I81)),'Price History'!I81=0),"",'Price History'!I82/'Price History'!I81-1),"")</f>
        <v>0.0693930991990142</v>
      </c>
      <c r="J81" s="109" t="n">
        <f aca="false">IFERROR(IF(OR(NOT(ISNUMBER('Price History'!J82)),NOT(ISNUMBER('Price History'!J81)),'Price History'!J81=0),"",'Price History'!J82/'Price History'!J81-1),"")</f>
        <v>0.0298253089049851</v>
      </c>
      <c r="K81" s="109" t="n">
        <f aca="false">IFERROR(IF(OR(NOT(ISNUMBER('Price History'!K82)),NOT(ISNUMBER('Price History'!K81)),'Price History'!K81=0),"",'Price History'!K82/'Price History'!K81-1),"")</f>
        <v>0.0749661705006766</v>
      </c>
      <c r="L81" s="109" t="n">
        <f aca="false">IFERROR(IF(OR(NOT(ISNUMBER('Price History'!L82)),NOT(ISNUMBER('Price History'!L81)),'Price History'!L81=0),"",'Price History'!L82/'Price History'!L81-1),"")</f>
        <v>-0.0107704249951485</v>
      </c>
      <c r="M81" s="109" t="n">
        <f aca="false">IFERROR(IF(OR(NOT(ISNUMBER('Price History'!M82)),NOT(ISNUMBER('Price History'!M81)),'Price History'!M81=0),"",'Price History'!M82/'Price History'!M81-1),"")</f>
        <v>-0.109820398747734</v>
      </c>
      <c r="N81" s="109" t="n">
        <f aca="false">IFERROR(IF(OR(NOT(ISNUMBER('Price History'!N82)),NOT(ISNUMBER('Price History'!N81)),'Price History'!N81=0),"",'Price History'!N82/'Price History'!N81-1),"")</f>
        <v>-0.0219892610585528</v>
      </c>
      <c r="O81" s="109" t="n">
        <f aca="false">IFERROR(IF(OR(NOT(ISNUMBER('Price History'!O82)),NOT(ISNUMBER('Price History'!O81)),'Price History'!O81=0),"",'Price History'!O82/'Price History'!O81-1),"")</f>
        <v>0.00308737264587844</v>
      </c>
      <c r="P81" s="109" t="str">
        <f aca="false">IFERROR(IF(OR(NOT(ISNUMBER('Price History'!P82)),NOT(ISNUMBER('Price History'!P81)),'Price History'!P81=0),"",'Price History'!P82/'Price History'!P81-1),"")</f>
        <v/>
      </c>
      <c r="Q81" s="109" t="n">
        <f aca="false">IFERROR(IF(OR(NOT(ISNUMBER('Price History'!Q82)),NOT(ISNUMBER('Price History'!Q81)),'Price History'!Q81=0),"",'Price History'!Q82/'Price History'!Q81-1),"")</f>
        <v>-0.03877139979859</v>
      </c>
      <c r="R81" s="109" t="n">
        <f aca="false">IFERROR(IF(OR(NOT(ISNUMBER('Price History'!R82)),NOT(ISNUMBER('Price History'!R81)),'Price History'!R81=0),"",'Price History'!R82/'Price History'!R81-1),"")</f>
        <v>0.0192408605912191</v>
      </c>
      <c r="S81" s="109" t="n">
        <f aca="false">IFERROR(IF(OR(NOT(ISNUMBER('Price History'!S82)),NOT(ISNUMBER('Price History'!S81)),'Price History'!S81=0),"",'Price History'!S82/'Price History'!S81-1),"")</f>
        <v>0.0100950700774283</v>
      </c>
      <c r="T81" s="109" t="n">
        <f aca="false">IFERROR(IF(OR(NOT(ISNUMBER('Price History'!T82)),NOT(ISNUMBER('Price History'!T81)),'Price History'!T81=0),"",'Price History'!T82/'Price History'!T81-1),"")</f>
        <v>0.0116477272727271</v>
      </c>
      <c r="U81" s="109" t="str">
        <f aca="false">IFERROR(IF(OR(NOT(ISNUMBER('Price History'!U82)),NOT(ISNUMBER('Price History'!U81)),'Price History'!U81=0),"",'Price History'!U82/'Price History'!U81-1),"")</f>
        <v/>
      </c>
      <c r="V81" s="110" t="n">
        <f aca="false">IFERROR(IF(OR(NOT(ISNUMBER('Price History'!V82)),NOT(ISNUMBER('Price History'!V81)),'Price History'!V81=0),"",'Price History'!V82/'Price History'!V81-1),"")</f>
        <v>0.0183697234352256</v>
      </c>
      <c r="W81" s="111" t="n">
        <f aca="false">IFERROR('Price History'!B3+(INDEX('Price History'!B:B,MATCH(9.99E+307,'Price History'!$A:$A))-'Price History'!B3)*(ROW()-3)/(MATCH(9.99E+307,'Returns (Calc)'!$A:$A)-3),"")</f>
        <v>389.762452830189</v>
      </c>
      <c r="X81" s="111" t="n">
        <f aca="false">IFERROR('Price History'!C3+(INDEX('Price History'!C:C,MATCH(9.99E+307,'Price History'!$A:$A))-'Price History'!C3)*(ROW()-3)/(MATCH(9.99E+307,'Returns (Calc)'!$A:$A)-3),"")</f>
        <v>117.344528301887</v>
      </c>
      <c r="Y81" s="111" t="n">
        <f aca="false">IFERROR('Price History'!D3+(INDEX('Price History'!D:D,MATCH(9.99E+307,'Price History'!$A:$A))-'Price History'!D3)*(ROW()-3)/(MATCH(9.99E+307,'Returns (Calc)'!$A:$A)-3),"")</f>
        <v>1178.39509433962</v>
      </c>
      <c r="Z81" s="111" t="n">
        <f aca="false">IFERROR('Price History'!E3+(INDEX('Price History'!E:E,MATCH(9.99E+307,'Price History'!$A:$A))-'Price History'!E3)*(ROW()-3)/(MATCH(9.99E+307,'Returns (Calc)'!$A:$A)-3),"")</f>
        <v>217.84641509434</v>
      </c>
      <c r="AA81" s="111" t="n">
        <f aca="false">IFERROR('Price History'!F3+(INDEX('Price History'!F:F,MATCH(9.99E+307,'Price History'!$A:$A))-'Price History'!F3)*(ROW()-3)/(MATCH(9.99E+307,'Returns (Calc)'!$A:$A)-3),"")</f>
        <v>123.419245283019</v>
      </c>
      <c r="AB81" s="111" t="n">
        <f aca="false">IFERROR('Price History'!G3+(INDEX('Price History'!G:G,MATCH(9.99E+307,'Price History'!$A:$A))-'Price History'!G3)*(ROW()-3)/(MATCH(9.99E+307,'Returns (Calc)'!$A:$A)-3),"")</f>
        <v>115.450943396226</v>
      </c>
      <c r="AC81" s="111" t="n">
        <f aca="false">IFERROR('Price History'!H3+(INDEX('Price History'!H:H,MATCH(9.99E+307,'Price History'!$A:$A))-'Price History'!H3)*(ROW()-3)/(MATCH(9.99E+307,'Returns (Calc)'!$A:$A)-3),"")</f>
        <v>531.49679245283</v>
      </c>
      <c r="AD81" s="111" t="n">
        <f aca="false">IFERROR('Price History'!I3+(INDEX('Price History'!I:I,MATCH(9.99E+307,'Price History'!$A:$A))-'Price History'!I3)*(ROW()-3)/(MATCH(9.99E+307,'Returns (Calc)'!$A:$A)-3),"")</f>
        <v>133.817169811321</v>
      </c>
      <c r="AE81" s="111" t="n">
        <f aca="false">IFERROR('Price History'!J3+(INDEX('Price History'!J:J,MATCH(9.99E+307,'Price History'!$A:$A))-'Price History'!J3)*(ROW()-3)/(MATCH(9.99E+307,'Returns (Calc)'!$A:$A)-3),"")</f>
        <v>130.294528301887</v>
      </c>
      <c r="AF81" s="111" t="n">
        <f aca="false">IFERROR('Price History'!K3+(INDEX('Price History'!K:K,MATCH(9.99E+307,'Price History'!$A:$A))-'Price History'!K3)*(ROW()-3)/(MATCH(9.99E+307,'Returns (Calc)'!$A:$A)-3),"")</f>
        <v>93.3707547169811</v>
      </c>
      <c r="AG81" s="111" t="n">
        <f aca="false">IFERROR('Price History'!L3+(INDEX('Price History'!L:L,MATCH(9.99E+307,'Price History'!$A:$A))-'Price History'!L3)*(ROW()-3)/(MATCH(9.99E+307,'Returns (Calc)'!$A:$A)-3),"")</f>
        <v>257.271509433962</v>
      </c>
      <c r="AH81" s="111" t="n">
        <f aca="false">IFERROR('Price History'!M3+(INDEX('Price History'!M:M,MATCH(9.99E+307,'Price History'!$A:$A))-'Price History'!M3)*(ROW()-3)/(MATCH(9.99E+307,'Returns (Calc)'!$A:$A)-3),"")</f>
        <v>154.689622641509</v>
      </c>
      <c r="AI81" s="111" t="n">
        <f aca="false">IFERROR('Price History'!N3+(INDEX('Price History'!N:N,MATCH(9.99E+307,'Price History'!$A:$A))-'Price History'!N3)*(ROW()-3)/(MATCH(9.99E+307,'Returns (Calc)'!$A:$A)-3),"")</f>
        <v>446.138490566038</v>
      </c>
      <c r="AJ81" s="111" t="n">
        <f aca="false">IFERROR('Price History'!O3+(INDEX('Price History'!O:O,MATCH(9.99E+307,'Price History'!$A:$A))-'Price History'!O3)*(ROW()-3)/(MATCH(9.99E+307,'Returns (Calc)'!$A:$A)-3),"")</f>
        <v>104.474150943396</v>
      </c>
      <c r="AK81" s="111" t="n">
        <f aca="false">IFERROR('Price History'!Q3+(INDEX('Price History'!Q:Q,MATCH(9.99E+307,'Price History'!$A:$A))-'Price History'!Q3)*(ROW()-3)/(MATCH(9.99E+307,'Returns (Calc)'!$A:$A)-3),"")</f>
        <v>59.5924528301887</v>
      </c>
      <c r="AL81" s="111" t="n">
        <f aca="false">IFERROR('Price History'!R3+(INDEX('Price History'!R:R,MATCH(9.99E+307,'Price History'!$A:$A))-'Price History'!R3)*(ROW()-3)/(MATCH(9.99E+307,'Returns (Calc)'!$A:$A)-3),"")</f>
        <v>53.731320754717</v>
      </c>
      <c r="AM81" s="111" t="n">
        <f aca="false">IFERROR('Price History'!S3+(INDEX('Price History'!S:S,MATCH(9.99E+307,'Price History'!$A:$A))-'Price History'!S3)*(ROW()-3)/(MATCH(9.99E+307,'Returns (Calc)'!$A:$A)-3),"")</f>
        <v>103.269811320755</v>
      </c>
      <c r="AN81" s="111" t="n">
        <f aca="false">IFERROR('Price History'!T3+(INDEX('Price History'!T:T,MATCH(9.99E+307,'Price History'!$A:$A))-'Price History'!T3)*(ROW()-3)/(MATCH(9.99E+307,'Returns (Calc)'!$A:$A)-3),"")</f>
        <v>40.8322641509434</v>
      </c>
      <c r="AO81" s="112" t="n">
        <f aca="false">IFERROR('Price History'!V3+(INDEX('Price History'!V:V,MATCH(9.99E+307,'Price History'!$A:$A))-'Price History'!V3)*(ROW()-3)/(MATCH(9.99E+307,'Returns (Calc)'!$A:$A)-3),"")</f>
        <v>183.996603773585</v>
      </c>
    </row>
    <row r="82" customFormat="false" ht="15" hidden="false" customHeight="true" outlineLevel="0" collapsed="false">
      <c r="A82" s="108" t="n">
        <f aca="false">IF('Price History'!A83="","",'Price History'!A83)</f>
        <v>45709</v>
      </c>
      <c r="B82" s="109" t="n">
        <f aca="false">IFERROR(IF(OR(NOT(ISNUMBER('Price History'!B83)),NOT(ISNUMBER('Price History'!B82)),'Price History'!B82=0),"",'Price History'!B83/'Price History'!B82-1),"")</f>
        <v>-0.03442280945758</v>
      </c>
      <c r="C82" s="109" t="n">
        <f aca="false">IFERROR(IF(OR(NOT(ISNUMBER('Price History'!C83)),NOT(ISNUMBER('Price History'!C82)),'Price History'!C82=0),"",'Price History'!C83/'Price History'!C82-1),"")</f>
        <v>-0.0801908861233275</v>
      </c>
      <c r="D82" s="109" t="n">
        <f aca="false">IFERROR(IF(OR(NOT(ISNUMBER('Price History'!D83)),NOT(ISNUMBER('Price History'!D82)),'Price History'!D82=0),"",'Price History'!D83/'Price History'!D82-1),"")</f>
        <v>-0.0190805668285542</v>
      </c>
      <c r="E82" s="109" t="n">
        <f aca="false">IFERROR(IF(OR(NOT(ISNUMBER('Price History'!E83)),NOT(ISNUMBER('Price History'!E82)),'Price History'!E82=0),"",'Price History'!E83/'Price History'!E82-1),"")</f>
        <v>-0.0617061448678339</v>
      </c>
      <c r="F82" s="109" t="n">
        <f aca="false">IFERROR(IF(OR(NOT(ISNUMBER('Price History'!F83)),NOT(ISNUMBER('Price History'!F82)),'Price History'!F82=0),"",'Price History'!F83/'Price History'!F82-1),"")</f>
        <v>-0.0997874977864353</v>
      </c>
      <c r="G82" s="109" t="n">
        <f aca="false">IFERROR(IF(OR(NOT(ISNUMBER('Price History'!G83)),NOT(ISNUMBER('Price History'!G82)),'Price History'!G82=0),"",'Price History'!G83/'Price History'!G82-1),"")</f>
        <v>0.00479552417743467</v>
      </c>
      <c r="H82" s="109" t="n">
        <f aca="false">IFERROR(IF(OR(NOT(ISNUMBER('Price History'!H83)),NOT(ISNUMBER('Price History'!H82)),'Price History'!H82=0),"",'Price History'!H83/'Price History'!H82-1),"")</f>
        <v>-0.00683279742765264</v>
      </c>
      <c r="I82" s="109" t="n">
        <f aca="false">IFERROR(IF(OR(NOT(ISNUMBER('Price History'!I83)),NOT(ISNUMBER('Price History'!I82)),'Price History'!I82=0),"",'Price History'!I83/'Price History'!I82-1),"")</f>
        <v>-0.0318329132157003</v>
      </c>
      <c r="J82" s="109" t="n">
        <f aca="false">IFERROR(IF(OR(NOT(ISNUMBER('Price History'!J83)),NOT(ISNUMBER('Price History'!J82)),'Price History'!J82=0),"",'Price History'!J83/'Price History'!J82-1),"")</f>
        <v>0.00099296648738112</v>
      </c>
      <c r="K82" s="109" t="n">
        <f aca="false">IFERROR(IF(OR(NOT(ISNUMBER('Price History'!K83)),NOT(ISNUMBER('Price History'!K82)),'Price History'!K82=0),"",'Price History'!K83/'Price History'!K82-1),"")</f>
        <v>-0.149462907015777</v>
      </c>
      <c r="L82" s="109" t="n">
        <f aca="false">IFERROR(IF(OR(NOT(ISNUMBER('Price History'!L83)),NOT(ISNUMBER('Price History'!L82)),'Price History'!L82=0),"",'Price History'!L83/'Price History'!L82-1),"")</f>
        <v>-0.0277587052476704</v>
      </c>
      <c r="M82" s="109" t="n">
        <f aca="false">IFERROR(IF(OR(NOT(ISNUMBER('Price History'!M83)),NOT(ISNUMBER('Price History'!M82)),'Price History'!M82=0),"",'Price History'!M83/'Price History'!M82-1),"")</f>
        <v>-0.111614993058769</v>
      </c>
      <c r="N82" s="109" t="n">
        <f aca="false">IFERROR(IF(OR(NOT(ISNUMBER('Price History'!N83)),NOT(ISNUMBER('Price History'!N82)),'Price History'!N82=0),"",'Price History'!N83/'Price History'!N82-1),"")</f>
        <v>0.0549891067538126</v>
      </c>
      <c r="O82" s="109" t="n">
        <f aca="false">IFERROR(IF(OR(NOT(ISNUMBER('Price History'!O83)),NOT(ISNUMBER('Price History'!O82)),'Price History'!O82=0),"",'Price History'!O83/'Price History'!O82-1),"")</f>
        <v>-0.0365240586847235</v>
      </c>
      <c r="P82" s="109" t="str">
        <f aca="false">IFERROR(IF(OR(NOT(ISNUMBER('Price History'!P83)),NOT(ISNUMBER('Price History'!P82)),'Price History'!P82=0),"",'Price History'!P83/'Price History'!P82-1),"")</f>
        <v/>
      </c>
      <c r="Q82" s="109" t="n">
        <f aca="false">IFERROR(IF(OR(NOT(ISNUMBER('Price History'!Q83)),NOT(ISNUMBER('Price History'!Q82)),'Price History'!Q82=0),"",'Price History'!Q83/'Price History'!Q82-1),"")</f>
        <v>0.0188580408590886</v>
      </c>
      <c r="R82" s="109" t="n">
        <f aca="false">IFERROR(IF(OR(NOT(ISNUMBER('Price History'!R83)),NOT(ISNUMBER('Price History'!R82)),'Price History'!R82=0),"",'Price History'!R83/'Price History'!R82-1),"")</f>
        <v>-0.0120130427321092</v>
      </c>
      <c r="S82" s="109" t="n">
        <f aca="false">IFERROR(IF(OR(NOT(ISNUMBER('Price History'!S83)),NOT(ISNUMBER('Price History'!S82)),'Price History'!S82=0),"",'Price History'!S83/'Price History'!S82-1),"")</f>
        <v>-0.0305647195808267</v>
      </c>
      <c r="T82" s="109" t="n">
        <f aca="false">IFERROR(IF(OR(NOT(ISNUMBER('Price History'!T83)),NOT(ISNUMBER('Price History'!T82)),'Price History'!T82=0),"",'Price History'!T83/'Price History'!T82-1),"")</f>
        <v>-0.00336983993260309</v>
      </c>
      <c r="U82" s="109" t="str">
        <f aca="false">IFERROR(IF(OR(NOT(ISNUMBER('Price History'!U83)),NOT(ISNUMBER('Price History'!U82)),'Price History'!U82=0),"",'Price History'!U83/'Price History'!U82-1),"")</f>
        <v/>
      </c>
      <c r="V82" s="110" t="n">
        <f aca="false">IFERROR(IF(OR(NOT(ISNUMBER('Price History'!V83)),NOT(ISNUMBER('Price History'!V82)),'Price History'!V82=0),"",'Price History'!V83/'Price History'!V82-1),"")</f>
        <v>-0.0149223864383523</v>
      </c>
      <c r="W82" s="111" t="n">
        <f aca="false">IFERROR('Price History'!B3+(INDEX('Price History'!B:B,MATCH(9.99E+307,'Price History'!$A:$A))-'Price History'!B3)*(ROW()-3)/(MATCH(9.99E+307,'Returns (Calc)'!$A:$A)-3),"")</f>
        <v>388.240817610063</v>
      </c>
      <c r="X82" s="111" t="n">
        <f aca="false">IFERROR('Price History'!C3+(INDEX('Price History'!C:C,MATCH(9.99E+307,'Price History'!$A:$A))-'Price History'!C3)*(ROW()-3)/(MATCH(9.99E+307,'Returns (Calc)'!$A:$A)-3),"")</f>
        <v>118.288176100629</v>
      </c>
      <c r="Y82" s="111" t="n">
        <f aca="false">IFERROR('Price History'!D3+(INDEX('Price History'!D:D,MATCH(9.99E+307,'Price History'!$A:$A))-'Price History'!D3)*(ROW()-3)/(MATCH(9.99E+307,'Returns (Calc)'!$A:$A)-3),"")</f>
        <v>1185.01836477987</v>
      </c>
      <c r="Z82" s="111" t="n">
        <f aca="false">IFERROR('Price History'!E3+(INDEX('Price History'!E:E,MATCH(9.99E+307,'Price History'!$A:$A))-'Price History'!E3)*(ROW()-3)/(MATCH(9.99E+307,'Returns (Calc)'!$A:$A)-3),"")</f>
        <v>219.575471698113</v>
      </c>
      <c r="AA82" s="111" t="n">
        <f aca="false">IFERROR('Price History'!F3+(INDEX('Price History'!F:F,MATCH(9.99E+307,'Price History'!$A:$A))-'Price History'!F3)*(ROW()-3)/(MATCH(9.99E+307,'Returns (Calc)'!$A:$A)-3),"")</f>
        <v>124.52641509434</v>
      </c>
      <c r="AB82" s="111" t="n">
        <f aca="false">IFERROR('Price History'!G3+(INDEX('Price History'!G:G,MATCH(9.99E+307,'Price History'!$A:$A))-'Price History'!G3)*(ROW()-3)/(MATCH(9.99E+307,'Returns (Calc)'!$A:$A)-3),"")</f>
        <v>116.316981132075</v>
      </c>
      <c r="AC82" s="111" t="n">
        <f aca="false">IFERROR('Price History'!H3+(INDEX('Price History'!H:H,MATCH(9.99E+307,'Price History'!$A:$A))-'Price History'!H3)*(ROW()-3)/(MATCH(9.99E+307,'Returns (Calc)'!$A:$A)-3),"")</f>
        <v>537.485597484277</v>
      </c>
      <c r="AD82" s="111" t="n">
        <f aca="false">IFERROR('Price History'!I3+(INDEX('Price History'!I:I,MATCH(9.99E+307,'Price History'!$A:$A))-'Price History'!I3)*(ROW()-3)/(MATCH(9.99E+307,'Returns (Calc)'!$A:$A)-3),"")</f>
        <v>135.009056603774</v>
      </c>
      <c r="AE82" s="111" t="n">
        <f aca="false">IFERROR('Price History'!J3+(INDEX('Price History'!J:J,MATCH(9.99E+307,'Price History'!$A:$A))-'Price History'!J3)*(ROW()-3)/(MATCH(9.99E+307,'Returns (Calc)'!$A:$A)-3),"")</f>
        <v>130.381509433962</v>
      </c>
      <c r="AF82" s="111" t="n">
        <f aca="false">IFERROR('Price History'!K3+(INDEX('Price History'!K:K,MATCH(9.99E+307,'Price History'!$A:$A))-'Price History'!K3)*(ROW()-3)/(MATCH(9.99E+307,'Returns (Calc)'!$A:$A)-3),"")</f>
        <v>94.3702515723271</v>
      </c>
      <c r="AG82" s="111" t="n">
        <f aca="false">IFERROR('Price History'!L3+(INDEX('Price History'!L:L,MATCH(9.99E+307,'Price History'!$A:$A))-'Price History'!L3)*(ROW()-3)/(MATCH(9.99E+307,'Returns (Calc)'!$A:$A)-3),"")</f>
        <v>259.390503144654</v>
      </c>
      <c r="AH82" s="111" t="n">
        <f aca="false">IFERROR('Price History'!M3+(INDEX('Price History'!M:M,MATCH(9.99E+307,'Price History'!$A:$A))-'Price History'!M3)*(ROW()-3)/(MATCH(9.99E+307,'Returns (Calc)'!$A:$A)-3),"")</f>
        <v>156.24320754717</v>
      </c>
      <c r="AI82" s="111" t="n">
        <f aca="false">IFERROR('Price History'!N3+(INDEX('Price History'!N:N,MATCH(9.99E+307,'Price History'!$A:$A))-'Price History'!N3)*(ROW()-3)/(MATCH(9.99E+307,'Returns (Calc)'!$A:$A)-3),"")</f>
        <v>447.372830188679</v>
      </c>
      <c r="AJ82" s="111" t="n">
        <f aca="false">IFERROR('Price History'!O3+(INDEX('Price History'!O:O,MATCH(9.99E+307,'Price History'!$A:$A))-'Price History'!O3)*(ROW()-3)/(MATCH(9.99E+307,'Returns (Calc)'!$A:$A)-3),"")</f>
        <v>104.751383647799</v>
      </c>
      <c r="AK82" s="111" t="n">
        <f aca="false">IFERROR('Price History'!Q3+(INDEX('Price History'!Q:Q,MATCH(9.99E+307,'Price History'!$A:$A))-'Price History'!Q3)*(ROW()-3)/(MATCH(9.99E+307,'Returns (Calc)'!$A:$A)-3),"")</f>
        <v>59.7174842767296</v>
      </c>
      <c r="AL82" s="111" t="n">
        <f aca="false">IFERROR('Price History'!R3+(INDEX('Price History'!R:R,MATCH(9.99E+307,'Price History'!$A:$A))-'Price History'!R3)*(ROW()-3)/(MATCH(9.99E+307,'Returns (Calc)'!$A:$A)-3),"")</f>
        <v>53.807106918239</v>
      </c>
      <c r="AM82" s="111" t="n">
        <f aca="false">IFERROR('Price History'!S3+(INDEX('Price History'!S:S,MATCH(9.99E+307,'Price History'!$A:$A))-'Price History'!S3)*(ROW()-3)/(MATCH(9.99E+307,'Returns (Calc)'!$A:$A)-3),"")</f>
        <v>103.843270440252</v>
      </c>
      <c r="AN82" s="111" t="n">
        <f aca="false">IFERROR('Price History'!T3+(INDEX('Price History'!T:T,MATCH(9.99E+307,'Price History'!$A:$A))-'Price History'!T3)*(ROW()-3)/(MATCH(9.99E+307,'Returns (Calc)'!$A:$A)-3),"")</f>
        <v>41.0107547169811</v>
      </c>
      <c r="AO82" s="112" t="n">
        <f aca="false">IFERROR('Price History'!V3+(INDEX('Price History'!V:V,MATCH(9.99E+307,'Price History'!$A:$A))-'Price History'!V3)*(ROW()-3)/(MATCH(9.99E+307,'Returns (Calc)'!$A:$A)-3),"")</f>
        <v>186.355534591195</v>
      </c>
    </row>
    <row r="83" customFormat="false" ht="15" hidden="false" customHeight="true" outlineLevel="0" collapsed="false">
      <c r="A83" s="108" t="n">
        <f aca="false">IF('Price History'!A84="","",'Price History'!A84)</f>
        <v>45716</v>
      </c>
      <c r="B83" s="109" t="n">
        <f aca="false">IFERROR(IF(OR(NOT(ISNUMBER('Price History'!B84)),NOT(ISNUMBER('Price History'!B83)),'Price History'!B83=0),"",'Price History'!B84/'Price History'!B83-1),"")</f>
        <v>-0.0129636298163486</v>
      </c>
      <c r="C83" s="109" t="n">
        <f aca="false">IFERROR(IF(OR(NOT(ISNUMBER('Price History'!C84)),NOT(ISNUMBER('Price History'!C83)),'Price History'!C83=0),"",'Price History'!C84/'Price History'!C83-1),"")</f>
        <v>-0.0534079348931842</v>
      </c>
      <c r="D83" s="109" t="n">
        <f aca="false">IFERROR(IF(OR(NOT(ISNUMBER('Price History'!D84)),NOT(ISNUMBER('Price History'!D83)),'Price History'!D83=0),"",'Price History'!D84/'Price History'!D83-1),"")</f>
        <v>-0.0381573771381288</v>
      </c>
      <c r="E83" s="109" t="n">
        <f aca="false">IFERROR(IF(OR(NOT(ISNUMBER('Price History'!E84)),NOT(ISNUMBER('Price History'!E83)),'Price History'!E83=0),"",'Price History'!E84/'Price History'!E83-1),"")</f>
        <v>-0.0879447544132442</v>
      </c>
      <c r="F83" s="109" t="n">
        <f aca="false">IFERROR(IF(OR(NOT(ISNUMBER('Price History'!F84)),NOT(ISNUMBER('Price History'!F83)),'Price History'!F83=0),"",'Price History'!F84/'Price History'!F83-1),"")</f>
        <v>-0.0418019081341595</v>
      </c>
      <c r="G83" s="109" t="n">
        <f aca="false">IFERROR(IF(OR(NOT(ISNUMBER('Price History'!G84)),NOT(ISNUMBER('Price History'!G83)),'Price History'!G83=0),"",'Price History'!G84/'Price History'!G83-1),"")</f>
        <v>-0.0603208272570597</v>
      </c>
      <c r="H83" s="109" t="n">
        <f aca="false">IFERROR(IF(OR(NOT(ISNUMBER('Price History'!H84)),NOT(ISNUMBER('Price History'!H83)),'Price History'!H83=0),"",'Price History'!H84/'Price History'!H83-1),"")</f>
        <v>-0.052711452853096</v>
      </c>
      <c r="I83" s="109" t="n">
        <f aca="false">IFERROR(IF(OR(NOT(ISNUMBER('Price History'!I84)),NOT(ISNUMBER('Price History'!I83)),'Price History'!I83=0),"",'Price History'!I84/'Price History'!I83-1),"")</f>
        <v>-0.0707431376924794</v>
      </c>
      <c r="J83" s="109" t="n">
        <f aca="false">IFERROR(IF(OR(NOT(ISNUMBER('Price History'!J84)),NOT(ISNUMBER('Price History'!J83)),'Price History'!J83=0),"",'Price History'!J84/'Price History'!J83-1),"")</f>
        <v>0.0243862114573861</v>
      </c>
      <c r="K83" s="109" t="n">
        <f aca="false">IFERROR(IF(OR(NOT(ISNUMBER('Price History'!K84)),NOT(ISNUMBER('Price History'!K83)),'Price History'!K83=0),"",'Price History'!K84/'Price History'!K83-1),"")</f>
        <v>-0.162111494819931</v>
      </c>
      <c r="L83" s="109" t="n">
        <f aca="false">IFERROR(IF(OR(NOT(ISNUMBER('Price History'!L84)),NOT(ISNUMBER('Price History'!L83)),'Price History'!L83=0),"",'Price History'!L84/'Price History'!L83-1),"")</f>
        <v>-0.0893361581920904</v>
      </c>
      <c r="M83" s="109" t="n">
        <f aca="false">IFERROR(IF(OR(NOT(ISNUMBER('Price History'!M84)),NOT(ISNUMBER('Price History'!M83)),'Price History'!M83=0),"",'Price History'!M84/'Price History'!M83-1),"")</f>
        <v>-0.00854255651630376</v>
      </c>
      <c r="N83" s="109" t="n">
        <f aca="false">IFERROR(IF(OR(NOT(ISNUMBER('Price History'!N84)),NOT(ISNUMBER('Price History'!N83)),'Price History'!N83=0),"",'Price History'!N84/'Price History'!N83-1),"")</f>
        <v>-0.00918965802081606</v>
      </c>
      <c r="O83" s="109" t="n">
        <f aca="false">IFERROR(IF(OR(NOT(ISNUMBER('Price History'!O84)),NOT(ISNUMBER('Price History'!O83)),'Price History'!O83=0),"",'Price History'!O84/'Price History'!O83-1),"")</f>
        <v>-0.0112874028324992</v>
      </c>
      <c r="P83" s="109" t="str">
        <f aca="false">IFERROR(IF(OR(NOT(ISNUMBER('Price History'!P84)),NOT(ISNUMBER('Price History'!P83)),'Price History'!P83=0),"",'Price History'!P84/'Price History'!P83-1),"")</f>
        <v/>
      </c>
      <c r="Q83" s="109" t="n">
        <f aca="false">IFERROR(IF(OR(NOT(ISNUMBER('Price History'!Q84)),NOT(ISNUMBER('Price History'!Q83)),'Price History'!Q83=0),"",'Price History'!Q84/'Price History'!Q83-1),"")</f>
        <v>-0.00599828620394172</v>
      </c>
      <c r="R83" s="109" t="n">
        <f aca="false">IFERROR(IF(OR(NOT(ISNUMBER('Price History'!R84)),NOT(ISNUMBER('Price History'!R83)),'Price History'!R83=0),"",'Price History'!R84/'Price History'!R83-1),"")</f>
        <v>-0.0276185513288172</v>
      </c>
      <c r="S83" s="109" t="n">
        <f aca="false">IFERROR(IF(OR(NOT(ISNUMBER('Price History'!S84)),NOT(ISNUMBER('Price History'!S83)),'Price History'!S83=0),"",'Price History'!S84/'Price History'!S83-1),"")</f>
        <v>-0.0011009908918026</v>
      </c>
      <c r="T83" s="109" t="n">
        <f aca="false">IFERROR(IF(OR(NOT(ISNUMBER('Price History'!T84)),NOT(ISNUMBER('Price History'!T83)),'Price History'!T83=0),"",'Price History'!T84/'Price History'!T83-1),"")</f>
        <v>-0.00479008171315865</v>
      </c>
      <c r="U83" s="109" t="str">
        <f aca="false">IFERROR(IF(OR(NOT(ISNUMBER('Price History'!U84)),NOT(ISNUMBER('Price History'!U83)),'Price History'!U83=0),"",'Price History'!U84/'Price History'!U83-1),"")</f>
        <v/>
      </c>
      <c r="V83" s="110" t="n">
        <f aca="false">IFERROR(IF(OR(NOT(ISNUMBER('Price History'!V84)),NOT(ISNUMBER('Price History'!V83)),'Price History'!V83=0),"",'Price History'!V84/'Price History'!V83-1),"")</f>
        <v>0.0406570126817378</v>
      </c>
      <c r="W83" s="111" t="n">
        <f aca="false">IFERROR('Price History'!B3+(INDEX('Price History'!B:B,MATCH(9.99E+307,'Price History'!$A:$A))-'Price History'!B3)*(ROW()-3)/(MATCH(9.99E+307,'Returns (Calc)'!$A:$A)-3),"")</f>
        <v>386.719182389937</v>
      </c>
      <c r="X83" s="111" t="n">
        <f aca="false">IFERROR('Price History'!C3+(INDEX('Price History'!C:C,MATCH(9.99E+307,'Price History'!$A:$A))-'Price History'!C3)*(ROW()-3)/(MATCH(9.99E+307,'Returns (Calc)'!$A:$A)-3),"")</f>
        <v>119.231823899371</v>
      </c>
      <c r="Y83" s="111" t="n">
        <f aca="false">IFERROR('Price History'!D3+(INDEX('Price History'!D:D,MATCH(9.99E+307,'Price History'!$A:$A))-'Price History'!D3)*(ROW()-3)/(MATCH(9.99E+307,'Returns (Calc)'!$A:$A)-3),"")</f>
        <v>1191.64163522013</v>
      </c>
      <c r="Z83" s="111" t="n">
        <f aca="false">IFERROR('Price History'!E3+(INDEX('Price History'!E:E,MATCH(9.99E+307,'Price History'!$A:$A))-'Price History'!E3)*(ROW()-3)/(MATCH(9.99E+307,'Returns (Calc)'!$A:$A)-3),"")</f>
        <v>221.304528301887</v>
      </c>
      <c r="AA83" s="111" t="n">
        <f aca="false">IFERROR('Price History'!F3+(INDEX('Price History'!F:F,MATCH(9.99E+307,'Price History'!$A:$A))-'Price History'!F3)*(ROW()-3)/(MATCH(9.99E+307,'Returns (Calc)'!$A:$A)-3),"")</f>
        <v>125.63358490566</v>
      </c>
      <c r="AB83" s="111" t="n">
        <f aca="false">IFERROR('Price History'!G3+(INDEX('Price History'!G:G,MATCH(9.99E+307,'Price History'!$A:$A))-'Price History'!G3)*(ROW()-3)/(MATCH(9.99E+307,'Returns (Calc)'!$A:$A)-3),"")</f>
        <v>117.183018867925</v>
      </c>
      <c r="AC83" s="111" t="n">
        <f aca="false">IFERROR('Price History'!H3+(INDEX('Price History'!H:H,MATCH(9.99E+307,'Price History'!$A:$A))-'Price History'!H3)*(ROW()-3)/(MATCH(9.99E+307,'Returns (Calc)'!$A:$A)-3),"")</f>
        <v>543.474402515723</v>
      </c>
      <c r="AD83" s="111" t="n">
        <f aca="false">IFERROR('Price History'!I3+(INDEX('Price History'!I:I,MATCH(9.99E+307,'Price History'!$A:$A))-'Price History'!I3)*(ROW()-3)/(MATCH(9.99E+307,'Returns (Calc)'!$A:$A)-3),"")</f>
        <v>136.200943396226</v>
      </c>
      <c r="AE83" s="111" t="n">
        <f aca="false">IFERROR('Price History'!J3+(INDEX('Price History'!J:J,MATCH(9.99E+307,'Price History'!$A:$A))-'Price History'!J3)*(ROW()-3)/(MATCH(9.99E+307,'Returns (Calc)'!$A:$A)-3),"")</f>
        <v>130.468490566038</v>
      </c>
      <c r="AF83" s="111" t="n">
        <f aca="false">IFERROR('Price History'!K3+(INDEX('Price History'!K:K,MATCH(9.99E+307,'Price History'!$A:$A))-'Price History'!K3)*(ROW()-3)/(MATCH(9.99E+307,'Returns (Calc)'!$A:$A)-3),"")</f>
        <v>95.369748427673</v>
      </c>
      <c r="AG83" s="111" t="n">
        <f aca="false">IFERROR('Price History'!L3+(INDEX('Price History'!L:L,MATCH(9.99E+307,'Price History'!$A:$A))-'Price History'!L3)*(ROW()-3)/(MATCH(9.99E+307,'Returns (Calc)'!$A:$A)-3),"")</f>
        <v>261.509496855346</v>
      </c>
      <c r="AH83" s="111" t="n">
        <f aca="false">IFERROR('Price History'!M3+(INDEX('Price History'!M:M,MATCH(9.99E+307,'Price History'!$A:$A))-'Price History'!M3)*(ROW()-3)/(MATCH(9.99E+307,'Returns (Calc)'!$A:$A)-3),"")</f>
        <v>157.79679245283</v>
      </c>
      <c r="AI83" s="111" t="n">
        <f aca="false">IFERROR('Price History'!N3+(INDEX('Price History'!N:N,MATCH(9.99E+307,'Price History'!$A:$A))-'Price History'!N3)*(ROW()-3)/(MATCH(9.99E+307,'Returns (Calc)'!$A:$A)-3),"")</f>
        <v>448.607169811321</v>
      </c>
      <c r="AJ83" s="111" t="n">
        <f aca="false">IFERROR('Price History'!O3+(INDEX('Price History'!O:O,MATCH(9.99E+307,'Price History'!$A:$A))-'Price History'!O3)*(ROW()-3)/(MATCH(9.99E+307,'Returns (Calc)'!$A:$A)-3),"")</f>
        <v>105.028616352201</v>
      </c>
      <c r="AK83" s="111" t="n">
        <f aca="false">IFERROR('Price History'!Q3+(INDEX('Price History'!Q:Q,MATCH(9.99E+307,'Price History'!$A:$A))-'Price History'!Q3)*(ROW()-3)/(MATCH(9.99E+307,'Returns (Calc)'!$A:$A)-3),"")</f>
        <v>59.8425157232704</v>
      </c>
      <c r="AL83" s="111" t="n">
        <f aca="false">IFERROR('Price History'!R3+(INDEX('Price History'!R:R,MATCH(9.99E+307,'Price History'!$A:$A))-'Price History'!R3)*(ROW()-3)/(MATCH(9.99E+307,'Returns (Calc)'!$A:$A)-3),"")</f>
        <v>53.882893081761</v>
      </c>
      <c r="AM83" s="111" t="n">
        <f aca="false">IFERROR('Price History'!S3+(INDEX('Price History'!S:S,MATCH(9.99E+307,'Price History'!$A:$A))-'Price History'!S3)*(ROW()-3)/(MATCH(9.99E+307,'Returns (Calc)'!$A:$A)-3),"")</f>
        <v>104.416729559748</v>
      </c>
      <c r="AN83" s="111" t="n">
        <f aca="false">IFERROR('Price History'!T3+(INDEX('Price History'!T:T,MATCH(9.99E+307,'Price History'!$A:$A))-'Price History'!T3)*(ROW()-3)/(MATCH(9.99E+307,'Returns (Calc)'!$A:$A)-3),"")</f>
        <v>41.1892452830189</v>
      </c>
      <c r="AO83" s="112" t="n">
        <f aca="false">IFERROR('Price History'!V3+(INDEX('Price History'!V:V,MATCH(9.99E+307,'Price History'!$A:$A))-'Price History'!V3)*(ROW()-3)/(MATCH(9.99E+307,'Returns (Calc)'!$A:$A)-3),"")</f>
        <v>188.714465408805</v>
      </c>
    </row>
    <row r="84" customFormat="false" ht="15" hidden="false" customHeight="true" outlineLevel="0" collapsed="false">
      <c r="A84" s="108" t="n">
        <f aca="false">IF('Price History'!A85="","",'Price History'!A85)</f>
        <v>45723</v>
      </c>
      <c r="B84" s="109" t="n">
        <f aca="false">IFERROR(IF(OR(NOT(ISNUMBER('Price History'!B85)),NOT(ISNUMBER('Price History'!B84)),'Price History'!B84=0),"",'Price History'!B85/'Price History'!B84-1),"")</f>
        <v>0.0247172564757387</v>
      </c>
      <c r="C84" s="109" t="n">
        <f aca="false">IFERROR(IF(OR(NOT(ISNUMBER('Price History'!C85)),NOT(ISNUMBER('Price History'!C84)),'Price History'!C84=0),"",'Price History'!C85/'Price History'!C84-1),"")</f>
        <v>-0.10413756045137</v>
      </c>
      <c r="D84" s="109" t="n">
        <f aca="false">IFERROR(IF(OR(NOT(ISNUMBER('Price History'!D85)),NOT(ISNUMBER('Price History'!D84)),'Price History'!D84=0),"",'Price History'!D85/'Price History'!D84-1),"")</f>
        <v>0.0326338353923394</v>
      </c>
      <c r="E84" s="109" t="n">
        <f aca="false">IFERROR(IF(OR(NOT(ISNUMBER('Price History'!E85)),NOT(ISNUMBER('Price History'!E84)),'Price History'!E84=0),"",'Price History'!E85/'Price History'!E84-1),"")</f>
        <v>-0.0224138795567367</v>
      </c>
      <c r="F84" s="109" t="n">
        <f aca="false">IFERROR(IF(OR(NOT(ISNUMBER('Price History'!F85)),NOT(ISNUMBER('Price History'!F84)),'Price History'!F84=0),"",'Price History'!F85/'Price History'!F84-1),"")</f>
        <v>-0.144118250872511</v>
      </c>
      <c r="G84" s="109" t="n">
        <f aca="false">IFERROR(IF(OR(NOT(ISNUMBER('Price History'!G85)),NOT(ISNUMBER('Price History'!G84)),'Price History'!G84=0),"",'Price History'!G85/'Price History'!G84-1),"")</f>
        <v>0.00352708803611734</v>
      </c>
      <c r="H84" s="109" t="n">
        <f aca="false">IFERROR(IF(OR(NOT(ISNUMBER('Price History'!H85)),NOT(ISNUMBER('Price History'!H84)),'Price History'!H84=0),"",'Price History'!H85/'Price History'!H84-1),"")</f>
        <v>-0.00715582612410559</v>
      </c>
      <c r="I84" s="109" t="n">
        <f aca="false">IFERROR(IF(OR(NOT(ISNUMBER('Price History'!I85)),NOT(ISNUMBER('Price History'!I84)),'Price History'!I84=0),"",'Price History'!I85/'Price History'!I84-1),"")</f>
        <v>-0.0979026577009287</v>
      </c>
      <c r="J84" s="109" t="n">
        <f aca="false">IFERROR(IF(OR(NOT(ISNUMBER('Price History'!J85)),NOT(ISNUMBER('Price History'!J84)),'Price History'!J84=0),"",'Price History'!J85/'Price History'!J84-1),"")</f>
        <v>-0.0323595868302131</v>
      </c>
      <c r="K84" s="109" t="n">
        <f aca="false">IFERROR(IF(OR(NOT(ISNUMBER('Price History'!K85)),NOT(ISNUMBER('Price History'!K84)),'Price History'!K84=0),"",'Price History'!K85/'Price History'!K84-1),"")</f>
        <v>-0.000117757889778636</v>
      </c>
      <c r="L84" s="109" t="n">
        <f aca="false">IFERROR(IF(OR(NOT(ISNUMBER('Price History'!L85)),NOT(ISNUMBER('Price History'!L84)),'Price History'!L84=0),"",'Price History'!L85/'Price History'!L84-1),"")</f>
        <v>-0.0189996122528112</v>
      </c>
      <c r="M84" s="109" t="n">
        <f aca="false">IFERROR(IF(OR(NOT(ISNUMBER('Price History'!M85)),NOT(ISNUMBER('Price History'!M84)),'Price History'!M84=0),"",'Price History'!M85/'Price History'!M84-1),"")</f>
        <v>-0.106441105390354</v>
      </c>
      <c r="N84" s="109" t="n">
        <f aca="false">IFERROR(IF(OR(NOT(ISNUMBER('Price History'!N85)),NOT(ISNUMBER('Price History'!N84)),'Price History'!N84=0),"",'Price History'!N85/'Price History'!N84-1),"")</f>
        <v>0.0177160841201358</v>
      </c>
      <c r="O84" s="109" t="n">
        <f aca="false">IFERROR(IF(OR(NOT(ISNUMBER('Price History'!O85)),NOT(ISNUMBER('Price History'!O84)),'Price History'!O84=0),"",'Price History'!O85/'Price History'!O84-1),"")</f>
        <v>-0.0449111470113084</v>
      </c>
      <c r="P84" s="109" t="str">
        <f aca="false">IFERROR(IF(OR(NOT(ISNUMBER('Price History'!P85)),NOT(ISNUMBER('Price History'!P84)),'Price History'!P84=0),"",'Price History'!P85/'Price History'!P84-1),"")</f>
        <v/>
      </c>
      <c r="Q84" s="109" t="n">
        <f aca="false">IFERROR(IF(OR(NOT(ISNUMBER('Price History'!Q85)),NOT(ISNUMBER('Price History'!Q84)),'Price History'!Q84=0),"",'Price History'!Q85/'Price History'!Q84-1),"")</f>
        <v>0.0177586206896552</v>
      </c>
      <c r="R84" s="109" t="n">
        <f aca="false">IFERROR(IF(OR(NOT(ISNUMBER('Price History'!R85)),NOT(ISNUMBER('Price History'!R84)),'Price History'!R84=0),"",'Price History'!R85/'Price History'!R84-1),"")</f>
        <v>-0.0396570203644159</v>
      </c>
      <c r="S84" s="109" t="n">
        <f aca="false">IFERROR(IF(OR(NOT(ISNUMBER('Price History'!S85)),NOT(ISNUMBER('Price History'!S84)),'Price History'!S84=0),"",'Price History'!S85/'Price History'!S84-1),"")</f>
        <v>-0.0527054108216432</v>
      </c>
      <c r="T84" s="109" t="n">
        <f aca="false">IFERROR(IF(OR(NOT(ISNUMBER('Price History'!T85)),NOT(ISNUMBER('Price History'!T84)),'Price History'!T84=0),"",'Price History'!T85/'Price History'!T84-1),"")</f>
        <v>-0.0144394110985276</v>
      </c>
      <c r="U84" s="109" t="str">
        <f aca="false">IFERROR(IF(OR(NOT(ISNUMBER('Price History'!U85)),NOT(ISNUMBER('Price History'!U84)),'Price History'!U84=0),"",'Price History'!U85/'Price History'!U84-1),"")</f>
        <v/>
      </c>
      <c r="V84" s="110" t="n">
        <f aca="false">IFERROR(IF(OR(NOT(ISNUMBER('Price History'!V85)),NOT(ISNUMBER('Price History'!V84)),'Price History'!V84=0),"",'Price History'!V85/'Price History'!V84-1),"")</f>
        <v>-0.047936419408812</v>
      </c>
      <c r="W84" s="111" t="n">
        <f aca="false">IFERROR('Price History'!B3+(INDEX('Price History'!B:B,MATCH(9.99E+307,'Price History'!$A:$A))-'Price History'!B3)*(ROW()-3)/(MATCH(9.99E+307,'Returns (Calc)'!$A:$A)-3),"")</f>
        <v>385.197547169811</v>
      </c>
      <c r="X84" s="111" t="n">
        <f aca="false">IFERROR('Price History'!C3+(INDEX('Price History'!C:C,MATCH(9.99E+307,'Price History'!$A:$A))-'Price History'!C3)*(ROW()-3)/(MATCH(9.99E+307,'Returns (Calc)'!$A:$A)-3),"")</f>
        <v>120.175471698113</v>
      </c>
      <c r="Y84" s="111" t="n">
        <f aca="false">IFERROR('Price History'!D3+(INDEX('Price History'!D:D,MATCH(9.99E+307,'Price History'!$A:$A))-'Price History'!D3)*(ROW()-3)/(MATCH(9.99E+307,'Returns (Calc)'!$A:$A)-3),"")</f>
        <v>1198.26490566038</v>
      </c>
      <c r="Z84" s="111" t="n">
        <f aca="false">IFERROR('Price History'!E3+(INDEX('Price History'!E:E,MATCH(9.99E+307,'Price History'!$A:$A))-'Price History'!E3)*(ROW()-3)/(MATCH(9.99E+307,'Returns (Calc)'!$A:$A)-3),"")</f>
        <v>223.03358490566</v>
      </c>
      <c r="AA84" s="111" t="n">
        <f aca="false">IFERROR('Price History'!F3+(INDEX('Price History'!F:F,MATCH(9.99E+307,'Price History'!$A:$A))-'Price History'!F3)*(ROW()-3)/(MATCH(9.99E+307,'Returns (Calc)'!$A:$A)-3),"")</f>
        <v>126.740754716981</v>
      </c>
      <c r="AB84" s="111" t="n">
        <f aca="false">IFERROR('Price History'!G3+(INDEX('Price History'!G:G,MATCH(9.99E+307,'Price History'!$A:$A))-'Price History'!G3)*(ROW()-3)/(MATCH(9.99E+307,'Returns (Calc)'!$A:$A)-3),"")</f>
        <v>118.049056603774</v>
      </c>
      <c r="AC84" s="111" t="n">
        <f aca="false">IFERROR('Price History'!H3+(INDEX('Price History'!H:H,MATCH(9.99E+307,'Price History'!$A:$A))-'Price History'!H3)*(ROW()-3)/(MATCH(9.99E+307,'Returns (Calc)'!$A:$A)-3),"")</f>
        <v>549.46320754717</v>
      </c>
      <c r="AD84" s="111" t="n">
        <f aca="false">IFERROR('Price History'!I3+(INDEX('Price History'!I:I,MATCH(9.99E+307,'Price History'!$A:$A))-'Price History'!I3)*(ROW()-3)/(MATCH(9.99E+307,'Returns (Calc)'!$A:$A)-3),"")</f>
        <v>137.392830188679</v>
      </c>
      <c r="AE84" s="111" t="n">
        <f aca="false">IFERROR('Price History'!J3+(INDEX('Price History'!J:J,MATCH(9.99E+307,'Price History'!$A:$A))-'Price History'!J3)*(ROW()-3)/(MATCH(9.99E+307,'Returns (Calc)'!$A:$A)-3),"")</f>
        <v>130.555471698113</v>
      </c>
      <c r="AF84" s="111" t="n">
        <f aca="false">IFERROR('Price History'!K3+(INDEX('Price History'!K:K,MATCH(9.99E+307,'Price History'!$A:$A))-'Price History'!K3)*(ROW()-3)/(MATCH(9.99E+307,'Returns (Calc)'!$A:$A)-3),"")</f>
        <v>96.3692452830189</v>
      </c>
      <c r="AG84" s="111" t="n">
        <f aca="false">IFERROR('Price History'!L3+(INDEX('Price History'!L:L,MATCH(9.99E+307,'Price History'!$A:$A))-'Price History'!L3)*(ROW()-3)/(MATCH(9.99E+307,'Returns (Calc)'!$A:$A)-3),"")</f>
        <v>263.628490566038</v>
      </c>
      <c r="AH84" s="111" t="n">
        <f aca="false">IFERROR('Price History'!M3+(INDEX('Price History'!M:M,MATCH(9.99E+307,'Price History'!$A:$A))-'Price History'!M3)*(ROW()-3)/(MATCH(9.99E+307,'Returns (Calc)'!$A:$A)-3),"")</f>
        <v>159.350377358491</v>
      </c>
      <c r="AI84" s="111" t="n">
        <f aca="false">IFERROR('Price History'!N3+(INDEX('Price History'!N:N,MATCH(9.99E+307,'Price History'!$A:$A))-'Price History'!N3)*(ROW()-3)/(MATCH(9.99E+307,'Returns (Calc)'!$A:$A)-3),"")</f>
        <v>449.841509433962</v>
      </c>
      <c r="AJ84" s="111" t="n">
        <f aca="false">IFERROR('Price History'!O3+(INDEX('Price History'!O:O,MATCH(9.99E+307,'Price History'!$A:$A))-'Price History'!O3)*(ROW()-3)/(MATCH(9.99E+307,'Returns (Calc)'!$A:$A)-3),"")</f>
        <v>105.305849056604</v>
      </c>
      <c r="AK84" s="111" t="n">
        <f aca="false">IFERROR('Price History'!Q3+(INDEX('Price History'!Q:Q,MATCH(9.99E+307,'Price History'!$A:$A))-'Price History'!Q3)*(ROW()-3)/(MATCH(9.99E+307,'Returns (Calc)'!$A:$A)-3),"")</f>
        <v>59.9675471698113</v>
      </c>
      <c r="AL84" s="111" t="n">
        <f aca="false">IFERROR('Price History'!R3+(INDEX('Price History'!R:R,MATCH(9.99E+307,'Price History'!$A:$A))-'Price History'!R3)*(ROW()-3)/(MATCH(9.99E+307,'Returns (Calc)'!$A:$A)-3),"")</f>
        <v>53.958679245283</v>
      </c>
      <c r="AM84" s="111" t="n">
        <f aca="false">IFERROR('Price History'!S3+(INDEX('Price History'!S:S,MATCH(9.99E+307,'Price History'!$A:$A))-'Price History'!S3)*(ROW()-3)/(MATCH(9.99E+307,'Returns (Calc)'!$A:$A)-3),"")</f>
        <v>104.990188679245</v>
      </c>
      <c r="AN84" s="111" t="n">
        <f aca="false">IFERROR('Price History'!T3+(INDEX('Price History'!T:T,MATCH(9.99E+307,'Price History'!$A:$A))-'Price History'!T3)*(ROW()-3)/(MATCH(9.99E+307,'Returns (Calc)'!$A:$A)-3),"")</f>
        <v>41.3677358490566</v>
      </c>
      <c r="AO84" s="112" t="n">
        <f aca="false">IFERROR('Price History'!V3+(INDEX('Price History'!V:V,MATCH(9.99E+307,'Price History'!$A:$A))-'Price History'!V3)*(ROW()-3)/(MATCH(9.99E+307,'Returns (Calc)'!$A:$A)-3),"")</f>
        <v>191.073396226415</v>
      </c>
    </row>
    <row r="85" customFormat="false" ht="15" hidden="false" customHeight="true" outlineLevel="0" collapsed="false">
      <c r="A85" s="108" t="n">
        <f aca="false">IF('Price History'!A86="","",'Price History'!A86)</f>
        <v>45730</v>
      </c>
      <c r="B85" s="109" t="n">
        <f aca="false">IFERROR(IF(OR(NOT(ISNUMBER('Price History'!B86)),NOT(ISNUMBER('Price History'!B85)),'Price History'!B85=0),"",'Price History'!B86/'Price History'!B85-1),"")</f>
        <v>-0.121628838451268</v>
      </c>
      <c r="C85" s="109" t="n">
        <f aca="false">IFERROR(IF(OR(NOT(ISNUMBER('Price History'!C86)),NOT(ISNUMBER('Price History'!C85)),'Price History'!C85=0),"",'Price History'!C86/'Price History'!C85-1),"")</f>
        <v>0.00179942418426116</v>
      </c>
      <c r="D85" s="109" t="n">
        <f aca="false">IFERROR(IF(OR(NOT(ISNUMBER('Price History'!D86)),NOT(ISNUMBER('Price History'!D85)),'Price History'!D85=0),"",'Price History'!D86/'Price History'!D85-1),"")</f>
        <v>-0.0248832318155746</v>
      </c>
      <c r="E85" s="109" t="n">
        <f aca="false">IFERROR(IF(OR(NOT(ISNUMBER('Price History'!E86)),NOT(ISNUMBER('Price History'!E85)),'Price History'!E85=0),"",'Price History'!E86/'Price History'!E85-1),"")</f>
        <v>0.00297496922445628</v>
      </c>
      <c r="F85" s="109" t="n">
        <f aca="false">IFERROR(IF(OR(NOT(ISNUMBER('Price History'!F86)),NOT(ISNUMBER('Price History'!F85)),'Price History'!F85=0),"",'Price History'!F86/'Price History'!F85-1),"")</f>
        <v>0.0605660829935237</v>
      </c>
      <c r="G85" s="109" t="n">
        <f aca="false">IFERROR(IF(OR(NOT(ISNUMBER('Price History'!G86)),NOT(ISNUMBER('Price History'!G85)),'Price History'!G85=0),"",'Price History'!G86/'Price History'!G85-1),"")</f>
        <v>0.00238999015886399</v>
      </c>
      <c r="H85" s="109" t="n">
        <f aca="false">IFERROR(IF(OR(NOT(ISNUMBER('Price History'!H86)),NOT(ISNUMBER('Price History'!H85)),'Price History'!H85=0),"",'Price History'!H86/'Price History'!H85-1),"")</f>
        <v>0.0842297762478488</v>
      </c>
      <c r="I85" s="109" t="n">
        <f aca="false">IFERROR(IF(OR(NOT(ISNUMBER('Price History'!I86)),NOT(ISNUMBER('Price History'!I85)),'Price History'!I85=0),"",'Price History'!I86/'Price History'!I85-1),"")</f>
        <v>0.0796876386547165</v>
      </c>
      <c r="J85" s="109" t="n">
        <f aca="false">IFERROR(IF(OR(NOT(ISNUMBER('Price History'!J86)),NOT(ISNUMBER('Price History'!J85)),'Price History'!J85=0),"",'Price History'!J86/'Price History'!J85-1),"")</f>
        <v>-0.0668834959552997</v>
      </c>
      <c r="K85" s="109" t="n">
        <f aca="false">IFERROR(IF(OR(NOT(ISNUMBER('Price History'!K86)),NOT(ISNUMBER('Price History'!K85)),'Price History'!K85=0),"",'Price History'!K86/'Price History'!K85-1),"")</f>
        <v>0.0156636438582027</v>
      </c>
      <c r="L85" s="109" t="n">
        <f aca="false">IFERROR(IF(OR(NOT(ISNUMBER('Price History'!L86)),NOT(ISNUMBER('Price History'!L85)),'Price History'!L85=0),"",'Price History'!L86/'Price History'!L85-1),"")</f>
        <v>-0.0169960474308299</v>
      </c>
      <c r="M85" s="109" t="n">
        <f aca="false">IFERROR(IF(OR(NOT(ISNUMBER('Price History'!M86)),NOT(ISNUMBER('Price History'!M85)),'Price History'!M85=0),"",'Price History'!M86/'Price History'!M85-1),"")</f>
        <v>0.0283396048918156</v>
      </c>
      <c r="N85" s="109" t="n">
        <f aca="false">IFERROR(IF(OR(NOT(ISNUMBER('Price History'!N86)),NOT(ISNUMBER('Price History'!N85)),'Price History'!N85=0),"",'Price History'!N86/'Price History'!N85-1),"")</f>
        <v>0.0337504351922013</v>
      </c>
      <c r="O85" s="109" t="n">
        <f aca="false">IFERROR(IF(OR(NOT(ISNUMBER('Price History'!O86)),NOT(ISNUMBER('Price History'!O85)),'Price History'!O85=0),"",'Price History'!O86/'Price History'!O85-1),"")</f>
        <v>-0.0187189896256204</v>
      </c>
      <c r="P85" s="109" t="str">
        <f aca="false">IFERROR(IF(OR(NOT(ISNUMBER('Price History'!P86)),NOT(ISNUMBER('Price History'!P85)),'Price History'!P85=0),"",'Price History'!P86/'Price History'!P85-1),"")</f>
        <v/>
      </c>
      <c r="Q85" s="109" t="n">
        <f aca="false">IFERROR(IF(OR(NOT(ISNUMBER('Price History'!Q86)),NOT(ISNUMBER('Price History'!Q85)),'Price History'!Q85=0),"",'Price History'!Q86/'Price History'!Q85-1),"")</f>
        <v>0.0162629171607658</v>
      </c>
      <c r="R85" s="109" t="n">
        <f aca="false">IFERROR(IF(OR(NOT(ISNUMBER('Price History'!R86)),NOT(ISNUMBER('Price History'!R85)),'Price History'!R85=0),"",'Price History'!R86/'Price History'!R85-1),"")</f>
        <v>-0.0213913690476191</v>
      </c>
      <c r="S85" s="109" t="n">
        <f aca="false">IFERROR(IF(OR(NOT(ISNUMBER('Price History'!S86)),NOT(ISNUMBER('Price History'!S85)),'Price History'!S85=0),"",'Price History'!S86/'Price History'!S85-1),"")</f>
        <v>-0.00719272265707649</v>
      </c>
      <c r="T85" s="109" t="n">
        <f aca="false">IFERROR(IF(OR(NOT(ISNUMBER('Price History'!T86)),NOT(ISNUMBER('Price History'!T85)),'Price History'!T85=0),"",'Price History'!T86/'Price History'!T85-1),"")</f>
        <v>-0.020683711577133</v>
      </c>
      <c r="U85" s="109" t="str">
        <f aca="false">IFERROR(IF(OR(NOT(ISNUMBER('Price History'!U86)),NOT(ISNUMBER('Price History'!U85)),'Price History'!U85=0),"",'Price History'!U86/'Price History'!U85-1),"")</f>
        <v/>
      </c>
      <c r="V85" s="110" t="n">
        <f aca="false">IFERROR(IF(OR(NOT(ISNUMBER('Price History'!V86)),NOT(ISNUMBER('Price History'!V85)),'Price History'!V85=0),"",'Price History'!V86/'Price History'!V85-1),"")</f>
        <v>-0.039161125918983</v>
      </c>
      <c r="W85" s="111" t="n">
        <f aca="false">IFERROR('Price History'!B3+(INDEX('Price History'!B:B,MATCH(9.99E+307,'Price History'!$A:$A))-'Price History'!B3)*(ROW()-3)/(MATCH(9.99E+307,'Returns (Calc)'!$A:$A)-3),"")</f>
        <v>383.675911949686</v>
      </c>
      <c r="X85" s="111" t="n">
        <f aca="false">IFERROR('Price History'!C3+(INDEX('Price History'!C:C,MATCH(9.99E+307,'Price History'!$A:$A))-'Price History'!C3)*(ROW()-3)/(MATCH(9.99E+307,'Returns (Calc)'!$A:$A)-3),"")</f>
        <v>121.119119496855</v>
      </c>
      <c r="Y85" s="111" t="n">
        <f aca="false">IFERROR('Price History'!D3+(INDEX('Price History'!D:D,MATCH(9.99E+307,'Price History'!$A:$A))-'Price History'!D3)*(ROW()-3)/(MATCH(9.99E+307,'Returns (Calc)'!$A:$A)-3),"")</f>
        <v>1204.88817610063</v>
      </c>
      <c r="Z85" s="111" t="n">
        <f aca="false">IFERROR('Price History'!E3+(INDEX('Price History'!E:E,MATCH(9.99E+307,'Price History'!$A:$A))-'Price History'!E3)*(ROW()-3)/(MATCH(9.99E+307,'Returns (Calc)'!$A:$A)-3),"")</f>
        <v>224.762641509434</v>
      </c>
      <c r="AA85" s="111" t="n">
        <f aca="false">IFERROR('Price History'!F3+(INDEX('Price History'!F:F,MATCH(9.99E+307,'Price History'!$A:$A))-'Price History'!F3)*(ROW()-3)/(MATCH(9.99E+307,'Returns (Calc)'!$A:$A)-3),"")</f>
        <v>127.847924528302</v>
      </c>
      <c r="AB85" s="111" t="n">
        <f aca="false">IFERROR('Price History'!G3+(INDEX('Price History'!G:G,MATCH(9.99E+307,'Price History'!$A:$A))-'Price History'!G3)*(ROW()-3)/(MATCH(9.99E+307,'Returns (Calc)'!$A:$A)-3),"")</f>
        <v>118.915094339623</v>
      </c>
      <c r="AC85" s="111" t="n">
        <f aca="false">IFERROR('Price History'!H3+(INDEX('Price History'!H:H,MATCH(9.99E+307,'Price History'!$A:$A))-'Price History'!H3)*(ROW()-3)/(MATCH(9.99E+307,'Returns (Calc)'!$A:$A)-3),"")</f>
        <v>555.452012578616</v>
      </c>
      <c r="AD85" s="111" t="n">
        <f aca="false">IFERROR('Price History'!I3+(INDEX('Price History'!I:I,MATCH(9.99E+307,'Price History'!$A:$A))-'Price History'!I3)*(ROW()-3)/(MATCH(9.99E+307,'Returns (Calc)'!$A:$A)-3),"")</f>
        <v>138.584716981132</v>
      </c>
      <c r="AE85" s="111" t="n">
        <f aca="false">IFERROR('Price History'!J3+(INDEX('Price History'!J:J,MATCH(9.99E+307,'Price History'!$A:$A))-'Price History'!J3)*(ROW()-3)/(MATCH(9.99E+307,'Returns (Calc)'!$A:$A)-3),"")</f>
        <v>130.642452830189</v>
      </c>
      <c r="AF85" s="111" t="n">
        <f aca="false">IFERROR('Price History'!K3+(INDEX('Price History'!K:K,MATCH(9.99E+307,'Price History'!$A:$A))-'Price History'!K3)*(ROW()-3)/(MATCH(9.99E+307,'Returns (Calc)'!$A:$A)-3),"")</f>
        <v>97.3687421383648</v>
      </c>
      <c r="AG85" s="111" t="n">
        <f aca="false">IFERROR('Price History'!L3+(INDEX('Price History'!L:L,MATCH(9.99E+307,'Price History'!$A:$A))-'Price History'!L3)*(ROW()-3)/(MATCH(9.99E+307,'Returns (Calc)'!$A:$A)-3),"")</f>
        <v>265.74748427673</v>
      </c>
      <c r="AH85" s="111" t="n">
        <f aca="false">IFERROR('Price History'!M3+(INDEX('Price History'!M:M,MATCH(9.99E+307,'Price History'!$A:$A))-'Price History'!M3)*(ROW()-3)/(MATCH(9.99E+307,'Returns (Calc)'!$A:$A)-3),"")</f>
        <v>160.903962264151</v>
      </c>
      <c r="AI85" s="111" t="n">
        <f aca="false">IFERROR('Price History'!N3+(INDEX('Price History'!N:N,MATCH(9.99E+307,'Price History'!$A:$A))-'Price History'!N3)*(ROW()-3)/(MATCH(9.99E+307,'Returns (Calc)'!$A:$A)-3),"")</f>
        <v>451.075849056604</v>
      </c>
      <c r="AJ85" s="111" t="n">
        <f aca="false">IFERROR('Price History'!O3+(INDEX('Price History'!O:O,MATCH(9.99E+307,'Price History'!$A:$A))-'Price History'!O3)*(ROW()-3)/(MATCH(9.99E+307,'Returns (Calc)'!$A:$A)-3),"")</f>
        <v>105.583081761006</v>
      </c>
      <c r="AK85" s="111" t="n">
        <f aca="false">IFERROR('Price History'!Q3+(INDEX('Price History'!Q:Q,MATCH(9.99E+307,'Price History'!$A:$A))-'Price History'!Q3)*(ROW()-3)/(MATCH(9.99E+307,'Returns (Calc)'!$A:$A)-3),"")</f>
        <v>60.0925786163522</v>
      </c>
      <c r="AL85" s="111" t="n">
        <f aca="false">IFERROR('Price History'!R3+(INDEX('Price History'!R:R,MATCH(9.99E+307,'Price History'!$A:$A))-'Price History'!R3)*(ROW()-3)/(MATCH(9.99E+307,'Returns (Calc)'!$A:$A)-3),"")</f>
        <v>54.034465408805</v>
      </c>
      <c r="AM85" s="111" t="n">
        <f aca="false">IFERROR('Price History'!S3+(INDEX('Price History'!S:S,MATCH(9.99E+307,'Price History'!$A:$A))-'Price History'!S3)*(ROW()-3)/(MATCH(9.99E+307,'Returns (Calc)'!$A:$A)-3),"")</f>
        <v>105.563647798742</v>
      </c>
      <c r="AN85" s="111" t="n">
        <f aca="false">IFERROR('Price History'!T3+(INDEX('Price History'!T:T,MATCH(9.99E+307,'Price History'!$A:$A))-'Price History'!T3)*(ROW()-3)/(MATCH(9.99E+307,'Returns (Calc)'!$A:$A)-3),"")</f>
        <v>41.5462264150943</v>
      </c>
      <c r="AO85" s="112" t="n">
        <f aca="false">IFERROR('Price History'!V3+(INDEX('Price History'!V:V,MATCH(9.99E+307,'Price History'!$A:$A))-'Price History'!V3)*(ROW()-3)/(MATCH(9.99E+307,'Returns (Calc)'!$A:$A)-3),"")</f>
        <v>193.432327044025</v>
      </c>
    </row>
    <row r="86" customFormat="false" ht="15" hidden="false" customHeight="true" outlineLevel="0" collapsed="false">
      <c r="A86" s="108" t="n">
        <f aca="false">IF('Price History'!A87="","",'Price History'!A87)</f>
        <v>45737</v>
      </c>
      <c r="B86" s="109" t="n">
        <f aca="false">IFERROR(IF(OR(NOT(ISNUMBER('Price History'!B87)),NOT(ISNUMBER('Price History'!B86)),'Price History'!B86=0),"",'Price History'!B87/'Price History'!B86-1),"")</f>
        <v>-0.0189491817398795</v>
      </c>
      <c r="C86" s="109" t="n">
        <f aca="false">IFERROR(IF(OR(NOT(ISNUMBER('Price History'!C87)),NOT(ISNUMBER('Price History'!C86)),'Price History'!C86=0),"",'Price History'!C87/'Price History'!C86-1),"")</f>
        <v>-0.00455035325110775</v>
      </c>
      <c r="D86" s="109" t="n">
        <f aca="false">IFERROR(IF(OR(NOT(ISNUMBER('Price History'!D87)),NOT(ISNUMBER('Price History'!D86)),'Price History'!D86=0),"",'Price History'!D87/'Price History'!D86-1),"")</f>
        <v>0.00310924369747911</v>
      </c>
      <c r="E86" s="109" t="n">
        <f aca="false">IFERROR(IF(OR(NOT(ISNUMBER('Price History'!E87)),NOT(ISNUMBER('Price History'!E86)),'Price History'!E86=0),"",'Price History'!E87/'Price History'!E86-1),"")</f>
        <v>-0.0198424874705943</v>
      </c>
      <c r="F86" s="109" t="n">
        <f aca="false">IFERROR(IF(OR(NOT(ISNUMBER('Price History'!F87)),NOT(ISNUMBER('Price History'!F86)),'Price History'!F86=0),"",'Price History'!F87/'Price History'!F86-1),"")</f>
        <v>0.0240868483546308</v>
      </c>
      <c r="G86" s="109" t="n">
        <f aca="false">IFERROR(IF(OR(NOT(ISNUMBER('Price History'!G87)),NOT(ISNUMBER('Price History'!G86)),'Price History'!G86=0),"",'Price History'!G87/'Price History'!G86-1),"")</f>
        <v>-0.00911640953716675</v>
      </c>
      <c r="H86" s="109" t="n">
        <f aca="false">IFERROR(IF(OR(NOT(ISNUMBER('Price History'!H87)),NOT(ISNUMBER('Price History'!H86)),'Price History'!H86=0),"",'Price History'!H87/'Price History'!H86-1),"")</f>
        <v>-0.0602242285941066</v>
      </c>
      <c r="I86" s="109" t="n">
        <f aca="false">IFERROR(IF(OR(NOT(ISNUMBER('Price History'!I87)),NOT(ISNUMBER('Price History'!I86)),'Price History'!I86=0),"",'Price History'!I87/'Price History'!I86-1),"")</f>
        <v>-0.0326292430344374</v>
      </c>
      <c r="J86" s="109" t="n">
        <f aca="false">IFERROR(IF(OR(NOT(ISNUMBER('Price History'!J87)),NOT(ISNUMBER('Price History'!J86)),'Price History'!J86=0),"",'Price History'!J87/'Price History'!J86-1),"")</f>
        <v>-0.031012601662347</v>
      </c>
      <c r="K86" s="109" t="n">
        <f aca="false">IFERROR(IF(OR(NOT(ISNUMBER('Price History'!K87)),NOT(ISNUMBER('Price History'!K86)),'Price History'!K86=0),"",'Price History'!K87/'Price History'!K86-1),"")</f>
        <v>0.0547309833024119</v>
      </c>
      <c r="L86" s="109" t="n">
        <f aca="false">IFERROR(IF(OR(NOT(ISNUMBER('Price History'!L87)),NOT(ISNUMBER('Price History'!L86)),'Price History'!L86=0),"",'Price History'!L87/'Price History'!L86-1),"")</f>
        <v>0.0151645700499741</v>
      </c>
      <c r="M86" s="109" t="n">
        <f aca="false">IFERROR(IF(OR(NOT(ISNUMBER('Price History'!M87)),NOT(ISNUMBER('Price History'!M86)),'Price History'!M86=0),"",'Price History'!M87/'Price History'!M86-1),"")</f>
        <v>0.0134934248141794</v>
      </c>
      <c r="N86" s="109" t="n">
        <f aca="false">IFERROR(IF(OR(NOT(ISNUMBER('Price History'!N87)),NOT(ISNUMBER('Price History'!N86)),'Price History'!N86=0),"",'Price History'!N87/'Price History'!N86-1),"")</f>
        <v>-0.00311032747588014</v>
      </c>
      <c r="O86" s="109" t="n">
        <f aca="false">IFERROR(IF(OR(NOT(ISNUMBER('Price History'!O87)),NOT(ISNUMBER('Price History'!O86)),'Price History'!O86=0),"",'Price History'!O87/'Price History'!O86-1),"")</f>
        <v>0.0096529533440588</v>
      </c>
      <c r="P86" s="109" t="str">
        <f aca="false">IFERROR(IF(OR(NOT(ISNUMBER('Price History'!P87)),NOT(ISNUMBER('Price History'!P86)),'Price History'!P86=0),"",'Price History'!P87/'Price History'!P86-1),"")</f>
        <v/>
      </c>
      <c r="Q86" s="109" t="n">
        <f aca="false">IFERROR(IF(OR(NOT(ISNUMBER('Price History'!Q87)),NOT(ISNUMBER('Price History'!Q86)),'Price History'!Q86=0),"",'Price History'!Q87/'Price History'!Q86-1),"")</f>
        <v>-0.00250041673612267</v>
      </c>
      <c r="R86" s="109" t="n">
        <f aca="false">IFERROR(IF(OR(NOT(ISNUMBER('Price History'!R87)),NOT(ISNUMBER('Price History'!R86)),'Price History'!R86=0),"",'Price History'!R87/'Price History'!R86-1),"")</f>
        <v>0.00361148070708994</v>
      </c>
      <c r="S86" s="109" t="n">
        <f aca="false">IFERROR(IF(OR(NOT(ISNUMBER('Price History'!S87)),NOT(ISNUMBER('Price History'!S86)),'Price History'!S86=0),"",'Price History'!S87/'Price History'!S86-1),"")</f>
        <v>0.00383549968037511</v>
      </c>
      <c r="T86" s="109" t="n">
        <f aca="false">IFERROR(IF(OR(NOT(ISNUMBER('Price History'!T87)),NOT(ISNUMBER('Price History'!T86)),'Price History'!T86=0),"",'Price History'!T87/'Price History'!T86-1),"")</f>
        <v>0.0170137870343208</v>
      </c>
      <c r="U86" s="109" t="str">
        <f aca="false">IFERROR(IF(OR(NOT(ISNUMBER('Price History'!U87)),NOT(ISNUMBER('Price History'!U86)),'Price History'!U86=0),"",'Price History'!U87/'Price History'!U86-1),"")</f>
        <v/>
      </c>
      <c r="V86" s="110" t="n">
        <f aca="false">IFERROR(IF(OR(NOT(ISNUMBER('Price History'!V87)),NOT(ISNUMBER('Price History'!V86)),'Price History'!V86=0),"",'Price History'!V87/'Price History'!V86-1),"")</f>
        <v>0.0116449213510548</v>
      </c>
      <c r="W86" s="111" t="n">
        <f aca="false">IFERROR('Price History'!B3+(INDEX('Price History'!B:B,MATCH(9.99E+307,'Price History'!$A:$A))-'Price History'!B3)*(ROW()-3)/(MATCH(9.99E+307,'Returns (Calc)'!$A:$A)-3),"")</f>
        <v>382.15427672956</v>
      </c>
      <c r="X86" s="111" t="n">
        <f aca="false">IFERROR('Price History'!C3+(INDEX('Price History'!C:C,MATCH(9.99E+307,'Price History'!$A:$A))-'Price History'!C3)*(ROW()-3)/(MATCH(9.99E+307,'Returns (Calc)'!$A:$A)-3),"")</f>
        <v>122.062767295598</v>
      </c>
      <c r="Y86" s="111" t="n">
        <f aca="false">IFERROR('Price History'!D3+(INDEX('Price History'!D:D,MATCH(9.99E+307,'Price History'!$A:$A))-'Price History'!D3)*(ROW()-3)/(MATCH(9.99E+307,'Returns (Calc)'!$A:$A)-3),"")</f>
        <v>1211.51144654088</v>
      </c>
      <c r="Z86" s="111" t="n">
        <f aca="false">IFERROR('Price History'!E3+(INDEX('Price History'!E:E,MATCH(9.99E+307,'Price History'!$A:$A))-'Price History'!E3)*(ROW()-3)/(MATCH(9.99E+307,'Returns (Calc)'!$A:$A)-3),"")</f>
        <v>226.491698113208</v>
      </c>
      <c r="AA86" s="111" t="n">
        <f aca="false">IFERROR('Price History'!F3+(INDEX('Price History'!F:F,MATCH(9.99E+307,'Price History'!$A:$A))-'Price History'!F3)*(ROW()-3)/(MATCH(9.99E+307,'Returns (Calc)'!$A:$A)-3),"")</f>
        <v>128.955094339623</v>
      </c>
      <c r="AB86" s="111" t="n">
        <f aca="false">IFERROR('Price History'!G3+(INDEX('Price History'!G:G,MATCH(9.99E+307,'Price History'!$A:$A))-'Price History'!G3)*(ROW()-3)/(MATCH(9.99E+307,'Returns (Calc)'!$A:$A)-3),"")</f>
        <v>119.781132075472</v>
      </c>
      <c r="AC86" s="111" t="n">
        <f aca="false">IFERROR('Price History'!H3+(INDEX('Price History'!H:H,MATCH(9.99E+307,'Price History'!$A:$A))-'Price History'!H3)*(ROW()-3)/(MATCH(9.99E+307,'Returns (Calc)'!$A:$A)-3),"")</f>
        <v>561.440817610063</v>
      </c>
      <c r="AD86" s="111" t="n">
        <f aca="false">IFERROR('Price History'!I3+(INDEX('Price History'!I:I,MATCH(9.99E+307,'Price History'!$A:$A))-'Price History'!I3)*(ROW()-3)/(MATCH(9.99E+307,'Returns (Calc)'!$A:$A)-3),"")</f>
        <v>139.776603773585</v>
      </c>
      <c r="AE86" s="111" t="n">
        <f aca="false">IFERROR('Price History'!J3+(INDEX('Price History'!J:J,MATCH(9.99E+307,'Price History'!$A:$A))-'Price History'!J3)*(ROW()-3)/(MATCH(9.99E+307,'Returns (Calc)'!$A:$A)-3),"")</f>
        <v>130.729433962264</v>
      </c>
      <c r="AF86" s="111" t="n">
        <f aca="false">IFERROR('Price History'!K3+(INDEX('Price History'!K:K,MATCH(9.99E+307,'Price History'!$A:$A))-'Price History'!K3)*(ROW()-3)/(MATCH(9.99E+307,'Returns (Calc)'!$A:$A)-3),"")</f>
        <v>98.3682389937107</v>
      </c>
      <c r="AG86" s="111" t="n">
        <f aca="false">IFERROR('Price History'!L3+(INDEX('Price History'!L:L,MATCH(9.99E+307,'Price History'!$A:$A))-'Price History'!L3)*(ROW()-3)/(MATCH(9.99E+307,'Returns (Calc)'!$A:$A)-3),"")</f>
        <v>267.866477987421</v>
      </c>
      <c r="AH86" s="111" t="n">
        <f aca="false">IFERROR('Price History'!M3+(INDEX('Price History'!M:M,MATCH(9.99E+307,'Price History'!$A:$A))-'Price History'!M3)*(ROW()-3)/(MATCH(9.99E+307,'Returns (Calc)'!$A:$A)-3),"")</f>
        <v>162.457547169811</v>
      </c>
      <c r="AI86" s="111" t="n">
        <f aca="false">IFERROR('Price History'!N3+(INDEX('Price History'!N:N,MATCH(9.99E+307,'Price History'!$A:$A))-'Price History'!N3)*(ROW()-3)/(MATCH(9.99E+307,'Returns (Calc)'!$A:$A)-3),"")</f>
        <v>452.310188679245</v>
      </c>
      <c r="AJ86" s="111" t="n">
        <f aca="false">IFERROR('Price History'!O3+(INDEX('Price History'!O:O,MATCH(9.99E+307,'Price History'!$A:$A))-'Price History'!O3)*(ROW()-3)/(MATCH(9.99E+307,'Returns (Calc)'!$A:$A)-3),"")</f>
        <v>105.860314465409</v>
      </c>
      <c r="AK86" s="111" t="n">
        <f aca="false">IFERROR('Price History'!Q3+(INDEX('Price History'!Q:Q,MATCH(9.99E+307,'Price History'!$A:$A))-'Price History'!Q3)*(ROW()-3)/(MATCH(9.99E+307,'Returns (Calc)'!$A:$A)-3),"")</f>
        <v>60.2176100628931</v>
      </c>
      <c r="AL86" s="111" t="n">
        <f aca="false">IFERROR('Price History'!R3+(INDEX('Price History'!R:R,MATCH(9.99E+307,'Price History'!$A:$A))-'Price History'!R3)*(ROW()-3)/(MATCH(9.99E+307,'Returns (Calc)'!$A:$A)-3),"")</f>
        <v>54.110251572327</v>
      </c>
      <c r="AM86" s="111" t="n">
        <f aca="false">IFERROR('Price History'!S3+(INDEX('Price History'!S:S,MATCH(9.99E+307,'Price History'!$A:$A))-'Price History'!S3)*(ROW()-3)/(MATCH(9.99E+307,'Returns (Calc)'!$A:$A)-3),"")</f>
        <v>106.137106918239</v>
      </c>
      <c r="AN86" s="111" t="n">
        <f aca="false">IFERROR('Price History'!T3+(INDEX('Price History'!T:T,MATCH(9.99E+307,'Price History'!$A:$A))-'Price History'!T3)*(ROW()-3)/(MATCH(9.99E+307,'Returns (Calc)'!$A:$A)-3),"")</f>
        <v>41.7247169811321</v>
      </c>
      <c r="AO86" s="112" t="n">
        <f aca="false">IFERROR('Price History'!V3+(INDEX('Price History'!V:V,MATCH(9.99E+307,'Price History'!$A:$A))-'Price History'!V3)*(ROW()-3)/(MATCH(9.99E+307,'Returns (Calc)'!$A:$A)-3),"")</f>
        <v>195.791257861635</v>
      </c>
    </row>
    <row r="87" customFormat="false" ht="15" hidden="false" customHeight="true" outlineLevel="0" collapsed="false">
      <c r="A87" s="108" t="n">
        <f aca="false">IF('Price History'!A88="","",'Price History'!A88)</f>
        <v>45744</v>
      </c>
      <c r="B87" s="109" t="n">
        <f aca="false">IFERROR(IF(OR(NOT(ISNUMBER('Price History'!B88)),NOT(ISNUMBER('Price History'!B87)),'Price History'!B87=0),"",'Price History'!B88/'Price History'!B87-1),"")</f>
        <v>-0.00400247895470751</v>
      </c>
      <c r="C87" s="109" t="n">
        <f aca="false">IFERROR(IF(OR(NOT(ISNUMBER('Price History'!C88)),NOT(ISNUMBER('Price History'!C87)),'Price History'!C87=0),"",'Price History'!C88/'Price History'!C87-1),"")</f>
        <v>-0.0624323348971491</v>
      </c>
      <c r="D87" s="109" t="n">
        <f aca="false">IFERROR(IF(OR(NOT(ISNUMBER('Price History'!D88)),NOT(ISNUMBER('Price History'!D87)),'Price History'!D87=0),"",'Price History'!D88/'Price History'!D87-1),"")</f>
        <v>-0.0581385607774148</v>
      </c>
      <c r="E87" s="109" t="n">
        <f aca="false">IFERROR(IF(OR(NOT(ISNUMBER('Price History'!E88)),NOT(ISNUMBER('Price History'!E87)),'Price History'!E87=0),"",'Price History'!E88/'Price History'!E87-1),"")</f>
        <v>-0.117604090577064</v>
      </c>
      <c r="F87" s="109" t="n">
        <f aca="false">IFERROR(IF(OR(NOT(ISNUMBER('Price History'!F88)),NOT(ISNUMBER('Price History'!F87)),'Price History'!F87=0),"",'Price History'!F88/'Price History'!F87-1),"")</f>
        <v>-0.0141342756183745</v>
      </c>
      <c r="G87" s="109" t="n">
        <f aca="false">IFERROR(IF(OR(NOT(ISNUMBER('Price History'!G88)),NOT(ISNUMBER('Price History'!G87)),'Price History'!G87=0),"",'Price History'!G88/'Price History'!G87-1),"")</f>
        <v>-0.0465675866949753</v>
      </c>
      <c r="H87" s="109" t="n">
        <f aca="false">IFERROR(IF(OR(NOT(ISNUMBER('Price History'!H88)),NOT(ISNUMBER('Price History'!H87)),'Price History'!H87=0),"",'Price History'!H88/'Price History'!H87-1),"")</f>
        <v>-0.0663006756756757</v>
      </c>
      <c r="I87" s="109" t="n">
        <f aca="false">IFERROR(IF(OR(NOT(ISNUMBER('Price History'!I88)),NOT(ISNUMBER('Price History'!I87)),'Price History'!I87=0),"",'Price History'!I88/'Price History'!I87-1),"")</f>
        <v>-0.0682242990654206</v>
      </c>
      <c r="J87" s="109" t="n">
        <f aca="false">IFERROR(IF(OR(NOT(ISNUMBER('Price History'!J88)),NOT(ISNUMBER('Price History'!J87)),'Price History'!J87=0),"",'Price History'!J88/'Price History'!J87-1),"")</f>
        <v>0.0187234827522598</v>
      </c>
      <c r="K87" s="109" t="n">
        <f aca="false">IFERROR(IF(OR(NOT(ISNUMBER('Price History'!K88)),NOT(ISNUMBER('Price History'!K87)),'Price History'!K87=0),"",'Price History'!K88/'Price History'!K87-1),"")</f>
        <v>-0.0561785400175902</v>
      </c>
      <c r="L87" s="109" t="n">
        <f aca="false">IFERROR(IF(OR(NOT(ISNUMBER('Price History'!L88)),NOT(ISNUMBER('Price History'!L87)),'Price History'!L87=0),"",'Price History'!L88/'Price History'!L87-1),"")</f>
        <v>-0.0649578453007412</v>
      </c>
      <c r="M87" s="109" t="n">
        <f aca="false">IFERROR(IF(OR(NOT(ISNUMBER('Price History'!M88)),NOT(ISNUMBER('Price History'!M87)),'Price History'!M87=0),"",'Price History'!M88/'Price History'!M87-1),"")</f>
        <v>-0.16224754597766</v>
      </c>
      <c r="N87" s="109" t="n">
        <f aca="false">IFERROR(IF(OR(NOT(ISNUMBER('Price History'!N88)),NOT(ISNUMBER('Price History'!N87)),'Price History'!N87=0),"",'Price History'!N88/'Price History'!N87-1),"")</f>
        <v>-0.0208863275039746</v>
      </c>
      <c r="O87" s="109" t="n">
        <f aca="false">IFERROR(IF(OR(NOT(ISNUMBER('Price History'!O88)),NOT(ISNUMBER('Price History'!O87)),'Price History'!O87=0),"",'Price History'!O88/'Price History'!O87-1),"")</f>
        <v>-0.00842249032551778</v>
      </c>
      <c r="P87" s="109" t="str">
        <f aca="false">IFERROR(IF(OR(NOT(ISNUMBER('Price History'!P88)),NOT(ISNUMBER('Price History'!P87)),'Price History'!P87=0),"",'Price History'!P88/'Price History'!P87-1),"")</f>
        <v/>
      </c>
      <c r="Q87" s="109" t="n">
        <f aca="false">IFERROR(IF(OR(NOT(ISNUMBER('Price History'!Q88)),NOT(ISNUMBER('Price History'!Q87)),'Price History'!Q87=0),"",'Price History'!Q88/'Price History'!Q87-1),"")</f>
        <v>0.0294117647058823</v>
      </c>
      <c r="R87" s="109" t="n">
        <f aca="false">IFERROR(IF(OR(NOT(ISNUMBER('Price History'!R88)),NOT(ISNUMBER('Price History'!R87)),'Price History'!R87=0),"",'Price History'!R88/'Price History'!R87-1),"")</f>
        <v>-0.0187499999999999</v>
      </c>
      <c r="S87" s="109" t="n">
        <f aca="false">IFERROR(IF(OR(NOT(ISNUMBER('Price History'!S88)),NOT(ISNUMBER('Price History'!S87)),'Price History'!S87=0),"",'Price History'!S88/'Price History'!S87-1),"")</f>
        <v>-0.0215453194650818</v>
      </c>
      <c r="T87" s="109" t="n">
        <f aca="false">IFERROR(IF(OR(NOT(ISNUMBER('Price History'!T88)),NOT(ISNUMBER('Price History'!T87)),'Price History'!T87=0),"",'Price History'!T88/'Price History'!T87-1),"")</f>
        <v>-0.0164407268531872</v>
      </c>
      <c r="U87" s="109" t="str">
        <f aca="false">IFERROR(IF(OR(NOT(ISNUMBER('Price History'!U88)),NOT(ISNUMBER('Price History'!U87)),'Price History'!U87=0),"",'Price History'!U88/'Price History'!U87-1),"")</f>
        <v/>
      </c>
      <c r="V87" s="110" t="n">
        <f aca="false">IFERROR(IF(OR(NOT(ISNUMBER('Price History'!V88)),NOT(ISNUMBER('Price History'!V87)),'Price History'!V87=0),"",'Price History'!V88/'Price History'!V87-1),"")</f>
        <v>0.0214246971614536</v>
      </c>
      <c r="W87" s="111" t="n">
        <f aca="false">IFERROR('Price History'!B3+(INDEX('Price History'!B:B,MATCH(9.99E+307,'Price History'!$A:$A))-'Price History'!B3)*(ROW()-3)/(MATCH(9.99E+307,'Returns (Calc)'!$A:$A)-3),"")</f>
        <v>380.632641509434</v>
      </c>
      <c r="X87" s="111" t="n">
        <f aca="false">IFERROR('Price History'!C3+(INDEX('Price History'!C:C,MATCH(9.99E+307,'Price History'!$A:$A))-'Price History'!C3)*(ROW()-3)/(MATCH(9.99E+307,'Returns (Calc)'!$A:$A)-3),"")</f>
        <v>123.00641509434</v>
      </c>
      <c r="Y87" s="111" t="n">
        <f aca="false">IFERROR('Price History'!D3+(INDEX('Price History'!D:D,MATCH(9.99E+307,'Price History'!$A:$A))-'Price History'!D3)*(ROW()-3)/(MATCH(9.99E+307,'Returns (Calc)'!$A:$A)-3),"")</f>
        <v>1218.13471698113</v>
      </c>
      <c r="Z87" s="111" t="n">
        <f aca="false">IFERROR('Price History'!E3+(INDEX('Price History'!E:E,MATCH(9.99E+307,'Price History'!$A:$A))-'Price History'!E3)*(ROW()-3)/(MATCH(9.99E+307,'Returns (Calc)'!$A:$A)-3),"")</f>
        <v>228.220754716981</v>
      </c>
      <c r="AA87" s="111" t="n">
        <f aca="false">IFERROR('Price History'!F3+(INDEX('Price History'!F:F,MATCH(9.99E+307,'Price History'!$A:$A))-'Price History'!F3)*(ROW()-3)/(MATCH(9.99E+307,'Returns (Calc)'!$A:$A)-3),"")</f>
        <v>130.062264150943</v>
      </c>
      <c r="AB87" s="111" t="n">
        <f aca="false">IFERROR('Price History'!G3+(INDEX('Price History'!G:G,MATCH(9.99E+307,'Price History'!$A:$A))-'Price History'!G3)*(ROW()-3)/(MATCH(9.99E+307,'Returns (Calc)'!$A:$A)-3),"")</f>
        <v>120.647169811321</v>
      </c>
      <c r="AC87" s="111" t="n">
        <f aca="false">IFERROR('Price History'!H3+(INDEX('Price History'!H:H,MATCH(9.99E+307,'Price History'!$A:$A))-'Price History'!H3)*(ROW()-3)/(MATCH(9.99E+307,'Returns (Calc)'!$A:$A)-3),"")</f>
        <v>567.42962264151</v>
      </c>
      <c r="AD87" s="111" t="n">
        <f aca="false">IFERROR('Price History'!I3+(INDEX('Price History'!I:I,MATCH(9.99E+307,'Price History'!$A:$A))-'Price History'!I3)*(ROW()-3)/(MATCH(9.99E+307,'Returns (Calc)'!$A:$A)-3),"")</f>
        <v>140.968490566038</v>
      </c>
      <c r="AE87" s="111" t="n">
        <f aca="false">IFERROR('Price History'!J3+(INDEX('Price History'!J:J,MATCH(9.99E+307,'Price History'!$A:$A))-'Price History'!J3)*(ROW()-3)/(MATCH(9.99E+307,'Returns (Calc)'!$A:$A)-3),"")</f>
        <v>130.81641509434</v>
      </c>
      <c r="AF87" s="111" t="n">
        <f aca="false">IFERROR('Price History'!K3+(INDEX('Price History'!K:K,MATCH(9.99E+307,'Price History'!$A:$A))-'Price History'!K3)*(ROW()-3)/(MATCH(9.99E+307,'Returns (Calc)'!$A:$A)-3),"")</f>
        <v>99.3677358490566</v>
      </c>
      <c r="AG87" s="111" t="n">
        <f aca="false">IFERROR('Price History'!L3+(INDEX('Price History'!L:L,MATCH(9.99E+307,'Price History'!$A:$A))-'Price History'!L3)*(ROW()-3)/(MATCH(9.99E+307,'Returns (Calc)'!$A:$A)-3),"")</f>
        <v>269.985471698113</v>
      </c>
      <c r="AH87" s="111" t="n">
        <f aca="false">IFERROR('Price History'!M3+(INDEX('Price History'!M:M,MATCH(9.99E+307,'Price History'!$A:$A))-'Price History'!M3)*(ROW()-3)/(MATCH(9.99E+307,'Returns (Calc)'!$A:$A)-3),"")</f>
        <v>164.011132075472</v>
      </c>
      <c r="AI87" s="111" t="n">
        <f aca="false">IFERROR('Price History'!N3+(INDEX('Price History'!N:N,MATCH(9.99E+307,'Price History'!$A:$A))-'Price History'!N3)*(ROW()-3)/(MATCH(9.99E+307,'Returns (Calc)'!$A:$A)-3),"")</f>
        <v>453.544528301887</v>
      </c>
      <c r="AJ87" s="111" t="n">
        <f aca="false">IFERROR('Price History'!O3+(INDEX('Price History'!O:O,MATCH(9.99E+307,'Price History'!$A:$A))-'Price History'!O3)*(ROW()-3)/(MATCH(9.99E+307,'Returns (Calc)'!$A:$A)-3),"")</f>
        <v>106.137547169811</v>
      </c>
      <c r="AK87" s="111" t="n">
        <f aca="false">IFERROR('Price History'!Q3+(INDEX('Price History'!Q:Q,MATCH(9.99E+307,'Price History'!$A:$A))-'Price History'!Q3)*(ROW()-3)/(MATCH(9.99E+307,'Returns (Calc)'!$A:$A)-3),"")</f>
        <v>60.342641509434</v>
      </c>
      <c r="AL87" s="111" t="n">
        <f aca="false">IFERROR('Price History'!R3+(INDEX('Price History'!R:R,MATCH(9.99E+307,'Price History'!$A:$A))-'Price History'!R3)*(ROW()-3)/(MATCH(9.99E+307,'Returns (Calc)'!$A:$A)-3),"")</f>
        <v>54.1860377358491</v>
      </c>
      <c r="AM87" s="111" t="n">
        <f aca="false">IFERROR('Price History'!S3+(INDEX('Price History'!S:S,MATCH(9.99E+307,'Price History'!$A:$A))-'Price History'!S3)*(ROW()-3)/(MATCH(9.99E+307,'Returns (Calc)'!$A:$A)-3),"")</f>
        <v>106.710566037736</v>
      </c>
      <c r="AN87" s="111" t="n">
        <f aca="false">IFERROR('Price History'!T3+(INDEX('Price History'!T:T,MATCH(9.99E+307,'Price History'!$A:$A))-'Price History'!T3)*(ROW()-3)/(MATCH(9.99E+307,'Returns (Calc)'!$A:$A)-3),"")</f>
        <v>41.9032075471698</v>
      </c>
      <c r="AO87" s="112" t="n">
        <f aca="false">IFERROR('Price History'!V3+(INDEX('Price History'!V:V,MATCH(9.99E+307,'Price History'!$A:$A))-'Price History'!V3)*(ROW()-3)/(MATCH(9.99E+307,'Returns (Calc)'!$A:$A)-3),"")</f>
        <v>198.150188679245</v>
      </c>
    </row>
    <row r="88" customFormat="false" ht="15" hidden="false" customHeight="true" outlineLevel="0" collapsed="false">
      <c r="A88" s="108" t="n">
        <f aca="false">IF('Price History'!A89="","",'Price History'!A89)</f>
        <v>45751</v>
      </c>
      <c r="B88" s="109" t="n">
        <f aca="false">IFERROR(IF(OR(NOT(ISNUMBER('Price History'!B89)),NOT(ISNUMBER('Price History'!B88)),'Price History'!B88=0),"",'Price History'!B89/'Price History'!B88-1),"")</f>
        <v>-0.0949936480775712</v>
      </c>
      <c r="C88" s="109" t="n">
        <f aca="false">IFERROR(IF(OR(NOT(ISNUMBER('Price History'!C89)),NOT(ISNUMBER('Price History'!C88)),'Price History'!C88=0),"",'Price History'!C89/'Price History'!C88-1),"")</f>
        <v>-0.174108288426995</v>
      </c>
      <c r="D88" s="109" t="n">
        <f aca="false">IFERROR(IF(OR(NOT(ISNUMBER('Price History'!D89)),NOT(ISNUMBER('Price History'!D88)),'Price History'!D88=0),"",'Price History'!D89/'Price History'!D88-1),"")</f>
        <v>-0.102330338877524</v>
      </c>
      <c r="E88" s="109" t="n">
        <f aca="false">IFERROR(IF(OR(NOT(ISNUMBER('Price History'!E89)),NOT(ISNUMBER('Price History'!E88)),'Price History'!E88=0),"",'Price History'!E89/'Price History'!E88-1),"")</f>
        <v>-0.134992904446547</v>
      </c>
      <c r="F88" s="109" t="n">
        <f aca="false">IFERROR(IF(OR(NOT(ISNUMBER('Price History'!F89)),NOT(ISNUMBER('Price History'!F88)),'Price History'!F88=0),"",'Price History'!F89/'Price History'!F88-1),"")</f>
        <v>-0.0993503584229392</v>
      </c>
      <c r="G88" s="109" t="n">
        <f aca="false">IFERROR(IF(OR(NOT(ISNUMBER('Price History'!G89)),NOT(ISNUMBER('Price History'!G88)),'Price History'!G88=0),"",'Price History'!G89/'Price History'!G88-1),"")</f>
        <v>-0.144150831353919</v>
      </c>
      <c r="H88" s="109" t="n">
        <f aca="false">IFERROR(IF(OR(NOT(ISNUMBER('Price History'!H89)),NOT(ISNUMBER('Price History'!H88)),'Price History'!H88=0),"",'Price History'!H89/'Price History'!H88-1),"")</f>
        <v>-0.268204432383537</v>
      </c>
      <c r="I88" s="109" t="n">
        <f aca="false">IFERROR(IF(OR(NOT(ISNUMBER('Price History'!I89)),NOT(ISNUMBER('Price History'!I88)),'Price History'!I88=0),"",'Price History'!I89/'Price History'!I88-1),"")</f>
        <v>-0.140056533236072</v>
      </c>
      <c r="J88" s="109" t="n">
        <f aca="false">IFERROR(IF(OR(NOT(ISNUMBER('Price History'!J89)),NOT(ISNUMBER('Price History'!J88)),'Price History'!J88=0),"",'Price History'!J89/'Price History'!J88-1),"")</f>
        <v>-0.11063829787234</v>
      </c>
      <c r="K88" s="109" t="n">
        <f aca="false">IFERROR(IF(OR(NOT(ISNUMBER('Price History'!K89)),NOT(ISNUMBER('Price History'!K88)),'Price History'!K88=0),"",'Price History'!K89/'Price History'!K88-1),"")</f>
        <v>-0.137914967967385</v>
      </c>
      <c r="L88" s="109" t="n">
        <f aca="false">IFERROR(IF(OR(NOT(ISNUMBER('Price History'!L89)),NOT(ISNUMBER('Price History'!L88)),'Price History'!L88=0),"",'Price History'!L89/'Price History'!L88-1),"")</f>
        <v>-0.111649016641452</v>
      </c>
      <c r="M88" s="109" t="n">
        <f aca="false">IFERROR(IF(OR(NOT(ISNUMBER('Price History'!M89)),NOT(ISNUMBER('Price History'!M88)),'Price History'!M88=0),"",'Price History'!M89/'Price History'!M88-1),"")</f>
        <v>-0.19986531986532</v>
      </c>
      <c r="N88" s="109" t="n">
        <f aca="false">IFERROR(IF(OR(NOT(ISNUMBER('Price History'!N89)),NOT(ISNUMBER('Price History'!N88)),'Price History'!N88=0),"",'Price History'!N89/'Price History'!N88-1),"")</f>
        <v>-0.0366762061336743</v>
      </c>
      <c r="O88" s="109" t="n">
        <f aca="false">IFERROR(IF(OR(NOT(ISNUMBER('Price History'!O89)),NOT(ISNUMBER('Price History'!O88)),'Price History'!O88=0),"",'Price History'!O89/'Price History'!O88-1),"")</f>
        <v>-0.104683195592287</v>
      </c>
      <c r="P88" s="109" t="str">
        <f aca="false">IFERROR(IF(OR(NOT(ISNUMBER('Price History'!P89)),NOT(ISNUMBER('Price History'!P88)),'Price History'!P88=0),"",'Price History'!P89/'Price History'!P88-1),"")</f>
        <v/>
      </c>
      <c r="Q88" s="109" t="n">
        <f aca="false">IFERROR(IF(OR(NOT(ISNUMBER('Price History'!Q89)),NOT(ISNUMBER('Price History'!Q88)),'Price History'!Q88=0),"",'Price History'!Q89/'Price History'!Q88-1),"")</f>
        <v>-0.0165584415584417</v>
      </c>
      <c r="R88" s="109" t="n">
        <f aca="false">IFERROR(IF(OR(NOT(ISNUMBER('Price History'!R89)),NOT(ISNUMBER('Price History'!R88)),'Price History'!R88=0),"",'Price History'!R89/'Price History'!R88-1),"")</f>
        <v>-0.100559737502413</v>
      </c>
      <c r="S88" s="109" t="n">
        <f aca="false">IFERROR(IF(OR(NOT(ISNUMBER('Price History'!S89)),NOT(ISNUMBER('Price History'!S88)),'Price History'!S88=0),"",'Price History'!S89/'Price History'!S88-1),"")</f>
        <v>-0.107061503416857</v>
      </c>
      <c r="T88" s="109" t="n">
        <f aca="false">IFERROR(IF(OR(NOT(ISNUMBER('Price History'!T89)),NOT(ISNUMBER('Price History'!T88)),'Price History'!T88=0),"",'Price History'!T89/'Price History'!T88-1),"")</f>
        <v>-0.092375366568915</v>
      </c>
      <c r="U88" s="109" t="str">
        <f aca="false">IFERROR(IF(OR(NOT(ISNUMBER('Price History'!U89)),NOT(ISNUMBER('Price History'!U88)),'Price History'!U88=0),"",'Price History'!U89/'Price History'!U88-1),"")</f>
        <v/>
      </c>
      <c r="V88" s="110" t="n">
        <f aca="false">IFERROR(IF(OR(NOT(ISNUMBER('Price History'!V89)),NOT(ISNUMBER('Price History'!V88)),'Price History'!V88=0),"",'Price History'!V89/'Price History'!V88-1),"")</f>
        <v>-0.0866743369619731</v>
      </c>
      <c r="W88" s="111" t="n">
        <f aca="false">IFERROR('Price History'!B3+(INDEX('Price History'!B:B,MATCH(9.99E+307,'Price History'!$A:$A))-'Price History'!B3)*(ROW()-3)/(MATCH(9.99E+307,'Returns (Calc)'!$A:$A)-3),"")</f>
        <v>379.111006289308</v>
      </c>
      <c r="X88" s="111" t="n">
        <f aca="false">IFERROR('Price History'!C3+(INDEX('Price History'!C:C,MATCH(9.99E+307,'Price History'!$A:$A))-'Price History'!C3)*(ROW()-3)/(MATCH(9.99E+307,'Returns (Calc)'!$A:$A)-3),"")</f>
        <v>123.950062893082</v>
      </c>
      <c r="Y88" s="111" t="n">
        <f aca="false">IFERROR('Price History'!D3+(INDEX('Price History'!D:D,MATCH(9.99E+307,'Price History'!$A:$A))-'Price History'!D3)*(ROW()-3)/(MATCH(9.99E+307,'Returns (Calc)'!$A:$A)-3),"")</f>
        <v>1224.75798742138</v>
      </c>
      <c r="Z88" s="111" t="n">
        <f aca="false">IFERROR('Price History'!E3+(INDEX('Price History'!E:E,MATCH(9.99E+307,'Price History'!$A:$A))-'Price History'!E3)*(ROW()-3)/(MATCH(9.99E+307,'Returns (Calc)'!$A:$A)-3),"")</f>
        <v>229.949811320755</v>
      </c>
      <c r="AA88" s="111" t="n">
        <f aca="false">IFERROR('Price History'!F3+(INDEX('Price History'!F:F,MATCH(9.99E+307,'Price History'!$A:$A))-'Price History'!F3)*(ROW()-3)/(MATCH(9.99E+307,'Returns (Calc)'!$A:$A)-3),"")</f>
        <v>131.169433962264</v>
      </c>
      <c r="AB88" s="111" t="n">
        <f aca="false">IFERROR('Price History'!G3+(INDEX('Price History'!G:G,MATCH(9.99E+307,'Price History'!$A:$A))-'Price History'!G3)*(ROW()-3)/(MATCH(9.99E+307,'Returns (Calc)'!$A:$A)-3),"")</f>
        <v>121.51320754717</v>
      </c>
      <c r="AC88" s="111" t="n">
        <f aca="false">IFERROR('Price History'!H3+(INDEX('Price History'!H:H,MATCH(9.99E+307,'Price History'!$A:$A))-'Price History'!H3)*(ROW()-3)/(MATCH(9.99E+307,'Returns (Calc)'!$A:$A)-3),"")</f>
        <v>573.418427672956</v>
      </c>
      <c r="AD88" s="111" t="n">
        <f aca="false">IFERROR('Price History'!I3+(INDEX('Price History'!I:I,MATCH(9.99E+307,'Price History'!$A:$A))-'Price History'!I3)*(ROW()-3)/(MATCH(9.99E+307,'Returns (Calc)'!$A:$A)-3),"")</f>
        <v>142.160377358491</v>
      </c>
      <c r="AE88" s="111" t="n">
        <f aca="false">IFERROR('Price History'!J3+(INDEX('Price History'!J:J,MATCH(9.99E+307,'Price History'!$A:$A))-'Price History'!J3)*(ROW()-3)/(MATCH(9.99E+307,'Returns (Calc)'!$A:$A)-3),"")</f>
        <v>130.903396226415</v>
      </c>
      <c r="AF88" s="111" t="n">
        <f aca="false">IFERROR('Price History'!K3+(INDEX('Price History'!K:K,MATCH(9.99E+307,'Price History'!$A:$A))-'Price History'!K3)*(ROW()-3)/(MATCH(9.99E+307,'Returns (Calc)'!$A:$A)-3),"")</f>
        <v>100.367232704403</v>
      </c>
      <c r="AG88" s="111" t="n">
        <f aca="false">IFERROR('Price History'!L3+(INDEX('Price History'!L:L,MATCH(9.99E+307,'Price History'!$A:$A))-'Price History'!L3)*(ROW()-3)/(MATCH(9.99E+307,'Returns (Calc)'!$A:$A)-3),"")</f>
        <v>272.104465408805</v>
      </c>
      <c r="AH88" s="111" t="n">
        <f aca="false">IFERROR('Price History'!M3+(INDEX('Price History'!M:M,MATCH(9.99E+307,'Price History'!$A:$A))-'Price History'!M3)*(ROW()-3)/(MATCH(9.99E+307,'Returns (Calc)'!$A:$A)-3),"")</f>
        <v>165.564716981132</v>
      </c>
      <c r="AI88" s="111" t="n">
        <f aca="false">IFERROR('Price History'!N3+(INDEX('Price History'!N:N,MATCH(9.99E+307,'Price History'!$A:$A))-'Price History'!N3)*(ROW()-3)/(MATCH(9.99E+307,'Returns (Calc)'!$A:$A)-3),"")</f>
        <v>454.778867924528</v>
      </c>
      <c r="AJ88" s="111" t="n">
        <f aca="false">IFERROR('Price History'!O3+(INDEX('Price History'!O:O,MATCH(9.99E+307,'Price History'!$A:$A))-'Price History'!O3)*(ROW()-3)/(MATCH(9.99E+307,'Returns (Calc)'!$A:$A)-3),"")</f>
        <v>106.414779874214</v>
      </c>
      <c r="AK88" s="111" t="n">
        <f aca="false">IFERROR('Price History'!Q3+(INDEX('Price History'!Q:Q,MATCH(9.99E+307,'Price History'!$A:$A))-'Price History'!Q3)*(ROW()-3)/(MATCH(9.99E+307,'Returns (Calc)'!$A:$A)-3),"")</f>
        <v>60.4676729559749</v>
      </c>
      <c r="AL88" s="111" t="n">
        <f aca="false">IFERROR('Price History'!R3+(INDEX('Price History'!R:R,MATCH(9.99E+307,'Price History'!$A:$A))-'Price History'!R3)*(ROW()-3)/(MATCH(9.99E+307,'Returns (Calc)'!$A:$A)-3),"")</f>
        <v>54.2618238993711</v>
      </c>
      <c r="AM88" s="111" t="n">
        <f aca="false">IFERROR('Price History'!S3+(INDEX('Price History'!S:S,MATCH(9.99E+307,'Price History'!$A:$A))-'Price History'!S3)*(ROW()-3)/(MATCH(9.99E+307,'Returns (Calc)'!$A:$A)-3),"")</f>
        <v>107.284025157233</v>
      </c>
      <c r="AN88" s="111" t="n">
        <f aca="false">IFERROR('Price History'!T3+(INDEX('Price History'!T:T,MATCH(9.99E+307,'Price History'!$A:$A))-'Price History'!T3)*(ROW()-3)/(MATCH(9.99E+307,'Returns (Calc)'!$A:$A)-3),"")</f>
        <v>42.0816981132075</v>
      </c>
      <c r="AO88" s="112" t="n">
        <f aca="false">IFERROR('Price History'!V3+(INDEX('Price History'!V:V,MATCH(9.99E+307,'Price History'!$A:$A))-'Price History'!V3)*(ROW()-3)/(MATCH(9.99E+307,'Returns (Calc)'!$A:$A)-3),"")</f>
        <v>200.509119496855</v>
      </c>
    </row>
    <row r="89" customFormat="false" ht="15" hidden="false" customHeight="true" outlineLevel="0" collapsed="false">
      <c r="A89" s="108" t="n">
        <f aca="false">IF('Price History'!A90="","",'Price History'!A90)</f>
        <v>45758</v>
      </c>
      <c r="B89" s="109" t="n">
        <f aca="false">IFERROR(IF(OR(NOT(ISNUMBER('Price History'!B90)),NOT(ISNUMBER('Price History'!B89)),'Price History'!B89=0),"",'Price History'!B90/'Price History'!B89-1),"")</f>
        <v>0.00974016672873646</v>
      </c>
      <c r="C89" s="109" t="n">
        <f aca="false">IFERROR(IF(OR(NOT(ISNUMBER('Price History'!C90)),NOT(ISNUMBER('Price History'!C89)),'Price History'!C89=0),"",'Price History'!C90/'Price History'!C89-1),"")</f>
        <v>0.128942053751748</v>
      </c>
      <c r="D89" s="109" t="n">
        <f aca="false">IFERROR(IF(OR(NOT(ISNUMBER('Price History'!D90)),NOT(ISNUMBER('Price History'!D89)),'Price History'!D89=0),"",'Price History'!D90/'Price History'!D89-1),"")</f>
        <v>0.104467013458839</v>
      </c>
      <c r="E89" s="109" t="n">
        <f aca="false">IFERROR(IF(OR(NOT(ISNUMBER('Price History'!E90)),NOT(ISNUMBER('Price History'!E89)),'Price History'!E89=0),"",'Price History'!E90/'Price History'!E89-1),"")</f>
        <v>0.243694032401395</v>
      </c>
      <c r="F89" s="109" t="n">
        <f aca="false">IFERROR(IF(OR(NOT(ISNUMBER('Price History'!F90)),NOT(ISNUMBER('Price History'!F89)),'Price History'!F89=0),"",'Price History'!F90/'Price History'!F89-1),"")</f>
        <v>0.174978236537744</v>
      </c>
      <c r="G89" s="109" t="n">
        <f aca="false">IFERROR(IF(OR(NOT(ISNUMBER('Price History'!G90)),NOT(ISNUMBER('Price History'!G89)),'Price History'!G89=0),"",'Price History'!G90/'Price History'!G89-1),"")</f>
        <v>0.162532523850824</v>
      </c>
      <c r="H89" s="109" t="n">
        <f aca="false">IFERROR(IF(OR(NOT(ISNUMBER('Price History'!H90)),NOT(ISNUMBER('Price History'!H89)),'Price History'!H89=0),"",'Price History'!H90/'Price History'!H89-1),"")</f>
        <v>0.074629171817058</v>
      </c>
      <c r="I89" s="109" t="n">
        <f aca="false">IFERROR(IF(OR(NOT(ISNUMBER('Price History'!I90)),NOT(ISNUMBER('Price History'!I89)),'Price History'!I89=0),"",'Price History'!I90/'Price History'!I89-1),"")</f>
        <v>0.17622733538331</v>
      </c>
      <c r="J89" s="109" t="n">
        <f aca="false">IFERROR(IF(OR(NOT(ISNUMBER('Price History'!J90)),NOT(ISNUMBER('Price History'!J89)),'Price History'!J89=0),"",'Price History'!J90/'Price History'!J89-1),"")</f>
        <v>-0.0203603787030439</v>
      </c>
      <c r="K89" s="109" t="n">
        <f aca="false">IFERROR(IF(OR(NOT(ISNUMBER('Price History'!K90)),NOT(ISNUMBER('Price History'!K89)),'Price History'!K89=0),"",'Price History'!K90/'Price History'!K89-1),"")</f>
        <v>0.196459937846237</v>
      </c>
      <c r="L89" s="109" t="n">
        <f aca="false">IFERROR(IF(OR(NOT(ISNUMBER('Price History'!L90)),NOT(ISNUMBER('Price History'!L89)),'Price History'!L89=0),"",'Price History'!L90/'Price History'!L89-1),"")</f>
        <v>0.0700272479564033</v>
      </c>
      <c r="M89" s="109" t="n">
        <f aca="false">IFERROR(IF(OR(NOT(ISNUMBER('Price History'!M90)),NOT(ISNUMBER('Price History'!M89)),'Price History'!M89=0),"",'Price History'!M90/'Price History'!M89-1),"")</f>
        <v>0.171688267968356</v>
      </c>
      <c r="N89" s="109" t="n">
        <f aca="false">IFERROR(IF(OR(NOT(ISNUMBER('Price History'!N90)),NOT(ISNUMBER('Price History'!N89)),'Price History'!N89=0),"",'Price History'!N90/'Price History'!N89-1),"")</f>
        <v>0.0202267076819351</v>
      </c>
      <c r="O89" s="109" t="n">
        <f aca="false">IFERROR(IF(OR(NOT(ISNUMBER('Price History'!O90)),NOT(ISNUMBER('Price History'!O89)),'Price History'!O89=0),"",'Price History'!O90/'Price History'!O89-1),"")</f>
        <v>0.0125641025641026</v>
      </c>
      <c r="P89" s="109" t="str">
        <f aca="false">IFERROR(IF(OR(NOT(ISNUMBER('Price History'!P90)),NOT(ISNUMBER('Price History'!P89)),'Price History'!P89=0),"",'Price History'!P90/'Price History'!P89-1),"")</f>
        <v/>
      </c>
      <c r="Q89" s="109" t="n">
        <f aca="false">IFERROR(IF(OR(NOT(ISNUMBER('Price History'!Q90)),NOT(ISNUMBER('Price History'!Q89)),'Price History'!Q89=0),"",'Price History'!Q90/'Price History'!Q89-1),"")</f>
        <v>0.0108946847144273</v>
      </c>
      <c r="R89" s="109" t="n">
        <f aca="false">IFERROR(IF(OR(NOT(ISNUMBER('Price History'!R90)),NOT(ISNUMBER('Price History'!R89)),'Price History'!R89=0),"",'Price History'!R90/'Price History'!R89-1),"")</f>
        <v>0.0630901287553647</v>
      </c>
      <c r="S89" s="109" t="n">
        <f aca="false">IFERROR(IF(OR(NOT(ISNUMBER('Price History'!S90)),NOT(ISNUMBER('Price History'!S89)),'Price History'!S89=0),"",'Price History'!S90/'Price History'!S89-1),"")</f>
        <v>0.0911078717201166</v>
      </c>
      <c r="T89" s="109" t="n">
        <f aca="false">IFERROR(IF(OR(NOT(ISNUMBER('Price History'!T90)),NOT(ISNUMBER('Price History'!T89)),'Price History'!T89=0),"",'Price History'!T90/'Price History'!T89-1),"")</f>
        <v>0.0197092084006463</v>
      </c>
      <c r="U89" s="109" t="str">
        <f aca="false">IFERROR(IF(OR(NOT(ISNUMBER('Price History'!U90)),NOT(ISNUMBER('Price History'!U89)),'Price History'!U89=0),"",'Price History'!U90/'Price History'!U89-1),"")</f>
        <v/>
      </c>
      <c r="V89" s="110" t="n">
        <f aca="false">IFERROR(IF(OR(NOT(ISNUMBER('Price History'!V90)),NOT(ISNUMBER('Price History'!V89)),'Price History'!V89=0),"",'Price History'!V90/'Price History'!V89-1),"")</f>
        <v>0.0647307729577829</v>
      </c>
      <c r="W89" s="111" t="n">
        <f aca="false">IFERROR('Price History'!B3+(INDEX('Price History'!B:B,MATCH(9.99E+307,'Price History'!$A:$A))-'Price History'!B3)*(ROW()-3)/(MATCH(9.99E+307,'Returns (Calc)'!$A:$A)-3),"")</f>
        <v>377.589371069182</v>
      </c>
      <c r="X89" s="111" t="n">
        <f aca="false">IFERROR('Price History'!C3+(INDEX('Price History'!C:C,MATCH(9.99E+307,'Price History'!$A:$A))-'Price History'!C3)*(ROW()-3)/(MATCH(9.99E+307,'Returns (Calc)'!$A:$A)-3),"")</f>
        <v>124.893710691824</v>
      </c>
      <c r="Y89" s="111" t="n">
        <f aca="false">IFERROR('Price History'!D3+(INDEX('Price History'!D:D,MATCH(9.99E+307,'Price History'!$A:$A))-'Price History'!D3)*(ROW()-3)/(MATCH(9.99E+307,'Returns (Calc)'!$A:$A)-3),"")</f>
        <v>1231.38125786164</v>
      </c>
      <c r="Z89" s="111" t="n">
        <f aca="false">IFERROR('Price History'!E3+(INDEX('Price History'!E:E,MATCH(9.99E+307,'Price History'!$A:$A))-'Price History'!E3)*(ROW()-3)/(MATCH(9.99E+307,'Returns (Calc)'!$A:$A)-3),"")</f>
        <v>231.678867924528</v>
      </c>
      <c r="AA89" s="111" t="n">
        <f aca="false">IFERROR('Price History'!F3+(INDEX('Price History'!F:F,MATCH(9.99E+307,'Price History'!$A:$A))-'Price History'!F3)*(ROW()-3)/(MATCH(9.99E+307,'Returns (Calc)'!$A:$A)-3),"")</f>
        <v>132.276603773585</v>
      </c>
      <c r="AB89" s="111" t="n">
        <f aca="false">IFERROR('Price History'!G3+(INDEX('Price History'!G:G,MATCH(9.99E+307,'Price History'!$A:$A))-'Price History'!G3)*(ROW()-3)/(MATCH(9.99E+307,'Returns (Calc)'!$A:$A)-3),"")</f>
        <v>122.379245283019</v>
      </c>
      <c r="AC89" s="111" t="n">
        <f aca="false">IFERROR('Price History'!H3+(INDEX('Price History'!H:H,MATCH(9.99E+307,'Price History'!$A:$A))-'Price History'!H3)*(ROW()-3)/(MATCH(9.99E+307,'Returns (Calc)'!$A:$A)-3),"")</f>
        <v>579.407232704403</v>
      </c>
      <c r="AD89" s="111" t="n">
        <f aca="false">IFERROR('Price History'!I3+(INDEX('Price History'!I:I,MATCH(9.99E+307,'Price History'!$A:$A))-'Price History'!I3)*(ROW()-3)/(MATCH(9.99E+307,'Returns (Calc)'!$A:$A)-3),"")</f>
        <v>143.352264150943</v>
      </c>
      <c r="AE89" s="111" t="n">
        <f aca="false">IFERROR('Price History'!J3+(INDEX('Price History'!J:J,MATCH(9.99E+307,'Price History'!$A:$A))-'Price History'!J3)*(ROW()-3)/(MATCH(9.99E+307,'Returns (Calc)'!$A:$A)-3),"")</f>
        <v>130.990377358491</v>
      </c>
      <c r="AF89" s="111" t="n">
        <f aca="false">IFERROR('Price History'!K3+(INDEX('Price History'!K:K,MATCH(9.99E+307,'Price History'!$A:$A))-'Price History'!K3)*(ROW()-3)/(MATCH(9.99E+307,'Returns (Calc)'!$A:$A)-3),"")</f>
        <v>101.366729559748</v>
      </c>
      <c r="AG89" s="111" t="n">
        <f aca="false">IFERROR('Price History'!L3+(INDEX('Price History'!L:L,MATCH(9.99E+307,'Price History'!$A:$A))-'Price History'!L3)*(ROW()-3)/(MATCH(9.99E+307,'Returns (Calc)'!$A:$A)-3),"")</f>
        <v>274.223459119497</v>
      </c>
      <c r="AH89" s="111" t="n">
        <f aca="false">IFERROR('Price History'!M3+(INDEX('Price History'!M:M,MATCH(9.99E+307,'Price History'!$A:$A))-'Price History'!M3)*(ROW()-3)/(MATCH(9.99E+307,'Returns (Calc)'!$A:$A)-3),"")</f>
        <v>167.118301886792</v>
      </c>
      <c r="AI89" s="111" t="n">
        <f aca="false">IFERROR('Price History'!N3+(INDEX('Price History'!N:N,MATCH(9.99E+307,'Price History'!$A:$A))-'Price History'!N3)*(ROW()-3)/(MATCH(9.99E+307,'Returns (Calc)'!$A:$A)-3),"")</f>
        <v>456.01320754717</v>
      </c>
      <c r="AJ89" s="111" t="n">
        <f aca="false">IFERROR('Price History'!O3+(INDEX('Price History'!O:O,MATCH(9.99E+307,'Price History'!$A:$A))-'Price History'!O3)*(ROW()-3)/(MATCH(9.99E+307,'Returns (Calc)'!$A:$A)-3),"")</f>
        <v>106.692012578616</v>
      </c>
      <c r="AK89" s="111" t="n">
        <f aca="false">IFERROR('Price History'!Q3+(INDEX('Price History'!Q:Q,MATCH(9.99E+307,'Price History'!$A:$A))-'Price History'!Q3)*(ROW()-3)/(MATCH(9.99E+307,'Returns (Calc)'!$A:$A)-3),"")</f>
        <v>60.5927044025157</v>
      </c>
      <c r="AL89" s="111" t="n">
        <f aca="false">IFERROR('Price History'!R3+(INDEX('Price History'!R:R,MATCH(9.99E+307,'Price History'!$A:$A))-'Price History'!R3)*(ROW()-3)/(MATCH(9.99E+307,'Returns (Calc)'!$A:$A)-3),"")</f>
        <v>54.3376100628931</v>
      </c>
      <c r="AM89" s="111" t="n">
        <f aca="false">IFERROR('Price History'!S3+(INDEX('Price History'!S:S,MATCH(9.99E+307,'Price History'!$A:$A))-'Price History'!S3)*(ROW()-3)/(MATCH(9.99E+307,'Returns (Calc)'!$A:$A)-3),"")</f>
        <v>107.85748427673</v>
      </c>
      <c r="AN89" s="111" t="n">
        <f aca="false">IFERROR('Price History'!T3+(INDEX('Price History'!T:T,MATCH(9.99E+307,'Price History'!$A:$A))-'Price History'!T3)*(ROW()-3)/(MATCH(9.99E+307,'Returns (Calc)'!$A:$A)-3),"")</f>
        <v>42.2601886792453</v>
      </c>
      <c r="AO89" s="112" t="n">
        <f aca="false">IFERROR('Price History'!V3+(INDEX('Price History'!V:V,MATCH(9.99E+307,'Price History'!$A:$A))-'Price History'!V3)*(ROW()-3)/(MATCH(9.99E+307,'Returns (Calc)'!$A:$A)-3),"")</f>
        <v>202.868050314465</v>
      </c>
    </row>
    <row r="90" customFormat="false" ht="15" hidden="false" customHeight="true" outlineLevel="0" collapsed="false">
      <c r="A90" s="108" t="n">
        <f aca="false">IF('Price History'!A91="","",'Price History'!A91)</f>
        <v>45764</v>
      </c>
      <c r="B90" s="109" t="n">
        <f aca="false">IFERROR(IF(OR(NOT(ISNUMBER('Price History'!B91)),NOT(ISNUMBER('Price History'!B90)),'Price History'!B90=0),"",'Price History'!B91/'Price History'!B90-1),"")</f>
        <v>-0.0104122336652765</v>
      </c>
      <c r="C90" s="109" t="n">
        <f aca="false">IFERROR(IF(OR(NOT(ISNUMBER('Price History'!C91)),NOT(ISNUMBER('Price History'!C90)),'Price History'!C90=0),"",'Price History'!C91/'Price History'!C90-1),"")</f>
        <v>-0.0202284298885372</v>
      </c>
      <c r="D90" s="109" t="n">
        <f aca="false">IFERROR(IF(OR(NOT(ISNUMBER('Price History'!D91)),NOT(ISNUMBER('Price History'!D90)),'Price History'!D90=0),"",'Price History'!D91/'Price History'!D90-1),"")</f>
        <v>-0.0428372781507453</v>
      </c>
      <c r="E90" s="109" t="n">
        <f aca="false">IFERROR(IF(OR(NOT(ISNUMBER('Price History'!E91)),NOT(ISNUMBER('Price History'!E90)),'Price History'!E90=0),"",'Price History'!E91/'Price History'!E90-1),"")</f>
        <v>-0.0601846762669012</v>
      </c>
      <c r="F90" s="109" t="n">
        <f aca="false">IFERROR(IF(OR(NOT(ISNUMBER('Price History'!F91)),NOT(ISNUMBER('Price History'!F90)),'Price History'!F90=0),"",'Price History'!F91/'Price History'!F90-1),"")</f>
        <v>-0.00603302286198149</v>
      </c>
      <c r="G90" s="109" t="n">
        <f aca="false">IFERROR(IF(OR(NOT(ISNUMBER('Price History'!G91)),NOT(ISNUMBER('Price History'!G90)),'Price History'!G90=0),"",'Price History'!G91/'Price History'!G90-1),"")</f>
        <v>-0.0534168904804536</v>
      </c>
      <c r="H90" s="109" t="n">
        <f aca="false">IFERROR(IF(OR(NOT(ISNUMBER('Price History'!H91)),NOT(ISNUMBER('Price History'!H90)),'Price History'!H90=0),"",'Price History'!H91/'Price History'!H90-1),"")</f>
        <v>-0.0107836089144501</v>
      </c>
      <c r="I90" s="109" t="n">
        <f aca="false">IFERROR(IF(OR(NOT(ISNUMBER('Price History'!I91)),NOT(ISNUMBER('Price History'!I90)),'Price History'!I90=0),"",'Price History'!I91/'Price History'!I90-1),"")</f>
        <v>-0.0850987108987651</v>
      </c>
      <c r="J90" s="109" t="n">
        <f aca="false">IFERROR(IF(OR(NOT(ISNUMBER('Price History'!J91)),NOT(ISNUMBER('Price History'!J90)),'Price History'!J90=0),"",'Price History'!J91/'Price History'!J90-1),"")</f>
        <v>0.0609996882469084</v>
      </c>
      <c r="K90" s="109" t="n">
        <f aca="false">IFERROR(IF(OR(NOT(ISNUMBER('Price History'!K91)),NOT(ISNUMBER('Price History'!K90)),'Price History'!K90=0),"",'Price History'!K91/'Price History'!K90-1),"")</f>
        <v>0.0590626764539808</v>
      </c>
      <c r="L90" s="109" t="n">
        <f aca="false">IFERROR(IF(OR(NOT(ISNUMBER('Price History'!L91)),NOT(ISNUMBER('Price History'!L90)),'Price History'!L90=0),"",'Price History'!L91/'Price History'!L90-1),"")</f>
        <v>-0.0339954163483576</v>
      </c>
      <c r="M90" s="109" t="n">
        <f aca="false">IFERROR(IF(OR(NOT(ISNUMBER('Price History'!M91)),NOT(ISNUMBER('Price History'!M90)),'Price History'!M90=0),"",'Price History'!M91/'Price History'!M90-1),"")</f>
        <v>0.0517167073696307</v>
      </c>
      <c r="N90" s="109" t="n">
        <f aca="false">IFERROR(IF(OR(NOT(ISNUMBER('Price History'!N91)),NOT(ISNUMBER('Price History'!N90)),'Price History'!N90=0),"",'Price History'!N91/'Price History'!N90-1),"")</f>
        <v>0.0100780636900581</v>
      </c>
      <c r="O90" s="109" t="n">
        <f aca="false">IFERROR(IF(OR(NOT(ISNUMBER('Price History'!O91)),NOT(ISNUMBER('Price History'!O90)),'Price History'!O90=0),"",'Price History'!O91/'Price History'!O90-1),"")</f>
        <v>0.0186123069131425</v>
      </c>
      <c r="P90" s="109" t="str">
        <f aca="false">IFERROR(IF(OR(NOT(ISNUMBER('Price History'!P91)),NOT(ISNUMBER('Price History'!P90)),'Price History'!P90=0),"",'Price History'!P91/'Price History'!P90-1),"")</f>
        <v/>
      </c>
      <c r="Q90" s="109" t="n">
        <f aca="false">IFERROR(IF(OR(NOT(ISNUMBER('Price History'!Q91)),NOT(ISNUMBER('Price History'!Q90)),'Price History'!Q90=0),"",'Price History'!Q91/'Price History'!Q90-1),"")</f>
        <v>0.00963422599608088</v>
      </c>
      <c r="R90" s="109" t="n">
        <f aca="false">IFERROR(IF(OR(NOT(ISNUMBER('Price History'!R91)),NOT(ISNUMBER('Price History'!R90)),'Price History'!R90=0),"",'Price History'!R91/'Price History'!R90-1),"")</f>
        <v>-0.0161485668146951</v>
      </c>
      <c r="S90" s="109" t="n">
        <f aca="false">IFERROR(IF(OR(NOT(ISNUMBER('Price History'!S91)),NOT(ISNUMBER('Price History'!S90)),'Price History'!S90=0),"",'Price History'!S91/'Price History'!S90-1),"")</f>
        <v>-0.0173680694722778</v>
      </c>
      <c r="T90" s="109" t="n">
        <f aca="false">IFERROR(IF(OR(NOT(ISNUMBER('Price History'!T91)),NOT(ISNUMBER('Price History'!T90)),'Price History'!T90=0),"",'Price History'!T91/'Price History'!T90-1),"")</f>
        <v>0.00697084917617241</v>
      </c>
      <c r="U90" s="109" t="str">
        <f aca="false">IFERROR(IF(OR(NOT(ISNUMBER('Price History'!U91)),NOT(ISNUMBER('Price History'!U90)),'Price History'!U90=0),"",'Price History'!U91/'Price History'!U90-1),"")</f>
        <v/>
      </c>
      <c r="V90" s="110" t="str">
        <f aca="false">IFERROR(IF(OR(NOT(ISNUMBER('Price History'!V91)),NOT(ISNUMBER('Price History'!V90)),'Price History'!V90=0),"",'Price History'!V91/'Price History'!V90-1),"")</f>
        <v/>
      </c>
      <c r="W90" s="111" t="n">
        <f aca="false">IFERROR('Price History'!B3+(INDEX('Price History'!B:B,MATCH(9.99E+307,'Price History'!$A:$A))-'Price History'!B3)*(ROW()-3)/(MATCH(9.99E+307,'Returns (Calc)'!$A:$A)-3),"")</f>
        <v>376.067735849057</v>
      </c>
      <c r="X90" s="111" t="n">
        <f aca="false">IFERROR('Price History'!C3+(INDEX('Price History'!C:C,MATCH(9.99E+307,'Price History'!$A:$A))-'Price History'!C3)*(ROW()-3)/(MATCH(9.99E+307,'Returns (Calc)'!$A:$A)-3),"")</f>
        <v>125.837358490566</v>
      </c>
      <c r="Y90" s="111" t="n">
        <f aca="false">IFERROR('Price History'!D3+(INDEX('Price History'!D:D,MATCH(9.99E+307,'Price History'!$A:$A))-'Price History'!D3)*(ROW()-3)/(MATCH(9.99E+307,'Returns (Calc)'!$A:$A)-3),"")</f>
        <v>1238.00452830189</v>
      </c>
      <c r="Z90" s="111" t="n">
        <f aca="false">IFERROR('Price History'!E3+(INDEX('Price History'!E:E,MATCH(9.99E+307,'Price History'!$A:$A))-'Price History'!E3)*(ROW()-3)/(MATCH(9.99E+307,'Returns (Calc)'!$A:$A)-3),"")</f>
        <v>233.407924528302</v>
      </c>
      <c r="AA90" s="111" t="n">
        <f aca="false">IFERROR('Price History'!F3+(INDEX('Price History'!F:F,MATCH(9.99E+307,'Price History'!$A:$A))-'Price History'!F3)*(ROW()-3)/(MATCH(9.99E+307,'Returns (Calc)'!$A:$A)-3),"")</f>
        <v>133.383773584906</v>
      </c>
      <c r="AB90" s="111" t="n">
        <f aca="false">IFERROR('Price History'!G3+(INDEX('Price History'!G:G,MATCH(9.99E+307,'Price History'!$A:$A))-'Price History'!G3)*(ROW()-3)/(MATCH(9.99E+307,'Returns (Calc)'!$A:$A)-3),"")</f>
        <v>123.245283018868</v>
      </c>
      <c r="AC90" s="111" t="n">
        <f aca="false">IFERROR('Price History'!H3+(INDEX('Price History'!H:H,MATCH(9.99E+307,'Price History'!$A:$A))-'Price History'!H3)*(ROW()-3)/(MATCH(9.99E+307,'Returns (Calc)'!$A:$A)-3),"")</f>
        <v>585.396037735849</v>
      </c>
      <c r="AD90" s="111" t="n">
        <f aca="false">IFERROR('Price History'!I3+(INDEX('Price History'!I:I,MATCH(9.99E+307,'Price History'!$A:$A))-'Price History'!I3)*(ROW()-3)/(MATCH(9.99E+307,'Returns (Calc)'!$A:$A)-3),"")</f>
        <v>144.544150943396</v>
      </c>
      <c r="AE90" s="111" t="n">
        <f aca="false">IFERROR('Price History'!J3+(INDEX('Price History'!J:J,MATCH(9.99E+307,'Price History'!$A:$A))-'Price History'!J3)*(ROW()-3)/(MATCH(9.99E+307,'Returns (Calc)'!$A:$A)-3),"")</f>
        <v>131.077358490566</v>
      </c>
      <c r="AF90" s="111" t="n">
        <f aca="false">IFERROR('Price History'!K3+(INDEX('Price History'!K:K,MATCH(9.99E+307,'Price History'!$A:$A))-'Price History'!K3)*(ROW()-3)/(MATCH(9.99E+307,'Returns (Calc)'!$A:$A)-3),"")</f>
        <v>102.366226415094</v>
      </c>
      <c r="AG90" s="111" t="n">
        <f aca="false">IFERROR('Price History'!L3+(INDEX('Price History'!L:L,MATCH(9.99E+307,'Price History'!$A:$A))-'Price History'!L3)*(ROW()-3)/(MATCH(9.99E+307,'Returns (Calc)'!$A:$A)-3),"")</f>
        <v>276.342452830189</v>
      </c>
      <c r="AH90" s="111" t="n">
        <f aca="false">IFERROR('Price History'!M3+(INDEX('Price History'!M:M,MATCH(9.99E+307,'Price History'!$A:$A))-'Price History'!M3)*(ROW()-3)/(MATCH(9.99E+307,'Returns (Calc)'!$A:$A)-3),"")</f>
        <v>168.671886792453</v>
      </c>
      <c r="AI90" s="111" t="n">
        <f aca="false">IFERROR('Price History'!N3+(INDEX('Price History'!N:N,MATCH(9.99E+307,'Price History'!$A:$A))-'Price History'!N3)*(ROW()-3)/(MATCH(9.99E+307,'Returns (Calc)'!$A:$A)-3),"")</f>
        <v>457.247547169811</v>
      </c>
      <c r="AJ90" s="111" t="n">
        <f aca="false">IFERROR('Price History'!O3+(INDEX('Price History'!O:O,MATCH(9.99E+307,'Price History'!$A:$A))-'Price History'!O3)*(ROW()-3)/(MATCH(9.99E+307,'Returns (Calc)'!$A:$A)-3),"")</f>
        <v>106.969245283019</v>
      </c>
      <c r="AK90" s="111" t="n">
        <f aca="false">IFERROR('Price History'!Q3+(INDEX('Price History'!Q:Q,MATCH(9.99E+307,'Price History'!$A:$A))-'Price History'!Q3)*(ROW()-3)/(MATCH(9.99E+307,'Returns (Calc)'!$A:$A)-3),"")</f>
        <v>60.7177358490566</v>
      </c>
      <c r="AL90" s="111" t="n">
        <f aca="false">IFERROR('Price History'!R3+(INDEX('Price History'!R:R,MATCH(9.99E+307,'Price History'!$A:$A))-'Price History'!R3)*(ROW()-3)/(MATCH(9.99E+307,'Returns (Calc)'!$A:$A)-3),"")</f>
        <v>54.4133962264151</v>
      </c>
      <c r="AM90" s="111" t="n">
        <f aca="false">IFERROR('Price History'!S3+(INDEX('Price History'!S:S,MATCH(9.99E+307,'Price History'!$A:$A))-'Price History'!S3)*(ROW()-3)/(MATCH(9.99E+307,'Returns (Calc)'!$A:$A)-3),"")</f>
        <v>108.430943396226</v>
      </c>
      <c r="AN90" s="111" t="n">
        <f aca="false">IFERROR('Price History'!T3+(INDEX('Price History'!T:T,MATCH(9.99E+307,'Price History'!$A:$A))-'Price History'!T3)*(ROW()-3)/(MATCH(9.99E+307,'Returns (Calc)'!$A:$A)-3),"")</f>
        <v>42.438679245283</v>
      </c>
      <c r="AO90" s="112" t="n">
        <f aca="false">IFERROR('Price History'!V3+(INDEX('Price History'!V:V,MATCH(9.99E+307,'Price History'!$A:$A))-'Price History'!V3)*(ROW()-3)/(MATCH(9.99E+307,'Returns (Calc)'!$A:$A)-3),"")</f>
        <v>205.226981132075</v>
      </c>
    </row>
    <row r="91" customFormat="false" ht="15" hidden="false" customHeight="true" outlineLevel="0" collapsed="false">
      <c r="A91" s="108" t="n">
        <f aca="false">IF('Price History'!A92="","",'Price History'!A92)</f>
        <v>45772</v>
      </c>
      <c r="B91" s="109" t="n">
        <f aca="false">IFERROR(IF(OR(NOT(ISNUMBER('Price History'!B92)),NOT(ISNUMBER('Price History'!B91)),'Price History'!B91=0),"",'Price History'!B92/'Price History'!B91-1),"")</f>
        <v>0.0542431192660551</v>
      </c>
      <c r="C91" s="109" t="n">
        <f aca="false">IFERROR(IF(OR(NOT(ISNUMBER('Price History'!C92)),NOT(ISNUMBER('Price History'!C91)),'Price History'!C91=0),"",'Price History'!C92/'Price History'!C91-1),"")</f>
        <v>0.0942415730337078</v>
      </c>
      <c r="D91" s="109" t="n">
        <f aca="false">IFERROR(IF(OR(NOT(ISNUMBER('Price History'!D92)),NOT(ISNUMBER('Price History'!D91)),'Price History'!D91=0),"",'Price History'!D92/'Price History'!D91-1),"")</f>
        <v>0.0579698825293677</v>
      </c>
      <c r="E91" s="109" t="n">
        <f aca="false">IFERROR(IF(OR(NOT(ISNUMBER('Price History'!E92)),NOT(ISNUMBER('Price History'!E91)),'Price History'!E91=0),"",'Price History'!E92/'Price History'!E91-1),"")</f>
        <v>0.12468565413182</v>
      </c>
      <c r="F91" s="109" t="n">
        <f aca="false">IFERROR(IF(OR(NOT(ISNUMBER('Price History'!F92)),NOT(ISNUMBER('Price History'!F91)),'Price History'!F91=0),"",'Price History'!F92/'Price History'!F91-1),"")</f>
        <v>0.131082951762326</v>
      </c>
      <c r="G91" s="109" t="n">
        <f aca="false">IFERROR(IF(OR(NOT(ISNUMBER('Price History'!G92)),NOT(ISNUMBER('Price History'!G91)),'Price History'!G91=0),"",'Price History'!G92/'Price History'!G91-1),"")</f>
        <v>0.0948928121059267</v>
      </c>
      <c r="H91" s="109" t="n">
        <f aca="false">IFERROR(IF(OR(NOT(ISNUMBER('Price History'!H92)),NOT(ISNUMBER('Price History'!H91)),'Price History'!H91=0),"",'Price History'!H92/'Price History'!H91-1),"")</f>
        <v>0.159593023255814</v>
      </c>
      <c r="I91" s="109" t="n">
        <f aca="false">IFERROR(IF(OR(NOT(ISNUMBER('Price History'!I92)),NOT(ISNUMBER('Price History'!I91)),'Price History'!I91=0),"",'Price History'!I92/'Price History'!I91-1),"")</f>
        <v>0.0938023450586265</v>
      </c>
      <c r="J91" s="109" t="n">
        <f aca="false">IFERROR(IF(OR(NOT(ISNUMBER('Price History'!J92)),NOT(ISNUMBER('Price History'!J91)),'Price History'!J91=0),"",'Price History'!J92/'Price History'!J91-1),"")</f>
        <v>0.00137120470127328</v>
      </c>
      <c r="K91" s="109" t="n">
        <f aca="false">IFERROR(IF(OR(NOT(ISNUMBER('Price History'!K92)),NOT(ISNUMBER('Price History'!K91)),'Price History'!K91=0),"",'Price History'!K92/'Price History'!K91-1),"")</f>
        <v>0.202601834079761</v>
      </c>
      <c r="L91" s="109" t="n">
        <f aca="false">IFERROR(IF(OR(NOT(ISNUMBER('Price History'!L92)),NOT(ISNUMBER('Price History'!L91)),'Price History'!L91=0),"",'Price History'!L92/'Price History'!L91-1),"")</f>
        <v>0.0880453407143798</v>
      </c>
      <c r="M91" s="109" t="n">
        <f aca="false">IFERROR(IF(OR(NOT(ISNUMBER('Price History'!M92)),NOT(ISNUMBER('Price History'!M91)),'Price History'!M91=0),"",'Price History'!M92/'Price History'!M91-1),"")</f>
        <v>0.187679278787051</v>
      </c>
      <c r="N91" s="109" t="n">
        <f aca="false">IFERROR(IF(OR(NOT(ISNUMBER('Price History'!N92)),NOT(ISNUMBER('Price History'!N91)),'Price History'!N91=0),"",'Price History'!N92/'Price History'!N91-1),"")</f>
        <v>0.00969126967900214</v>
      </c>
      <c r="O91" s="109" t="n">
        <f aca="false">IFERROR(IF(OR(NOT(ISNUMBER('Price History'!O92)),NOT(ISNUMBER('Price History'!O91)),'Price History'!O91=0),"",'Price History'!O92/'Price History'!O91-1),"")</f>
        <v>0.0280919825978867</v>
      </c>
      <c r="P91" s="109" t="str">
        <f aca="false">IFERROR(IF(OR(NOT(ISNUMBER('Price History'!P92)),NOT(ISNUMBER('Price History'!P91)),'Price History'!P91=0),"",'Price History'!P92/'Price History'!P91-1),"")</f>
        <v/>
      </c>
      <c r="Q91" s="109" t="n">
        <f aca="false">IFERROR(IF(OR(NOT(ISNUMBER('Price History'!Q92)),NOT(ISNUMBER('Price History'!Q91)),'Price History'!Q91=0),"",'Price History'!Q92/'Price History'!Q91-1),"")</f>
        <v>-0.00016173378618789</v>
      </c>
      <c r="R91" s="109" t="n">
        <f aca="false">IFERROR(IF(OR(NOT(ISNUMBER('Price History'!R92)),NOT(ISNUMBER('Price History'!R91)),'Price History'!R91=0),"",'Price History'!R92/'Price History'!R91-1),"")</f>
        <v>0.0482150184653263</v>
      </c>
      <c r="S91" s="109" t="n">
        <f aca="false">IFERROR(IF(OR(NOT(ISNUMBER('Price History'!S92)),NOT(ISNUMBER('Price History'!S91)),'Price History'!S91=0),"",'Price History'!S92/'Price History'!S91-1),"")</f>
        <v>0.0652617267165192</v>
      </c>
      <c r="T91" s="109" t="n">
        <f aca="false">IFERROR(IF(OR(NOT(ISNUMBER('Price History'!T92)),NOT(ISNUMBER('Price History'!T91)),'Price History'!T91=0),"",'Price History'!T92/'Price History'!T91-1),"")</f>
        <v>0.0330396475770924</v>
      </c>
      <c r="U91" s="109" t="str">
        <f aca="false">IFERROR(IF(OR(NOT(ISNUMBER('Price History'!U92)),NOT(ISNUMBER('Price History'!U91)),'Price History'!U91=0),"",'Price History'!U92/'Price History'!U91-1),"")</f>
        <v/>
      </c>
      <c r="V91" s="110" t="str">
        <f aca="false">IFERROR(IF(OR(NOT(ISNUMBER('Price History'!V92)),NOT(ISNUMBER('Price History'!V91)),'Price History'!V91=0),"",'Price History'!V92/'Price History'!V91-1),"")</f>
        <v/>
      </c>
      <c r="W91" s="111" t="n">
        <f aca="false">IFERROR('Price History'!B3+(INDEX('Price History'!B:B,MATCH(9.99E+307,'Price History'!$A:$A))-'Price History'!B3)*(ROW()-3)/(MATCH(9.99E+307,'Returns (Calc)'!$A:$A)-3),"")</f>
        <v>374.546100628931</v>
      </c>
      <c r="X91" s="111" t="n">
        <f aca="false">IFERROR('Price History'!C3+(INDEX('Price History'!C:C,MATCH(9.99E+307,'Price History'!$A:$A))-'Price History'!C3)*(ROW()-3)/(MATCH(9.99E+307,'Returns (Calc)'!$A:$A)-3),"")</f>
        <v>126.781006289308</v>
      </c>
      <c r="Y91" s="111" t="n">
        <f aca="false">IFERROR('Price History'!D3+(INDEX('Price History'!D:D,MATCH(9.99E+307,'Price History'!$A:$A))-'Price History'!D3)*(ROW()-3)/(MATCH(9.99E+307,'Returns (Calc)'!$A:$A)-3),"")</f>
        <v>1244.62779874214</v>
      </c>
      <c r="Z91" s="111" t="n">
        <f aca="false">IFERROR('Price History'!E3+(INDEX('Price History'!E:E,MATCH(9.99E+307,'Price History'!$A:$A))-'Price History'!E3)*(ROW()-3)/(MATCH(9.99E+307,'Returns (Calc)'!$A:$A)-3),"")</f>
        <v>235.136981132075</v>
      </c>
      <c r="AA91" s="111" t="n">
        <f aca="false">IFERROR('Price History'!F3+(INDEX('Price History'!F:F,MATCH(9.99E+307,'Price History'!$A:$A))-'Price History'!F3)*(ROW()-3)/(MATCH(9.99E+307,'Returns (Calc)'!$A:$A)-3),"")</f>
        <v>134.490943396226</v>
      </c>
      <c r="AB91" s="111" t="n">
        <f aca="false">IFERROR('Price History'!G3+(INDEX('Price History'!G:G,MATCH(9.99E+307,'Price History'!$A:$A))-'Price History'!G3)*(ROW()-3)/(MATCH(9.99E+307,'Returns (Calc)'!$A:$A)-3),"")</f>
        <v>124.111320754717</v>
      </c>
      <c r="AC91" s="111" t="n">
        <f aca="false">IFERROR('Price History'!H3+(INDEX('Price History'!H:H,MATCH(9.99E+307,'Price History'!$A:$A))-'Price History'!H3)*(ROW()-3)/(MATCH(9.99E+307,'Returns (Calc)'!$A:$A)-3),"")</f>
        <v>591.384842767296</v>
      </c>
      <c r="AD91" s="111" t="n">
        <f aca="false">IFERROR('Price History'!I3+(INDEX('Price History'!I:I,MATCH(9.99E+307,'Price History'!$A:$A))-'Price History'!I3)*(ROW()-3)/(MATCH(9.99E+307,'Returns (Calc)'!$A:$A)-3),"")</f>
        <v>145.736037735849</v>
      </c>
      <c r="AE91" s="111" t="n">
        <f aca="false">IFERROR('Price History'!J3+(INDEX('Price History'!J:J,MATCH(9.99E+307,'Price History'!$A:$A))-'Price History'!J3)*(ROW()-3)/(MATCH(9.99E+307,'Returns (Calc)'!$A:$A)-3),"")</f>
        <v>131.164339622642</v>
      </c>
      <c r="AF91" s="111" t="n">
        <f aca="false">IFERROR('Price History'!K3+(INDEX('Price History'!K:K,MATCH(9.99E+307,'Price History'!$A:$A))-'Price History'!K3)*(ROW()-3)/(MATCH(9.99E+307,'Returns (Calc)'!$A:$A)-3),"")</f>
        <v>103.36572327044</v>
      </c>
      <c r="AG91" s="111" t="n">
        <f aca="false">IFERROR('Price History'!L3+(INDEX('Price History'!L:L,MATCH(9.99E+307,'Price History'!$A:$A))-'Price History'!L3)*(ROW()-3)/(MATCH(9.99E+307,'Returns (Calc)'!$A:$A)-3),"")</f>
        <v>278.461446540881</v>
      </c>
      <c r="AH91" s="111" t="n">
        <f aca="false">IFERROR('Price History'!M3+(INDEX('Price History'!M:M,MATCH(9.99E+307,'Price History'!$A:$A))-'Price History'!M3)*(ROW()-3)/(MATCH(9.99E+307,'Returns (Calc)'!$A:$A)-3),"")</f>
        <v>170.225471698113</v>
      </c>
      <c r="AI91" s="111" t="n">
        <f aca="false">IFERROR('Price History'!N3+(INDEX('Price History'!N:N,MATCH(9.99E+307,'Price History'!$A:$A))-'Price History'!N3)*(ROW()-3)/(MATCH(9.99E+307,'Returns (Calc)'!$A:$A)-3),"")</f>
        <v>458.481886792453</v>
      </c>
      <c r="AJ91" s="111" t="n">
        <f aca="false">IFERROR('Price History'!O3+(INDEX('Price History'!O:O,MATCH(9.99E+307,'Price History'!$A:$A))-'Price History'!O3)*(ROW()-3)/(MATCH(9.99E+307,'Returns (Calc)'!$A:$A)-3),"")</f>
        <v>107.246477987421</v>
      </c>
      <c r="AK91" s="111" t="n">
        <f aca="false">IFERROR('Price History'!Q3+(INDEX('Price History'!Q:Q,MATCH(9.99E+307,'Price History'!$A:$A))-'Price History'!Q3)*(ROW()-3)/(MATCH(9.99E+307,'Returns (Calc)'!$A:$A)-3),"")</f>
        <v>60.8427672955975</v>
      </c>
      <c r="AL91" s="111" t="n">
        <f aca="false">IFERROR('Price History'!R3+(INDEX('Price History'!R:R,MATCH(9.99E+307,'Price History'!$A:$A))-'Price History'!R3)*(ROW()-3)/(MATCH(9.99E+307,'Returns (Calc)'!$A:$A)-3),"")</f>
        <v>54.4891823899371</v>
      </c>
      <c r="AM91" s="111" t="n">
        <f aca="false">IFERROR('Price History'!S3+(INDEX('Price History'!S:S,MATCH(9.99E+307,'Price History'!$A:$A))-'Price History'!S3)*(ROW()-3)/(MATCH(9.99E+307,'Returns (Calc)'!$A:$A)-3),"")</f>
        <v>109.004402515723</v>
      </c>
      <c r="AN91" s="111" t="n">
        <f aca="false">IFERROR('Price History'!T3+(INDEX('Price History'!T:T,MATCH(9.99E+307,'Price History'!$A:$A))-'Price History'!T3)*(ROW()-3)/(MATCH(9.99E+307,'Returns (Calc)'!$A:$A)-3),"")</f>
        <v>42.6171698113208</v>
      </c>
      <c r="AO91" s="112" t="n">
        <f aca="false">IFERROR('Price History'!V3+(INDEX('Price History'!V:V,MATCH(9.99E+307,'Price History'!$A:$A))-'Price History'!V3)*(ROW()-3)/(MATCH(9.99E+307,'Returns (Calc)'!$A:$A)-3),"")</f>
        <v>207.585911949686</v>
      </c>
    </row>
    <row r="92" customFormat="false" ht="15" hidden="false" customHeight="true" outlineLevel="0" collapsed="false">
      <c r="A92" s="108" t="n">
        <f aca="false">IF('Price History'!A93="","",'Price History'!A93)</f>
        <v>45779</v>
      </c>
      <c r="B92" s="109" t="n">
        <f aca="false">IFERROR(IF(OR(NOT(ISNUMBER('Price History'!B93)),NOT(ISNUMBER('Price History'!B92)),'Price History'!B92=0),"",'Price History'!B93/'Price History'!B92-1),"")</f>
        <v>0.0357609050364407</v>
      </c>
      <c r="C92" s="109" t="n">
        <f aca="false">IFERROR(IF(OR(NOT(ISNUMBER('Price History'!C93)),NOT(ISNUMBER('Price History'!C92)),'Price History'!C92=0),"",'Price History'!C93/'Price History'!C92-1),"")</f>
        <v>0.168271082017713</v>
      </c>
      <c r="D92" s="109" t="n">
        <f aca="false">IFERROR(IF(OR(NOT(ISNUMBER('Price History'!D93)),NOT(ISNUMBER('Price History'!D92)),'Price History'!D92=0),"",'Price History'!D93/'Price History'!D92-1),"")</f>
        <v>0.019283299127379</v>
      </c>
      <c r="E92" s="109" t="n">
        <f aca="false">IFERROR(IF(OR(NOT(ISNUMBER('Price History'!E93)),NOT(ISNUMBER('Price History'!E92)),'Price History'!E92=0),"",'Price History'!E93/'Price History'!E92-1),"")</f>
        <v>0.0589152930164838</v>
      </c>
      <c r="F92" s="109" t="n">
        <f aca="false">IFERROR(IF(OR(NOT(ISNUMBER('Price History'!F93)),NOT(ISNUMBER('Price History'!F92)),'Price History'!F92=0),"",'Price History'!F93/'Price History'!F92-1),"")</f>
        <v>0.0369986819807946</v>
      </c>
      <c r="G92" s="109" t="n">
        <f aca="false">IFERROR(IF(OR(NOT(ISNUMBER('Price History'!G93)),NOT(ISNUMBER('Price History'!G92)),'Price History'!G92=0),"",'Price History'!G93/'Price History'!G92-1),"")</f>
        <v>0.00518283904405403</v>
      </c>
      <c r="H92" s="109" t="n">
        <f aca="false">IFERROR(IF(OR(NOT(ISNUMBER('Price History'!H93)),NOT(ISNUMBER('Price History'!H92)),'Price History'!H92=0),"",'Price History'!H93/'Price History'!H92-1),"")</f>
        <v>0.0117824016044121</v>
      </c>
      <c r="I92" s="109" t="n">
        <f aca="false">IFERROR(IF(OR(NOT(ISNUMBER('Price History'!I93)),NOT(ISNUMBER('Price History'!I92)),'Price History'!I92=0),"",'Price History'!I93/'Price History'!I92-1),"")</f>
        <v>0.0314386091343122</v>
      </c>
      <c r="J92" s="109" t="n">
        <f aca="false">IFERROR(IF(OR(NOT(ISNUMBER('Price History'!J93)),NOT(ISNUMBER('Price History'!J92)),'Price History'!J92=0),"",'Price History'!J93/'Price History'!J92-1),"")</f>
        <v>0.0310054773082942</v>
      </c>
      <c r="K92" s="109" t="n">
        <f aca="false">IFERROR(IF(OR(NOT(ISNUMBER('Price History'!K93)),NOT(ISNUMBER('Price History'!K92)),'Price History'!K92=0),"",'Price History'!K93/'Price History'!K92-1),"")</f>
        <v>0.101968434119525</v>
      </c>
      <c r="L92" s="109" t="n">
        <f aca="false">IFERROR(IF(OR(NOT(ISNUMBER('Price History'!L93)),NOT(ISNUMBER('Price History'!L92)),'Price History'!L92=0),"",'Price History'!L93/'Price History'!L92-1),"")</f>
        <v>0.0858873410054513</v>
      </c>
      <c r="M92" s="109" t="n">
        <f aca="false">IFERROR(IF(OR(NOT(ISNUMBER('Price History'!M93)),NOT(ISNUMBER('Price History'!M92)),'Price History'!M92=0),"",'Price History'!M93/'Price History'!M92-1),"")</f>
        <v>0.0925819436457733</v>
      </c>
      <c r="N92" s="109" t="n">
        <f aca="false">IFERROR(IF(OR(NOT(ISNUMBER('Price History'!N93)),NOT(ISNUMBER('Price History'!N92)),'Price History'!N92=0),"",'Price History'!N93/'Price History'!N92-1),"")</f>
        <v>0.0148023651385063</v>
      </c>
      <c r="O92" s="109" t="n">
        <f aca="false">IFERROR(IF(OR(NOT(ISNUMBER('Price History'!O93)),NOT(ISNUMBER('Price History'!O92)),'Price History'!O92=0),"",'Price History'!O93/'Price History'!O92-1),"")</f>
        <v>0.0339741264659654</v>
      </c>
      <c r="P92" s="109" t="str">
        <f aca="false">IFERROR(IF(OR(NOT(ISNUMBER('Price History'!P93)),NOT(ISNUMBER('Price History'!P92)),'Price History'!P92=0),"",'Price History'!P93/'Price History'!P92-1),"")</f>
        <v/>
      </c>
      <c r="Q92" s="109" t="n">
        <f aca="false">IFERROR(IF(OR(NOT(ISNUMBER('Price History'!Q93)),NOT(ISNUMBER('Price History'!Q92)),'Price History'!Q92=0),"",'Price History'!Q93/'Price History'!Q92-1),"")</f>
        <v>0.000808799741184085</v>
      </c>
      <c r="R92" s="109" t="n">
        <f aca="false">IFERROR(IF(OR(NOT(ISNUMBER('Price History'!R93)),NOT(ISNUMBER('Price History'!R92)),'Price History'!R92=0),"",'Price History'!R93/'Price History'!R92-1),"")</f>
        <v>0.00782932080641996</v>
      </c>
      <c r="S92" s="109" t="n">
        <f aca="false">IFERROR(IF(OR(NOT(ISNUMBER('Price History'!S93)),NOT(ISNUMBER('Price History'!S92)),'Price History'!S92=0),"",'Price History'!S93/'Price History'!S92-1),"")</f>
        <v>0.0402042118698149</v>
      </c>
      <c r="T92" s="109" t="n">
        <f aca="false">IFERROR(IF(OR(NOT(ISNUMBER('Price History'!T93)),NOT(ISNUMBER('Price History'!T92)),'Price History'!T92=0),"",'Price History'!T93/'Price History'!T92-1),"")</f>
        <v>0.0191897654584223</v>
      </c>
      <c r="U92" s="109" t="str">
        <f aca="false">IFERROR(IF(OR(NOT(ISNUMBER('Price History'!U93)),NOT(ISNUMBER('Price History'!U92)),'Price History'!U92=0),"",'Price History'!U93/'Price History'!U92-1),"")</f>
        <v/>
      </c>
      <c r="V92" s="110" t="n">
        <f aca="false">IFERROR(IF(OR(NOT(ISNUMBER('Price History'!V93)),NOT(ISNUMBER('Price History'!V92)),'Price History'!V92=0),"",'Price History'!V93/'Price History'!V92-1),"")</f>
        <v>0.0370873317641378</v>
      </c>
      <c r="W92" s="111" t="n">
        <f aca="false">IFERROR('Price History'!B3+(INDEX('Price History'!B:B,MATCH(9.99E+307,'Price History'!$A:$A))-'Price History'!B3)*(ROW()-3)/(MATCH(9.99E+307,'Returns (Calc)'!$A:$A)-3),"")</f>
        <v>373.024465408805</v>
      </c>
      <c r="X92" s="111" t="n">
        <f aca="false">IFERROR('Price History'!C3+(INDEX('Price History'!C:C,MATCH(9.99E+307,'Price History'!$A:$A))-'Price History'!C3)*(ROW()-3)/(MATCH(9.99E+307,'Returns (Calc)'!$A:$A)-3),"")</f>
        <v>127.72465408805</v>
      </c>
      <c r="Y92" s="111" t="n">
        <f aca="false">IFERROR('Price History'!D3+(INDEX('Price History'!D:D,MATCH(9.99E+307,'Price History'!$A:$A))-'Price History'!D3)*(ROW()-3)/(MATCH(9.99E+307,'Returns (Calc)'!$A:$A)-3),"")</f>
        <v>1251.25106918239</v>
      </c>
      <c r="Z92" s="111" t="n">
        <f aca="false">IFERROR('Price History'!E3+(INDEX('Price History'!E:E,MATCH(9.99E+307,'Price History'!$A:$A))-'Price History'!E3)*(ROW()-3)/(MATCH(9.99E+307,'Returns (Calc)'!$A:$A)-3),"")</f>
        <v>236.866037735849</v>
      </c>
      <c r="AA92" s="111" t="n">
        <f aca="false">IFERROR('Price History'!F3+(INDEX('Price History'!F:F,MATCH(9.99E+307,'Price History'!$A:$A))-'Price History'!F3)*(ROW()-3)/(MATCH(9.99E+307,'Returns (Calc)'!$A:$A)-3),"")</f>
        <v>135.598113207547</v>
      </c>
      <c r="AB92" s="111" t="n">
        <f aca="false">IFERROR('Price History'!G3+(INDEX('Price History'!G:G,MATCH(9.99E+307,'Price History'!$A:$A))-'Price History'!G3)*(ROW()-3)/(MATCH(9.99E+307,'Returns (Calc)'!$A:$A)-3),"")</f>
        <v>124.977358490566</v>
      </c>
      <c r="AC92" s="111" t="n">
        <f aca="false">IFERROR('Price History'!H3+(INDEX('Price History'!H:H,MATCH(9.99E+307,'Price History'!$A:$A))-'Price History'!H3)*(ROW()-3)/(MATCH(9.99E+307,'Returns (Calc)'!$A:$A)-3),"")</f>
        <v>597.373647798742</v>
      </c>
      <c r="AD92" s="111" t="n">
        <f aca="false">IFERROR('Price History'!I3+(INDEX('Price History'!I:I,MATCH(9.99E+307,'Price History'!$A:$A))-'Price History'!I3)*(ROW()-3)/(MATCH(9.99E+307,'Returns (Calc)'!$A:$A)-3),"")</f>
        <v>146.927924528302</v>
      </c>
      <c r="AE92" s="111" t="n">
        <f aca="false">IFERROR('Price History'!J3+(INDEX('Price History'!J:J,MATCH(9.99E+307,'Price History'!$A:$A))-'Price History'!J3)*(ROW()-3)/(MATCH(9.99E+307,'Returns (Calc)'!$A:$A)-3),"")</f>
        <v>131.251320754717</v>
      </c>
      <c r="AF92" s="111" t="n">
        <f aca="false">IFERROR('Price History'!K3+(INDEX('Price History'!K:K,MATCH(9.99E+307,'Price History'!$A:$A))-'Price History'!K3)*(ROW()-3)/(MATCH(9.99E+307,'Returns (Calc)'!$A:$A)-3),"")</f>
        <v>104.365220125786</v>
      </c>
      <c r="AG92" s="111" t="n">
        <f aca="false">IFERROR('Price History'!L3+(INDEX('Price History'!L:L,MATCH(9.99E+307,'Price History'!$A:$A))-'Price History'!L3)*(ROW()-3)/(MATCH(9.99E+307,'Returns (Calc)'!$A:$A)-3),"")</f>
        <v>280.580440251572</v>
      </c>
      <c r="AH92" s="111" t="n">
        <f aca="false">IFERROR('Price History'!M3+(INDEX('Price History'!M:M,MATCH(9.99E+307,'Price History'!$A:$A))-'Price History'!M3)*(ROW()-3)/(MATCH(9.99E+307,'Returns (Calc)'!$A:$A)-3),"")</f>
        <v>171.779056603774</v>
      </c>
      <c r="AI92" s="111" t="n">
        <f aca="false">IFERROR('Price History'!N3+(INDEX('Price History'!N:N,MATCH(9.99E+307,'Price History'!$A:$A))-'Price History'!N3)*(ROW()-3)/(MATCH(9.99E+307,'Returns (Calc)'!$A:$A)-3),"")</f>
        <v>459.716226415094</v>
      </c>
      <c r="AJ92" s="111" t="n">
        <f aca="false">IFERROR('Price History'!O3+(INDEX('Price History'!O:O,MATCH(9.99E+307,'Price History'!$A:$A))-'Price History'!O3)*(ROW()-3)/(MATCH(9.99E+307,'Returns (Calc)'!$A:$A)-3),"")</f>
        <v>107.523710691824</v>
      </c>
      <c r="AK92" s="111" t="n">
        <f aca="false">IFERROR('Price History'!Q3+(INDEX('Price History'!Q:Q,MATCH(9.99E+307,'Price History'!$A:$A))-'Price History'!Q3)*(ROW()-3)/(MATCH(9.99E+307,'Returns (Calc)'!$A:$A)-3),"")</f>
        <v>60.9677987421384</v>
      </c>
      <c r="AL92" s="111" t="n">
        <f aca="false">IFERROR('Price History'!R3+(INDEX('Price History'!R:R,MATCH(9.99E+307,'Price History'!$A:$A))-'Price History'!R3)*(ROW()-3)/(MATCH(9.99E+307,'Returns (Calc)'!$A:$A)-3),"")</f>
        <v>54.5649685534591</v>
      </c>
      <c r="AM92" s="111" t="n">
        <f aca="false">IFERROR('Price History'!S3+(INDEX('Price History'!S:S,MATCH(9.99E+307,'Price History'!$A:$A))-'Price History'!S3)*(ROW()-3)/(MATCH(9.99E+307,'Returns (Calc)'!$A:$A)-3),"")</f>
        <v>109.57786163522</v>
      </c>
      <c r="AN92" s="111" t="n">
        <f aca="false">IFERROR('Price History'!T3+(INDEX('Price History'!T:T,MATCH(9.99E+307,'Price History'!$A:$A))-'Price History'!T3)*(ROW()-3)/(MATCH(9.99E+307,'Returns (Calc)'!$A:$A)-3),"")</f>
        <v>42.7956603773585</v>
      </c>
      <c r="AO92" s="112" t="n">
        <f aca="false">IFERROR('Price History'!V3+(INDEX('Price History'!V:V,MATCH(9.99E+307,'Price History'!$A:$A))-'Price History'!V3)*(ROW()-3)/(MATCH(9.99E+307,'Returns (Calc)'!$A:$A)-3),"")</f>
        <v>209.944842767296</v>
      </c>
    </row>
    <row r="93" customFormat="false" ht="15" hidden="false" customHeight="true" outlineLevel="0" collapsed="false">
      <c r="A93" s="108" t="n">
        <f aca="false">IF('Price History'!A94="","",'Price History'!A94)</f>
        <v>45786</v>
      </c>
      <c r="B93" s="109" t="n">
        <f aca="false">IFERROR(IF(OR(NOT(ISNUMBER('Price History'!B94)),NOT(ISNUMBER('Price History'!B93)),'Price History'!B93=0),"",'Price History'!B94/'Price History'!B93-1),"")</f>
        <v>0.00632761834746765</v>
      </c>
      <c r="C93" s="109" t="n">
        <f aca="false">IFERROR(IF(OR(NOT(ISNUMBER('Price History'!C94)),NOT(ISNUMBER('Price History'!C93)),'Price History'!C93=0),"",'Price History'!C94/'Price History'!C93-1),"")</f>
        <v>-0.049439683586025</v>
      </c>
      <c r="D93" s="109" t="n">
        <f aca="false">IFERROR(IF(OR(NOT(ISNUMBER('Price History'!D94)),NOT(ISNUMBER('Price History'!D93)),'Price History'!D93=0),"",'Price History'!D94/'Price History'!D93-1),"")</f>
        <v>0.0230034910839743</v>
      </c>
      <c r="E93" s="109" t="n">
        <f aca="false">IFERROR(IF(OR(NOT(ISNUMBER('Price History'!E94)),NOT(ISNUMBER('Price History'!E93)),'Price History'!E93=0),"",'Price History'!E94/'Price History'!E93-1),"")</f>
        <v>0.0223924572775487</v>
      </c>
      <c r="F93" s="109" t="n">
        <f aca="false">IFERROR(IF(OR(NOT(ISNUMBER('Price History'!F94)),NOT(ISNUMBER('Price History'!F93)),'Price History'!F93=0),"",'Price History'!F94/'Price History'!F93-1),"")</f>
        <v>-0.0681797548797095</v>
      </c>
      <c r="G93" s="109" t="n">
        <f aca="false">IFERROR(IF(OR(NOT(ISNUMBER('Price History'!G94)),NOT(ISNUMBER('Price History'!G93)),'Price History'!G93=0),"",'Price History'!G94/'Price History'!G93-1),"")</f>
        <v>0.00429676310512761</v>
      </c>
      <c r="H93" s="109" t="n">
        <f aca="false">IFERROR(IF(OR(NOT(ISNUMBER('Price History'!H94)),NOT(ISNUMBER('Price History'!H93)),'Price History'!H93=0),"",'Price History'!H94/'Price History'!H93-1),"")</f>
        <v>0.0636769078295343</v>
      </c>
      <c r="I93" s="109" t="n">
        <f aca="false">IFERROR(IF(OR(NOT(ISNUMBER('Price History'!I94)),NOT(ISNUMBER('Price History'!I93)),'Price History'!I93=0),"",'Price History'!I94/'Price History'!I93-1),"")</f>
        <v>0.0187772925764194</v>
      </c>
      <c r="J93" s="109" t="n">
        <f aca="false">IFERROR(IF(OR(NOT(ISNUMBER('Price History'!J94)),NOT(ISNUMBER('Price History'!J93)),'Price History'!J93=0),"",'Price History'!J94/'Price History'!J93-1),"")</f>
        <v>0.0142301489422256</v>
      </c>
      <c r="K93" s="109" t="n">
        <f aca="false">IFERROR(IF(OR(NOT(ISNUMBER('Price History'!K94)),NOT(ISNUMBER('Price History'!K93)),'Price History'!K93=0),"",'Price History'!K94/'Price History'!K93-1),"")</f>
        <v>-0.0561635017701964</v>
      </c>
      <c r="L93" s="109" t="n">
        <f aca="false">IFERROR(IF(OR(NOT(ISNUMBER('Price History'!L94)),NOT(ISNUMBER('Price History'!L93)),'Price History'!L93=0),"",'Price History'!L94/'Price History'!L93-1),"")</f>
        <v>-0.0153949129852744</v>
      </c>
      <c r="M93" s="109" t="n">
        <f aca="false">IFERROR(IF(OR(NOT(ISNUMBER('Price History'!M94)),NOT(ISNUMBER('Price History'!M93)),'Price History'!M93=0),"",'Price History'!M94/'Price History'!M93-1),"")</f>
        <v>-0.00989473684210529</v>
      </c>
      <c r="N93" s="109" t="n">
        <f aca="false">IFERROR(IF(OR(NOT(ISNUMBER('Price History'!N94)),NOT(ISNUMBER('Price History'!N93)),'Price History'!N93=0),"",'Price History'!N94/'Price History'!N93-1),"")</f>
        <v>-0.151970467923775</v>
      </c>
      <c r="O93" s="109" t="n">
        <f aca="false">IFERROR(IF(OR(NOT(ISNUMBER('Price History'!O94)),NOT(ISNUMBER('Price History'!O93)),'Price History'!O93=0),"",'Price History'!O94/'Price History'!O93-1),"")</f>
        <v>0.0115762394761461</v>
      </c>
      <c r="P93" s="109" t="str">
        <f aca="false">IFERROR(IF(OR(NOT(ISNUMBER('Price History'!P94)),NOT(ISNUMBER('Price History'!P93)),'Price History'!P93=0),"",'Price History'!P94/'Price History'!P93-1),"")</f>
        <v/>
      </c>
      <c r="Q93" s="109" t="n">
        <f aca="false">IFERROR(IF(OR(NOT(ISNUMBER('Price History'!Q94)),NOT(ISNUMBER('Price History'!Q93)),'Price History'!Q93=0),"",'Price History'!Q94/'Price History'!Q93-1),"")</f>
        <v>0.0108291579117505</v>
      </c>
      <c r="R93" s="109" t="n">
        <f aca="false">IFERROR(IF(OR(NOT(ISNUMBER('Price History'!R94)),NOT(ISNUMBER('Price History'!R93)),'Price History'!R93=0),"",'Price History'!R94/'Price History'!R93-1),"")</f>
        <v>0.00271897455816661</v>
      </c>
      <c r="S93" s="109" t="n">
        <f aca="false">IFERROR(IF(OR(NOT(ISNUMBER('Price History'!S94)),NOT(ISNUMBER('Price History'!S93)),'Price History'!S93=0),"",'Price History'!S94/'Price History'!S93-1),"")</f>
        <v>0.00695296523517386</v>
      </c>
      <c r="T93" s="109" t="n">
        <f aca="false">IFERROR(IF(OR(NOT(ISNUMBER('Price History'!T94)),NOT(ISNUMBER('Price History'!T93)),'Price History'!T93=0),"",'Price History'!T94/'Price History'!T93-1),"")</f>
        <v>-0.00179318589360433</v>
      </c>
      <c r="U93" s="109" t="str">
        <f aca="false">IFERROR(IF(OR(NOT(ISNUMBER('Price History'!U94)),NOT(ISNUMBER('Price History'!U93)),'Price History'!U93=0),"",'Price History'!U94/'Price History'!U93-1),"")</f>
        <v/>
      </c>
      <c r="V93" s="110" t="n">
        <f aca="false">IFERROR(IF(OR(NOT(ISNUMBER('Price History'!V94)),NOT(ISNUMBER('Price History'!V93)),'Price History'!V93=0),"",'Price History'!V94/'Price History'!V93-1),"")</f>
        <v>0.0141996682864376</v>
      </c>
      <c r="W93" s="111" t="n">
        <f aca="false">IFERROR('Price History'!B3+(INDEX('Price History'!B:B,MATCH(9.99E+307,'Price History'!$A:$A))-'Price History'!B3)*(ROW()-3)/(MATCH(9.99E+307,'Returns (Calc)'!$A:$A)-3),"")</f>
        <v>371.502830188679</v>
      </c>
      <c r="X93" s="111" t="n">
        <f aca="false">IFERROR('Price History'!C3+(INDEX('Price History'!C:C,MATCH(9.99E+307,'Price History'!$A:$A))-'Price History'!C3)*(ROW()-3)/(MATCH(9.99E+307,'Returns (Calc)'!$A:$A)-3),"")</f>
        <v>128.668301886792</v>
      </c>
      <c r="Y93" s="111" t="n">
        <f aca="false">IFERROR('Price History'!D3+(INDEX('Price History'!D:D,MATCH(9.99E+307,'Price History'!$A:$A))-'Price History'!D3)*(ROW()-3)/(MATCH(9.99E+307,'Returns (Calc)'!$A:$A)-3),"")</f>
        <v>1257.87433962264</v>
      </c>
      <c r="Z93" s="111" t="n">
        <f aca="false">IFERROR('Price History'!E3+(INDEX('Price History'!E:E,MATCH(9.99E+307,'Price History'!$A:$A))-'Price History'!E3)*(ROW()-3)/(MATCH(9.99E+307,'Returns (Calc)'!$A:$A)-3),"")</f>
        <v>238.595094339623</v>
      </c>
      <c r="AA93" s="111" t="n">
        <f aca="false">IFERROR('Price History'!F3+(INDEX('Price History'!F:F,MATCH(9.99E+307,'Price History'!$A:$A))-'Price History'!F3)*(ROW()-3)/(MATCH(9.99E+307,'Returns (Calc)'!$A:$A)-3),"")</f>
        <v>136.705283018868</v>
      </c>
      <c r="AB93" s="111" t="n">
        <f aca="false">IFERROR('Price History'!G3+(INDEX('Price History'!G:G,MATCH(9.99E+307,'Price History'!$A:$A))-'Price History'!G3)*(ROW()-3)/(MATCH(9.99E+307,'Returns (Calc)'!$A:$A)-3),"")</f>
        <v>125.843396226415</v>
      </c>
      <c r="AC93" s="111" t="n">
        <f aca="false">IFERROR('Price History'!H3+(INDEX('Price History'!H:H,MATCH(9.99E+307,'Price History'!$A:$A))-'Price History'!H3)*(ROW()-3)/(MATCH(9.99E+307,'Returns (Calc)'!$A:$A)-3),"")</f>
        <v>603.362452830189</v>
      </c>
      <c r="AD93" s="111" t="n">
        <f aca="false">IFERROR('Price History'!I3+(INDEX('Price History'!I:I,MATCH(9.99E+307,'Price History'!$A:$A))-'Price History'!I3)*(ROW()-3)/(MATCH(9.99E+307,'Returns (Calc)'!$A:$A)-3),"")</f>
        <v>148.119811320755</v>
      </c>
      <c r="AE93" s="111" t="n">
        <f aca="false">IFERROR('Price History'!J3+(INDEX('Price History'!J:J,MATCH(9.99E+307,'Price History'!$A:$A))-'Price History'!J3)*(ROW()-3)/(MATCH(9.99E+307,'Returns (Calc)'!$A:$A)-3),"")</f>
        <v>131.338301886792</v>
      </c>
      <c r="AF93" s="111" t="n">
        <f aca="false">IFERROR('Price History'!K3+(INDEX('Price History'!K:K,MATCH(9.99E+307,'Price History'!$A:$A))-'Price History'!K3)*(ROW()-3)/(MATCH(9.99E+307,'Returns (Calc)'!$A:$A)-3),"")</f>
        <v>105.364716981132</v>
      </c>
      <c r="AG93" s="111" t="n">
        <f aca="false">IFERROR('Price History'!L3+(INDEX('Price History'!L:L,MATCH(9.99E+307,'Price History'!$A:$A))-'Price History'!L3)*(ROW()-3)/(MATCH(9.99E+307,'Returns (Calc)'!$A:$A)-3),"")</f>
        <v>282.699433962264</v>
      </c>
      <c r="AH93" s="111" t="n">
        <f aca="false">IFERROR('Price History'!M3+(INDEX('Price History'!M:M,MATCH(9.99E+307,'Price History'!$A:$A))-'Price History'!M3)*(ROW()-3)/(MATCH(9.99E+307,'Returns (Calc)'!$A:$A)-3),"")</f>
        <v>173.332641509434</v>
      </c>
      <c r="AI93" s="111" t="n">
        <f aca="false">IFERROR('Price History'!N3+(INDEX('Price History'!N:N,MATCH(9.99E+307,'Price History'!$A:$A))-'Price History'!N3)*(ROW()-3)/(MATCH(9.99E+307,'Returns (Calc)'!$A:$A)-3),"")</f>
        <v>460.950566037736</v>
      </c>
      <c r="AJ93" s="111" t="n">
        <f aca="false">IFERROR('Price History'!O3+(INDEX('Price History'!O:O,MATCH(9.99E+307,'Price History'!$A:$A))-'Price History'!O3)*(ROW()-3)/(MATCH(9.99E+307,'Returns (Calc)'!$A:$A)-3),"")</f>
        <v>107.800943396226</v>
      </c>
      <c r="AK93" s="111" t="n">
        <f aca="false">IFERROR('Price History'!Q3+(INDEX('Price History'!Q:Q,MATCH(9.99E+307,'Price History'!$A:$A))-'Price History'!Q3)*(ROW()-3)/(MATCH(9.99E+307,'Returns (Calc)'!$A:$A)-3),"")</f>
        <v>61.0928301886792</v>
      </c>
      <c r="AL93" s="111" t="n">
        <f aca="false">IFERROR('Price History'!R3+(INDEX('Price History'!R:R,MATCH(9.99E+307,'Price History'!$A:$A))-'Price History'!R3)*(ROW()-3)/(MATCH(9.99E+307,'Returns (Calc)'!$A:$A)-3),"")</f>
        <v>54.6407547169811</v>
      </c>
      <c r="AM93" s="111" t="n">
        <f aca="false">IFERROR('Price History'!S3+(INDEX('Price History'!S:S,MATCH(9.99E+307,'Price History'!$A:$A))-'Price History'!S3)*(ROW()-3)/(MATCH(9.99E+307,'Returns (Calc)'!$A:$A)-3),"")</f>
        <v>110.151320754717</v>
      </c>
      <c r="AN93" s="111" t="n">
        <f aca="false">IFERROR('Price History'!T3+(INDEX('Price History'!T:T,MATCH(9.99E+307,'Price History'!$A:$A))-'Price History'!T3)*(ROW()-3)/(MATCH(9.99E+307,'Returns (Calc)'!$A:$A)-3),"")</f>
        <v>42.9741509433962</v>
      </c>
      <c r="AO93" s="112" t="n">
        <f aca="false">IFERROR('Price History'!V3+(INDEX('Price History'!V:V,MATCH(9.99E+307,'Price History'!$A:$A))-'Price History'!V3)*(ROW()-3)/(MATCH(9.99E+307,'Returns (Calc)'!$A:$A)-3),"")</f>
        <v>212.303773584906</v>
      </c>
    </row>
    <row r="94" customFormat="false" ht="15" hidden="false" customHeight="true" outlineLevel="0" collapsed="false">
      <c r="A94" s="108" t="n">
        <f aca="false">IF('Price History'!A95="","",'Price History'!A95)</f>
        <v>45793</v>
      </c>
      <c r="B94" s="109" t="n">
        <f aca="false">IFERROR(IF(OR(NOT(ISNUMBER('Price History'!B95)),NOT(ISNUMBER('Price History'!B94)),'Price History'!B94=0),"",'Price History'!B95/'Price History'!B94-1),"")</f>
        <v>0.088316635357963</v>
      </c>
      <c r="C94" s="109" t="n">
        <f aca="false">IFERROR(IF(OR(NOT(ISNUMBER('Price History'!C95)),NOT(ISNUMBER('Price History'!C94)),'Price History'!C94=0),"",'Price History'!C95/'Price History'!C94-1),"")</f>
        <v>0.114424410540916</v>
      </c>
      <c r="D94" s="109" t="n">
        <f aca="false">IFERROR(IF(OR(NOT(ISNUMBER('Price History'!D95)),NOT(ISNUMBER('Price History'!D94)),'Price History'!D94=0),"",'Price History'!D95/'Price History'!D94-1),"")</f>
        <v>0.0593166338624489</v>
      </c>
      <c r="E94" s="109" t="n">
        <f aca="false">IFERROR(IF(OR(NOT(ISNUMBER('Price History'!E95)),NOT(ISNUMBER('Price History'!E94)),'Price History'!E94=0),"",'Price History'!E95/'Price History'!E94-1),"")</f>
        <v>0.098030739673391</v>
      </c>
      <c r="F94" s="109" t="n">
        <f aca="false">IFERROR(IF(OR(NOT(ISNUMBER('Price History'!F95)),NOT(ISNUMBER('Price History'!F94)),'Price History'!F94=0),"",'Price History'!F95/'Price History'!F94-1),"")</f>
        <v>0.0699532346063911</v>
      </c>
      <c r="G94" s="109" t="n">
        <f aca="false">IFERROR(IF(OR(NOT(ISNUMBER('Price History'!G95)),NOT(ISNUMBER('Price History'!G94)),'Price History'!G94=0),"",'Price History'!G95/'Price History'!G94-1),"")</f>
        <v>0.128351397604107</v>
      </c>
      <c r="H94" s="109" t="n">
        <f aca="false">IFERROR(IF(OR(NOT(ISNUMBER('Price History'!H95)),NOT(ISNUMBER('Price History'!H94)),'Price History'!H94=0),"",'Price History'!H95/'Price History'!H94-1),"")</f>
        <v>0.141392965292336</v>
      </c>
      <c r="I94" s="109" t="n">
        <f aca="false">IFERROR(IF(OR(NOT(ISNUMBER('Price History'!I95)),NOT(ISNUMBER('Price History'!I94)),'Price History'!I94=0),"",'Price History'!I95/'Price History'!I94-1),"")</f>
        <v>0.160737248178311</v>
      </c>
      <c r="J94" s="109" t="n">
        <f aca="false">IFERROR(IF(OR(NOT(ISNUMBER('Price History'!J95)),NOT(ISNUMBER('Price History'!J94)),'Price History'!J94=0),"",'Price History'!J95/'Price History'!J94-1),"")</f>
        <v>0.0340473295295107</v>
      </c>
      <c r="K94" s="109" t="n">
        <f aca="false">IFERROR(IF(OR(NOT(ISNUMBER('Price History'!K95)),NOT(ISNUMBER('Price History'!K94)),'Price History'!K94=0),"",'Price History'!K95/'Price History'!K94-1),"")</f>
        <v>0.104177323103154</v>
      </c>
      <c r="L94" s="109" t="n">
        <f aca="false">IFERROR(IF(OR(NOT(ISNUMBER('Price History'!L95)),NOT(ISNUMBER('Price History'!L94)),'Price History'!L94=0),"",'Price History'!L95/'Price History'!L94-1),"")</f>
        <v>0.100271923861319</v>
      </c>
      <c r="M94" s="109" t="n">
        <f aca="false">IFERROR(IF(OR(NOT(ISNUMBER('Price History'!M95)),NOT(ISNUMBER('Price History'!M94)),'Price History'!M94=0),"",'Price History'!M95/'Price History'!M94-1),"")</f>
        <v>0.127365511375718</v>
      </c>
      <c r="N94" s="109" t="n">
        <f aca="false">IFERROR(IF(OR(NOT(ISNUMBER('Price History'!N95)),NOT(ISNUMBER('Price History'!N94)),'Price History'!N94=0),"",'Price History'!N95/'Price History'!N94-1),"")</f>
        <v>0.0321419327513588</v>
      </c>
      <c r="O94" s="109" t="n">
        <f aca="false">IFERROR(IF(OR(NOT(ISNUMBER('Price History'!O95)),NOT(ISNUMBER('Price History'!O94)),'Price History'!O94=0),"",'Price History'!O95/'Price History'!O94-1),"")</f>
        <v>0.0488960813778754</v>
      </c>
      <c r="P94" s="109" t="str">
        <f aca="false">IFERROR(IF(OR(NOT(ISNUMBER('Price History'!P95)),NOT(ISNUMBER('Price History'!P94)),'Price History'!P94=0),"",'Price History'!P95/'Price History'!P94-1),"")</f>
        <v/>
      </c>
      <c r="Q94" s="109" t="n">
        <f aca="false">IFERROR(IF(OR(NOT(ISNUMBER('Price History'!Q95)),NOT(ISNUMBER('Price History'!Q94)),'Price History'!Q94=0),"",'Price History'!Q95/'Price History'!Q94-1),"")</f>
        <v>0.00655580428525759</v>
      </c>
      <c r="R94" s="109" t="n">
        <f aca="false">IFERROR(IF(OR(NOT(ISNUMBER('Price History'!R95)),NOT(ISNUMBER('Price History'!R94)),'Price History'!R94=0),"",'Price History'!R95/'Price History'!R94-1),"")</f>
        <v>0.0172380398992833</v>
      </c>
      <c r="S94" s="109" t="n">
        <f aca="false">IFERROR(IF(OR(NOT(ISNUMBER('Price History'!S95)),NOT(ISNUMBER('Price History'!S94)),'Price History'!S94=0),"",'Price History'!S95/'Price History'!S94-1),"")</f>
        <v>0.0682372055239642</v>
      </c>
      <c r="T94" s="109" t="n">
        <f aca="false">IFERROR(IF(OR(NOT(ISNUMBER('Price History'!T95)),NOT(ISNUMBER('Price History'!T94)),'Price History'!T94=0),"",'Price History'!T95/'Price History'!T94-1),"")</f>
        <v>0.0431137724550901</v>
      </c>
      <c r="U94" s="109" t="str">
        <f aca="false">IFERROR(IF(OR(NOT(ISNUMBER('Price History'!U95)),NOT(ISNUMBER('Price History'!U94)),'Price History'!U94=0),"",'Price History'!U95/'Price History'!U94-1),"")</f>
        <v/>
      </c>
      <c r="V94" s="110" t="n">
        <f aca="false">IFERROR(IF(OR(NOT(ISNUMBER('Price History'!V95)),NOT(ISNUMBER('Price History'!V94)),'Price History'!V94=0),"",'Price History'!V95/'Price History'!V94-1),"")</f>
        <v>0.0374121359919666</v>
      </c>
      <c r="W94" s="111" t="n">
        <f aca="false">IFERROR('Price History'!B3+(INDEX('Price History'!B:B,MATCH(9.99E+307,'Price History'!$A:$A))-'Price History'!B3)*(ROW()-3)/(MATCH(9.99E+307,'Returns (Calc)'!$A:$A)-3),"")</f>
        <v>369.981194968553</v>
      </c>
      <c r="X94" s="111" t="n">
        <f aca="false">IFERROR('Price History'!C3+(INDEX('Price History'!C:C,MATCH(9.99E+307,'Price History'!$A:$A))-'Price History'!C3)*(ROW()-3)/(MATCH(9.99E+307,'Returns (Calc)'!$A:$A)-3),"")</f>
        <v>129.611949685535</v>
      </c>
      <c r="Y94" s="111" t="n">
        <f aca="false">IFERROR('Price History'!D3+(INDEX('Price History'!D:D,MATCH(9.99E+307,'Price History'!$A:$A))-'Price History'!D3)*(ROW()-3)/(MATCH(9.99E+307,'Returns (Calc)'!$A:$A)-3),"")</f>
        <v>1264.49761006289</v>
      </c>
      <c r="Z94" s="111" t="n">
        <f aca="false">IFERROR('Price History'!E3+(INDEX('Price History'!E:E,MATCH(9.99E+307,'Price History'!$A:$A))-'Price History'!E3)*(ROW()-3)/(MATCH(9.99E+307,'Returns (Calc)'!$A:$A)-3),"")</f>
        <v>240.324150943396</v>
      </c>
      <c r="AA94" s="111" t="n">
        <f aca="false">IFERROR('Price History'!F3+(INDEX('Price History'!F:F,MATCH(9.99E+307,'Price History'!$A:$A))-'Price History'!F3)*(ROW()-3)/(MATCH(9.99E+307,'Returns (Calc)'!$A:$A)-3),"")</f>
        <v>137.812452830189</v>
      </c>
      <c r="AB94" s="111" t="n">
        <f aca="false">IFERROR('Price History'!G3+(INDEX('Price History'!G:G,MATCH(9.99E+307,'Price History'!$A:$A))-'Price History'!G3)*(ROW()-3)/(MATCH(9.99E+307,'Returns (Calc)'!$A:$A)-3),"")</f>
        <v>126.709433962264</v>
      </c>
      <c r="AC94" s="111" t="n">
        <f aca="false">IFERROR('Price History'!H3+(INDEX('Price History'!H:H,MATCH(9.99E+307,'Price History'!$A:$A))-'Price History'!H3)*(ROW()-3)/(MATCH(9.99E+307,'Returns (Calc)'!$A:$A)-3),"")</f>
        <v>609.351257861635</v>
      </c>
      <c r="AD94" s="111" t="n">
        <f aca="false">IFERROR('Price History'!I3+(INDEX('Price History'!I:I,MATCH(9.99E+307,'Price History'!$A:$A))-'Price History'!I3)*(ROW()-3)/(MATCH(9.99E+307,'Returns (Calc)'!$A:$A)-3),"")</f>
        <v>149.311698113208</v>
      </c>
      <c r="AE94" s="111" t="n">
        <f aca="false">IFERROR('Price History'!J3+(INDEX('Price History'!J:J,MATCH(9.99E+307,'Price History'!$A:$A))-'Price History'!J3)*(ROW()-3)/(MATCH(9.99E+307,'Returns (Calc)'!$A:$A)-3),"")</f>
        <v>131.425283018868</v>
      </c>
      <c r="AF94" s="111" t="n">
        <f aca="false">IFERROR('Price History'!K3+(INDEX('Price History'!K:K,MATCH(9.99E+307,'Price History'!$A:$A))-'Price History'!K3)*(ROW()-3)/(MATCH(9.99E+307,'Returns (Calc)'!$A:$A)-3),"")</f>
        <v>106.364213836478</v>
      </c>
      <c r="AG94" s="111" t="n">
        <f aca="false">IFERROR('Price History'!L3+(INDEX('Price History'!L:L,MATCH(9.99E+307,'Price History'!$A:$A))-'Price History'!L3)*(ROW()-3)/(MATCH(9.99E+307,'Returns (Calc)'!$A:$A)-3),"")</f>
        <v>284.818427672956</v>
      </c>
      <c r="AH94" s="111" t="n">
        <f aca="false">IFERROR('Price History'!M3+(INDEX('Price History'!M:M,MATCH(9.99E+307,'Price History'!$A:$A))-'Price History'!M3)*(ROW()-3)/(MATCH(9.99E+307,'Returns (Calc)'!$A:$A)-3),"")</f>
        <v>174.886226415094</v>
      </c>
      <c r="AI94" s="111" t="n">
        <f aca="false">IFERROR('Price History'!N3+(INDEX('Price History'!N:N,MATCH(9.99E+307,'Price History'!$A:$A))-'Price History'!N3)*(ROW()-3)/(MATCH(9.99E+307,'Returns (Calc)'!$A:$A)-3),"")</f>
        <v>462.184905660377</v>
      </c>
      <c r="AJ94" s="111" t="n">
        <f aca="false">IFERROR('Price History'!O3+(INDEX('Price History'!O:O,MATCH(9.99E+307,'Price History'!$A:$A))-'Price History'!O3)*(ROW()-3)/(MATCH(9.99E+307,'Returns (Calc)'!$A:$A)-3),"")</f>
        <v>108.078176100629</v>
      </c>
      <c r="AK94" s="111" t="n">
        <f aca="false">IFERROR('Price History'!Q3+(INDEX('Price History'!Q:Q,MATCH(9.99E+307,'Price History'!$A:$A))-'Price History'!Q3)*(ROW()-3)/(MATCH(9.99E+307,'Returns (Calc)'!$A:$A)-3),"")</f>
        <v>61.2178616352201</v>
      </c>
      <c r="AL94" s="111" t="n">
        <f aca="false">IFERROR('Price History'!R3+(INDEX('Price History'!R:R,MATCH(9.99E+307,'Price History'!$A:$A))-'Price History'!R3)*(ROW()-3)/(MATCH(9.99E+307,'Returns (Calc)'!$A:$A)-3),"")</f>
        <v>54.7165408805031</v>
      </c>
      <c r="AM94" s="111" t="n">
        <f aca="false">IFERROR('Price History'!S3+(INDEX('Price History'!S:S,MATCH(9.99E+307,'Price History'!$A:$A))-'Price History'!S3)*(ROW()-3)/(MATCH(9.99E+307,'Returns (Calc)'!$A:$A)-3),"")</f>
        <v>110.724779874214</v>
      </c>
      <c r="AN94" s="111" t="n">
        <f aca="false">IFERROR('Price History'!T3+(INDEX('Price History'!T:T,MATCH(9.99E+307,'Price History'!$A:$A))-'Price History'!T3)*(ROW()-3)/(MATCH(9.99E+307,'Returns (Calc)'!$A:$A)-3),"")</f>
        <v>43.152641509434</v>
      </c>
      <c r="AO94" s="112" t="n">
        <f aca="false">IFERROR('Price History'!V3+(INDEX('Price History'!V:V,MATCH(9.99E+307,'Price History'!$A:$A))-'Price History'!V3)*(ROW()-3)/(MATCH(9.99E+307,'Returns (Calc)'!$A:$A)-3),"")</f>
        <v>214.662704402516</v>
      </c>
    </row>
    <row r="95" customFormat="false" ht="15" hidden="false" customHeight="true" outlineLevel="0" collapsed="false">
      <c r="A95" s="108" t="n">
        <f aca="false">IF('Price History'!A96="","",'Price History'!A96)</f>
        <v>45800</v>
      </c>
      <c r="B95" s="109" t="n">
        <f aca="false">IFERROR(IF(OR(NOT(ISNUMBER('Price History'!B96)),NOT(ISNUMBER('Price History'!B95)),'Price History'!B95=0),"",'Price History'!B96/'Price History'!B95-1),"")</f>
        <v>-0.0226308345120226</v>
      </c>
      <c r="C95" s="109" t="n">
        <f aca="false">IFERROR(IF(OR(NOT(ISNUMBER('Price History'!C96)),NOT(ISNUMBER('Price History'!C95)),'Price History'!C95=0),"",'Price History'!C96/'Price History'!C95-1),"")</f>
        <v>-0.0541381456129434</v>
      </c>
      <c r="D95" s="109" t="n">
        <f aca="false">IFERROR(IF(OR(NOT(ISNUMBER('Price History'!D96)),NOT(ISNUMBER('Price History'!D95)),'Price History'!D95=0),"",'Price History'!D96/'Price History'!D95-1),"")</f>
        <v>-0.0208661943590429</v>
      </c>
      <c r="E95" s="109" t="n">
        <f aca="false">IFERROR(IF(OR(NOT(ISNUMBER('Price History'!E96)),NOT(ISNUMBER('Price History'!E95)),'Price History'!E95=0),"",'Price History'!E96/'Price History'!E95-1),"")</f>
        <v>0.000481168802764387</v>
      </c>
      <c r="F95" s="109" t="n">
        <f aca="false">IFERROR(IF(OR(NOT(ISNUMBER('Price History'!F96)),NOT(ISNUMBER('Price History'!F95)),'Price History'!F95=0),"",'Price History'!F96/'Price History'!F95-1),"")</f>
        <v>0.0371517027863779</v>
      </c>
      <c r="G95" s="109" t="n">
        <f aca="false">IFERROR(IF(OR(NOT(ISNUMBER('Price History'!G96)),NOT(ISNUMBER('Price History'!G95)),'Price History'!G95=0),"",'Price History'!G96/'Price History'!G95-1),"")</f>
        <v>-0.0429726996966634</v>
      </c>
      <c r="H95" s="109" t="n">
        <f aca="false">IFERROR(IF(OR(NOT(ISNUMBER('Price History'!H96)),NOT(ISNUMBER('Price History'!H95)),'Price History'!H95=0),"",'Price History'!H96/'Price History'!H95-1),"")</f>
        <v>-0.0472448979591836</v>
      </c>
      <c r="I95" s="109" t="n">
        <f aca="false">IFERROR(IF(OR(NOT(ISNUMBER('Price History'!I96)),NOT(ISNUMBER('Price History'!I95)),'Price History'!I95=0),"",'Price History'!I96/'Price History'!I95-1),"")</f>
        <v>-0.0303545051698672</v>
      </c>
      <c r="J95" s="109" t="n">
        <f aca="false">IFERROR(IF(OR(NOT(ISNUMBER('Price History'!J96)),NOT(ISNUMBER('Price History'!J95)),'Price History'!J95=0),"",'Price History'!J96/'Price History'!J95-1),"")</f>
        <v>-0.0588873812754409</v>
      </c>
      <c r="K95" s="109" t="n">
        <f aca="false">IFERROR(IF(OR(NOT(ISNUMBER('Price History'!K96)),NOT(ISNUMBER('Price History'!K95)),'Price History'!K95=0),"",'Price History'!K96/'Price History'!K95-1),"")</f>
        <v>-0.0479462631253861</v>
      </c>
      <c r="L95" s="109" t="n">
        <f aca="false">IFERROR(IF(OR(NOT(ISNUMBER('Price History'!L96)),NOT(ISNUMBER('Price History'!L95)),'Price History'!L95=0),"",'Price History'!L96/'Price History'!L95-1),"")</f>
        <v>-0.0115333127381321</v>
      </c>
      <c r="M95" s="109" t="n">
        <f aca="false">IFERROR(IF(OR(NOT(ISNUMBER('Price History'!M96)),NOT(ISNUMBER('Price History'!M95)),'Price History'!M95=0),"",'Price History'!M96/'Price History'!M95-1),"")</f>
        <v>-0.0179177668804226</v>
      </c>
      <c r="N95" s="109" t="n">
        <f aca="false">IFERROR(IF(OR(NOT(ISNUMBER('Price History'!N96)),NOT(ISNUMBER('Price History'!N95)),'Price History'!N95=0),"",'Price History'!N96/'Price History'!N95-1),"")</f>
        <v>-0.00604126296591812</v>
      </c>
      <c r="O95" s="109" t="n">
        <f aca="false">IFERROR(IF(OR(NOT(ISNUMBER('Price History'!O96)),NOT(ISNUMBER('Price History'!O95)),'Price History'!O95=0),"",'Price History'!O96/'Price History'!O95-1),"")</f>
        <v>-0.0400044081992506</v>
      </c>
      <c r="P95" s="109" t="str">
        <f aca="false">IFERROR(IF(OR(NOT(ISNUMBER('Price History'!P96)),NOT(ISNUMBER('Price History'!P95)),'Price History'!P95=0),"",'Price History'!P96/'Price History'!P95-1),"")</f>
        <v/>
      </c>
      <c r="Q95" s="109" t="n">
        <f aca="false">IFERROR(IF(OR(NOT(ISNUMBER('Price History'!Q96)),NOT(ISNUMBER('Price History'!Q95)),'Price History'!Q95=0),"",'Price History'!Q96/'Price History'!Q95-1),"")</f>
        <v>0.0015885623510723</v>
      </c>
      <c r="R95" s="109" t="n">
        <f aca="false">IFERROR(IF(OR(NOT(ISNUMBER('Price History'!R96)),NOT(ISNUMBER('Price History'!R95)),'Price History'!R95=0),"",'Price History'!R96/'Price History'!R95-1),"")</f>
        <v>-0.00913937547600918</v>
      </c>
      <c r="S95" s="109" t="n">
        <f aca="false">IFERROR(IF(OR(NOT(ISNUMBER('Price History'!S96)),NOT(ISNUMBER('Price History'!S95)),'Price History'!S95=0),"",'Price History'!S96/'Price History'!S95-1),"")</f>
        <v>-0.0223384030418252</v>
      </c>
      <c r="T95" s="109" t="n">
        <f aca="false">IFERROR(IF(OR(NOT(ISNUMBER('Price History'!T96)),NOT(ISNUMBER('Price History'!T95)),'Price History'!T95=0),"",'Price History'!T96/'Price History'!T95-1),"")</f>
        <v>-0.0347301951779564</v>
      </c>
      <c r="U95" s="109" t="str">
        <f aca="false">IFERROR(IF(OR(NOT(ISNUMBER('Price History'!U96)),NOT(ISNUMBER('Price History'!U95)),'Price History'!U95=0),"",'Price History'!U96/'Price History'!U95-1),"")</f>
        <v/>
      </c>
      <c r="V95" s="110" t="n">
        <f aca="false">IFERROR(IF(OR(NOT(ISNUMBER('Price History'!V96)),NOT(ISNUMBER('Price History'!V95)),'Price History'!V95=0),"",'Price History'!V96/'Price History'!V95-1),"")</f>
        <v>-0.0317210099836831</v>
      </c>
      <c r="W95" s="111" t="n">
        <f aca="false">IFERROR('Price History'!B3+(INDEX('Price History'!B:B,MATCH(9.99E+307,'Price History'!$A:$A))-'Price History'!B3)*(ROW()-3)/(MATCH(9.99E+307,'Returns (Calc)'!$A:$A)-3),"")</f>
        <v>368.459559748428</v>
      </c>
      <c r="X95" s="111" t="n">
        <f aca="false">IFERROR('Price History'!C3+(INDEX('Price History'!C:C,MATCH(9.99E+307,'Price History'!$A:$A))-'Price History'!C3)*(ROW()-3)/(MATCH(9.99E+307,'Returns (Calc)'!$A:$A)-3),"")</f>
        <v>130.555597484277</v>
      </c>
      <c r="Y95" s="111" t="n">
        <f aca="false">IFERROR('Price History'!D3+(INDEX('Price History'!D:D,MATCH(9.99E+307,'Price History'!$A:$A))-'Price History'!D3)*(ROW()-3)/(MATCH(9.99E+307,'Returns (Calc)'!$A:$A)-3),"")</f>
        <v>1271.12088050314</v>
      </c>
      <c r="Z95" s="111" t="n">
        <f aca="false">IFERROR('Price History'!E3+(INDEX('Price History'!E:E,MATCH(9.99E+307,'Price History'!$A:$A))-'Price History'!E3)*(ROW()-3)/(MATCH(9.99E+307,'Returns (Calc)'!$A:$A)-3),"")</f>
        <v>242.05320754717</v>
      </c>
      <c r="AA95" s="111" t="n">
        <f aca="false">IFERROR('Price History'!F3+(INDEX('Price History'!F:F,MATCH(9.99E+307,'Price History'!$A:$A))-'Price History'!F3)*(ROW()-3)/(MATCH(9.99E+307,'Returns (Calc)'!$A:$A)-3),"")</f>
        <v>138.919622641509</v>
      </c>
      <c r="AB95" s="111" t="n">
        <f aca="false">IFERROR('Price History'!G3+(INDEX('Price History'!G:G,MATCH(9.99E+307,'Price History'!$A:$A))-'Price History'!G3)*(ROW()-3)/(MATCH(9.99E+307,'Returns (Calc)'!$A:$A)-3),"")</f>
        <v>127.575471698113</v>
      </c>
      <c r="AC95" s="111" t="n">
        <f aca="false">IFERROR('Price History'!H3+(INDEX('Price History'!H:H,MATCH(9.99E+307,'Price History'!$A:$A))-'Price History'!H3)*(ROW()-3)/(MATCH(9.99E+307,'Returns (Calc)'!$A:$A)-3),"")</f>
        <v>615.340062893082</v>
      </c>
      <c r="AD95" s="111" t="n">
        <f aca="false">IFERROR('Price History'!I3+(INDEX('Price History'!I:I,MATCH(9.99E+307,'Price History'!$A:$A))-'Price History'!I3)*(ROW()-3)/(MATCH(9.99E+307,'Returns (Calc)'!$A:$A)-3),"")</f>
        <v>150.50358490566</v>
      </c>
      <c r="AE95" s="111" t="n">
        <f aca="false">IFERROR('Price History'!J3+(INDEX('Price History'!J:J,MATCH(9.99E+307,'Price History'!$A:$A))-'Price History'!J3)*(ROW()-3)/(MATCH(9.99E+307,'Returns (Calc)'!$A:$A)-3),"")</f>
        <v>131.512264150943</v>
      </c>
      <c r="AF95" s="111" t="n">
        <f aca="false">IFERROR('Price History'!K3+(INDEX('Price History'!K:K,MATCH(9.99E+307,'Price History'!$A:$A))-'Price History'!K3)*(ROW()-3)/(MATCH(9.99E+307,'Returns (Calc)'!$A:$A)-3),"")</f>
        <v>107.363710691824</v>
      </c>
      <c r="AG95" s="111" t="n">
        <f aca="false">IFERROR('Price History'!L3+(INDEX('Price History'!L:L,MATCH(9.99E+307,'Price History'!$A:$A))-'Price History'!L3)*(ROW()-3)/(MATCH(9.99E+307,'Returns (Calc)'!$A:$A)-3),"")</f>
        <v>286.937421383648</v>
      </c>
      <c r="AH95" s="111" t="n">
        <f aca="false">IFERROR('Price History'!M3+(INDEX('Price History'!M:M,MATCH(9.99E+307,'Price History'!$A:$A))-'Price History'!M3)*(ROW()-3)/(MATCH(9.99E+307,'Returns (Calc)'!$A:$A)-3),"")</f>
        <v>176.439811320755</v>
      </c>
      <c r="AI95" s="111" t="n">
        <f aca="false">IFERROR('Price History'!N3+(INDEX('Price History'!N:N,MATCH(9.99E+307,'Price History'!$A:$A))-'Price History'!N3)*(ROW()-3)/(MATCH(9.99E+307,'Returns (Calc)'!$A:$A)-3),"")</f>
        <v>463.419245283019</v>
      </c>
      <c r="AJ95" s="111" t="n">
        <f aca="false">IFERROR('Price History'!O3+(INDEX('Price History'!O:O,MATCH(9.99E+307,'Price History'!$A:$A))-'Price History'!O3)*(ROW()-3)/(MATCH(9.99E+307,'Returns (Calc)'!$A:$A)-3),"")</f>
        <v>108.355408805031</v>
      </c>
      <c r="AK95" s="111" t="n">
        <f aca="false">IFERROR('Price History'!Q3+(INDEX('Price History'!Q:Q,MATCH(9.99E+307,'Price History'!$A:$A))-'Price History'!Q3)*(ROW()-3)/(MATCH(9.99E+307,'Returns (Calc)'!$A:$A)-3),"")</f>
        <v>61.342893081761</v>
      </c>
      <c r="AL95" s="111" t="n">
        <f aca="false">IFERROR('Price History'!R3+(INDEX('Price History'!R:R,MATCH(9.99E+307,'Price History'!$A:$A))-'Price History'!R3)*(ROW()-3)/(MATCH(9.99E+307,'Returns (Calc)'!$A:$A)-3),"")</f>
        <v>54.7923270440252</v>
      </c>
      <c r="AM95" s="111" t="n">
        <f aca="false">IFERROR('Price History'!S3+(INDEX('Price History'!S:S,MATCH(9.99E+307,'Price History'!$A:$A))-'Price History'!S3)*(ROW()-3)/(MATCH(9.99E+307,'Returns (Calc)'!$A:$A)-3),"")</f>
        <v>111.298238993711</v>
      </c>
      <c r="AN95" s="111" t="n">
        <f aca="false">IFERROR('Price History'!T3+(INDEX('Price History'!T:T,MATCH(9.99E+307,'Price History'!$A:$A))-'Price History'!T3)*(ROW()-3)/(MATCH(9.99E+307,'Returns (Calc)'!$A:$A)-3),"")</f>
        <v>43.3311320754717</v>
      </c>
      <c r="AO95" s="112" t="n">
        <f aca="false">IFERROR('Price History'!V3+(INDEX('Price History'!V:V,MATCH(9.99E+307,'Price History'!$A:$A))-'Price History'!V3)*(ROW()-3)/(MATCH(9.99E+307,'Returns (Calc)'!$A:$A)-3),"")</f>
        <v>217.021635220126</v>
      </c>
    </row>
    <row r="96" customFormat="false" ht="15" hidden="false" customHeight="true" outlineLevel="0" collapsed="false">
      <c r="A96" s="108" t="n">
        <f aca="false">IF('Price History'!A97="","",'Price History'!A97)</f>
        <v>45807</v>
      </c>
      <c r="B96" s="109" t="n">
        <f aca="false">IFERROR(IF(OR(NOT(ISNUMBER('Price History'!B97)),NOT(ISNUMBER('Price History'!B96)),'Price History'!B96=0),"",'Price History'!B97/'Price History'!B96-1),"")</f>
        <v>0.018151046137997</v>
      </c>
      <c r="C96" s="109" t="n">
        <f aca="false">IFERROR(IF(OR(NOT(ISNUMBER('Price History'!C97)),NOT(ISNUMBER('Price History'!C96)),'Price History'!C96=0),"",'Price History'!C97/'Price History'!C96-1),"")</f>
        <v>-0.05</v>
      </c>
      <c r="D96" s="109" t="n">
        <f aca="false">IFERROR(IF(OR(NOT(ISNUMBER('Price History'!D97)),NOT(ISNUMBER('Price History'!D96)),'Price History'!D96=0),"",'Price History'!D97/'Price History'!D96-1),"")</f>
        <v>0.00584308318202287</v>
      </c>
      <c r="E96" s="109" t="n">
        <f aca="false">IFERROR(IF(OR(NOT(ISNUMBER('Price History'!E97)),NOT(ISNUMBER('Price History'!E96)),'Price History'!E96=0),"",'Price History'!E97/'Price History'!E96-1),"")</f>
        <v>0.0583683105981112</v>
      </c>
      <c r="F96" s="109" t="n">
        <f aca="false">IFERROR(IF(OR(NOT(ISNUMBER('Price History'!F97)),NOT(ISNUMBER('Price History'!F96)),'Price History'!F96=0),"",'Price History'!F97/'Price History'!F96-1),"")</f>
        <v>0.0345917471466197</v>
      </c>
      <c r="G96" s="109" t="n">
        <f aca="false">IFERROR(IF(OR(NOT(ISNUMBER('Price History'!G97)),NOT(ISNUMBER('Price History'!G96)),'Price History'!G96=0),"",'Price History'!G97/'Price History'!G96-1),"")</f>
        <v>-0.00039619651347067</v>
      </c>
      <c r="H96" s="109" t="n">
        <f aca="false">IFERROR(IF(OR(NOT(ISNUMBER('Price History'!H97)),NOT(ISNUMBER('Price History'!H96)),'Price History'!H96=0),"",'Price History'!H97/'Price History'!H96-1),"")</f>
        <v>0.011673985220092</v>
      </c>
      <c r="I96" s="109" t="n">
        <f aca="false">IFERROR(IF(OR(NOT(ISNUMBER('Price History'!I97)),NOT(ISNUMBER('Price History'!I96)),'Price History'!I96=0),"",'Price History'!I97/'Price History'!I96-1),"")</f>
        <v>0.029248229111128</v>
      </c>
      <c r="J96" s="109" t="n">
        <f aca="false">IFERROR(IF(OR(NOT(ISNUMBER('Price History'!J97)),NOT(ISNUMBER('Price History'!J96)),'Price History'!J96=0),"",'Price History'!J97/'Price History'!J96-1),"")</f>
        <v>0.043829296424452</v>
      </c>
      <c r="K96" s="109" t="n">
        <f aca="false">IFERROR(IF(OR(NOT(ISNUMBER('Price History'!K97)),NOT(ISNUMBER('Price History'!K96)),'Price History'!K96=0),"",'Price History'!K97/'Price History'!K96-1),"")</f>
        <v>0.0686886708296164</v>
      </c>
      <c r="L96" s="109" t="n">
        <f aca="false">IFERROR(IF(OR(NOT(ISNUMBER('Price History'!L97)),NOT(ISNUMBER('Price History'!L96)),'Price History'!L96=0),"",'Price History'!L97/'Price History'!L96-1),"")</f>
        <v>0.00697989373893115</v>
      </c>
      <c r="M96" s="109" t="n">
        <f aca="false">IFERROR(IF(OR(NOT(ISNUMBER('Price History'!M97)),NOT(ISNUMBER('Price History'!M96)),'Price History'!M96=0),"",'Price History'!M97/'Price History'!M96-1),"")</f>
        <v>0.0363933166890724</v>
      </c>
      <c r="N96" s="109" t="n">
        <f aca="false">IFERROR(IF(OR(NOT(ISNUMBER('Price History'!N97)),NOT(ISNUMBER('Price History'!N96)),'Price History'!N96=0),"",'Price History'!N97/'Price History'!N96-1),"")</f>
        <v>0.013876146788991</v>
      </c>
      <c r="O96" s="109" t="n">
        <f aca="false">IFERROR(IF(OR(NOT(ISNUMBER('Price History'!O97)),NOT(ISNUMBER('Price History'!O96)),'Price History'!O96=0),"",'Price History'!O97/'Price History'!O96-1),"")</f>
        <v>0.0117093330272069</v>
      </c>
      <c r="P96" s="109" t="str">
        <f aca="false">IFERROR(IF(OR(NOT(ISNUMBER('Price History'!P97)),NOT(ISNUMBER('Price History'!P96)),'Price History'!P96=0),"",'Price History'!P97/'Price History'!P96-1),"")</f>
        <v/>
      </c>
      <c r="Q96" s="109" t="n">
        <f aca="false">IFERROR(IF(OR(NOT(ISNUMBER('Price History'!Q97)),NOT(ISNUMBER('Price History'!Q96)),'Price History'!Q96=0),"",'Price History'!Q97/'Price History'!Q96-1),"")</f>
        <v>0.00348929421094368</v>
      </c>
      <c r="R96" s="109" t="n">
        <f aca="false">IFERROR(IF(OR(NOT(ISNUMBER('Price History'!R97)),NOT(ISNUMBER('Price History'!R96)),'Price History'!R96=0),"",'Price History'!R97/'Price History'!R96-1),"")</f>
        <v>0.0113374327440432</v>
      </c>
      <c r="S96" s="109" t="n">
        <f aca="false">IFERROR(IF(OR(NOT(ISNUMBER('Price History'!S97)),NOT(ISNUMBER('Price History'!S96)),'Price History'!S96=0),"",'Price History'!S97/'Price History'!S96-1),"")</f>
        <v>0.0243072435585805</v>
      </c>
      <c r="T96" s="109" t="n">
        <f aca="false">IFERROR(IF(OR(NOT(ISNUMBER('Price History'!T97)),NOT(ISNUMBER('Price History'!T96)),'Price History'!T96=0),"",'Price History'!T97/'Price History'!T96-1),"")</f>
        <v>0.007731192387749</v>
      </c>
      <c r="U96" s="109" t="str">
        <f aca="false">IFERROR(IF(OR(NOT(ISNUMBER('Price History'!U97)),NOT(ISNUMBER('Price History'!U96)),'Price History'!U96=0),"",'Price History'!U97/'Price History'!U96-1),"")</f>
        <v/>
      </c>
      <c r="V96" s="110" t="n">
        <f aca="false">IFERROR(IF(OR(NOT(ISNUMBER('Price History'!V97)),NOT(ISNUMBER('Price History'!V96)),'Price History'!V96=0),"",'Price History'!V97/'Price History'!V96-1),"")</f>
        <v>0.0329601279561294</v>
      </c>
      <c r="W96" s="111" t="n">
        <f aca="false">IFERROR('Price History'!B3+(INDEX('Price History'!B:B,MATCH(9.99E+307,'Price History'!$A:$A))-'Price History'!B3)*(ROW()-3)/(MATCH(9.99E+307,'Returns (Calc)'!$A:$A)-3),"")</f>
        <v>366.937924528302</v>
      </c>
      <c r="X96" s="111" t="n">
        <f aca="false">IFERROR('Price History'!C3+(INDEX('Price History'!C:C,MATCH(9.99E+307,'Price History'!$A:$A))-'Price History'!C3)*(ROW()-3)/(MATCH(9.99E+307,'Returns (Calc)'!$A:$A)-3),"")</f>
        <v>131.499245283019</v>
      </c>
      <c r="Y96" s="111" t="n">
        <f aca="false">IFERROR('Price History'!D3+(INDEX('Price History'!D:D,MATCH(9.99E+307,'Price History'!$A:$A))-'Price History'!D3)*(ROW()-3)/(MATCH(9.99E+307,'Returns (Calc)'!$A:$A)-3),"")</f>
        <v>1277.7441509434</v>
      </c>
      <c r="Z96" s="111" t="n">
        <f aca="false">IFERROR('Price History'!E3+(INDEX('Price History'!E:E,MATCH(9.99E+307,'Price History'!$A:$A))-'Price History'!E3)*(ROW()-3)/(MATCH(9.99E+307,'Returns (Calc)'!$A:$A)-3),"")</f>
        <v>243.782264150943</v>
      </c>
      <c r="AA96" s="111" t="n">
        <f aca="false">IFERROR('Price History'!F3+(INDEX('Price History'!F:F,MATCH(9.99E+307,'Price History'!$A:$A))-'Price History'!F3)*(ROW()-3)/(MATCH(9.99E+307,'Returns (Calc)'!$A:$A)-3),"")</f>
        <v>140.02679245283</v>
      </c>
      <c r="AB96" s="111" t="n">
        <f aca="false">IFERROR('Price History'!G3+(INDEX('Price History'!G:G,MATCH(9.99E+307,'Price History'!$A:$A))-'Price History'!G3)*(ROW()-3)/(MATCH(9.99E+307,'Returns (Calc)'!$A:$A)-3),"")</f>
        <v>128.441509433962</v>
      </c>
      <c r="AC96" s="111" t="n">
        <f aca="false">IFERROR('Price History'!H3+(INDEX('Price History'!H:H,MATCH(9.99E+307,'Price History'!$A:$A))-'Price History'!H3)*(ROW()-3)/(MATCH(9.99E+307,'Returns (Calc)'!$A:$A)-3),"")</f>
        <v>621.328867924528</v>
      </c>
      <c r="AD96" s="111" t="n">
        <f aca="false">IFERROR('Price History'!I3+(INDEX('Price History'!I:I,MATCH(9.99E+307,'Price History'!$A:$A))-'Price History'!I3)*(ROW()-3)/(MATCH(9.99E+307,'Returns (Calc)'!$A:$A)-3),"")</f>
        <v>151.695471698113</v>
      </c>
      <c r="AE96" s="111" t="n">
        <f aca="false">IFERROR('Price History'!J3+(INDEX('Price History'!J:J,MATCH(9.99E+307,'Price History'!$A:$A))-'Price History'!J3)*(ROW()-3)/(MATCH(9.99E+307,'Returns (Calc)'!$A:$A)-3),"")</f>
        <v>131.599245283019</v>
      </c>
      <c r="AF96" s="111" t="n">
        <f aca="false">IFERROR('Price History'!K3+(INDEX('Price History'!K:K,MATCH(9.99E+307,'Price History'!$A:$A))-'Price History'!K3)*(ROW()-3)/(MATCH(9.99E+307,'Returns (Calc)'!$A:$A)-3),"")</f>
        <v>108.36320754717</v>
      </c>
      <c r="AG96" s="111" t="n">
        <f aca="false">IFERROR('Price History'!L3+(INDEX('Price History'!L:L,MATCH(9.99E+307,'Price History'!$A:$A))-'Price History'!L3)*(ROW()-3)/(MATCH(9.99E+307,'Returns (Calc)'!$A:$A)-3),"")</f>
        <v>289.05641509434</v>
      </c>
      <c r="AH96" s="111" t="n">
        <f aca="false">IFERROR('Price History'!M3+(INDEX('Price History'!M:M,MATCH(9.99E+307,'Price History'!$A:$A))-'Price History'!M3)*(ROW()-3)/(MATCH(9.99E+307,'Returns (Calc)'!$A:$A)-3),"")</f>
        <v>177.993396226415</v>
      </c>
      <c r="AI96" s="111" t="n">
        <f aca="false">IFERROR('Price History'!N3+(INDEX('Price History'!N:N,MATCH(9.99E+307,'Price History'!$A:$A))-'Price History'!N3)*(ROW()-3)/(MATCH(9.99E+307,'Returns (Calc)'!$A:$A)-3),"")</f>
        <v>464.65358490566</v>
      </c>
      <c r="AJ96" s="111" t="n">
        <f aca="false">IFERROR('Price History'!O3+(INDEX('Price History'!O:O,MATCH(9.99E+307,'Price History'!$A:$A))-'Price History'!O3)*(ROW()-3)/(MATCH(9.99E+307,'Returns (Calc)'!$A:$A)-3),"")</f>
        <v>108.632641509434</v>
      </c>
      <c r="AK96" s="111" t="n">
        <f aca="false">IFERROR('Price History'!Q3+(INDEX('Price History'!Q:Q,MATCH(9.99E+307,'Price History'!$A:$A))-'Price History'!Q3)*(ROW()-3)/(MATCH(9.99E+307,'Returns (Calc)'!$A:$A)-3),"")</f>
        <v>61.4679245283019</v>
      </c>
      <c r="AL96" s="111" t="n">
        <f aca="false">IFERROR('Price History'!R3+(INDEX('Price History'!R:R,MATCH(9.99E+307,'Price History'!$A:$A))-'Price History'!R3)*(ROW()-3)/(MATCH(9.99E+307,'Returns (Calc)'!$A:$A)-3),"")</f>
        <v>54.8681132075472</v>
      </c>
      <c r="AM96" s="111" t="n">
        <f aca="false">IFERROR('Price History'!S3+(INDEX('Price History'!S:S,MATCH(9.99E+307,'Price History'!$A:$A))-'Price History'!S3)*(ROW()-3)/(MATCH(9.99E+307,'Returns (Calc)'!$A:$A)-3),"")</f>
        <v>111.871698113208</v>
      </c>
      <c r="AN96" s="111" t="n">
        <f aca="false">IFERROR('Price History'!T3+(INDEX('Price History'!T:T,MATCH(9.99E+307,'Price History'!$A:$A))-'Price History'!T3)*(ROW()-3)/(MATCH(9.99E+307,'Returns (Calc)'!$A:$A)-3),"")</f>
        <v>43.5096226415094</v>
      </c>
      <c r="AO96" s="112" t="n">
        <f aca="false">IFERROR('Price History'!V3+(INDEX('Price History'!V:V,MATCH(9.99E+307,'Price History'!$A:$A))-'Price History'!V3)*(ROW()-3)/(MATCH(9.99E+307,'Returns (Calc)'!$A:$A)-3),"")</f>
        <v>219.380566037736</v>
      </c>
    </row>
    <row r="97" customFormat="false" ht="15" hidden="false" customHeight="true" outlineLevel="0" collapsed="false">
      <c r="A97" s="108" t="n">
        <f aca="false">IF('Price History'!A98="","",'Price History'!A98)</f>
        <v>45814</v>
      </c>
      <c r="B97" s="109" t="n">
        <f aca="false">IFERROR(IF(OR(NOT(ISNUMBER('Price History'!B98)),NOT(ISNUMBER('Price History'!B97)),'Price History'!B97=0),"",'Price History'!B98/'Price History'!B97-1),"")</f>
        <v>0.00440868245440762</v>
      </c>
      <c r="C97" s="109" t="n">
        <f aca="false">IFERROR(IF(OR(NOT(ISNUMBER('Price History'!C98)),NOT(ISNUMBER('Price History'!C97)),'Price History'!C97=0),"",'Price History'!C98/'Price History'!C97-1),"")</f>
        <v>0.122460757156048</v>
      </c>
      <c r="D97" s="109" t="n">
        <f aca="false">IFERROR(IF(OR(NOT(ISNUMBER('Price History'!D98)),NOT(ISNUMBER('Price History'!D97)),'Price History'!D97=0),"",'Price History'!D98/'Price History'!D97-1),"")</f>
        <v>0.0220557297392674</v>
      </c>
      <c r="E97" s="109" t="n">
        <f aca="false">IFERROR(IF(OR(NOT(ISNUMBER('Price History'!E98)),NOT(ISNUMBER('Price History'!E97)),'Price History'!E97=0),"",'Price History'!E98/'Price History'!E97-1),"")</f>
        <v>0.0200768372784732</v>
      </c>
      <c r="F97" s="109" t="n">
        <f aca="false">IFERROR(IF(OR(NOT(ISNUMBER('Price History'!F98)),NOT(ISNUMBER('Price History'!F97)),'Price History'!F97=0),"",'Price History'!F98/'Price History'!F97-1),"")</f>
        <v>-0.00627970128988464</v>
      </c>
      <c r="G97" s="109" t="n">
        <f aca="false">IFERROR(IF(OR(NOT(ISNUMBER('Price History'!G98)),NOT(ISNUMBER('Price History'!G97)),'Price History'!G97=0),"",'Price History'!G98/'Price History'!G97-1),"")</f>
        <v>0.0675122209010437</v>
      </c>
      <c r="H97" s="109" t="n">
        <f aca="false">IFERROR(IF(OR(NOT(ISNUMBER('Price History'!H98)),NOT(ISNUMBER('Price History'!H97)),'Price History'!H97=0),"",'Price History'!H98/'Price History'!H97-1),"")</f>
        <v>0.14926953207707</v>
      </c>
      <c r="I97" s="109" t="n">
        <f aca="false">IFERROR(IF(OR(NOT(ISNUMBER('Price History'!I98)),NOT(ISNUMBER('Price History'!I97)),'Price History'!I97=0),"",'Price History'!I98/'Price History'!I97-1),"")</f>
        <v>0.0487678531784208</v>
      </c>
      <c r="J97" s="109" t="n">
        <f aca="false">IFERROR(IF(OR(NOT(ISNUMBER('Price History'!J98)),NOT(ISNUMBER('Price History'!J97)),'Price History'!J97=0),"",'Price History'!J98/'Price History'!J97-1),"")</f>
        <v>0.00174953959484347</v>
      </c>
      <c r="K97" s="109" t="n">
        <f aca="false">IFERROR(IF(OR(NOT(ISNUMBER('Price History'!K98)),NOT(ISNUMBER('Price History'!K97)),'Price History'!K97=0),"",'Price History'!K98/'Price History'!K97-1),"")</f>
        <v>-0.0308089239641828</v>
      </c>
      <c r="L97" s="109" t="n">
        <f aca="false">IFERROR(IF(OR(NOT(ISNUMBER('Price History'!L98)),NOT(ISNUMBER('Price History'!L97)),'Price History'!L97=0),"",'Price History'!L98/'Price History'!L97-1),"")</f>
        <v>0.0613490585557626</v>
      </c>
      <c r="M97" s="109" t="n">
        <f aca="false">IFERROR(IF(OR(NOT(ISNUMBER('Price History'!M98)),NOT(ISNUMBER('Price History'!M97)),'Price History'!M97=0),"",'Price History'!M98/'Price History'!M97-1),"")</f>
        <v>0.0688409154081349</v>
      </c>
      <c r="N97" s="109" t="n">
        <f aca="false">IFERROR(IF(OR(NOT(ISNUMBER('Price History'!N98)),NOT(ISNUMBER('Price History'!N97)),'Price History'!N97=0),"",'Price History'!N98/'Price History'!N97-1),"")</f>
        <v>0.0191154846736794</v>
      </c>
      <c r="O97" s="109" t="n">
        <f aca="false">IFERROR(IF(OR(NOT(ISNUMBER('Price History'!O98)),NOT(ISNUMBER('Price History'!O97)),'Price History'!O97=0),"",'Price History'!O98/'Price History'!O97-1),"")</f>
        <v>0.0184954045160559</v>
      </c>
      <c r="P97" s="109" t="str">
        <f aca="false">IFERROR(IF(OR(NOT(ISNUMBER('Price History'!P98)),NOT(ISNUMBER('Price History'!P97)),'Price History'!P97=0),"",'Price History'!P98/'Price History'!P97-1),"")</f>
        <v/>
      </c>
      <c r="Q97" s="109" t="n">
        <f aca="false">IFERROR(IF(OR(NOT(ISNUMBER('Price History'!Q98)),NOT(ISNUMBER('Price History'!Q97)),'Price History'!Q97=0),"",'Price History'!Q98/'Price History'!Q97-1),"")</f>
        <v>0.00221273905484432</v>
      </c>
      <c r="R97" s="109" t="n">
        <f aca="false">IFERROR(IF(OR(NOT(ISNUMBER('Price History'!R98)),NOT(ISNUMBER('Price History'!R97)),'Price History'!R97=0),"",'Price History'!R98/'Price History'!R97-1),"")</f>
        <v>0.00133003990119707</v>
      </c>
      <c r="S97" s="109" t="n">
        <f aca="false">IFERROR(IF(OR(NOT(ISNUMBER('Price History'!S98)),NOT(ISNUMBER('Price History'!S97)),'Price History'!S97=0),"",'Price History'!S98/'Price History'!S97-1),"")</f>
        <v>0.0149027052681538</v>
      </c>
      <c r="T97" s="109" t="n">
        <f aca="false">IFERROR(IF(OR(NOT(ISNUMBER('Price History'!T98)),NOT(ISNUMBER('Price History'!T97)),'Price History'!T97=0),"",'Price History'!T98/'Price History'!T97-1),"")</f>
        <v>0.023605783416937</v>
      </c>
      <c r="U97" s="109" t="str">
        <f aca="false">IFERROR(IF(OR(NOT(ISNUMBER('Price History'!U98)),NOT(ISNUMBER('Price History'!U97)),'Price History'!U97=0),"",'Price History'!U98/'Price History'!U97-1),"")</f>
        <v/>
      </c>
      <c r="V97" s="110" t="n">
        <f aca="false">IFERROR(IF(OR(NOT(ISNUMBER('Price History'!V98)),NOT(ISNUMBER('Price History'!V97)),'Price History'!V97=0),"",'Price History'!V98/'Price History'!V97-1),"")</f>
        <v>0.0137698390753747</v>
      </c>
      <c r="W97" s="111" t="n">
        <f aca="false">IFERROR('Price History'!B3+(INDEX('Price History'!B:B,MATCH(9.99E+307,'Price History'!$A:$A))-'Price History'!B3)*(ROW()-3)/(MATCH(9.99E+307,'Returns (Calc)'!$A:$A)-3),"")</f>
        <v>365.416289308176</v>
      </c>
      <c r="X97" s="111" t="n">
        <f aca="false">IFERROR('Price History'!C3+(INDEX('Price History'!C:C,MATCH(9.99E+307,'Price History'!$A:$A))-'Price History'!C3)*(ROW()-3)/(MATCH(9.99E+307,'Returns (Calc)'!$A:$A)-3),"")</f>
        <v>132.442893081761</v>
      </c>
      <c r="Y97" s="111" t="n">
        <f aca="false">IFERROR('Price History'!D3+(INDEX('Price History'!D:D,MATCH(9.99E+307,'Price History'!$A:$A))-'Price History'!D3)*(ROW()-3)/(MATCH(9.99E+307,'Returns (Calc)'!$A:$A)-3),"")</f>
        <v>1284.36742138365</v>
      </c>
      <c r="Z97" s="111" t="n">
        <f aca="false">IFERROR('Price History'!E3+(INDEX('Price History'!E:E,MATCH(9.99E+307,'Price History'!$A:$A))-'Price History'!E3)*(ROW()-3)/(MATCH(9.99E+307,'Returns (Calc)'!$A:$A)-3),"")</f>
        <v>245.511320754717</v>
      </c>
      <c r="AA97" s="111" t="n">
        <f aca="false">IFERROR('Price History'!F3+(INDEX('Price History'!F:F,MATCH(9.99E+307,'Price History'!$A:$A))-'Price History'!F3)*(ROW()-3)/(MATCH(9.99E+307,'Returns (Calc)'!$A:$A)-3),"")</f>
        <v>141.133962264151</v>
      </c>
      <c r="AB97" s="111" t="n">
        <f aca="false">IFERROR('Price History'!G3+(INDEX('Price History'!G:G,MATCH(9.99E+307,'Price History'!$A:$A))-'Price History'!G3)*(ROW()-3)/(MATCH(9.99E+307,'Returns (Calc)'!$A:$A)-3),"")</f>
        <v>129.307547169811</v>
      </c>
      <c r="AC97" s="111" t="n">
        <f aca="false">IFERROR('Price History'!H3+(INDEX('Price History'!H:H,MATCH(9.99E+307,'Price History'!$A:$A))-'Price History'!H3)*(ROW()-3)/(MATCH(9.99E+307,'Returns (Calc)'!$A:$A)-3),"")</f>
        <v>627.317672955975</v>
      </c>
      <c r="AD97" s="111" t="n">
        <f aca="false">IFERROR('Price History'!I3+(INDEX('Price History'!I:I,MATCH(9.99E+307,'Price History'!$A:$A))-'Price History'!I3)*(ROW()-3)/(MATCH(9.99E+307,'Returns (Calc)'!$A:$A)-3),"")</f>
        <v>152.887358490566</v>
      </c>
      <c r="AE97" s="111" t="n">
        <f aca="false">IFERROR('Price History'!J3+(INDEX('Price History'!J:J,MATCH(9.99E+307,'Price History'!$A:$A))-'Price History'!J3)*(ROW()-3)/(MATCH(9.99E+307,'Returns (Calc)'!$A:$A)-3),"")</f>
        <v>131.686226415094</v>
      </c>
      <c r="AF97" s="111" t="n">
        <f aca="false">IFERROR('Price History'!K3+(INDEX('Price History'!K:K,MATCH(9.99E+307,'Price History'!$A:$A))-'Price History'!K3)*(ROW()-3)/(MATCH(9.99E+307,'Returns (Calc)'!$A:$A)-3),"")</f>
        <v>109.362704402516</v>
      </c>
      <c r="AG97" s="111" t="n">
        <f aca="false">IFERROR('Price History'!L3+(INDEX('Price History'!L:L,MATCH(9.99E+307,'Price History'!$A:$A))-'Price History'!L3)*(ROW()-3)/(MATCH(9.99E+307,'Returns (Calc)'!$A:$A)-3),"")</f>
        <v>291.175408805031</v>
      </c>
      <c r="AH97" s="111" t="n">
        <f aca="false">IFERROR('Price History'!M3+(INDEX('Price History'!M:M,MATCH(9.99E+307,'Price History'!$A:$A))-'Price History'!M3)*(ROW()-3)/(MATCH(9.99E+307,'Returns (Calc)'!$A:$A)-3),"")</f>
        <v>179.546981132075</v>
      </c>
      <c r="AI97" s="111" t="n">
        <f aca="false">IFERROR('Price History'!N3+(INDEX('Price History'!N:N,MATCH(9.99E+307,'Price History'!$A:$A))-'Price History'!N3)*(ROW()-3)/(MATCH(9.99E+307,'Returns (Calc)'!$A:$A)-3),"")</f>
        <v>465.887924528302</v>
      </c>
      <c r="AJ97" s="111" t="n">
        <f aca="false">IFERROR('Price History'!O3+(INDEX('Price History'!O:O,MATCH(9.99E+307,'Price History'!$A:$A))-'Price History'!O3)*(ROW()-3)/(MATCH(9.99E+307,'Returns (Calc)'!$A:$A)-3),"")</f>
        <v>108.909874213836</v>
      </c>
      <c r="AK97" s="111" t="n">
        <f aca="false">IFERROR('Price History'!Q3+(INDEX('Price History'!Q:Q,MATCH(9.99E+307,'Price History'!$A:$A))-'Price History'!Q3)*(ROW()-3)/(MATCH(9.99E+307,'Returns (Calc)'!$A:$A)-3),"")</f>
        <v>61.5929559748428</v>
      </c>
      <c r="AL97" s="111" t="n">
        <f aca="false">IFERROR('Price History'!R3+(INDEX('Price History'!R:R,MATCH(9.99E+307,'Price History'!$A:$A))-'Price History'!R3)*(ROW()-3)/(MATCH(9.99E+307,'Returns (Calc)'!$A:$A)-3),"")</f>
        <v>54.9438993710692</v>
      </c>
      <c r="AM97" s="111" t="n">
        <f aca="false">IFERROR('Price History'!S3+(INDEX('Price History'!S:S,MATCH(9.99E+307,'Price History'!$A:$A))-'Price History'!S3)*(ROW()-3)/(MATCH(9.99E+307,'Returns (Calc)'!$A:$A)-3),"")</f>
        <v>112.445157232704</v>
      </c>
      <c r="AN97" s="111" t="n">
        <f aca="false">IFERROR('Price History'!T3+(INDEX('Price History'!T:T,MATCH(9.99E+307,'Price History'!$A:$A))-'Price History'!T3)*(ROW()-3)/(MATCH(9.99E+307,'Returns (Calc)'!$A:$A)-3),"")</f>
        <v>43.6881132075472</v>
      </c>
      <c r="AO97" s="112" t="n">
        <f aca="false">IFERROR('Price History'!V3+(INDEX('Price History'!V:V,MATCH(9.99E+307,'Price History'!$A:$A))-'Price History'!V3)*(ROW()-3)/(MATCH(9.99E+307,'Returns (Calc)'!$A:$A)-3),"")</f>
        <v>221.739496855346</v>
      </c>
    </row>
    <row r="98" customFormat="false" ht="15" hidden="false" customHeight="true" outlineLevel="0" collapsed="false">
      <c r="A98" s="108" t="n">
        <f aca="false">IF('Price History'!A99="","",'Price History'!A99)</f>
        <v>45821</v>
      </c>
      <c r="B98" s="109" t="n">
        <f aca="false">IFERROR(IF(OR(NOT(ISNUMBER('Price History'!B99)),NOT(ISNUMBER('Price History'!B98)),'Price History'!B98=0),"",'Price History'!B99/'Price History'!B98-1),"")</f>
        <v>-0.06053919217116</v>
      </c>
      <c r="C98" s="109" t="n">
        <f aca="false">IFERROR(IF(OR(NOT(ISNUMBER('Price History'!C99)),NOT(ISNUMBER('Price History'!C98)),'Price History'!C98=0),"",'Price History'!C99/'Price History'!C98-1),"")</f>
        <v>-0.0503856041131106</v>
      </c>
      <c r="D98" s="109" t="n">
        <f aca="false">IFERROR(IF(OR(NOT(ISNUMBER('Price History'!D99)),NOT(ISNUMBER('Price History'!D98)),'Price History'!D98=0),"",'Price History'!D99/'Price History'!D98-1),"")</f>
        <v>0.0105973280922154</v>
      </c>
      <c r="E98" s="109" t="n">
        <f aca="false">IFERROR(IF(OR(NOT(ISNUMBER('Price History'!E99)),NOT(ISNUMBER('Price History'!E98)),'Price History'!E98=0),"",'Price History'!E99/'Price History'!E98-1),"")</f>
        <v>0.00716802332644861</v>
      </c>
      <c r="F98" s="109" t="n">
        <f aca="false">IFERROR(IF(OR(NOT(ISNUMBER('Price History'!F99)),NOT(ISNUMBER('Price History'!F98)),'Price History'!F98=0),"",'Price History'!F99/'Price History'!F98-1),"")</f>
        <v>0.026131511528608</v>
      </c>
      <c r="G98" s="109" t="n">
        <f aca="false">IFERROR(IF(OR(NOT(ISNUMBER('Price History'!G99)),NOT(ISNUMBER('Price History'!G98)),'Price History'!G98=0),"",'Price History'!G99/'Price History'!G98-1),"")</f>
        <v>0.0738861386138614</v>
      </c>
      <c r="H98" s="109" t="n">
        <f aca="false">IFERROR(IF(OR(NOT(ISNUMBER('Price History'!H99)),NOT(ISNUMBER('Price History'!H98)),'Price History'!H98=0),"",'Price History'!H99/'Price History'!H98-1),"")</f>
        <v>0.06484893146647</v>
      </c>
      <c r="I98" s="109" t="n">
        <f aca="false">IFERROR(IF(OR(NOT(ISNUMBER('Price History'!I99)),NOT(ISNUMBER('Price History'!I98)),'Price History'!I98=0),"",'Price History'!I99/'Price History'!I98-1),"")</f>
        <v>0.00176404177250911</v>
      </c>
      <c r="J98" s="109" t="n">
        <f aca="false">IFERROR(IF(OR(NOT(ISNUMBER('Price History'!J99)),NOT(ISNUMBER('Price History'!J98)),'Price History'!J98=0),"",'Price History'!J99/'Price History'!J98-1),"")</f>
        <v>-0.0138799522014892</v>
      </c>
      <c r="K98" s="109" t="n">
        <f aca="false">IFERROR(IF(OR(NOT(ISNUMBER('Price History'!K99)),NOT(ISNUMBER('Price History'!K98)),'Price History'!K98=0),"",'Price History'!K99/'Price History'!K98-1),"")</f>
        <v>0.0757907923582839</v>
      </c>
      <c r="L98" s="109" t="n">
        <f aca="false">IFERROR(IF(OR(NOT(ISNUMBER('Price History'!L99)),NOT(ISNUMBER('Price History'!L98)),'Price History'!L98=0),"",'Price History'!L99/'Price History'!L98-1),"")</f>
        <v>0.0288527146895408</v>
      </c>
      <c r="M98" s="109" t="n">
        <f aca="false">IFERROR(IF(OR(NOT(ISNUMBER('Price History'!M99)),NOT(ISNUMBER('Price History'!M98)),'Price History'!M98=0),"",'Price History'!M99/'Price History'!M98-1),"")</f>
        <v>-0.0380547850208044</v>
      </c>
      <c r="N98" s="109" t="n">
        <f aca="false">IFERROR(IF(OR(NOT(ISNUMBER('Price History'!N99)),NOT(ISNUMBER('Price History'!N98)),'Price History'!N98=0),"",'Price History'!N99/'Price History'!N98-1),"")</f>
        <v>0.0109877913429524</v>
      </c>
      <c r="O98" s="109" t="n">
        <f aca="false">IFERROR(IF(OR(NOT(ISNUMBER('Price History'!O99)),NOT(ISNUMBER('Price History'!O98)),'Price History'!O98=0),"",'Price History'!O99/'Price History'!O98-1),"")</f>
        <v>-0.00601604278074874</v>
      </c>
      <c r="P98" s="109" t="str">
        <f aca="false">IFERROR(IF(OR(NOT(ISNUMBER('Price History'!P99)),NOT(ISNUMBER('Price History'!P98)),'Price History'!P98=0),"",'Price History'!P99/'Price History'!P98-1),"")</f>
        <v/>
      </c>
      <c r="Q98" s="109" t="n">
        <f aca="false">IFERROR(IF(OR(NOT(ISNUMBER('Price History'!Q99)),NOT(ISNUMBER('Price History'!Q98)),'Price History'!Q98=0),"",'Price History'!Q99/'Price History'!Q98-1),"")</f>
        <v>-0.010408452925406</v>
      </c>
      <c r="R98" s="109" t="n">
        <f aca="false">IFERROR(IF(OR(NOT(ISNUMBER('Price History'!R99)),NOT(ISNUMBER('Price History'!R98)),'Price History'!R98=0),"",'Price History'!R99/'Price History'!R98-1),"")</f>
        <v>-0.00208728652751422</v>
      </c>
      <c r="S98" s="109" t="n">
        <f aca="false">IFERROR(IF(OR(NOT(ISNUMBER('Price History'!S99)),NOT(ISNUMBER('Price History'!S98)),'Price History'!S98=0),"",'Price History'!S99/'Price History'!S98-1),"")</f>
        <v>-0.00710811821922941</v>
      </c>
      <c r="T98" s="109" t="n">
        <f aca="false">IFERROR(IF(OR(NOT(ISNUMBER('Price History'!T99)),NOT(ISNUMBER('Price History'!T98)),'Price History'!T98=0),"",'Price History'!T99/'Price History'!T98-1),"")</f>
        <v>0.0109541654655521</v>
      </c>
      <c r="U98" s="109" t="str">
        <f aca="false">IFERROR(IF(OR(NOT(ISNUMBER('Price History'!U99)),NOT(ISNUMBER('Price History'!U98)),'Price History'!U98=0),"",'Price History'!U99/'Price History'!U98-1),"")</f>
        <v/>
      </c>
      <c r="V98" s="110" t="n">
        <f aca="false">IFERROR(IF(OR(NOT(ISNUMBER('Price History'!V99)),NOT(ISNUMBER('Price History'!V98)),'Price History'!V98=0),"",'Price History'!V99/'Price History'!V98-1),"")</f>
        <v>-0.0469125027274711</v>
      </c>
      <c r="W98" s="111" t="n">
        <f aca="false">IFERROR('Price History'!B3+(INDEX('Price History'!B:B,MATCH(9.99E+307,'Price History'!$A:$A))-'Price History'!B3)*(ROW()-3)/(MATCH(9.99E+307,'Returns (Calc)'!$A:$A)-3),"")</f>
        <v>363.89465408805</v>
      </c>
      <c r="X98" s="111" t="n">
        <f aca="false">IFERROR('Price History'!C3+(INDEX('Price History'!C:C,MATCH(9.99E+307,'Price History'!$A:$A))-'Price History'!C3)*(ROW()-3)/(MATCH(9.99E+307,'Returns (Calc)'!$A:$A)-3),"")</f>
        <v>133.386540880503</v>
      </c>
      <c r="Y98" s="111" t="n">
        <f aca="false">IFERROR('Price History'!D3+(INDEX('Price History'!D:D,MATCH(9.99E+307,'Price History'!$A:$A))-'Price History'!D3)*(ROW()-3)/(MATCH(9.99E+307,'Returns (Calc)'!$A:$A)-3),"")</f>
        <v>1290.9906918239</v>
      </c>
      <c r="Z98" s="111" t="n">
        <f aca="false">IFERROR('Price History'!E3+(INDEX('Price History'!E:E,MATCH(9.99E+307,'Price History'!$A:$A))-'Price History'!E3)*(ROW()-3)/(MATCH(9.99E+307,'Returns (Calc)'!$A:$A)-3),"")</f>
        <v>247.240377358491</v>
      </c>
      <c r="AA98" s="111" t="n">
        <f aca="false">IFERROR('Price History'!F3+(INDEX('Price History'!F:F,MATCH(9.99E+307,'Price History'!$A:$A))-'Price History'!F3)*(ROW()-3)/(MATCH(9.99E+307,'Returns (Calc)'!$A:$A)-3),"")</f>
        <v>142.241132075472</v>
      </c>
      <c r="AB98" s="111" t="n">
        <f aca="false">IFERROR('Price History'!G3+(INDEX('Price History'!G:G,MATCH(9.99E+307,'Price History'!$A:$A))-'Price History'!G3)*(ROW()-3)/(MATCH(9.99E+307,'Returns (Calc)'!$A:$A)-3),"")</f>
        <v>130.17358490566</v>
      </c>
      <c r="AC98" s="111" t="n">
        <f aca="false">IFERROR('Price History'!H3+(INDEX('Price History'!H:H,MATCH(9.99E+307,'Price History'!$A:$A))-'Price History'!H3)*(ROW()-3)/(MATCH(9.99E+307,'Returns (Calc)'!$A:$A)-3),"")</f>
        <v>633.306477987421</v>
      </c>
      <c r="AD98" s="111" t="n">
        <f aca="false">IFERROR('Price History'!I3+(INDEX('Price History'!I:I,MATCH(9.99E+307,'Price History'!$A:$A))-'Price History'!I3)*(ROW()-3)/(MATCH(9.99E+307,'Returns (Calc)'!$A:$A)-3),"")</f>
        <v>154.079245283019</v>
      </c>
      <c r="AE98" s="111" t="n">
        <f aca="false">IFERROR('Price History'!J3+(INDEX('Price History'!J:J,MATCH(9.99E+307,'Price History'!$A:$A))-'Price History'!J3)*(ROW()-3)/(MATCH(9.99E+307,'Returns (Calc)'!$A:$A)-3),"")</f>
        <v>131.77320754717</v>
      </c>
      <c r="AF98" s="111" t="n">
        <f aca="false">IFERROR('Price History'!K3+(INDEX('Price History'!K:K,MATCH(9.99E+307,'Price History'!$A:$A))-'Price History'!K3)*(ROW()-3)/(MATCH(9.99E+307,'Returns (Calc)'!$A:$A)-3),"")</f>
        <v>110.362201257862</v>
      </c>
      <c r="AG98" s="111" t="n">
        <f aca="false">IFERROR('Price History'!L3+(INDEX('Price History'!L:L,MATCH(9.99E+307,'Price History'!$A:$A))-'Price History'!L3)*(ROW()-3)/(MATCH(9.99E+307,'Returns (Calc)'!$A:$A)-3),"")</f>
        <v>293.294402515723</v>
      </c>
      <c r="AH98" s="111" t="n">
        <f aca="false">IFERROR('Price History'!M3+(INDEX('Price History'!M:M,MATCH(9.99E+307,'Price History'!$A:$A))-'Price History'!M3)*(ROW()-3)/(MATCH(9.99E+307,'Returns (Calc)'!$A:$A)-3),"")</f>
        <v>181.100566037736</v>
      </c>
      <c r="AI98" s="111" t="n">
        <f aca="false">IFERROR('Price History'!N3+(INDEX('Price History'!N:N,MATCH(9.99E+307,'Price History'!$A:$A))-'Price History'!N3)*(ROW()-3)/(MATCH(9.99E+307,'Returns (Calc)'!$A:$A)-3),"")</f>
        <v>467.122264150943</v>
      </c>
      <c r="AJ98" s="111" t="n">
        <f aca="false">IFERROR('Price History'!O3+(INDEX('Price History'!O:O,MATCH(9.99E+307,'Price History'!$A:$A))-'Price History'!O3)*(ROW()-3)/(MATCH(9.99E+307,'Returns (Calc)'!$A:$A)-3),"")</f>
        <v>109.187106918239</v>
      </c>
      <c r="AK98" s="111" t="n">
        <f aca="false">IFERROR('Price History'!Q3+(INDEX('Price History'!Q:Q,MATCH(9.99E+307,'Price History'!$A:$A))-'Price History'!Q3)*(ROW()-3)/(MATCH(9.99E+307,'Returns (Calc)'!$A:$A)-3),"")</f>
        <v>61.7179874213837</v>
      </c>
      <c r="AL98" s="111" t="n">
        <f aca="false">IFERROR('Price History'!R3+(INDEX('Price History'!R:R,MATCH(9.99E+307,'Price History'!$A:$A))-'Price History'!R3)*(ROW()-3)/(MATCH(9.99E+307,'Returns (Calc)'!$A:$A)-3),"")</f>
        <v>55.0196855345912</v>
      </c>
      <c r="AM98" s="111" t="n">
        <f aca="false">IFERROR('Price History'!S3+(INDEX('Price History'!S:S,MATCH(9.99E+307,'Price History'!$A:$A))-'Price History'!S3)*(ROW()-3)/(MATCH(9.99E+307,'Returns (Calc)'!$A:$A)-3),"")</f>
        <v>113.018616352201</v>
      </c>
      <c r="AN98" s="111" t="n">
        <f aca="false">IFERROR('Price History'!T3+(INDEX('Price History'!T:T,MATCH(9.99E+307,'Price History'!$A:$A))-'Price History'!T3)*(ROW()-3)/(MATCH(9.99E+307,'Returns (Calc)'!$A:$A)-3),"")</f>
        <v>43.8666037735849</v>
      </c>
      <c r="AO98" s="112" t="n">
        <f aca="false">IFERROR('Price History'!V3+(INDEX('Price History'!V:V,MATCH(9.99E+307,'Price History'!$A:$A))-'Price History'!V3)*(ROW()-3)/(MATCH(9.99E+307,'Returns (Calc)'!$A:$A)-3),"")</f>
        <v>224.098427672956</v>
      </c>
    </row>
    <row r="99" customFormat="false" ht="15" hidden="false" customHeight="true" outlineLevel="0" collapsed="false">
      <c r="A99" s="108" t="n">
        <f aca="false">IF('Price History'!A100="","",'Price History'!A100)</f>
        <v>45828</v>
      </c>
      <c r="B99" s="109" t="n">
        <f aca="false">IFERROR(IF(OR(NOT(ISNUMBER('Price History'!B100)),NOT(ISNUMBER('Price History'!B99)),'Price History'!B99=0),"",'Price History'!B100/'Price History'!B99-1),"")</f>
        <v>-0.0376838235294117</v>
      </c>
      <c r="C99" s="109" t="n">
        <f aca="false">IFERROR(IF(OR(NOT(ISNUMBER('Price History'!C100)),NOT(ISNUMBER('Price History'!C99)),'Price History'!C99=0),"",'Price History'!C100/'Price History'!C99-1),"")</f>
        <v>-0.0660530590146182</v>
      </c>
      <c r="D99" s="109" t="n">
        <f aca="false">IFERROR(IF(OR(NOT(ISNUMBER('Price History'!D100)),NOT(ISNUMBER('Price History'!D99)),'Price History'!D99=0),"",'Price History'!D100/'Price History'!D99-1),"")</f>
        <v>-0.00587385019710907</v>
      </c>
      <c r="E99" s="109" t="n">
        <f aca="false">IFERROR(IF(OR(NOT(ISNUMBER('Price History'!E100)),NOT(ISNUMBER('Price History'!E99)),'Price History'!E99=0),"",'Price History'!E100/'Price History'!E99-1),"")</f>
        <v>0.00518697225572984</v>
      </c>
      <c r="F99" s="109" t="n">
        <f aca="false">IFERROR(IF(OR(NOT(ISNUMBER('Price History'!F100)),NOT(ISNUMBER('Price History'!F99)),'Price History'!F99=0),"",'Price History'!F100/'Price History'!F99-1),"")</f>
        <v>-0.00898801597869503</v>
      </c>
      <c r="G99" s="109" t="n">
        <f aca="false">IFERROR(IF(OR(NOT(ISNUMBER('Price History'!G100)),NOT(ISNUMBER('Price History'!G99)),'Price History'!G99=0),"",'Price History'!G100/'Price History'!G99-1),"")</f>
        <v>-0.0203987553301832</v>
      </c>
      <c r="H99" s="109" t="n">
        <f aca="false">IFERROR(IF(OR(NOT(ISNUMBER('Price History'!H100)),NOT(ISNUMBER('Price History'!H99)),'Price History'!H99=0),"",'Price History'!H100/'Price History'!H99-1),"")</f>
        <v>0.0692041522491349</v>
      </c>
      <c r="I99" s="109" t="n">
        <f aca="false">IFERROR(IF(OR(NOT(ISNUMBER('Price History'!I100)),NOT(ISNUMBER('Price History'!I99)),'Price History'!I99=0),"",'Price History'!I100/'Price History'!I99-1),"")</f>
        <v>0.0132422342748468</v>
      </c>
      <c r="J99" s="109" t="n">
        <f aca="false">IFERROR(IF(OR(NOT(ISNUMBER('Price History'!J100)),NOT(ISNUMBER('Price History'!J99)),'Price History'!J99=0),"",'Price History'!J100/'Price History'!J99-1),"")</f>
        <v>-0.0148210290827741</v>
      </c>
      <c r="K99" s="109" t="n">
        <f aca="false">IFERROR(IF(OR(NOT(ISNUMBER('Price History'!K100)),NOT(ISNUMBER('Price History'!K99)),'Price History'!K99=0),"",'Price History'!K100/'Price History'!K99-1),"")</f>
        <v>-0.000727802037845615</v>
      </c>
      <c r="L99" s="109" t="n">
        <f aca="false">IFERROR(IF(OR(NOT(ISNUMBER('Price History'!L100)),NOT(ISNUMBER('Price History'!L99)),'Price History'!L99=0),"",'Price History'!L100/'Price History'!L99-1),"")</f>
        <v>-0.00753197536712458</v>
      </c>
      <c r="M99" s="109" t="n">
        <f aca="false">IFERROR(IF(OR(NOT(ISNUMBER('Price History'!M100)),NOT(ISNUMBER('Price History'!M99)),'Price History'!M99=0),"",'Price History'!M100/'Price History'!M99-1),"")</f>
        <v>0.0682166351266109</v>
      </c>
      <c r="N99" s="109" t="n">
        <f aca="false">IFERROR(IF(OR(NOT(ISNUMBER('Price History'!N100)),NOT(ISNUMBER('Price History'!N99)),'Price History'!N99=0),"",'Price History'!N100/'Price History'!N99-1),"")</f>
        <v>-0.0320122955318916</v>
      </c>
      <c r="O99" s="109" t="n">
        <f aca="false">IFERROR(IF(OR(NOT(ISNUMBER('Price History'!O100)),NOT(ISNUMBER('Price History'!O99)),'Price History'!O99=0),"",'Price History'!O100/'Price History'!O99-1),"")</f>
        <v>0.00168123739071957</v>
      </c>
      <c r="P99" s="109" t="str">
        <f aca="false">IFERROR(IF(OR(NOT(ISNUMBER('Price History'!P100)),NOT(ISNUMBER('Price History'!P99)),'Price History'!P99=0),"",'Price History'!P100/'Price History'!P99-1),"")</f>
        <v/>
      </c>
      <c r="Q99" s="109" t="n">
        <f aca="false">IFERROR(IF(OR(NOT(ISNUMBER('Price History'!Q100)),NOT(ISNUMBER('Price History'!Q99)),'Price History'!Q99=0),"",'Price History'!Q100/'Price History'!Q99-1),"")</f>
        <v>0.0114741035856574</v>
      </c>
      <c r="R99" s="109" t="n">
        <f aca="false">IFERROR(IF(OR(NOT(ISNUMBER('Price History'!R100)),NOT(ISNUMBER('Price History'!R99)),'Price History'!R99=0),"",'Price History'!R100/'Price History'!R99-1),"")</f>
        <v>0.00304240349876395</v>
      </c>
      <c r="S99" s="109" t="n">
        <f aca="false">IFERROR(IF(OR(NOT(ISNUMBER('Price History'!S100)),NOT(ISNUMBER('Price History'!S99)),'Price History'!S99=0),"",'Price History'!S100/'Price History'!S99-1),"")</f>
        <v>0.00706480783722685</v>
      </c>
      <c r="T99" s="109" t="n">
        <f aca="false">IFERROR(IF(OR(NOT(ISNUMBER('Price History'!T100)),NOT(ISNUMBER('Price History'!T99)),'Price History'!T99=0),"",'Price History'!T100/'Price History'!T99-1),"")</f>
        <v>-0.00114057599087536</v>
      </c>
      <c r="U99" s="109" t="str">
        <f aca="false">IFERROR(IF(OR(NOT(ISNUMBER('Price History'!U100)),NOT(ISNUMBER('Price History'!U99)),'Price History'!U99=0),"",'Price History'!U100/'Price History'!U99-1),"")</f>
        <v/>
      </c>
      <c r="V99" s="110" t="n">
        <f aca="false">IFERROR(IF(OR(NOT(ISNUMBER('Price History'!V100)),NOT(ISNUMBER('Price History'!V99)),'Price History'!V99=0),"",'Price History'!V100/'Price History'!V99-1),"")</f>
        <v>-0.0404933608058607</v>
      </c>
      <c r="W99" s="111" t="n">
        <f aca="false">IFERROR('Price History'!B3+(INDEX('Price History'!B:B,MATCH(9.99E+307,'Price History'!$A:$A))-'Price History'!B3)*(ROW()-3)/(MATCH(9.99E+307,'Returns (Calc)'!$A:$A)-3),"")</f>
        <v>362.373018867925</v>
      </c>
      <c r="X99" s="111" t="n">
        <f aca="false">IFERROR('Price History'!C3+(INDEX('Price History'!C:C,MATCH(9.99E+307,'Price History'!$A:$A))-'Price History'!C3)*(ROW()-3)/(MATCH(9.99E+307,'Returns (Calc)'!$A:$A)-3),"")</f>
        <v>134.330188679245</v>
      </c>
      <c r="Y99" s="111" t="n">
        <f aca="false">IFERROR('Price History'!D3+(INDEX('Price History'!D:D,MATCH(9.99E+307,'Price History'!$A:$A))-'Price History'!D3)*(ROW()-3)/(MATCH(9.99E+307,'Returns (Calc)'!$A:$A)-3),"")</f>
        <v>1297.61396226415</v>
      </c>
      <c r="Z99" s="111" t="n">
        <f aca="false">IFERROR('Price History'!E3+(INDEX('Price History'!E:E,MATCH(9.99E+307,'Price History'!$A:$A))-'Price History'!E3)*(ROW()-3)/(MATCH(9.99E+307,'Returns (Calc)'!$A:$A)-3),"")</f>
        <v>248.969433962264</v>
      </c>
      <c r="AA99" s="111" t="n">
        <f aca="false">IFERROR('Price History'!F3+(INDEX('Price History'!F:F,MATCH(9.99E+307,'Price History'!$A:$A))-'Price History'!F3)*(ROW()-3)/(MATCH(9.99E+307,'Returns (Calc)'!$A:$A)-3),"")</f>
        <v>143.348301886792</v>
      </c>
      <c r="AB99" s="111" t="n">
        <f aca="false">IFERROR('Price History'!G3+(INDEX('Price History'!G:G,MATCH(9.99E+307,'Price History'!$A:$A))-'Price History'!G3)*(ROW()-3)/(MATCH(9.99E+307,'Returns (Calc)'!$A:$A)-3),"")</f>
        <v>131.039622641509</v>
      </c>
      <c r="AC99" s="111" t="n">
        <f aca="false">IFERROR('Price History'!H3+(INDEX('Price History'!H:H,MATCH(9.99E+307,'Price History'!$A:$A))-'Price History'!H3)*(ROW()-3)/(MATCH(9.99E+307,'Returns (Calc)'!$A:$A)-3),"")</f>
        <v>639.295283018868</v>
      </c>
      <c r="AD99" s="111" t="n">
        <f aca="false">IFERROR('Price History'!I3+(INDEX('Price History'!I:I,MATCH(9.99E+307,'Price History'!$A:$A))-'Price History'!I3)*(ROW()-3)/(MATCH(9.99E+307,'Returns (Calc)'!$A:$A)-3),"")</f>
        <v>155.271132075472</v>
      </c>
      <c r="AE99" s="111" t="n">
        <f aca="false">IFERROR('Price History'!J3+(INDEX('Price History'!J:J,MATCH(9.99E+307,'Price History'!$A:$A))-'Price History'!J3)*(ROW()-3)/(MATCH(9.99E+307,'Returns (Calc)'!$A:$A)-3),"")</f>
        <v>131.860188679245</v>
      </c>
      <c r="AF99" s="111" t="n">
        <f aca="false">IFERROR('Price History'!K3+(INDEX('Price History'!K:K,MATCH(9.99E+307,'Price History'!$A:$A))-'Price History'!K3)*(ROW()-3)/(MATCH(9.99E+307,'Returns (Calc)'!$A:$A)-3),"")</f>
        <v>111.361698113208</v>
      </c>
      <c r="AG99" s="111" t="n">
        <f aca="false">IFERROR('Price History'!L3+(INDEX('Price History'!L:L,MATCH(9.99E+307,'Price History'!$A:$A))-'Price History'!L3)*(ROW()-3)/(MATCH(9.99E+307,'Returns (Calc)'!$A:$A)-3),"")</f>
        <v>295.413396226415</v>
      </c>
      <c r="AH99" s="111" t="n">
        <f aca="false">IFERROR('Price History'!M3+(INDEX('Price History'!M:M,MATCH(9.99E+307,'Price History'!$A:$A))-'Price History'!M3)*(ROW()-3)/(MATCH(9.99E+307,'Returns (Calc)'!$A:$A)-3),"")</f>
        <v>182.654150943396</v>
      </c>
      <c r="AI99" s="111" t="n">
        <f aca="false">IFERROR('Price History'!N3+(INDEX('Price History'!N:N,MATCH(9.99E+307,'Price History'!$A:$A))-'Price History'!N3)*(ROW()-3)/(MATCH(9.99E+307,'Returns (Calc)'!$A:$A)-3),"")</f>
        <v>468.356603773585</v>
      </c>
      <c r="AJ99" s="111" t="n">
        <f aca="false">IFERROR('Price History'!O3+(INDEX('Price History'!O:O,MATCH(9.99E+307,'Price History'!$A:$A))-'Price History'!O3)*(ROW()-3)/(MATCH(9.99E+307,'Returns (Calc)'!$A:$A)-3),"")</f>
        <v>109.464339622642</v>
      </c>
      <c r="AK99" s="111" t="n">
        <f aca="false">IFERROR('Price History'!Q3+(INDEX('Price History'!Q:Q,MATCH(9.99E+307,'Price History'!$A:$A))-'Price History'!Q3)*(ROW()-3)/(MATCH(9.99E+307,'Returns (Calc)'!$A:$A)-3),"")</f>
        <v>61.8430188679245</v>
      </c>
      <c r="AL99" s="111" t="n">
        <f aca="false">IFERROR('Price History'!R3+(INDEX('Price History'!R:R,MATCH(9.99E+307,'Price History'!$A:$A))-'Price History'!R3)*(ROW()-3)/(MATCH(9.99E+307,'Returns (Calc)'!$A:$A)-3),"")</f>
        <v>55.0954716981132</v>
      </c>
      <c r="AM99" s="111" t="n">
        <f aca="false">IFERROR('Price History'!S3+(INDEX('Price History'!S:S,MATCH(9.99E+307,'Price History'!$A:$A))-'Price History'!S3)*(ROW()-3)/(MATCH(9.99E+307,'Returns (Calc)'!$A:$A)-3),"")</f>
        <v>113.592075471698</v>
      </c>
      <c r="AN99" s="111" t="n">
        <f aca="false">IFERROR('Price History'!T3+(INDEX('Price History'!T:T,MATCH(9.99E+307,'Price History'!$A:$A))-'Price History'!T3)*(ROW()-3)/(MATCH(9.99E+307,'Returns (Calc)'!$A:$A)-3),"")</f>
        <v>44.0450943396226</v>
      </c>
      <c r="AO99" s="112" t="n">
        <f aca="false">IFERROR('Price History'!V3+(INDEX('Price History'!V:V,MATCH(9.99E+307,'Price History'!$A:$A))-'Price History'!V3)*(ROW()-3)/(MATCH(9.99E+307,'Returns (Calc)'!$A:$A)-3),"")</f>
        <v>226.457358490566</v>
      </c>
    </row>
    <row r="100" customFormat="false" ht="15" hidden="false" customHeight="true" outlineLevel="0" collapsed="false">
      <c r="A100" s="108" t="n">
        <f aca="false">IF('Price History'!A101="","",'Price History'!A101)</f>
        <v>45835</v>
      </c>
      <c r="B100" s="109" t="n">
        <f aca="false">IFERROR(IF(OR(NOT(ISNUMBER('Price History'!B101)),NOT(ISNUMBER('Price History'!B100)),'Price History'!B100=0),"",'Price History'!B101/'Price History'!B100-1),"")</f>
        <v>0.0236389684813754</v>
      </c>
      <c r="C100" s="109" t="n">
        <f aca="false">IFERROR(IF(OR(NOT(ISNUMBER('Price History'!C101)),NOT(ISNUMBER('Price History'!C100)),'Price History'!C100=0),"",'Price History'!C101/'Price History'!C100-1),"")</f>
        <v>0.152347826086957</v>
      </c>
      <c r="D100" s="109" t="n">
        <f aca="false">IFERROR(IF(OR(NOT(ISNUMBER('Price History'!D101)),NOT(ISNUMBER('Price History'!D100)),'Price History'!D100=0),"",'Price History'!D101/'Price History'!D100-1),"")</f>
        <v>0.0521063275745841</v>
      </c>
      <c r="E100" s="109" t="n">
        <f aca="false">IFERROR(IF(OR(NOT(ISNUMBER('Price History'!E101)),NOT(ISNUMBER('Price History'!E100)),'Price History'!E100=0),"",'Price History'!E101/'Price History'!E100-1),"")</f>
        <v>0.0774430977239091</v>
      </c>
      <c r="F100" s="109" t="n">
        <f aca="false">IFERROR(IF(OR(NOT(ISNUMBER('Price History'!F101)),NOT(ISNUMBER('Price History'!F100)),'Price History'!F100=0),"",'Price History'!F101/'Price History'!F100-1),"")</f>
        <v>0.0482868659724556</v>
      </c>
      <c r="G100" s="109" t="n">
        <f aca="false">IFERROR(IF(OR(NOT(ISNUMBER('Price History'!G101)),NOT(ISNUMBER('Price History'!G100)),'Price History'!G100=0),"",'Price History'!G101/'Price History'!G100-1),"")</f>
        <v>0.0469411764705883</v>
      </c>
      <c r="H100" s="109" t="n">
        <f aca="false">IFERROR(IF(OR(NOT(ISNUMBER('Price History'!H101)),NOT(ISNUMBER('Price History'!H100)),'Price History'!H100=0),"",'Price History'!H101/'Price History'!H100-1),"")</f>
        <v>0.00938511326860847</v>
      </c>
      <c r="I100" s="109" t="n">
        <f aca="false">IFERROR(IF(OR(NOT(ISNUMBER('Price History'!I101)),NOT(ISNUMBER('Price History'!I100)),'Price History'!I100=0),"",'Price History'!I101/'Price History'!I100-1),"")</f>
        <v>0.0966284323948559</v>
      </c>
      <c r="J100" s="109" t="n">
        <f aca="false">IFERROR(IF(OR(NOT(ISNUMBER('Price History'!J101)),NOT(ISNUMBER('Price History'!J100)),'Price History'!J100=0),"",'Price History'!J101/'Price History'!J100-1),"")</f>
        <v>-0.000662314315450829</v>
      </c>
      <c r="K100" s="109" t="n">
        <f aca="false">IFERROR(IF(OR(NOT(ISNUMBER('Price History'!K101)),NOT(ISNUMBER('Price History'!K100)),'Price History'!K100=0),"",'Price History'!K101/'Price History'!K100-1),"")</f>
        <v>-0.0477785870356883</v>
      </c>
      <c r="L100" s="109" t="n">
        <f aca="false">IFERROR(IF(OR(NOT(ISNUMBER('Price History'!L101)),NOT(ISNUMBER('Price History'!L100)),'Price History'!L100=0),"",'Price History'!L101/'Price History'!L100-1),"")</f>
        <v>0.0909741778435398</v>
      </c>
      <c r="M100" s="109" t="n">
        <f aca="false">IFERROR(IF(OR(NOT(ISNUMBER('Price History'!M101)),NOT(ISNUMBER('Price History'!M100)),'Price History'!M100=0),"",'Price History'!M101/'Price History'!M100-1),"")</f>
        <v>0.0727180698498395</v>
      </c>
      <c r="N100" s="109" t="n">
        <f aca="false">IFERROR(IF(OR(NOT(ISNUMBER('Price History'!N101)),NOT(ISNUMBER('Price History'!N100)),'Price History'!N100=0),"",'Price History'!N101/'Price History'!N100-1),"")</f>
        <v>0.000975344205774942</v>
      </c>
      <c r="O100" s="109" t="n">
        <f aca="false">IFERROR(IF(OR(NOT(ISNUMBER('Price History'!O101)),NOT(ISNUMBER('Price History'!O100)),'Price History'!O100=0),"",'Price History'!O101/'Price History'!O100-1),"")</f>
        <v>0.0205885643952108</v>
      </c>
      <c r="P100" s="109" t="str">
        <f aca="false">IFERROR(IF(OR(NOT(ISNUMBER('Price History'!P101)),NOT(ISNUMBER('Price History'!P100)),'Price History'!P100=0),"",'Price History'!P101/'Price History'!P100-1),"")</f>
        <v/>
      </c>
      <c r="Q100" s="109" t="n">
        <f aca="false">IFERROR(IF(OR(NOT(ISNUMBER('Price History'!Q101)),NOT(ISNUMBER('Price History'!Q100)),'Price History'!Q100=0),"",'Price History'!Q101/'Price History'!Q100-1),"")</f>
        <v>0.00740507326295892</v>
      </c>
      <c r="R100" s="109" t="n">
        <f aca="false">IFERROR(IF(OR(NOT(ISNUMBER('Price History'!R101)),NOT(ISNUMBER('Price History'!R100)),'Price History'!R100=0),"",'Price History'!R101/'Price History'!R100-1),"")</f>
        <v>0.0288151658767772</v>
      </c>
      <c r="S100" s="109" t="n">
        <f aca="false">IFERROR(IF(OR(NOT(ISNUMBER('Price History'!S101)),NOT(ISNUMBER('Price History'!S100)),'Price History'!S100=0),"",'Price History'!S101/'Price History'!S100-1),"")</f>
        <v>0.0461135534561781</v>
      </c>
      <c r="T100" s="109" t="n">
        <f aca="false">IFERROR(IF(OR(NOT(ISNUMBER('Price History'!T101)),NOT(ISNUMBER('Price History'!T100)),'Price History'!T100=0),"",'Price History'!T101/'Price History'!T100-1),"")</f>
        <v>0.00856408792463603</v>
      </c>
      <c r="U100" s="109" t="str">
        <f aca="false">IFERROR(IF(OR(NOT(ISNUMBER('Price History'!U101)),NOT(ISNUMBER('Price History'!U100)),'Price History'!U100=0),"",'Price History'!U101/'Price History'!U100-1),"")</f>
        <v/>
      </c>
      <c r="V100" s="110" t="n">
        <f aca="false">IFERROR(IF(OR(NOT(ISNUMBER('Price History'!V101)),NOT(ISNUMBER('Price History'!V100)),'Price History'!V100=0),"",'Price History'!V101/'Price History'!V100-1),"")</f>
        <v>0.0296758030361777</v>
      </c>
      <c r="W100" s="111" t="n">
        <f aca="false">IFERROR('Price History'!B3+(INDEX('Price History'!B:B,MATCH(9.99E+307,'Price History'!$A:$A))-'Price History'!B3)*(ROW()-3)/(MATCH(9.99E+307,'Returns (Calc)'!$A:$A)-3),"")</f>
        <v>360.851383647799</v>
      </c>
      <c r="X100" s="111" t="n">
        <f aca="false">IFERROR('Price History'!C3+(INDEX('Price History'!C:C,MATCH(9.99E+307,'Price History'!$A:$A))-'Price History'!C3)*(ROW()-3)/(MATCH(9.99E+307,'Returns (Calc)'!$A:$A)-3),"")</f>
        <v>135.273836477987</v>
      </c>
      <c r="Y100" s="111" t="n">
        <f aca="false">IFERROR('Price History'!D3+(INDEX('Price History'!D:D,MATCH(9.99E+307,'Price History'!$A:$A))-'Price History'!D3)*(ROW()-3)/(MATCH(9.99E+307,'Returns (Calc)'!$A:$A)-3),"")</f>
        <v>1304.2372327044</v>
      </c>
      <c r="Z100" s="111" t="n">
        <f aca="false">IFERROR('Price History'!E3+(INDEX('Price History'!E:E,MATCH(9.99E+307,'Price History'!$A:$A))-'Price History'!E3)*(ROW()-3)/(MATCH(9.99E+307,'Returns (Calc)'!$A:$A)-3),"")</f>
        <v>250.698490566038</v>
      </c>
      <c r="AA100" s="111" t="n">
        <f aca="false">IFERROR('Price History'!F3+(INDEX('Price History'!F:F,MATCH(9.99E+307,'Price History'!$A:$A))-'Price History'!F3)*(ROW()-3)/(MATCH(9.99E+307,'Returns (Calc)'!$A:$A)-3),"")</f>
        <v>144.455471698113</v>
      </c>
      <c r="AB100" s="111" t="n">
        <f aca="false">IFERROR('Price History'!G3+(INDEX('Price History'!G:G,MATCH(9.99E+307,'Price History'!$A:$A))-'Price History'!G3)*(ROW()-3)/(MATCH(9.99E+307,'Returns (Calc)'!$A:$A)-3),"")</f>
        <v>131.905660377359</v>
      </c>
      <c r="AC100" s="111" t="n">
        <f aca="false">IFERROR('Price History'!H3+(INDEX('Price History'!H:H,MATCH(9.99E+307,'Price History'!$A:$A))-'Price History'!H3)*(ROW()-3)/(MATCH(9.99E+307,'Returns (Calc)'!$A:$A)-3),"")</f>
        <v>645.284088050315</v>
      </c>
      <c r="AD100" s="111" t="n">
        <f aca="false">IFERROR('Price History'!I3+(INDEX('Price History'!I:I,MATCH(9.99E+307,'Price History'!$A:$A))-'Price History'!I3)*(ROW()-3)/(MATCH(9.99E+307,'Returns (Calc)'!$A:$A)-3),"")</f>
        <v>156.463018867925</v>
      </c>
      <c r="AE100" s="111" t="n">
        <f aca="false">IFERROR('Price History'!J3+(INDEX('Price History'!J:J,MATCH(9.99E+307,'Price History'!$A:$A))-'Price History'!J3)*(ROW()-3)/(MATCH(9.99E+307,'Returns (Calc)'!$A:$A)-3),"")</f>
        <v>131.947169811321</v>
      </c>
      <c r="AF100" s="111" t="n">
        <f aca="false">IFERROR('Price History'!K3+(INDEX('Price History'!K:K,MATCH(9.99E+307,'Price History'!$A:$A))-'Price History'!K3)*(ROW()-3)/(MATCH(9.99E+307,'Returns (Calc)'!$A:$A)-3),"")</f>
        <v>112.361194968553</v>
      </c>
      <c r="AG100" s="111" t="n">
        <f aca="false">IFERROR('Price History'!L3+(INDEX('Price History'!L:L,MATCH(9.99E+307,'Price History'!$A:$A))-'Price History'!L3)*(ROW()-3)/(MATCH(9.99E+307,'Returns (Calc)'!$A:$A)-3),"")</f>
        <v>297.532389937107</v>
      </c>
      <c r="AH100" s="111" t="n">
        <f aca="false">IFERROR('Price History'!M3+(INDEX('Price History'!M:M,MATCH(9.99E+307,'Price History'!$A:$A))-'Price History'!M3)*(ROW()-3)/(MATCH(9.99E+307,'Returns (Calc)'!$A:$A)-3),"")</f>
        <v>184.207735849057</v>
      </c>
      <c r="AI100" s="111" t="n">
        <f aca="false">IFERROR('Price History'!N3+(INDEX('Price History'!N:N,MATCH(9.99E+307,'Price History'!$A:$A))-'Price History'!N3)*(ROW()-3)/(MATCH(9.99E+307,'Returns (Calc)'!$A:$A)-3),"")</f>
        <v>469.590943396226</v>
      </c>
      <c r="AJ100" s="111" t="n">
        <f aca="false">IFERROR('Price History'!O3+(INDEX('Price History'!O:O,MATCH(9.99E+307,'Price History'!$A:$A))-'Price History'!O3)*(ROW()-3)/(MATCH(9.99E+307,'Returns (Calc)'!$A:$A)-3),"")</f>
        <v>109.741572327044</v>
      </c>
      <c r="AK100" s="111" t="n">
        <f aca="false">IFERROR('Price History'!Q3+(INDEX('Price History'!Q:Q,MATCH(9.99E+307,'Price History'!$A:$A))-'Price History'!Q3)*(ROW()-3)/(MATCH(9.99E+307,'Returns (Calc)'!$A:$A)-3),"")</f>
        <v>61.9680503144654</v>
      </c>
      <c r="AL100" s="111" t="n">
        <f aca="false">IFERROR('Price History'!R3+(INDEX('Price History'!R:R,MATCH(9.99E+307,'Price History'!$A:$A))-'Price History'!R3)*(ROW()-3)/(MATCH(9.99E+307,'Returns (Calc)'!$A:$A)-3),"")</f>
        <v>55.1712578616352</v>
      </c>
      <c r="AM100" s="111" t="n">
        <f aca="false">IFERROR('Price History'!S3+(INDEX('Price History'!S:S,MATCH(9.99E+307,'Price History'!$A:$A))-'Price History'!S3)*(ROW()-3)/(MATCH(9.99E+307,'Returns (Calc)'!$A:$A)-3),"")</f>
        <v>114.165534591195</v>
      </c>
      <c r="AN100" s="111" t="n">
        <f aca="false">IFERROR('Price History'!T3+(INDEX('Price History'!T:T,MATCH(9.99E+307,'Price History'!$A:$A))-'Price History'!T3)*(ROW()-3)/(MATCH(9.99E+307,'Returns (Calc)'!$A:$A)-3),"")</f>
        <v>44.2235849056604</v>
      </c>
      <c r="AO100" s="112" t="n">
        <f aca="false">IFERROR('Price History'!V3+(INDEX('Price History'!V:V,MATCH(9.99E+307,'Price History'!$A:$A))-'Price History'!V3)*(ROW()-3)/(MATCH(9.99E+307,'Returns (Calc)'!$A:$A)-3),"")</f>
        <v>228.816289308176</v>
      </c>
    </row>
    <row r="101" customFormat="false" ht="15" hidden="false" customHeight="true" outlineLevel="0" collapsed="false">
      <c r="A101" s="108" t="n">
        <f aca="false">IF('Price History'!A102="","",'Price History'!A102)</f>
        <v>45841</v>
      </c>
      <c r="B101" s="109" t="n">
        <f aca="false">IFERROR(IF(OR(NOT(ISNUMBER('Price History'!B102)),NOT(ISNUMBER('Price History'!B101)),'Price History'!B101=0),"",'Price History'!B102/'Price History'!B101-1),"")</f>
        <v>-0.0168986341134696</v>
      </c>
      <c r="C101" s="109" t="n">
        <f aca="false">IFERROR(IF(OR(NOT(ISNUMBER('Price History'!C102)),NOT(ISNUMBER('Price History'!C101)),'Price History'!C101=0),"",'Price History'!C102/'Price History'!C101-1),"")</f>
        <v>0.0314921018211087</v>
      </c>
      <c r="D101" s="109" t="n">
        <f aca="false">IFERROR(IF(OR(NOT(ISNUMBER('Price History'!D102)),NOT(ISNUMBER('Price History'!D101)),'Price History'!D101=0),"",'Price History'!D102/'Price History'!D101-1),"")</f>
        <v>-0.00182172247000445</v>
      </c>
      <c r="E101" s="109" t="n">
        <f aca="false">IFERROR(IF(OR(NOT(ISNUMBER('Price History'!E102)),NOT(ISNUMBER('Price History'!E101)),'Price History'!E101=0),"",'Price History'!E102/'Price History'!E101-1),"")</f>
        <v>0.0216447002041953</v>
      </c>
      <c r="F101" s="109" t="n">
        <f aca="false">IFERROR(IF(OR(NOT(ISNUMBER('Price History'!F102)),NOT(ISNUMBER('Price History'!F101)),'Price History'!F101=0),"",'Price History'!F102/'Price History'!F101-1),"")</f>
        <v>0.029640310822719</v>
      </c>
      <c r="G101" s="109" t="n">
        <f aca="false">IFERROR(IF(OR(NOT(ISNUMBER('Price History'!G102)),NOT(ISNUMBER('Price History'!G101)),'Price History'!G101=0),"",'Price History'!G102/'Price History'!G101-1),"")</f>
        <v>0.0389931452972243</v>
      </c>
      <c r="H101" s="109" t="n">
        <f aca="false">IFERROR(IF(OR(NOT(ISNUMBER('Price History'!H102)),NOT(ISNUMBER('Price History'!H101)),'Price History'!H101=0),"",'Price History'!H102/'Price History'!H101-1),"")</f>
        <v>-0.0197980121833921</v>
      </c>
      <c r="I101" s="109" t="n">
        <f aca="false">IFERROR(IF(OR(NOT(ISNUMBER('Price History'!I102)),NOT(ISNUMBER('Price History'!I101)),'Price History'!I101=0),"",'Price History'!I102/'Price History'!I101-1),"")</f>
        <v>0.0100792393026941</v>
      </c>
      <c r="J101" s="109" t="n">
        <f aca="false">IFERROR(IF(OR(NOT(ISNUMBER('Price History'!J102)),NOT(ISNUMBER('Price History'!J101)),'Price History'!J101=0),"",'Price History'!J102/'Price History'!J101-1),"")</f>
        <v>0.0227229691346336</v>
      </c>
      <c r="K101" s="109" t="n">
        <f aca="false">IFERROR(IF(OR(NOT(ISNUMBER('Price History'!K102)),NOT(ISNUMBER('Price History'!K101)),'Price History'!K101=0),"",'Price History'!K102/'Price History'!K101-1),"")</f>
        <v>0.0276885421447148</v>
      </c>
      <c r="L101" s="109" t="n">
        <f aca="false">IFERROR(IF(OR(NOT(ISNUMBER('Price History'!L102)),NOT(ISNUMBER('Price History'!L101)),'Price History'!L101=0),"",'Price History'!L102/'Price History'!L101-1),"")</f>
        <v>0.0272564203526273</v>
      </c>
      <c r="M101" s="109" t="n">
        <f aca="false">IFERROR(IF(OR(NOT(ISNUMBER('Price History'!M102)),NOT(ISNUMBER('Price History'!M101)),'Price History'!M101=0),"",'Price History'!M102/'Price History'!M101-1),"")</f>
        <v>0.00534759358288772</v>
      </c>
      <c r="N101" s="109" t="n">
        <f aca="false">IFERROR(IF(OR(NOT(ISNUMBER('Price History'!N102)),NOT(ISNUMBER('Price History'!N101)),'Price History'!N101=0),"",'Price History'!N102/'Price History'!N101-1),"")</f>
        <v>0.0415137094946747</v>
      </c>
      <c r="O101" s="109" t="n">
        <f aca="false">IFERROR(IF(OR(NOT(ISNUMBER('Price History'!O102)),NOT(ISNUMBER('Price History'!O101)),'Price History'!O101=0),"",'Price History'!O102/'Price History'!O101-1),"")</f>
        <v>0.041662098454117</v>
      </c>
      <c r="P101" s="109" t="str">
        <f aca="false">IFERROR(IF(OR(NOT(ISNUMBER('Price History'!P102)),NOT(ISNUMBER('Price History'!P101)),'Price History'!P101=0),"",'Price History'!P102/'Price History'!P101-1),"")</f>
        <v/>
      </c>
      <c r="Q101" s="109" t="n">
        <f aca="false">IFERROR(IF(OR(NOT(ISNUMBER('Price History'!Q102)),NOT(ISNUMBER('Price History'!Q101)),'Price History'!Q101=0),"",'Price History'!Q102/'Price History'!Q101-1),"")</f>
        <v>0.00359712230215825</v>
      </c>
      <c r="R101" s="109" t="n">
        <f aca="false">IFERROR(IF(OR(NOT(ISNUMBER('Price History'!R102)),NOT(ISNUMBER('Price History'!R101)),'Price History'!R101=0),"",'Price History'!R102/'Price History'!R101-1),"")</f>
        <v>-0.00202690252441506</v>
      </c>
      <c r="S101" s="109" t="n">
        <f aca="false">IFERROR(IF(OR(NOT(ISNUMBER('Price History'!S102)),NOT(ISNUMBER('Price History'!S101)),'Price History'!S101=0),"",'Price History'!S102/'Price History'!S101-1),"")</f>
        <v>0.00599070100143062</v>
      </c>
      <c r="T101" s="109" t="n">
        <f aca="false">IFERROR(IF(OR(NOT(ISNUMBER('Price History'!T102)),NOT(ISNUMBER('Price History'!T101)),'Price History'!T101=0),"",'Price History'!T102/'Price History'!T101-1),"")</f>
        <v>0.0124540050948203</v>
      </c>
      <c r="U101" s="109" t="str">
        <f aca="false">IFERROR(IF(OR(NOT(ISNUMBER('Price History'!U102)),NOT(ISNUMBER('Price History'!U101)),'Price History'!U101=0),"",'Price History'!U102/'Price History'!U101-1),"")</f>
        <v/>
      </c>
      <c r="V101" s="110" t="str">
        <f aca="false">IFERROR(IF(OR(NOT(ISNUMBER('Price History'!V102)),NOT(ISNUMBER('Price History'!V101)),'Price History'!V101=0),"",'Price History'!V102/'Price History'!V101-1),"")</f>
        <v/>
      </c>
      <c r="W101" s="111" t="n">
        <f aca="false">IFERROR('Price History'!B3+(INDEX('Price History'!B:B,MATCH(9.99E+307,'Price History'!$A:$A))-'Price History'!B3)*(ROW()-3)/(MATCH(9.99E+307,'Returns (Calc)'!$A:$A)-3),"")</f>
        <v>359.329748427673</v>
      </c>
      <c r="X101" s="111" t="n">
        <f aca="false">IFERROR('Price History'!C3+(INDEX('Price History'!C:C,MATCH(9.99E+307,'Price History'!$A:$A))-'Price History'!C3)*(ROW()-3)/(MATCH(9.99E+307,'Returns (Calc)'!$A:$A)-3),"")</f>
        <v>136.21748427673</v>
      </c>
      <c r="Y101" s="111" t="n">
        <f aca="false">IFERROR('Price History'!D3+(INDEX('Price History'!D:D,MATCH(9.99E+307,'Price History'!$A:$A))-'Price History'!D3)*(ROW()-3)/(MATCH(9.99E+307,'Returns (Calc)'!$A:$A)-3),"")</f>
        <v>1310.86050314465</v>
      </c>
      <c r="Z101" s="111" t="n">
        <f aca="false">IFERROR('Price History'!E3+(INDEX('Price History'!E:E,MATCH(9.99E+307,'Price History'!$A:$A))-'Price History'!E3)*(ROW()-3)/(MATCH(9.99E+307,'Returns (Calc)'!$A:$A)-3),"")</f>
        <v>252.427547169811</v>
      </c>
      <c r="AA101" s="111" t="n">
        <f aca="false">IFERROR('Price History'!F3+(INDEX('Price History'!F:F,MATCH(9.99E+307,'Price History'!$A:$A))-'Price History'!F3)*(ROW()-3)/(MATCH(9.99E+307,'Returns (Calc)'!$A:$A)-3),"")</f>
        <v>145.562641509434</v>
      </c>
      <c r="AB101" s="111" t="n">
        <f aca="false">IFERROR('Price History'!G3+(INDEX('Price History'!G:G,MATCH(9.99E+307,'Price History'!$A:$A))-'Price History'!G3)*(ROW()-3)/(MATCH(9.99E+307,'Returns (Calc)'!$A:$A)-3),"")</f>
        <v>132.771698113208</v>
      </c>
      <c r="AC101" s="111" t="n">
        <f aca="false">IFERROR('Price History'!H3+(INDEX('Price History'!H:H,MATCH(9.99E+307,'Price History'!$A:$A))-'Price History'!H3)*(ROW()-3)/(MATCH(9.99E+307,'Returns (Calc)'!$A:$A)-3),"")</f>
        <v>651.272893081761</v>
      </c>
      <c r="AD101" s="111" t="n">
        <f aca="false">IFERROR('Price History'!I3+(INDEX('Price History'!I:I,MATCH(9.99E+307,'Price History'!$A:$A))-'Price History'!I3)*(ROW()-3)/(MATCH(9.99E+307,'Returns (Calc)'!$A:$A)-3),"")</f>
        <v>157.654905660377</v>
      </c>
      <c r="AE101" s="111" t="n">
        <f aca="false">IFERROR('Price History'!J3+(INDEX('Price History'!J:J,MATCH(9.99E+307,'Price History'!$A:$A))-'Price History'!J3)*(ROW()-3)/(MATCH(9.99E+307,'Returns (Calc)'!$A:$A)-3),"")</f>
        <v>132.034150943396</v>
      </c>
      <c r="AF101" s="111" t="n">
        <f aca="false">IFERROR('Price History'!K3+(INDEX('Price History'!K:K,MATCH(9.99E+307,'Price History'!$A:$A))-'Price History'!K3)*(ROW()-3)/(MATCH(9.99E+307,'Returns (Calc)'!$A:$A)-3),"")</f>
        <v>113.360691823899</v>
      </c>
      <c r="AG101" s="111" t="n">
        <f aca="false">IFERROR('Price History'!L3+(INDEX('Price History'!L:L,MATCH(9.99E+307,'Price History'!$A:$A))-'Price History'!L3)*(ROW()-3)/(MATCH(9.99E+307,'Returns (Calc)'!$A:$A)-3),"")</f>
        <v>299.651383647799</v>
      </c>
      <c r="AH101" s="111" t="n">
        <f aca="false">IFERROR('Price History'!M3+(INDEX('Price History'!M:M,MATCH(9.99E+307,'Price History'!$A:$A))-'Price History'!M3)*(ROW()-3)/(MATCH(9.99E+307,'Returns (Calc)'!$A:$A)-3),"")</f>
        <v>185.761320754717</v>
      </c>
      <c r="AI101" s="111" t="n">
        <f aca="false">IFERROR('Price History'!N3+(INDEX('Price History'!N:N,MATCH(9.99E+307,'Price History'!$A:$A))-'Price History'!N3)*(ROW()-3)/(MATCH(9.99E+307,'Returns (Calc)'!$A:$A)-3),"")</f>
        <v>470.825283018868</v>
      </c>
      <c r="AJ101" s="111" t="n">
        <f aca="false">IFERROR('Price History'!O3+(INDEX('Price History'!O:O,MATCH(9.99E+307,'Price History'!$A:$A))-'Price History'!O3)*(ROW()-3)/(MATCH(9.99E+307,'Returns (Calc)'!$A:$A)-3),"")</f>
        <v>110.018805031447</v>
      </c>
      <c r="AK101" s="111" t="n">
        <f aca="false">IFERROR('Price History'!Q3+(INDEX('Price History'!Q:Q,MATCH(9.99E+307,'Price History'!$A:$A))-'Price History'!Q3)*(ROW()-3)/(MATCH(9.99E+307,'Returns (Calc)'!$A:$A)-3),"")</f>
        <v>62.0930817610063</v>
      </c>
      <c r="AL101" s="111" t="n">
        <f aca="false">IFERROR('Price History'!R3+(INDEX('Price History'!R:R,MATCH(9.99E+307,'Price History'!$A:$A))-'Price History'!R3)*(ROW()-3)/(MATCH(9.99E+307,'Returns (Calc)'!$A:$A)-3),"")</f>
        <v>55.2470440251572</v>
      </c>
      <c r="AM101" s="111" t="n">
        <f aca="false">IFERROR('Price History'!S3+(INDEX('Price History'!S:S,MATCH(9.99E+307,'Price History'!$A:$A))-'Price History'!S3)*(ROW()-3)/(MATCH(9.99E+307,'Returns (Calc)'!$A:$A)-3),"")</f>
        <v>114.738993710692</v>
      </c>
      <c r="AN101" s="111" t="n">
        <f aca="false">IFERROR('Price History'!T3+(INDEX('Price History'!T:T,MATCH(9.99E+307,'Price History'!$A:$A))-'Price History'!T3)*(ROW()-3)/(MATCH(9.99E+307,'Returns (Calc)'!$A:$A)-3),"")</f>
        <v>44.4020754716981</v>
      </c>
      <c r="AO101" s="112" t="n">
        <f aca="false">IFERROR('Price History'!V3+(INDEX('Price History'!V:V,MATCH(9.99E+307,'Price History'!$A:$A))-'Price History'!V3)*(ROW()-3)/(MATCH(9.99E+307,'Returns (Calc)'!$A:$A)-3),"")</f>
        <v>231.175220125786</v>
      </c>
    </row>
    <row r="102" customFormat="false" ht="15" hidden="false" customHeight="true" outlineLevel="0" collapsed="false">
      <c r="A102" s="108" t="n">
        <f aca="false">IF('Price History'!A103="","",'Price History'!A103)</f>
        <v>45849</v>
      </c>
      <c r="B102" s="109" t="n">
        <f aca="false">IFERROR(IF(OR(NOT(ISNUMBER('Price History'!B103)),NOT(ISNUMBER('Price History'!B102)),'Price History'!B102=0),"",'Price History'!B103/'Price History'!B102-1),"")</f>
        <v>-0.0420764018876381</v>
      </c>
      <c r="C102" s="109" t="n">
        <f aca="false">IFERROR(IF(OR(NOT(ISNUMBER('Price History'!C103)),NOT(ISNUMBER('Price History'!C102)),'Price History'!C102=0),"",'Price History'!C103/'Price History'!C102-1),"")</f>
        <v>0.0590128755364807</v>
      </c>
      <c r="D102" s="109" t="n">
        <f aca="false">IFERROR(IF(OR(NOT(ISNUMBER('Price History'!D103)),NOT(ISNUMBER('Price History'!D102)),'Price History'!D102=0),"",'Price History'!D103/'Price History'!D102-1),"")</f>
        <v>0.00935179358086846</v>
      </c>
      <c r="E102" s="109" t="n">
        <f aca="false">IFERROR(IF(OR(NOT(ISNUMBER('Price History'!E103)),NOT(ISNUMBER('Price History'!E102)),'Price History'!E102=0),"",'Price History'!E103/'Price History'!E102-1),"")</f>
        <v>-0.00290718802238543</v>
      </c>
      <c r="F102" s="109" t="n">
        <f aca="false">IFERROR(IF(OR(NOT(ISNUMBER('Price History'!F103)),NOT(ISNUMBER('Price History'!F102)),'Price History'!F102=0),"",'Price History'!F103/'Price History'!F102-1),"")</f>
        <v>-0.0694001400451256</v>
      </c>
      <c r="G102" s="109" t="n">
        <f aca="false">IFERROR(IF(OR(NOT(ISNUMBER('Price History'!G103)),NOT(ISNUMBER('Price History'!G102)),'Price History'!G102=0),"",'Price History'!G103/'Price History'!G102-1),"")</f>
        <v>0</v>
      </c>
      <c r="H102" s="109" t="n">
        <f aca="false">IFERROR(IF(OR(NOT(ISNUMBER('Price History'!H103)),NOT(ISNUMBER('Price History'!H102)),'Price History'!H102=0),"",'Price History'!H103/'Price History'!H102-1),"")</f>
        <v>0.0183171150543788</v>
      </c>
      <c r="I102" s="109" t="n">
        <f aca="false">IFERROR(IF(OR(NOT(ISNUMBER('Price History'!I103)),NOT(ISNUMBER('Price History'!I102)),'Price History'!I102=0),"",'Price History'!I103/'Price History'!I102-1),"")</f>
        <v>0.0350194552529182</v>
      </c>
      <c r="J102" s="109" t="n">
        <f aca="false">IFERROR(IF(OR(NOT(ISNUMBER('Price History'!J103)),NOT(ISNUMBER('Price History'!J102)),'Price History'!J102=0),"",'Price History'!J103/'Price History'!J102-1),"")</f>
        <v>0.0106461766339567</v>
      </c>
      <c r="K102" s="109" t="n">
        <f aca="false">IFERROR(IF(OR(NOT(ISNUMBER('Price History'!K103)),NOT(ISNUMBER('Price History'!K102)),'Price History'!K102=0),"",'Price History'!K103/'Price History'!K102-1),"")</f>
        <v>0.0576064304852633</v>
      </c>
      <c r="L102" s="109" t="n">
        <f aca="false">IFERROR(IF(OR(NOT(ISNUMBER('Price History'!L103)),NOT(ISNUMBER('Price History'!L102)),'Price History'!L102=0),"",'Price History'!L103/'Price History'!L102-1),"")</f>
        <v>-0.0187393526405452</v>
      </c>
      <c r="M102" s="109" t="n">
        <f aca="false">IFERROR(IF(OR(NOT(ISNUMBER('Price History'!M103)),NOT(ISNUMBER('Price History'!M102)),'Price History'!M102=0),"",'Price History'!M103/'Price History'!M102-1),"")</f>
        <v>-0.0355131414267835</v>
      </c>
      <c r="N102" s="109" t="n">
        <f aca="false">IFERROR(IF(OR(NOT(ISNUMBER('Price History'!N103)),NOT(ISNUMBER('Price History'!N102)),'Price History'!N102=0),"",'Price History'!N103/'Price History'!N102-1),"")</f>
        <v>0.0200818067098909</v>
      </c>
      <c r="O102" s="109" t="n">
        <f aca="false">IFERROR(IF(OR(NOT(ISNUMBER('Price History'!O103)),NOT(ISNUMBER('Price History'!O102)),'Price History'!O102=0),"",'Price History'!O103/'Price History'!O102-1),"")</f>
        <v>-0.00136827702347131</v>
      </c>
      <c r="P102" s="109" t="str">
        <f aca="false">IFERROR(IF(OR(NOT(ISNUMBER('Price History'!P103)),NOT(ISNUMBER('Price History'!P102)),'Price History'!P102=0),"",'Price History'!P103/'Price History'!P102-1),"")</f>
        <v/>
      </c>
      <c r="Q102" s="109" t="n">
        <f aca="false">IFERROR(IF(OR(NOT(ISNUMBER('Price History'!Q103)),NOT(ISNUMBER('Price History'!Q102)),'Price History'!Q102=0),"",'Price History'!Q103/'Price History'!Q102-1),"")</f>
        <v>0.000155836060464543</v>
      </c>
      <c r="R102" s="109" t="n">
        <f aca="false">IFERROR(IF(OR(NOT(ISNUMBER('Price History'!R103)),NOT(ISNUMBER('Price History'!R102)),'Price History'!R102=0),"",'Price History'!R103/'Price History'!R102-1),"")</f>
        <v>0.00369276218611536</v>
      </c>
      <c r="S102" s="109" t="n">
        <f aca="false">IFERROR(IF(OR(NOT(ISNUMBER('Price History'!S103)),NOT(ISNUMBER('Price History'!S102)),'Price History'!S102=0),"",'Price History'!S103/'Price History'!S102-1),"")</f>
        <v>-0.00302195360412416</v>
      </c>
      <c r="T102" s="109" t="n">
        <f aca="false">IFERROR(IF(OR(NOT(ISNUMBER('Price History'!T103)),NOT(ISNUMBER('Price History'!T102)),'Price History'!T102=0),"",'Price History'!T103/'Price History'!T102-1),"")</f>
        <v>0.00195694716242656</v>
      </c>
      <c r="U102" s="109" t="str">
        <f aca="false">IFERROR(IF(OR(NOT(ISNUMBER('Price History'!U103)),NOT(ISNUMBER('Price History'!U102)),'Price History'!U102=0),"",'Price History'!U103/'Price History'!U102-1),"")</f>
        <v/>
      </c>
      <c r="V102" s="110" t="str">
        <f aca="false">IFERROR(IF(OR(NOT(ISNUMBER('Price History'!V103)),NOT(ISNUMBER('Price History'!V102)),'Price History'!V102=0),"",'Price History'!V103/'Price History'!V102-1),"")</f>
        <v/>
      </c>
      <c r="W102" s="111" t="n">
        <f aca="false">IFERROR('Price History'!B3+(INDEX('Price History'!B:B,MATCH(9.99E+307,'Price History'!$A:$A))-'Price History'!B3)*(ROW()-3)/(MATCH(9.99E+307,'Returns (Calc)'!$A:$A)-3),"")</f>
        <v>357.808113207547</v>
      </c>
      <c r="X102" s="111" t="n">
        <f aca="false">IFERROR('Price History'!C3+(INDEX('Price History'!C:C,MATCH(9.99E+307,'Price History'!$A:$A))-'Price History'!C3)*(ROW()-3)/(MATCH(9.99E+307,'Returns (Calc)'!$A:$A)-3),"")</f>
        <v>137.161132075472</v>
      </c>
      <c r="Y102" s="111" t="n">
        <f aca="false">IFERROR('Price History'!D3+(INDEX('Price History'!D:D,MATCH(9.99E+307,'Price History'!$A:$A))-'Price History'!D3)*(ROW()-3)/(MATCH(9.99E+307,'Returns (Calc)'!$A:$A)-3),"")</f>
        <v>1317.48377358491</v>
      </c>
      <c r="Z102" s="111" t="n">
        <f aca="false">IFERROR('Price History'!E3+(INDEX('Price History'!E:E,MATCH(9.99E+307,'Price History'!$A:$A))-'Price History'!E3)*(ROW()-3)/(MATCH(9.99E+307,'Returns (Calc)'!$A:$A)-3),"")</f>
        <v>254.156603773585</v>
      </c>
      <c r="AA102" s="111" t="n">
        <f aca="false">IFERROR('Price History'!F3+(INDEX('Price History'!F:F,MATCH(9.99E+307,'Price History'!$A:$A))-'Price History'!F3)*(ROW()-3)/(MATCH(9.99E+307,'Returns (Calc)'!$A:$A)-3),"")</f>
        <v>146.669811320755</v>
      </c>
      <c r="AB102" s="111" t="n">
        <f aca="false">IFERROR('Price History'!G3+(INDEX('Price History'!G:G,MATCH(9.99E+307,'Price History'!$A:$A))-'Price History'!G3)*(ROW()-3)/(MATCH(9.99E+307,'Returns (Calc)'!$A:$A)-3),"")</f>
        <v>133.637735849057</v>
      </c>
      <c r="AC102" s="111" t="n">
        <f aca="false">IFERROR('Price History'!H3+(INDEX('Price History'!H:H,MATCH(9.99E+307,'Price History'!$A:$A))-'Price History'!H3)*(ROW()-3)/(MATCH(9.99E+307,'Returns (Calc)'!$A:$A)-3),"")</f>
        <v>657.261698113208</v>
      </c>
      <c r="AD102" s="111" t="n">
        <f aca="false">IFERROR('Price History'!I3+(INDEX('Price History'!I:I,MATCH(9.99E+307,'Price History'!$A:$A))-'Price History'!I3)*(ROW()-3)/(MATCH(9.99E+307,'Returns (Calc)'!$A:$A)-3),"")</f>
        <v>158.84679245283</v>
      </c>
      <c r="AE102" s="111" t="n">
        <f aca="false">IFERROR('Price History'!J3+(INDEX('Price History'!J:J,MATCH(9.99E+307,'Price History'!$A:$A))-'Price History'!J3)*(ROW()-3)/(MATCH(9.99E+307,'Returns (Calc)'!$A:$A)-3),"")</f>
        <v>132.121132075472</v>
      </c>
      <c r="AF102" s="111" t="n">
        <f aca="false">IFERROR('Price History'!K3+(INDEX('Price History'!K:K,MATCH(9.99E+307,'Price History'!$A:$A))-'Price History'!K3)*(ROW()-3)/(MATCH(9.99E+307,'Returns (Calc)'!$A:$A)-3),"")</f>
        <v>114.360188679245</v>
      </c>
      <c r="AG102" s="111" t="n">
        <f aca="false">IFERROR('Price History'!L3+(INDEX('Price History'!L:L,MATCH(9.99E+307,'Price History'!$A:$A))-'Price History'!L3)*(ROW()-3)/(MATCH(9.99E+307,'Returns (Calc)'!$A:$A)-3),"")</f>
        <v>301.770377358491</v>
      </c>
      <c r="AH102" s="111" t="n">
        <f aca="false">IFERROR('Price History'!M3+(INDEX('Price History'!M:M,MATCH(9.99E+307,'Price History'!$A:$A))-'Price History'!M3)*(ROW()-3)/(MATCH(9.99E+307,'Returns (Calc)'!$A:$A)-3),"")</f>
        <v>187.314905660377</v>
      </c>
      <c r="AI102" s="111" t="n">
        <f aca="false">IFERROR('Price History'!N3+(INDEX('Price History'!N:N,MATCH(9.99E+307,'Price History'!$A:$A))-'Price History'!N3)*(ROW()-3)/(MATCH(9.99E+307,'Returns (Calc)'!$A:$A)-3),"")</f>
        <v>472.059622641509</v>
      </c>
      <c r="AJ102" s="111" t="n">
        <f aca="false">IFERROR('Price History'!O3+(INDEX('Price History'!O:O,MATCH(9.99E+307,'Price History'!$A:$A))-'Price History'!O3)*(ROW()-3)/(MATCH(9.99E+307,'Returns (Calc)'!$A:$A)-3),"")</f>
        <v>110.296037735849</v>
      </c>
      <c r="AK102" s="111" t="n">
        <f aca="false">IFERROR('Price History'!Q3+(INDEX('Price History'!Q:Q,MATCH(9.99E+307,'Price History'!$A:$A))-'Price History'!Q3)*(ROW()-3)/(MATCH(9.99E+307,'Returns (Calc)'!$A:$A)-3),"")</f>
        <v>62.2181132075472</v>
      </c>
      <c r="AL102" s="111" t="n">
        <f aca="false">IFERROR('Price History'!R3+(INDEX('Price History'!R:R,MATCH(9.99E+307,'Price History'!$A:$A))-'Price History'!R3)*(ROW()-3)/(MATCH(9.99E+307,'Returns (Calc)'!$A:$A)-3),"")</f>
        <v>55.3228301886793</v>
      </c>
      <c r="AM102" s="111" t="n">
        <f aca="false">IFERROR('Price History'!S3+(INDEX('Price History'!S:S,MATCH(9.99E+307,'Price History'!$A:$A))-'Price History'!S3)*(ROW()-3)/(MATCH(9.99E+307,'Returns (Calc)'!$A:$A)-3),"")</f>
        <v>115.312452830189</v>
      </c>
      <c r="AN102" s="111" t="n">
        <f aca="false">IFERROR('Price History'!T3+(INDEX('Price History'!T:T,MATCH(9.99E+307,'Price History'!$A:$A))-'Price History'!T3)*(ROW()-3)/(MATCH(9.99E+307,'Returns (Calc)'!$A:$A)-3),"")</f>
        <v>44.5805660377359</v>
      </c>
      <c r="AO102" s="112" t="n">
        <f aca="false">IFERROR('Price History'!V3+(INDEX('Price History'!V:V,MATCH(9.99E+307,'Price History'!$A:$A))-'Price History'!V3)*(ROW()-3)/(MATCH(9.99E+307,'Returns (Calc)'!$A:$A)-3),"")</f>
        <v>233.534150943396</v>
      </c>
    </row>
    <row r="103" customFormat="false" ht="15" hidden="false" customHeight="true" outlineLevel="0" collapsed="false">
      <c r="A103" s="108" t="n">
        <f aca="false">IF('Price History'!A104="","",'Price History'!A104)</f>
        <v>45856</v>
      </c>
      <c r="B103" s="109" t="n">
        <f aca="false">IFERROR(IF(OR(NOT(ISNUMBER('Price History'!B104)),NOT(ISNUMBER('Price History'!B103)),'Price History'!B103=0),"",'Price History'!B104/'Price History'!B103-1),"")</f>
        <v>0.00671528828952805</v>
      </c>
      <c r="C103" s="109" t="n">
        <f aca="false">IFERROR(IF(OR(NOT(ISNUMBER('Price History'!C104)),NOT(ISNUMBER('Price History'!C103)),'Price History'!C103=0),"",'Price History'!C104/'Price History'!C103-1),"")</f>
        <v>0.0295661785023489</v>
      </c>
      <c r="D103" s="109" t="n">
        <f aca="false">IFERROR(IF(OR(NOT(ISNUMBER('Price History'!D104)),NOT(ISNUMBER('Price History'!D103)),'Price History'!D103=0),"",'Price History'!D104/'Price History'!D103-1),"")</f>
        <v>-0.0839848864614118</v>
      </c>
      <c r="E103" s="109" t="n">
        <f aca="false">IFERROR(IF(OR(NOT(ISNUMBER('Price History'!E104)),NOT(ISNUMBER('Price History'!E103)),'Price History'!E103=0),"",'Price History'!E104/'Price History'!E103-1),"")</f>
        <v>0.0326554413586995</v>
      </c>
      <c r="F103" s="109" t="n">
        <f aca="false">IFERROR(IF(OR(NOT(ISNUMBER('Price History'!F104)),NOT(ISNUMBER('Price History'!F103)),'Price History'!F103=0),"",'Price History'!F104/'Price History'!F103-1),"")</f>
        <v>-0.00518351308419029</v>
      </c>
      <c r="G103" s="109" t="n">
        <f aca="false">IFERROR(IF(OR(NOT(ISNUMBER('Price History'!G104)),NOT(ISNUMBER('Price History'!G103)),'Price History'!G103=0),"",'Price History'!G104/'Price History'!G103-1),"")</f>
        <v>0.00703006705602438</v>
      </c>
      <c r="H103" s="109" t="n">
        <f aca="false">IFERROR(IF(OR(NOT(ISNUMBER('Price History'!H104)),NOT(ISNUMBER('Price History'!H103)),'Price History'!H103=0),"",'Price History'!H104/'Price History'!H103-1),"")</f>
        <v>-0.0814261623705131</v>
      </c>
      <c r="I103" s="109" t="n">
        <f aca="false">IFERROR(IF(OR(NOT(ISNUMBER('Price History'!I104)),NOT(ISNUMBER('Price History'!I103)),'Price History'!I103=0),"",'Price History'!I104/'Price History'!I103-1),"")</f>
        <v>0.0454159592529713</v>
      </c>
      <c r="J103" s="109" t="n">
        <f aca="false">IFERROR(IF(OR(NOT(ISNUMBER('Price History'!J104)),NOT(ISNUMBER('Price History'!J103)),'Price History'!J103=0),"",'Price History'!J104/'Price History'!J103-1),"")</f>
        <v>-0.0218924612988917</v>
      </c>
      <c r="K103" s="109" t="n">
        <f aca="false">IFERROR(IF(OR(NOT(ISNUMBER('Price History'!K104)),NOT(ISNUMBER('Price History'!K103)),'Price History'!K103=0),"",'Price History'!K104/'Price History'!K103-1),"")</f>
        <v>0.08036593947924</v>
      </c>
      <c r="L103" s="109" t="n">
        <f aca="false">IFERROR(IF(OR(NOT(ISNUMBER('Price History'!L104)),NOT(ISNUMBER('Price History'!L103)),'Price History'!L103=0),"",'Price History'!L104/'Price History'!L103-1),"")</f>
        <v>0.0434027777777777</v>
      </c>
      <c r="M103" s="109" t="n">
        <f aca="false">IFERROR(IF(OR(NOT(ISNUMBER('Price History'!M104)),NOT(ISNUMBER('Price History'!M103)),'Price History'!M103=0),"",'Price History'!M104/'Price History'!M103-1),"")</f>
        <v>0.0467153284671533</v>
      </c>
      <c r="N103" s="109" t="n">
        <f aca="false">IFERROR(IF(OR(NOT(ISNUMBER('Price History'!N104)),NOT(ISNUMBER('Price History'!N103)),'Price History'!N103=0),"",'Price History'!N104/'Price History'!N103-1),"")</f>
        <v>-0.0192812200063986</v>
      </c>
      <c r="O103" s="109" t="n">
        <f aca="false">IFERROR(IF(OR(NOT(ISNUMBER('Price History'!O104)),NOT(ISNUMBER('Price History'!O103)),'Price History'!O103=0),"",'Price History'!O104/'Price History'!O103-1),"")</f>
        <v>-0.0116989881956155</v>
      </c>
      <c r="P103" s="109" t="str">
        <f aca="false">IFERROR(IF(OR(NOT(ISNUMBER('Price History'!P104)),NOT(ISNUMBER('Price History'!P103)),'Price History'!P103=0),"",'Price History'!P104/'Price History'!P103-1),"")</f>
        <v/>
      </c>
      <c r="Q103" s="109" t="n">
        <f aca="false">IFERROR(IF(OR(NOT(ISNUMBER('Price History'!Q104)),NOT(ISNUMBER('Price History'!Q103)),'Price History'!Q103=0),"",'Price History'!Q104/'Price History'!Q103-1),"")</f>
        <v>0.00218136491118703</v>
      </c>
      <c r="R103" s="109" t="n">
        <f aca="false">IFERROR(IF(OR(NOT(ISNUMBER('Price History'!R104)),NOT(ISNUMBER('Price History'!R103)),'Price History'!R103=0),"",'Price History'!R104/'Price History'!R103-1),"")</f>
        <v>0.00607064017660042</v>
      </c>
      <c r="S103" s="109" t="n">
        <f aca="false">IFERROR(IF(OR(NOT(ISNUMBER('Price History'!S104)),NOT(ISNUMBER('Price History'!S103)),'Price History'!S103=0),"",'Price History'!S104/'Price History'!S103-1),"")</f>
        <v>0.014798965855398</v>
      </c>
      <c r="T103" s="109" t="n">
        <f aca="false">IFERROR(IF(OR(NOT(ISNUMBER('Price History'!T104)),NOT(ISNUMBER('Price History'!T103)),'Price History'!T103=0),"",'Price History'!T104/'Price History'!T103-1),"")</f>
        <v>-0.0212053571428573</v>
      </c>
      <c r="U103" s="109" t="str">
        <f aca="false">IFERROR(IF(OR(NOT(ISNUMBER('Price History'!U104)),NOT(ISNUMBER('Price History'!U103)),'Price History'!U103=0),"",'Price History'!U104/'Price History'!U103-1),"")</f>
        <v/>
      </c>
      <c r="V103" s="110" t="n">
        <f aca="false">IFERROR(IF(OR(NOT(ISNUMBER('Price History'!V104)),NOT(ISNUMBER('Price History'!V103)),'Price History'!V103=0),"",'Price History'!V104/'Price History'!V103-1),"")</f>
        <v>0.00322149988390996</v>
      </c>
      <c r="W103" s="111" t="n">
        <f aca="false">IFERROR('Price History'!B3+(INDEX('Price History'!B:B,MATCH(9.99E+307,'Price History'!$A:$A))-'Price History'!B3)*(ROW()-3)/(MATCH(9.99E+307,'Returns (Calc)'!$A:$A)-3),"")</f>
        <v>356.286477987421</v>
      </c>
      <c r="X103" s="111" t="n">
        <f aca="false">IFERROR('Price History'!C3+(INDEX('Price History'!C:C,MATCH(9.99E+307,'Price History'!$A:$A))-'Price History'!C3)*(ROW()-3)/(MATCH(9.99E+307,'Returns (Calc)'!$A:$A)-3),"")</f>
        <v>138.104779874214</v>
      </c>
      <c r="Y103" s="111" t="n">
        <f aca="false">IFERROR('Price History'!D3+(INDEX('Price History'!D:D,MATCH(9.99E+307,'Price History'!$A:$A))-'Price History'!D3)*(ROW()-3)/(MATCH(9.99E+307,'Returns (Calc)'!$A:$A)-3),"")</f>
        <v>1324.10704402516</v>
      </c>
      <c r="Z103" s="111" t="n">
        <f aca="false">IFERROR('Price History'!E3+(INDEX('Price History'!E:E,MATCH(9.99E+307,'Price History'!$A:$A))-'Price History'!E3)*(ROW()-3)/(MATCH(9.99E+307,'Returns (Calc)'!$A:$A)-3),"")</f>
        <v>255.885660377358</v>
      </c>
      <c r="AA103" s="111" t="n">
        <f aca="false">IFERROR('Price History'!F3+(INDEX('Price History'!F:F,MATCH(9.99E+307,'Price History'!$A:$A))-'Price History'!F3)*(ROW()-3)/(MATCH(9.99E+307,'Returns (Calc)'!$A:$A)-3),"")</f>
        <v>147.776981132076</v>
      </c>
      <c r="AB103" s="111" t="n">
        <f aca="false">IFERROR('Price History'!G3+(INDEX('Price History'!G:G,MATCH(9.99E+307,'Price History'!$A:$A))-'Price History'!G3)*(ROW()-3)/(MATCH(9.99E+307,'Returns (Calc)'!$A:$A)-3),"")</f>
        <v>134.503773584906</v>
      </c>
      <c r="AC103" s="111" t="n">
        <f aca="false">IFERROR('Price History'!H3+(INDEX('Price History'!H:H,MATCH(9.99E+307,'Price History'!$A:$A))-'Price History'!H3)*(ROW()-3)/(MATCH(9.99E+307,'Returns (Calc)'!$A:$A)-3),"")</f>
        <v>663.250503144654</v>
      </c>
      <c r="AD103" s="111" t="n">
        <f aca="false">IFERROR('Price History'!I3+(INDEX('Price History'!I:I,MATCH(9.99E+307,'Price History'!$A:$A))-'Price History'!I3)*(ROW()-3)/(MATCH(9.99E+307,'Returns (Calc)'!$A:$A)-3),"")</f>
        <v>160.038679245283</v>
      </c>
      <c r="AE103" s="111" t="n">
        <f aca="false">IFERROR('Price History'!J3+(INDEX('Price History'!J:J,MATCH(9.99E+307,'Price History'!$A:$A))-'Price History'!J3)*(ROW()-3)/(MATCH(9.99E+307,'Returns (Calc)'!$A:$A)-3),"")</f>
        <v>132.208113207547</v>
      </c>
      <c r="AF103" s="111" t="n">
        <f aca="false">IFERROR('Price History'!K3+(INDEX('Price History'!K:K,MATCH(9.99E+307,'Price History'!$A:$A))-'Price History'!K3)*(ROW()-3)/(MATCH(9.99E+307,'Returns (Calc)'!$A:$A)-3),"")</f>
        <v>115.359685534591</v>
      </c>
      <c r="AG103" s="111" t="n">
        <f aca="false">IFERROR('Price History'!L3+(INDEX('Price History'!L:L,MATCH(9.99E+307,'Price History'!$A:$A))-'Price History'!L3)*(ROW()-3)/(MATCH(9.99E+307,'Returns (Calc)'!$A:$A)-3),"")</f>
        <v>303.889371069182</v>
      </c>
      <c r="AH103" s="111" t="n">
        <f aca="false">IFERROR('Price History'!M3+(INDEX('Price History'!M:M,MATCH(9.99E+307,'Price History'!$A:$A))-'Price History'!M3)*(ROW()-3)/(MATCH(9.99E+307,'Returns (Calc)'!$A:$A)-3),"")</f>
        <v>188.868490566038</v>
      </c>
      <c r="AI103" s="111" t="n">
        <f aca="false">IFERROR('Price History'!N3+(INDEX('Price History'!N:N,MATCH(9.99E+307,'Price History'!$A:$A))-'Price History'!N3)*(ROW()-3)/(MATCH(9.99E+307,'Returns (Calc)'!$A:$A)-3),"")</f>
        <v>473.293962264151</v>
      </c>
      <c r="AJ103" s="111" t="n">
        <f aca="false">IFERROR('Price History'!O3+(INDEX('Price History'!O:O,MATCH(9.99E+307,'Price History'!$A:$A))-'Price History'!O3)*(ROW()-3)/(MATCH(9.99E+307,'Returns (Calc)'!$A:$A)-3),"")</f>
        <v>110.573270440252</v>
      </c>
      <c r="AK103" s="111" t="n">
        <f aca="false">IFERROR('Price History'!Q3+(INDEX('Price History'!Q:Q,MATCH(9.99E+307,'Price History'!$A:$A))-'Price History'!Q3)*(ROW()-3)/(MATCH(9.99E+307,'Returns (Calc)'!$A:$A)-3),"")</f>
        <v>62.3431446540881</v>
      </c>
      <c r="AL103" s="111" t="n">
        <f aca="false">IFERROR('Price History'!R3+(INDEX('Price History'!R:R,MATCH(9.99E+307,'Price History'!$A:$A))-'Price History'!R3)*(ROW()-3)/(MATCH(9.99E+307,'Returns (Calc)'!$A:$A)-3),"")</f>
        <v>55.3986163522013</v>
      </c>
      <c r="AM103" s="111" t="n">
        <f aca="false">IFERROR('Price History'!S3+(INDEX('Price History'!S:S,MATCH(9.99E+307,'Price History'!$A:$A))-'Price History'!S3)*(ROW()-3)/(MATCH(9.99E+307,'Returns (Calc)'!$A:$A)-3),"")</f>
        <v>115.885911949686</v>
      </c>
      <c r="AN103" s="111" t="n">
        <f aca="false">IFERROR('Price History'!T3+(INDEX('Price History'!T:T,MATCH(9.99E+307,'Price History'!$A:$A))-'Price History'!T3)*(ROW()-3)/(MATCH(9.99E+307,'Returns (Calc)'!$A:$A)-3),"")</f>
        <v>44.7590566037736</v>
      </c>
      <c r="AO103" s="112" t="n">
        <f aca="false">IFERROR('Price History'!V3+(INDEX('Price History'!V:V,MATCH(9.99E+307,'Price History'!$A:$A))-'Price History'!V3)*(ROW()-3)/(MATCH(9.99E+307,'Returns (Calc)'!$A:$A)-3),"")</f>
        <v>235.893081761006</v>
      </c>
    </row>
    <row r="104" customFormat="false" ht="15" hidden="false" customHeight="true" outlineLevel="0" collapsed="false">
      <c r="A104" s="108" t="n">
        <f aca="false">IF('Price History'!A105="","",'Price History'!A105)</f>
        <v>45863</v>
      </c>
      <c r="B104" s="109" t="n">
        <f aca="false">IFERROR(IF(OR(NOT(ISNUMBER('Price History'!B105)),NOT(ISNUMBER('Price History'!B104)),'Price History'!B104=0),"",'Price History'!B105/'Price History'!B104-1),"")</f>
        <v>0.0135323546297055</v>
      </c>
      <c r="C104" s="109" t="n">
        <f aca="false">IFERROR(IF(OR(NOT(ISNUMBER('Price History'!C105)),NOT(ISNUMBER('Price History'!C104)),'Price History'!C104=0),"",'Price History'!C105/'Price History'!C104-1),"")</f>
        <v>0.0223653605296117</v>
      </c>
      <c r="D104" s="109" t="n">
        <f aca="false">IFERROR(IF(OR(NOT(ISNUMBER('Price History'!D105)),NOT(ISNUMBER('Price History'!D104)),'Price History'!D104=0),"",'Price History'!D105/'Price History'!D104-1),"")</f>
        <v>-0.0317596449671922</v>
      </c>
      <c r="E104" s="109" t="n">
        <f aca="false">IFERROR(IF(OR(NOT(ISNUMBER('Price History'!E105)),NOT(ISNUMBER('Price History'!E104)),'Price History'!E104=0),"",'Price History'!E105/'Price History'!E104-1),"")</f>
        <v>0.0241406084562716</v>
      </c>
      <c r="F104" s="109" t="n">
        <f aca="false">IFERROR(IF(OR(NOT(ISNUMBER('Price History'!F105)),NOT(ISNUMBER('Price History'!F104)),'Price History'!F104=0),"",'Price History'!F105/'Price History'!F104-1),"")</f>
        <v>-0.0168921758130934</v>
      </c>
      <c r="G104" s="109" t="n">
        <f aca="false">IFERROR(IF(OR(NOT(ISNUMBER('Price History'!G105)),NOT(ISNUMBER('Price History'!G104)),'Price History'!G104=0),"",'Price History'!G105/'Price History'!G104-1),"")</f>
        <v>-0.0311459563956611</v>
      </c>
      <c r="H104" s="109" t="n">
        <f aca="false">IFERROR(IF(OR(NOT(ISNUMBER('Price History'!H105)),NOT(ISNUMBER('Price History'!H104)),'Price History'!H104=0),"",'Price History'!H105/'Price History'!H104-1),"")</f>
        <v>-0.0273625316898329</v>
      </c>
      <c r="I104" s="109" t="n">
        <f aca="false">IFERROR(IF(OR(NOT(ISNUMBER('Price History'!I105)),NOT(ISNUMBER('Price History'!I104)),'Price History'!I104=0),"",'Price History'!I105/'Price History'!I104-1),"")</f>
        <v>0.00632213908706003</v>
      </c>
      <c r="J104" s="109" t="n">
        <f aca="false">IFERROR(IF(OR(NOT(ISNUMBER('Price History'!J105)),NOT(ISNUMBER('Price History'!J104)),'Price History'!J104=0),"",'Price History'!J105/'Price History'!J104-1),"")</f>
        <v>0.0328713242180183</v>
      </c>
      <c r="K104" s="109" t="n">
        <f aca="false">IFERROR(IF(OR(NOT(ISNUMBER('Price History'!K105)),NOT(ISNUMBER('Price History'!K104)),'Price History'!K104=0),"",'Price History'!K105/'Price History'!K104-1),"")</f>
        <v>0.0343929129755081</v>
      </c>
      <c r="L104" s="109" t="n">
        <f aca="false">IFERROR(IF(OR(NOT(ISNUMBER('Price History'!L105)),NOT(ISNUMBER('Price History'!L104)),'Price History'!L104=0),"",'Price History'!L105/'Price History'!L104-1),"")</f>
        <v>0.021630615640599</v>
      </c>
      <c r="M104" s="109" t="n">
        <f aca="false">IFERROR(IF(OR(NOT(ISNUMBER('Price History'!M105)),NOT(ISNUMBER('Price History'!M104)),'Price History'!M104=0),"",'Price History'!M105/'Price History'!M104-1),"")</f>
        <v>0.0651634898496822</v>
      </c>
      <c r="N104" s="109" t="n">
        <f aca="false">IFERROR(IF(OR(NOT(ISNUMBER('Price History'!N105)),NOT(ISNUMBER('Price History'!N104)),'Price History'!N104=0),"",'Price History'!N105/'Price History'!N104-1),"")</f>
        <v>0.0214001435375482</v>
      </c>
      <c r="O104" s="109" t="n">
        <f aca="false">IFERROR(IF(OR(NOT(ISNUMBER('Price History'!O105)),NOT(ISNUMBER('Price History'!O104)),'Price History'!O104=0),"",'Price History'!O105/'Price History'!O104-1),"")</f>
        <v>0.014716860403114</v>
      </c>
      <c r="P104" s="109" t="str">
        <f aca="false">IFERROR(IF(OR(NOT(ISNUMBER('Price History'!P105)),NOT(ISNUMBER('Price History'!P104)),'Price History'!P104=0),"",'Price History'!P105/'Price History'!P104-1),"")</f>
        <v/>
      </c>
      <c r="Q104" s="109" t="n">
        <f aca="false">IFERROR(IF(OR(NOT(ISNUMBER('Price History'!Q105)),NOT(ISNUMBER('Price History'!Q104)),'Price History'!Q104=0),"",'Price History'!Q105/'Price History'!Q104-1),"")</f>
        <v>0.00855099502487589</v>
      </c>
      <c r="R104" s="109" t="n">
        <f aca="false">IFERROR(IF(OR(NOT(ISNUMBER('Price History'!R105)),NOT(ISNUMBER('Price History'!R104)),'Price History'!R104=0),"",'Price History'!R105/'Price History'!R104-1),"")</f>
        <v>0.00713110257816796</v>
      </c>
      <c r="S104" s="109" t="n">
        <f aca="false">IFERROR(IF(OR(NOT(ISNUMBER('Price History'!S105)),NOT(ISNUMBER('Price History'!S104)),'Price History'!S104=0),"",'Price History'!S105/'Price History'!S104-1),"")</f>
        <v>0.0105420363700255</v>
      </c>
      <c r="T104" s="109" t="n">
        <f aca="false">IFERROR(IF(OR(NOT(ISNUMBER('Price History'!T105)),NOT(ISNUMBER('Price History'!T104)),'Price History'!T104=0),"",'Price History'!T105/'Price History'!T104-1),"")</f>
        <v>0.0219498289623719</v>
      </c>
      <c r="U104" s="109" t="str">
        <f aca="false">IFERROR(IF(OR(NOT(ISNUMBER('Price History'!U105)),NOT(ISNUMBER('Price History'!U104)),'Price History'!U104=0),"",'Price History'!U105/'Price History'!U104-1),"")</f>
        <v/>
      </c>
      <c r="V104" s="110" t="n">
        <f aca="false">IFERROR(IF(OR(NOT(ISNUMBER('Price History'!V105)),NOT(ISNUMBER('Price History'!V104)),'Price History'!V104=0),"",'Price History'!V105/'Price History'!V104-1),"")</f>
        <v>0.0229120259206757</v>
      </c>
      <c r="W104" s="111" t="n">
        <f aca="false">IFERROR('Price History'!B3+(INDEX('Price History'!B:B,MATCH(9.99E+307,'Price History'!$A:$A))-'Price History'!B3)*(ROW()-3)/(MATCH(9.99E+307,'Returns (Calc)'!$A:$A)-3),"")</f>
        <v>354.764842767296</v>
      </c>
      <c r="X104" s="111" t="n">
        <f aca="false">IFERROR('Price History'!C3+(INDEX('Price History'!C:C,MATCH(9.99E+307,'Price History'!$A:$A))-'Price History'!C3)*(ROW()-3)/(MATCH(9.99E+307,'Returns (Calc)'!$A:$A)-3),"")</f>
        <v>139.048427672956</v>
      </c>
      <c r="Y104" s="111" t="n">
        <f aca="false">IFERROR('Price History'!D3+(INDEX('Price History'!D:D,MATCH(9.99E+307,'Price History'!$A:$A))-'Price History'!D3)*(ROW()-3)/(MATCH(9.99E+307,'Returns (Calc)'!$A:$A)-3),"")</f>
        <v>1330.73031446541</v>
      </c>
      <c r="Z104" s="111" t="n">
        <f aca="false">IFERROR('Price History'!E3+(INDEX('Price History'!E:E,MATCH(9.99E+307,'Price History'!$A:$A))-'Price History'!E3)*(ROW()-3)/(MATCH(9.99E+307,'Returns (Calc)'!$A:$A)-3),"")</f>
        <v>257.614716981132</v>
      </c>
      <c r="AA104" s="111" t="n">
        <f aca="false">IFERROR('Price History'!F3+(INDEX('Price History'!F:F,MATCH(9.99E+307,'Price History'!$A:$A))-'Price History'!F3)*(ROW()-3)/(MATCH(9.99E+307,'Returns (Calc)'!$A:$A)-3),"")</f>
        <v>148.884150943396</v>
      </c>
      <c r="AB104" s="111" t="n">
        <f aca="false">IFERROR('Price History'!G3+(INDEX('Price History'!G:G,MATCH(9.99E+307,'Price History'!$A:$A))-'Price History'!G3)*(ROW()-3)/(MATCH(9.99E+307,'Returns (Calc)'!$A:$A)-3),"")</f>
        <v>135.369811320755</v>
      </c>
      <c r="AC104" s="111" t="n">
        <f aca="false">IFERROR('Price History'!H3+(INDEX('Price History'!H:H,MATCH(9.99E+307,'Price History'!$A:$A))-'Price History'!H3)*(ROW()-3)/(MATCH(9.99E+307,'Returns (Calc)'!$A:$A)-3),"")</f>
        <v>669.239308176101</v>
      </c>
      <c r="AD104" s="111" t="n">
        <f aca="false">IFERROR('Price History'!I3+(INDEX('Price History'!I:I,MATCH(9.99E+307,'Price History'!$A:$A))-'Price History'!I3)*(ROW()-3)/(MATCH(9.99E+307,'Returns (Calc)'!$A:$A)-3),"")</f>
        <v>161.230566037736</v>
      </c>
      <c r="AE104" s="111" t="n">
        <f aca="false">IFERROR('Price History'!J3+(INDEX('Price History'!J:J,MATCH(9.99E+307,'Price History'!$A:$A))-'Price History'!J3)*(ROW()-3)/(MATCH(9.99E+307,'Returns (Calc)'!$A:$A)-3),"")</f>
        <v>132.295094339623</v>
      </c>
      <c r="AF104" s="111" t="n">
        <f aca="false">IFERROR('Price History'!K3+(INDEX('Price History'!K:K,MATCH(9.99E+307,'Price History'!$A:$A))-'Price History'!K3)*(ROW()-3)/(MATCH(9.99E+307,'Returns (Calc)'!$A:$A)-3),"")</f>
        <v>116.359182389937</v>
      </c>
      <c r="AG104" s="111" t="n">
        <f aca="false">IFERROR('Price History'!L3+(INDEX('Price History'!L:L,MATCH(9.99E+307,'Price History'!$A:$A))-'Price History'!L3)*(ROW()-3)/(MATCH(9.99E+307,'Returns (Calc)'!$A:$A)-3),"")</f>
        <v>306.008364779874</v>
      </c>
      <c r="AH104" s="111" t="n">
        <f aca="false">IFERROR('Price History'!M3+(INDEX('Price History'!M:M,MATCH(9.99E+307,'Price History'!$A:$A))-'Price History'!M3)*(ROW()-3)/(MATCH(9.99E+307,'Returns (Calc)'!$A:$A)-3),"")</f>
        <v>190.422075471698</v>
      </c>
      <c r="AI104" s="111" t="n">
        <f aca="false">IFERROR('Price History'!N3+(INDEX('Price History'!N:N,MATCH(9.99E+307,'Price History'!$A:$A))-'Price History'!N3)*(ROW()-3)/(MATCH(9.99E+307,'Returns (Calc)'!$A:$A)-3),"")</f>
        <v>474.528301886792</v>
      </c>
      <c r="AJ104" s="111" t="n">
        <f aca="false">IFERROR('Price History'!O3+(INDEX('Price History'!O:O,MATCH(9.99E+307,'Price History'!$A:$A))-'Price History'!O3)*(ROW()-3)/(MATCH(9.99E+307,'Returns (Calc)'!$A:$A)-3),"")</f>
        <v>110.850503144654</v>
      </c>
      <c r="AK104" s="111" t="n">
        <f aca="false">IFERROR('Price History'!Q3+(INDEX('Price History'!Q:Q,MATCH(9.99E+307,'Price History'!$A:$A))-'Price History'!Q3)*(ROW()-3)/(MATCH(9.99E+307,'Returns (Calc)'!$A:$A)-3),"")</f>
        <v>62.4681761006289</v>
      </c>
      <c r="AL104" s="111" t="n">
        <f aca="false">IFERROR('Price History'!R3+(INDEX('Price History'!R:R,MATCH(9.99E+307,'Price History'!$A:$A))-'Price History'!R3)*(ROW()-3)/(MATCH(9.99E+307,'Returns (Calc)'!$A:$A)-3),"")</f>
        <v>55.4744025157233</v>
      </c>
      <c r="AM104" s="111" t="n">
        <f aca="false">IFERROR('Price History'!S3+(INDEX('Price History'!S:S,MATCH(9.99E+307,'Price History'!$A:$A))-'Price History'!S3)*(ROW()-3)/(MATCH(9.99E+307,'Returns (Calc)'!$A:$A)-3),"")</f>
        <v>116.459371069182</v>
      </c>
      <c r="AN104" s="111" t="n">
        <f aca="false">IFERROR('Price History'!T3+(INDEX('Price History'!T:T,MATCH(9.99E+307,'Price History'!$A:$A))-'Price History'!T3)*(ROW()-3)/(MATCH(9.99E+307,'Returns (Calc)'!$A:$A)-3),"")</f>
        <v>44.9375471698113</v>
      </c>
      <c r="AO104" s="112" t="n">
        <f aca="false">IFERROR('Price History'!V3+(INDEX('Price History'!V:V,MATCH(9.99E+307,'Price History'!$A:$A))-'Price History'!V3)*(ROW()-3)/(MATCH(9.99E+307,'Returns (Calc)'!$A:$A)-3),"")</f>
        <v>238.252012578616</v>
      </c>
    </row>
    <row r="105" customFormat="false" ht="15" hidden="false" customHeight="true" outlineLevel="0" collapsed="false">
      <c r="A105" s="108" t="n">
        <f aca="false">IF('Price History'!A106="","",'Price History'!A106)</f>
        <v>45870</v>
      </c>
      <c r="B105" s="109" t="n">
        <f aca="false">IFERROR(IF(OR(NOT(ISNUMBER('Price History'!B106)),NOT(ISNUMBER('Price History'!B105)),'Price History'!B105=0),"",'Price History'!B106/'Price History'!B105-1),"")</f>
        <v>-0.06187624750499</v>
      </c>
      <c r="C105" s="109" t="n">
        <f aca="false">IFERROR(IF(OR(NOT(ISNUMBER('Price History'!C106)),NOT(ISNUMBER('Price History'!C105)),'Price History'!C105=0),"",'Price History'!C106/'Price History'!C105-1),"")</f>
        <v>0.0287889394469723</v>
      </c>
      <c r="D105" s="109" t="n">
        <f aca="false">IFERROR(IF(OR(NOT(ISNUMBER('Price History'!D106)),NOT(ISNUMBER('Price History'!D105)),'Price History'!D105=0),"",'Price History'!D106/'Price History'!D105-1),"")</f>
        <v>-0.0301300527240772</v>
      </c>
      <c r="E105" s="109" t="n">
        <f aca="false">IFERROR(IF(OR(NOT(ISNUMBER('Price History'!E106)),NOT(ISNUMBER('Price History'!E105)),'Price History'!E105=0),"",'Price History'!E106/'Price History'!E105-1),"")</f>
        <v>-0.00530705079605764</v>
      </c>
      <c r="F105" s="109" t="n">
        <f aca="false">IFERROR(IF(OR(NOT(ISNUMBER('Price History'!F106)),NOT(ISNUMBER('Price History'!F105)),'Price History'!F105=0),"",'Price History'!F106/'Price History'!F105-1),"")</f>
        <v>-0.0453923747649171</v>
      </c>
      <c r="G105" s="109" t="n">
        <f aca="false">IFERROR(IF(OR(NOT(ISNUMBER('Price History'!G106)),NOT(ISNUMBER('Price History'!G105)),'Price History'!G105=0),"",'Price History'!G106/'Price History'!G105-1),"")</f>
        <v>-0.0171821305841924</v>
      </c>
      <c r="H105" s="109" t="n">
        <f aca="false">IFERROR(IF(OR(NOT(ISNUMBER('Price History'!H106)),NOT(ISNUMBER('Price History'!H105)),'Price History'!H105=0),"",'Price History'!H106/'Price History'!H105-1),"")</f>
        <v>-0.0573431601653784</v>
      </c>
      <c r="I105" s="109" t="n">
        <f aca="false">IFERROR(IF(OR(NOT(ISNUMBER('Price History'!I106)),NOT(ISNUMBER('Price History'!I105)),'Price History'!I105=0),"",'Price History'!I106/'Price History'!I105-1),"")</f>
        <v>0.00126801152737754</v>
      </c>
      <c r="J105" s="109" t="n">
        <f aca="false">IFERROR(IF(OR(NOT(ISNUMBER('Price History'!J106)),NOT(ISNUMBER('Price History'!J105)),'Price History'!J105=0),"",'Price History'!J106/'Price History'!J105-1),"")</f>
        <v>-0.0487804878048781</v>
      </c>
      <c r="K105" s="109" t="n">
        <f aca="false">IFERROR(IF(OR(NOT(ISNUMBER('Price History'!K106)),NOT(ISNUMBER('Price History'!K105)),'Price History'!K105=0),"",'Price History'!K106/'Price History'!K105-1),"")</f>
        <v>-0.0285264483627204</v>
      </c>
      <c r="L105" s="109" t="n">
        <f aca="false">IFERROR(IF(OR(NOT(ISNUMBER('Price History'!L106)),NOT(ISNUMBER('Price History'!L105)),'Price History'!L105=0),"",'Price History'!L106/'Price History'!L105-1),"")</f>
        <v>-0.0423045602605863</v>
      </c>
      <c r="M105" s="109" t="n">
        <f aca="false">IFERROR(IF(OR(NOT(ISNUMBER('Price History'!M106)),NOT(ISNUMBER('Price History'!M105)),'Price History'!M105=0),"",'Price History'!M106/'Price History'!M105-1),"")</f>
        <v>0.0299701753109769</v>
      </c>
      <c r="N105" s="109" t="n">
        <f aca="false">IFERROR(IF(OR(NOT(ISNUMBER('Price History'!N106)),NOT(ISNUMBER('Price History'!N105)),'Price History'!N105=0),"",'Price History'!N106/'Price History'!N105-1),"")</f>
        <v>-0.0160119237730224</v>
      </c>
      <c r="O105" s="109" t="n">
        <f aca="false">IFERROR(IF(OR(NOT(ISNUMBER('Price History'!O106)),NOT(ISNUMBER('Price History'!O105)),'Price History'!O105=0),"",'Price History'!O106/'Price History'!O105-1),"")</f>
        <v>-0.0502364687335786</v>
      </c>
      <c r="P105" s="109" t="str">
        <f aca="false">IFERROR(IF(OR(NOT(ISNUMBER('Price History'!P106)),NOT(ISNUMBER('Price History'!P105)),'Price History'!P105=0),"",'Price History'!P106/'Price History'!P105-1),"")</f>
        <v/>
      </c>
      <c r="Q105" s="109" t="n">
        <f aca="false">IFERROR(IF(OR(NOT(ISNUMBER('Price History'!Q106)),NOT(ISNUMBER('Price History'!Q105)),'Price History'!Q105=0),"",'Price History'!Q106/'Price History'!Q105-1),"")</f>
        <v>0.00200400801603196</v>
      </c>
      <c r="R105" s="109" t="n">
        <f aca="false">IFERROR(IF(OR(NOT(ISNUMBER('Price History'!R106)),NOT(ISNUMBER('Price History'!R105)),'Price History'!R105=0),"",'Price History'!R106/'Price History'!R105-1),"")</f>
        <v>-0.0230573710965867</v>
      </c>
      <c r="S105" s="109" t="n">
        <f aca="false">IFERROR(IF(OR(NOT(ISNUMBER('Price History'!S106)),NOT(ISNUMBER('Price History'!S105)),'Price History'!S105=0),"",'Price History'!S106/'Price History'!S105-1),"")</f>
        <v>-0.0156480918021386</v>
      </c>
      <c r="T105" s="109" t="n">
        <f aca="false">IFERROR(IF(OR(NOT(ISNUMBER('Price History'!T106)),NOT(ISNUMBER('Price History'!T105)),'Price History'!T105=0),"",'Price History'!T106/'Price History'!T105-1),"")</f>
        <v>-0.0418410041841004</v>
      </c>
      <c r="U105" s="109" t="str">
        <f aca="false">IFERROR(IF(OR(NOT(ISNUMBER('Price History'!U106)),NOT(ISNUMBER('Price History'!U105)),'Price History'!U105=0),"",'Price History'!U106/'Price History'!U105-1),"")</f>
        <v/>
      </c>
      <c r="V105" s="110" t="n">
        <f aca="false">IFERROR(IF(OR(NOT(ISNUMBER('Price History'!V106)),NOT(ISNUMBER('Price History'!V105)),'Price History'!V105=0),"",'Price History'!V106/'Price History'!V105-1),"")</f>
        <v>-0.0495489125823694</v>
      </c>
      <c r="W105" s="111" t="n">
        <f aca="false">IFERROR('Price History'!B3+(INDEX('Price History'!B:B,MATCH(9.99E+307,'Price History'!$A:$A))-'Price History'!B3)*(ROW()-3)/(MATCH(9.99E+307,'Returns (Calc)'!$A:$A)-3),"")</f>
        <v>353.24320754717</v>
      </c>
      <c r="X105" s="111" t="n">
        <f aca="false">IFERROR('Price History'!C3+(INDEX('Price History'!C:C,MATCH(9.99E+307,'Price History'!$A:$A))-'Price History'!C3)*(ROW()-3)/(MATCH(9.99E+307,'Returns (Calc)'!$A:$A)-3),"")</f>
        <v>139.992075471698</v>
      </c>
      <c r="Y105" s="111" t="n">
        <f aca="false">IFERROR('Price History'!D3+(INDEX('Price History'!D:D,MATCH(9.99E+307,'Price History'!$A:$A))-'Price History'!D3)*(ROW()-3)/(MATCH(9.99E+307,'Returns (Calc)'!$A:$A)-3),"")</f>
        <v>1337.35358490566</v>
      </c>
      <c r="Z105" s="111" t="n">
        <f aca="false">IFERROR('Price History'!E3+(INDEX('Price History'!E:E,MATCH(9.99E+307,'Price History'!$A:$A))-'Price History'!E3)*(ROW()-3)/(MATCH(9.99E+307,'Returns (Calc)'!$A:$A)-3),"")</f>
        <v>259.343773584906</v>
      </c>
      <c r="AA105" s="111" t="n">
        <f aca="false">IFERROR('Price History'!F3+(INDEX('Price History'!F:F,MATCH(9.99E+307,'Price History'!$A:$A))-'Price History'!F3)*(ROW()-3)/(MATCH(9.99E+307,'Returns (Calc)'!$A:$A)-3),"")</f>
        <v>149.991320754717</v>
      </c>
      <c r="AB105" s="111" t="n">
        <f aca="false">IFERROR('Price History'!G3+(INDEX('Price History'!G:G,MATCH(9.99E+307,'Price History'!$A:$A))-'Price History'!G3)*(ROW()-3)/(MATCH(9.99E+307,'Returns (Calc)'!$A:$A)-3),"")</f>
        <v>136.235849056604</v>
      </c>
      <c r="AC105" s="111" t="n">
        <f aca="false">IFERROR('Price History'!H3+(INDEX('Price History'!H:H,MATCH(9.99E+307,'Price History'!$A:$A))-'Price History'!H3)*(ROW()-3)/(MATCH(9.99E+307,'Returns (Calc)'!$A:$A)-3),"")</f>
        <v>675.228113207547</v>
      </c>
      <c r="AD105" s="111" t="n">
        <f aca="false">IFERROR('Price History'!I3+(INDEX('Price History'!I:I,MATCH(9.99E+307,'Price History'!$A:$A))-'Price History'!I3)*(ROW()-3)/(MATCH(9.99E+307,'Returns (Calc)'!$A:$A)-3),"")</f>
        <v>162.422452830189</v>
      </c>
      <c r="AE105" s="111" t="n">
        <f aca="false">IFERROR('Price History'!J3+(INDEX('Price History'!J:J,MATCH(9.99E+307,'Price History'!$A:$A))-'Price History'!J3)*(ROW()-3)/(MATCH(9.99E+307,'Returns (Calc)'!$A:$A)-3),"")</f>
        <v>132.382075471698</v>
      </c>
      <c r="AF105" s="111" t="n">
        <f aca="false">IFERROR('Price History'!K3+(INDEX('Price History'!K:K,MATCH(9.99E+307,'Price History'!$A:$A))-'Price History'!K3)*(ROW()-3)/(MATCH(9.99E+307,'Returns (Calc)'!$A:$A)-3),"")</f>
        <v>117.358679245283</v>
      </c>
      <c r="AG105" s="111" t="n">
        <f aca="false">IFERROR('Price History'!L3+(INDEX('Price History'!L:L,MATCH(9.99E+307,'Price History'!$A:$A))-'Price History'!L3)*(ROW()-3)/(MATCH(9.99E+307,'Returns (Calc)'!$A:$A)-3),"")</f>
        <v>308.127358490566</v>
      </c>
      <c r="AH105" s="111" t="n">
        <f aca="false">IFERROR('Price History'!M3+(INDEX('Price History'!M:M,MATCH(9.99E+307,'Price History'!$A:$A))-'Price History'!M3)*(ROW()-3)/(MATCH(9.99E+307,'Returns (Calc)'!$A:$A)-3),"")</f>
        <v>191.975660377358</v>
      </c>
      <c r="AI105" s="111" t="n">
        <f aca="false">IFERROR('Price History'!N3+(INDEX('Price History'!N:N,MATCH(9.99E+307,'Price History'!$A:$A))-'Price History'!N3)*(ROW()-3)/(MATCH(9.99E+307,'Returns (Calc)'!$A:$A)-3),"")</f>
        <v>475.762641509434</v>
      </c>
      <c r="AJ105" s="111" t="n">
        <f aca="false">IFERROR('Price History'!O3+(INDEX('Price History'!O:O,MATCH(9.99E+307,'Price History'!$A:$A))-'Price History'!O3)*(ROW()-3)/(MATCH(9.99E+307,'Returns (Calc)'!$A:$A)-3),"")</f>
        <v>111.127735849057</v>
      </c>
      <c r="AK105" s="111" t="n">
        <f aca="false">IFERROR('Price History'!Q3+(INDEX('Price History'!Q:Q,MATCH(9.99E+307,'Price History'!$A:$A))-'Price History'!Q3)*(ROW()-3)/(MATCH(9.99E+307,'Returns (Calc)'!$A:$A)-3),"")</f>
        <v>62.5932075471698</v>
      </c>
      <c r="AL105" s="111" t="n">
        <f aca="false">IFERROR('Price History'!R3+(INDEX('Price History'!R:R,MATCH(9.99E+307,'Price History'!$A:$A))-'Price History'!R3)*(ROW()-3)/(MATCH(9.99E+307,'Returns (Calc)'!$A:$A)-3),"")</f>
        <v>55.5501886792453</v>
      </c>
      <c r="AM105" s="111" t="n">
        <f aca="false">IFERROR('Price History'!S3+(INDEX('Price History'!S:S,MATCH(9.99E+307,'Price History'!$A:$A))-'Price History'!S3)*(ROW()-3)/(MATCH(9.99E+307,'Returns (Calc)'!$A:$A)-3),"")</f>
        <v>117.032830188679</v>
      </c>
      <c r="AN105" s="111" t="n">
        <f aca="false">IFERROR('Price History'!T3+(INDEX('Price History'!T:T,MATCH(9.99E+307,'Price History'!$A:$A))-'Price History'!T3)*(ROW()-3)/(MATCH(9.99E+307,'Returns (Calc)'!$A:$A)-3),"")</f>
        <v>45.1160377358491</v>
      </c>
      <c r="AO105" s="112" t="n">
        <f aca="false">IFERROR('Price History'!V3+(INDEX('Price History'!V:V,MATCH(9.99E+307,'Price History'!$A:$A))-'Price History'!V3)*(ROW()-3)/(MATCH(9.99E+307,'Returns (Calc)'!$A:$A)-3),"")</f>
        <v>240.610943396226</v>
      </c>
    </row>
    <row r="106" customFormat="false" ht="15" hidden="false" customHeight="true" outlineLevel="0" collapsed="false">
      <c r="A106" s="108" t="n">
        <f aca="false">IF('Price History'!A107="","",'Price History'!A107)</f>
        <v>45877</v>
      </c>
      <c r="B106" s="109" t="n">
        <f aca="false">IFERROR(IF(OR(NOT(ISNUMBER('Price History'!B107)),NOT(ISNUMBER('Price History'!B106)),'Price History'!B106=0),"",'Price History'!B107/'Price History'!B106-1),"")</f>
        <v>-0.0194077055779184</v>
      </c>
      <c r="C106" s="109" t="n">
        <f aca="false">IFERROR(IF(OR(NOT(ISNUMBER('Price History'!C107)),NOT(ISNUMBER('Price History'!C106)),'Price History'!C106=0),"",'Price History'!C107/'Price History'!C106-1),"")</f>
        <v>0.183805392532109</v>
      </c>
      <c r="D106" s="109" t="n">
        <f aca="false">IFERROR(IF(OR(NOT(ISNUMBER('Price History'!D107)),NOT(ISNUMBER('Price History'!D106)),'Price History'!D106=0),"",'Price History'!D107/'Price History'!D106-1),"")</f>
        <v>0.0471137398161838</v>
      </c>
      <c r="E106" s="109" t="n">
        <f aca="false">IFERROR(IF(OR(NOT(ISNUMBER('Price History'!E107)),NOT(ISNUMBER('Price History'!E106)),'Price History'!E106=0),"",'Price History'!E107/'Price History'!E106-1),"")</f>
        <v>0.0565756651884701</v>
      </c>
      <c r="F106" s="109" t="n">
        <f aca="false">IFERROR(IF(OR(NOT(ISNUMBER('Price History'!F107)),NOT(ISNUMBER('Price History'!F106)),'Price History'!F106=0),"",'Price History'!F107/'Price History'!F106-1),"")</f>
        <v>-0.0497000089549565</v>
      </c>
      <c r="G106" s="109" t="n">
        <f aca="false">IFERROR(IF(OR(NOT(ISNUMBER('Price History'!G107)),NOT(ISNUMBER('Price History'!G106)),'Price History'!G106=0),"",'Price History'!G107/'Price History'!G106-1),"")</f>
        <v>0.0318069027746448</v>
      </c>
      <c r="H106" s="109" t="n">
        <f aca="false">IFERROR(IF(OR(NOT(ISNUMBER('Price History'!H107)),NOT(ISNUMBER('Price History'!H106)),'Price History'!H106=0),"",'Price History'!H107/'Price History'!H106-1),"")</f>
        <v>0.13358123569794</v>
      </c>
      <c r="I106" s="109" t="n">
        <f aca="false">IFERROR(IF(OR(NOT(ISNUMBER('Price History'!I107)),NOT(ISNUMBER('Price History'!I106)),'Price History'!I106=0),"",'Price History'!I107/'Price History'!I106-1),"")</f>
        <v>0.0516923785401795</v>
      </c>
      <c r="J106" s="109" t="n">
        <f aca="false">IFERROR(IF(OR(NOT(ISNUMBER('Price History'!J107)),NOT(ISNUMBER('Price History'!J106)),'Price History'!J106=0),"",'Price History'!J107/'Price History'!J106-1),"")</f>
        <v>0.00733962443999636</v>
      </c>
      <c r="K106" s="109" t="n">
        <f aca="false">IFERROR(IF(OR(NOT(ISNUMBER('Price History'!K107)),NOT(ISNUMBER('Price History'!K106)),'Price History'!K106=0),"",'Price History'!K107/'Price History'!K106-1),"")</f>
        <v>0.211901212160498</v>
      </c>
      <c r="L106" s="109" t="n">
        <f aca="false">IFERROR(IF(OR(NOT(ISNUMBER('Price History'!L107)),NOT(ISNUMBER('Price History'!L106)),'Price History'!L106=0),"",'Price History'!L107/'Price History'!L106-1),"")</f>
        <v>0.0281450618596149</v>
      </c>
      <c r="M106" s="109" t="n">
        <f aca="false">IFERROR(IF(OR(NOT(ISNUMBER('Price History'!M107)),NOT(ISNUMBER('Price History'!M106)),'Price History'!M106=0),"",'Price History'!M107/'Price History'!M106-1),"")</f>
        <v>-0.011723991807331</v>
      </c>
      <c r="N106" s="109" t="n">
        <f aca="false">IFERROR(IF(OR(NOT(ISNUMBER('Price History'!N107)),NOT(ISNUMBER('Price History'!N106)),'Price History'!N106=0),"",'Price History'!N107/'Price History'!N106-1),"")</f>
        <v>-0.206846558327743</v>
      </c>
      <c r="O106" s="109" t="n">
        <f aca="false">IFERROR(IF(OR(NOT(ISNUMBER('Price History'!O107)),NOT(ISNUMBER('Price History'!O106)),'Price History'!O106=0),"",'Price History'!O107/'Price History'!O106-1),"")</f>
        <v>0.0232378001549185</v>
      </c>
      <c r="P106" s="109" t="str">
        <f aca="false">IFERROR(IF(OR(NOT(ISNUMBER('Price History'!P107)),NOT(ISNUMBER('Price History'!P106)),'Price History'!P106=0),"",'Price History'!P107/'Price History'!P106-1),"")</f>
        <v/>
      </c>
      <c r="Q106" s="109" t="n">
        <f aca="false">IFERROR(IF(OR(NOT(ISNUMBER('Price History'!Q107)),NOT(ISNUMBER('Price History'!Q106)),'Price History'!Q106=0),"",'Price History'!Q107/'Price History'!Q106-1),"")</f>
        <v>-0.00169230769230766</v>
      </c>
      <c r="R106" s="109" t="n">
        <f aca="false">IFERROR(IF(OR(NOT(ISNUMBER('Price History'!R107)),NOT(ISNUMBER('Price History'!R106)),'Price History'!R106=0),"",'Price History'!R107/'Price History'!R106-1),"")</f>
        <v>0.0280616985690392</v>
      </c>
      <c r="S106" s="109" t="n">
        <f aca="false">IFERROR(IF(OR(NOT(ISNUMBER('Price History'!S107)),NOT(ISNUMBER('Price History'!S106)),'Price History'!S106=0),"",'Price History'!S107/'Price History'!S106-1),"")</f>
        <v>0.0349730636757042</v>
      </c>
      <c r="T106" s="109" t="n">
        <f aca="false">IFERROR(IF(OR(NOT(ISNUMBER('Price History'!T107)),NOT(ISNUMBER('Price History'!T106)),'Price History'!T106=0),"",'Price History'!T107/'Price History'!T106-1),"")</f>
        <v>0.00989810771470157</v>
      </c>
      <c r="U106" s="109" t="str">
        <f aca="false">IFERROR(IF(OR(NOT(ISNUMBER('Price History'!U107)),NOT(ISNUMBER('Price History'!U106)),'Price History'!U106=0),"",'Price History'!U107/'Price History'!U106-1),"")</f>
        <v/>
      </c>
      <c r="V106" s="110" t="n">
        <f aca="false">IFERROR(IF(OR(NOT(ISNUMBER('Price History'!V107)),NOT(ISNUMBER('Price History'!V106)),'Price History'!V106=0),"",'Price History'!V107/'Price History'!V106-1),"")</f>
        <v>-0.00758770494242278</v>
      </c>
      <c r="W106" s="111" t="n">
        <f aca="false">IFERROR('Price History'!B3+(INDEX('Price History'!B:B,MATCH(9.99E+307,'Price History'!$A:$A))-'Price History'!B3)*(ROW()-3)/(MATCH(9.99E+307,'Returns (Calc)'!$A:$A)-3),"")</f>
        <v>351.721572327044</v>
      </c>
      <c r="X106" s="111" t="n">
        <f aca="false">IFERROR('Price History'!C3+(INDEX('Price History'!C:C,MATCH(9.99E+307,'Price History'!$A:$A))-'Price History'!C3)*(ROW()-3)/(MATCH(9.99E+307,'Returns (Calc)'!$A:$A)-3),"")</f>
        <v>140.93572327044</v>
      </c>
      <c r="Y106" s="111" t="n">
        <f aca="false">IFERROR('Price History'!D3+(INDEX('Price History'!D:D,MATCH(9.99E+307,'Price History'!$A:$A))-'Price History'!D3)*(ROW()-3)/(MATCH(9.99E+307,'Returns (Calc)'!$A:$A)-3),"")</f>
        <v>1343.97685534591</v>
      </c>
      <c r="Z106" s="111" t="n">
        <f aca="false">IFERROR('Price History'!E3+(INDEX('Price History'!E:E,MATCH(9.99E+307,'Price History'!$A:$A))-'Price History'!E3)*(ROW()-3)/(MATCH(9.99E+307,'Returns (Calc)'!$A:$A)-3),"")</f>
        <v>261.072830188679</v>
      </c>
      <c r="AA106" s="111" t="n">
        <f aca="false">IFERROR('Price History'!F3+(INDEX('Price History'!F:F,MATCH(9.99E+307,'Price History'!$A:$A))-'Price History'!F3)*(ROW()-3)/(MATCH(9.99E+307,'Returns (Calc)'!$A:$A)-3),"")</f>
        <v>151.098490566038</v>
      </c>
      <c r="AB106" s="111" t="n">
        <f aca="false">IFERROR('Price History'!G3+(INDEX('Price History'!G:G,MATCH(9.99E+307,'Price History'!$A:$A))-'Price History'!G3)*(ROW()-3)/(MATCH(9.99E+307,'Returns (Calc)'!$A:$A)-3),"")</f>
        <v>137.101886792453</v>
      </c>
      <c r="AC106" s="111" t="n">
        <f aca="false">IFERROR('Price History'!H3+(INDEX('Price History'!H:H,MATCH(9.99E+307,'Price History'!$A:$A))-'Price History'!H3)*(ROW()-3)/(MATCH(9.99E+307,'Returns (Calc)'!$A:$A)-3),"")</f>
        <v>681.216918238994</v>
      </c>
      <c r="AD106" s="111" t="n">
        <f aca="false">IFERROR('Price History'!I3+(INDEX('Price History'!I:I,MATCH(9.99E+307,'Price History'!$A:$A))-'Price History'!I3)*(ROW()-3)/(MATCH(9.99E+307,'Returns (Calc)'!$A:$A)-3),"")</f>
        <v>163.614339622642</v>
      </c>
      <c r="AE106" s="111" t="n">
        <f aca="false">IFERROR('Price History'!J3+(INDEX('Price History'!J:J,MATCH(9.99E+307,'Price History'!$A:$A))-'Price History'!J3)*(ROW()-3)/(MATCH(9.99E+307,'Returns (Calc)'!$A:$A)-3),"")</f>
        <v>132.469056603774</v>
      </c>
      <c r="AF106" s="111" t="n">
        <f aca="false">IFERROR('Price History'!K3+(INDEX('Price History'!K:K,MATCH(9.99E+307,'Price History'!$A:$A))-'Price History'!K3)*(ROW()-3)/(MATCH(9.99E+307,'Returns (Calc)'!$A:$A)-3),"")</f>
        <v>118.358176100629</v>
      </c>
      <c r="AG106" s="111" t="n">
        <f aca="false">IFERROR('Price History'!L3+(INDEX('Price History'!L:L,MATCH(9.99E+307,'Price History'!$A:$A))-'Price History'!L3)*(ROW()-3)/(MATCH(9.99E+307,'Returns (Calc)'!$A:$A)-3),"")</f>
        <v>310.246352201258</v>
      </c>
      <c r="AH106" s="111" t="n">
        <f aca="false">IFERROR('Price History'!M3+(INDEX('Price History'!M:M,MATCH(9.99E+307,'Price History'!$A:$A))-'Price History'!M3)*(ROW()-3)/(MATCH(9.99E+307,'Returns (Calc)'!$A:$A)-3),"")</f>
        <v>193.529245283019</v>
      </c>
      <c r="AI106" s="111" t="n">
        <f aca="false">IFERROR('Price History'!N3+(INDEX('Price History'!N:N,MATCH(9.99E+307,'Price History'!$A:$A))-'Price History'!N3)*(ROW()-3)/(MATCH(9.99E+307,'Returns (Calc)'!$A:$A)-3),"")</f>
        <v>476.996981132075</v>
      </c>
      <c r="AJ106" s="111" t="n">
        <f aca="false">IFERROR('Price History'!O3+(INDEX('Price History'!O:O,MATCH(9.99E+307,'Price History'!$A:$A))-'Price History'!O3)*(ROW()-3)/(MATCH(9.99E+307,'Returns (Calc)'!$A:$A)-3),"")</f>
        <v>111.404968553459</v>
      </c>
      <c r="AK106" s="111" t="n">
        <f aca="false">IFERROR('Price History'!Q3+(INDEX('Price History'!Q:Q,MATCH(9.99E+307,'Price History'!$A:$A))-'Price History'!Q3)*(ROW()-3)/(MATCH(9.99E+307,'Returns (Calc)'!$A:$A)-3),"")</f>
        <v>62.7182389937107</v>
      </c>
      <c r="AL106" s="111" t="n">
        <f aca="false">IFERROR('Price History'!R3+(INDEX('Price History'!R:R,MATCH(9.99E+307,'Price History'!$A:$A))-'Price History'!R3)*(ROW()-3)/(MATCH(9.99E+307,'Returns (Calc)'!$A:$A)-3),"")</f>
        <v>55.6259748427673</v>
      </c>
      <c r="AM106" s="111" t="n">
        <f aca="false">IFERROR('Price History'!S3+(INDEX('Price History'!S:S,MATCH(9.99E+307,'Price History'!$A:$A))-'Price History'!S3)*(ROW()-3)/(MATCH(9.99E+307,'Returns (Calc)'!$A:$A)-3),"")</f>
        <v>117.606289308176</v>
      </c>
      <c r="AN106" s="111" t="n">
        <f aca="false">IFERROR('Price History'!T3+(INDEX('Price History'!T:T,MATCH(9.99E+307,'Price History'!$A:$A))-'Price History'!T3)*(ROW()-3)/(MATCH(9.99E+307,'Returns (Calc)'!$A:$A)-3),"")</f>
        <v>45.2945283018868</v>
      </c>
      <c r="AO106" s="112" t="n">
        <f aca="false">IFERROR('Price History'!V3+(INDEX('Price History'!V:V,MATCH(9.99E+307,'Price History'!$A:$A))-'Price History'!V3)*(ROW()-3)/(MATCH(9.99E+307,'Returns (Calc)'!$A:$A)-3),"")</f>
        <v>242.969874213836</v>
      </c>
    </row>
    <row r="107" customFormat="false" ht="15" hidden="false" customHeight="true" outlineLevel="0" collapsed="false">
      <c r="A107" s="108" t="n">
        <f aca="false">IF('Price History'!A108="","",'Price History'!A108)</f>
        <v>45884</v>
      </c>
      <c r="B107" s="109" t="n">
        <f aca="false">IFERROR(IF(OR(NOT(ISNUMBER('Price History'!B108)),NOT(ISNUMBER('Price History'!B107)),'Price History'!B107=0),"",'Price History'!B108/'Price History'!B107-1),"")</f>
        <v>0.0404632751795924</v>
      </c>
      <c r="C107" s="109" t="n">
        <f aca="false">IFERROR(IF(OR(NOT(ISNUMBER('Price History'!C108)),NOT(ISNUMBER('Price History'!C107)),'Price History'!C107=0),"",'Price History'!C108/'Price History'!C107-1),"")</f>
        <v>-0.0135076878861905</v>
      </c>
      <c r="D107" s="109" t="n">
        <f aca="false">IFERROR(IF(OR(NOT(ISNUMBER('Price History'!D108)),NOT(ISNUMBER('Price History'!D107)),'Price History'!D107=0),"",'Price History'!D108/'Price History'!D107-1),"")</f>
        <v>0.0274670506146859</v>
      </c>
      <c r="E107" s="109" t="n">
        <f aca="false">IFERROR(IF(OR(NOT(ISNUMBER('Price History'!E108)),NOT(ISNUMBER('Price History'!E107)),'Price History'!E107=0),"",'Price History'!E108/'Price History'!E107-1),"")</f>
        <v>0.00449224513886604</v>
      </c>
      <c r="F107" s="109" t="n">
        <f aca="false">IFERROR(IF(OR(NOT(ISNUMBER('Price History'!F108)),NOT(ISNUMBER('Price History'!F107)),'Price History'!F107=0),"",'Price History'!F108/'Price History'!F107-1),"")</f>
        <v>0.00810403316999619</v>
      </c>
      <c r="G107" s="109" t="n">
        <f aca="false">IFERROR(IF(OR(NOT(ISNUMBER('Price History'!G108)),NOT(ISNUMBER('Price History'!G107)),'Price History'!G107=0),"",'Price History'!G108/'Price History'!G107-1),"")</f>
        <v>-0.0436160909488413</v>
      </c>
      <c r="H107" s="109" t="n">
        <f aca="false">IFERROR(IF(OR(NOT(ISNUMBER('Price History'!H108)),NOT(ISNUMBER('Price History'!H107)),'Price History'!H107=0),"",'Price History'!H108/'Price History'!H107-1),"")</f>
        <v>0.0166540499621499</v>
      </c>
      <c r="I107" s="109" t="n">
        <f aca="false">IFERROR(IF(OR(NOT(ISNUMBER('Price History'!I108)),NOT(ISNUMBER('Price History'!I107)),'Price History'!I107=0),"",'Price History'!I108/'Price History'!I107-1),"")</f>
        <v>-0.0123152709359606</v>
      </c>
      <c r="J107" s="109" t="n">
        <f aca="false">IFERROR(IF(OR(NOT(ISNUMBER('Price History'!J108)),NOT(ISNUMBER('Price History'!J107)),'Price History'!J107=0),"",'Price History'!J108/'Price History'!J107-1),"")</f>
        <v>0.00861090083270244</v>
      </c>
      <c r="K107" s="109" t="n">
        <f aca="false">IFERROR(IF(OR(NOT(ISNUMBER('Price History'!K108)),NOT(ISNUMBER('Price History'!K107)),'Price History'!K107=0),"",'Price History'!K108/'Price History'!K107-1),"")</f>
        <v>-0.0523641420624734</v>
      </c>
      <c r="L107" s="109" t="n">
        <f aca="false">IFERROR(IF(OR(NOT(ISNUMBER('Price History'!L108)),NOT(ISNUMBER('Price History'!L107)),'Price History'!L107=0),"",'Price History'!L108/'Price History'!L107-1),"")</f>
        <v>-0.0121986519455817</v>
      </c>
      <c r="M107" s="109" t="n">
        <f aca="false">IFERROR(IF(OR(NOT(ISNUMBER('Price History'!M108)),NOT(ISNUMBER('Price History'!M107)),'Price History'!M107=0),"",'Price History'!M108/'Price History'!M107-1),"")</f>
        <v>-0.0490245122561281</v>
      </c>
      <c r="N107" s="109" t="n">
        <f aca="false">IFERROR(IF(OR(NOT(ISNUMBER('Price History'!N108)),NOT(ISNUMBER('Price History'!N107)),'Price History'!N107=0),"",'Price History'!N108/'Price History'!N107-1),"")</f>
        <v>0.0716156490423965</v>
      </c>
      <c r="O107" s="109" t="n">
        <f aca="false">IFERROR(IF(OR(NOT(ISNUMBER('Price History'!O108)),NOT(ISNUMBER('Price History'!O107)),'Price History'!O107=0),"",'Price History'!O108/'Price History'!O107-1),"")</f>
        <v>0.029847518113983</v>
      </c>
      <c r="P107" s="109" t="str">
        <f aca="false">IFERROR(IF(OR(NOT(ISNUMBER('Price History'!P108)),NOT(ISNUMBER('Price History'!P107)),'Price History'!P107=0),"",'Price History'!P108/'Price History'!P107-1),"")</f>
        <v/>
      </c>
      <c r="Q107" s="109" t="n">
        <f aca="false">IFERROR(IF(OR(NOT(ISNUMBER('Price History'!Q108)),NOT(ISNUMBER('Price History'!Q107)),'Price History'!Q107=0),"",'Price History'!Q108/'Price History'!Q107-1),"")</f>
        <v>0.00323624595469241</v>
      </c>
      <c r="R107" s="109" t="n">
        <f aca="false">IFERROR(IF(OR(NOT(ISNUMBER('Price History'!R108)),NOT(ISNUMBER('Price History'!R107)),'Price History'!R107=0),"",'Price History'!R108/'Price History'!R107-1),"")</f>
        <v>0.00867678958785234</v>
      </c>
      <c r="S107" s="109" t="n">
        <f aca="false">IFERROR(IF(OR(NOT(ISNUMBER('Price History'!S108)),NOT(ISNUMBER('Price History'!S107)),'Price History'!S107=0),"",'Price History'!S108/'Price History'!S107-1),"")</f>
        <v>0.00102397815513267</v>
      </c>
      <c r="T107" s="109" t="n">
        <f aca="false">IFERROR(IF(OR(NOT(ISNUMBER('Price History'!T108)),NOT(ISNUMBER('Price History'!T107)),'Price History'!T107=0),"",'Price History'!T108/'Price History'!T107-1),"")</f>
        <v>0.0394926491784378</v>
      </c>
      <c r="U107" s="109" t="str">
        <f aca="false">IFERROR(IF(OR(NOT(ISNUMBER('Price History'!U108)),NOT(ISNUMBER('Price History'!U107)),'Price History'!U107=0),"",'Price History'!U108/'Price History'!U107-1),"")</f>
        <v/>
      </c>
      <c r="V107" s="110" t="n">
        <f aca="false">IFERROR(IF(OR(NOT(ISNUMBER('Price History'!V108)),NOT(ISNUMBER('Price History'!V107)),'Price History'!V107=0),"",'Price History'!V108/'Price History'!V107-1),"")</f>
        <v>0.0246461981290478</v>
      </c>
      <c r="W107" s="111" t="n">
        <f aca="false">IFERROR('Price History'!B3+(INDEX('Price History'!B:B,MATCH(9.99E+307,'Price History'!$A:$A))-'Price History'!B3)*(ROW()-3)/(MATCH(9.99E+307,'Returns (Calc)'!$A:$A)-3),"")</f>
        <v>350.199937106918</v>
      </c>
      <c r="X107" s="111" t="n">
        <f aca="false">IFERROR('Price History'!C3+(INDEX('Price History'!C:C,MATCH(9.99E+307,'Price History'!$A:$A))-'Price History'!C3)*(ROW()-3)/(MATCH(9.99E+307,'Returns (Calc)'!$A:$A)-3),"")</f>
        <v>141.879371069182</v>
      </c>
      <c r="Y107" s="111" t="n">
        <f aca="false">IFERROR('Price History'!D3+(INDEX('Price History'!D:D,MATCH(9.99E+307,'Price History'!$A:$A))-'Price History'!D3)*(ROW()-3)/(MATCH(9.99E+307,'Returns (Calc)'!$A:$A)-3),"")</f>
        <v>1350.60012578616</v>
      </c>
      <c r="Z107" s="111" t="n">
        <f aca="false">IFERROR('Price History'!E3+(INDEX('Price History'!E:E,MATCH(9.99E+307,'Price History'!$A:$A))-'Price History'!E3)*(ROW()-3)/(MATCH(9.99E+307,'Returns (Calc)'!$A:$A)-3),"")</f>
        <v>262.801886792453</v>
      </c>
      <c r="AA107" s="111" t="n">
        <f aca="false">IFERROR('Price History'!F3+(INDEX('Price History'!F:F,MATCH(9.99E+307,'Price History'!$A:$A))-'Price History'!F3)*(ROW()-3)/(MATCH(9.99E+307,'Returns (Calc)'!$A:$A)-3),"")</f>
        <v>152.205660377359</v>
      </c>
      <c r="AB107" s="111" t="n">
        <f aca="false">IFERROR('Price History'!G3+(INDEX('Price History'!G:G,MATCH(9.99E+307,'Price History'!$A:$A))-'Price History'!G3)*(ROW()-3)/(MATCH(9.99E+307,'Returns (Calc)'!$A:$A)-3),"")</f>
        <v>137.967924528302</v>
      </c>
      <c r="AC107" s="111" t="n">
        <f aca="false">IFERROR('Price History'!H3+(INDEX('Price History'!H:H,MATCH(9.99E+307,'Price History'!$A:$A))-'Price History'!H3)*(ROW()-3)/(MATCH(9.99E+307,'Returns (Calc)'!$A:$A)-3),"")</f>
        <v>687.20572327044</v>
      </c>
      <c r="AD107" s="111" t="n">
        <f aca="false">IFERROR('Price History'!I3+(INDEX('Price History'!I:I,MATCH(9.99E+307,'Price History'!$A:$A))-'Price History'!I3)*(ROW()-3)/(MATCH(9.99E+307,'Returns (Calc)'!$A:$A)-3),"")</f>
        <v>164.806226415094</v>
      </c>
      <c r="AE107" s="111" t="n">
        <f aca="false">IFERROR('Price History'!J3+(INDEX('Price History'!J:J,MATCH(9.99E+307,'Price History'!$A:$A))-'Price History'!J3)*(ROW()-3)/(MATCH(9.99E+307,'Returns (Calc)'!$A:$A)-3),"")</f>
        <v>132.556037735849</v>
      </c>
      <c r="AF107" s="111" t="n">
        <f aca="false">IFERROR('Price History'!K3+(INDEX('Price History'!K:K,MATCH(9.99E+307,'Price History'!$A:$A))-'Price History'!K3)*(ROW()-3)/(MATCH(9.99E+307,'Returns (Calc)'!$A:$A)-3),"")</f>
        <v>119.357672955975</v>
      </c>
      <c r="AG107" s="111" t="n">
        <f aca="false">IFERROR('Price History'!L3+(INDEX('Price History'!L:L,MATCH(9.99E+307,'Price History'!$A:$A))-'Price History'!L3)*(ROW()-3)/(MATCH(9.99E+307,'Returns (Calc)'!$A:$A)-3),"")</f>
        <v>312.36534591195</v>
      </c>
      <c r="AH107" s="111" t="n">
        <f aca="false">IFERROR('Price History'!M3+(INDEX('Price History'!M:M,MATCH(9.99E+307,'Price History'!$A:$A))-'Price History'!M3)*(ROW()-3)/(MATCH(9.99E+307,'Returns (Calc)'!$A:$A)-3),"")</f>
        <v>195.082830188679</v>
      </c>
      <c r="AI107" s="111" t="n">
        <f aca="false">IFERROR('Price History'!N3+(INDEX('Price History'!N:N,MATCH(9.99E+307,'Price History'!$A:$A))-'Price History'!N3)*(ROW()-3)/(MATCH(9.99E+307,'Returns (Calc)'!$A:$A)-3),"")</f>
        <v>478.231320754717</v>
      </c>
      <c r="AJ107" s="111" t="n">
        <f aca="false">IFERROR('Price History'!O3+(INDEX('Price History'!O:O,MATCH(9.99E+307,'Price History'!$A:$A))-'Price History'!O3)*(ROW()-3)/(MATCH(9.99E+307,'Returns (Calc)'!$A:$A)-3),"")</f>
        <v>111.682201257862</v>
      </c>
      <c r="AK107" s="111" t="n">
        <f aca="false">IFERROR('Price History'!Q3+(INDEX('Price History'!Q:Q,MATCH(9.99E+307,'Price History'!$A:$A))-'Price History'!Q3)*(ROW()-3)/(MATCH(9.99E+307,'Returns (Calc)'!$A:$A)-3),"")</f>
        <v>62.8432704402516</v>
      </c>
      <c r="AL107" s="111" t="n">
        <f aca="false">IFERROR('Price History'!R3+(INDEX('Price History'!R:R,MATCH(9.99E+307,'Price History'!$A:$A))-'Price History'!R3)*(ROW()-3)/(MATCH(9.99E+307,'Returns (Calc)'!$A:$A)-3),"")</f>
        <v>55.7017610062893</v>
      </c>
      <c r="AM107" s="111" t="n">
        <f aca="false">IFERROR('Price History'!S3+(INDEX('Price History'!S:S,MATCH(9.99E+307,'Price History'!$A:$A))-'Price History'!S3)*(ROW()-3)/(MATCH(9.99E+307,'Returns (Calc)'!$A:$A)-3),"")</f>
        <v>118.179748427673</v>
      </c>
      <c r="AN107" s="111" t="n">
        <f aca="false">IFERROR('Price History'!T3+(INDEX('Price History'!T:T,MATCH(9.99E+307,'Price History'!$A:$A))-'Price History'!T3)*(ROW()-3)/(MATCH(9.99E+307,'Returns (Calc)'!$A:$A)-3),"")</f>
        <v>45.4730188679245</v>
      </c>
      <c r="AO107" s="112" t="n">
        <f aca="false">IFERROR('Price History'!V3+(INDEX('Price History'!V:V,MATCH(9.99E+307,'Price History'!$A:$A))-'Price History'!V3)*(ROW()-3)/(MATCH(9.99E+307,'Returns (Calc)'!$A:$A)-3),"")</f>
        <v>245.328805031447</v>
      </c>
    </row>
    <row r="108" customFormat="false" ht="15" hidden="false" customHeight="true" outlineLevel="0" collapsed="false">
      <c r="A108" s="108" t="n">
        <f aca="false">IF('Price History'!A109="","",'Price History'!A109)</f>
        <v>45891</v>
      </c>
      <c r="B108" s="109" t="n">
        <f aca="false">IFERROR(IF(OR(NOT(ISNUMBER('Price History'!B109)),NOT(ISNUMBER('Price History'!B108)),'Price History'!B108=0),"",'Price History'!B109/'Price History'!B108-1),"")</f>
        <v>0.0204029871776805</v>
      </c>
      <c r="C108" s="109" t="n">
        <f aca="false">IFERROR(IF(OR(NOT(ISNUMBER('Price History'!C109)),NOT(ISNUMBER('Price History'!C108)),'Price History'!C108=0),"",'Price History'!C109/'Price History'!C108-1),"")</f>
        <v>-0.029497450837582</v>
      </c>
      <c r="D108" s="109" t="n">
        <f aca="false">IFERROR(IF(OR(NOT(ISNUMBER('Price History'!D109)),NOT(ISNUMBER('Price History'!D108)),'Price History'!D108=0),"",'Price History'!D109/'Price History'!D108-1),"")</f>
        <v>0.0171526355502858</v>
      </c>
      <c r="E108" s="109" t="n">
        <f aca="false">IFERROR(IF(OR(NOT(ISNUMBER('Price History'!E109)),NOT(ISNUMBER('Price History'!E108)),'Price History'!E108=0),"",'Price History'!E109/'Price History'!E108-1),"")</f>
        <v>-0.0402820395638832</v>
      </c>
      <c r="F108" s="109" t="n">
        <f aca="false">IFERROR(IF(OR(NOT(ISNUMBER('Price History'!F109)),NOT(ISNUMBER('Price History'!F108)),'Price History'!F108=0),"",'Price History'!F109/'Price History'!F108-1),"")</f>
        <v>-0.0171994765376706</v>
      </c>
      <c r="G108" s="109" t="n">
        <f aca="false">IFERROR(IF(OR(NOT(ISNUMBER('Price History'!G109)),NOT(ISNUMBER('Price History'!G108)),'Price History'!G108=0),"",'Price History'!G109/'Price History'!G108-1),"")</f>
        <v>-0.00525774374214194</v>
      </c>
      <c r="H108" s="109" t="n">
        <f aca="false">IFERROR(IF(OR(NOT(ISNUMBER('Price History'!H109)),NOT(ISNUMBER('Price History'!H108)),'Price History'!H108=0),"",'Price History'!H109/'Price History'!H108-1),"")</f>
        <v>-0.0263919913957144</v>
      </c>
      <c r="I108" s="109" t="n">
        <f aca="false">IFERROR(IF(OR(NOT(ISNUMBER('Price History'!I109)),NOT(ISNUMBER('Price History'!I108)),'Price History'!I108=0),"",'Price History'!I109/'Price History'!I108-1),"")</f>
        <v>-0.0136325852036574</v>
      </c>
      <c r="J108" s="109" t="n">
        <f aca="false">IFERROR(IF(OR(NOT(ISNUMBER('Price History'!J109)),NOT(ISNUMBER('Price History'!J108)),'Price History'!J108=0),"",'Price History'!J109/'Price History'!J108-1),"")</f>
        <v>0.0533821183975982</v>
      </c>
      <c r="K108" s="109" t="n">
        <f aca="false">IFERROR(IF(OR(NOT(ISNUMBER('Price History'!K109)),NOT(ISNUMBER('Price History'!K108)),'Price History'!K108=0),"",'Price History'!K109/'Price History'!K108-1),"")</f>
        <v>-0.104024383360614</v>
      </c>
      <c r="L108" s="109" t="n">
        <f aca="false">IFERROR(IF(OR(NOT(ISNUMBER('Price History'!L109)),NOT(ISNUMBER('Price History'!L108)),'Price History'!L108=0),"",'Price History'!L109/'Price History'!L108-1),"")</f>
        <v>-0.0246567314132619</v>
      </c>
      <c r="M108" s="109" t="n">
        <f aca="false">IFERROR(IF(OR(NOT(ISNUMBER('Price History'!M109)),NOT(ISNUMBER('Price History'!M108)),'Price History'!M108=0),"",'Price History'!M109/'Price History'!M108-1),"")</f>
        <v>-0.0533553768693169</v>
      </c>
      <c r="N108" s="109" t="n">
        <f aca="false">IFERROR(IF(OR(NOT(ISNUMBER('Price History'!N109)),NOT(ISNUMBER('Price History'!N108)),'Price History'!N108=0),"",'Price History'!N109/'Price History'!N108-1),"")</f>
        <v>0.00593192291046107</v>
      </c>
      <c r="O108" s="109" t="n">
        <f aca="false">IFERROR(IF(OR(NOT(ISNUMBER('Price History'!O109)),NOT(ISNUMBER('Price History'!O108)),'Price History'!O108=0),"",'Price History'!O109/'Price History'!O108-1),"")</f>
        <v>0.0397983828625432</v>
      </c>
      <c r="P108" s="109" t="str">
        <f aca="false">IFERROR(IF(OR(NOT(ISNUMBER('Price History'!P109)),NOT(ISNUMBER('Price History'!P108)),'Price History'!P108=0),"",'Price History'!P109/'Price History'!P108-1),"")</f>
        <v/>
      </c>
      <c r="Q108" s="109" t="n">
        <f aca="false">IFERROR(IF(OR(NOT(ISNUMBER('Price History'!Q109)),NOT(ISNUMBER('Price History'!Q108)),'Price History'!Q108=0),"",'Price History'!Q109/'Price History'!Q108-1),"")</f>
        <v>-0.0125960061443932</v>
      </c>
      <c r="R108" s="109" t="n">
        <f aca="false">IFERROR(IF(OR(NOT(ISNUMBER('Price History'!R109)),NOT(ISNUMBER('Price History'!R108)),'Price History'!R108=0),"",'Price History'!R109/'Price History'!R108-1),"")</f>
        <v>-0.00232974910394257</v>
      </c>
      <c r="S108" s="109" t="n">
        <f aca="false">IFERROR(IF(OR(NOT(ISNUMBER('Price History'!S109)),NOT(ISNUMBER('Price History'!S108)),'Price History'!S108=0),"",'Price History'!S109/'Price History'!S108-1),"")</f>
        <v>-0.00681953797630208</v>
      </c>
      <c r="T108" s="109" t="n">
        <f aca="false">IFERROR(IF(OR(NOT(ISNUMBER('Price History'!T109)),NOT(ISNUMBER('Price History'!T108)),'Price History'!T108=0),"",'Price History'!T109/'Price History'!T108-1),"")</f>
        <v>0.0257903494176373</v>
      </c>
      <c r="U108" s="109" t="str">
        <f aca="false">IFERROR(IF(OR(NOT(ISNUMBER('Price History'!U109)),NOT(ISNUMBER('Price History'!U108)),'Price History'!U108=0),"",'Price History'!U109/'Price History'!U108-1),"")</f>
        <v/>
      </c>
      <c r="V108" s="110" t="n">
        <f aca="false">IFERROR(IF(OR(NOT(ISNUMBER('Price History'!V109)),NOT(ISNUMBER('Price History'!V108)),'Price History'!V108=0),"",'Price History'!V109/'Price History'!V108-1),"")</f>
        <v>0.0161526306548838</v>
      </c>
      <c r="W108" s="111" t="n">
        <f aca="false">IFERROR('Price History'!B3+(INDEX('Price History'!B:B,MATCH(9.99E+307,'Price History'!$A:$A))-'Price History'!B3)*(ROW()-3)/(MATCH(9.99E+307,'Returns (Calc)'!$A:$A)-3),"")</f>
        <v>348.678301886792</v>
      </c>
      <c r="X108" s="111" t="n">
        <f aca="false">IFERROR('Price History'!C3+(INDEX('Price History'!C:C,MATCH(9.99E+307,'Price History'!$A:$A))-'Price History'!C3)*(ROW()-3)/(MATCH(9.99E+307,'Returns (Calc)'!$A:$A)-3),"")</f>
        <v>142.823018867925</v>
      </c>
      <c r="Y108" s="111" t="n">
        <f aca="false">IFERROR('Price History'!D3+(INDEX('Price History'!D:D,MATCH(9.99E+307,'Price History'!$A:$A))-'Price History'!D3)*(ROW()-3)/(MATCH(9.99E+307,'Returns (Calc)'!$A:$A)-3),"")</f>
        <v>1357.22339622642</v>
      </c>
      <c r="Z108" s="111" t="n">
        <f aca="false">IFERROR('Price History'!E3+(INDEX('Price History'!E:E,MATCH(9.99E+307,'Price History'!$A:$A))-'Price History'!E3)*(ROW()-3)/(MATCH(9.99E+307,'Returns (Calc)'!$A:$A)-3),"")</f>
        <v>264.530943396226</v>
      </c>
      <c r="AA108" s="111" t="n">
        <f aca="false">IFERROR('Price History'!F3+(INDEX('Price History'!F:F,MATCH(9.99E+307,'Price History'!$A:$A))-'Price History'!F3)*(ROW()-3)/(MATCH(9.99E+307,'Returns (Calc)'!$A:$A)-3),"")</f>
        <v>153.312830188679</v>
      </c>
      <c r="AB108" s="111" t="n">
        <f aca="false">IFERROR('Price History'!G3+(INDEX('Price History'!G:G,MATCH(9.99E+307,'Price History'!$A:$A))-'Price History'!G3)*(ROW()-3)/(MATCH(9.99E+307,'Returns (Calc)'!$A:$A)-3),"")</f>
        <v>138.833962264151</v>
      </c>
      <c r="AC108" s="111" t="n">
        <f aca="false">IFERROR('Price History'!H3+(INDEX('Price History'!H:H,MATCH(9.99E+307,'Price History'!$A:$A))-'Price History'!H3)*(ROW()-3)/(MATCH(9.99E+307,'Returns (Calc)'!$A:$A)-3),"")</f>
        <v>693.194528301887</v>
      </c>
      <c r="AD108" s="111" t="n">
        <f aca="false">IFERROR('Price History'!I3+(INDEX('Price History'!I:I,MATCH(9.99E+307,'Price History'!$A:$A))-'Price History'!I3)*(ROW()-3)/(MATCH(9.99E+307,'Returns (Calc)'!$A:$A)-3),"")</f>
        <v>165.998113207547</v>
      </c>
      <c r="AE108" s="111" t="n">
        <f aca="false">IFERROR('Price History'!J3+(INDEX('Price History'!J:J,MATCH(9.99E+307,'Price History'!$A:$A))-'Price History'!J3)*(ROW()-3)/(MATCH(9.99E+307,'Returns (Calc)'!$A:$A)-3),"")</f>
        <v>132.643018867925</v>
      </c>
      <c r="AF108" s="111" t="n">
        <f aca="false">IFERROR('Price History'!K3+(INDEX('Price History'!K:K,MATCH(9.99E+307,'Price History'!$A:$A))-'Price History'!K3)*(ROW()-3)/(MATCH(9.99E+307,'Returns (Calc)'!$A:$A)-3),"")</f>
        <v>120.357169811321</v>
      </c>
      <c r="AG108" s="111" t="n">
        <f aca="false">IFERROR('Price History'!L3+(INDEX('Price History'!L:L,MATCH(9.99E+307,'Price History'!$A:$A))-'Price History'!L3)*(ROW()-3)/(MATCH(9.99E+307,'Returns (Calc)'!$A:$A)-3),"")</f>
        <v>314.484339622641</v>
      </c>
      <c r="AH108" s="111" t="n">
        <f aca="false">IFERROR('Price History'!M3+(INDEX('Price History'!M:M,MATCH(9.99E+307,'Price History'!$A:$A))-'Price History'!M3)*(ROW()-3)/(MATCH(9.99E+307,'Returns (Calc)'!$A:$A)-3),"")</f>
        <v>196.63641509434</v>
      </c>
      <c r="AI108" s="111" t="n">
        <f aca="false">IFERROR('Price History'!N3+(INDEX('Price History'!N:N,MATCH(9.99E+307,'Price History'!$A:$A))-'Price History'!N3)*(ROW()-3)/(MATCH(9.99E+307,'Returns (Calc)'!$A:$A)-3),"")</f>
        <v>479.465660377359</v>
      </c>
      <c r="AJ108" s="111" t="n">
        <f aca="false">IFERROR('Price History'!O3+(INDEX('Price History'!O:O,MATCH(9.99E+307,'Price History'!$A:$A))-'Price History'!O3)*(ROW()-3)/(MATCH(9.99E+307,'Returns (Calc)'!$A:$A)-3),"")</f>
        <v>111.959433962264</v>
      </c>
      <c r="AK108" s="111" t="n">
        <f aca="false">IFERROR('Price History'!Q3+(INDEX('Price History'!Q:Q,MATCH(9.99E+307,'Price History'!$A:$A))-'Price History'!Q3)*(ROW()-3)/(MATCH(9.99E+307,'Returns (Calc)'!$A:$A)-3),"")</f>
        <v>62.9683018867925</v>
      </c>
      <c r="AL108" s="111" t="n">
        <f aca="false">IFERROR('Price History'!R3+(INDEX('Price History'!R:R,MATCH(9.99E+307,'Price History'!$A:$A))-'Price History'!R3)*(ROW()-3)/(MATCH(9.99E+307,'Returns (Calc)'!$A:$A)-3),"")</f>
        <v>55.7775471698113</v>
      </c>
      <c r="AM108" s="111" t="n">
        <f aca="false">IFERROR('Price History'!S3+(INDEX('Price History'!S:S,MATCH(9.99E+307,'Price History'!$A:$A))-'Price History'!S3)*(ROW()-3)/(MATCH(9.99E+307,'Returns (Calc)'!$A:$A)-3),"")</f>
        <v>118.75320754717</v>
      </c>
      <c r="AN108" s="111" t="n">
        <f aca="false">IFERROR('Price History'!T3+(INDEX('Price History'!T:T,MATCH(9.99E+307,'Price History'!$A:$A))-'Price History'!T3)*(ROW()-3)/(MATCH(9.99E+307,'Returns (Calc)'!$A:$A)-3),"")</f>
        <v>45.6515094339623</v>
      </c>
      <c r="AO108" s="112" t="n">
        <f aca="false">IFERROR('Price History'!V3+(INDEX('Price History'!V:V,MATCH(9.99E+307,'Price History'!$A:$A))-'Price History'!V3)*(ROW()-3)/(MATCH(9.99E+307,'Returns (Calc)'!$A:$A)-3),"")</f>
        <v>247.687735849057</v>
      </c>
    </row>
    <row r="109" customFormat="false" ht="15" hidden="false" customHeight="true" outlineLevel="0" collapsed="false">
      <c r="A109" s="108" t="n">
        <f aca="false">IF('Price History'!A110="","",'Price History'!A110)</f>
        <v>45898</v>
      </c>
      <c r="B109" s="109" t="n">
        <f aca="false">IFERROR(IF(OR(NOT(ISNUMBER('Price History'!B110)),NOT(ISNUMBER('Price History'!B109)),'Price History'!B109=0),"",'Price History'!B110/'Price History'!B109-1),"")</f>
        <v>-0.0148858018724626</v>
      </c>
      <c r="C109" s="109" t="n">
        <f aca="false">IFERROR(IF(OR(NOT(ISNUMBER('Price History'!C110)),NOT(ISNUMBER('Price History'!C109)),'Price History'!C109=0),"",'Price History'!C110/'Price History'!C109-1),"")</f>
        <v>0.024765478424015</v>
      </c>
      <c r="D109" s="109" t="n">
        <f aca="false">IFERROR(IF(OR(NOT(ISNUMBER('Price History'!D110)),NOT(ISNUMBER('Price History'!D109)),'Price History'!D109=0),"",'Price History'!D110/'Price History'!D109-1),"")</f>
        <v>-0.0162540237650518</v>
      </c>
      <c r="E109" s="109" t="n">
        <f aca="false">IFERROR(IF(OR(NOT(ISNUMBER('Price History'!E110)),NOT(ISNUMBER('Price History'!E109)),'Price History'!E109=0),"",'Price History'!E110/'Price History'!E109-1),"")</f>
        <v>0.0115306122448979</v>
      </c>
      <c r="F109" s="109" t="n">
        <f aca="false">IFERROR(IF(OR(NOT(ISNUMBER('Price History'!F110)),NOT(ISNUMBER('Price History'!F109)),'Price History'!F109=0),"",'Price History'!F110/'Price History'!F109-1),"")</f>
        <v>0.00751379113562867</v>
      </c>
      <c r="G109" s="109" t="n">
        <f aca="false">IFERROR(IF(OR(NOT(ISNUMBER('Price History'!G110)),NOT(ISNUMBER('Price History'!G109)),'Price History'!G109=0),"",'Price History'!G110/'Price History'!G109-1),"")</f>
        <v>0.00195334941974035</v>
      </c>
      <c r="H109" s="109" t="n">
        <f aca="false">IFERROR(IF(OR(NOT(ISNUMBER('Price History'!H110)),NOT(ISNUMBER('Price History'!H109)),'Price History'!H109=0),"",'Price History'!H110/'Price History'!H109-1),"")</f>
        <v>0.0113018354860639</v>
      </c>
      <c r="I109" s="109" t="n">
        <f aca="false">IFERROR(IF(OR(NOT(ISNUMBER('Price History'!I110)),NOT(ISNUMBER('Price History'!I109)),'Price History'!I109=0),"",'Price History'!I110/'Price History'!I109-1),"")</f>
        <v>-0.0214056969492669</v>
      </c>
      <c r="J109" s="109" t="n">
        <f aca="false">IFERROR(IF(OR(NOT(ISNUMBER('Price History'!J110)),NOT(ISNUMBER('Price History'!J109)),'Price History'!J109=0),"",'Price History'!J110/'Price History'!J109-1),"")</f>
        <v>0.0133594584966157</v>
      </c>
      <c r="K109" s="109" t="n">
        <f aca="false">IFERROR(IF(OR(NOT(ISNUMBER('Price History'!K110)),NOT(ISNUMBER('Price History'!K109)),'Price History'!K109=0),"",'Price History'!K110/'Price History'!K109-1),"")</f>
        <v>-0.0127882071311579</v>
      </c>
      <c r="L109" s="109" t="n">
        <f aca="false">IFERROR(IF(OR(NOT(ISNUMBER('Price History'!L110)),NOT(ISNUMBER('Price History'!L109)),'Price History'!L109=0),"",'Price History'!L110/'Price History'!L109-1),"")</f>
        <v>-0.00909910296579253</v>
      </c>
      <c r="M109" s="109" t="n">
        <f aca="false">IFERROR(IF(OR(NOT(ISNUMBER('Price History'!M110)),NOT(ISNUMBER('Price History'!M109)),'Price History'!M109=0),"",'Price History'!M110/'Price History'!M109-1),"")</f>
        <v>0.0125426688894181</v>
      </c>
      <c r="N109" s="109" t="n">
        <f aca="false">IFERROR(IF(OR(NOT(ISNUMBER('Price History'!N110)),NOT(ISNUMBER('Price History'!N109)),'Price History'!N109=0),"",'Price History'!N110/'Price History'!N109-1),"")</f>
        <v>-0.0103765944523183</v>
      </c>
      <c r="O109" s="109" t="n">
        <f aca="false">IFERROR(IF(OR(NOT(ISNUMBER('Price History'!O110)),NOT(ISNUMBER('Price History'!O109)),'Price History'!O109=0),"",'Price History'!O110/'Price History'!O109-1),"")</f>
        <v>0.00838214502120782</v>
      </c>
      <c r="P109" s="109" t="str">
        <f aca="false">IFERROR(IF(OR(NOT(ISNUMBER('Price History'!P110)),NOT(ISNUMBER('Price History'!P109)),'Price History'!P109=0),"",'Price History'!P110/'Price History'!P109-1),"")</f>
        <v/>
      </c>
      <c r="Q109" s="109" t="n">
        <f aca="false">IFERROR(IF(OR(NOT(ISNUMBER('Price History'!Q110)),NOT(ISNUMBER('Price History'!Q109)),'Price History'!Q109=0),"",'Price History'!Q110/'Price History'!Q109-1),"")</f>
        <v>0.00980087118855</v>
      </c>
      <c r="R109" s="109" t="n">
        <f aca="false">IFERROR(IF(OR(NOT(ISNUMBER('Price History'!R110)),NOT(ISNUMBER('Price History'!R109)),'Price History'!R109=0),"",'Price History'!R110/'Price History'!R109-1),"")</f>
        <v>0.000179629962277605</v>
      </c>
      <c r="S109" s="109" t="n">
        <f aca="false">IFERROR(IF(OR(NOT(ISNUMBER('Price History'!S110)),NOT(ISNUMBER('Price History'!S109)),'Price History'!S109=0),"",'Price History'!S110/'Price History'!S109-1),"")</f>
        <v>-0.000257488627585678</v>
      </c>
      <c r="T109" s="109" t="n">
        <f aca="false">IFERROR(IF(OR(NOT(ISNUMBER('Price History'!T110)),NOT(ISNUMBER('Price History'!T109)),'Price History'!T109=0),"",'Price History'!T110/'Price History'!T109-1),"")</f>
        <v>0.00919167342524996</v>
      </c>
      <c r="U109" s="109" t="str">
        <f aca="false">IFERROR(IF(OR(NOT(ISNUMBER('Price History'!U110)),NOT(ISNUMBER('Price History'!U109)),'Price History'!U109=0),"",'Price History'!U110/'Price History'!U109-1),"")</f>
        <v/>
      </c>
      <c r="V109" s="110" t="n">
        <f aca="false">IFERROR(IF(OR(NOT(ISNUMBER('Price History'!V110)),NOT(ISNUMBER('Price History'!V109)),'Price History'!V109=0),"",'Price History'!V110/'Price History'!V109-1),"")</f>
        <v>0.00498185797385253</v>
      </c>
      <c r="W109" s="111" t="n">
        <f aca="false">IFERROR('Price History'!B3+(INDEX('Price History'!B:B,MATCH(9.99E+307,'Price History'!$A:$A))-'Price History'!B3)*(ROW()-3)/(MATCH(9.99E+307,'Returns (Calc)'!$A:$A)-3),"")</f>
        <v>347.156666666667</v>
      </c>
      <c r="X109" s="111" t="n">
        <f aca="false">IFERROR('Price History'!C3+(INDEX('Price History'!C:C,MATCH(9.99E+307,'Price History'!$A:$A))-'Price History'!C3)*(ROW()-3)/(MATCH(9.99E+307,'Returns (Calc)'!$A:$A)-3),"")</f>
        <v>143.766666666667</v>
      </c>
      <c r="Y109" s="111" t="n">
        <f aca="false">IFERROR('Price History'!D3+(INDEX('Price History'!D:D,MATCH(9.99E+307,'Price History'!$A:$A))-'Price History'!D3)*(ROW()-3)/(MATCH(9.99E+307,'Returns (Calc)'!$A:$A)-3),"")</f>
        <v>1363.84666666667</v>
      </c>
      <c r="Z109" s="111" t="n">
        <f aca="false">IFERROR('Price History'!E3+(INDEX('Price History'!E:E,MATCH(9.99E+307,'Price History'!$A:$A))-'Price History'!E3)*(ROW()-3)/(MATCH(9.99E+307,'Returns (Calc)'!$A:$A)-3),"")</f>
        <v>266.26</v>
      </c>
      <c r="AA109" s="111" t="n">
        <f aca="false">IFERROR('Price History'!F3+(INDEX('Price History'!F:F,MATCH(9.99E+307,'Price History'!$A:$A))-'Price History'!F3)*(ROW()-3)/(MATCH(9.99E+307,'Returns (Calc)'!$A:$A)-3),"")</f>
        <v>154.42</v>
      </c>
      <c r="AB109" s="111" t="n">
        <f aca="false">IFERROR('Price History'!G3+(INDEX('Price History'!G:G,MATCH(9.99E+307,'Price History'!$A:$A))-'Price History'!G3)*(ROW()-3)/(MATCH(9.99E+307,'Returns (Calc)'!$A:$A)-3),"")</f>
        <v>139.7</v>
      </c>
      <c r="AC109" s="111" t="n">
        <f aca="false">IFERROR('Price History'!H3+(INDEX('Price History'!H:H,MATCH(9.99E+307,'Price History'!$A:$A))-'Price History'!H3)*(ROW()-3)/(MATCH(9.99E+307,'Returns (Calc)'!$A:$A)-3),"")</f>
        <v>699.183333333333</v>
      </c>
      <c r="AD109" s="111" t="n">
        <f aca="false">IFERROR('Price History'!I3+(INDEX('Price History'!I:I,MATCH(9.99E+307,'Price History'!$A:$A))-'Price History'!I3)*(ROW()-3)/(MATCH(9.99E+307,'Returns (Calc)'!$A:$A)-3),"")</f>
        <v>167.19</v>
      </c>
      <c r="AE109" s="111" t="n">
        <f aca="false">IFERROR('Price History'!J3+(INDEX('Price History'!J:J,MATCH(9.99E+307,'Price History'!$A:$A))-'Price History'!J3)*(ROW()-3)/(MATCH(9.99E+307,'Returns (Calc)'!$A:$A)-3),"")</f>
        <v>132.73</v>
      </c>
      <c r="AF109" s="111" t="n">
        <f aca="false">IFERROR('Price History'!K3+(INDEX('Price History'!K:K,MATCH(9.99E+307,'Price History'!$A:$A))-'Price History'!K3)*(ROW()-3)/(MATCH(9.99E+307,'Returns (Calc)'!$A:$A)-3),"")</f>
        <v>121.356666666667</v>
      </c>
      <c r="AG109" s="111" t="n">
        <f aca="false">IFERROR('Price History'!L3+(INDEX('Price History'!L:L,MATCH(9.99E+307,'Price History'!$A:$A))-'Price History'!L3)*(ROW()-3)/(MATCH(9.99E+307,'Returns (Calc)'!$A:$A)-3),"")</f>
        <v>316.603333333333</v>
      </c>
      <c r="AH109" s="111" t="n">
        <f aca="false">IFERROR('Price History'!M3+(INDEX('Price History'!M:M,MATCH(9.99E+307,'Price History'!$A:$A))-'Price History'!M3)*(ROW()-3)/(MATCH(9.99E+307,'Returns (Calc)'!$A:$A)-3),"")</f>
        <v>198.19</v>
      </c>
      <c r="AI109" s="111" t="n">
        <f aca="false">IFERROR('Price History'!N3+(INDEX('Price History'!N:N,MATCH(9.99E+307,'Price History'!$A:$A))-'Price History'!N3)*(ROW()-3)/(MATCH(9.99E+307,'Returns (Calc)'!$A:$A)-3),"")</f>
        <v>480.7</v>
      </c>
      <c r="AJ109" s="111" t="n">
        <f aca="false">IFERROR('Price History'!O3+(INDEX('Price History'!O:O,MATCH(9.99E+307,'Price History'!$A:$A))-'Price History'!O3)*(ROW()-3)/(MATCH(9.99E+307,'Returns (Calc)'!$A:$A)-3),"")</f>
        <v>112.236666666667</v>
      </c>
      <c r="AK109" s="111" t="n">
        <f aca="false">IFERROR('Price History'!Q3+(INDEX('Price History'!Q:Q,MATCH(9.99E+307,'Price History'!$A:$A))-'Price History'!Q3)*(ROW()-3)/(MATCH(9.99E+307,'Returns (Calc)'!$A:$A)-3),"")</f>
        <v>63.0933333333333</v>
      </c>
      <c r="AL109" s="111" t="n">
        <f aca="false">IFERROR('Price History'!R3+(INDEX('Price History'!R:R,MATCH(9.99E+307,'Price History'!$A:$A))-'Price History'!R3)*(ROW()-3)/(MATCH(9.99E+307,'Returns (Calc)'!$A:$A)-3),"")</f>
        <v>55.8533333333333</v>
      </c>
      <c r="AM109" s="111" t="n">
        <f aca="false">IFERROR('Price History'!S3+(INDEX('Price History'!S:S,MATCH(9.99E+307,'Price History'!$A:$A))-'Price History'!S3)*(ROW()-3)/(MATCH(9.99E+307,'Returns (Calc)'!$A:$A)-3),"")</f>
        <v>119.326666666667</v>
      </c>
      <c r="AN109" s="111" t="n">
        <f aca="false">IFERROR('Price History'!T3+(INDEX('Price History'!T:T,MATCH(9.99E+307,'Price History'!$A:$A))-'Price History'!T3)*(ROW()-3)/(MATCH(9.99E+307,'Returns (Calc)'!$A:$A)-3),"")</f>
        <v>45.83</v>
      </c>
      <c r="AO109" s="112" t="n">
        <f aca="false">IFERROR('Price History'!V3+(INDEX('Price History'!V:V,MATCH(9.99E+307,'Price History'!$A:$A))-'Price History'!V3)*(ROW()-3)/(MATCH(9.99E+307,'Returns (Calc)'!$A:$A)-3),"")</f>
        <v>250.046666666667</v>
      </c>
    </row>
    <row r="110" customFormat="false" ht="15" hidden="false" customHeight="true" outlineLevel="0" collapsed="false">
      <c r="A110" s="108" t="n">
        <f aca="false">IF('Price History'!A111="","",'Price History'!A111)</f>
        <v>45905</v>
      </c>
      <c r="B110" s="109" t="n">
        <f aca="false">IFERROR(IF(OR(NOT(ISNUMBER('Price History'!B111)),NOT(ISNUMBER('Price History'!B110)),'Price History'!B110=0),"",'Price History'!B111/'Price History'!B110-1),"")</f>
        <v>-0.0216708718811325</v>
      </c>
      <c r="C110" s="109" t="n">
        <f aca="false">IFERROR(IF(OR(NOT(ISNUMBER('Price History'!C111)),NOT(ISNUMBER('Price History'!C110)),'Price History'!C110=0),"",'Price History'!C111/'Price History'!C110-1),"")</f>
        <v>0.0461369461735626</v>
      </c>
      <c r="D110" s="109" t="n">
        <f aca="false">IFERROR(IF(OR(NOT(ISNUMBER('Price History'!D111)),NOT(ISNUMBER('Price History'!D110)),'Price History'!D110=0),"",'Price History'!D111/'Price History'!D110-1),"")</f>
        <v>0.0526244916646468</v>
      </c>
      <c r="E110" s="109" t="n">
        <f aca="false">IFERROR(IF(OR(NOT(ISNUMBER('Price History'!E111)),NOT(ISNUMBER('Price History'!E110)),'Price History'!E110=0),"",'Price History'!E111/'Price History'!E110-1),"")</f>
        <v>0.126097044285282</v>
      </c>
      <c r="F110" s="109" t="n">
        <f aca="false">IFERROR(IF(OR(NOT(ISNUMBER('Price History'!F111)),NOT(ISNUMBER('Price History'!F110)),'Price History'!F110=0),"",'Price History'!F111/'Price History'!F110-1),"")</f>
        <v>-0.0143490984612481</v>
      </c>
      <c r="G110" s="109" t="n">
        <f aca="false">IFERROR(IF(OR(NOT(ISNUMBER('Price History'!G111)),NOT(ISNUMBER('Price History'!G110)),'Price History'!G110=0),"",'Price History'!G111/'Price History'!G110-1),"")</f>
        <v>0.0379587155963304</v>
      </c>
      <c r="H110" s="109" t="n">
        <f aca="false">IFERROR(IF(OR(NOT(ISNUMBER('Price History'!H111)),NOT(ISNUMBER('Price History'!H110)),'Price History'!H110=0),"",'Price History'!H111/'Price History'!H110-1),"")</f>
        <v>0.103856818754726</v>
      </c>
      <c r="I110" s="109" t="n">
        <f aca="false">IFERROR(IF(OR(NOT(ISNUMBER('Price History'!I111)),NOT(ISNUMBER('Price History'!I110)),'Price History'!I110=0),"",'Price History'!I111/'Price History'!I110-1),"")</f>
        <v>-0.0411069009071076</v>
      </c>
      <c r="J110" s="109" t="n">
        <f aca="false">IFERROR(IF(OR(NOT(ISNUMBER('Price History'!J111)),NOT(ISNUMBER('Price History'!J110)),'Price History'!J110=0),"",'Price History'!J111/'Price History'!J110-1),"")</f>
        <v>-0.00114255580945677</v>
      </c>
      <c r="K110" s="109" t="n">
        <f aca="false">IFERROR(IF(OR(NOT(ISNUMBER('Price History'!K111)),NOT(ISNUMBER('Price History'!K110)),'Price History'!K110=0),"",'Price History'!K111/'Price History'!K110-1),"")</f>
        <v>-0.0229723693446493</v>
      </c>
      <c r="L110" s="109" t="n">
        <f aca="false">IFERROR(IF(OR(NOT(ISNUMBER('Price History'!L111)),NOT(ISNUMBER('Price History'!L110)),'Price History'!L110=0),"",'Price History'!L111/'Price History'!L110-1),"")</f>
        <v>0.0543162818902412</v>
      </c>
      <c r="M110" s="109" t="n">
        <f aca="false">IFERROR(IF(OR(NOT(ISNUMBER('Price History'!M111)),NOT(ISNUMBER('Price History'!M110)),'Price History'!M110=0),"",'Price History'!M111/'Price History'!M110-1),"")</f>
        <v>-0.0278322226577813</v>
      </c>
      <c r="N110" s="109" t="n">
        <f aca="false">IFERROR(IF(OR(NOT(ISNUMBER('Price History'!N111)),NOT(ISNUMBER('Price History'!N110)),'Price History'!N110=0),"",'Price History'!N111/'Price History'!N110-1),"")</f>
        <v>0.0130428111094063</v>
      </c>
      <c r="O110" s="109" t="n">
        <f aca="false">IFERROR(IF(OR(NOT(ISNUMBER('Price History'!O111)),NOT(ISNUMBER('Price History'!O110)),'Price History'!O110=0),"",'Price History'!O111/'Price History'!O110-1),"")</f>
        <v>0.0109163745618428</v>
      </c>
      <c r="P110" s="109" t="str">
        <f aca="false">IFERROR(IF(OR(NOT(ISNUMBER('Price History'!P111)),NOT(ISNUMBER('Price History'!P110)),'Price History'!P110=0),"",'Price History'!P111/'Price History'!P110-1),"")</f>
        <v/>
      </c>
      <c r="Q110" s="109" t="n">
        <f aca="false">IFERROR(IF(OR(NOT(ISNUMBER('Price History'!Q111)),NOT(ISNUMBER('Price History'!Q110)),'Price History'!Q110=0),"",'Price History'!Q111/'Price History'!Q110-1),"")</f>
        <v>0.0100138653520259</v>
      </c>
      <c r="R110" s="109" t="n">
        <f aca="false">IFERROR(IF(OR(NOT(ISNUMBER('Price History'!R111)),NOT(ISNUMBER('Price History'!R110)),'Price History'!R110=0),"",'Price History'!R111/'Price History'!R110-1),"")</f>
        <v>0.00179597701149437</v>
      </c>
      <c r="S110" s="109" t="n">
        <f aca="false">IFERROR(IF(OR(NOT(ISNUMBER('Price History'!S111)),NOT(ISNUMBER('Price History'!S110)),'Price History'!S110=0),"",'Price History'!S111/'Price History'!S110-1),"")</f>
        <v>0.0048935439560438</v>
      </c>
      <c r="T110" s="109" t="n">
        <f aca="false">IFERROR(IF(OR(NOT(ISNUMBER('Price History'!T111)),NOT(ISNUMBER('Price History'!T110)),'Price History'!T110=0),"",'Price History'!T111/'Price History'!T110-1),"")</f>
        <v>0.00750066970265206</v>
      </c>
      <c r="U110" s="109" t="str">
        <f aca="false">IFERROR(IF(OR(NOT(ISNUMBER('Price History'!U111)),NOT(ISNUMBER('Price History'!U110)),'Price History'!U110=0),"",'Price History'!U111/'Price History'!U110-1),"")</f>
        <v/>
      </c>
      <c r="V110" s="110" t="n">
        <f aca="false">IFERROR(IF(OR(NOT(ISNUMBER('Price History'!V111)),NOT(ISNUMBER('Price History'!V110)),'Price History'!V110=0),"",'Price History'!V111/'Price History'!V110-1),"")</f>
        <v>-0.0243273446230551</v>
      </c>
      <c r="W110" s="111" t="n">
        <f aca="false">IFERROR('Price History'!B3+(INDEX('Price History'!B:B,MATCH(9.99E+307,'Price History'!$A:$A))-'Price History'!B3)*(ROW()-3)/(MATCH(9.99E+307,'Returns (Calc)'!$A:$A)-3),"")</f>
        <v>345.635031446541</v>
      </c>
      <c r="X110" s="111" t="n">
        <f aca="false">IFERROR('Price History'!C3+(INDEX('Price History'!C:C,MATCH(9.99E+307,'Price History'!$A:$A))-'Price History'!C3)*(ROW()-3)/(MATCH(9.99E+307,'Returns (Calc)'!$A:$A)-3),"")</f>
        <v>144.710314465409</v>
      </c>
      <c r="Y110" s="111" t="n">
        <f aca="false">IFERROR('Price History'!D3+(INDEX('Price History'!D:D,MATCH(9.99E+307,'Price History'!$A:$A))-'Price History'!D3)*(ROW()-3)/(MATCH(9.99E+307,'Returns (Calc)'!$A:$A)-3),"")</f>
        <v>1370.46993710692</v>
      </c>
      <c r="Z110" s="111" t="n">
        <f aca="false">IFERROR('Price History'!E3+(INDEX('Price History'!E:E,MATCH(9.99E+307,'Price History'!$A:$A))-'Price History'!E3)*(ROW()-3)/(MATCH(9.99E+307,'Returns (Calc)'!$A:$A)-3),"")</f>
        <v>267.989056603774</v>
      </c>
      <c r="AA110" s="111" t="n">
        <f aca="false">IFERROR('Price History'!F3+(INDEX('Price History'!F:F,MATCH(9.99E+307,'Price History'!$A:$A))-'Price History'!F3)*(ROW()-3)/(MATCH(9.99E+307,'Returns (Calc)'!$A:$A)-3),"")</f>
        <v>155.527169811321</v>
      </c>
      <c r="AB110" s="111" t="n">
        <f aca="false">IFERROR('Price History'!G3+(INDEX('Price History'!G:G,MATCH(9.99E+307,'Price History'!$A:$A))-'Price History'!G3)*(ROW()-3)/(MATCH(9.99E+307,'Returns (Calc)'!$A:$A)-3),"")</f>
        <v>140.566037735849</v>
      </c>
      <c r="AC110" s="111" t="n">
        <f aca="false">IFERROR('Price History'!H3+(INDEX('Price History'!H:H,MATCH(9.99E+307,'Price History'!$A:$A))-'Price History'!H3)*(ROW()-3)/(MATCH(9.99E+307,'Returns (Calc)'!$A:$A)-3),"")</f>
        <v>705.17213836478</v>
      </c>
      <c r="AD110" s="111" t="n">
        <f aca="false">IFERROR('Price History'!I3+(INDEX('Price History'!I:I,MATCH(9.99E+307,'Price History'!$A:$A))-'Price History'!I3)*(ROW()-3)/(MATCH(9.99E+307,'Returns (Calc)'!$A:$A)-3),"")</f>
        <v>168.381886792453</v>
      </c>
      <c r="AE110" s="111" t="n">
        <f aca="false">IFERROR('Price History'!J3+(INDEX('Price History'!J:J,MATCH(9.99E+307,'Price History'!$A:$A))-'Price History'!J3)*(ROW()-3)/(MATCH(9.99E+307,'Returns (Calc)'!$A:$A)-3),"")</f>
        <v>132.816981132075</v>
      </c>
      <c r="AF110" s="111" t="n">
        <f aca="false">IFERROR('Price History'!K3+(INDEX('Price History'!K:K,MATCH(9.99E+307,'Price History'!$A:$A))-'Price History'!K3)*(ROW()-3)/(MATCH(9.99E+307,'Returns (Calc)'!$A:$A)-3),"")</f>
        <v>122.356163522013</v>
      </c>
      <c r="AG110" s="111" t="n">
        <f aca="false">IFERROR('Price History'!L3+(INDEX('Price History'!L:L,MATCH(9.99E+307,'Price History'!$A:$A))-'Price History'!L3)*(ROW()-3)/(MATCH(9.99E+307,'Returns (Calc)'!$A:$A)-3),"")</f>
        <v>318.722327044025</v>
      </c>
      <c r="AH110" s="111" t="n">
        <f aca="false">IFERROR('Price History'!M3+(INDEX('Price History'!M:M,MATCH(9.99E+307,'Price History'!$A:$A))-'Price History'!M3)*(ROW()-3)/(MATCH(9.99E+307,'Returns (Calc)'!$A:$A)-3),"")</f>
        <v>199.74358490566</v>
      </c>
      <c r="AI110" s="111" t="n">
        <f aca="false">IFERROR('Price History'!N3+(INDEX('Price History'!N:N,MATCH(9.99E+307,'Price History'!$A:$A))-'Price History'!N3)*(ROW()-3)/(MATCH(9.99E+307,'Returns (Calc)'!$A:$A)-3),"")</f>
        <v>481.934339622642</v>
      </c>
      <c r="AJ110" s="111" t="n">
        <f aca="false">IFERROR('Price History'!O3+(INDEX('Price History'!O:O,MATCH(9.99E+307,'Price History'!$A:$A))-'Price History'!O3)*(ROW()-3)/(MATCH(9.99E+307,'Returns (Calc)'!$A:$A)-3),"")</f>
        <v>112.513899371069</v>
      </c>
      <c r="AK110" s="111" t="n">
        <f aca="false">IFERROR('Price History'!Q3+(INDEX('Price History'!Q:Q,MATCH(9.99E+307,'Price History'!$A:$A))-'Price History'!Q3)*(ROW()-3)/(MATCH(9.99E+307,'Returns (Calc)'!$A:$A)-3),"")</f>
        <v>63.2183647798742</v>
      </c>
      <c r="AL110" s="111" t="n">
        <f aca="false">IFERROR('Price History'!R3+(INDEX('Price History'!R:R,MATCH(9.99E+307,'Price History'!$A:$A))-'Price History'!R3)*(ROW()-3)/(MATCH(9.99E+307,'Returns (Calc)'!$A:$A)-3),"")</f>
        <v>55.9291194968553</v>
      </c>
      <c r="AM110" s="111" t="n">
        <f aca="false">IFERROR('Price History'!S3+(INDEX('Price History'!S:S,MATCH(9.99E+307,'Price History'!$A:$A))-'Price History'!S3)*(ROW()-3)/(MATCH(9.99E+307,'Returns (Calc)'!$A:$A)-3),"")</f>
        <v>119.900125786164</v>
      </c>
      <c r="AN110" s="111" t="n">
        <f aca="false">IFERROR('Price History'!T3+(INDEX('Price History'!T:T,MATCH(9.99E+307,'Price History'!$A:$A))-'Price History'!T3)*(ROW()-3)/(MATCH(9.99E+307,'Returns (Calc)'!$A:$A)-3),"")</f>
        <v>46.0084905660377</v>
      </c>
      <c r="AO110" s="112" t="n">
        <f aca="false">IFERROR('Price History'!V3+(INDEX('Price History'!V:V,MATCH(9.99E+307,'Price History'!$A:$A))-'Price History'!V3)*(ROW()-3)/(MATCH(9.99E+307,'Returns (Calc)'!$A:$A)-3),"")</f>
        <v>252.405597484277</v>
      </c>
    </row>
    <row r="111" customFormat="false" ht="15" hidden="false" customHeight="true" outlineLevel="0" collapsed="false">
      <c r="A111" s="108" t="n">
        <f aca="false">IF('Price History'!A112="","",'Price History'!A112)</f>
        <v>45912</v>
      </c>
      <c r="B111" s="109" t="n">
        <f aca="false">IFERROR(IF(OR(NOT(ISNUMBER('Price History'!B112)),NOT(ISNUMBER('Price History'!B111)),'Price History'!B111=0),"",'Price History'!B112/'Price History'!B111-1),"")</f>
        <v>0.00111757457661121</v>
      </c>
      <c r="C111" s="109" t="n">
        <f aca="false">IFERROR(IF(OR(NOT(ISNUMBER('Price History'!C112)),NOT(ISNUMBER('Price History'!C111)),'Price History'!C111=0),"",'Price History'!C112/'Price History'!C111-1),"")</f>
        <v>-0.0242212110605531</v>
      </c>
      <c r="D111" s="109" t="n">
        <f aca="false">IFERROR(IF(OR(NOT(ISNUMBER('Price History'!D112)),NOT(ISNUMBER('Price History'!D111)),'Price History'!D111=0),"",'Price History'!D112/'Price History'!D111-1),"")</f>
        <v>0.0411538953562747</v>
      </c>
      <c r="E111" s="109" t="n">
        <f aca="false">IFERROR(IF(OR(NOT(ISNUMBER('Price History'!E112)),NOT(ISNUMBER('Price History'!E111)),'Price History'!E111=0),"",'Price History'!E112/'Price History'!E111-1),"")</f>
        <v>0.0745916569619876</v>
      </c>
      <c r="F111" s="109" t="n">
        <f aca="false">IFERROR(IF(OR(NOT(ISNUMBER('Price History'!F112)),NOT(ISNUMBER('Price History'!F111)),'Price History'!F111=0),"",'Price History'!F112/'Price History'!F111-1),"")</f>
        <v>0.0442486351882003</v>
      </c>
      <c r="G111" s="109" t="n">
        <f aca="false">IFERROR(IF(OR(NOT(ISNUMBER('Price History'!G112)),NOT(ISNUMBER('Price History'!G111)),'Price History'!G111=0),"",'Price History'!G112/'Price History'!G111-1),"")</f>
        <v>0.0650756822450558</v>
      </c>
      <c r="H111" s="109" t="n">
        <f aca="false">IFERROR(IF(OR(NOT(ISNUMBER('Price History'!H112)),NOT(ISNUMBER('Price History'!H111)),'Price History'!H111=0),"",'Price History'!H112/'Price History'!H111-1),"")</f>
        <v>0.196848595569765</v>
      </c>
      <c r="I111" s="109" t="n">
        <f aca="false">IFERROR(IF(OR(NOT(ISNUMBER('Price History'!I112)),NOT(ISNUMBER('Price History'!I111)),'Price History'!I111=0),"",'Price History'!I112/'Price History'!I111-1),"")</f>
        <v>0.0646629146210034</v>
      </c>
      <c r="J111" s="109" t="n">
        <f aca="false">IFERROR(IF(OR(NOT(ISNUMBER('Price History'!J112)),NOT(ISNUMBER('Price History'!J111)),'Price History'!J111=0),"",'Price History'!J112/'Price History'!J111-1),"")</f>
        <v>0.014958205015398</v>
      </c>
      <c r="K111" s="109" t="n">
        <f aca="false">IFERROR(IF(OR(NOT(ISNUMBER('Price History'!K112)),NOT(ISNUMBER('Price History'!K111)),'Price History'!K111=0),"",'Price History'!K112/'Price History'!K111-1),"")</f>
        <v>0.119652537391418</v>
      </c>
      <c r="L111" s="109" t="n">
        <f aca="false">IFERROR(IF(OR(NOT(ISNUMBER('Price History'!L112)),NOT(ISNUMBER('Price History'!L111)),'Price History'!L111=0),"",'Price History'!L112/'Price History'!L111-1),"")</f>
        <v>0.0654040507785219</v>
      </c>
      <c r="M111" s="109" t="n">
        <f aca="false">IFERROR(IF(OR(NOT(ISNUMBER('Price History'!M112)),NOT(ISNUMBER('Price History'!M111)),'Price History'!M111=0),"",'Price History'!M112/'Price History'!M111-1),"")</f>
        <v>0.0874193548387097</v>
      </c>
      <c r="N111" s="109" t="n">
        <f aca="false">IFERROR(IF(OR(NOT(ISNUMBER('Price History'!N112)),NOT(ISNUMBER('Price History'!N111)),'Price History'!N111=0),"",'Price History'!N112/'Price History'!N111-1),"")</f>
        <v>-0.00401393517116033</v>
      </c>
      <c r="O111" s="109" t="n">
        <f aca="false">IFERROR(IF(OR(NOT(ISNUMBER('Price History'!O112)),NOT(ISNUMBER('Price History'!O111)),'Price History'!O111=0),"",'Price History'!O112/'Price History'!O111-1),"")</f>
        <v>-0.00792550029720618</v>
      </c>
      <c r="P111" s="109" t="str">
        <f aca="false">IFERROR(IF(OR(NOT(ISNUMBER('Price History'!P112)),NOT(ISNUMBER('Price History'!P111)),'Price History'!P111=0),"",'Price History'!P112/'Price History'!P111-1),"")</f>
        <v/>
      </c>
      <c r="Q111" s="109" t="n">
        <f aca="false">IFERROR(IF(OR(NOT(ISNUMBER('Price History'!Q112)),NOT(ISNUMBER('Price History'!Q111)),'Price History'!Q111=0),"",'Price History'!Q112/'Price History'!Q111-1),"")</f>
        <v>0.000610128126906639</v>
      </c>
      <c r="R111" s="109" t="n">
        <f aca="false">IFERROR(IF(OR(NOT(ISNUMBER('Price History'!R112)),NOT(ISNUMBER('Price History'!R111)),'Price History'!R111=0),"",'Price History'!R112/'Price History'!R111-1),"")</f>
        <v>0.0136249551810685</v>
      </c>
      <c r="S111" s="109" t="n">
        <f aca="false">IFERROR(IF(OR(NOT(ISNUMBER('Price History'!S112)),NOT(ISNUMBER('Price History'!S111)),'Price History'!S111=0),"",'Price History'!S112/'Price History'!S111-1),"")</f>
        <v>0.0293037163605296</v>
      </c>
      <c r="T111" s="109" t="n">
        <f aca="false">IFERROR(IF(OR(NOT(ISNUMBER('Price History'!T112)),NOT(ISNUMBER('Price History'!T111)),'Price History'!T111=0),"",'Price History'!T112/'Price History'!T111-1),"")</f>
        <v>-0.00292475405477266</v>
      </c>
      <c r="U111" s="109" t="str">
        <f aca="false">IFERROR(IF(OR(NOT(ISNUMBER('Price History'!U112)),NOT(ISNUMBER('Price History'!U111)),'Price History'!U111=0),"",'Price History'!U112/'Price History'!U111-1),"")</f>
        <v/>
      </c>
      <c r="V111" s="110" t="n">
        <f aca="false">IFERROR(IF(OR(NOT(ISNUMBER('Price History'!V112)),NOT(ISNUMBER('Price History'!V111)),'Price History'!V111=0),"",'Price History'!V112/'Price History'!V111-1),"")</f>
        <v>-0.0110425844346549</v>
      </c>
      <c r="W111" s="111" t="n">
        <f aca="false">IFERROR('Price History'!B3+(INDEX('Price History'!B:B,MATCH(9.99E+307,'Price History'!$A:$A))-'Price History'!B3)*(ROW()-3)/(MATCH(9.99E+307,'Returns (Calc)'!$A:$A)-3),"")</f>
        <v>344.113396226415</v>
      </c>
      <c r="X111" s="111" t="n">
        <f aca="false">IFERROR('Price History'!C3+(INDEX('Price History'!C:C,MATCH(9.99E+307,'Price History'!$A:$A))-'Price History'!C3)*(ROW()-3)/(MATCH(9.99E+307,'Returns (Calc)'!$A:$A)-3),"")</f>
        <v>145.653962264151</v>
      </c>
      <c r="Y111" s="111" t="n">
        <f aca="false">IFERROR('Price History'!D3+(INDEX('Price History'!D:D,MATCH(9.99E+307,'Price History'!$A:$A))-'Price History'!D3)*(ROW()-3)/(MATCH(9.99E+307,'Returns (Calc)'!$A:$A)-3),"")</f>
        <v>1377.09320754717</v>
      </c>
      <c r="Z111" s="111" t="n">
        <f aca="false">IFERROR('Price History'!E3+(INDEX('Price History'!E:E,MATCH(9.99E+307,'Price History'!$A:$A))-'Price History'!E3)*(ROW()-3)/(MATCH(9.99E+307,'Returns (Calc)'!$A:$A)-3),"")</f>
        <v>269.718113207547</v>
      </c>
      <c r="AA111" s="111" t="n">
        <f aca="false">IFERROR('Price History'!F3+(INDEX('Price History'!F:F,MATCH(9.99E+307,'Price History'!$A:$A))-'Price History'!F3)*(ROW()-3)/(MATCH(9.99E+307,'Returns (Calc)'!$A:$A)-3),"")</f>
        <v>156.634339622642</v>
      </c>
      <c r="AB111" s="111" t="n">
        <f aca="false">IFERROR('Price History'!G3+(INDEX('Price History'!G:G,MATCH(9.99E+307,'Price History'!$A:$A))-'Price History'!G3)*(ROW()-3)/(MATCH(9.99E+307,'Returns (Calc)'!$A:$A)-3),"")</f>
        <v>141.432075471698</v>
      </c>
      <c r="AC111" s="111" t="n">
        <f aca="false">IFERROR('Price History'!H3+(INDEX('Price History'!H:H,MATCH(9.99E+307,'Price History'!$A:$A))-'Price History'!H3)*(ROW()-3)/(MATCH(9.99E+307,'Returns (Calc)'!$A:$A)-3),"")</f>
        <v>711.160943396227</v>
      </c>
      <c r="AD111" s="111" t="n">
        <f aca="false">IFERROR('Price History'!I3+(INDEX('Price History'!I:I,MATCH(9.99E+307,'Price History'!$A:$A))-'Price History'!I3)*(ROW()-3)/(MATCH(9.99E+307,'Returns (Calc)'!$A:$A)-3),"")</f>
        <v>169.573773584906</v>
      </c>
      <c r="AE111" s="111" t="n">
        <f aca="false">IFERROR('Price History'!J3+(INDEX('Price History'!J:J,MATCH(9.99E+307,'Price History'!$A:$A))-'Price History'!J3)*(ROW()-3)/(MATCH(9.99E+307,'Returns (Calc)'!$A:$A)-3),"")</f>
        <v>132.903962264151</v>
      </c>
      <c r="AF111" s="111" t="n">
        <f aca="false">IFERROR('Price History'!K3+(INDEX('Price History'!K:K,MATCH(9.99E+307,'Price History'!$A:$A))-'Price History'!K3)*(ROW()-3)/(MATCH(9.99E+307,'Returns (Calc)'!$A:$A)-3),"")</f>
        <v>123.355660377358</v>
      </c>
      <c r="AG111" s="111" t="n">
        <f aca="false">IFERROR('Price History'!L3+(INDEX('Price History'!L:L,MATCH(9.99E+307,'Price History'!$A:$A))-'Price History'!L3)*(ROW()-3)/(MATCH(9.99E+307,'Returns (Calc)'!$A:$A)-3),"")</f>
        <v>320.841320754717</v>
      </c>
      <c r="AH111" s="111" t="n">
        <f aca="false">IFERROR('Price History'!M3+(INDEX('Price History'!M:M,MATCH(9.99E+307,'Price History'!$A:$A))-'Price History'!M3)*(ROW()-3)/(MATCH(9.99E+307,'Returns (Calc)'!$A:$A)-3),"")</f>
        <v>201.297169811321</v>
      </c>
      <c r="AI111" s="111" t="n">
        <f aca="false">IFERROR('Price History'!N3+(INDEX('Price History'!N:N,MATCH(9.99E+307,'Price History'!$A:$A))-'Price History'!N3)*(ROW()-3)/(MATCH(9.99E+307,'Returns (Calc)'!$A:$A)-3),"")</f>
        <v>483.168679245283</v>
      </c>
      <c r="AJ111" s="111" t="n">
        <f aca="false">IFERROR('Price History'!O3+(INDEX('Price History'!O:O,MATCH(9.99E+307,'Price History'!$A:$A))-'Price History'!O3)*(ROW()-3)/(MATCH(9.99E+307,'Returns (Calc)'!$A:$A)-3),"")</f>
        <v>112.791132075472</v>
      </c>
      <c r="AK111" s="111" t="n">
        <f aca="false">IFERROR('Price History'!Q3+(INDEX('Price History'!Q:Q,MATCH(9.99E+307,'Price History'!$A:$A))-'Price History'!Q3)*(ROW()-3)/(MATCH(9.99E+307,'Returns (Calc)'!$A:$A)-3),"")</f>
        <v>63.3433962264151</v>
      </c>
      <c r="AL111" s="111" t="n">
        <f aca="false">IFERROR('Price History'!R3+(INDEX('Price History'!R:R,MATCH(9.99E+307,'Price History'!$A:$A))-'Price History'!R3)*(ROW()-3)/(MATCH(9.99E+307,'Returns (Calc)'!$A:$A)-3),"")</f>
        <v>56.0049056603774</v>
      </c>
      <c r="AM111" s="111" t="n">
        <f aca="false">IFERROR('Price History'!S3+(INDEX('Price History'!S:S,MATCH(9.99E+307,'Price History'!$A:$A))-'Price History'!S3)*(ROW()-3)/(MATCH(9.99E+307,'Returns (Calc)'!$A:$A)-3),"")</f>
        <v>120.47358490566</v>
      </c>
      <c r="AN111" s="111" t="n">
        <f aca="false">IFERROR('Price History'!T3+(INDEX('Price History'!T:T,MATCH(9.99E+307,'Price History'!$A:$A))-'Price History'!T3)*(ROW()-3)/(MATCH(9.99E+307,'Returns (Calc)'!$A:$A)-3),"")</f>
        <v>46.1869811320755</v>
      </c>
      <c r="AO111" s="112" t="n">
        <f aca="false">IFERROR('Price History'!V3+(INDEX('Price History'!V:V,MATCH(9.99E+307,'Price History'!$A:$A))-'Price History'!V3)*(ROW()-3)/(MATCH(9.99E+307,'Returns (Calc)'!$A:$A)-3),"")</f>
        <v>254.764528301887</v>
      </c>
    </row>
    <row r="112" customFormat="false" ht="15" hidden="false" customHeight="true" outlineLevel="0" collapsed="false">
      <c r="A112" s="108" t="n">
        <f aca="false">IF('Price History'!A113="","",'Price History'!A113)</f>
        <v>45919</v>
      </c>
      <c r="B112" s="109" t="n">
        <f aca="false">IFERROR(IF(OR(NOT(ISNUMBER('Price History'!B113)),NOT(ISNUMBER('Price History'!B112)),'Price History'!B112=0),"",'Price History'!B113/'Price History'!B112-1),"")</f>
        <v>0.0473437142202884</v>
      </c>
      <c r="C112" s="109" t="n">
        <f aca="false">IFERROR(IF(OR(NOT(ISNUMBER('Price History'!C113)),NOT(ISNUMBER('Price History'!C112)),'Price History'!C112=0),"",'Price History'!C113/'Price History'!C112-1),"")</f>
        <v>0.0733194633761392</v>
      </c>
      <c r="D112" s="109" t="n">
        <f aca="false">IFERROR(IF(OR(NOT(ISNUMBER('Price History'!D113)),NOT(ISNUMBER('Price History'!D112)),'Price History'!D112=0),"",'Price History'!D113/'Price History'!D112-1),"")</f>
        <v>0.145330335311536</v>
      </c>
      <c r="E112" s="109" t="n">
        <f aca="false">IFERROR(IF(OR(NOT(ISNUMBER('Price History'!E113)),NOT(ISNUMBER('Price History'!E112)),'Price History'!E112=0),"",'Price History'!E113/'Price History'!E112-1),"")</f>
        <v>-0.0414872037124517</v>
      </c>
      <c r="F112" s="109" t="n">
        <f aca="false">IFERROR(IF(OR(NOT(ISNUMBER('Price History'!F113)),NOT(ISNUMBER('Price History'!F112)),'Price History'!F112=0),"",'Price History'!F113/'Price History'!F112-1),"")</f>
        <v>0.152343391727048</v>
      </c>
      <c r="G112" s="109" t="n">
        <f aca="false">IFERROR(IF(OR(NOT(ISNUMBER('Price History'!G113)),NOT(ISNUMBER('Price History'!G112)),'Price History'!G112=0),"",'Price History'!G113/'Price History'!G112-1),"")</f>
        <v>0.083817427385892</v>
      </c>
      <c r="H112" s="109" t="n">
        <f aca="false">IFERROR(IF(OR(NOT(ISNUMBER('Price History'!H113)),NOT(ISNUMBER('Price History'!H112)),'Price History'!H112=0),"",'Price History'!H113/'Price History'!H112-1),"")</f>
        <v>0.0349806016663488</v>
      </c>
      <c r="I112" s="109" t="n">
        <f aca="false">IFERROR(IF(OR(NOT(ISNUMBER('Price History'!I113)),NOT(ISNUMBER('Price History'!I112)),'Price History'!I112=0),"",'Price History'!I113/'Price History'!I112-1),"")</f>
        <v>-0.00646721403666628</v>
      </c>
      <c r="J112" s="109" t="n">
        <f aca="false">IFERROR(IF(OR(NOT(ISNUMBER('Price History'!J113)),NOT(ISNUMBER('Price History'!J112)),'Price History'!J112=0),"",'Price History'!J113/'Price History'!J112-1),"")</f>
        <v>-0.0159514521022973</v>
      </c>
      <c r="K112" s="109" t="n">
        <f aca="false">IFERROR(IF(OR(NOT(ISNUMBER('Price History'!K113)),NOT(ISNUMBER('Price History'!K112)),'Price History'!K112=0),"",'Price History'!K113/'Price History'!K112-1),"")</f>
        <v>0.0639328005599953</v>
      </c>
      <c r="L112" s="109" t="n">
        <f aca="false">IFERROR(IF(OR(NOT(ISNUMBER('Price History'!L113)),NOT(ISNUMBER('Price History'!L112)),'Price History'!L112=0),"",'Price History'!L113/'Price History'!L112-1),"")</f>
        <v>0.0213627424517024</v>
      </c>
      <c r="M112" s="109" t="n">
        <f aca="false">IFERROR(IF(OR(NOT(ISNUMBER('Price History'!M113)),NOT(ISNUMBER('Price History'!M112)),'Price History'!M112=0),"",'Price History'!M113/'Price History'!M112-1),"")</f>
        <v>0.0649658854939186</v>
      </c>
      <c r="N112" s="109" t="n">
        <f aca="false">IFERROR(IF(OR(NOT(ISNUMBER('Price History'!N113)),NOT(ISNUMBER('Price History'!N112)),'Price History'!N112=0),"",'Price History'!N113/'Price History'!N112-1),"")</f>
        <v>-0.0289204876688718</v>
      </c>
      <c r="O112" s="109" t="n">
        <f aca="false">IFERROR(IF(OR(NOT(ISNUMBER('Price History'!O113)),NOT(ISNUMBER('Price History'!O112)),'Price History'!O112=0),"",'Price History'!O113/'Price History'!O112-1),"")</f>
        <v>0.00569203115638106</v>
      </c>
      <c r="P112" s="109" t="str">
        <f aca="false">IFERROR(IF(OR(NOT(ISNUMBER('Price History'!P113)),NOT(ISNUMBER('Price History'!P112)),'Price History'!P112=0),"",'Price History'!P113/'Price History'!P112-1),"")</f>
        <v/>
      </c>
      <c r="Q112" s="109" t="n">
        <f aca="false">IFERROR(IF(OR(NOT(ISNUMBER('Price History'!Q113)),NOT(ISNUMBER('Price History'!Q112)),'Price History'!Q112=0),"",'Price History'!Q113/'Price History'!Q112-1),"")</f>
        <v>-0.00503048780487803</v>
      </c>
      <c r="R112" s="109" t="n">
        <f aca="false">IFERROR(IF(OR(NOT(ISNUMBER('Price History'!R113)),NOT(ISNUMBER('Price History'!R112)),'Price History'!R112=0),"",'Price History'!R113/'Price History'!R112-1),"")</f>
        <v>0.0109656880084896</v>
      </c>
      <c r="S112" s="109" t="n">
        <f aca="false">IFERROR(IF(OR(NOT(ISNUMBER('Price History'!S113)),NOT(ISNUMBER('Price History'!S112)),'Price History'!S112=0),"",'Price History'!S113/'Price History'!S112-1),"")</f>
        <v>0.0120351925630811</v>
      </c>
      <c r="T112" s="109" t="n">
        <f aca="false">IFERROR(IF(OR(NOT(ISNUMBER('Price History'!T113)),NOT(ISNUMBER('Price History'!T112)),'Price History'!T112=0),"",'Price History'!T113/'Price History'!T112-1),"")</f>
        <v>-0.0013333333333333</v>
      </c>
      <c r="U112" s="109" t="str">
        <f aca="false">IFERROR(IF(OR(NOT(ISNUMBER('Price History'!U113)),NOT(ISNUMBER('Price History'!U112)),'Price History'!U112=0),"",'Price History'!U113/'Price History'!U112-1),"")</f>
        <v/>
      </c>
      <c r="V112" s="110" t="n">
        <f aca="false">IFERROR(IF(OR(NOT(ISNUMBER('Price History'!V113)),NOT(ISNUMBER('Price History'!V112)),'Price History'!V112=0),"",'Price History'!V113/'Price History'!V112-1),"")</f>
        <v>0.00641444437845218</v>
      </c>
      <c r="W112" s="111" t="n">
        <f aca="false">IFERROR('Price History'!B3+(INDEX('Price History'!B:B,MATCH(9.99E+307,'Price History'!$A:$A))-'Price History'!B3)*(ROW()-3)/(MATCH(9.99E+307,'Returns (Calc)'!$A:$A)-3),"")</f>
        <v>342.591761006289</v>
      </c>
      <c r="X112" s="111" t="n">
        <f aca="false">IFERROR('Price History'!C3+(INDEX('Price History'!C:C,MATCH(9.99E+307,'Price History'!$A:$A))-'Price History'!C3)*(ROW()-3)/(MATCH(9.99E+307,'Returns (Calc)'!$A:$A)-3),"")</f>
        <v>146.597610062893</v>
      </c>
      <c r="Y112" s="111" t="n">
        <f aca="false">IFERROR('Price History'!D3+(INDEX('Price History'!D:D,MATCH(9.99E+307,'Price History'!$A:$A))-'Price History'!D3)*(ROW()-3)/(MATCH(9.99E+307,'Returns (Calc)'!$A:$A)-3),"")</f>
        <v>1383.71647798742</v>
      </c>
      <c r="Z112" s="111" t="n">
        <f aca="false">IFERROR('Price History'!E3+(INDEX('Price History'!E:E,MATCH(9.99E+307,'Price History'!$A:$A))-'Price History'!E3)*(ROW()-3)/(MATCH(9.99E+307,'Returns (Calc)'!$A:$A)-3),"")</f>
        <v>271.447169811321</v>
      </c>
      <c r="AA112" s="111" t="n">
        <f aca="false">IFERROR('Price History'!F3+(INDEX('Price History'!F:F,MATCH(9.99E+307,'Price History'!$A:$A))-'Price History'!F3)*(ROW()-3)/(MATCH(9.99E+307,'Returns (Calc)'!$A:$A)-3),"")</f>
        <v>157.741509433962</v>
      </c>
      <c r="AB112" s="111" t="n">
        <f aca="false">IFERROR('Price History'!G3+(INDEX('Price History'!G:G,MATCH(9.99E+307,'Price History'!$A:$A))-'Price History'!G3)*(ROW()-3)/(MATCH(9.99E+307,'Returns (Calc)'!$A:$A)-3),"")</f>
        <v>142.298113207547</v>
      </c>
      <c r="AC112" s="111" t="n">
        <f aca="false">IFERROR('Price History'!H3+(INDEX('Price History'!H:H,MATCH(9.99E+307,'Price History'!$A:$A))-'Price History'!H3)*(ROW()-3)/(MATCH(9.99E+307,'Returns (Calc)'!$A:$A)-3),"")</f>
        <v>717.149748427673</v>
      </c>
      <c r="AD112" s="111" t="n">
        <f aca="false">IFERROR('Price History'!I3+(INDEX('Price History'!I:I,MATCH(9.99E+307,'Price History'!$A:$A))-'Price History'!I3)*(ROW()-3)/(MATCH(9.99E+307,'Returns (Calc)'!$A:$A)-3),"")</f>
        <v>170.765660377359</v>
      </c>
      <c r="AE112" s="111" t="n">
        <f aca="false">IFERROR('Price History'!J3+(INDEX('Price History'!J:J,MATCH(9.99E+307,'Price History'!$A:$A))-'Price History'!J3)*(ROW()-3)/(MATCH(9.99E+307,'Returns (Calc)'!$A:$A)-3),"")</f>
        <v>132.990943396226</v>
      </c>
      <c r="AF112" s="111" t="n">
        <f aca="false">IFERROR('Price History'!K3+(INDEX('Price History'!K:K,MATCH(9.99E+307,'Price History'!$A:$A))-'Price History'!K3)*(ROW()-3)/(MATCH(9.99E+307,'Returns (Calc)'!$A:$A)-3),"")</f>
        <v>124.355157232704</v>
      </c>
      <c r="AG112" s="111" t="n">
        <f aca="false">IFERROR('Price History'!L3+(INDEX('Price History'!L:L,MATCH(9.99E+307,'Price History'!$A:$A))-'Price History'!L3)*(ROW()-3)/(MATCH(9.99E+307,'Returns (Calc)'!$A:$A)-3),"")</f>
        <v>322.960314465409</v>
      </c>
      <c r="AH112" s="111" t="n">
        <f aca="false">IFERROR('Price History'!M3+(INDEX('Price History'!M:M,MATCH(9.99E+307,'Price History'!$A:$A))-'Price History'!M3)*(ROW()-3)/(MATCH(9.99E+307,'Returns (Calc)'!$A:$A)-3),"")</f>
        <v>202.850754716981</v>
      </c>
      <c r="AI112" s="111" t="n">
        <f aca="false">IFERROR('Price History'!N3+(INDEX('Price History'!N:N,MATCH(9.99E+307,'Price History'!$A:$A))-'Price History'!N3)*(ROW()-3)/(MATCH(9.99E+307,'Returns (Calc)'!$A:$A)-3),"")</f>
        <v>484.403018867925</v>
      </c>
      <c r="AJ112" s="111" t="n">
        <f aca="false">IFERROR('Price History'!O3+(INDEX('Price History'!O:O,MATCH(9.99E+307,'Price History'!$A:$A))-'Price History'!O3)*(ROW()-3)/(MATCH(9.99E+307,'Returns (Calc)'!$A:$A)-3),"")</f>
        <v>113.068364779874</v>
      </c>
      <c r="AK112" s="111" t="n">
        <f aca="false">IFERROR('Price History'!Q3+(INDEX('Price History'!Q:Q,MATCH(9.99E+307,'Price History'!$A:$A))-'Price History'!Q3)*(ROW()-3)/(MATCH(9.99E+307,'Returns (Calc)'!$A:$A)-3),"")</f>
        <v>63.468427672956</v>
      </c>
      <c r="AL112" s="111" t="n">
        <f aca="false">IFERROR('Price History'!R3+(INDEX('Price History'!R:R,MATCH(9.99E+307,'Price History'!$A:$A))-'Price History'!R3)*(ROW()-3)/(MATCH(9.99E+307,'Returns (Calc)'!$A:$A)-3),"")</f>
        <v>56.0806918238994</v>
      </c>
      <c r="AM112" s="111" t="n">
        <f aca="false">IFERROR('Price History'!S3+(INDEX('Price History'!S:S,MATCH(9.99E+307,'Price History'!$A:$A))-'Price History'!S3)*(ROW()-3)/(MATCH(9.99E+307,'Returns (Calc)'!$A:$A)-3),"")</f>
        <v>121.047044025157</v>
      </c>
      <c r="AN112" s="111" t="n">
        <f aca="false">IFERROR('Price History'!T3+(INDEX('Price History'!T:T,MATCH(9.99E+307,'Price History'!$A:$A))-'Price History'!T3)*(ROW()-3)/(MATCH(9.99E+307,'Returns (Calc)'!$A:$A)-3),"")</f>
        <v>46.3654716981132</v>
      </c>
      <c r="AO112" s="112" t="n">
        <f aca="false">IFERROR('Price History'!V3+(INDEX('Price History'!V:V,MATCH(9.99E+307,'Price History'!$A:$A))-'Price History'!V3)*(ROW()-3)/(MATCH(9.99E+307,'Returns (Calc)'!$A:$A)-3),"")</f>
        <v>257.123459119497</v>
      </c>
    </row>
    <row r="113" customFormat="false" ht="15" hidden="false" customHeight="true" outlineLevel="0" collapsed="false">
      <c r="A113" s="108" t="n">
        <f aca="false">IF('Price History'!A114="","",'Price History'!A114)</f>
        <v>45926</v>
      </c>
      <c r="B113" s="109" t="n">
        <f aca="false">IFERROR(IF(OR(NOT(ISNUMBER('Price History'!B114)),NOT(ISNUMBER('Price History'!B113)),'Price History'!B113=0),"",'Price History'!B114/'Price History'!B113-1),"")</f>
        <v>-0.0151134189669307</v>
      </c>
      <c r="C113" s="109" t="n">
        <f aca="false">IFERROR(IF(OR(NOT(ISNUMBER('Price History'!C114)),NOT(ISNUMBER('Price History'!C113)),'Price History'!C113=0),"",'Price History'!C114/'Price History'!C113-1),"")</f>
        <v>-0.0475235612592742</v>
      </c>
      <c r="D113" s="109" t="n">
        <f aca="false">IFERROR(IF(OR(NOT(ISNUMBER('Price History'!D114)),NOT(ISNUMBER('Price History'!D113)),'Price History'!D113=0),"",'Price History'!D114/'Price History'!D113-1),"")</f>
        <v>0.020779917395269</v>
      </c>
      <c r="E113" s="109" t="n">
        <f aca="false">IFERROR(IF(OR(NOT(ISNUMBER('Price History'!E114)),NOT(ISNUMBER('Price History'!E113)),'Price History'!E113=0),"",'Price History'!E114/'Price History'!E113-1),"")</f>
        <v>-0.0301791615933207</v>
      </c>
      <c r="F113" s="109" t="n">
        <f aca="false">IFERROR(IF(OR(NOT(ISNUMBER('Price History'!F114)),NOT(ISNUMBER('Price History'!F113)),'Price History'!F113=0),"",'Price History'!F114/'Price History'!F113-1),"")</f>
        <v>-0.0420248328557784</v>
      </c>
      <c r="G113" s="109" t="n">
        <f aca="false">IFERROR(IF(OR(NOT(ISNUMBER('Price History'!G114)),NOT(ISNUMBER('Price History'!G113)),'Price History'!G113=0),"",'Price History'!G114/'Price History'!G113-1),"")</f>
        <v>0.0186638591117918</v>
      </c>
      <c r="H113" s="109" t="n">
        <f aca="false">IFERROR(IF(OR(NOT(ISNUMBER('Price History'!H114)),NOT(ISNUMBER('Price History'!H113)),'Price History'!H113=0),"",'Price History'!H114/'Price History'!H113-1),"")</f>
        <v>-0.0335525102931235</v>
      </c>
      <c r="I113" s="109" t="n">
        <f aca="false">IFERROR(IF(OR(NOT(ISNUMBER('Price History'!I114)),NOT(ISNUMBER('Price History'!I113)),'Price History'!I113=0),"",'Price History'!I114/'Price History'!I113-1),"")</f>
        <v>0.00860361125261799</v>
      </c>
      <c r="J113" s="109" t="n">
        <f aca="false">IFERROR(IF(OR(NOT(ISNUMBER('Price History'!J114)),NOT(ISNUMBER('Price History'!J113)),'Price History'!J113=0),"",'Price History'!J114/'Price History'!J113-1),"")</f>
        <v>0.0059906616157166</v>
      </c>
      <c r="K113" s="109" t="n">
        <f aca="false">IFERROR(IF(OR(NOT(ISNUMBER('Price History'!K114)),NOT(ISNUMBER('Price History'!K113)),'Price History'!K113=0),"",'Price History'!K114/'Price History'!K113-1),"")</f>
        <v>-0.0264268874390043</v>
      </c>
      <c r="L113" s="109" t="n">
        <f aca="false">IFERROR(IF(OR(NOT(ISNUMBER('Price History'!L114)),NOT(ISNUMBER('Price History'!L113)),'Price History'!L113=0),"",'Price History'!L114/'Price History'!L113-1),"")</f>
        <v>0.0320534601880167</v>
      </c>
      <c r="M113" s="109" t="n">
        <f aca="false">IFERROR(IF(OR(NOT(ISNUMBER('Price History'!M114)),NOT(ISNUMBER('Price History'!M113)),'Price History'!M113=0),"",'Price History'!M114/'Price History'!M113-1),"")</f>
        <v>-0.0346796657381615</v>
      </c>
      <c r="N113" s="109" t="n">
        <f aca="false">IFERROR(IF(OR(NOT(ISNUMBER('Price History'!N114)),NOT(ISNUMBER('Price History'!N113)),'Price History'!N113=0),"",'Price History'!N114/'Price History'!N113-1),"")</f>
        <v>0.00683858843182295</v>
      </c>
      <c r="O113" s="109" t="n">
        <f aca="false">IFERROR(IF(OR(NOT(ISNUMBER('Price History'!O114)),NOT(ISNUMBER('Price History'!O113)),'Price History'!O113=0),"",'Price History'!O114/'Price History'!O113-1),"")</f>
        <v>-0.00158872008737954</v>
      </c>
      <c r="P113" s="109" t="str">
        <f aca="false">IFERROR(IF(OR(NOT(ISNUMBER('Price History'!P114)),NOT(ISNUMBER('Price History'!P113)),'Price History'!P113=0),"",'Price History'!P114/'Price History'!P113-1),"")</f>
        <v/>
      </c>
      <c r="Q113" s="109" t="n">
        <f aca="false">IFERROR(IF(OR(NOT(ISNUMBER('Price History'!Q114)),NOT(ISNUMBER('Price History'!Q113)),'Price History'!Q113=0),"",'Price History'!Q114/'Price History'!Q113-1),"")</f>
        <v>0.00153209744139748</v>
      </c>
      <c r="R113" s="109" t="n">
        <f aca="false">IFERROR(IF(OR(NOT(ISNUMBER('Price History'!R114)),NOT(ISNUMBER('Price History'!R113)),'Price History'!R113=0),"",'Price History'!R114/'Price History'!R113-1),"")</f>
        <v>0.00157452764170762</v>
      </c>
      <c r="S113" s="109" t="n">
        <f aca="false">IFERROR(IF(OR(NOT(ISNUMBER('Price History'!S114)),NOT(ISNUMBER('Price History'!S113)),'Price History'!S113=0),"",'Price History'!S114/'Price History'!S113-1),"")</f>
        <v>-0.0110719265152137</v>
      </c>
      <c r="T113" s="109" t="n">
        <f aca="false">IFERROR(IF(OR(NOT(ISNUMBER('Price History'!T114)),NOT(ISNUMBER('Price History'!T113)),'Price History'!T113=0),"",'Price History'!T114/'Price History'!T113-1),"")</f>
        <v>0.0077436582109478</v>
      </c>
      <c r="U113" s="109" t="str">
        <f aca="false">IFERROR(IF(OR(NOT(ISNUMBER('Price History'!U114)),NOT(ISNUMBER('Price History'!U113)),'Price History'!U113=0),"",'Price History'!U114/'Price History'!U113-1),"")</f>
        <v/>
      </c>
      <c r="V113" s="110" t="n">
        <f aca="false">IFERROR(IF(OR(NOT(ISNUMBER('Price History'!V114)),NOT(ISNUMBER('Price History'!V113)),'Price History'!V113=0),"",'Price History'!V114/'Price History'!V113-1),"")</f>
        <v>-0.0124225435231631</v>
      </c>
      <c r="W113" s="111" t="n">
        <f aca="false">IFERROR('Price History'!B3+(INDEX('Price History'!B:B,MATCH(9.99E+307,'Price History'!$A:$A))-'Price History'!B3)*(ROW()-3)/(MATCH(9.99E+307,'Returns (Calc)'!$A:$A)-3),"")</f>
        <v>341.070125786164</v>
      </c>
      <c r="X113" s="111" t="n">
        <f aca="false">IFERROR('Price History'!C3+(INDEX('Price History'!C:C,MATCH(9.99E+307,'Price History'!$A:$A))-'Price History'!C3)*(ROW()-3)/(MATCH(9.99E+307,'Returns (Calc)'!$A:$A)-3),"")</f>
        <v>147.541257861635</v>
      </c>
      <c r="Y113" s="111" t="n">
        <f aca="false">IFERROR('Price History'!D3+(INDEX('Price History'!D:D,MATCH(9.99E+307,'Price History'!$A:$A))-'Price History'!D3)*(ROW()-3)/(MATCH(9.99E+307,'Returns (Calc)'!$A:$A)-3),"")</f>
        <v>1390.33974842767</v>
      </c>
      <c r="Z113" s="111" t="n">
        <f aca="false">IFERROR('Price History'!E3+(INDEX('Price History'!E:E,MATCH(9.99E+307,'Price History'!$A:$A))-'Price History'!E3)*(ROW()-3)/(MATCH(9.99E+307,'Returns (Calc)'!$A:$A)-3),"")</f>
        <v>273.176226415094</v>
      </c>
      <c r="AA113" s="111" t="n">
        <f aca="false">IFERROR('Price History'!F3+(INDEX('Price History'!F:F,MATCH(9.99E+307,'Price History'!$A:$A))-'Price History'!F3)*(ROW()-3)/(MATCH(9.99E+307,'Returns (Calc)'!$A:$A)-3),"")</f>
        <v>158.848679245283</v>
      </c>
      <c r="AB113" s="111" t="n">
        <f aca="false">IFERROR('Price History'!G3+(INDEX('Price History'!G:G,MATCH(9.99E+307,'Price History'!$A:$A))-'Price History'!G3)*(ROW()-3)/(MATCH(9.99E+307,'Returns (Calc)'!$A:$A)-3),"")</f>
        <v>143.164150943396</v>
      </c>
      <c r="AC113" s="111" t="n">
        <f aca="false">IFERROR('Price History'!H3+(INDEX('Price History'!H:H,MATCH(9.99E+307,'Price History'!$A:$A))-'Price History'!H3)*(ROW()-3)/(MATCH(9.99E+307,'Returns (Calc)'!$A:$A)-3),"")</f>
        <v>723.13855345912</v>
      </c>
      <c r="AD113" s="111" t="n">
        <f aca="false">IFERROR('Price History'!I3+(INDEX('Price History'!I:I,MATCH(9.99E+307,'Price History'!$A:$A))-'Price History'!I3)*(ROW()-3)/(MATCH(9.99E+307,'Returns (Calc)'!$A:$A)-3),"")</f>
        <v>171.957547169811</v>
      </c>
      <c r="AE113" s="111" t="n">
        <f aca="false">IFERROR('Price History'!J3+(INDEX('Price History'!J:J,MATCH(9.99E+307,'Price History'!$A:$A))-'Price History'!J3)*(ROW()-3)/(MATCH(9.99E+307,'Returns (Calc)'!$A:$A)-3),"")</f>
        <v>133.077924528302</v>
      </c>
      <c r="AF113" s="111" t="n">
        <f aca="false">IFERROR('Price History'!K3+(INDEX('Price History'!K:K,MATCH(9.99E+307,'Price History'!$A:$A))-'Price History'!K3)*(ROW()-3)/(MATCH(9.99E+307,'Returns (Calc)'!$A:$A)-3),"")</f>
        <v>125.35465408805</v>
      </c>
      <c r="AG113" s="111" t="n">
        <f aca="false">IFERROR('Price History'!L3+(INDEX('Price History'!L:L,MATCH(9.99E+307,'Price History'!$A:$A))-'Price History'!L3)*(ROW()-3)/(MATCH(9.99E+307,'Returns (Calc)'!$A:$A)-3),"")</f>
        <v>325.079308176101</v>
      </c>
      <c r="AH113" s="111" t="n">
        <f aca="false">IFERROR('Price History'!M3+(INDEX('Price History'!M:M,MATCH(9.99E+307,'Price History'!$A:$A))-'Price History'!M3)*(ROW()-3)/(MATCH(9.99E+307,'Returns (Calc)'!$A:$A)-3),"")</f>
        <v>204.404339622642</v>
      </c>
      <c r="AI113" s="111" t="n">
        <f aca="false">IFERROR('Price History'!N3+(INDEX('Price History'!N:N,MATCH(9.99E+307,'Price History'!$A:$A))-'Price History'!N3)*(ROW()-3)/(MATCH(9.99E+307,'Returns (Calc)'!$A:$A)-3),"")</f>
        <v>485.637358490566</v>
      </c>
      <c r="AJ113" s="111" t="n">
        <f aca="false">IFERROR('Price History'!O3+(INDEX('Price History'!O:O,MATCH(9.99E+307,'Price History'!$A:$A))-'Price History'!O3)*(ROW()-3)/(MATCH(9.99E+307,'Returns (Calc)'!$A:$A)-3),"")</f>
        <v>113.345597484277</v>
      </c>
      <c r="AK113" s="111" t="n">
        <f aca="false">IFERROR('Price History'!Q3+(INDEX('Price History'!Q:Q,MATCH(9.99E+307,'Price History'!$A:$A))-'Price History'!Q3)*(ROW()-3)/(MATCH(9.99E+307,'Returns (Calc)'!$A:$A)-3),"")</f>
        <v>63.5934591194969</v>
      </c>
      <c r="AL113" s="111" t="n">
        <f aca="false">IFERROR('Price History'!R3+(INDEX('Price History'!R:R,MATCH(9.99E+307,'Price History'!$A:$A))-'Price History'!R3)*(ROW()-3)/(MATCH(9.99E+307,'Returns (Calc)'!$A:$A)-3),"")</f>
        <v>56.1564779874214</v>
      </c>
      <c r="AM113" s="111" t="n">
        <f aca="false">IFERROR('Price History'!S3+(INDEX('Price History'!S:S,MATCH(9.99E+307,'Price History'!$A:$A))-'Price History'!S3)*(ROW()-3)/(MATCH(9.99E+307,'Returns (Calc)'!$A:$A)-3),"")</f>
        <v>121.620503144654</v>
      </c>
      <c r="AN113" s="111" t="n">
        <f aca="false">IFERROR('Price History'!T3+(INDEX('Price History'!T:T,MATCH(9.99E+307,'Price History'!$A:$A))-'Price History'!T3)*(ROW()-3)/(MATCH(9.99E+307,'Returns (Calc)'!$A:$A)-3),"")</f>
        <v>46.5439622641509</v>
      </c>
      <c r="AO113" s="112" t="n">
        <f aca="false">IFERROR('Price History'!V3+(INDEX('Price History'!V:V,MATCH(9.99E+307,'Price History'!$A:$A))-'Price History'!V3)*(ROW()-3)/(MATCH(9.99E+307,'Returns (Calc)'!$A:$A)-3),"")</f>
        <v>259.482389937107</v>
      </c>
    </row>
    <row r="114" customFormat="false" ht="15" hidden="false" customHeight="true" outlineLevel="0" collapsed="false">
      <c r="A114" s="108" t="n">
        <f aca="false">IF('Price History'!A115="","",'Price History'!A115)</f>
        <v>45933</v>
      </c>
      <c r="B114" s="109" t="n">
        <f aca="false">IFERROR(IF(OR(NOT(ISNUMBER('Price History'!B115)),NOT(ISNUMBER('Price History'!B114)),'Price History'!B114=0),"",'Price History'!B115/'Price History'!B114-1),"")</f>
        <v>-0.0378222382551267</v>
      </c>
      <c r="C114" s="109" t="n">
        <f aca="false">IFERROR(IF(OR(NOT(ISNUMBER('Price History'!C115)),NOT(ISNUMBER('Price History'!C114)),'Price History'!C114=0),"",'Price History'!C115/'Price History'!C114-1),"")</f>
        <v>0.0210526315789474</v>
      </c>
      <c r="D114" s="109" t="n">
        <f aca="false">IFERROR(IF(OR(NOT(ISNUMBER('Price History'!D115)),NOT(ISNUMBER('Price History'!D114)),'Price History'!D114=0),"",'Price History'!D115/'Price History'!D114-1),"")</f>
        <v>0.0848116697494536</v>
      </c>
      <c r="E114" s="109" t="n">
        <f aca="false">IFERROR(IF(OR(NOT(ISNUMBER('Price History'!E115)),NOT(ISNUMBER('Price History'!E114)),'Price History'!E114=0),"",'Price History'!E115/'Price History'!E114-1),"")</f>
        <v>0.0114787911398082</v>
      </c>
      <c r="F114" s="109" t="n">
        <f aca="false">IFERROR(IF(OR(NOT(ISNUMBER('Price History'!F115)),NOT(ISNUMBER('Price History'!F114)),'Price History'!F114=0),"",'Price History'!F115/'Price History'!F114-1),"")</f>
        <v>0.0175307411100034</v>
      </c>
      <c r="G114" s="109" t="n">
        <f aca="false">IFERROR(IF(OR(NOT(ISNUMBER('Price History'!G115)),NOT(ISNUMBER('Price History'!G114)),'Price History'!G114=0),"",'Price History'!G115/'Price History'!G114-1),"")</f>
        <v>0.0350465094428263</v>
      </c>
      <c r="H114" s="109" t="n">
        <f aca="false">IFERROR(IF(OR(NOT(ISNUMBER('Price History'!H115)),NOT(ISNUMBER('Price History'!H114)),'Price History'!H114=0),"",'Price History'!H115/'Price History'!H114-1),"")</f>
        <v>0.194315508361417</v>
      </c>
      <c r="I114" s="109" t="n">
        <f aca="false">IFERROR(IF(OR(NOT(ISNUMBER('Price History'!I115)),NOT(ISNUMBER('Price History'!I114)),'Price History'!I114=0),"",'Price History'!I115/'Price History'!I114-1),"")</f>
        <v>0.0529210393400303</v>
      </c>
      <c r="J114" s="109" t="n">
        <f aca="false">IFERROR(IF(OR(NOT(ISNUMBER('Price History'!J115)),NOT(ISNUMBER('Price History'!J114)),'Price History'!J114=0),"",'Price History'!J115/'Price History'!J114-1),"")</f>
        <v>0.0251335493475786</v>
      </c>
      <c r="K114" s="109" t="n">
        <f aca="false">IFERROR(IF(OR(NOT(ISNUMBER('Price History'!K115)),NOT(ISNUMBER('Price History'!K114)),'Price History'!K114=0),"",'Price History'!K115/'Price History'!K114-1),"")</f>
        <v>-0.025342118601115</v>
      </c>
      <c r="L114" s="109" t="n">
        <f aca="false">IFERROR(IF(OR(NOT(ISNUMBER('Price History'!L115)),NOT(ISNUMBER('Price History'!L114)),'Price History'!L114=0),"",'Price History'!L115/'Price History'!L114-1),"")</f>
        <v>0.0688835235586771</v>
      </c>
      <c r="M114" s="109" t="n">
        <f aca="false">IFERROR(IF(OR(NOT(ISNUMBER('Price History'!M115)),NOT(ISNUMBER('Price History'!M114)),'Price History'!M114=0),"",'Price History'!M115/'Price History'!M114-1),"")</f>
        <v>0.155677391429808</v>
      </c>
      <c r="N114" s="109" t="n">
        <f aca="false">IFERROR(IF(OR(NOT(ISNUMBER('Price History'!N115)),NOT(ISNUMBER('Price History'!N114)),'Price History'!N114=0),"",'Price History'!N115/'Price History'!N114-1),"")</f>
        <v>0.0455228910665215</v>
      </c>
      <c r="O114" s="109" t="n">
        <f aca="false">IFERROR(IF(OR(NOT(ISNUMBER('Price History'!O115)),NOT(ISNUMBER('Price History'!O114)),'Price History'!O114=0),"",'Price History'!O115/'Price History'!O114-1),"")</f>
        <v>0.00109398309298858</v>
      </c>
      <c r="P114" s="109" t="str">
        <f aca="false">IFERROR(IF(OR(NOT(ISNUMBER('Price History'!P115)),NOT(ISNUMBER('Price History'!P114)),'Price History'!P114=0),"",'Price History'!P115/'Price History'!P114-1),"")</f>
        <v/>
      </c>
      <c r="Q114" s="109" t="n">
        <f aca="false">IFERROR(IF(OR(NOT(ISNUMBER('Price History'!Q115)),NOT(ISNUMBER('Price History'!Q114)),'Price History'!Q114=0),"",'Price History'!Q115/'Price History'!Q114-1),"")</f>
        <v>-0.00887257151598586</v>
      </c>
      <c r="R114" s="109" t="n">
        <f aca="false">IFERROR(IF(OR(NOT(ISNUMBER('Price History'!R115)),NOT(ISNUMBER('Price History'!R114)),'Price History'!R114=0),"",'Price History'!R115/'Price History'!R114-1),"")</f>
        <v>0.00052401746724895</v>
      </c>
      <c r="S114" s="109" t="n">
        <f aca="false">IFERROR(IF(OR(NOT(ISNUMBER('Price History'!S115)),NOT(ISNUMBER('Price History'!S114)),'Price History'!S114=0),"",'Price History'!S115/'Price History'!S114-1),"")</f>
        <v>-0.00406369215458613</v>
      </c>
      <c r="T114" s="109" t="n">
        <f aca="false">IFERROR(IF(OR(NOT(ISNUMBER('Price History'!T115)),NOT(ISNUMBER('Price History'!T114)),'Price History'!T114=0),"",'Price History'!T115/'Price History'!T114-1),"")</f>
        <v>0.00344462109167987</v>
      </c>
      <c r="U114" s="109" t="str">
        <f aca="false">IFERROR(IF(OR(NOT(ISNUMBER('Price History'!U115)),NOT(ISNUMBER('Price History'!U114)),'Price History'!U114=0),"",'Price History'!U115/'Price History'!U114-1),"")</f>
        <v/>
      </c>
      <c r="V114" s="110" t="n">
        <f aca="false">IFERROR(IF(OR(NOT(ISNUMBER('Price History'!V115)),NOT(ISNUMBER('Price History'!V114)),'Price History'!V114=0),"",'Price History'!V115/'Price History'!V114-1),"")</f>
        <v>0.0369595745316562</v>
      </c>
      <c r="W114" s="111" t="n">
        <f aca="false">IFERROR('Price History'!B3+(INDEX('Price History'!B:B,MATCH(9.99E+307,'Price History'!$A:$A))-'Price History'!B3)*(ROW()-3)/(MATCH(9.99E+307,'Returns (Calc)'!$A:$A)-3),"")</f>
        <v>339.548490566038</v>
      </c>
      <c r="X114" s="111" t="n">
        <f aca="false">IFERROR('Price History'!C3+(INDEX('Price History'!C:C,MATCH(9.99E+307,'Price History'!$A:$A))-'Price History'!C3)*(ROW()-3)/(MATCH(9.99E+307,'Returns (Calc)'!$A:$A)-3),"")</f>
        <v>148.484905660377</v>
      </c>
      <c r="Y114" s="111" t="n">
        <f aca="false">IFERROR('Price History'!D3+(INDEX('Price History'!D:D,MATCH(9.99E+307,'Price History'!$A:$A))-'Price History'!D3)*(ROW()-3)/(MATCH(9.99E+307,'Returns (Calc)'!$A:$A)-3),"")</f>
        <v>1396.96301886792</v>
      </c>
      <c r="Z114" s="111" t="n">
        <f aca="false">IFERROR('Price History'!E3+(INDEX('Price History'!E:E,MATCH(9.99E+307,'Price History'!$A:$A))-'Price History'!E3)*(ROW()-3)/(MATCH(9.99E+307,'Returns (Calc)'!$A:$A)-3),"")</f>
        <v>274.905283018868</v>
      </c>
      <c r="AA114" s="111" t="n">
        <f aca="false">IFERROR('Price History'!F3+(INDEX('Price History'!F:F,MATCH(9.99E+307,'Price History'!$A:$A))-'Price History'!F3)*(ROW()-3)/(MATCH(9.99E+307,'Returns (Calc)'!$A:$A)-3),"")</f>
        <v>159.955849056604</v>
      </c>
      <c r="AB114" s="111" t="n">
        <f aca="false">IFERROR('Price History'!G3+(INDEX('Price History'!G:G,MATCH(9.99E+307,'Price History'!$A:$A))-'Price History'!G3)*(ROW()-3)/(MATCH(9.99E+307,'Returns (Calc)'!$A:$A)-3),"")</f>
        <v>144.030188679245</v>
      </c>
      <c r="AC114" s="111" t="n">
        <f aca="false">IFERROR('Price History'!H3+(INDEX('Price History'!H:H,MATCH(9.99E+307,'Price History'!$A:$A))-'Price History'!H3)*(ROW()-3)/(MATCH(9.99E+307,'Returns (Calc)'!$A:$A)-3),"")</f>
        <v>729.127358490566</v>
      </c>
      <c r="AD114" s="111" t="n">
        <f aca="false">IFERROR('Price History'!I3+(INDEX('Price History'!I:I,MATCH(9.99E+307,'Price History'!$A:$A))-'Price History'!I3)*(ROW()-3)/(MATCH(9.99E+307,'Returns (Calc)'!$A:$A)-3),"")</f>
        <v>173.149433962264</v>
      </c>
      <c r="AE114" s="111" t="n">
        <f aca="false">IFERROR('Price History'!J3+(INDEX('Price History'!J:J,MATCH(9.99E+307,'Price History'!$A:$A))-'Price History'!J3)*(ROW()-3)/(MATCH(9.99E+307,'Returns (Calc)'!$A:$A)-3),"")</f>
        <v>133.164905660377</v>
      </c>
      <c r="AF114" s="111" t="n">
        <f aca="false">IFERROR('Price History'!K3+(INDEX('Price History'!K:K,MATCH(9.99E+307,'Price History'!$A:$A))-'Price History'!K3)*(ROW()-3)/(MATCH(9.99E+307,'Returns (Calc)'!$A:$A)-3),"")</f>
        <v>126.354150943396</v>
      </c>
      <c r="AG114" s="111" t="n">
        <f aca="false">IFERROR('Price History'!L3+(INDEX('Price History'!L:L,MATCH(9.99E+307,'Price History'!$A:$A))-'Price History'!L3)*(ROW()-3)/(MATCH(9.99E+307,'Returns (Calc)'!$A:$A)-3),"")</f>
        <v>327.198301886793</v>
      </c>
      <c r="AH114" s="111" t="n">
        <f aca="false">IFERROR('Price History'!M3+(INDEX('Price History'!M:M,MATCH(9.99E+307,'Price History'!$A:$A))-'Price History'!M3)*(ROW()-3)/(MATCH(9.99E+307,'Returns (Calc)'!$A:$A)-3),"")</f>
        <v>205.957924528302</v>
      </c>
      <c r="AI114" s="111" t="n">
        <f aca="false">IFERROR('Price History'!N3+(INDEX('Price History'!N:N,MATCH(9.99E+307,'Price History'!$A:$A))-'Price History'!N3)*(ROW()-3)/(MATCH(9.99E+307,'Returns (Calc)'!$A:$A)-3),"")</f>
        <v>486.871698113208</v>
      </c>
      <c r="AJ114" s="111" t="n">
        <f aca="false">IFERROR('Price History'!O3+(INDEX('Price History'!O:O,MATCH(9.99E+307,'Price History'!$A:$A))-'Price History'!O3)*(ROW()-3)/(MATCH(9.99E+307,'Returns (Calc)'!$A:$A)-3),"")</f>
        <v>113.622830188679</v>
      </c>
      <c r="AK114" s="111" t="n">
        <f aca="false">IFERROR('Price History'!Q3+(INDEX('Price History'!Q:Q,MATCH(9.99E+307,'Price History'!$A:$A))-'Price History'!Q3)*(ROW()-3)/(MATCH(9.99E+307,'Returns (Calc)'!$A:$A)-3),"")</f>
        <v>63.7184905660377</v>
      </c>
      <c r="AL114" s="111" t="n">
        <f aca="false">IFERROR('Price History'!R3+(INDEX('Price History'!R:R,MATCH(9.99E+307,'Price History'!$A:$A))-'Price History'!R3)*(ROW()-3)/(MATCH(9.99E+307,'Returns (Calc)'!$A:$A)-3),"")</f>
        <v>56.2322641509434</v>
      </c>
      <c r="AM114" s="111" t="n">
        <f aca="false">IFERROR('Price History'!S3+(INDEX('Price History'!S:S,MATCH(9.99E+307,'Price History'!$A:$A))-'Price History'!S3)*(ROW()-3)/(MATCH(9.99E+307,'Returns (Calc)'!$A:$A)-3),"")</f>
        <v>122.193962264151</v>
      </c>
      <c r="AN114" s="111" t="n">
        <f aca="false">IFERROR('Price History'!T3+(INDEX('Price History'!T:T,MATCH(9.99E+307,'Price History'!$A:$A))-'Price History'!T3)*(ROW()-3)/(MATCH(9.99E+307,'Returns (Calc)'!$A:$A)-3),"")</f>
        <v>46.7224528301887</v>
      </c>
      <c r="AO114" s="112" t="n">
        <f aca="false">IFERROR('Price History'!V3+(INDEX('Price History'!V:V,MATCH(9.99E+307,'Price History'!$A:$A))-'Price History'!V3)*(ROW()-3)/(MATCH(9.99E+307,'Returns (Calc)'!$A:$A)-3),"")</f>
        <v>261.841320754717</v>
      </c>
    </row>
    <row r="115" customFormat="false" ht="15" hidden="false" customHeight="true" outlineLevel="0" collapsed="false">
      <c r="A115" s="108" t="n">
        <f aca="false">IF('Price History'!A116="","",'Price History'!A116)</f>
        <v>45940</v>
      </c>
      <c r="B115" s="109" t="n">
        <f aca="false">IFERROR(IF(OR(NOT(ISNUMBER('Price History'!B116)),NOT(ISNUMBER('Price History'!B115)),'Price History'!B115=0),"",'Price History'!B116/'Price History'!B115-1),"")</f>
        <v>-0.026619368979639</v>
      </c>
      <c r="C115" s="109" t="n">
        <f aca="false">IFERROR(IF(OR(NOT(ISNUMBER('Price History'!C116)),NOT(ISNUMBER('Price History'!C115)),'Price History'!C115=0),"",'Price History'!C116/'Price History'!C115-1),"")</f>
        <v>0.059106529209622</v>
      </c>
      <c r="D115" s="109" t="n">
        <f aca="false">IFERROR(IF(OR(NOT(ISNUMBER('Price History'!D116)),NOT(ISNUMBER('Price History'!D115)),'Price History'!D115=0),"",'Price History'!D116/'Price History'!D115-1),"")</f>
        <v>-0.0930324930731821</v>
      </c>
      <c r="E115" s="109" t="n">
        <f aca="false">IFERROR(IF(OR(NOT(ISNUMBER('Price History'!E116)),NOT(ISNUMBER('Price History'!E115)),'Price History'!E115=0),"",'Price History'!E116/'Price History'!E115-1),"")</f>
        <v>-0.0406064367408459</v>
      </c>
      <c r="F115" s="109" t="n">
        <f aca="false">IFERROR(IF(OR(NOT(ISNUMBER('Price History'!F116)),NOT(ISNUMBER('Price History'!F115)),'Price History'!F115=0),"",'Price History'!F116/'Price History'!F115-1),"")</f>
        <v>0.00775700171470573</v>
      </c>
      <c r="G115" s="109" t="n">
        <f aca="false">IFERROR(IF(OR(NOT(ISNUMBER('Price History'!G116)),NOT(ISNUMBER('Price History'!G115)),'Price History'!G115=0),"",'Price History'!G116/'Price History'!G115-1),"")</f>
        <v>-0.107843137254902</v>
      </c>
      <c r="H115" s="109" t="n">
        <f aca="false">IFERROR(IF(OR(NOT(ISNUMBER('Price History'!H116)),NOT(ISNUMBER('Price History'!H115)),'Price History'!H115=0),"",'Price History'!H116/'Price History'!H115-1),"")</f>
        <v>-0.03316829047543</v>
      </c>
      <c r="I115" s="109" t="n">
        <f aca="false">IFERROR(IF(OR(NOT(ISNUMBER('Price History'!I116)),NOT(ISNUMBER('Price History'!I115)),'Price History'!I115=0),"",'Price History'!I116/'Price History'!I115-1),"")</f>
        <v>-0.0237714529367872</v>
      </c>
      <c r="J115" s="109" t="n">
        <f aca="false">IFERROR(IF(OR(NOT(ISNUMBER('Price History'!J116)),NOT(ISNUMBER('Price History'!J115)),'Price History'!J115=0),"",'Price History'!J116/'Price History'!J115-1),"")</f>
        <v>-0.0498035195626174</v>
      </c>
      <c r="K115" s="109" t="n">
        <f aca="false">IFERROR(IF(OR(NOT(ISNUMBER('Price History'!K116)),NOT(ISNUMBER('Price History'!K115)),'Price History'!K115=0),"",'Price History'!K116/'Price History'!K115-1),"")</f>
        <v>0.0136938810885769</v>
      </c>
      <c r="L115" s="109" t="n">
        <f aca="false">IFERROR(IF(OR(NOT(ISNUMBER('Price History'!L116)),NOT(ISNUMBER('Price History'!L115)),'Price History'!L115=0),"",'Price History'!L116/'Price History'!L115-1),"")</f>
        <v>-0.0394606249358294</v>
      </c>
      <c r="M115" s="109" t="n">
        <f aca="false">IFERROR(IF(OR(NOT(ISNUMBER('Price History'!M116)),NOT(ISNUMBER('Price History'!M115)),'Price History'!M115=0),"",'Price History'!M116/'Price History'!M115-1),"")</f>
        <v>0.0549937578027466</v>
      </c>
      <c r="N115" s="109" t="n">
        <f aca="false">IFERROR(IF(OR(NOT(ISNUMBER('Price History'!N116)),NOT(ISNUMBER('Price History'!N115)),'Price History'!N115=0),"",'Price History'!N116/'Price History'!N115-1),"")</f>
        <v>0.0111331515001241</v>
      </c>
      <c r="O115" s="109" t="n">
        <f aca="false">IFERROR(IF(OR(NOT(ISNUMBER('Price History'!O116)),NOT(ISNUMBER('Price History'!O115)),'Price History'!O115=0),"",'Price History'!O116/'Price History'!O115-1),"")</f>
        <v>-0.05434134710908</v>
      </c>
      <c r="P115" s="109" t="str">
        <f aca="false">IFERROR(IF(OR(NOT(ISNUMBER('Price History'!P116)),NOT(ISNUMBER('Price History'!P115)),'Price History'!P115=0),"",'Price History'!P116/'Price History'!P115-1),"")</f>
        <v/>
      </c>
      <c r="Q115" s="109" t="n">
        <f aca="false">IFERROR(IF(OR(NOT(ISNUMBER('Price History'!Q116)),NOT(ISNUMBER('Price History'!Q115)),'Price History'!Q115=0),"",'Price History'!Q116/'Price History'!Q115-1),"")</f>
        <v>0.0217626176879147</v>
      </c>
      <c r="R115" s="109" t="n">
        <f aca="false">IFERROR(IF(OR(NOT(ISNUMBER('Price History'!R116)),NOT(ISNUMBER('Price History'!R115)),'Price History'!R115=0),"",'Price History'!R116/'Price History'!R115-1),"")</f>
        <v>-0.0165851955307264</v>
      </c>
      <c r="S115" s="109" t="n">
        <f aca="false">IFERROR(IF(OR(NOT(ISNUMBER('Price History'!S116)),NOT(ISNUMBER('Price History'!S115)),'Price History'!S115=0),"",'Price History'!S116/'Price History'!S115-1),"")</f>
        <v>-0.0132400699475393</v>
      </c>
      <c r="T115" s="109" t="n">
        <f aca="false">IFERROR(IF(OR(NOT(ISNUMBER('Price History'!T116)),NOT(ISNUMBER('Price History'!T115)),'Price History'!T115=0),"",'Price History'!T116/'Price History'!T115-1),"")</f>
        <v>-0.0340639028254555</v>
      </c>
      <c r="U115" s="109" t="str">
        <f aca="false">IFERROR(IF(OR(NOT(ISNUMBER('Price History'!U116)),NOT(ISNUMBER('Price History'!U115)),'Price History'!U115=0),"",'Price History'!U116/'Price History'!U115-1),"")</f>
        <v/>
      </c>
      <c r="V115" s="110" t="n">
        <f aca="false">IFERROR(IF(OR(NOT(ISNUMBER('Price History'!V116)),NOT(ISNUMBER('Price History'!V115)),'Price History'!V115=0),"",'Price History'!V116/'Price History'!V115-1),"")</f>
        <v>-0.0176914654526594</v>
      </c>
      <c r="W115" s="111" t="n">
        <f aca="false">IFERROR('Price History'!B3+(INDEX('Price History'!B:B,MATCH(9.99E+307,'Price History'!$A:$A))-'Price History'!B3)*(ROW()-3)/(MATCH(9.99E+307,'Returns (Calc)'!$A:$A)-3),"")</f>
        <v>338.026855345912</v>
      </c>
      <c r="X115" s="111" t="n">
        <f aca="false">IFERROR('Price History'!C3+(INDEX('Price History'!C:C,MATCH(9.99E+307,'Price History'!$A:$A))-'Price History'!C3)*(ROW()-3)/(MATCH(9.99E+307,'Returns (Calc)'!$A:$A)-3),"")</f>
        <v>149.428553459119</v>
      </c>
      <c r="Y115" s="111" t="n">
        <f aca="false">IFERROR('Price History'!D3+(INDEX('Price History'!D:D,MATCH(9.99E+307,'Price History'!$A:$A))-'Price History'!D3)*(ROW()-3)/(MATCH(9.99E+307,'Returns (Calc)'!$A:$A)-3),"")</f>
        <v>1403.58628930818</v>
      </c>
      <c r="Z115" s="111" t="n">
        <f aca="false">IFERROR('Price History'!E3+(INDEX('Price History'!E:E,MATCH(9.99E+307,'Price History'!$A:$A))-'Price History'!E3)*(ROW()-3)/(MATCH(9.99E+307,'Returns (Calc)'!$A:$A)-3),"")</f>
        <v>276.634339622641</v>
      </c>
      <c r="AA115" s="111" t="n">
        <f aca="false">IFERROR('Price History'!F3+(INDEX('Price History'!F:F,MATCH(9.99E+307,'Price History'!$A:$A))-'Price History'!F3)*(ROW()-3)/(MATCH(9.99E+307,'Returns (Calc)'!$A:$A)-3),"")</f>
        <v>161.063018867925</v>
      </c>
      <c r="AB115" s="111" t="n">
        <f aca="false">IFERROR('Price History'!G3+(INDEX('Price History'!G:G,MATCH(9.99E+307,'Price History'!$A:$A))-'Price History'!G3)*(ROW()-3)/(MATCH(9.99E+307,'Returns (Calc)'!$A:$A)-3),"")</f>
        <v>144.896226415094</v>
      </c>
      <c r="AC115" s="111" t="n">
        <f aca="false">IFERROR('Price History'!H3+(INDEX('Price History'!H:H,MATCH(9.99E+307,'Price History'!$A:$A))-'Price History'!H3)*(ROW()-3)/(MATCH(9.99E+307,'Returns (Calc)'!$A:$A)-3),"")</f>
        <v>735.116163522013</v>
      </c>
      <c r="AD115" s="111" t="n">
        <f aca="false">IFERROR('Price History'!I3+(INDEX('Price History'!I:I,MATCH(9.99E+307,'Price History'!$A:$A))-'Price History'!I3)*(ROW()-3)/(MATCH(9.99E+307,'Returns (Calc)'!$A:$A)-3),"")</f>
        <v>174.341320754717</v>
      </c>
      <c r="AE115" s="111" t="n">
        <f aca="false">IFERROR('Price History'!J3+(INDEX('Price History'!J:J,MATCH(9.99E+307,'Price History'!$A:$A))-'Price History'!J3)*(ROW()-3)/(MATCH(9.99E+307,'Returns (Calc)'!$A:$A)-3),"")</f>
        <v>133.251886792453</v>
      </c>
      <c r="AF115" s="111" t="n">
        <f aca="false">IFERROR('Price History'!K3+(INDEX('Price History'!K:K,MATCH(9.99E+307,'Price History'!$A:$A))-'Price History'!K3)*(ROW()-3)/(MATCH(9.99E+307,'Returns (Calc)'!$A:$A)-3),"")</f>
        <v>127.353647798742</v>
      </c>
      <c r="AG115" s="111" t="n">
        <f aca="false">IFERROR('Price History'!L3+(INDEX('Price History'!L:L,MATCH(9.99E+307,'Price History'!$A:$A))-'Price History'!L3)*(ROW()-3)/(MATCH(9.99E+307,'Returns (Calc)'!$A:$A)-3),"")</f>
        <v>329.317295597484</v>
      </c>
      <c r="AH115" s="111" t="n">
        <f aca="false">IFERROR('Price History'!M3+(INDEX('Price History'!M:M,MATCH(9.99E+307,'Price History'!$A:$A))-'Price History'!M3)*(ROW()-3)/(MATCH(9.99E+307,'Returns (Calc)'!$A:$A)-3),"")</f>
        <v>207.511509433962</v>
      </c>
      <c r="AI115" s="111" t="n">
        <f aca="false">IFERROR('Price History'!N3+(INDEX('Price History'!N:N,MATCH(9.99E+307,'Price History'!$A:$A))-'Price History'!N3)*(ROW()-3)/(MATCH(9.99E+307,'Returns (Calc)'!$A:$A)-3),"")</f>
        <v>488.106037735849</v>
      </c>
      <c r="AJ115" s="111" t="n">
        <f aca="false">IFERROR('Price History'!O3+(INDEX('Price History'!O:O,MATCH(9.99E+307,'Price History'!$A:$A))-'Price History'!O3)*(ROW()-3)/(MATCH(9.99E+307,'Returns (Calc)'!$A:$A)-3),"")</f>
        <v>113.900062893082</v>
      </c>
      <c r="AK115" s="111" t="n">
        <f aca="false">IFERROR('Price History'!Q3+(INDEX('Price History'!Q:Q,MATCH(9.99E+307,'Price History'!$A:$A))-'Price History'!Q3)*(ROW()-3)/(MATCH(9.99E+307,'Returns (Calc)'!$A:$A)-3),"")</f>
        <v>63.8435220125786</v>
      </c>
      <c r="AL115" s="111" t="n">
        <f aca="false">IFERROR('Price History'!R3+(INDEX('Price History'!R:R,MATCH(9.99E+307,'Price History'!$A:$A))-'Price History'!R3)*(ROW()-3)/(MATCH(9.99E+307,'Returns (Calc)'!$A:$A)-3),"")</f>
        <v>56.3080503144654</v>
      </c>
      <c r="AM115" s="111" t="n">
        <f aca="false">IFERROR('Price History'!S3+(INDEX('Price History'!S:S,MATCH(9.99E+307,'Price History'!$A:$A))-'Price History'!S3)*(ROW()-3)/(MATCH(9.99E+307,'Returns (Calc)'!$A:$A)-3),"")</f>
        <v>122.767421383648</v>
      </c>
      <c r="AN115" s="111" t="n">
        <f aca="false">IFERROR('Price History'!T3+(INDEX('Price History'!T:T,MATCH(9.99E+307,'Price History'!$A:$A))-'Price History'!T3)*(ROW()-3)/(MATCH(9.99E+307,'Returns (Calc)'!$A:$A)-3),"")</f>
        <v>46.9009433962264</v>
      </c>
      <c r="AO115" s="112" t="n">
        <f aca="false">IFERROR('Price History'!V3+(INDEX('Price History'!V:V,MATCH(9.99E+307,'Price History'!$A:$A))-'Price History'!V3)*(ROW()-3)/(MATCH(9.99E+307,'Returns (Calc)'!$A:$A)-3),"")</f>
        <v>264.200251572327</v>
      </c>
    </row>
    <row r="116" customFormat="false" ht="15" hidden="false" customHeight="true" outlineLevel="0" collapsed="false">
      <c r="A116" s="108" t="n">
        <f aca="false">IF('Price History'!A117="","",'Price History'!A117)</f>
        <v>45947</v>
      </c>
      <c r="B116" s="109" t="n">
        <f aca="false">IFERROR(IF(OR(NOT(ISNUMBER('Price History'!B117)),NOT(ISNUMBER('Price History'!B116)),'Price History'!B116=0),"",'Price History'!B117/'Price History'!B116-1),"")</f>
        <v>-0.0125922194897929</v>
      </c>
      <c r="C116" s="109" t="n">
        <f aca="false">IFERROR(IF(OR(NOT(ISNUMBER('Price History'!C117)),NOT(ISNUMBER('Price History'!C116)),'Price History'!C116=0),"",'Price History'!C117/'Price History'!C116-1),"")</f>
        <v>-0.0713822193380922</v>
      </c>
      <c r="D116" s="109" t="n">
        <f aca="false">IFERROR(IF(OR(NOT(ISNUMBER('Price History'!D117)),NOT(ISNUMBER('Price History'!D116)),'Price History'!D116=0),"",'Price History'!D117/'Price History'!D116-1),"")</f>
        <v>0.099424262169004</v>
      </c>
      <c r="E116" s="109" t="n">
        <f aca="false">IFERROR(IF(OR(NOT(ISNUMBER('Price History'!E117)),NOT(ISNUMBER('Price History'!E116)),'Price History'!E116=0),"",'Price History'!E117/'Price History'!E116-1),"")</f>
        <v>0.0760866216923883</v>
      </c>
      <c r="F116" s="109" t="n">
        <f aca="false">IFERROR(IF(OR(NOT(ISNUMBER('Price History'!F117)),NOT(ISNUMBER('Price History'!F116)),'Price History'!F116=0),"",'Price History'!F117/'Price History'!F116-1),"")</f>
        <v>-0.0183114568141306</v>
      </c>
      <c r="G116" s="109" t="n">
        <f aca="false">IFERROR(IF(OR(NOT(ISNUMBER('Price History'!G117)),NOT(ISNUMBER('Price History'!G116)),'Price History'!G116=0),"",'Price History'!G117/'Price History'!G116-1),"")</f>
        <v>0.126068376068376</v>
      </c>
      <c r="H116" s="109" t="n">
        <f aca="false">IFERROR(IF(OR(NOT(ISNUMBER('Price History'!H117)),NOT(ISNUMBER('Price History'!H116)),'Price History'!H116=0),"",'Price History'!H117/'Price History'!H116-1),"")</f>
        <v>0.11442731277533</v>
      </c>
      <c r="I116" s="109" t="n">
        <f aca="false">IFERROR(IF(OR(NOT(ISNUMBER('Price History'!I117)),NOT(ISNUMBER('Price History'!I116)),'Price History'!I116=0),"",'Price History'!I117/'Price History'!I116-1),"")</f>
        <v>0.000327582441581153</v>
      </c>
      <c r="J116" s="109" t="n">
        <f aca="false">IFERROR(IF(OR(NOT(ISNUMBER('Price History'!J117)),NOT(ISNUMBER('Price History'!J116)),'Price History'!J116=0),"",'Price History'!J117/'Price History'!J116-1),"")</f>
        <v>0.11552638676616</v>
      </c>
      <c r="K116" s="109" t="n">
        <f aca="false">IFERROR(IF(OR(NOT(ISNUMBER('Price History'!K117)),NOT(ISNUMBER('Price History'!K116)),'Price History'!K116=0),"",'Price History'!K117/'Price History'!K116-1),"")</f>
        <v>0.0154468764249887</v>
      </c>
      <c r="L116" s="109" t="n">
        <f aca="false">IFERROR(IF(OR(NOT(ISNUMBER('Price History'!L117)),NOT(ISNUMBER('Price History'!L116)),'Price History'!L116=0),"",'Price History'!L117/'Price History'!L116-1),"")</f>
        <v>0.0513788926102756</v>
      </c>
      <c r="M116" s="109" t="n">
        <f aca="false">IFERROR(IF(OR(NOT(ISNUMBER('Price History'!M117)),NOT(ISNUMBER('Price History'!M116)),'Price History'!M116=0),"",'Price History'!M117/'Price History'!M116-1),"")</f>
        <v>0.0295248801846044</v>
      </c>
      <c r="N116" s="109" t="n">
        <f aca="false">IFERROR(IF(OR(NOT(ISNUMBER('Price History'!N117)),NOT(ISNUMBER('Price History'!N116)),'Price History'!N116=0),"",'Price History'!N117/'Price History'!N116-1),"")</f>
        <v>0.022119228034037</v>
      </c>
      <c r="O116" s="109" t="n">
        <f aca="false">IFERROR(IF(OR(NOT(ISNUMBER('Price History'!O117)),NOT(ISNUMBER('Price History'!O116)),'Price History'!O116=0),"",'Price History'!O117/'Price History'!O116-1),"")</f>
        <v>0.0196449206849461</v>
      </c>
      <c r="P116" s="109" t="str">
        <f aca="false">IFERROR(IF(OR(NOT(ISNUMBER('Price History'!P117)),NOT(ISNUMBER('Price History'!P116)),'Price History'!P116=0),"",'Price History'!P117/'Price History'!P116-1),"")</f>
        <v/>
      </c>
      <c r="Q116" s="109" t="n">
        <f aca="false">IFERROR(IF(OR(NOT(ISNUMBER('Price History'!Q117)),NOT(ISNUMBER('Price History'!Q116)),'Price History'!Q116=0),"",'Price History'!Q117/'Price History'!Q116-1),"")</f>
        <v>0.00226586102719017</v>
      </c>
      <c r="R116" s="109" t="n">
        <f aca="false">IFERROR(IF(OR(NOT(ISNUMBER('Price History'!R117)),NOT(ISNUMBER('Price History'!R116)),'Price History'!R116=0),"",'Price History'!R117/'Price History'!R116-1),"")</f>
        <v>0.0204154091958104</v>
      </c>
      <c r="S116" s="109" t="n">
        <f aca="false">IFERROR(IF(OR(NOT(ISNUMBER('Price History'!S117)),NOT(ISNUMBER('Price History'!S116)),'Price History'!S116=0),"",'Price History'!S117/'Price History'!S116-1),"")</f>
        <v>0.0162025316455696</v>
      </c>
      <c r="T116" s="109" t="n">
        <f aca="false">IFERROR(IF(OR(NOT(ISNUMBER('Price History'!T117)),NOT(ISNUMBER('Price History'!T116)),'Price History'!T116=0),"",'Price History'!T117/'Price History'!T116-1),"")</f>
        <v>0.0139420448332424</v>
      </c>
      <c r="U116" s="109" t="str">
        <f aca="false">IFERROR(IF(OR(NOT(ISNUMBER('Price History'!U117)),NOT(ISNUMBER('Price History'!U116)),'Price History'!U116=0),"",'Price History'!U117/'Price History'!U116-1),"")</f>
        <v/>
      </c>
      <c r="V116" s="110" t="n">
        <f aca="false">IFERROR(IF(OR(NOT(ISNUMBER('Price History'!V117)),NOT(ISNUMBER('Price History'!V116)),'Price History'!V116=0),"",'Price History'!V117/'Price History'!V116-1),"")</f>
        <v>-0.00510383667722636</v>
      </c>
      <c r="W116" s="111" t="n">
        <f aca="false">IFERROR('Price History'!B3+(INDEX('Price History'!B:B,MATCH(9.99E+307,'Price History'!$A:$A))-'Price History'!B3)*(ROW()-3)/(MATCH(9.99E+307,'Returns (Calc)'!$A:$A)-3),"")</f>
        <v>336.505220125786</v>
      </c>
      <c r="X116" s="111" t="n">
        <f aca="false">IFERROR('Price History'!C3+(INDEX('Price History'!C:C,MATCH(9.99E+307,'Price History'!$A:$A))-'Price History'!C3)*(ROW()-3)/(MATCH(9.99E+307,'Returns (Calc)'!$A:$A)-3),"")</f>
        <v>150.372201257862</v>
      </c>
      <c r="Y116" s="111" t="n">
        <f aca="false">IFERROR('Price History'!D3+(INDEX('Price History'!D:D,MATCH(9.99E+307,'Price History'!$A:$A))-'Price History'!D3)*(ROW()-3)/(MATCH(9.99E+307,'Returns (Calc)'!$A:$A)-3),"")</f>
        <v>1410.20955974843</v>
      </c>
      <c r="Z116" s="111" t="n">
        <f aca="false">IFERROR('Price History'!E3+(INDEX('Price History'!E:E,MATCH(9.99E+307,'Price History'!$A:$A))-'Price History'!E3)*(ROW()-3)/(MATCH(9.99E+307,'Returns (Calc)'!$A:$A)-3),"")</f>
        <v>278.363396226415</v>
      </c>
      <c r="AA116" s="111" t="n">
        <f aca="false">IFERROR('Price History'!F3+(INDEX('Price History'!F:F,MATCH(9.99E+307,'Price History'!$A:$A))-'Price History'!F3)*(ROW()-3)/(MATCH(9.99E+307,'Returns (Calc)'!$A:$A)-3),"")</f>
        <v>162.170188679245</v>
      </c>
      <c r="AB116" s="111" t="n">
        <f aca="false">IFERROR('Price History'!G3+(INDEX('Price History'!G:G,MATCH(9.99E+307,'Price History'!$A:$A))-'Price History'!G3)*(ROW()-3)/(MATCH(9.99E+307,'Returns (Calc)'!$A:$A)-3),"")</f>
        <v>145.762264150943</v>
      </c>
      <c r="AC116" s="111" t="n">
        <f aca="false">IFERROR('Price History'!H3+(INDEX('Price History'!H:H,MATCH(9.99E+307,'Price History'!$A:$A))-'Price History'!H3)*(ROW()-3)/(MATCH(9.99E+307,'Returns (Calc)'!$A:$A)-3),"")</f>
        <v>741.104968553459</v>
      </c>
      <c r="AD116" s="111" t="n">
        <f aca="false">IFERROR('Price History'!I3+(INDEX('Price History'!I:I,MATCH(9.99E+307,'Price History'!$A:$A))-'Price History'!I3)*(ROW()-3)/(MATCH(9.99E+307,'Returns (Calc)'!$A:$A)-3),"")</f>
        <v>175.53320754717</v>
      </c>
      <c r="AE116" s="111" t="n">
        <f aca="false">IFERROR('Price History'!J3+(INDEX('Price History'!J:J,MATCH(9.99E+307,'Price History'!$A:$A))-'Price History'!J3)*(ROW()-3)/(MATCH(9.99E+307,'Returns (Calc)'!$A:$A)-3),"")</f>
        <v>133.338867924528</v>
      </c>
      <c r="AF116" s="111" t="n">
        <f aca="false">IFERROR('Price History'!K3+(INDEX('Price History'!K:K,MATCH(9.99E+307,'Price History'!$A:$A))-'Price History'!K3)*(ROW()-3)/(MATCH(9.99E+307,'Returns (Calc)'!$A:$A)-3),"")</f>
        <v>128.353144654088</v>
      </c>
      <c r="AG116" s="111" t="n">
        <f aca="false">IFERROR('Price History'!L3+(INDEX('Price History'!L:L,MATCH(9.99E+307,'Price History'!$A:$A))-'Price History'!L3)*(ROW()-3)/(MATCH(9.99E+307,'Returns (Calc)'!$A:$A)-3),"")</f>
        <v>331.436289308176</v>
      </c>
      <c r="AH116" s="111" t="n">
        <f aca="false">IFERROR('Price History'!M3+(INDEX('Price History'!M:M,MATCH(9.99E+307,'Price History'!$A:$A))-'Price History'!M3)*(ROW()-3)/(MATCH(9.99E+307,'Returns (Calc)'!$A:$A)-3),"")</f>
        <v>209.065094339623</v>
      </c>
      <c r="AI116" s="111" t="n">
        <f aca="false">IFERROR('Price History'!N3+(INDEX('Price History'!N:N,MATCH(9.99E+307,'Price History'!$A:$A))-'Price History'!N3)*(ROW()-3)/(MATCH(9.99E+307,'Returns (Calc)'!$A:$A)-3),"")</f>
        <v>489.340377358491</v>
      </c>
      <c r="AJ116" s="111" t="n">
        <f aca="false">IFERROR('Price History'!O3+(INDEX('Price History'!O:O,MATCH(9.99E+307,'Price History'!$A:$A))-'Price History'!O3)*(ROW()-3)/(MATCH(9.99E+307,'Returns (Calc)'!$A:$A)-3),"")</f>
        <v>114.177295597484</v>
      </c>
      <c r="AK116" s="111" t="n">
        <f aca="false">IFERROR('Price History'!Q3+(INDEX('Price History'!Q:Q,MATCH(9.99E+307,'Price History'!$A:$A))-'Price History'!Q3)*(ROW()-3)/(MATCH(9.99E+307,'Returns (Calc)'!$A:$A)-3),"")</f>
        <v>63.9685534591195</v>
      </c>
      <c r="AL116" s="111" t="n">
        <f aca="false">IFERROR('Price History'!R3+(INDEX('Price History'!R:R,MATCH(9.99E+307,'Price History'!$A:$A))-'Price History'!R3)*(ROW()-3)/(MATCH(9.99E+307,'Returns (Calc)'!$A:$A)-3),"")</f>
        <v>56.3838364779874</v>
      </c>
      <c r="AM116" s="111" t="n">
        <f aca="false">IFERROR('Price History'!S3+(INDEX('Price History'!S:S,MATCH(9.99E+307,'Price History'!$A:$A))-'Price History'!S3)*(ROW()-3)/(MATCH(9.99E+307,'Returns (Calc)'!$A:$A)-3),"")</f>
        <v>123.340880503145</v>
      </c>
      <c r="AN116" s="111" t="n">
        <f aca="false">IFERROR('Price History'!T3+(INDEX('Price History'!T:T,MATCH(9.99E+307,'Price History'!$A:$A))-'Price History'!T3)*(ROW()-3)/(MATCH(9.99E+307,'Returns (Calc)'!$A:$A)-3),"")</f>
        <v>47.0794339622642</v>
      </c>
      <c r="AO116" s="112" t="n">
        <f aca="false">IFERROR('Price History'!V3+(INDEX('Price History'!V:V,MATCH(9.99E+307,'Price History'!$A:$A))-'Price History'!V3)*(ROW()-3)/(MATCH(9.99E+307,'Returns (Calc)'!$A:$A)-3),"")</f>
        <v>266.559182389937</v>
      </c>
    </row>
    <row r="117" customFormat="false" ht="15" hidden="false" customHeight="true" outlineLevel="0" collapsed="false">
      <c r="A117" s="108" t="n">
        <f aca="false">IF('Price History'!A118="","",'Price History'!A118)</f>
        <v>45954</v>
      </c>
      <c r="B117" s="109" t="n">
        <f aca="false">IFERROR(IF(OR(NOT(ISNUMBER('Price History'!B118)),NOT(ISNUMBER('Price History'!B117)),'Price History'!B117=0),"",'Price History'!B118/'Price History'!B117-1),"")</f>
        <v>0.0607933745423992</v>
      </c>
      <c r="C117" s="109" t="n">
        <f aca="false">IFERROR(IF(OR(NOT(ISNUMBER('Price History'!C118)),NOT(ISNUMBER('Price History'!C117)),'Price History'!C117=0),"",'Price History'!C118/'Price History'!C117-1),"")</f>
        <v>0.0749126484975542</v>
      </c>
      <c r="D117" s="109" t="n">
        <f aca="false">IFERROR(IF(OR(NOT(ISNUMBER('Price History'!D118)),NOT(ISNUMBER('Price History'!D117)),'Price History'!D117=0),"",'Price History'!D118/'Price History'!D117-1),"")</f>
        <v>0.00372108387497927</v>
      </c>
      <c r="E117" s="109" t="n">
        <f aca="false">IFERROR(IF(OR(NOT(ISNUMBER('Price History'!E118)),NOT(ISNUMBER('Price History'!E117)),'Price History'!E117=0),"",'Price History'!E118/'Price History'!E117-1),"")</f>
        <v>0.0137405891277589</v>
      </c>
      <c r="F117" s="109" t="n">
        <f aca="false">IFERROR(IF(OR(NOT(ISNUMBER('Price History'!F118)),NOT(ISNUMBER('Price History'!F117)),'Price History'!F117=0),"",'Price History'!F118/'Price History'!F117-1),"")</f>
        <v>0.0880653681082868</v>
      </c>
      <c r="G117" s="109" t="n">
        <f aca="false">IFERROR(IF(OR(NOT(ISNUMBER('Price History'!G118)),NOT(ISNUMBER('Price History'!G117)),'Price History'!G117=0),"",'Price History'!G118/'Price History'!G117-1),"")</f>
        <v>0.0687629890665944</v>
      </c>
      <c r="H117" s="109" t="n">
        <f aca="false">IFERROR(IF(OR(NOT(ISNUMBER('Price History'!H118)),NOT(ISNUMBER('Price History'!H117)),'Price History'!H117=0),"",'Price History'!H118/'Price History'!H117-1),"")</f>
        <v>0.0822215633955925</v>
      </c>
      <c r="I117" s="109" t="n">
        <f aca="false">IFERROR(IF(OR(NOT(ISNUMBER('Price History'!I118)),NOT(ISNUMBER('Price History'!I117)),'Price History'!I117=0),"",'Price History'!I118/'Price History'!I117-1),"")</f>
        <v>0.0165920751009714</v>
      </c>
      <c r="J117" s="109" t="n">
        <f aca="false">IFERROR(IF(OR(NOT(ISNUMBER('Price History'!J118)),NOT(ISNUMBER('Price History'!J117)),'Price History'!J117=0),"",'Price History'!J118/'Price History'!J117-1),"")</f>
        <v>0.018939393939394</v>
      </c>
      <c r="K117" s="109" t="n">
        <f aca="false">IFERROR(IF(OR(NOT(ISNUMBER('Price History'!K118)),NOT(ISNUMBER('Price History'!K117)),'Price History'!K117=0),"",'Price History'!K118/'Price History'!K117-1),"")</f>
        <v>0.0363738422677518</v>
      </c>
      <c r="L117" s="109" t="n">
        <f aca="false">IFERROR(IF(OR(NOT(ISNUMBER('Price History'!L118)),NOT(ISNUMBER('Price History'!L117)),'Price History'!L117=0),"",'Price History'!L118/'Price History'!L117-1),"")</f>
        <v>-0.000406669377795876</v>
      </c>
      <c r="M117" s="109" t="n">
        <f aca="false">IFERROR(IF(OR(NOT(ISNUMBER('Price History'!M118)),NOT(ISNUMBER('Price History'!M117)),'Price History'!M117=0),"",'Price History'!M118/'Price History'!M117-1),"")</f>
        <v>0.0693103448275863</v>
      </c>
      <c r="N117" s="109" t="n">
        <f aca="false">IFERROR(IF(OR(NOT(ISNUMBER('Price History'!N118)),NOT(ISNUMBER('Price History'!N117)),'Price History'!N117=0),"",'Price History'!N118/'Price History'!N117-1),"")</f>
        <v>0.0109882200523019</v>
      </c>
      <c r="O117" s="109" t="n">
        <f aca="false">IFERROR(IF(OR(NOT(ISNUMBER('Price History'!O118)),NOT(ISNUMBER('Price History'!O117)),'Price History'!O117=0),"",'Price History'!O118/'Price History'!O117-1),"")</f>
        <v>0.0293632804450854</v>
      </c>
      <c r="P117" s="109" t="str">
        <f aca="false">IFERROR(IF(OR(NOT(ISNUMBER('Price History'!P118)),NOT(ISNUMBER('Price History'!P117)),'Price History'!P117=0),"",'Price History'!P118/'Price History'!P117-1),"")</f>
        <v/>
      </c>
      <c r="Q117" s="109" t="n">
        <f aca="false">IFERROR(IF(OR(NOT(ISNUMBER('Price History'!Q118)),NOT(ISNUMBER('Price History'!Q117)),'Price History'!Q117=0),"",'Price History'!Q118/'Price History'!Q117-1),"")</f>
        <v>-0.00120572720422008</v>
      </c>
      <c r="R117" s="109" t="n">
        <f aca="false">IFERROR(IF(OR(NOT(ISNUMBER('Price History'!R118)),NOT(ISNUMBER('Price History'!R117)),'Price History'!R117=0),"",'Price History'!R118/'Price History'!R117-1),"")</f>
        <v>0.0186151704940849</v>
      </c>
      <c r="S117" s="109" t="n">
        <f aca="false">IFERROR(IF(OR(NOT(ISNUMBER('Price History'!S118)),NOT(ISNUMBER('Price History'!S117)),'Price History'!S117=0),"",'Price History'!S118/'Price History'!S117-1),"")</f>
        <v>0.0107125062282012</v>
      </c>
      <c r="T117" s="109" t="n">
        <f aca="false">IFERROR(IF(OR(NOT(ISNUMBER('Price History'!T118)),NOT(ISNUMBER('Price History'!T117)),'Price History'!T117=0),"",'Price History'!T118/'Price History'!T117-1),"")</f>
        <v>0.0261526017794553</v>
      </c>
      <c r="U117" s="109" t="str">
        <f aca="false">IFERROR(IF(OR(NOT(ISNUMBER('Price History'!U118)),NOT(ISNUMBER('Price History'!U117)),'Price History'!U117=0),"",'Price History'!U118/'Price History'!U117-1),"")</f>
        <v/>
      </c>
      <c r="V117" s="110" t="n">
        <f aca="false">IFERROR(IF(OR(NOT(ISNUMBER('Price History'!V118)),NOT(ISNUMBER('Price History'!V117)),'Price History'!V117=0),"",'Price History'!V118/'Price History'!V117-1),"")</f>
        <v>0.0160386815260334</v>
      </c>
      <c r="W117" s="111" t="n">
        <f aca="false">IFERROR('Price History'!B3+(INDEX('Price History'!B:B,MATCH(9.99E+307,'Price History'!$A:$A))-'Price History'!B3)*(ROW()-3)/(MATCH(9.99E+307,'Returns (Calc)'!$A:$A)-3),"")</f>
        <v>334.98358490566</v>
      </c>
      <c r="X117" s="111" t="n">
        <f aca="false">IFERROR('Price History'!C3+(INDEX('Price History'!C:C,MATCH(9.99E+307,'Price History'!$A:$A))-'Price History'!C3)*(ROW()-3)/(MATCH(9.99E+307,'Returns (Calc)'!$A:$A)-3),"")</f>
        <v>151.315849056604</v>
      </c>
      <c r="Y117" s="111" t="n">
        <f aca="false">IFERROR('Price History'!D3+(INDEX('Price History'!D:D,MATCH(9.99E+307,'Price History'!$A:$A))-'Price History'!D3)*(ROW()-3)/(MATCH(9.99E+307,'Returns (Calc)'!$A:$A)-3),"")</f>
        <v>1416.83283018868</v>
      </c>
      <c r="Z117" s="111" t="n">
        <f aca="false">IFERROR('Price History'!E3+(INDEX('Price History'!E:E,MATCH(9.99E+307,'Price History'!$A:$A))-'Price History'!E3)*(ROW()-3)/(MATCH(9.99E+307,'Returns (Calc)'!$A:$A)-3),"")</f>
        <v>280.092452830189</v>
      </c>
      <c r="AA117" s="111" t="n">
        <f aca="false">IFERROR('Price History'!F3+(INDEX('Price History'!F:F,MATCH(9.99E+307,'Price History'!$A:$A))-'Price History'!F3)*(ROW()-3)/(MATCH(9.99E+307,'Returns (Calc)'!$A:$A)-3),"")</f>
        <v>163.277358490566</v>
      </c>
      <c r="AB117" s="111" t="n">
        <f aca="false">IFERROR('Price History'!G3+(INDEX('Price History'!G:G,MATCH(9.99E+307,'Price History'!$A:$A))-'Price History'!G3)*(ROW()-3)/(MATCH(9.99E+307,'Returns (Calc)'!$A:$A)-3),"")</f>
        <v>146.628301886792</v>
      </c>
      <c r="AC117" s="111" t="n">
        <f aca="false">IFERROR('Price History'!H3+(INDEX('Price History'!H:H,MATCH(9.99E+307,'Price History'!$A:$A))-'Price History'!H3)*(ROW()-3)/(MATCH(9.99E+307,'Returns (Calc)'!$A:$A)-3),"")</f>
        <v>747.093773584906</v>
      </c>
      <c r="AD117" s="111" t="n">
        <f aca="false">IFERROR('Price History'!I3+(INDEX('Price History'!I:I,MATCH(9.99E+307,'Price History'!$A:$A))-'Price History'!I3)*(ROW()-3)/(MATCH(9.99E+307,'Returns (Calc)'!$A:$A)-3),"")</f>
        <v>176.725094339623</v>
      </c>
      <c r="AE117" s="111" t="n">
        <f aca="false">IFERROR('Price History'!J3+(INDEX('Price History'!J:J,MATCH(9.99E+307,'Price History'!$A:$A))-'Price History'!J3)*(ROW()-3)/(MATCH(9.99E+307,'Returns (Calc)'!$A:$A)-3),"")</f>
        <v>133.425849056604</v>
      </c>
      <c r="AF117" s="111" t="n">
        <f aca="false">IFERROR('Price History'!K3+(INDEX('Price History'!K:K,MATCH(9.99E+307,'Price History'!$A:$A))-'Price History'!K3)*(ROW()-3)/(MATCH(9.99E+307,'Returns (Calc)'!$A:$A)-3),"")</f>
        <v>129.352641509434</v>
      </c>
      <c r="AG117" s="111" t="n">
        <f aca="false">IFERROR('Price History'!L3+(INDEX('Price History'!L:L,MATCH(9.99E+307,'Price History'!$A:$A))-'Price History'!L3)*(ROW()-3)/(MATCH(9.99E+307,'Returns (Calc)'!$A:$A)-3),"")</f>
        <v>333.555283018868</v>
      </c>
      <c r="AH117" s="111" t="n">
        <f aca="false">IFERROR('Price History'!M3+(INDEX('Price History'!M:M,MATCH(9.99E+307,'Price History'!$A:$A))-'Price History'!M3)*(ROW()-3)/(MATCH(9.99E+307,'Returns (Calc)'!$A:$A)-3),"")</f>
        <v>210.618679245283</v>
      </c>
      <c r="AI117" s="111" t="n">
        <f aca="false">IFERROR('Price History'!N3+(INDEX('Price History'!N:N,MATCH(9.99E+307,'Price History'!$A:$A))-'Price History'!N3)*(ROW()-3)/(MATCH(9.99E+307,'Returns (Calc)'!$A:$A)-3),"")</f>
        <v>490.574716981132</v>
      </c>
      <c r="AJ117" s="111" t="n">
        <f aca="false">IFERROR('Price History'!O3+(INDEX('Price History'!O:O,MATCH(9.99E+307,'Price History'!$A:$A))-'Price History'!O3)*(ROW()-3)/(MATCH(9.99E+307,'Returns (Calc)'!$A:$A)-3),"")</f>
        <v>114.454528301887</v>
      </c>
      <c r="AK117" s="111" t="n">
        <f aca="false">IFERROR('Price History'!Q3+(INDEX('Price History'!Q:Q,MATCH(9.99E+307,'Price History'!$A:$A))-'Price History'!Q3)*(ROW()-3)/(MATCH(9.99E+307,'Returns (Calc)'!$A:$A)-3),"")</f>
        <v>64.0935849056604</v>
      </c>
      <c r="AL117" s="111" t="n">
        <f aca="false">IFERROR('Price History'!R3+(INDEX('Price History'!R:R,MATCH(9.99E+307,'Price History'!$A:$A))-'Price History'!R3)*(ROW()-3)/(MATCH(9.99E+307,'Returns (Calc)'!$A:$A)-3),"")</f>
        <v>56.4596226415094</v>
      </c>
      <c r="AM117" s="111" t="n">
        <f aca="false">IFERROR('Price History'!S3+(INDEX('Price History'!S:S,MATCH(9.99E+307,'Price History'!$A:$A))-'Price History'!S3)*(ROW()-3)/(MATCH(9.99E+307,'Returns (Calc)'!$A:$A)-3),"")</f>
        <v>123.914339622642</v>
      </c>
      <c r="AN117" s="111" t="n">
        <f aca="false">IFERROR('Price History'!T3+(INDEX('Price History'!T:T,MATCH(9.99E+307,'Price History'!$A:$A))-'Price History'!T3)*(ROW()-3)/(MATCH(9.99E+307,'Returns (Calc)'!$A:$A)-3),"")</f>
        <v>47.2579245283019</v>
      </c>
      <c r="AO117" s="112" t="n">
        <f aca="false">IFERROR('Price History'!V3+(INDEX('Price History'!V:V,MATCH(9.99E+307,'Price History'!$A:$A))-'Price History'!V3)*(ROW()-3)/(MATCH(9.99E+307,'Returns (Calc)'!$A:$A)-3),"")</f>
        <v>268.918113207547</v>
      </c>
    </row>
    <row r="118" customFormat="false" ht="15" hidden="false" customHeight="true" outlineLevel="0" collapsed="false">
      <c r="A118" s="108" t="n">
        <f aca="false">IF('Price History'!A119="","",'Price History'!A119)</f>
        <v>45961</v>
      </c>
      <c r="B118" s="109" t="n">
        <f aca="false">IFERROR(IF(OR(NOT(ISNUMBER('Price History'!B119)),NOT(ISNUMBER('Price History'!B118)),'Price History'!B118=0),"",'Price History'!B119/'Price History'!B118-1),"")</f>
        <v>-0.037367051369088</v>
      </c>
      <c r="C118" s="109" t="n">
        <f aca="false">IFERROR(IF(OR(NOT(ISNUMBER('Price History'!C119)),NOT(ISNUMBER('Price History'!C118)),'Price History'!C118=0),"",'Price History'!C119/'Price History'!C118-1),"")</f>
        <v>0.0251592770771032</v>
      </c>
      <c r="D118" s="109" t="n">
        <f aca="false">IFERROR(IF(OR(NOT(ISNUMBER('Price History'!D119)),NOT(ISNUMBER('Price History'!D118)),'Price History'!D118=0),"",'Price History'!D119/'Price History'!D118-1),"")</f>
        <v>0.0252928080534316</v>
      </c>
      <c r="E118" s="109" t="n">
        <f aca="false">IFERROR(IF(OR(NOT(ISNUMBER('Price History'!E119)),NOT(ISNUMBER('Price History'!E118)),'Price History'!E118=0),"",'Price History'!E119/'Price History'!E118-1),"")</f>
        <v>0.0437692372857426</v>
      </c>
      <c r="F118" s="109" t="n">
        <f aca="false">IFERROR(IF(OR(NOT(ISNUMBER('Price History'!F119)),NOT(ISNUMBER('Price History'!F118)),'Price History'!F118=0),"",'Price History'!F119/'Price History'!F118-1),"")</f>
        <v>0.029735265114162</v>
      </c>
      <c r="G118" s="109" t="n">
        <f aca="false">IFERROR(IF(OR(NOT(ISNUMBER('Price History'!G119)),NOT(ISNUMBER('Price History'!G118)),'Price History'!G118=0),"",'Price History'!G119/'Price History'!G118-1),"")</f>
        <v>0.021897193101116</v>
      </c>
      <c r="H118" s="109" t="n">
        <f aca="false">IFERROR(IF(OR(NOT(ISNUMBER('Price History'!H119)),NOT(ISNUMBER('Price History'!H118)),'Price History'!H118=0),"",'Price History'!H119/'Price History'!H118-1),"")</f>
        <v>0.0216875171217241</v>
      </c>
      <c r="I118" s="109" t="n">
        <f aca="false">IFERROR(IF(OR(NOT(ISNUMBER('Price History'!I119)),NOT(ISNUMBER('Price History'!I118)),'Price History'!I118=0),"",'Price History'!I119/'Price History'!I118-1),"")</f>
        <v>0.0871362611403415</v>
      </c>
      <c r="J118" s="109" t="n">
        <f aca="false">IFERROR(IF(OR(NOT(ISNUMBER('Price History'!J119)),NOT(ISNUMBER('Price History'!J118)),'Price History'!J118=0),"",'Price History'!J119/'Price History'!J118-1),"")</f>
        <v>-0.0185082654433284</v>
      </c>
      <c r="K118" s="109" t="n">
        <f aca="false">IFERROR(IF(OR(NOT(ISNUMBER('Price History'!K119)),NOT(ISNUMBER('Price History'!K118)),'Price History'!K118=0),"",'Price History'!K119/'Price History'!K118-1),"")</f>
        <v>0.0857932080376971</v>
      </c>
      <c r="L118" s="109" t="n">
        <f aca="false">IFERROR(IF(OR(NOT(ISNUMBER('Price History'!L119)),NOT(ISNUMBER('Price History'!L118)),'Price History'!L118=0),"",'Price History'!L119/'Price History'!L118-1),"")</f>
        <v>0.0185448874423653</v>
      </c>
      <c r="M118" s="109" t="n">
        <f aca="false">IFERROR(IF(OR(NOT(ISNUMBER('Price History'!M119)),NOT(ISNUMBER('Price History'!M118)),'Price History'!M118=0),"",'Price History'!M119/'Price History'!M118-1),"")</f>
        <v>0.0365473503171021</v>
      </c>
      <c r="N118" s="109" t="n">
        <f aca="false">IFERROR(IF(OR(NOT(ISNUMBER('Price History'!N119)),NOT(ISNUMBER('Price History'!N118)),'Price History'!N118=0),"",'Price History'!N119/'Price History'!N118-1),"")</f>
        <v>0.00991955195899297</v>
      </c>
      <c r="O118" s="109" t="n">
        <f aca="false">IFERROR(IF(OR(NOT(ISNUMBER('Price History'!O119)),NOT(ISNUMBER('Price History'!O118)),'Price History'!O118=0),"",'Price History'!O119/'Price History'!O118-1),"")</f>
        <v>-0.0211190071063958</v>
      </c>
      <c r="P118" s="109" t="str">
        <f aca="false">IFERROR(IF(OR(NOT(ISNUMBER('Price History'!P119)),NOT(ISNUMBER('Price History'!P118)),'Price History'!P118=0),"",'Price History'!P119/'Price History'!P118-1),"")</f>
        <v/>
      </c>
      <c r="Q118" s="109" t="n">
        <f aca="false">IFERROR(IF(OR(NOT(ISNUMBER('Price History'!Q119)),NOT(ISNUMBER('Price History'!Q118)),'Price History'!Q118=0),"",'Price History'!Q119/'Price History'!Q118-1),"")</f>
        <v>0.000301795684321871</v>
      </c>
      <c r="R118" s="109" t="n">
        <f aca="false">IFERROR(IF(OR(NOT(ISNUMBER('Price History'!R119)),NOT(ISNUMBER('Price History'!R118)),'Price History'!R118=0),"",'Price History'!R119/'Price History'!R118-1),"")</f>
        <v>0.00939368061485912</v>
      </c>
      <c r="S118" s="109" t="n">
        <f aca="false">IFERROR(IF(OR(NOT(ISNUMBER('Price History'!S119)),NOT(ISNUMBER('Price History'!S118)),'Price History'!S118=0),"",'Price History'!S119/'Price History'!S118-1),"")</f>
        <v>-8.21625174594054E-005</v>
      </c>
      <c r="T118" s="109" t="n">
        <f aca="false">IFERROR(IF(OR(NOT(ISNUMBER('Price History'!T119)),NOT(ISNUMBER('Price History'!T118)),'Price History'!T118=0),"",'Price History'!T119/'Price History'!T118-1),"")</f>
        <v>-0.0063058328954283</v>
      </c>
      <c r="U118" s="109" t="str">
        <f aca="false">IFERROR(IF(OR(NOT(ISNUMBER('Price History'!U119)),NOT(ISNUMBER('Price History'!U118)),'Price History'!U118=0),"",'Price History'!U119/'Price History'!U118-1),"")</f>
        <v/>
      </c>
      <c r="V118" s="110" t="n">
        <f aca="false">IFERROR(IF(OR(NOT(ISNUMBER('Price History'!V119)),NOT(ISNUMBER('Price History'!V118)),'Price History'!V118=0),"",'Price History'!V119/'Price History'!V118-1),"")</f>
        <v>-0.0190934942835587</v>
      </c>
      <c r="W118" s="111" t="n">
        <f aca="false">IFERROR('Price History'!B3+(INDEX('Price History'!B:B,MATCH(9.99E+307,'Price History'!$A:$A))-'Price History'!B3)*(ROW()-3)/(MATCH(9.99E+307,'Returns (Calc)'!$A:$A)-3),"")</f>
        <v>333.461949685535</v>
      </c>
      <c r="X118" s="111" t="n">
        <f aca="false">IFERROR('Price History'!C3+(INDEX('Price History'!C:C,MATCH(9.99E+307,'Price History'!$A:$A))-'Price History'!C3)*(ROW()-3)/(MATCH(9.99E+307,'Returns (Calc)'!$A:$A)-3),"")</f>
        <v>152.259496855346</v>
      </c>
      <c r="Y118" s="111" t="n">
        <f aca="false">IFERROR('Price History'!D3+(INDEX('Price History'!D:D,MATCH(9.99E+307,'Price History'!$A:$A))-'Price History'!D3)*(ROW()-3)/(MATCH(9.99E+307,'Returns (Calc)'!$A:$A)-3),"")</f>
        <v>1423.45610062893</v>
      </c>
      <c r="Z118" s="111" t="n">
        <f aca="false">IFERROR('Price History'!E3+(INDEX('Price History'!E:E,MATCH(9.99E+307,'Price History'!$A:$A))-'Price History'!E3)*(ROW()-3)/(MATCH(9.99E+307,'Returns (Calc)'!$A:$A)-3),"")</f>
        <v>281.821509433962</v>
      </c>
      <c r="AA118" s="111" t="n">
        <f aca="false">IFERROR('Price History'!F3+(INDEX('Price History'!F:F,MATCH(9.99E+307,'Price History'!$A:$A))-'Price History'!F3)*(ROW()-3)/(MATCH(9.99E+307,'Returns (Calc)'!$A:$A)-3),"")</f>
        <v>164.384528301887</v>
      </c>
      <c r="AB118" s="111" t="n">
        <f aca="false">IFERROR('Price History'!G3+(INDEX('Price History'!G:G,MATCH(9.99E+307,'Price History'!$A:$A))-'Price History'!G3)*(ROW()-3)/(MATCH(9.99E+307,'Returns (Calc)'!$A:$A)-3),"")</f>
        <v>147.494339622642</v>
      </c>
      <c r="AC118" s="111" t="n">
        <f aca="false">IFERROR('Price History'!H3+(INDEX('Price History'!H:H,MATCH(9.99E+307,'Price History'!$A:$A))-'Price History'!H3)*(ROW()-3)/(MATCH(9.99E+307,'Returns (Calc)'!$A:$A)-3),"")</f>
        <v>753.082578616352</v>
      </c>
      <c r="AD118" s="111" t="n">
        <f aca="false">IFERROR('Price History'!I3+(INDEX('Price History'!I:I,MATCH(9.99E+307,'Price History'!$A:$A))-'Price History'!I3)*(ROW()-3)/(MATCH(9.99E+307,'Returns (Calc)'!$A:$A)-3),"")</f>
        <v>177.916981132075</v>
      </c>
      <c r="AE118" s="111" t="n">
        <f aca="false">IFERROR('Price History'!J3+(INDEX('Price History'!J:J,MATCH(9.99E+307,'Price History'!$A:$A))-'Price History'!J3)*(ROW()-3)/(MATCH(9.99E+307,'Returns (Calc)'!$A:$A)-3),"")</f>
        <v>133.512830188679</v>
      </c>
      <c r="AF118" s="111" t="n">
        <f aca="false">IFERROR('Price History'!K3+(INDEX('Price History'!K:K,MATCH(9.99E+307,'Price History'!$A:$A))-'Price History'!K3)*(ROW()-3)/(MATCH(9.99E+307,'Returns (Calc)'!$A:$A)-3),"")</f>
        <v>130.35213836478</v>
      </c>
      <c r="AG118" s="111" t="n">
        <f aca="false">IFERROR('Price History'!L3+(INDEX('Price History'!L:L,MATCH(9.99E+307,'Price History'!$A:$A))-'Price History'!L3)*(ROW()-3)/(MATCH(9.99E+307,'Returns (Calc)'!$A:$A)-3),"")</f>
        <v>335.67427672956</v>
      </c>
      <c r="AH118" s="111" t="n">
        <f aca="false">IFERROR('Price History'!M3+(INDEX('Price History'!M:M,MATCH(9.99E+307,'Price History'!$A:$A))-'Price History'!M3)*(ROW()-3)/(MATCH(9.99E+307,'Returns (Calc)'!$A:$A)-3),"")</f>
        <v>212.172264150943</v>
      </c>
      <c r="AI118" s="111" t="n">
        <f aca="false">IFERROR('Price History'!N3+(INDEX('Price History'!N:N,MATCH(9.99E+307,'Price History'!$A:$A))-'Price History'!N3)*(ROW()-3)/(MATCH(9.99E+307,'Returns (Calc)'!$A:$A)-3),"")</f>
        <v>491.809056603774</v>
      </c>
      <c r="AJ118" s="111" t="n">
        <f aca="false">IFERROR('Price History'!O3+(INDEX('Price History'!O:O,MATCH(9.99E+307,'Price History'!$A:$A))-'Price History'!O3)*(ROW()-3)/(MATCH(9.99E+307,'Returns (Calc)'!$A:$A)-3),"")</f>
        <v>114.731761006289</v>
      </c>
      <c r="AK118" s="111" t="n">
        <f aca="false">IFERROR('Price History'!Q3+(INDEX('Price History'!Q:Q,MATCH(9.99E+307,'Price History'!$A:$A))-'Price History'!Q3)*(ROW()-3)/(MATCH(9.99E+307,'Returns (Calc)'!$A:$A)-3),"")</f>
        <v>64.2186163522013</v>
      </c>
      <c r="AL118" s="111" t="n">
        <f aca="false">IFERROR('Price History'!R3+(INDEX('Price History'!R:R,MATCH(9.99E+307,'Price History'!$A:$A))-'Price History'!R3)*(ROW()-3)/(MATCH(9.99E+307,'Returns (Calc)'!$A:$A)-3),"")</f>
        <v>56.5354088050314</v>
      </c>
      <c r="AM118" s="111" t="n">
        <f aca="false">IFERROR('Price History'!S3+(INDEX('Price History'!S:S,MATCH(9.99E+307,'Price History'!$A:$A))-'Price History'!S3)*(ROW()-3)/(MATCH(9.99E+307,'Returns (Calc)'!$A:$A)-3),"")</f>
        <v>124.487798742138</v>
      </c>
      <c r="AN118" s="111" t="n">
        <f aca="false">IFERROR('Price History'!T3+(INDEX('Price History'!T:T,MATCH(9.99E+307,'Price History'!$A:$A))-'Price History'!T3)*(ROW()-3)/(MATCH(9.99E+307,'Returns (Calc)'!$A:$A)-3),"")</f>
        <v>47.4364150943396</v>
      </c>
      <c r="AO118" s="112" t="n">
        <f aca="false">IFERROR('Price History'!V3+(INDEX('Price History'!V:V,MATCH(9.99E+307,'Price History'!$A:$A))-'Price History'!V3)*(ROW()-3)/(MATCH(9.99E+307,'Returns (Calc)'!$A:$A)-3),"")</f>
        <v>271.277044025157</v>
      </c>
    </row>
    <row r="119" customFormat="false" ht="15" hidden="false" customHeight="true" outlineLevel="0" collapsed="false">
      <c r="A119" s="108" t="n">
        <f aca="false">IF('Price History'!A120="","",'Price History'!A120)</f>
        <v>45968</v>
      </c>
      <c r="B119" s="109" t="n">
        <f aca="false">IFERROR(IF(OR(NOT(ISNUMBER('Price History'!B120)),NOT(ISNUMBER('Price History'!B119)),'Price History'!B119=0),"",'Price History'!B120/'Price History'!B119-1),"")</f>
        <v>-0.0392583232934678</v>
      </c>
      <c r="C119" s="109" t="n">
        <f aca="false">IFERROR(IF(OR(NOT(ISNUMBER('Price History'!C120)),NOT(ISNUMBER('Price History'!C119)),'Price History'!C119=0),"",'Price History'!C120/'Price History'!C119-1),"")</f>
        <v>-0.146109455260321</v>
      </c>
      <c r="D119" s="109" t="n">
        <f aca="false">IFERROR(IF(OR(NOT(ISNUMBER('Price History'!D120)),NOT(ISNUMBER('Price History'!D119)),'Price History'!D119=0),"",'Price History'!D120/'Price History'!D119-1),"")</f>
        <v>-0.0399063470634329</v>
      </c>
      <c r="E119" s="109" t="n">
        <f aca="false">IFERROR(IF(OR(NOT(ISNUMBER('Price History'!E120)),NOT(ISNUMBER('Price History'!E119)),'Price History'!E119=0),"",'Price History'!E120/'Price History'!E119-1),"")</f>
        <v>-0.054649243838433</v>
      </c>
      <c r="F119" s="109" t="n">
        <f aca="false">IFERROR(IF(OR(NOT(ISNUMBER('Price History'!F120)),NOT(ISNUMBER('Price History'!F119)),'Price History'!F119=0),"",'Price History'!F120/'Price History'!F119-1),"")</f>
        <v>-0.00589318600368327</v>
      </c>
      <c r="G119" s="109" t="n">
        <f aca="false">IFERROR(IF(OR(NOT(ISNUMBER('Price History'!G120)),NOT(ISNUMBER('Price History'!G119)),'Price History'!G119=0),"",'Price History'!G120/'Price History'!G119-1),"")</f>
        <v>-0.0126582278481012</v>
      </c>
      <c r="H119" s="109" t="n">
        <f aca="false">IFERROR(IF(OR(NOT(ISNUMBER('Price History'!H120)),NOT(ISNUMBER('Price History'!H119)),'Price History'!H119=0),"",'Price History'!H120/'Price History'!H119-1),"")</f>
        <v>0.0632345712115117</v>
      </c>
      <c r="I119" s="109" t="n">
        <f aca="false">IFERROR(IF(OR(NOT(ISNUMBER('Price History'!I120)),NOT(ISNUMBER('Price History'!I119)),'Price History'!I119=0),"",'Price History'!I120/'Price History'!I119-1),"")</f>
        <v>-0.0708183120154082</v>
      </c>
      <c r="J119" s="109" t="n">
        <f aca="false">IFERROR(IF(OR(NOT(ISNUMBER('Price History'!J120)),NOT(ISNUMBER('Price History'!J119)),'Price History'!J119=0),"",'Price History'!J120/'Price History'!J119-1),"")</f>
        <v>0.0121685873156578</v>
      </c>
      <c r="K119" s="109" t="n">
        <f aca="false">IFERROR(IF(OR(NOT(ISNUMBER('Price History'!K120)),NOT(ISNUMBER('Price History'!K119)),'Price History'!K119=0),"",'Price History'!K120/'Price History'!K119-1),"")</f>
        <v>-0.112435775926573</v>
      </c>
      <c r="L119" s="109" t="n">
        <f aca="false">IFERROR(IF(OR(NOT(ISNUMBER('Price History'!L120)),NOT(ISNUMBER('Price History'!L119)),'Price History'!L119=0),"",'Price History'!L120/'Price History'!L119-1),"")</f>
        <v>-0.0463668741470559</v>
      </c>
      <c r="M119" s="109" t="n">
        <f aca="false">IFERROR(IF(OR(NOT(ISNUMBER('Price History'!M120)),NOT(ISNUMBER('Price History'!M119)),'Price History'!M119=0),"",'Price History'!M120/'Price History'!M119-1),"")</f>
        <v>-0.0677175152960697</v>
      </c>
      <c r="N119" s="109" t="n">
        <f aca="false">IFERROR(IF(OR(NOT(ISNUMBER('Price History'!N120)),NOT(ISNUMBER('Price History'!N119)),'Price History'!N119=0),"",'Price History'!N120/'Price History'!N119-1),"")</f>
        <v>-0.0378316140705406</v>
      </c>
      <c r="O119" s="109" t="n">
        <f aca="false">IFERROR(IF(OR(NOT(ISNUMBER('Price History'!O120)),NOT(ISNUMBER('Price History'!O119)),'Price History'!O119=0),"",'Price History'!O120/'Price History'!O119-1),"")</f>
        <v>-0.000613496932515334</v>
      </c>
      <c r="P119" s="109" t="str">
        <f aca="false">IFERROR(IF(OR(NOT(ISNUMBER('Price History'!P120)),NOT(ISNUMBER('Price History'!P119)),'Price History'!P119=0),"",'Price History'!P120/'Price History'!P119-1),"")</f>
        <v/>
      </c>
      <c r="Q119" s="109" t="n">
        <f aca="false">IFERROR(IF(OR(NOT(ISNUMBER('Price History'!Q120)),NOT(ISNUMBER('Price History'!Q119)),'Price History'!Q119=0),"",'Price History'!Q120/'Price History'!Q119-1),"")</f>
        <v>0.0107105144063961</v>
      </c>
      <c r="R119" s="109" t="n">
        <f aca="false">IFERROR(IF(OR(NOT(ISNUMBER('Price History'!R120)),NOT(ISNUMBER('Price History'!R119)),'Price History'!R119=0),"",'Price History'!R120/'Price History'!R119-1),"")</f>
        <v>-0.0235194585448393</v>
      </c>
      <c r="S119" s="109" t="n">
        <f aca="false">IFERROR(IF(OR(NOT(ISNUMBER('Price History'!S120)),NOT(ISNUMBER('Price History'!S119)),'Price History'!S119=0),"",'Price History'!S120/'Price History'!S119-1),"")</f>
        <v>-0.0260476581758422</v>
      </c>
      <c r="T119" s="109" t="n">
        <f aca="false">IFERROR(IF(OR(NOT(ISNUMBER('Price History'!T120)),NOT(ISNUMBER('Price History'!T119)),'Price History'!T119=0),"",'Price History'!T120/'Price History'!T119-1),"")</f>
        <v>0.00158646218931779</v>
      </c>
      <c r="U119" s="109" t="str">
        <f aca="false">IFERROR(IF(OR(NOT(ISNUMBER('Price History'!U120)),NOT(ISNUMBER('Price History'!U119)),'Price History'!U119=0),"",'Price History'!U120/'Price History'!U119-1),"")</f>
        <v/>
      </c>
      <c r="V119" s="110" t="n">
        <f aca="false">IFERROR(IF(OR(NOT(ISNUMBER('Price History'!V120)),NOT(ISNUMBER('Price History'!V119)),'Price History'!V119=0),"",'Price History'!V120/'Price History'!V119-1),"")</f>
        <v>-0.0138740977399124</v>
      </c>
      <c r="W119" s="111" t="n">
        <f aca="false">IFERROR('Price History'!B3+(INDEX('Price History'!B:B,MATCH(9.99E+307,'Price History'!$A:$A))-'Price History'!B3)*(ROW()-3)/(MATCH(9.99E+307,'Returns (Calc)'!$A:$A)-3),"")</f>
        <v>331.940314465409</v>
      </c>
      <c r="X119" s="111" t="n">
        <f aca="false">IFERROR('Price History'!C3+(INDEX('Price History'!C:C,MATCH(9.99E+307,'Price History'!$A:$A))-'Price History'!C3)*(ROW()-3)/(MATCH(9.99E+307,'Returns (Calc)'!$A:$A)-3),"")</f>
        <v>153.203144654088</v>
      </c>
      <c r="Y119" s="111" t="n">
        <f aca="false">IFERROR('Price History'!D3+(INDEX('Price History'!D:D,MATCH(9.99E+307,'Price History'!$A:$A))-'Price History'!D3)*(ROW()-3)/(MATCH(9.99E+307,'Returns (Calc)'!$A:$A)-3),"")</f>
        <v>1430.07937106918</v>
      </c>
      <c r="Z119" s="111" t="n">
        <f aca="false">IFERROR('Price History'!E3+(INDEX('Price History'!E:E,MATCH(9.99E+307,'Price History'!$A:$A))-'Price History'!E3)*(ROW()-3)/(MATCH(9.99E+307,'Returns (Calc)'!$A:$A)-3),"")</f>
        <v>283.550566037736</v>
      </c>
      <c r="AA119" s="111" t="n">
        <f aca="false">IFERROR('Price History'!F3+(INDEX('Price History'!F:F,MATCH(9.99E+307,'Price History'!$A:$A))-'Price History'!F3)*(ROW()-3)/(MATCH(9.99E+307,'Returns (Calc)'!$A:$A)-3),"")</f>
        <v>165.491698113208</v>
      </c>
      <c r="AB119" s="111" t="n">
        <f aca="false">IFERROR('Price History'!G3+(INDEX('Price History'!G:G,MATCH(9.99E+307,'Price History'!$A:$A))-'Price History'!G3)*(ROW()-3)/(MATCH(9.99E+307,'Returns (Calc)'!$A:$A)-3),"")</f>
        <v>148.360377358491</v>
      </c>
      <c r="AC119" s="111" t="n">
        <f aca="false">IFERROR('Price History'!H3+(INDEX('Price History'!H:H,MATCH(9.99E+307,'Price History'!$A:$A))-'Price History'!H3)*(ROW()-3)/(MATCH(9.99E+307,'Returns (Calc)'!$A:$A)-3),"")</f>
        <v>759.071383647799</v>
      </c>
      <c r="AD119" s="111" t="n">
        <f aca="false">IFERROR('Price History'!I3+(INDEX('Price History'!I:I,MATCH(9.99E+307,'Price History'!$A:$A))-'Price History'!I3)*(ROW()-3)/(MATCH(9.99E+307,'Returns (Calc)'!$A:$A)-3),"")</f>
        <v>179.108867924528</v>
      </c>
      <c r="AE119" s="111" t="n">
        <f aca="false">IFERROR('Price History'!J3+(INDEX('Price History'!J:J,MATCH(9.99E+307,'Price History'!$A:$A))-'Price History'!J3)*(ROW()-3)/(MATCH(9.99E+307,'Returns (Calc)'!$A:$A)-3),"")</f>
        <v>133.599811320755</v>
      </c>
      <c r="AF119" s="111" t="n">
        <f aca="false">IFERROR('Price History'!K3+(INDEX('Price History'!K:K,MATCH(9.99E+307,'Price History'!$A:$A))-'Price History'!K3)*(ROW()-3)/(MATCH(9.99E+307,'Returns (Calc)'!$A:$A)-3),"")</f>
        <v>131.351635220126</v>
      </c>
      <c r="AG119" s="111" t="n">
        <f aca="false">IFERROR('Price History'!L3+(INDEX('Price History'!L:L,MATCH(9.99E+307,'Price History'!$A:$A))-'Price History'!L3)*(ROW()-3)/(MATCH(9.99E+307,'Returns (Calc)'!$A:$A)-3),"")</f>
        <v>337.793270440252</v>
      </c>
      <c r="AH119" s="111" t="n">
        <f aca="false">IFERROR('Price History'!M3+(INDEX('Price History'!M:M,MATCH(9.99E+307,'Price History'!$A:$A))-'Price History'!M3)*(ROW()-3)/(MATCH(9.99E+307,'Returns (Calc)'!$A:$A)-3),"")</f>
        <v>213.725849056604</v>
      </c>
      <c r="AI119" s="111" t="n">
        <f aca="false">IFERROR('Price History'!N3+(INDEX('Price History'!N:N,MATCH(9.99E+307,'Price History'!$A:$A))-'Price History'!N3)*(ROW()-3)/(MATCH(9.99E+307,'Returns (Calc)'!$A:$A)-3),"")</f>
        <v>493.043396226415</v>
      </c>
      <c r="AJ119" s="111" t="n">
        <f aca="false">IFERROR('Price History'!O3+(INDEX('Price History'!O:O,MATCH(9.99E+307,'Price History'!$A:$A))-'Price History'!O3)*(ROW()-3)/(MATCH(9.99E+307,'Returns (Calc)'!$A:$A)-3),"")</f>
        <v>115.008993710692</v>
      </c>
      <c r="AK119" s="111" t="n">
        <f aca="false">IFERROR('Price History'!Q3+(INDEX('Price History'!Q:Q,MATCH(9.99E+307,'Price History'!$A:$A))-'Price History'!Q3)*(ROW()-3)/(MATCH(9.99E+307,'Returns (Calc)'!$A:$A)-3),"")</f>
        <v>64.3436477987421</v>
      </c>
      <c r="AL119" s="111" t="n">
        <f aca="false">IFERROR('Price History'!R3+(INDEX('Price History'!R:R,MATCH(9.99E+307,'Price History'!$A:$A))-'Price History'!R3)*(ROW()-3)/(MATCH(9.99E+307,'Returns (Calc)'!$A:$A)-3),"")</f>
        <v>56.6111949685535</v>
      </c>
      <c r="AM119" s="111" t="n">
        <f aca="false">IFERROR('Price History'!S3+(INDEX('Price History'!S:S,MATCH(9.99E+307,'Price History'!$A:$A))-'Price History'!S3)*(ROW()-3)/(MATCH(9.99E+307,'Returns (Calc)'!$A:$A)-3),"")</f>
        <v>125.061257861635</v>
      </c>
      <c r="AN119" s="111" t="n">
        <f aca="false">IFERROR('Price History'!T3+(INDEX('Price History'!T:T,MATCH(9.99E+307,'Price History'!$A:$A))-'Price History'!T3)*(ROW()-3)/(MATCH(9.99E+307,'Returns (Calc)'!$A:$A)-3),"")</f>
        <v>47.6149056603774</v>
      </c>
      <c r="AO119" s="112" t="n">
        <f aca="false">IFERROR('Price History'!V3+(INDEX('Price History'!V:V,MATCH(9.99E+307,'Price History'!$A:$A))-'Price History'!V3)*(ROW()-3)/(MATCH(9.99E+307,'Returns (Calc)'!$A:$A)-3),"")</f>
        <v>273.635974842767</v>
      </c>
    </row>
    <row r="120" customFormat="false" ht="15" hidden="false" customHeight="true" outlineLevel="0" collapsed="false">
      <c r="A120" s="108" t="n">
        <f aca="false">IF('Price History'!A121="","",'Price History'!A121)</f>
        <v>45975</v>
      </c>
      <c r="B120" s="109" t="n">
        <f aca="false">IFERROR(IF(OR(NOT(ISNUMBER('Price History'!B121)),NOT(ISNUMBER('Price History'!B120)),'Price History'!B120=0),"",'Price History'!B121/'Price History'!B120-1),"")</f>
        <v>0.0127236580516898</v>
      </c>
      <c r="C120" s="109" t="n">
        <f aca="false">IFERROR(IF(OR(NOT(ISNUMBER('Price History'!C121)),NOT(ISNUMBER('Price History'!C120)),'Price History'!C120=0),"",'Price History'!C121/'Price History'!C120-1),"")</f>
        <v>-0.024359450427033</v>
      </c>
      <c r="D120" s="109" t="n">
        <f aca="false">IFERROR(IF(OR(NOT(ISNUMBER('Price History'!D121)),NOT(ISNUMBER('Price History'!D120)),'Price History'!D120=0),"",'Price History'!D121/'Price History'!D120-1),"")</f>
        <v>-0.00981356198867212</v>
      </c>
      <c r="E120" s="109" t="n">
        <f aca="false">IFERROR(IF(OR(NOT(ISNUMBER('Price History'!E121)),NOT(ISNUMBER('Price History'!E120)),'Price History'!E120=0),"",'Price History'!E121/'Price History'!E120-1),"")</f>
        <v>-0.0199467704547407</v>
      </c>
      <c r="F120" s="109" t="n">
        <f aca="false">IFERROR(IF(OR(NOT(ISNUMBER('Price History'!F121)),NOT(ISNUMBER('Price History'!F120)),'Price History'!F120=0),"",'Price History'!F121/'Price History'!F120-1),"")</f>
        <v>-0.00414968506854396</v>
      </c>
      <c r="G120" s="109" t="n">
        <f aca="false">IFERROR(IF(OR(NOT(ISNUMBER('Price History'!G121)),NOT(ISNUMBER('Price History'!G120)),'Price History'!G120=0),"",'Price History'!G121/'Price History'!G120-1),"")</f>
        <v>-0.0495223730517848</v>
      </c>
      <c r="H120" s="109" t="n">
        <f aca="false">IFERROR(IF(OR(NOT(ISNUMBER('Price History'!H121)),NOT(ISNUMBER('Price History'!H120)),'Price History'!H120=0),"",'Price History'!H121/'Price History'!H120-1),"")</f>
        <v>0.0374495628782785</v>
      </c>
      <c r="I120" s="109" t="n">
        <f aca="false">IFERROR(IF(OR(NOT(ISNUMBER('Price History'!I121)),NOT(ISNUMBER('Price History'!I120)),'Price History'!I120=0),"",'Price History'!I121/'Price History'!I120-1),"")</f>
        <v>0.0107361148020195</v>
      </c>
      <c r="J120" s="109" t="n">
        <f aca="false">IFERROR(IF(OR(NOT(ISNUMBER('Price History'!J121)),NOT(ISNUMBER('Price History'!J120)),'Price History'!J120=0),"",'Price History'!J121/'Price History'!J120-1),"")</f>
        <v>-0.0220541401273885</v>
      </c>
      <c r="K120" s="109" t="n">
        <f aca="false">IFERROR(IF(OR(NOT(ISNUMBER('Price History'!K121)),NOT(ISNUMBER('Price History'!K120)),'Price History'!K120=0),"",'Price History'!K121/'Price History'!K120-1),"")</f>
        <v>-0.0220311358399371</v>
      </c>
      <c r="L120" s="109" t="n">
        <f aca="false">IFERROR(IF(OR(NOT(ISNUMBER('Price History'!L121)),NOT(ISNUMBER('Price History'!L120)),'Price History'!L120=0),"",'Price History'!L121/'Price History'!L120-1),"")</f>
        <v>-0.0058638743455498</v>
      </c>
      <c r="M120" s="109" t="n">
        <f aca="false">IFERROR(IF(OR(NOT(ISNUMBER('Price History'!M121)),NOT(ISNUMBER('Price History'!M120)),'Price History'!M120=0),"",'Price History'!M121/'Price History'!M120-1),"")</f>
        <v>-0.0491101223581758</v>
      </c>
      <c r="N120" s="109" t="n">
        <f aca="false">IFERROR(IF(OR(NOT(ISNUMBER('Price History'!N121)),NOT(ISNUMBER('Price History'!N120)),'Price History'!N120=0),"",'Price History'!N121/'Price History'!N120-1),"")</f>
        <v>0.0675995799448066</v>
      </c>
      <c r="O120" s="109" t="n">
        <f aca="false">IFERROR(IF(OR(NOT(ISNUMBER('Price History'!O121)),NOT(ISNUMBER('Price History'!O120)),'Price History'!O120=0),"",'Price History'!O121/'Price History'!O120-1),"")</f>
        <v>-0.00153468385512578</v>
      </c>
      <c r="P120" s="109" t="str">
        <f aca="false">IFERROR(IF(OR(NOT(ISNUMBER('Price History'!P121)),NOT(ISNUMBER('Price History'!P120)),'Price History'!P120=0),"",'Price History'!P121/'Price History'!P120-1),"")</f>
        <v/>
      </c>
      <c r="Q120" s="109" t="n">
        <f aca="false">IFERROR(IF(OR(NOT(ISNUMBER('Price History'!Q121)),NOT(ISNUMBER('Price History'!Q120)),'Price History'!Q120=0),"",'Price History'!Q121/'Price History'!Q120-1),"")</f>
        <v>-0.00835820895522388</v>
      </c>
      <c r="R120" s="109" t="n">
        <f aca="false">IFERROR(IF(OR(NOT(ISNUMBER('Price History'!R121)),NOT(ISNUMBER('Price History'!R120)),'Price History'!R120=0),"",'Price History'!R121/'Price History'!R120-1),"")</f>
        <v>0.00190608213481203</v>
      </c>
      <c r="S120" s="109" t="n">
        <f aca="false">IFERROR(IF(OR(NOT(ISNUMBER('Price History'!S121)),NOT(ISNUMBER('Price History'!S120)),'Price History'!S120=0),"",'Price History'!S121/'Price History'!S120-1),"")</f>
        <v>-0.00590567788745466</v>
      </c>
      <c r="T120" s="109" t="n">
        <f aca="false">IFERROR(IF(OR(NOT(ISNUMBER('Price History'!T121)),NOT(ISNUMBER('Price History'!T120)),'Price History'!T120=0),"",'Price History'!T121/'Price History'!T120-1),"")</f>
        <v>0.0110876451953537</v>
      </c>
      <c r="U120" s="109" t="str">
        <f aca="false">IFERROR(IF(OR(NOT(ISNUMBER('Price History'!U121)),NOT(ISNUMBER('Price History'!U120)),'Price History'!U120=0),"",'Price History'!U121/'Price History'!U120-1),"")</f>
        <v/>
      </c>
      <c r="V120" s="110" t="n">
        <f aca="false">IFERROR(IF(OR(NOT(ISNUMBER('Price History'!V121)),NOT(ISNUMBER('Price History'!V120)),'Price History'!V120=0),"",'Price History'!V121/'Price History'!V120-1),"")</f>
        <v>-0.0158992050397481</v>
      </c>
      <c r="W120" s="111" t="n">
        <f aca="false">IFERROR('Price History'!B3+(INDEX('Price History'!B:B,MATCH(9.99E+307,'Price History'!$A:$A))-'Price History'!B3)*(ROW()-3)/(MATCH(9.99E+307,'Returns (Calc)'!$A:$A)-3),"")</f>
        <v>330.418679245283</v>
      </c>
      <c r="X120" s="111" t="n">
        <f aca="false">IFERROR('Price History'!C3+(INDEX('Price History'!C:C,MATCH(9.99E+307,'Price History'!$A:$A))-'Price History'!C3)*(ROW()-3)/(MATCH(9.99E+307,'Returns (Calc)'!$A:$A)-3),"")</f>
        <v>154.14679245283</v>
      </c>
      <c r="Y120" s="111" t="n">
        <f aca="false">IFERROR('Price History'!D3+(INDEX('Price History'!D:D,MATCH(9.99E+307,'Price History'!$A:$A))-'Price History'!D3)*(ROW()-3)/(MATCH(9.99E+307,'Returns (Calc)'!$A:$A)-3),"")</f>
        <v>1436.70264150943</v>
      </c>
      <c r="Z120" s="111" t="n">
        <f aca="false">IFERROR('Price History'!E3+(INDEX('Price History'!E:E,MATCH(9.99E+307,'Price History'!$A:$A))-'Price History'!E3)*(ROW()-3)/(MATCH(9.99E+307,'Returns (Calc)'!$A:$A)-3),"")</f>
        <v>285.279622641509</v>
      </c>
      <c r="AA120" s="111" t="n">
        <f aca="false">IFERROR('Price History'!F3+(INDEX('Price History'!F:F,MATCH(9.99E+307,'Price History'!$A:$A))-'Price History'!F3)*(ROW()-3)/(MATCH(9.99E+307,'Returns (Calc)'!$A:$A)-3),"")</f>
        <v>166.598867924528</v>
      </c>
      <c r="AB120" s="111" t="n">
        <f aca="false">IFERROR('Price History'!G3+(INDEX('Price History'!G:G,MATCH(9.99E+307,'Price History'!$A:$A))-'Price History'!G3)*(ROW()-3)/(MATCH(9.99E+307,'Returns (Calc)'!$A:$A)-3),"")</f>
        <v>149.22641509434</v>
      </c>
      <c r="AC120" s="111" t="n">
        <f aca="false">IFERROR('Price History'!H3+(INDEX('Price History'!H:H,MATCH(9.99E+307,'Price History'!$A:$A))-'Price History'!H3)*(ROW()-3)/(MATCH(9.99E+307,'Returns (Calc)'!$A:$A)-3),"")</f>
        <v>765.060188679245</v>
      </c>
      <c r="AD120" s="111" t="n">
        <f aca="false">IFERROR('Price History'!I3+(INDEX('Price History'!I:I,MATCH(9.99E+307,'Price History'!$A:$A))-'Price History'!I3)*(ROW()-3)/(MATCH(9.99E+307,'Returns (Calc)'!$A:$A)-3),"")</f>
        <v>180.300754716981</v>
      </c>
      <c r="AE120" s="111" t="n">
        <f aca="false">IFERROR('Price History'!J3+(INDEX('Price History'!J:J,MATCH(9.99E+307,'Price History'!$A:$A))-'Price History'!J3)*(ROW()-3)/(MATCH(9.99E+307,'Returns (Calc)'!$A:$A)-3),"")</f>
        <v>133.68679245283</v>
      </c>
      <c r="AF120" s="111" t="n">
        <f aca="false">IFERROR('Price History'!K3+(INDEX('Price History'!K:K,MATCH(9.99E+307,'Price History'!$A:$A))-'Price History'!K3)*(ROW()-3)/(MATCH(9.99E+307,'Returns (Calc)'!$A:$A)-3),"")</f>
        <v>132.351132075472</v>
      </c>
      <c r="AG120" s="111" t="n">
        <f aca="false">IFERROR('Price History'!L3+(INDEX('Price History'!L:L,MATCH(9.99E+307,'Price History'!$A:$A))-'Price History'!L3)*(ROW()-3)/(MATCH(9.99E+307,'Returns (Calc)'!$A:$A)-3),"")</f>
        <v>339.912264150943</v>
      </c>
      <c r="AH120" s="111" t="n">
        <f aca="false">IFERROR('Price History'!M3+(INDEX('Price History'!M:M,MATCH(9.99E+307,'Price History'!$A:$A))-'Price History'!M3)*(ROW()-3)/(MATCH(9.99E+307,'Returns (Calc)'!$A:$A)-3),"")</f>
        <v>215.279433962264</v>
      </c>
      <c r="AI120" s="111" t="n">
        <f aca="false">IFERROR('Price History'!N3+(INDEX('Price History'!N:N,MATCH(9.99E+307,'Price History'!$A:$A))-'Price History'!N3)*(ROW()-3)/(MATCH(9.99E+307,'Returns (Calc)'!$A:$A)-3),"")</f>
        <v>494.277735849057</v>
      </c>
      <c r="AJ120" s="111" t="n">
        <f aca="false">IFERROR('Price History'!O3+(INDEX('Price History'!O:O,MATCH(9.99E+307,'Price History'!$A:$A))-'Price History'!O3)*(ROW()-3)/(MATCH(9.99E+307,'Returns (Calc)'!$A:$A)-3),"")</f>
        <v>115.286226415094</v>
      </c>
      <c r="AK120" s="111" t="n">
        <f aca="false">IFERROR('Price History'!Q3+(INDEX('Price History'!Q:Q,MATCH(9.99E+307,'Price History'!$A:$A))-'Price History'!Q3)*(ROW()-3)/(MATCH(9.99E+307,'Returns (Calc)'!$A:$A)-3),"")</f>
        <v>64.468679245283</v>
      </c>
      <c r="AL120" s="111" t="n">
        <f aca="false">IFERROR('Price History'!R3+(INDEX('Price History'!R:R,MATCH(9.99E+307,'Price History'!$A:$A))-'Price History'!R3)*(ROW()-3)/(MATCH(9.99E+307,'Returns (Calc)'!$A:$A)-3),"")</f>
        <v>56.6869811320755</v>
      </c>
      <c r="AM120" s="111" t="n">
        <f aca="false">IFERROR('Price History'!S3+(INDEX('Price History'!S:S,MATCH(9.99E+307,'Price History'!$A:$A))-'Price History'!S3)*(ROW()-3)/(MATCH(9.99E+307,'Returns (Calc)'!$A:$A)-3),"")</f>
        <v>125.634716981132</v>
      </c>
      <c r="AN120" s="111" t="n">
        <f aca="false">IFERROR('Price History'!T3+(INDEX('Price History'!T:T,MATCH(9.99E+307,'Price History'!$A:$A))-'Price History'!T3)*(ROW()-3)/(MATCH(9.99E+307,'Returns (Calc)'!$A:$A)-3),"")</f>
        <v>47.7933962264151</v>
      </c>
      <c r="AO120" s="112" t="n">
        <f aca="false">IFERROR('Price History'!V3+(INDEX('Price History'!V:V,MATCH(9.99E+307,'Price History'!$A:$A))-'Price History'!V3)*(ROW()-3)/(MATCH(9.99E+307,'Returns (Calc)'!$A:$A)-3),"")</f>
        <v>275.994905660377</v>
      </c>
    </row>
    <row r="121" customFormat="false" ht="15" hidden="false" customHeight="true" outlineLevel="0" collapsed="false">
      <c r="A121" s="108" t="n">
        <f aca="false">IF('Price History'!A122="","",'Price History'!A122)</f>
        <v>45982</v>
      </c>
      <c r="B121" s="109" t="n">
        <f aca="false">IFERROR(IF(OR(NOT(ISNUMBER('Price History'!B122)),NOT(ISNUMBER('Price History'!B121)),'Price History'!B121=0),"",'Price History'!B122/'Price History'!B121-1),"")</f>
        <v>-0.0208993989912718</v>
      </c>
      <c r="C121" s="109" t="n">
        <f aca="false">IFERROR(IF(OR(NOT(ISNUMBER('Price History'!C122)),NOT(ISNUMBER('Price History'!C121)),'Price History'!C121=0),"",'Price History'!C122/'Price History'!C121-1),"")</f>
        <v>-0.106112506660577</v>
      </c>
      <c r="D121" s="109" t="n">
        <f aca="false">IFERROR(IF(OR(NOT(ISNUMBER('Price History'!D122)),NOT(ISNUMBER('Price History'!D121)),'Price History'!D121=0),"",'Price History'!D122/'Price History'!D121-1),"")</f>
        <v>-0.0401298933444557</v>
      </c>
      <c r="E121" s="109" t="n">
        <f aca="false">IFERROR(IF(OR(NOT(ISNUMBER('Price History'!E122)),NOT(ISNUMBER('Price History'!E121)),'Price History'!E121=0),"",'Price History'!E122/'Price History'!E121-1),"")</f>
        <v>-0.00659931086842258</v>
      </c>
      <c r="F121" s="109" t="n">
        <f aca="false">IFERROR(IF(OR(NOT(ISNUMBER('Price History'!F122)),NOT(ISNUMBER('Price History'!F121)),'Price History'!F121=0),"",'Price History'!F122/'Price History'!F121-1),"")</f>
        <v>-0.0872088697075675</v>
      </c>
      <c r="G121" s="109" t="n">
        <f aca="false">IFERROR(IF(OR(NOT(ISNUMBER('Price History'!G122)),NOT(ISNUMBER('Price History'!G121)),'Price History'!G121=0),"",'Price History'!G122/'Price History'!G121-1),"")</f>
        <v>-0.0327955567310236</v>
      </c>
      <c r="H121" s="109" t="n">
        <f aca="false">IFERROR(IF(OR(NOT(ISNUMBER('Price History'!H122)),NOT(ISNUMBER('Price History'!H121)),'Price History'!H121=0),"",'Price History'!H122/'Price History'!H121-1),"")</f>
        <v>-0.159867115018434</v>
      </c>
      <c r="I121" s="109" t="n">
        <f aca="false">IFERROR(IF(OR(NOT(ISNUMBER('Price History'!I122)),NOT(ISNUMBER('Price History'!I121)),'Price History'!I121=0),"",'Price History'!I122/'Price History'!I121-1),"")</f>
        <v>-0.0593679339538308</v>
      </c>
      <c r="J121" s="109" t="n">
        <f aca="false">IFERROR(IF(OR(NOT(ISNUMBER('Price History'!J122)),NOT(ISNUMBER('Price History'!J121)),'Price History'!J121=0),"",'Price History'!J122/'Price History'!J121-1),"")</f>
        <v>0.0240983473092893</v>
      </c>
      <c r="K121" s="109" t="n">
        <f aca="false">IFERROR(IF(OR(NOT(ISNUMBER('Price History'!K122)),NOT(ISNUMBER('Price History'!K121)),'Price History'!K121=0),"",'Price History'!K122/'Price History'!K121-1),"")</f>
        <v>-0.110108614447446</v>
      </c>
      <c r="L121" s="109" t="n">
        <f aca="false">IFERROR(IF(OR(NOT(ISNUMBER('Price History'!L122)),NOT(ISNUMBER('Price History'!L121)),'Price History'!L121=0),"",'Price History'!L122/'Price History'!L121-1),"")</f>
        <v>-0.0342672565128853</v>
      </c>
      <c r="M121" s="109" t="n">
        <f aca="false">IFERROR(IF(OR(NOT(ISNUMBER('Price History'!M122)),NOT(ISNUMBER('Price History'!M121)),'Price History'!M121=0),"",'Price History'!M122/'Price History'!M121-1),"")</f>
        <v>-0.065157629993566</v>
      </c>
      <c r="N121" s="109" t="n">
        <f aca="false">IFERROR(IF(OR(NOT(ISNUMBER('Price History'!N122)),NOT(ISNUMBER('Price History'!N121)),'Price History'!N121=0),"",'Price History'!N122/'Price History'!N121-1),"")</f>
        <v>-0.023767585496969</v>
      </c>
      <c r="O121" s="109" t="n">
        <f aca="false">IFERROR(IF(OR(NOT(ISNUMBER('Price History'!O122)),NOT(ISNUMBER('Price History'!O121)),'Price History'!O121=0),"",'Price History'!O122/'Price History'!O121-1),"")</f>
        <v>-0.00778768316425871</v>
      </c>
      <c r="P121" s="109" t="str">
        <f aca="false">IFERROR(IF(OR(NOT(ISNUMBER('Price History'!P122)),NOT(ISNUMBER('Price History'!P121)),'Price History'!P121=0),"",'Price History'!P122/'Price History'!P121-1),"")</f>
        <v/>
      </c>
      <c r="Q121" s="109" t="n">
        <f aca="false">IFERROR(IF(OR(NOT(ISNUMBER('Price History'!Q122)),NOT(ISNUMBER('Price History'!Q121)),'Price History'!Q121=0),"",'Price History'!Q122/'Price History'!Q121-1),"")</f>
        <v>0.00918121613485856</v>
      </c>
      <c r="R121" s="109" t="n">
        <f aca="false">IFERROR(IF(OR(NOT(ISNUMBER('Price History'!R122)),NOT(ISNUMBER('Price History'!R121)),'Price History'!R121=0),"",'Price History'!R122/'Price History'!R121-1),"")</f>
        <v>-0.0273261847111725</v>
      </c>
      <c r="S121" s="109" t="n">
        <f aca="false">IFERROR(IF(OR(NOT(ISNUMBER('Price History'!S122)),NOT(ISNUMBER('Price History'!S121)),'Price History'!S121=0),"",'Price History'!S122/'Price History'!S121-1),"")</f>
        <v>-0.0299584146651957</v>
      </c>
      <c r="T121" s="109" t="n">
        <f aca="false">IFERROR(IF(OR(NOT(ISNUMBER('Price History'!T122)),NOT(ISNUMBER('Price History'!T121)),'Price History'!T121=0),"",'Price History'!T122/'Price History'!T121-1),"")</f>
        <v>-0.0201044386422975</v>
      </c>
      <c r="U121" s="109" t="str">
        <f aca="false">IFERROR(IF(OR(NOT(ISNUMBER('Price History'!U122)),NOT(ISNUMBER('Price History'!U121)),'Price History'!U121=0),"",'Price History'!U122/'Price History'!U121-1),"")</f>
        <v/>
      </c>
      <c r="V121" s="110" t="n">
        <f aca="false">IFERROR(IF(OR(NOT(ISNUMBER('Price History'!V122)),NOT(ISNUMBER('Price History'!V121)),'Price History'!V121=0),"",'Price History'!V122/'Price History'!V121-1),"")</f>
        <v>-0.00618808108520053</v>
      </c>
      <c r="W121" s="111" t="n">
        <f aca="false">IFERROR('Price History'!B3+(INDEX('Price History'!B:B,MATCH(9.99E+307,'Price History'!$A:$A))-'Price History'!B3)*(ROW()-3)/(MATCH(9.99E+307,'Returns (Calc)'!$A:$A)-3),"")</f>
        <v>328.897044025157</v>
      </c>
      <c r="X121" s="111" t="n">
        <f aca="false">IFERROR('Price History'!C3+(INDEX('Price History'!C:C,MATCH(9.99E+307,'Price History'!$A:$A))-'Price History'!C3)*(ROW()-3)/(MATCH(9.99E+307,'Returns (Calc)'!$A:$A)-3),"")</f>
        <v>155.090440251572</v>
      </c>
      <c r="Y121" s="111" t="n">
        <f aca="false">IFERROR('Price History'!D3+(INDEX('Price History'!D:D,MATCH(9.99E+307,'Price History'!$A:$A))-'Price History'!D3)*(ROW()-3)/(MATCH(9.99E+307,'Returns (Calc)'!$A:$A)-3),"")</f>
        <v>1443.32591194969</v>
      </c>
      <c r="Z121" s="111" t="n">
        <f aca="false">IFERROR('Price History'!E3+(INDEX('Price History'!E:E,MATCH(9.99E+307,'Price History'!$A:$A))-'Price History'!E3)*(ROW()-3)/(MATCH(9.99E+307,'Returns (Calc)'!$A:$A)-3),"")</f>
        <v>287.008679245283</v>
      </c>
      <c r="AA121" s="111" t="n">
        <f aca="false">IFERROR('Price History'!F3+(INDEX('Price History'!F:F,MATCH(9.99E+307,'Price History'!$A:$A))-'Price History'!F3)*(ROW()-3)/(MATCH(9.99E+307,'Returns (Calc)'!$A:$A)-3),"")</f>
        <v>167.706037735849</v>
      </c>
      <c r="AB121" s="111" t="n">
        <f aca="false">IFERROR('Price History'!G3+(INDEX('Price History'!G:G,MATCH(9.99E+307,'Price History'!$A:$A))-'Price History'!G3)*(ROW()-3)/(MATCH(9.99E+307,'Returns (Calc)'!$A:$A)-3),"")</f>
        <v>150.092452830189</v>
      </c>
      <c r="AC121" s="111" t="n">
        <f aca="false">IFERROR('Price History'!H3+(INDEX('Price History'!H:H,MATCH(9.99E+307,'Price History'!$A:$A))-'Price History'!H3)*(ROW()-3)/(MATCH(9.99E+307,'Returns (Calc)'!$A:$A)-3),"")</f>
        <v>771.048993710692</v>
      </c>
      <c r="AD121" s="111" t="n">
        <f aca="false">IFERROR('Price History'!I3+(INDEX('Price History'!I:I,MATCH(9.99E+307,'Price History'!$A:$A))-'Price History'!I3)*(ROW()-3)/(MATCH(9.99E+307,'Returns (Calc)'!$A:$A)-3),"")</f>
        <v>181.492641509434</v>
      </c>
      <c r="AE121" s="111" t="n">
        <f aca="false">IFERROR('Price History'!J3+(INDEX('Price History'!J:J,MATCH(9.99E+307,'Price History'!$A:$A))-'Price History'!J3)*(ROW()-3)/(MATCH(9.99E+307,'Returns (Calc)'!$A:$A)-3),"")</f>
        <v>133.773773584906</v>
      </c>
      <c r="AF121" s="111" t="n">
        <f aca="false">IFERROR('Price History'!K3+(INDEX('Price History'!K:K,MATCH(9.99E+307,'Price History'!$A:$A))-'Price History'!K3)*(ROW()-3)/(MATCH(9.99E+307,'Returns (Calc)'!$A:$A)-3),"")</f>
        <v>133.350628930818</v>
      </c>
      <c r="AG121" s="111" t="n">
        <f aca="false">IFERROR('Price History'!L3+(INDEX('Price History'!L:L,MATCH(9.99E+307,'Price History'!$A:$A))-'Price History'!L3)*(ROW()-3)/(MATCH(9.99E+307,'Returns (Calc)'!$A:$A)-3),"")</f>
        <v>342.031257861635</v>
      </c>
      <c r="AH121" s="111" t="n">
        <f aca="false">IFERROR('Price History'!M3+(INDEX('Price History'!M:M,MATCH(9.99E+307,'Price History'!$A:$A))-'Price History'!M3)*(ROW()-3)/(MATCH(9.99E+307,'Returns (Calc)'!$A:$A)-3),"")</f>
        <v>216.833018867925</v>
      </c>
      <c r="AI121" s="111" t="n">
        <f aca="false">IFERROR('Price History'!N3+(INDEX('Price History'!N:N,MATCH(9.99E+307,'Price History'!$A:$A))-'Price History'!N3)*(ROW()-3)/(MATCH(9.99E+307,'Returns (Calc)'!$A:$A)-3),"")</f>
        <v>495.512075471698</v>
      </c>
      <c r="AJ121" s="111" t="n">
        <f aca="false">IFERROR('Price History'!O3+(INDEX('Price History'!O:O,MATCH(9.99E+307,'Price History'!$A:$A))-'Price History'!O3)*(ROW()-3)/(MATCH(9.99E+307,'Returns (Calc)'!$A:$A)-3),"")</f>
        <v>115.563459119497</v>
      </c>
      <c r="AK121" s="111" t="n">
        <f aca="false">IFERROR('Price History'!Q3+(INDEX('Price History'!Q:Q,MATCH(9.99E+307,'Price History'!$A:$A))-'Price History'!Q3)*(ROW()-3)/(MATCH(9.99E+307,'Returns (Calc)'!$A:$A)-3),"")</f>
        <v>64.5937106918239</v>
      </c>
      <c r="AL121" s="111" t="n">
        <f aca="false">IFERROR('Price History'!R3+(INDEX('Price History'!R:R,MATCH(9.99E+307,'Price History'!$A:$A))-'Price History'!R3)*(ROW()-3)/(MATCH(9.99E+307,'Returns (Calc)'!$A:$A)-3),"")</f>
        <v>56.7627672955975</v>
      </c>
      <c r="AM121" s="111" t="n">
        <f aca="false">IFERROR('Price History'!S3+(INDEX('Price History'!S:S,MATCH(9.99E+307,'Price History'!$A:$A))-'Price History'!S3)*(ROW()-3)/(MATCH(9.99E+307,'Returns (Calc)'!$A:$A)-3),"")</f>
        <v>126.208176100629</v>
      </c>
      <c r="AN121" s="111" t="n">
        <f aca="false">IFERROR('Price History'!T3+(INDEX('Price History'!T:T,MATCH(9.99E+307,'Price History'!$A:$A))-'Price History'!T3)*(ROW()-3)/(MATCH(9.99E+307,'Returns (Calc)'!$A:$A)-3),"")</f>
        <v>47.9718867924528</v>
      </c>
      <c r="AO121" s="112" t="n">
        <f aca="false">IFERROR('Price History'!V3+(INDEX('Price History'!V:V,MATCH(9.99E+307,'Price History'!$A:$A))-'Price History'!V3)*(ROW()-3)/(MATCH(9.99E+307,'Returns (Calc)'!$A:$A)-3),"")</f>
        <v>278.353836477987</v>
      </c>
    </row>
    <row r="122" customFormat="false" ht="15" hidden="false" customHeight="true" outlineLevel="0" collapsed="false">
      <c r="A122" s="108" t="n">
        <f aca="false">IF('Price History'!A123="","",'Price History'!A123)</f>
        <v>45989</v>
      </c>
      <c r="B122" s="109" t="n">
        <f aca="false">IFERROR(IF(OR(NOT(ISNUMBER('Price History'!B123)),NOT(ISNUMBER('Price History'!B122)),'Price History'!B122=0),"",'Price History'!B123/'Price History'!B122-1),"")</f>
        <v>-0.0125235201579321</v>
      </c>
      <c r="C122" s="109" t="n">
        <f aca="false">IFERROR(IF(OR(NOT(ISNUMBER('Price History'!C123)),NOT(ISNUMBER('Price History'!C122)),'Price History'!C122=0),"",'Price History'!C123/'Price History'!C122-1),"")</f>
        <v>0.112833177211956</v>
      </c>
      <c r="D122" s="109" t="n">
        <f aca="false">IFERROR(IF(OR(NOT(ISNUMBER('Price History'!D123)),NOT(ISNUMBER('Price History'!D122)),'Price History'!D122=0),"",'Price History'!D123/'Price History'!D122-1),"")</f>
        <v>0.0966613902769586</v>
      </c>
      <c r="E122" s="109" t="n">
        <f aca="false">IFERROR(IF(OR(NOT(ISNUMBER('Price History'!E123)),NOT(ISNUMBER('Price History'!E122)),'Price History'!E122=0),"",'Price History'!E123/'Price History'!E122-1),"")</f>
        <v>0.184479717813051</v>
      </c>
      <c r="F122" s="109" t="n">
        <f aca="false">IFERROR(IF(OR(NOT(ISNUMBER('Price History'!F123)),NOT(ISNUMBER('Price History'!F122)),'Price History'!F122=0),"",'Price History'!F123/'Price History'!F122-1),"")</f>
        <v>0.0376620200538029</v>
      </c>
      <c r="G122" s="109" t="n">
        <f aca="false">IFERROR(IF(OR(NOT(ISNUMBER('Price History'!G123)),NOT(ISNUMBER('Price History'!G122)),'Price History'!G122=0),"",'Price History'!G123/'Price History'!G122-1),"")</f>
        <v>0.0714611247835202</v>
      </c>
      <c r="H122" s="109" t="n">
        <f aca="false">IFERROR(IF(OR(NOT(ISNUMBER('Price History'!H123)),NOT(ISNUMBER('Price History'!H122)),'Price History'!H122=0),"",'Price History'!H123/'Price History'!H122-1),"")</f>
        <v>0.140377103727636</v>
      </c>
      <c r="I122" s="109" t="n">
        <f aca="false">IFERROR(IF(OR(NOT(ISNUMBER('Price History'!I123)),NOT(ISNUMBER('Price History'!I122)),'Price History'!I122=0),"",'Price History'!I123/'Price History'!I122-1),"")</f>
        <v>-0.0105098389982111</v>
      </c>
      <c r="J122" s="109" t="n">
        <f aca="false">IFERROR(IF(OR(NOT(ISNUMBER('Price History'!J123)),NOT(ISNUMBER('Price History'!J122)),'Price History'!J122=0),"",'Price History'!J123/'Price History'!J122-1),"")</f>
        <v>0.021782335638763</v>
      </c>
      <c r="K122" s="109" t="n">
        <f aca="false">IFERROR(IF(OR(NOT(ISNUMBER('Price History'!K123)),NOT(ISNUMBER('Price History'!K122)),'Price History'!K122=0),"",'Price History'!K123/'Price History'!K122-1),"")</f>
        <v>0.0878269292864062</v>
      </c>
      <c r="L122" s="109" t="n">
        <f aca="false">IFERROR(IF(OR(NOT(ISNUMBER('Price History'!L123)),NOT(ISNUMBER('Price History'!L122)),'Price History'!L122=0),"",'Price History'!L123/'Price History'!L122-1),"")</f>
        <v>0.0598051334254344</v>
      </c>
      <c r="M122" s="109" t="n">
        <f aca="false">IFERROR(IF(OR(NOT(ISNUMBER('Price History'!M123)),NOT(ISNUMBER('Price History'!M122)),'Price History'!M122=0),"",'Price History'!M123/'Price History'!M122-1),"")</f>
        <v>0.124507288994557</v>
      </c>
      <c r="N122" s="109" t="n">
        <f aca="false">IFERROR(IF(OR(NOT(ISNUMBER('Price History'!N123)),NOT(ISNUMBER('Price History'!N122)),'Price History'!N122=0),"",'Price History'!N123/'Price History'!N122-1),"")</f>
        <v>0.0160511763051834</v>
      </c>
      <c r="O122" s="109" t="n">
        <f aca="false">IFERROR(IF(OR(NOT(ISNUMBER('Price History'!O123)),NOT(ISNUMBER('Price History'!O122)),'Price History'!O122=0),"",'Price History'!O123/'Price History'!O122-1),"")</f>
        <v>0.0444077248786532</v>
      </c>
      <c r="P122" s="109" t="str">
        <f aca="false">IFERROR(IF(OR(NOT(ISNUMBER('Price History'!P123)),NOT(ISNUMBER('Price History'!P122)),'Price History'!P122=0),"",'Price History'!P123/'Price History'!P122-1),"")</f>
        <v/>
      </c>
      <c r="Q122" s="109" t="n">
        <f aca="false">IFERROR(IF(OR(NOT(ISNUMBER('Price History'!Q123)),NOT(ISNUMBER('Price History'!Q122)),'Price History'!Q122=0),"",'Price History'!Q123/'Price History'!Q122-1),"")</f>
        <v>-0.00462341536167044</v>
      </c>
      <c r="R122" s="109" t="n">
        <f aca="false">IFERROR(IF(OR(NOT(ISNUMBER('Price History'!R123)),NOT(ISNUMBER('Price History'!R122)),'Price History'!R122=0),"",'Price History'!R123/'Price History'!R122-1),"")</f>
        <v>0.045697012802276</v>
      </c>
      <c r="S122" s="109" t="n">
        <f aca="false">IFERROR(IF(OR(NOT(ISNUMBER('Price History'!S123)),NOT(ISNUMBER('Price History'!S122)),'Price History'!S122=0),"",'Price History'!S123/'Price History'!S122-1),"")</f>
        <v>0.0509186351706037</v>
      </c>
      <c r="T122" s="109" t="n">
        <f aca="false">IFERROR(IF(OR(NOT(ISNUMBER('Price History'!T123)),NOT(ISNUMBER('Price History'!T122)),'Price History'!T122=0),"",'Price History'!T123/'Price History'!T122-1),"")</f>
        <v>0.0343725019984014</v>
      </c>
      <c r="U122" s="109" t="str">
        <f aca="false">IFERROR(IF(OR(NOT(ISNUMBER('Price History'!U123)),NOT(ISNUMBER('Price History'!U122)),'Price History'!U122=0),"",'Price History'!U123/'Price History'!U122-1),"")</f>
        <v/>
      </c>
      <c r="V122" s="110" t="n">
        <f aca="false">IFERROR(IF(OR(NOT(ISNUMBER('Price History'!V123)),NOT(ISNUMBER('Price History'!V122)),'Price History'!V122=0),"",'Price History'!V123/'Price History'!V122-1),"")</f>
        <v>0.0196920434329182</v>
      </c>
      <c r="W122" s="111" t="n">
        <f aca="false">IFERROR('Price History'!B3+(INDEX('Price History'!B:B,MATCH(9.99E+307,'Price History'!$A:$A))-'Price History'!B3)*(ROW()-3)/(MATCH(9.99E+307,'Returns (Calc)'!$A:$A)-3),"")</f>
        <v>327.375408805031</v>
      </c>
      <c r="X122" s="111" t="n">
        <f aca="false">IFERROR('Price History'!C3+(INDEX('Price History'!C:C,MATCH(9.99E+307,'Price History'!$A:$A))-'Price History'!C3)*(ROW()-3)/(MATCH(9.99E+307,'Returns (Calc)'!$A:$A)-3),"")</f>
        <v>156.034088050314</v>
      </c>
      <c r="Y122" s="111" t="n">
        <f aca="false">IFERROR('Price History'!D3+(INDEX('Price History'!D:D,MATCH(9.99E+307,'Price History'!$A:$A))-'Price History'!D3)*(ROW()-3)/(MATCH(9.99E+307,'Returns (Calc)'!$A:$A)-3),"")</f>
        <v>1449.94918238994</v>
      </c>
      <c r="Z122" s="111" t="n">
        <f aca="false">IFERROR('Price History'!E3+(INDEX('Price History'!E:E,MATCH(9.99E+307,'Price History'!$A:$A))-'Price History'!E3)*(ROW()-3)/(MATCH(9.99E+307,'Returns (Calc)'!$A:$A)-3),"")</f>
        <v>288.737735849057</v>
      </c>
      <c r="AA122" s="111" t="n">
        <f aca="false">IFERROR('Price History'!F3+(INDEX('Price History'!F:F,MATCH(9.99E+307,'Price History'!$A:$A))-'Price History'!F3)*(ROW()-3)/(MATCH(9.99E+307,'Returns (Calc)'!$A:$A)-3),"")</f>
        <v>168.81320754717</v>
      </c>
      <c r="AB122" s="111" t="n">
        <f aca="false">IFERROR('Price History'!G3+(INDEX('Price History'!G:G,MATCH(9.99E+307,'Price History'!$A:$A))-'Price History'!G3)*(ROW()-3)/(MATCH(9.99E+307,'Returns (Calc)'!$A:$A)-3),"")</f>
        <v>150.958490566038</v>
      </c>
      <c r="AC122" s="111" t="n">
        <f aca="false">IFERROR('Price History'!H3+(INDEX('Price History'!H:H,MATCH(9.99E+307,'Price History'!$A:$A))-'Price History'!H3)*(ROW()-3)/(MATCH(9.99E+307,'Returns (Calc)'!$A:$A)-3),"")</f>
        <v>777.037798742138</v>
      </c>
      <c r="AD122" s="111" t="n">
        <f aca="false">IFERROR('Price History'!I3+(INDEX('Price History'!I:I,MATCH(9.99E+307,'Price History'!$A:$A))-'Price History'!I3)*(ROW()-3)/(MATCH(9.99E+307,'Returns (Calc)'!$A:$A)-3),"")</f>
        <v>182.684528301887</v>
      </c>
      <c r="AE122" s="111" t="n">
        <f aca="false">IFERROR('Price History'!J3+(INDEX('Price History'!J:J,MATCH(9.99E+307,'Price History'!$A:$A))-'Price History'!J3)*(ROW()-3)/(MATCH(9.99E+307,'Returns (Calc)'!$A:$A)-3),"")</f>
        <v>133.860754716981</v>
      </c>
      <c r="AF122" s="111" t="n">
        <f aca="false">IFERROR('Price History'!K3+(INDEX('Price History'!K:K,MATCH(9.99E+307,'Price History'!$A:$A))-'Price History'!K3)*(ROW()-3)/(MATCH(9.99E+307,'Returns (Calc)'!$A:$A)-3),"")</f>
        <v>134.350125786164</v>
      </c>
      <c r="AG122" s="111" t="n">
        <f aca="false">IFERROR('Price History'!L3+(INDEX('Price History'!L:L,MATCH(9.99E+307,'Price History'!$A:$A))-'Price History'!L3)*(ROW()-3)/(MATCH(9.99E+307,'Returns (Calc)'!$A:$A)-3),"")</f>
        <v>344.150251572327</v>
      </c>
      <c r="AH122" s="111" t="n">
        <f aca="false">IFERROR('Price History'!M3+(INDEX('Price History'!M:M,MATCH(9.99E+307,'Price History'!$A:$A))-'Price History'!M3)*(ROW()-3)/(MATCH(9.99E+307,'Returns (Calc)'!$A:$A)-3),"")</f>
        <v>218.386603773585</v>
      </c>
      <c r="AI122" s="111" t="n">
        <f aca="false">IFERROR('Price History'!N3+(INDEX('Price History'!N:N,MATCH(9.99E+307,'Price History'!$A:$A))-'Price History'!N3)*(ROW()-3)/(MATCH(9.99E+307,'Returns (Calc)'!$A:$A)-3),"")</f>
        <v>496.74641509434</v>
      </c>
      <c r="AJ122" s="111" t="n">
        <f aca="false">IFERROR('Price History'!O3+(INDEX('Price History'!O:O,MATCH(9.99E+307,'Price History'!$A:$A))-'Price History'!O3)*(ROW()-3)/(MATCH(9.99E+307,'Returns (Calc)'!$A:$A)-3),"")</f>
        <v>115.840691823899</v>
      </c>
      <c r="AK122" s="111" t="n">
        <f aca="false">IFERROR('Price History'!Q3+(INDEX('Price History'!Q:Q,MATCH(9.99E+307,'Price History'!$A:$A))-'Price History'!Q3)*(ROW()-3)/(MATCH(9.99E+307,'Returns (Calc)'!$A:$A)-3),"")</f>
        <v>64.7187421383648</v>
      </c>
      <c r="AL122" s="111" t="n">
        <f aca="false">IFERROR('Price History'!R3+(INDEX('Price History'!R:R,MATCH(9.99E+307,'Price History'!$A:$A))-'Price History'!R3)*(ROW()-3)/(MATCH(9.99E+307,'Returns (Calc)'!$A:$A)-3),"")</f>
        <v>56.8385534591195</v>
      </c>
      <c r="AM122" s="111" t="n">
        <f aca="false">IFERROR('Price History'!S3+(INDEX('Price History'!S:S,MATCH(9.99E+307,'Price History'!$A:$A))-'Price History'!S3)*(ROW()-3)/(MATCH(9.99E+307,'Returns (Calc)'!$A:$A)-3),"")</f>
        <v>126.781635220126</v>
      </c>
      <c r="AN122" s="111" t="n">
        <f aca="false">IFERROR('Price History'!T3+(INDEX('Price History'!T:T,MATCH(9.99E+307,'Price History'!$A:$A))-'Price History'!T3)*(ROW()-3)/(MATCH(9.99E+307,'Returns (Calc)'!$A:$A)-3),"")</f>
        <v>48.1503773584906</v>
      </c>
      <c r="AO122" s="112" t="n">
        <f aca="false">IFERROR('Price History'!V3+(INDEX('Price History'!V:V,MATCH(9.99E+307,'Price History'!$A:$A))-'Price History'!V3)*(ROW()-3)/(MATCH(9.99E+307,'Returns (Calc)'!$A:$A)-3),"")</f>
        <v>280.712767295598</v>
      </c>
    </row>
    <row r="123" customFormat="false" ht="15" hidden="false" customHeight="true" outlineLevel="0" collapsed="false">
      <c r="A123" s="108" t="n">
        <f aca="false">IF('Price History'!A124="","",'Price History'!A124)</f>
        <v>45996</v>
      </c>
      <c r="B123" s="109" t="n">
        <f aca="false">IFERROR(IF(OR(NOT(ISNUMBER('Price History'!B124)),NOT(ISNUMBER('Price History'!B123)),'Price History'!B123=0),"",'Price History'!B124/'Price History'!B123-1),"")</f>
        <v>0.0816230906194357</v>
      </c>
      <c r="C123" s="109" t="n">
        <f aca="false">IFERROR(IF(OR(NOT(ISNUMBER('Price History'!C124)),NOT(ISNUMBER('Price History'!C123)),'Price History'!C123=0),"",'Price History'!C124/'Price History'!C123-1),"")</f>
        <v>-0.015993265993266</v>
      </c>
      <c r="D123" s="109" t="n">
        <f aca="false">IFERROR(IF(OR(NOT(ISNUMBER('Price History'!D124)),NOT(ISNUMBER('Price History'!D123)),'Price History'!D123=0),"",'Price History'!D124/'Price History'!D123-1),"")</f>
        <v>0.0372358490566038</v>
      </c>
      <c r="E123" s="109" t="n">
        <f aca="false">IFERROR(IF(OR(NOT(ISNUMBER('Price History'!E124)),NOT(ISNUMBER('Price History'!E123)),'Price History'!E123=0),"",'Price History'!E124/'Price History'!E123-1),"")</f>
        <v>-0.0315664085765336</v>
      </c>
      <c r="F123" s="109" t="n">
        <f aca="false">IFERROR(IF(OR(NOT(ISNUMBER('Price History'!F124)),NOT(ISNUMBER('Price History'!F123)),'Price History'!F123=0),"",'Price History'!F124/'Price History'!F123-1),"")</f>
        <v>0.00565637520622198</v>
      </c>
      <c r="G123" s="109" t="n">
        <f aca="false">IFERROR(IF(OR(NOT(ISNUMBER('Price History'!G124)),NOT(ISNUMBER('Price History'!G123)),'Price History'!G123=0),"",'Price History'!G124/'Price History'!G123-1),"")</f>
        <v>0.0331773713313484</v>
      </c>
      <c r="H123" s="109" t="n">
        <f aca="false">IFERROR(IF(OR(NOT(ISNUMBER('Price History'!H124)),NOT(ISNUMBER('Price History'!H123)),'Price History'!H123=0),"",'Price History'!H124/'Price History'!H123-1),"")</f>
        <v>0.00312922868741539</v>
      </c>
      <c r="I123" s="109" t="n">
        <f aca="false">IFERROR(IF(OR(NOT(ISNUMBER('Price History'!I124)),NOT(ISNUMBER('Price History'!I123)),'Price History'!I123=0),"",'Price History'!I124/'Price History'!I123-1),"")</f>
        <v>0.0305649717514125</v>
      </c>
      <c r="J123" s="109" t="n">
        <f aca="false">IFERROR(IF(OR(NOT(ISNUMBER('Price History'!J124)),NOT(ISNUMBER('Price History'!J123)),'Price History'!J123=0),"",'Price History'!J124/'Price History'!J123-1),"")</f>
        <v>-0.00427915661713219</v>
      </c>
      <c r="K123" s="109" t="n">
        <f aca="false">IFERROR(IF(OR(NOT(ISNUMBER('Price History'!K124)),NOT(ISNUMBER('Price History'!K123)),'Price History'!K123=0),"",'Price History'!K124/'Price History'!K123-1),"")</f>
        <v>0.0790145443751855</v>
      </c>
      <c r="L123" s="109" t="n">
        <f aca="false">IFERROR(IF(OR(NOT(ISNUMBER('Price History'!L124)),NOT(ISNUMBER('Price History'!L123)),'Price History'!L123=0),"",'Price History'!L124/'Price History'!L123-1),"")</f>
        <v>0.0110116291036328</v>
      </c>
      <c r="M123" s="109" t="n">
        <f aca="false">IFERROR(IF(OR(NOT(ISNUMBER('Price History'!M124)),NOT(ISNUMBER('Price History'!M123)),'Price History'!M123=0),"",'Price History'!M124/'Price History'!M123-1),"")</f>
        <v>0.0516886440772271</v>
      </c>
      <c r="N123" s="109" t="n">
        <f aca="false">IFERROR(IF(OR(NOT(ISNUMBER('Price History'!N124)),NOT(ISNUMBER('Price History'!N123)),'Price History'!N123=0),"",'Price History'!N124/'Price History'!N123-1),"")</f>
        <v>0.0504370286663132</v>
      </c>
      <c r="O123" s="109" t="n">
        <f aca="false">IFERROR(IF(OR(NOT(ISNUMBER('Price History'!O124)),NOT(ISNUMBER('Price History'!O123)),'Price History'!O123=0),"",'Price History'!O124/'Price History'!O123-1),"")</f>
        <v>0.0175022248590924</v>
      </c>
      <c r="P123" s="109" t="str">
        <f aca="false">IFERROR(IF(OR(NOT(ISNUMBER('Price History'!P124)),NOT(ISNUMBER('Price History'!P123)),'Price History'!P123=0),"",'Price History'!P124/'Price History'!P123-1),"")</f>
        <v/>
      </c>
      <c r="Q123" s="109" t="n">
        <f aca="false">IFERROR(IF(OR(NOT(ISNUMBER('Price History'!Q124)),NOT(ISNUMBER('Price History'!Q123)),'Price History'!Q123=0),"",'Price History'!Q124/'Price History'!Q123-1),"")</f>
        <v>-0.000299670362601034</v>
      </c>
      <c r="R123" s="109" t="n">
        <f aca="false">IFERROR(IF(OR(NOT(ISNUMBER('Price History'!R124)),NOT(ISNUMBER('Price History'!R123)),'Price History'!R123=0),"",'Price History'!R124/'Price History'!R123-1),"")</f>
        <v>0.000170039108994935</v>
      </c>
      <c r="S123" s="109" t="n">
        <f aca="false">IFERROR(IF(OR(NOT(ISNUMBER('Price History'!S124)),NOT(ISNUMBER('Price History'!S123)),'Price History'!S123=0),"",'Price History'!S124/'Price History'!S123-1),"")</f>
        <v>0.00607725607725596</v>
      </c>
      <c r="T123" s="109" t="n">
        <f aca="false">IFERROR(IF(OR(NOT(ISNUMBER('Price History'!T124)),NOT(ISNUMBER('Price History'!T123)),'Price History'!T123=0),"",'Price History'!T124/'Price History'!T123-1),"")</f>
        <v>0.0154559505409584</v>
      </c>
      <c r="U123" s="109" t="str">
        <f aca="false">IFERROR(IF(OR(NOT(ISNUMBER('Price History'!U124)),NOT(ISNUMBER('Price History'!U123)),'Price History'!U123=0),"",'Price History'!U124/'Price History'!U123-1),"")</f>
        <v/>
      </c>
      <c r="V123" s="110" t="n">
        <f aca="false">IFERROR(IF(OR(NOT(ISNUMBER('Price History'!V124)),NOT(ISNUMBER('Price History'!V123)),'Price History'!V123=0),"",'Price History'!V124/'Price History'!V123-1),"")</f>
        <v>-0.00956563590422332</v>
      </c>
      <c r="W123" s="111" t="n">
        <f aca="false">IFERROR('Price History'!B3+(INDEX('Price History'!B:B,MATCH(9.99E+307,'Price History'!$A:$A))-'Price History'!B3)*(ROW()-3)/(MATCH(9.99E+307,'Returns (Calc)'!$A:$A)-3),"")</f>
        <v>325.853773584906</v>
      </c>
      <c r="X123" s="111" t="n">
        <f aca="false">IFERROR('Price History'!C3+(INDEX('Price History'!C:C,MATCH(9.99E+307,'Price History'!$A:$A))-'Price History'!C3)*(ROW()-3)/(MATCH(9.99E+307,'Returns (Calc)'!$A:$A)-3),"")</f>
        <v>156.977735849057</v>
      </c>
      <c r="Y123" s="111" t="n">
        <f aca="false">IFERROR('Price History'!D3+(INDEX('Price History'!D:D,MATCH(9.99E+307,'Price History'!$A:$A))-'Price History'!D3)*(ROW()-3)/(MATCH(9.99E+307,'Returns (Calc)'!$A:$A)-3),"")</f>
        <v>1456.57245283019</v>
      </c>
      <c r="Z123" s="111" t="n">
        <f aca="false">IFERROR('Price History'!E3+(INDEX('Price History'!E:E,MATCH(9.99E+307,'Price History'!$A:$A))-'Price History'!E3)*(ROW()-3)/(MATCH(9.99E+307,'Returns (Calc)'!$A:$A)-3),"")</f>
        <v>290.46679245283</v>
      </c>
      <c r="AA123" s="111" t="n">
        <f aca="false">IFERROR('Price History'!F3+(INDEX('Price History'!F:F,MATCH(9.99E+307,'Price History'!$A:$A))-'Price History'!F3)*(ROW()-3)/(MATCH(9.99E+307,'Returns (Calc)'!$A:$A)-3),"")</f>
        <v>169.920377358491</v>
      </c>
      <c r="AB123" s="111" t="n">
        <f aca="false">IFERROR('Price History'!G3+(INDEX('Price History'!G:G,MATCH(9.99E+307,'Price History'!$A:$A))-'Price History'!G3)*(ROW()-3)/(MATCH(9.99E+307,'Returns (Calc)'!$A:$A)-3),"")</f>
        <v>151.824528301887</v>
      </c>
      <c r="AC123" s="111" t="n">
        <f aca="false">IFERROR('Price History'!H3+(INDEX('Price History'!H:H,MATCH(9.99E+307,'Price History'!$A:$A))-'Price History'!H3)*(ROW()-3)/(MATCH(9.99E+307,'Returns (Calc)'!$A:$A)-3),"")</f>
        <v>783.026603773585</v>
      </c>
      <c r="AD123" s="111" t="n">
        <f aca="false">IFERROR('Price History'!I3+(INDEX('Price History'!I:I,MATCH(9.99E+307,'Price History'!$A:$A))-'Price History'!I3)*(ROW()-3)/(MATCH(9.99E+307,'Returns (Calc)'!$A:$A)-3),"")</f>
        <v>183.87641509434</v>
      </c>
      <c r="AE123" s="111" t="n">
        <f aca="false">IFERROR('Price History'!J3+(INDEX('Price History'!J:J,MATCH(9.99E+307,'Price History'!$A:$A))-'Price History'!J3)*(ROW()-3)/(MATCH(9.99E+307,'Returns (Calc)'!$A:$A)-3),"")</f>
        <v>133.947735849057</v>
      </c>
      <c r="AF123" s="111" t="n">
        <f aca="false">IFERROR('Price History'!K3+(INDEX('Price History'!K:K,MATCH(9.99E+307,'Price History'!$A:$A))-'Price History'!K3)*(ROW()-3)/(MATCH(9.99E+307,'Returns (Calc)'!$A:$A)-3),"")</f>
        <v>135.349622641509</v>
      </c>
      <c r="AG123" s="111" t="n">
        <f aca="false">IFERROR('Price History'!L3+(INDEX('Price History'!L:L,MATCH(9.99E+307,'Price History'!$A:$A))-'Price History'!L3)*(ROW()-3)/(MATCH(9.99E+307,'Returns (Calc)'!$A:$A)-3),"")</f>
        <v>346.269245283019</v>
      </c>
      <c r="AH123" s="111" t="n">
        <f aca="false">IFERROR('Price History'!M3+(INDEX('Price History'!M:M,MATCH(9.99E+307,'Price History'!$A:$A))-'Price History'!M3)*(ROW()-3)/(MATCH(9.99E+307,'Returns (Calc)'!$A:$A)-3),"")</f>
        <v>219.940188679245</v>
      </c>
      <c r="AI123" s="111" t="n">
        <f aca="false">IFERROR('Price History'!N3+(INDEX('Price History'!N:N,MATCH(9.99E+307,'Price History'!$A:$A))-'Price History'!N3)*(ROW()-3)/(MATCH(9.99E+307,'Returns (Calc)'!$A:$A)-3),"")</f>
        <v>497.980754716981</v>
      </c>
      <c r="AJ123" s="111" t="n">
        <f aca="false">IFERROR('Price History'!O3+(INDEX('Price History'!O:O,MATCH(9.99E+307,'Price History'!$A:$A))-'Price History'!O3)*(ROW()-3)/(MATCH(9.99E+307,'Returns (Calc)'!$A:$A)-3),"")</f>
        <v>116.117924528302</v>
      </c>
      <c r="AK123" s="111" t="n">
        <f aca="false">IFERROR('Price History'!Q3+(INDEX('Price History'!Q:Q,MATCH(9.99E+307,'Price History'!$A:$A))-'Price History'!Q3)*(ROW()-3)/(MATCH(9.99E+307,'Returns (Calc)'!$A:$A)-3),"")</f>
        <v>64.8437735849057</v>
      </c>
      <c r="AL123" s="111" t="n">
        <f aca="false">IFERROR('Price History'!R3+(INDEX('Price History'!R:R,MATCH(9.99E+307,'Price History'!$A:$A))-'Price History'!R3)*(ROW()-3)/(MATCH(9.99E+307,'Returns (Calc)'!$A:$A)-3),"")</f>
        <v>56.9143396226415</v>
      </c>
      <c r="AM123" s="111" t="n">
        <f aca="false">IFERROR('Price History'!S3+(INDEX('Price History'!S:S,MATCH(9.99E+307,'Price History'!$A:$A))-'Price History'!S3)*(ROW()-3)/(MATCH(9.99E+307,'Returns (Calc)'!$A:$A)-3),"")</f>
        <v>127.355094339623</v>
      </c>
      <c r="AN123" s="111" t="n">
        <f aca="false">IFERROR('Price History'!T3+(INDEX('Price History'!T:T,MATCH(9.99E+307,'Price History'!$A:$A))-'Price History'!T3)*(ROW()-3)/(MATCH(9.99E+307,'Returns (Calc)'!$A:$A)-3),"")</f>
        <v>48.3288679245283</v>
      </c>
      <c r="AO123" s="112" t="n">
        <f aca="false">IFERROR('Price History'!V3+(INDEX('Price History'!V:V,MATCH(9.99E+307,'Price History'!$A:$A))-'Price History'!V3)*(ROW()-3)/(MATCH(9.99E+307,'Returns (Calc)'!$A:$A)-3),"")</f>
        <v>283.071698113208</v>
      </c>
    </row>
    <row r="124" customFormat="false" ht="15" hidden="false" customHeight="true" outlineLevel="0" collapsed="false">
      <c r="A124" s="108" t="n">
        <f aca="false">IF('Price History'!A125="","",'Price History'!A125)</f>
        <v>46003</v>
      </c>
      <c r="B124" s="109" t="n">
        <f aca="false">IFERROR(IF(OR(NOT(ISNUMBER('Price History'!B125)),NOT(ISNUMBER('Price History'!B124)),'Price History'!B124=0),"",'Price History'!B125/'Price History'!B124-1),"")</f>
        <v>0.0293709928955122</v>
      </c>
      <c r="C124" s="109" t="n">
        <f aca="false">IFERROR(IF(OR(NOT(ISNUMBER('Price History'!C125)),NOT(ISNUMBER('Price History'!C124)),'Price History'!C124=0),"",'Price History'!C125/'Price History'!C124-1),"")</f>
        <v>-0.0297845866708142</v>
      </c>
      <c r="D124" s="109" t="n">
        <f aca="false">IFERROR(IF(OR(NOT(ISNUMBER('Price History'!D125)),NOT(ISNUMBER('Price History'!D124)),'Price History'!D124=0),"",'Price History'!D125/'Price History'!D124-1),"")</f>
        <v>-0.0169354325265811</v>
      </c>
      <c r="E124" s="109" t="n">
        <f aca="false">IFERROR(IF(OR(NOT(ISNUMBER('Price History'!E125)),NOT(ISNUMBER('Price History'!E124)),'Price History'!E124=0),"",'Price History'!E125/'Price History'!E124-1),"")</f>
        <v>-0.077670151701517</v>
      </c>
      <c r="F124" s="109" t="n">
        <f aca="false">IFERROR(IF(OR(NOT(ISNUMBER('Price History'!F125)),NOT(ISNUMBER('Price History'!F124)),'Price History'!F124=0),"",'Price History'!F125/'Price History'!F124-1),"")</f>
        <v>-0.0141395203499726</v>
      </c>
      <c r="G124" s="109" t="n">
        <f aca="false">IFERROR(IF(OR(NOT(ISNUMBER('Price History'!G125)),NOT(ISNUMBER('Price History'!G124)),'Price History'!G124=0),"",'Price History'!G125/'Price History'!G124-1),"")</f>
        <v>-0.0169617126389461</v>
      </c>
      <c r="H124" s="109" t="n">
        <f aca="false">IFERROR(IF(OR(NOT(ISNUMBER('Price History'!H125)),NOT(ISNUMBER('Price History'!H124)),'Price History'!H124=0),"",'Price History'!H125/'Price History'!H124-1),"")</f>
        <v>0.0165247449624821</v>
      </c>
      <c r="I124" s="109" t="n">
        <f aca="false">IFERROR(IF(OR(NOT(ISNUMBER('Price History'!I125)),NOT(ISNUMBER('Price History'!I124)),'Price History'!I124=0),"",'Price History'!I125/'Price History'!I124-1),"")</f>
        <v>-0.0405131297626226</v>
      </c>
      <c r="J124" s="109" t="n">
        <f aca="false">IFERROR(IF(OR(NOT(ISNUMBER('Price History'!J125)),NOT(ISNUMBER('Price History'!J124)),'Price History'!J124=0),"",'Price History'!J125/'Price History'!J124-1),"")</f>
        <v>0.0171901859665573</v>
      </c>
      <c r="K124" s="109" t="n">
        <f aca="false">IFERROR(IF(OR(NOT(ISNUMBER('Price History'!K125)),NOT(ISNUMBER('Price History'!K124)),'Price History'!K124=0),"",'Price History'!K125/'Price History'!K124-1),"")</f>
        <v>0.00995818661971826</v>
      </c>
      <c r="L124" s="109" t="n">
        <f aca="false">IFERROR(IF(OR(NOT(ISNUMBER('Price History'!L125)),NOT(ISNUMBER('Price History'!L124)),'Price History'!L124=0),"",'Price History'!L125/'Price History'!L124-1),"")</f>
        <v>-0.0090933767643866</v>
      </c>
      <c r="M124" s="109" t="n">
        <f aca="false">IFERROR(IF(OR(NOT(ISNUMBER('Price History'!M125)),NOT(ISNUMBER('Price History'!M124)),'Price History'!M124=0),"",'Price History'!M125/'Price History'!M124-1),"")</f>
        <v>-0.146809861390329</v>
      </c>
      <c r="N124" s="109" t="n">
        <f aca="false">IFERROR(IF(OR(NOT(ISNUMBER('Price History'!N125)),NOT(ISNUMBER('Price History'!N124)),'Price History'!N124=0),"",'Price History'!N125/'Price History'!N124-1),"")</f>
        <v>-0.00755247211732679</v>
      </c>
      <c r="O124" s="109" t="n">
        <f aca="false">IFERROR(IF(OR(NOT(ISNUMBER('Price History'!O125)),NOT(ISNUMBER('Price History'!O124)),'Price History'!O124=0),"",'Price History'!O125/'Price History'!O124-1),"")</f>
        <v>0.0214771622934888</v>
      </c>
      <c r="P124" s="109" t="str">
        <f aca="false">IFERROR(IF(OR(NOT(ISNUMBER('Price History'!P125)),NOT(ISNUMBER('Price History'!P124)),'Price History'!P124=0),"",'Price History'!P125/'Price History'!P124-1),"")</f>
        <v/>
      </c>
      <c r="Q124" s="109" t="n">
        <f aca="false">IFERROR(IF(OR(NOT(ISNUMBER('Price History'!Q125)),NOT(ISNUMBER('Price History'!Q124)),'Price History'!Q124=0),"",'Price History'!Q125/'Price History'!Q124-1),"")</f>
        <v>0.00374700239808146</v>
      </c>
      <c r="R124" s="109" t="n">
        <f aca="false">IFERROR(IF(OR(NOT(ISNUMBER('Price History'!R125)),NOT(ISNUMBER('Price History'!R124)),'Price History'!R124=0),"",'Price History'!R125/'Price History'!R124-1),"")</f>
        <v>-0.0108806528391704</v>
      </c>
      <c r="S124" s="109" t="n">
        <f aca="false">IFERROR(IF(OR(NOT(ISNUMBER('Price History'!S125)),NOT(ISNUMBER('Price History'!S124)),'Price History'!S124=0),"",'Price History'!S125/'Price History'!S124-1),"")</f>
        <v>-0.014480761274307</v>
      </c>
      <c r="T124" s="109" t="n">
        <f aca="false">IFERROR(IF(OR(NOT(ISNUMBER('Price History'!T125)),NOT(ISNUMBER('Price History'!T124)),'Price History'!T124=0),"",'Price History'!T125/'Price History'!T124-1),"")</f>
        <v>0.00710299340436338</v>
      </c>
      <c r="U124" s="109" t="str">
        <f aca="false">IFERROR(IF(OR(NOT(ISNUMBER('Price History'!U125)),NOT(ISNUMBER('Price History'!U124)),'Price History'!U124=0),"",'Price History'!U125/'Price History'!U124-1),"")</f>
        <v/>
      </c>
      <c r="V124" s="110" t="n">
        <f aca="false">IFERROR(IF(OR(NOT(ISNUMBER('Price History'!V125)),NOT(ISNUMBER('Price History'!V124)),'Price History'!V124=0),"",'Price History'!V125/'Price History'!V124-1),"")</f>
        <v>0.0500820020652373</v>
      </c>
      <c r="W124" s="111" t="n">
        <f aca="false">IFERROR('Price History'!B3+(INDEX('Price History'!B:B,MATCH(9.99E+307,'Price History'!$A:$A))-'Price History'!B3)*(ROW()-3)/(MATCH(9.99E+307,'Returns (Calc)'!$A:$A)-3),"")</f>
        <v>324.33213836478</v>
      </c>
      <c r="X124" s="111" t="n">
        <f aca="false">IFERROR('Price History'!C3+(INDEX('Price History'!C:C,MATCH(9.99E+307,'Price History'!$A:$A))-'Price History'!C3)*(ROW()-3)/(MATCH(9.99E+307,'Returns (Calc)'!$A:$A)-3),"")</f>
        <v>157.921383647799</v>
      </c>
      <c r="Y124" s="111" t="n">
        <f aca="false">IFERROR('Price History'!D3+(INDEX('Price History'!D:D,MATCH(9.99E+307,'Price History'!$A:$A))-'Price History'!D3)*(ROW()-3)/(MATCH(9.99E+307,'Returns (Calc)'!$A:$A)-3),"")</f>
        <v>1463.19572327044</v>
      </c>
      <c r="Z124" s="111" t="n">
        <f aca="false">IFERROR('Price History'!E3+(INDEX('Price History'!E:E,MATCH(9.99E+307,'Price History'!$A:$A))-'Price History'!E3)*(ROW()-3)/(MATCH(9.99E+307,'Returns (Calc)'!$A:$A)-3),"")</f>
        <v>292.195849056604</v>
      </c>
      <c r="AA124" s="111" t="n">
        <f aca="false">IFERROR('Price History'!F3+(INDEX('Price History'!F:F,MATCH(9.99E+307,'Price History'!$A:$A))-'Price History'!F3)*(ROW()-3)/(MATCH(9.99E+307,'Returns (Calc)'!$A:$A)-3),"")</f>
        <v>171.027547169811</v>
      </c>
      <c r="AB124" s="111" t="n">
        <f aca="false">IFERROR('Price History'!G3+(INDEX('Price History'!G:G,MATCH(9.99E+307,'Price History'!$A:$A))-'Price History'!G3)*(ROW()-3)/(MATCH(9.99E+307,'Returns (Calc)'!$A:$A)-3),"")</f>
        <v>152.690566037736</v>
      </c>
      <c r="AC124" s="111" t="n">
        <f aca="false">IFERROR('Price History'!H3+(INDEX('Price History'!H:H,MATCH(9.99E+307,'Price History'!$A:$A))-'Price History'!H3)*(ROW()-3)/(MATCH(9.99E+307,'Returns (Calc)'!$A:$A)-3),"")</f>
        <v>789.015408805032</v>
      </c>
      <c r="AD124" s="111" t="n">
        <f aca="false">IFERROR('Price History'!I3+(INDEX('Price History'!I:I,MATCH(9.99E+307,'Price History'!$A:$A))-'Price History'!I3)*(ROW()-3)/(MATCH(9.99E+307,'Returns (Calc)'!$A:$A)-3),"")</f>
        <v>185.068301886792</v>
      </c>
      <c r="AE124" s="111" t="n">
        <f aca="false">IFERROR('Price History'!J3+(INDEX('Price History'!J:J,MATCH(9.99E+307,'Price History'!$A:$A))-'Price History'!J3)*(ROW()-3)/(MATCH(9.99E+307,'Returns (Calc)'!$A:$A)-3),"")</f>
        <v>134.034716981132</v>
      </c>
      <c r="AF124" s="111" t="n">
        <f aca="false">IFERROR('Price History'!K3+(INDEX('Price History'!K:K,MATCH(9.99E+307,'Price History'!$A:$A))-'Price History'!K3)*(ROW()-3)/(MATCH(9.99E+307,'Returns (Calc)'!$A:$A)-3),"")</f>
        <v>136.349119496855</v>
      </c>
      <c r="AG124" s="111" t="n">
        <f aca="false">IFERROR('Price History'!L3+(INDEX('Price History'!L:L,MATCH(9.99E+307,'Price History'!$A:$A))-'Price History'!L3)*(ROW()-3)/(MATCH(9.99E+307,'Returns (Calc)'!$A:$A)-3),"")</f>
        <v>348.388238993711</v>
      </c>
      <c r="AH124" s="111" t="n">
        <f aca="false">IFERROR('Price History'!M3+(INDEX('Price History'!M:M,MATCH(9.99E+307,'Price History'!$A:$A))-'Price History'!M3)*(ROW()-3)/(MATCH(9.99E+307,'Returns (Calc)'!$A:$A)-3),"")</f>
        <v>221.493773584906</v>
      </c>
      <c r="AI124" s="111" t="n">
        <f aca="false">IFERROR('Price History'!N3+(INDEX('Price History'!N:N,MATCH(9.99E+307,'Price History'!$A:$A))-'Price History'!N3)*(ROW()-3)/(MATCH(9.99E+307,'Returns (Calc)'!$A:$A)-3),"")</f>
        <v>499.215094339623</v>
      </c>
      <c r="AJ124" s="111" t="n">
        <f aca="false">IFERROR('Price History'!O3+(INDEX('Price History'!O:O,MATCH(9.99E+307,'Price History'!$A:$A))-'Price History'!O3)*(ROW()-3)/(MATCH(9.99E+307,'Returns (Calc)'!$A:$A)-3),"")</f>
        <v>116.395157232704</v>
      </c>
      <c r="AK124" s="111" t="n">
        <f aca="false">IFERROR('Price History'!Q3+(INDEX('Price History'!Q:Q,MATCH(9.99E+307,'Price History'!$A:$A))-'Price History'!Q3)*(ROW()-3)/(MATCH(9.99E+307,'Returns (Calc)'!$A:$A)-3),"")</f>
        <v>64.9688050314465</v>
      </c>
      <c r="AL124" s="111" t="n">
        <f aca="false">IFERROR('Price History'!R3+(INDEX('Price History'!R:R,MATCH(9.99E+307,'Price History'!$A:$A))-'Price History'!R3)*(ROW()-3)/(MATCH(9.99E+307,'Returns (Calc)'!$A:$A)-3),"")</f>
        <v>56.9901257861635</v>
      </c>
      <c r="AM124" s="111" t="n">
        <f aca="false">IFERROR('Price History'!S3+(INDEX('Price History'!S:S,MATCH(9.99E+307,'Price History'!$A:$A))-'Price History'!S3)*(ROW()-3)/(MATCH(9.99E+307,'Returns (Calc)'!$A:$A)-3),"")</f>
        <v>127.92855345912</v>
      </c>
      <c r="AN124" s="111" t="n">
        <f aca="false">IFERROR('Price History'!T3+(INDEX('Price History'!T:T,MATCH(9.99E+307,'Price History'!$A:$A))-'Price History'!T3)*(ROW()-3)/(MATCH(9.99E+307,'Returns (Calc)'!$A:$A)-3),"")</f>
        <v>48.507358490566</v>
      </c>
      <c r="AO124" s="112" t="n">
        <f aca="false">IFERROR('Price History'!V3+(INDEX('Price History'!V:V,MATCH(9.99E+307,'Price History'!$A:$A))-'Price History'!V3)*(ROW()-3)/(MATCH(9.99E+307,'Returns (Calc)'!$A:$A)-3),"")</f>
        <v>285.430628930818</v>
      </c>
    </row>
    <row r="125" customFormat="false" ht="15" hidden="false" customHeight="true" outlineLevel="0" collapsed="false">
      <c r="A125" s="108" t="n">
        <f aca="false">IF('Price History'!A126="","",'Price History'!A126)</f>
        <v>46010</v>
      </c>
      <c r="B125" s="109" t="n">
        <f aca="false">IFERROR(IF(OR(NOT(ISNUMBER('Price History'!B126)),NOT(ISNUMBER('Price History'!B125)),'Price History'!B125=0),"",'Price History'!B126/'Price History'!B125-1),"")</f>
        <v>-0.00159919198720648</v>
      </c>
      <c r="C125" s="109" t="n">
        <f aca="false">IFERROR(IF(OR(NOT(ISNUMBER('Price History'!C126)),NOT(ISNUMBER('Price History'!C125)),'Price History'!C125=0),"",'Price History'!C126/'Price History'!C125-1),"")</f>
        <v>0.0509778775248477</v>
      </c>
      <c r="D125" s="109" t="n">
        <f aca="false">IFERROR(IF(OR(NOT(ISNUMBER('Price History'!D126)),NOT(ISNUMBER('Price History'!D125)),'Price History'!D125=0),"",'Price History'!D126/'Price History'!D125-1),"")</f>
        <v>-0.0229726604061618</v>
      </c>
      <c r="E125" s="109" t="n">
        <f aca="false">IFERROR(IF(OR(NOT(ISNUMBER('Price History'!E126)),NOT(ISNUMBER('Price History'!E125)),'Price History'!E125=0),"",'Price History'!E126/'Price History'!E125-1),"")</f>
        <v>-0.05437168338288</v>
      </c>
      <c r="F125" s="109" t="n">
        <f aca="false">IFERROR(IF(OR(NOT(ISNUMBER('Price History'!F126)),NOT(ISNUMBER('Price History'!F125)),'Price History'!F125=0),"",'Price History'!F126/'Price History'!F125-1),"")</f>
        <v>-0.0465927099841522</v>
      </c>
      <c r="G125" s="109" t="n">
        <f aca="false">IFERROR(IF(OR(NOT(ISNUMBER('Price History'!G126)),NOT(ISNUMBER('Price History'!G125)),'Price History'!G125=0),"",'Price History'!G126/'Price History'!G125-1),"")</f>
        <v>0.0433872183599966</v>
      </c>
      <c r="H125" s="109" t="n">
        <f aca="false">IFERROR(IF(OR(NOT(ISNUMBER('Price History'!H126)),NOT(ISNUMBER('Price History'!H125)),'Price History'!H125=0),"",'Price History'!H126/'Price History'!H125-1),"")</f>
        <v>0.102761881064942</v>
      </c>
      <c r="I125" s="109" t="n">
        <f aca="false">IFERROR(IF(OR(NOT(ISNUMBER('Price History'!I126)),NOT(ISNUMBER('Price History'!I125)),'Price History'!I125=0),"",'Price History'!I126/'Price History'!I125-1),"")</f>
        <v>0.0341103873842989</v>
      </c>
      <c r="J125" s="109" t="n">
        <f aca="false">IFERROR(IF(OR(NOT(ISNUMBER('Price History'!J126)),NOT(ISNUMBER('Price History'!J125)),'Price History'!J125=0),"",'Price History'!J126/'Price History'!J125-1),"")</f>
        <v>-0.0226609310185897</v>
      </c>
      <c r="K125" s="109" t="n">
        <f aca="false">IFERROR(IF(OR(NOT(ISNUMBER('Price History'!K126)),NOT(ISNUMBER('Price History'!K125)),'Price History'!K125=0),"",'Price History'!K126/'Price History'!K125-1),"")</f>
        <v>0.0534401045922537</v>
      </c>
      <c r="L125" s="109" t="n">
        <f aca="false">IFERROR(IF(OR(NOT(ISNUMBER('Price History'!L126)),NOT(ISNUMBER('Price History'!L125)),'Price History'!L125=0),"",'Price History'!L126/'Price History'!L125-1),"")</f>
        <v>-0.0105807423640598</v>
      </c>
      <c r="M125" s="109" t="n">
        <f aca="false">IFERROR(IF(OR(NOT(ISNUMBER('Price History'!M126)),NOT(ISNUMBER('Price History'!M125)),'Price History'!M125=0),"",'Price History'!M126/'Price History'!M125-1),"")</f>
        <v>-0.00899113288274334</v>
      </c>
      <c r="N125" s="109" t="n">
        <f aca="false">IFERROR(IF(OR(NOT(ISNUMBER('Price History'!N126)),NOT(ISNUMBER('Price History'!N125)),'Price History'!N125=0),"",'Price History'!N126/'Price History'!N125-1),"")</f>
        <v>0.00920272542252887</v>
      </c>
      <c r="O125" s="109" t="n">
        <f aca="false">IFERROR(IF(OR(NOT(ISNUMBER('Price History'!O126)),NOT(ISNUMBER('Price History'!O125)),'Price History'!O125=0),"",'Price History'!O126/'Price History'!O125-1),"")</f>
        <v>-0.0126534107125867</v>
      </c>
      <c r="P125" s="109" t="str">
        <f aca="false">IFERROR(IF(OR(NOT(ISNUMBER('Price History'!P126)),NOT(ISNUMBER('Price History'!P125)),'Price History'!P125=0),"",'Price History'!P126/'Price History'!P125-1),"")</f>
        <v/>
      </c>
      <c r="Q125" s="109" t="n">
        <f aca="false">IFERROR(IF(OR(NOT(ISNUMBER('Price History'!Q126)),NOT(ISNUMBER('Price History'!Q125)),'Price History'!Q125=0),"",'Price History'!Q126/'Price History'!Q125-1),"")</f>
        <v>0.00283709123488118</v>
      </c>
      <c r="R125" s="109" t="n">
        <f aca="false">IFERROR(IF(OR(NOT(ISNUMBER('Price History'!R126)),NOT(ISNUMBER('Price History'!R125)),'Price History'!R125=0),"",'Price History'!R126/'Price History'!R125-1),"")</f>
        <v>0.00756273633551041</v>
      </c>
      <c r="S125" s="109" t="n">
        <f aca="false">IFERROR(IF(OR(NOT(ISNUMBER('Price History'!S126)),NOT(ISNUMBER('Price History'!S125)),'Price History'!S125=0),"",'Price History'!S126/'Price History'!S125-1),"")</f>
        <v>0.00361041141897567</v>
      </c>
      <c r="T125" s="109" t="n">
        <f aca="false">IFERROR(IF(OR(NOT(ISNUMBER('Price History'!T126)),NOT(ISNUMBER('Price History'!T125)),'Price History'!T125=0),"",'Price History'!T126/'Price History'!T125-1),"")</f>
        <v>-0.00428211586901772</v>
      </c>
      <c r="U125" s="109" t="str">
        <f aca="false">IFERROR(IF(OR(NOT(ISNUMBER('Price History'!U126)),NOT(ISNUMBER('Price History'!U125)),'Price History'!U125=0),"",'Price History'!U126/'Price History'!U125-1),"")</f>
        <v/>
      </c>
      <c r="V125" s="110" t="n">
        <f aca="false">IFERROR(IF(OR(NOT(ISNUMBER('Price History'!V126)),NOT(ISNUMBER('Price History'!V125)),'Price History'!V125=0),"",'Price History'!V126/'Price History'!V125-1),"")</f>
        <v>0.00410701373825018</v>
      </c>
      <c r="W125" s="111" t="n">
        <f aca="false">IFERROR('Price History'!B3+(INDEX('Price History'!B:B,MATCH(9.99E+307,'Price History'!$A:$A))-'Price History'!B3)*(ROW()-3)/(MATCH(9.99E+307,'Returns (Calc)'!$A:$A)-3),"")</f>
        <v>322.810503144654</v>
      </c>
      <c r="X125" s="111" t="n">
        <f aca="false">IFERROR('Price History'!C3+(INDEX('Price History'!C:C,MATCH(9.99E+307,'Price History'!$A:$A))-'Price History'!C3)*(ROW()-3)/(MATCH(9.99E+307,'Returns (Calc)'!$A:$A)-3),"")</f>
        <v>158.865031446541</v>
      </c>
      <c r="Y125" s="111" t="n">
        <f aca="false">IFERROR('Price History'!D3+(INDEX('Price History'!D:D,MATCH(9.99E+307,'Price History'!$A:$A))-'Price History'!D3)*(ROW()-3)/(MATCH(9.99E+307,'Returns (Calc)'!$A:$A)-3),"")</f>
        <v>1469.81899371069</v>
      </c>
      <c r="Z125" s="111" t="n">
        <f aca="false">IFERROR('Price History'!E3+(INDEX('Price History'!E:E,MATCH(9.99E+307,'Price History'!$A:$A))-'Price History'!E3)*(ROW()-3)/(MATCH(9.99E+307,'Returns (Calc)'!$A:$A)-3),"")</f>
        <v>293.924905660377</v>
      </c>
      <c r="AA125" s="111" t="n">
        <f aca="false">IFERROR('Price History'!F3+(INDEX('Price History'!F:F,MATCH(9.99E+307,'Price History'!$A:$A))-'Price History'!F3)*(ROW()-3)/(MATCH(9.99E+307,'Returns (Calc)'!$A:$A)-3),"")</f>
        <v>172.134716981132</v>
      </c>
      <c r="AB125" s="111" t="n">
        <f aca="false">IFERROR('Price History'!G3+(INDEX('Price History'!G:G,MATCH(9.99E+307,'Price History'!$A:$A))-'Price History'!G3)*(ROW()-3)/(MATCH(9.99E+307,'Returns (Calc)'!$A:$A)-3),"")</f>
        <v>153.556603773585</v>
      </c>
      <c r="AC125" s="111" t="n">
        <f aca="false">IFERROR('Price History'!H3+(INDEX('Price History'!H:H,MATCH(9.99E+307,'Price History'!$A:$A))-'Price History'!H3)*(ROW()-3)/(MATCH(9.99E+307,'Returns (Calc)'!$A:$A)-3),"")</f>
        <v>795.004213836478</v>
      </c>
      <c r="AD125" s="111" t="n">
        <f aca="false">IFERROR('Price History'!I3+(INDEX('Price History'!I:I,MATCH(9.99E+307,'Price History'!$A:$A))-'Price History'!I3)*(ROW()-3)/(MATCH(9.99E+307,'Returns (Calc)'!$A:$A)-3),"")</f>
        <v>186.260188679245</v>
      </c>
      <c r="AE125" s="111" t="n">
        <f aca="false">IFERROR('Price History'!J3+(INDEX('Price History'!J:J,MATCH(9.99E+307,'Price History'!$A:$A))-'Price History'!J3)*(ROW()-3)/(MATCH(9.99E+307,'Returns (Calc)'!$A:$A)-3),"")</f>
        <v>134.121698113208</v>
      </c>
      <c r="AF125" s="111" t="n">
        <f aca="false">IFERROR('Price History'!K3+(INDEX('Price History'!K:K,MATCH(9.99E+307,'Price History'!$A:$A))-'Price History'!K3)*(ROW()-3)/(MATCH(9.99E+307,'Returns (Calc)'!$A:$A)-3),"")</f>
        <v>137.348616352201</v>
      </c>
      <c r="AG125" s="111" t="n">
        <f aca="false">IFERROR('Price History'!L3+(INDEX('Price History'!L:L,MATCH(9.99E+307,'Price History'!$A:$A))-'Price History'!L3)*(ROW()-3)/(MATCH(9.99E+307,'Returns (Calc)'!$A:$A)-3),"")</f>
        <v>350.507232704403</v>
      </c>
      <c r="AH125" s="111" t="n">
        <f aca="false">IFERROR('Price History'!M3+(INDEX('Price History'!M:M,MATCH(9.99E+307,'Price History'!$A:$A))-'Price History'!M3)*(ROW()-3)/(MATCH(9.99E+307,'Returns (Calc)'!$A:$A)-3),"")</f>
        <v>223.047358490566</v>
      </c>
      <c r="AI125" s="111" t="n">
        <f aca="false">IFERROR('Price History'!N3+(INDEX('Price History'!N:N,MATCH(9.99E+307,'Price History'!$A:$A))-'Price History'!N3)*(ROW()-3)/(MATCH(9.99E+307,'Returns (Calc)'!$A:$A)-3),"")</f>
        <v>500.449433962264</v>
      </c>
      <c r="AJ125" s="111" t="n">
        <f aca="false">IFERROR('Price History'!O3+(INDEX('Price History'!O:O,MATCH(9.99E+307,'Price History'!$A:$A))-'Price History'!O3)*(ROW()-3)/(MATCH(9.99E+307,'Returns (Calc)'!$A:$A)-3),"")</f>
        <v>116.672389937107</v>
      </c>
      <c r="AK125" s="111" t="n">
        <f aca="false">IFERROR('Price History'!Q3+(INDEX('Price History'!Q:Q,MATCH(9.99E+307,'Price History'!$A:$A))-'Price History'!Q3)*(ROW()-3)/(MATCH(9.99E+307,'Returns (Calc)'!$A:$A)-3),"")</f>
        <v>65.0938364779874</v>
      </c>
      <c r="AL125" s="111" t="n">
        <f aca="false">IFERROR('Price History'!R3+(INDEX('Price History'!R:R,MATCH(9.99E+307,'Price History'!$A:$A))-'Price History'!R3)*(ROW()-3)/(MATCH(9.99E+307,'Returns (Calc)'!$A:$A)-3),"")</f>
        <v>57.0659119496855</v>
      </c>
      <c r="AM125" s="111" t="n">
        <f aca="false">IFERROR('Price History'!S3+(INDEX('Price History'!S:S,MATCH(9.99E+307,'Price History'!$A:$A))-'Price History'!S3)*(ROW()-3)/(MATCH(9.99E+307,'Returns (Calc)'!$A:$A)-3),"")</f>
        <v>128.502012578616</v>
      </c>
      <c r="AN125" s="111" t="n">
        <f aca="false">IFERROR('Price History'!T3+(INDEX('Price History'!T:T,MATCH(9.99E+307,'Price History'!$A:$A))-'Price History'!T3)*(ROW()-3)/(MATCH(9.99E+307,'Returns (Calc)'!$A:$A)-3),"")</f>
        <v>48.6858490566038</v>
      </c>
      <c r="AO125" s="112" t="n">
        <f aca="false">IFERROR('Price History'!V3+(INDEX('Price History'!V:V,MATCH(9.99E+307,'Price History'!$A:$A))-'Price History'!V3)*(ROW()-3)/(MATCH(9.99E+307,'Returns (Calc)'!$A:$A)-3),"")</f>
        <v>287.789559748428</v>
      </c>
    </row>
    <row r="126" customFormat="false" ht="15" hidden="false" customHeight="true" outlineLevel="0" collapsed="false">
      <c r="A126" s="108" t="n">
        <f aca="false">IF('Price History'!A127="","",'Price History'!A127)</f>
        <v>46017</v>
      </c>
      <c r="B126" s="109" t="n">
        <f aca="false">IFERROR(IF(OR(NOT(ISNUMBER('Price History'!B127)),NOT(ISNUMBER('Price History'!B126)),'Price History'!B126=0),"",'Price History'!B127/'Price History'!B126-1),"")</f>
        <v>-0.00578879334569771</v>
      </c>
      <c r="C126" s="109" t="n">
        <f aca="false">IFERROR(IF(OR(NOT(ISNUMBER('Price History'!C127)),NOT(ISNUMBER('Price History'!C126)),'Price History'!C126=0),"",'Price History'!C127/'Price History'!C126-1),"")</f>
        <v>0.00549115314215976</v>
      </c>
      <c r="D126" s="109" t="n">
        <f aca="false">IFERROR(IF(OR(NOT(ISNUMBER('Price History'!D127)),NOT(ISNUMBER('Price History'!D126)),'Price History'!D126=0),"",'Price History'!D127/'Price History'!D126-1),"")</f>
        <v>0.0158425029828981</v>
      </c>
      <c r="E126" s="109" t="n">
        <f aca="false">IFERROR(IF(OR(NOT(ISNUMBER('Price History'!E127)),NOT(ISNUMBER('Price History'!E126)),'Price History'!E126=0),"",'Price History'!E127/'Price History'!E126-1),"")</f>
        <v>0.0345810318486308</v>
      </c>
      <c r="F126" s="109" t="n">
        <f aca="false">IFERROR(IF(OR(NOT(ISNUMBER('Price History'!F127)),NOT(ISNUMBER('Price History'!F126)),'Price History'!F126=0),"",'Price History'!F127/'Price History'!F126-1),"")</f>
        <v>-0.000166223404255317</v>
      </c>
      <c r="G126" s="109" t="n">
        <f aca="false">IFERROR(IF(OR(NOT(ISNUMBER('Price History'!G127)),NOT(ISNUMBER('Price History'!G126)),'Price History'!G126=0),"",'Price History'!G127/'Price History'!G126-1),"")</f>
        <v>0.0272136148350326</v>
      </c>
      <c r="H126" s="109" t="n">
        <f aca="false">IFERROR(IF(OR(NOT(ISNUMBER('Price History'!H127)),NOT(ISNUMBER('Price History'!H126)),'Price History'!H126=0),"",'Price History'!H127/'Price History'!H126-1),"")</f>
        <v>0.0709611913357402</v>
      </c>
      <c r="I126" s="109" t="n">
        <f aca="false">IFERROR(IF(OR(NOT(ISNUMBER('Price History'!I127)),NOT(ISNUMBER('Price History'!I126)),'Price History'!I126=0),"",'Price History'!I127/'Price History'!I126-1),"")</f>
        <v>0.052710094480358</v>
      </c>
      <c r="J126" s="109" t="n">
        <f aca="false">IFERROR(IF(OR(NOT(ISNUMBER('Price History'!J127)),NOT(ISNUMBER('Price History'!J126)),'Price History'!J126=0),"",'Price History'!J127/'Price History'!J126-1),"")</f>
        <v>0.0116324766171501</v>
      </c>
      <c r="K126" s="109" t="n">
        <f aca="false">IFERROR(IF(OR(NOT(ISNUMBER('Price History'!K127)),NOT(ISNUMBER('Price History'!K126)),'Price History'!K126=0),"",'Price History'!K127/'Price History'!K126-1),"")</f>
        <v>-0.0241493432619712</v>
      </c>
      <c r="L126" s="109" t="n">
        <f aca="false">IFERROR(IF(OR(NOT(ISNUMBER('Price History'!L127)),NOT(ISNUMBER('Price History'!L126)),'Price History'!L126=0),"",'Price History'!L127/'Price History'!L126-1),"")</f>
        <v>0.0480706004499047</v>
      </c>
      <c r="M126" s="109" t="n">
        <f aca="false">IFERROR(IF(OR(NOT(ISNUMBER('Price History'!M127)),NOT(ISNUMBER('Price History'!M126)),'Price History'!M126=0),"",'Price History'!M127/'Price History'!M126-1),"")</f>
        <v>0.0485546239519461</v>
      </c>
      <c r="N126" s="109" t="n">
        <f aca="false">IFERROR(IF(OR(NOT(ISNUMBER('Price History'!N127)),NOT(ISNUMBER('Price History'!N126)),'Price History'!N126=0),"",'Price History'!N127/'Price History'!N126-1),"")</f>
        <v>0.0146865409907935</v>
      </c>
      <c r="O126" s="109" t="n">
        <f aca="false">IFERROR(IF(OR(NOT(ISNUMBER('Price History'!O127)),NOT(ISNUMBER('Price History'!O126)),'Price History'!O126=0),"",'Price History'!O127/'Price History'!O126-1),"")</f>
        <v>-0.000867219117363649</v>
      </c>
      <c r="P126" s="109" t="str">
        <f aca="false">IFERROR(IF(OR(NOT(ISNUMBER('Price History'!P127)),NOT(ISNUMBER('Price History'!P126)),'Price History'!P126=0),"",'Price History'!P127/'Price History'!P126-1),"")</f>
        <v/>
      </c>
      <c r="Q126" s="109" t="n">
        <f aca="false">IFERROR(IF(OR(NOT(ISNUMBER('Price History'!Q127)),NOT(ISNUMBER('Price History'!Q126)),'Price History'!Q126=0),"",'Price History'!Q127/'Price History'!Q126-1),"")</f>
        <v>-0.00878499106611086</v>
      </c>
      <c r="R126" s="109" t="n">
        <f aca="false">IFERROR(IF(OR(NOT(ISNUMBER('Price History'!R127)),NOT(ISNUMBER('Price History'!R126)),'Price History'!R126=0),"",'Price History'!R127/'Price History'!R126-1),"")</f>
        <v>0.0122824974411464</v>
      </c>
      <c r="S126" s="109" t="n">
        <f aca="false">IFERROR(IF(OR(NOT(ISNUMBER('Price History'!S127)),NOT(ISNUMBER('Price History'!S126)),'Price History'!S126=0),"",'Price History'!S127/'Price History'!S126-1),"")</f>
        <v>0.0154772860369781</v>
      </c>
      <c r="T126" s="109" t="n">
        <f aca="false">IFERROR(IF(OR(NOT(ISNUMBER('Price History'!T127)),NOT(ISNUMBER('Price History'!T126)),'Price History'!T126=0),"",'Price History'!T127/'Price History'!T126-1),"")</f>
        <v>0.00657728307614458</v>
      </c>
      <c r="U126" s="109" t="str">
        <f aca="false">IFERROR(IF(OR(NOT(ISNUMBER('Price History'!U127)),NOT(ISNUMBER('Price History'!U126)),'Price History'!U126=0),"",'Price History'!U127/'Price History'!U126-1),"")</f>
        <v/>
      </c>
      <c r="V126" s="110" t="n">
        <f aca="false">IFERROR(IF(OR(NOT(ISNUMBER('Price History'!V127)),NOT(ISNUMBER('Price History'!V126)),'Price History'!V126=0),"",'Price History'!V127/'Price History'!V126-1),"")</f>
        <v>0.0164472736699599</v>
      </c>
      <c r="W126" s="111" t="n">
        <f aca="false">IFERROR('Price History'!B3+(INDEX('Price History'!B:B,MATCH(9.99E+307,'Price History'!$A:$A))-'Price History'!B3)*(ROW()-3)/(MATCH(9.99E+307,'Returns (Calc)'!$A:$A)-3),"")</f>
        <v>321.288867924528</v>
      </c>
      <c r="X126" s="111" t="n">
        <f aca="false">IFERROR('Price History'!C3+(INDEX('Price History'!C:C,MATCH(9.99E+307,'Price History'!$A:$A))-'Price History'!C3)*(ROW()-3)/(MATCH(9.99E+307,'Returns (Calc)'!$A:$A)-3),"")</f>
        <v>159.808679245283</v>
      </c>
      <c r="Y126" s="111" t="n">
        <f aca="false">IFERROR('Price History'!D3+(INDEX('Price History'!D:D,MATCH(9.99E+307,'Price History'!$A:$A))-'Price History'!D3)*(ROW()-3)/(MATCH(9.99E+307,'Returns (Calc)'!$A:$A)-3),"")</f>
        <v>1476.44226415094</v>
      </c>
      <c r="Z126" s="111" t="n">
        <f aca="false">IFERROR('Price History'!E3+(INDEX('Price History'!E:E,MATCH(9.99E+307,'Price History'!$A:$A))-'Price History'!E3)*(ROW()-3)/(MATCH(9.99E+307,'Returns (Calc)'!$A:$A)-3),"")</f>
        <v>295.653962264151</v>
      </c>
      <c r="AA126" s="111" t="n">
        <f aca="false">IFERROR('Price History'!F3+(INDEX('Price History'!F:F,MATCH(9.99E+307,'Price History'!$A:$A))-'Price History'!F3)*(ROW()-3)/(MATCH(9.99E+307,'Returns (Calc)'!$A:$A)-3),"")</f>
        <v>173.241886792453</v>
      </c>
      <c r="AB126" s="111" t="n">
        <f aca="false">IFERROR('Price History'!G3+(INDEX('Price History'!G:G,MATCH(9.99E+307,'Price History'!$A:$A))-'Price History'!G3)*(ROW()-3)/(MATCH(9.99E+307,'Returns (Calc)'!$A:$A)-3),"")</f>
        <v>154.422641509434</v>
      </c>
      <c r="AC126" s="111" t="n">
        <f aca="false">IFERROR('Price History'!H3+(INDEX('Price History'!H:H,MATCH(9.99E+307,'Price History'!$A:$A))-'Price History'!H3)*(ROW()-3)/(MATCH(9.99E+307,'Returns (Calc)'!$A:$A)-3),"")</f>
        <v>800.993018867925</v>
      </c>
      <c r="AD126" s="111" t="n">
        <f aca="false">IFERROR('Price History'!I3+(INDEX('Price History'!I:I,MATCH(9.99E+307,'Price History'!$A:$A))-'Price History'!I3)*(ROW()-3)/(MATCH(9.99E+307,'Returns (Calc)'!$A:$A)-3),"")</f>
        <v>187.452075471698</v>
      </c>
      <c r="AE126" s="111" t="n">
        <f aca="false">IFERROR('Price History'!J3+(INDEX('Price History'!J:J,MATCH(9.99E+307,'Price History'!$A:$A))-'Price History'!J3)*(ROW()-3)/(MATCH(9.99E+307,'Returns (Calc)'!$A:$A)-3),"")</f>
        <v>134.208679245283</v>
      </c>
      <c r="AF126" s="111" t="n">
        <f aca="false">IFERROR('Price History'!K3+(INDEX('Price History'!K:K,MATCH(9.99E+307,'Price History'!$A:$A))-'Price History'!K3)*(ROW()-3)/(MATCH(9.99E+307,'Returns (Calc)'!$A:$A)-3),"")</f>
        <v>138.348113207547</v>
      </c>
      <c r="AG126" s="111" t="n">
        <f aca="false">IFERROR('Price History'!L3+(INDEX('Price History'!L:L,MATCH(9.99E+307,'Price History'!$A:$A))-'Price History'!L3)*(ROW()-3)/(MATCH(9.99E+307,'Returns (Calc)'!$A:$A)-3),"")</f>
        <v>352.626226415094</v>
      </c>
      <c r="AH126" s="111" t="n">
        <f aca="false">IFERROR('Price History'!M3+(INDEX('Price History'!M:M,MATCH(9.99E+307,'Price History'!$A:$A))-'Price History'!M3)*(ROW()-3)/(MATCH(9.99E+307,'Returns (Calc)'!$A:$A)-3),"")</f>
        <v>224.600943396226</v>
      </c>
      <c r="AI126" s="111" t="n">
        <f aca="false">IFERROR('Price History'!N3+(INDEX('Price History'!N:N,MATCH(9.99E+307,'Price History'!$A:$A))-'Price History'!N3)*(ROW()-3)/(MATCH(9.99E+307,'Returns (Calc)'!$A:$A)-3),"")</f>
        <v>501.683773584906</v>
      </c>
      <c r="AJ126" s="111" t="n">
        <f aca="false">IFERROR('Price History'!O3+(INDEX('Price History'!O:O,MATCH(9.99E+307,'Price History'!$A:$A))-'Price History'!O3)*(ROW()-3)/(MATCH(9.99E+307,'Returns (Calc)'!$A:$A)-3),"")</f>
        <v>116.949622641509</v>
      </c>
      <c r="AK126" s="111" t="n">
        <f aca="false">IFERROR('Price History'!Q3+(INDEX('Price History'!Q:Q,MATCH(9.99E+307,'Price History'!$A:$A))-'Price History'!Q3)*(ROW()-3)/(MATCH(9.99E+307,'Returns (Calc)'!$A:$A)-3),"")</f>
        <v>65.2188679245283</v>
      </c>
      <c r="AL126" s="111" t="n">
        <f aca="false">IFERROR('Price History'!R3+(INDEX('Price History'!R:R,MATCH(9.99E+307,'Price History'!$A:$A))-'Price History'!R3)*(ROW()-3)/(MATCH(9.99E+307,'Returns (Calc)'!$A:$A)-3),"")</f>
        <v>57.1416981132075</v>
      </c>
      <c r="AM126" s="111" t="n">
        <f aca="false">IFERROR('Price History'!S3+(INDEX('Price History'!S:S,MATCH(9.99E+307,'Price History'!$A:$A))-'Price History'!S3)*(ROW()-3)/(MATCH(9.99E+307,'Returns (Calc)'!$A:$A)-3),"")</f>
        <v>129.075471698113</v>
      </c>
      <c r="AN126" s="111" t="n">
        <f aca="false">IFERROR('Price History'!T3+(INDEX('Price History'!T:T,MATCH(9.99E+307,'Price History'!$A:$A))-'Price History'!T3)*(ROW()-3)/(MATCH(9.99E+307,'Returns (Calc)'!$A:$A)-3),"")</f>
        <v>48.8643396226415</v>
      </c>
      <c r="AO126" s="112" t="n">
        <f aca="false">IFERROR('Price History'!V3+(INDEX('Price History'!V:V,MATCH(9.99E+307,'Price History'!$A:$A))-'Price History'!V3)*(ROW()-3)/(MATCH(9.99E+307,'Returns (Calc)'!$A:$A)-3),"")</f>
        <v>290.148490566038</v>
      </c>
    </row>
    <row r="127" customFormat="false" ht="15" hidden="false" customHeight="true" outlineLevel="0" collapsed="false">
      <c r="A127" s="108" t="n">
        <f aca="false">IF('Price History'!A128="","",'Price History'!A128)</f>
        <v>46024</v>
      </c>
      <c r="B127" s="109" t="n">
        <f aca="false">IFERROR(IF(OR(NOT(ISNUMBER('Price History'!B128)),NOT(ISNUMBER('Price History'!B127)),'Price History'!B127=0),"",'Price History'!B128/'Price History'!B127-1),"")</f>
        <v>-0.0579423403052572</v>
      </c>
      <c r="C127" s="109" t="n">
        <f aca="false">IFERROR(IF(OR(NOT(ISNUMBER('Price History'!C128)),NOT(ISNUMBER('Price History'!C127)),'Price History'!C127=0),"",'Price History'!C128/'Price History'!C127-1),"")</f>
        <v>0.0133495145631066</v>
      </c>
      <c r="D127" s="109" t="n">
        <f aca="false">IFERROR(IF(OR(NOT(ISNUMBER('Price History'!D128)),NOT(ISNUMBER('Price History'!D127)),'Price History'!D127=0),"",'Price History'!D128/'Price History'!D127-1),"")</f>
        <v>0.0848566767653227</v>
      </c>
      <c r="E127" s="109" t="n">
        <f aca="false">IFERROR(IF(OR(NOT(ISNUMBER('Price History'!E128)),NOT(ISNUMBER('Price History'!E127)),'Price History'!E127=0),"",'Price History'!E128/'Price History'!E127-1),"")</f>
        <v>-0.012807769857723</v>
      </c>
      <c r="F127" s="109" t="n">
        <f aca="false">IFERROR(IF(OR(NOT(ISNUMBER('Price History'!F128)),NOT(ISNUMBER('Price History'!F127)),'Price History'!F127=0),"",'Price History'!F128/'Price History'!F127-1),"")</f>
        <v>-0.057356608478803</v>
      </c>
      <c r="G127" s="109" t="n">
        <f aca="false">IFERROR(IF(OR(NOT(ISNUMBER('Price History'!G128)),NOT(ISNUMBER('Price History'!G127)),'Price History'!G127=0),"",'Price History'!G128/'Price History'!G127-1),"")</f>
        <v>-0.00398562050640816</v>
      </c>
      <c r="H127" s="109" t="n">
        <f aca="false">IFERROR(IF(OR(NOT(ISNUMBER('Price History'!H128)),NOT(ISNUMBER('Price History'!H127)),'Price History'!H127=0),"",'Price History'!H128/'Price History'!H127-1),"")</f>
        <v>0.107552933740651</v>
      </c>
      <c r="I127" s="109" t="n">
        <f aca="false">IFERROR(IF(OR(NOT(ISNUMBER('Price History'!I128)),NOT(ISNUMBER('Price History'!I127)),'Price History'!I127=0),"",'Price History'!I128/'Price History'!I127-1),"")</f>
        <v>-0.00881750905369239</v>
      </c>
      <c r="J127" s="109" t="n">
        <f aca="false">IFERROR(IF(OR(NOT(ISNUMBER('Price History'!J128)),NOT(ISNUMBER('Price History'!J127)),'Price History'!J127=0),"",'Price History'!J128/'Price History'!J127-1),"")</f>
        <v>0.00264159738948022</v>
      </c>
      <c r="K127" s="109" t="n">
        <f aca="false">IFERROR(IF(OR(NOT(ISNUMBER('Price History'!K128)),NOT(ISNUMBER('Price History'!K127)),'Price History'!K127=0),"",'Price History'!K128/'Price History'!K127-1),"")</f>
        <v>-0.110486990620529</v>
      </c>
      <c r="L127" s="109" t="n">
        <f aca="false">IFERROR(IF(OR(NOT(ISNUMBER('Price History'!L128)),NOT(ISNUMBER('Price History'!L127)),'Price History'!L127=0),"",'Price History'!L128/'Price History'!L127-1),"")</f>
        <v>0.0553757759873201</v>
      </c>
      <c r="M127" s="109" t="n">
        <f aca="false">IFERROR(IF(OR(NOT(ISNUMBER('Price History'!M128)),NOT(ISNUMBER('Price History'!M127)),'Price History'!M127=0),"",'Price History'!M128/'Price History'!M127-1),"")</f>
        <v>0.0479174125790667</v>
      </c>
      <c r="N127" s="109" t="n">
        <f aca="false">IFERROR(IF(OR(NOT(ISNUMBER('Price History'!N128)),NOT(ISNUMBER('Price History'!N127)),'Price History'!N127=0),"",'Price History'!N128/'Price History'!N127-1),"")</f>
        <v>-0.0232663642255346</v>
      </c>
      <c r="O127" s="109" t="n">
        <f aca="false">IFERROR(IF(OR(NOT(ISNUMBER('Price History'!O128)),NOT(ISNUMBER('Price History'!O127)),'Price History'!O127=0),"",'Price History'!O128/'Price History'!O127-1),"")</f>
        <v>-0.00549715498119385</v>
      </c>
      <c r="P127" s="109" t="str">
        <f aca="false">IFERROR(IF(OR(NOT(ISNUMBER('Price History'!P128)),NOT(ISNUMBER('Price History'!P127)),'Price History'!P127=0),"",'Price History'!P128/'Price History'!P127-1),"")</f>
        <v/>
      </c>
      <c r="Q127" s="109" t="n">
        <f aca="false">IFERROR(IF(OR(NOT(ISNUMBER('Price History'!Q128)),NOT(ISNUMBER('Price History'!Q127)),'Price History'!Q127=0),"",'Price History'!Q128/'Price History'!Q127-1),"")</f>
        <v>0.00691001952831627</v>
      </c>
      <c r="R127" s="109" t="n">
        <f aca="false">IFERROR(IF(OR(NOT(ISNUMBER('Price History'!R128)),NOT(ISNUMBER('Price History'!R127)),'Price History'!R127=0),"",'Price History'!R128/'Price History'!R127-1),"")</f>
        <v>-0.0210650488709134</v>
      </c>
      <c r="S127" s="109" t="n">
        <f aca="false">IFERROR(IF(OR(NOT(ISNUMBER('Price History'!S128)),NOT(ISNUMBER('Price History'!S127)),'Price History'!S127=0),"",'Price History'!S128/'Price History'!S127-1),"")</f>
        <v>-0.014087988136431</v>
      </c>
      <c r="T127" s="109" t="n">
        <f aca="false">IFERROR(IF(OR(NOT(ISNUMBER('Price History'!T128)),NOT(ISNUMBER('Price History'!T127)),'Price History'!T127=0),"",'Price History'!T128/'Price History'!T127-1),"")</f>
        <v>-0.0092988187986931</v>
      </c>
      <c r="U127" s="109" t="str">
        <f aca="false">IFERROR(IF(OR(NOT(ISNUMBER('Price History'!U128)),NOT(ISNUMBER('Price History'!U127)),'Price History'!U127=0),"",'Price History'!U128/'Price History'!U127-1),"")</f>
        <v/>
      </c>
      <c r="V127" s="110" t="n">
        <f aca="false">IFERROR(IF(OR(NOT(ISNUMBER('Price History'!V128)),NOT(ISNUMBER('Price History'!V127)),'Price History'!V127=0),"",'Price History'!V128/'Price History'!V127-1),"")</f>
        <v>-0.0240024937655859</v>
      </c>
      <c r="W127" s="111" t="n">
        <f aca="false">IFERROR('Price History'!B3+(INDEX('Price History'!B:B,MATCH(9.99E+307,'Price History'!$A:$A))-'Price History'!B3)*(ROW()-3)/(MATCH(9.99E+307,'Returns (Calc)'!$A:$A)-3),"")</f>
        <v>319.767232704403</v>
      </c>
      <c r="X127" s="111" t="n">
        <f aca="false">IFERROR('Price History'!C3+(INDEX('Price History'!C:C,MATCH(9.99E+307,'Price History'!$A:$A))-'Price History'!C3)*(ROW()-3)/(MATCH(9.99E+307,'Returns (Calc)'!$A:$A)-3),"")</f>
        <v>160.752327044025</v>
      </c>
      <c r="Y127" s="111" t="n">
        <f aca="false">IFERROR('Price History'!D3+(INDEX('Price History'!D:D,MATCH(9.99E+307,'Price History'!$A:$A))-'Price History'!D3)*(ROW()-3)/(MATCH(9.99E+307,'Returns (Calc)'!$A:$A)-3),"")</f>
        <v>1483.0655345912</v>
      </c>
      <c r="Z127" s="111" t="n">
        <f aca="false">IFERROR('Price History'!E3+(INDEX('Price History'!E:E,MATCH(9.99E+307,'Price History'!$A:$A))-'Price History'!E3)*(ROW()-3)/(MATCH(9.99E+307,'Returns (Calc)'!$A:$A)-3),"")</f>
        <v>297.383018867925</v>
      </c>
      <c r="AA127" s="111" t="n">
        <f aca="false">IFERROR('Price History'!F3+(INDEX('Price History'!F:F,MATCH(9.99E+307,'Price History'!$A:$A))-'Price History'!F3)*(ROW()-3)/(MATCH(9.99E+307,'Returns (Calc)'!$A:$A)-3),"")</f>
        <v>174.349056603774</v>
      </c>
      <c r="AB127" s="111" t="n">
        <f aca="false">IFERROR('Price History'!G3+(INDEX('Price History'!G:G,MATCH(9.99E+307,'Price History'!$A:$A))-'Price History'!G3)*(ROW()-3)/(MATCH(9.99E+307,'Returns (Calc)'!$A:$A)-3),"")</f>
        <v>155.288679245283</v>
      </c>
      <c r="AC127" s="111" t="n">
        <f aca="false">IFERROR('Price History'!H3+(INDEX('Price History'!H:H,MATCH(9.99E+307,'Price History'!$A:$A))-'Price History'!H3)*(ROW()-3)/(MATCH(9.99E+307,'Returns (Calc)'!$A:$A)-3),"")</f>
        <v>806.981823899371</v>
      </c>
      <c r="AD127" s="111" t="n">
        <f aca="false">IFERROR('Price History'!I3+(INDEX('Price History'!I:I,MATCH(9.99E+307,'Price History'!$A:$A))-'Price History'!I3)*(ROW()-3)/(MATCH(9.99E+307,'Returns (Calc)'!$A:$A)-3),"")</f>
        <v>188.643962264151</v>
      </c>
      <c r="AE127" s="111" t="n">
        <f aca="false">IFERROR('Price History'!J3+(INDEX('Price History'!J:J,MATCH(9.99E+307,'Price History'!$A:$A))-'Price History'!J3)*(ROW()-3)/(MATCH(9.99E+307,'Returns (Calc)'!$A:$A)-3),"")</f>
        <v>134.295660377359</v>
      </c>
      <c r="AF127" s="111" t="n">
        <f aca="false">IFERROR('Price History'!K3+(INDEX('Price History'!K:K,MATCH(9.99E+307,'Price History'!$A:$A))-'Price History'!K3)*(ROW()-3)/(MATCH(9.99E+307,'Returns (Calc)'!$A:$A)-3),"")</f>
        <v>139.347610062893</v>
      </c>
      <c r="AG127" s="111" t="n">
        <f aca="false">IFERROR('Price History'!L3+(INDEX('Price History'!L:L,MATCH(9.99E+307,'Price History'!$A:$A))-'Price History'!L3)*(ROW()-3)/(MATCH(9.99E+307,'Returns (Calc)'!$A:$A)-3),"")</f>
        <v>354.745220125786</v>
      </c>
      <c r="AH127" s="111" t="n">
        <f aca="false">IFERROR('Price History'!M3+(INDEX('Price History'!M:M,MATCH(9.99E+307,'Price History'!$A:$A))-'Price History'!M3)*(ROW()-3)/(MATCH(9.99E+307,'Returns (Calc)'!$A:$A)-3),"")</f>
        <v>226.154528301887</v>
      </c>
      <c r="AI127" s="111" t="n">
        <f aca="false">IFERROR('Price History'!N3+(INDEX('Price History'!N:N,MATCH(9.99E+307,'Price History'!$A:$A))-'Price History'!N3)*(ROW()-3)/(MATCH(9.99E+307,'Returns (Calc)'!$A:$A)-3),"")</f>
        <v>502.918113207547</v>
      </c>
      <c r="AJ127" s="111" t="n">
        <f aca="false">IFERROR('Price History'!O3+(INDEX('Price History'!O:O,MATCH(9.99E+307,'Price History'!$A:$A))-'Price History'!O3)*(ROW()-3)/(MATCH(9.99E+307,'Returns (Calc)'!$A:$A)-3),"")</f>
        <v>117.226855345912</v>
      </c>
      <c r="AK127" s="111" t="n">
        <f aca="false">IFERROR('Price History'!Q3+(INDEX('Price History'!Q:Q,MATCH(9.99E+307,'Price History'!$A:$A))-'Price History'!Q3)*(ROW()-3)/(MATCH(9.99E+307,'Returns (Calc)'!$A:$A)-3),"")</f>
        <v>65.3438993710692</v>
      </c>
      <c r="AL127" s="111" t="n">
        <f aca="false">IFERROR('Price History'!R3+(INDEX('Price History'!R:R,MATCH(9.99E+307,'Price History'!$A:$A))-'Price History'!R3)*(ROW()-3)/(MATCH(9.99E+307,'Returns (Calc)'!$A:$A)-3),"")</f>
        <v>57.2174842767296</v>
      </c>
      <c r="AM127" s="111" t="n">
        <f aca="false">IFERROR('Price History'!S3+(INDEX('Price History'!S:S,MATCH(9.99E+307,'Price History'!$A:$A))-'Price History'!S3)*(ROW()-3)/(MATCH(9.99E+307,'Returns (Calc)'!$A:$A)-3),"")</f>
        <v>129.64893081761</v>
      </c>
      <c r="AN127" s="111" t="n">
        <f aca="false">IFERROR('Price History'!T3+(INDEX('Price History'!T:T,MATCH(9.99E+307,'Price History'!$A:$A))-'Price History'!T3)*(ROW()-3)/(MATCH(9.99E+307,'Returns (Calc)'!$A:$A)-3),"")</f>
        <v>49.0428301886793</v>
      </c>
      <c r="AO127" s="112" t="n">
        <f aca="false">IFERROR('Price History'!V3+(INDEX('Price History'!V:V,MATCH(9.99E+307,'Price History'!$A:$A))-'Price History'!V3)*(ROW()-3)/(MATCH(9.99E+307,'Returns (Calc)'!$A:$A)-3),"")</f>
        <v>292.507421383648</v>
      </c>
    </row>
    <row r="128" customFormat="false" ht="15" hidden="false" customHeight="true" outlineLevel="0" collapsed="false">
      <c r="A128" s="108" t="n">
        <f aca="false">IF('Price History'!A129="","",'Price History'!A129)</f>
        <v>46031</v>
      </c>
      <c r="B128" s="109" t="n">
        <f aca="false">IFERROR(IF(OR(NOT(ISNUMBER('Price History'!B129)),NOT(ISNUMBER('Price History'!B128)),'Price History'!B128=0),"",'Price History'!B129/'Price History'!B128-1),"")</f>
        <v>0.00195019501950178</v>
      </c>
      <c r="C128" s="109" t="n">
        <f aca="false">IFERROR(IF(OR(NOT(ISNUMBER('Price History'!C129)),NOT(ISNUMBER('Price History'!C128)),'Price History'!C128=0),"",'Price History'!C129/'Price History'!C128-1),"")</f>
        <v>-0.0801646706586826</v>
      </c>
      <c r="D128" s="109" t="n">
        <f aca="false">IFERROR(IF(OR(NOT(ISNUMBER('Price History'!D129)),NOT(ISNUMBER('Price History'!D128)),'Price History'!D128=0),"",'Price History'!D129/'Price History'!D128-1),"")</f>
        <v>0.0946055096324048</v>
      </c>
      <c r="E128" s="109" t="n">
        <f aca="false">IFERROR(IF(OR(NOT(ISNUMBER('Price History'!E129)),NOT(ISNUMBER('Price History'!E128)),'Price History'!E128=0),"",'Price History'!E129/'Price History'!E128-1),"")</f>
        <v>-0.00762326678557035</v>
      </c>
      <c r="F128" s="109" t="n">
        <f aca="false">IFERROR(IF(OR(NOT(ISNUMBER('Price History'!F129)),NOT(ISNUMBER('Price History'!F128)),'Price History'!F128=0),"",'Price History'!F129/'Price History'!F128-1),"")</f>
        <v>0.0374779541446209</v>
      </c>
      <c r="G128" s="109" t="n">
        <f aca="false">IFERROR(IF(OR(NOT(ISNUMBER('Price History'!G129)),NOT(ISNUMBER('Price History'!G128)),'Price History'!G128=0),"",'Price History'!G129/'Price History'!G128-1),"")</f>
        <v>0.0984699882306788</v>
      </c>
      <c r="H128" s="109" t="n">
        <f aca="false">IFERROR(IF(OR(NOT(ISNUMBER('Price History'!H129)),NOT(ISNUMBER('Price History'!H128)),'Price History'!H128=0),"",'Price History'!H129/'Price History'!H128-1),"")</f>
        <v>0.0940650561156551</v>
      </c>
      <c r="I128" s="109" t="n">
        <f aca="false">IFERROR(IF(OR(NOT(ISNUMBER('Price History'!I129)),NOT(ISNUMBER('Price History'!I128)),'Price History'!I128=0),"",'Price History'!I129/'Price History'!I128-1),"")</f>
        <v>-0.0211278792692612</v>
      </c>
      <c r="J128" s="109" t="n">
        <f aca="false">IFERROR(IF(OR(NOT(ISNUMBER('Price History'!J129)),NOT(ISNUMBER('Price History'!J128)),'Price History'!J128=0),"",'Price History'!J129/'Price History'!J128-1),"")</f>
        <v>0.00271212708252611</v>
      </c>
      <c r="K128" s="109" t="n">
        <f aca="false">IFERROR(IF(OR(NOT(ISNUMBER('Price History'!K129)),NOT(ISNUMBER('Price History'!K128)),'Price History'!K128=0),"",'Price History'!K129/'Price History'!K128-1),"")</f>
        <v>0.0573692362683189</v>
      </c>
      <c r="L128" s="109" t="n">
        <f aca="false">IFERROR(IF(OR(NOT(ISNUMBER('Price History'!L129)),NOT(ISNUMBER('Price History'!L128)),'Price History'!L128=0),"",'Price History'!L129/'Price History'!L128-1),"")</f>
        <v>0.0125778292293732</v>
      </c>
      <c r="M128" s="109" t="n">
        <f aca="false">IFERROR(IF(OR(NOT(ISNUMBER('Price History'!M129)),NOT(ISNUMBER('Price History'!M128)),'Price History'!M128=0),"",'Price History'!M129/'Price History'!M128-1),"")</f>
        <v>-0.0685040715221229</v>
      </c>
      <c r="N128" s="109" t="n">
        <f aca="false">IFERROR(IF(OR(NOT(ISNUMBER('Price History'!N129)),NOT(ISNUMBER('Price History'!N128)),'Price History'!N128=0),"",'Price History'!N129/'Price History'!N128-1),"")</f>
        <v>0.0259438657023423</v>
      </c>
      <c r="O128" s="109" t="n">
        <f aca="false">IFERROR(IF(OR(NOT(ISNUMBER('Price History'!O129)),NOT(ISNUMBER('Price History'!O128)),'Price History'!O128=0),"",'Price History'!O129/'Price History'!O128-1),"")</f>
        <v>0.0408262218774242</v>
      </c>
      <c r="P128" s="109" t="str">
        <f aca="false">IFERROR(IF(OR(NOT(ISNUMBER('Price History'!P129)),NOT(ISNUMBER('Price History'!P128)),'Price History'!P128=0),"",'Price History'!P129/'Price History'!P128-1),"")</f>
        <v/>
      </c>
      <c r="Q128" s="109" t="n">
        <f aca="false">IFERROR(IF(OR(NOT(ISNUMBER('Price History'!Q129)),NOT(ISNUMBER('Price History'!Q128)),'Price History'!Q128=0),"",'Price History'!Q129/'Price History'!Q128-1),"")</f>
        <v>-0.00581829031776815</v>
      </c>
      <c r="R128" s="109" t="n">
        <f aca="false">IFERROR(IF(OR(NOT(ISNUMBER('Price History'!R129)),NOT(ISNUMBER('Price History'!R128)),'Price History'!R128=0),"",'Price History'!R129/'Price History'!R128-1),"")</f>
        <v>0.0184196935789291</v>
      </c>
      <c r="S128" s="109" t="n">
        <f aca="false">IFERROR(IF(OR(NOT(ISNUMBER('Price History'!S129)),NOT(ISNUMBER('Price History'!S128)),'Price History'!S128=0),"",'Price History'!S129/'Price History'!S128-1),"")</f>
        <v>0.00300827275006266</v>
      </c>
      <c r="T128" s="109" t="n">
        <f aca="false">IFERROR(IF(OR(NOT(ISNUMBER('Price History'!T129)),NOT(ISNUMBER('Price History'!T128)),'Price History'!T128=0),"",'Price History'!T129/'Price History'!T128-1),"")</f>
        <v>0.0256215119228818</v>
      </c>
      <c r="U128" s="109" t="str">
        <f aca="false">IFERROR(IF(OR(NOT(ISNUMBER('Price History'!U129)),NOT(ISNUMBER('Price History'!U128)),'Price History'!U128=0),"",'Price History'!U129/'Price History'!U128-1),"")</f>
        <v/>
      </c>
      <c r="V128" s="110" t="n">
        <f aca="false">IFERROR(IF(OR(NOT(ISNUMBER('Price History'!V129)),NOT(ISNUMBER('Price History'!V128)),'Price History'!V128=0),"",'Price History'!V129/'Price History'!V128-1),"")</f>
        <v>0.0094944978368805</v>
      </c>
      <c r="W128" s="111" t="n">
        <f aca="false">IFERROR('Price History'!B3+(INDEX('Price History'!B:B,MATCH(9.99E+307,'Price History'!$A:$A))-'Price History'!B3)*(ROW()-3)/(MATCH(9.99E+307,'Returns (Calc)'!$A:$A)-3),"")</f>
        <v>318.245597484277</v>
      </c>
      <c r="X128" s="111" t="n">
        <f aca="false">IFERROR('Price History'!C3+(INDEX('Price History'!C:C,MATCH(9.99E+307,'Price History'!$A:$A))-'Price History'!C3)*(ROW()-3)/(MATCH(9.99E+307,'Returns (Calc)'!$A:$A)-3),"")</f>
        <v>161.695974842767</v>
      </c>
      <c r="Y128" s="111" t="n">
        <f aca="false">IFERROR('Price History'!D3+(INDEX('Price History'!D:D,MATCH(9.99E+307,'Price History'!$A:$A))-'Price History'!D3)*(ROW()-3)/(MATCH(9.99E+307,'Returns (Calc)'!$A:$A)-3),"")</f>
        <v>1489.68880503145</v>
      </c>
      <c r="Z128" s="111" t="n">
        <f aca="false">IFERROR('Price History'!E3+(INDEX('Price History'!E:E,MATCH(9.99E+307,'Price History'!$A:$A))-'Price History'!E3)*(ROW()-3)/(MATCH(9.99E+307,'Returns (Calc)'!$A:$A)-3),"")</f>
        <v>299.112075471698</v>
      </c>
      <c r="AA128" s="111" t="n">
        <f aca="false">IFERROR('Price History'!F3+(INDEX('Price History'!F:F,MATCH(9.99E+307,'Price History'!$A:$A))-'Price History'!F3)*(ROW()-3)/(MATCH(9.99E+307,'Returns (Calc)'!$A:$A)-3),"")</f>
        <v>175.456226415094</v>
      </c>
      <c r="AB128" s="111" t="n">
        <f aca="false">IFERROR('Price History'!G3+(INDEX('Price History'!G:G,MATCH(9.99E+307,'Price History'!$A:$A))-'Price History'!G3)*(ROW()-3)/(MATCH(9.99E+307,'Returns (Calc)'!$A:$A)-3),"")</f>
        <v>156.154716981132</v>
      </c>
      <c r="AC128" s="111" t="n">
        <f aca="false">IFERROR('Price History'!H3+(INDEX('Price History'!H:H,MATCH(9.99E+307,'Price History'!$A:$A))-'Price History'!H3)*(ROW()-3)/(MATCH(9.99E+307,'Returns (Calc)'!$A:$A)-3),"")</f>
        <v>812.970628930818</v>
      </c>
      <c r="AD128" s="111" t="n">
        <f aca="false">IFERROR('Price History'!I3+(INDEX('Price History'!I:I,MATCH(9.99E+307,'Price History'!$A:$A))-'Price History'!I3)*(ROW()-3)/(MATCH(9.99E+307,'Returns (Calc)'!$A:$A)-3),"")</f>
        <v>189.835849056604</v>
      </c>
      <c r="AE128" s="111" t="n">
        <f aca="false">IFERROR('Price History'!J3+(INDEX('Price History'!J:J,MATCH(9.99E+307,'Price History'!$A:$A))-'Price History'!J3)*(ROW()-3)/(MATCH(9.99E+307,'Returns (Calc)'!$A:$A)-3),"")</f>
        <v>134.382641509434</v>
      </c>
      <c r="AF128" s="111" t="n">
        <f aca="false">IFERROR('Price History'!K3+(INDEX('Price History'!K:K,MATCH(9.99E+307,'Price History'!$A:$A))-'Price History'!K3)*(ROW()-3)/(MATCH(9.99E+307,'Returns (Calc)'!$A:$A)-3),"")</f>
        <v>140.347106918239</v>
      </c>
      <c r="AG128" s="111" t="n">
        <f aca="false">IFERROR('Price History'!L3+(INDEX('Price History'!L:L,MATCH(9.99E+307,'Price History'!$A:$A))-'Price History'!L3)*(ROW()-3)/(MATCH(9.99E+307,'Returns (Calc)'!$A:$A)-3),"")</f>
        <v>356.864213836478</v>
      </c>
      <c r="AH128" s="111" t="n">
        <f aca="false">IFERROR('Price History'!M3+(INDEX('Price History'!M:M,MATCH(9.99E+307,'Price History'!$A:$A))-'Price History'!M3)*(ROW()-3)/(MATCH(9.99E+307,'Returns (Calc)'!$A:$A)-3),"")</f>
        <v>227.708113207547</v>
      </c>
      <c r="AI128" s="111" t="n">
        <f aca="false">IFERROR('Price History'!N3+(INDEX('Price History'!N:N,MATCH(9.99E+307,'Price History'!$A:$A))-'Price History'!N3)*(ROW()-3)/(MATCH(9.99E+307,'Returns (Calc)'!$A:$A)-3),"")</f>
        <v>504.152452830189</v>
      </c>
      <c r="AJ128" s="111" t="n">
        <f aca="false">IFERROR('Price History'!O3+(INDEX('Price History'!O:O,MATCH(9.99E+307,'Price History'!$A:$A))-'Price History'!O3)*(ROW()-3)/(MATCH(9.99E+307,'Returns (Calc)'!$A:$A)-3),"")</f>
        <v>117.504088050314</v>
      </c>
      <c r="AK128" s="111" t="n">
        <f aca="false">IFERROR('Price History'!Q3+(INDEX('Price History'!Q:Q,MATCH(9.99E+307,'Price History'!$A:$A))-'Price History'!Q3)*(ROW()-3)/(MATCH(9.99E+307,'Returns (Calc)'!$A:$A)-3),"")</f>
        <v>65.4689308176101</v>
      </c>
      <c r="AL128" s="111" t="n">
        <f aca="false">IFERROR('Price History'!R3+(INDEX('Price History'!R:R,MATCH(9.99E+307,'Price History'!$A:$A))-'Price History'!R3)*(ROW()-3)/(MATCH(9.99E+307,'Returns (Calc)'!$A:$A)-3),"")</f>
        <v>57.2932704402516</v>
      </c>
      <c r="AM128" s="111" t="n">
        <f aca="false">IFERROR('Price History'!S3+(INDEX('Price History'!S:S,MATCH(9.99E+307,'Price History'!$A:$A))-'Price History'!S3)*(ROW()-3)/(MATCH(9.99E+307,'Returns (Calc)'!$A:$A)-3),"")</f>
        <v>130.222389937107</v>
      </c>
      <c r="AN128" s="111" t="n">
        <f aca="false">IFERROR('Price History'!T3+(INDEX('Price History'!T:T,MATCH(9.99E+307,'Price History'!$A:$A))-'Price History'!T3)*(ROW()-3)/(MATCH(9.99E+307,'Returns (Calc)'!$A:$A)-3),"")</f>
        <v>49.221320754717</v>
      </c>
      <c r="AO128" s="112" t="n">
        <f aca="false">IFERROR('Price History'!V3+(INDEX('Price History'!V:V,MATCH(9.99E+307,'Price History'!$A:$A))-'Price History'!V3)*(ROW()-3)/(MATCH(9.99E+307,'Returns (Calc)'!$A:$A)-3),"")</f>
        <v>294.866352201258</v>
      </c>
    </row>
    <row r="129" customFormat="false" ht="15" hidden="false" customHeight="true" outlineLevel="0" collapsed="false">
      <c r="A129" s="108" t="n">
        <f aca="false">IF('Price History'!A130="","",'Price History'!A130)</f>
        <v>46038</v>
      </c>
      <c r="B129" s="109" t="n">
        <f aca="false">IFERROR(IF(OR(NOT(ISNUMBER('Price History'!B130)),NOT(ISNUMBER('Price History'!B129)),'Price History'!B129=0),"",'Price History'!B130/'Price History'!B129-1),"")</f>
        <v>-0.113280431202276</v>
      </c>
      <c r="C129" s="109" t="n">
        <f aca="false">IFERROR(IF(OR(NOT(ISNUMBER('Price History'!C130)),NOT(ISNUMBER('Price History'!C129)),'Price History'!C129=0),"",'Price History'!C130/'Price History'!C129-1),"")</f>
        <v>0.0564732687769551</v>
      </c>
      <c r="D129" s="109" t="n">
        <f aca="false">IFERROR(IF(OR(NOT(ISNUMBER('Price History'!D130)),NOT(ISNUMBER('Price History'!D129)),'Price History'!D129=0),"",'Price History'!D130/'Price History'!D129-1),"")</f>
        <v>0.0664819292241026</v>
      </c>
      <c r="E129" s="109" t="n">
        <f aca="false">IFERROR(IF(OR(NOT(ISNUMBER('Price History'!E130)),NOT(ISNUMBER('Price History'!E129)),'Price History'!E129=0),"",'Price History'!E130/'Price History'!E129-1),"")</f>
        <v>0.0195379308345651</v>
      </c>
      <c r="F129" s="109" t="n">
        <f aca="false">IFERROR(IF(OR(NOT(ISNUMBER('Price History'!F130)),NOT(ISNUMBER('Price History'!F129)),'Price History'!F129=0),"",'Price History'!F130/'Price History'!F129-1),"")</f>
        <v>-0.0355291117722057</v>
      </c>
      <c r="G129" s="109" t="n">
        <f aca="false">IFERROR(IF(OR(NOT(ISNUMBER('Price History'!G130)),NOT(ISNUMBER('Price History'!G129)),'Price History'!G129=0),"",'Price History'!G130/'Price History'!G129-1),"")</f>
        <v>0.119857142857143</v>
      </c>
      <c r="H129" s="109" t="n">
        <f aca="false">IFERROR(IF(OR(NOT(ISNUMBER('Price History'!H130)),NOT(ISNUMBER('Price History'!H129)),'Price History'!H129=0),"",'Price History'!H130/'Price History'!H129-1),"")</f>
        <v>0.0511750557825497</v>
      </c>
      <c r="I129" s="109" t="n">
        <f aca="false">IFERROR(IF(OR(NOT(ISNUMBER('Price History'!I130)),NOT(ISNUMBER('Price History'!I129)),'Price History'!I129=0),"",'Price History'!I130/'Price History'!I129-1),"")</f>
        <v>0.00741101374012754</v>
      </c>
      <c r="J129" s="109" t="n">
        <f aca="false">IFERROR(IF(OR(NOT(ISNUMBER('Price History'!J130)),NOT(ISNUMBER('Price History'!J129)),'Price History'!J129=0),"",'Price History'!J130/'Price History'!J129-1),"")</f>
        <v>0.0294435857805255</v>
      </c>
      <c r="K129" s="109" t="n">
        <f aca="false">IFERROR(IF(OR(NOT(ISNUMBER('Price History'!K130)),NOT(ISNUMBER('Price History'!K129)),'Price History'!K129=0),"",'Price History'!K130/'Price History'!K129-1),"")</f>
        <v>-0.0367908051157811</v>
      </c>
      <c r="L129" s="109" t="n">
        <f aca="false">IFERROR(IF(OR(NOT(ISNUMBER('Price History'!L130)),NOT(ISNUMBER('Price History'!L129)),'Price History'!L129=0),"",'Price History'!L130/'Price History'!L129-1),"")</f>
        <v>0.0579983314278651</v>
      </c>
      <c r="M129" s="109" t="n">
        <f aca="false">IFERROR(IF(OR(NOT(ISNUMBER('Price History'!M130)),NOT(ISNUMBER('Price History'!M129)),'Price History'!M129=0),"",'Price History'!M130/'Price History'!M129-1),"")</f>
        <v>0.0816114439418021</v>
      </c>
      <c r="N129" s="109" t="n">
        <f aca="false">IFERROR(IF(OR(NOT(ISNUMBER('Price History'!N130)),NOT(ISNUMBER('Price History'!N129)),'Price History'!N129=0),"",'Price History'!N130/'Price History'!N129-1),"")</f>
        <v>-0.0485060147458285</v>
      </c>
      <c r="O129" s="109" t="n">
        <f aca="false">IFERROR(IF(OR(NOT(ISNUMBER('Price History'!O130)),NOT(ISNUMBER('Price History'!O129)),'Price History'!O129=0),"",'Price History'!O130/'Price History'!O129-1),"")</f>
        <v>0.0109941302524923</v>
      </c>
      <c r="P129" s="109" t="str">
        <f aca="false">IFERROR(IF(OR(NOT(ISNUMBER('Price History'!P130)),NOT(ISNUMBER('Price History'!P129)),'Price History'!P129=0),"",'Price History'!P130/'Price History'!P129-1),"")</f>
        <v/>
      </c>
      <c r="Q129" s="109" t="n">
        <f aca="false">IFERROR(IF(OR(NOT(ISNUMBER('Price History'!Q130)),NOT(ISNUMBER('Price History'!Q129)),'Price History'!Q129=0),"",'Price History'!Q130/'Price History'!Q129-1),"")</f>
        <v>-0.0112545018007203</v>
      </c>
      <c r="R129" s="109" t="n">
        <f aca="false">IFERROR(IF(OR(NOT(ISNUMBER('Price History'!R130)),NOT(ISNUMBER('Price History'!R129)),'Price History'!R129=0),"",'Price History'!R130/'Price History'!R129-1),"")</f>
        <v>-0.00405679513184576</v>
      </c>
      <c r="S129" s="109" t="n">
        <f aca="false">IFERROR(IF(OR(NOT(ISNUMBER('Price History'!S130)),NOT(ISNUMBER('Price History'!S129)),'Price History'!S129=0),"",'Price History'!S130/'Price History'!S129-1),"")</f>
        <v>-0.000249937515621079</v>
      </c>
      <c r="T129" s="109" t="n">
        <f aca="false">IFERROR(IF(OR(NOT(ISNUMBER('Price History'!T130)),NOT(ISNUMBER('Price History'!T129)),'Price History'!T129=0),"",'Price History'!T130/'Price History'!T129-1),"")</f>
        <v>-0.0202819688350235</v>
      </c>
      <c r="U129" s="109" t="str">
        <f aca="false">IFERROR(IF(OR(NOT(ISNUMBER('Price History'!U130)),NOT(ISNUMBER('Price History'!U129)),'Price History'!U129=0),"",'Price History'!U130/'Price History'!U129-1),"")</f>
        <v/>
      </c>
      <c r="V129" s="110" t="n">
        <f aca="false">IFERROR(IF(OR(NOT(ISNUMBER('Price History'!V130)),NOT(ISNUMBER('Price History'!V129)),'Price History'!V129=0),"",'Price History'!V130/'Price History'!V129-1),"")</f>
        <v>-0.0613782788771284</v>
      </c>
      <c r="W129" s="111" t="n">
        <f aca="false">IFERROR('Price History'!B3+(INDEX('Price History'!B:B,MATCH(9.99E+307,'Price History'!$A:$A))-'Price History'!B3)*(ROW()-3)/(MATCH(9.99E+307,'Returns (Calc)'!$A:$A)-3),"")</f>
        <v>316.723962264151</v>
      </c>
      <c r="X129" s="111" t="n">
        <f aca="false">IFERROR('Price History'!C3+(INDEX('Price History'!C:C,MATCH(9.99E+307,'Price History'!$A:$A))-'Price History'!C3)*(ROW()-3)/(MATCH(9.99E+307,'Returns (Calc)'!$A:$A)-3),"")</f>
        <v>162.639622641509</v>
      </c>
      <c r="Y129" s="111" t="n">
        <f aca="false">IFERROR('Price History'!D3+(INDEX('Price History'!D:D,MATCH(9.99E+307,'Price History'!$A:$A))-'Price History'!D3)*(ROW()-3)/(MATCH(9.99E+307,'Returns (Calc)'!$A:$A)-3),"")</f>
        <v>1496.3120754717</v>
      </c>
      <c r="Z129" s="111" t="n">
        <f aca="false">IFERROR('Price History'!E3+(INDEX('Price History'!E:E,MATCH(9.99E+307,'Price History'!$A:$A))-'Price History'!E3)*(ROW()-3)/(MATCH(9.99E+307,'Returns (Calc)'!$A:$A)-3),"")</f>
        <v>300.841132075472</v>
      </c>
      <c r="AA129" s="111" t="n">
        <f aca="false">IFERROR('Price History'!F3+(INDEX('Price History'!F:F,MATCH(9.99E+307,'Price History'!$A:$A))-'Price History'!F3)*(ROW()-3)/(MATCH(9.99E+307,'Returns (Calc)'!$A:$A)-3),"")</f>
        <v>176.563396226415</v>
      </c>
      <c r="AB129" s="111" t="n">
        <f aca="false">IFERROR('Price History'!G3+(INDEX('Price History'!G:G,MATCH(9.99E+307,'Price History'!$A:$A))-'Price History'!G3)*(ROW()-3)/(MATCH(9.99E+307,'Returns (Calc)'!$A:$A)-3),"")</f>
        <v>157.020754716981</v>
      </c>
      <c r="AC129" s="111" t="n">
        <f aca="false">IFERROR('Price History'!H3+(INDEX('Price History'!H:H,MATCH(9.99E+307,'Price History'!$A:$A))-'Price History'!H3)*(ROW()-3)/(MATCH(9.99E+307,'Returns (Calc)'!$A:$A)-3),"")</f>
        <v>818.959433962264</v>
      </c>
      <c r="AD129" s="111" t="n">
        <f aca="false">IFERROR('Price History'!I3+(INDEX('Price History'!I:I,MATCH(9.99E+307,'Price History'!$A:$A))-'Price History'!I3)*(ROW()-3)/(MATCH(9.99E+307,'Returns (Calc)'!$A:$A)-3),"")</f>
        <v>191.027735849057</v>
      </c>
      <c r="AE129" s="111" t="n">
        <f aca="false">IFERROR('Price History'!J3+(INDEX('Price History'!J:J,MATCH(9.99E+307,'Price History'!$A:$A))-'Price History'!J3)*(ROW()-3)/(MATCH(9.99E+307,'Returns (Calc)'!$A:$A)-3),"")</f>
        <v>134.469622641509</v>
      </c>
      <c r="AF129" s="111" t="n">
        <f aca="false">IFERROR('Price History'!K3+(INDEX('Price History'!K:K,MATCH(9.99E+307,'Price History'!$A:$A))-'Price History'!K3)*(ROW()-3)/(MATCH(9.99E+307,'Returns (Calc)'!$A:$A)-3),"")</f>
        <v>141.346603773585</v>
      </c>
      <c r="AG129" s="111" t="n">
        <f aca="false">IFERROR('Price History'!L3+(INDEX('Price History'!L:L,MATCH(9.99E+307,'Price History'!$A:$A))-'Price History'!L3)*(ROW()-3)/(MATCH(9.99E+307,'Returns (Calc)'!$A:$A)-3),"")</f>
        <v>358.98320754717</v>
      </c>
      <c r="AH129" s="111" t="n">
        <f aca="false">IFERROR('Price History'!M3+(INDEX('Price History'!M:M,MATCH(9.99E+307,'Price History'!$A:$A))-'Price History'!M3)*(ROW()-3)/(MATCH(9.99E+307,'Returns (Calc)'!$A:$A)-3),"")</f>
        <v>229.261698113208</v>
      </c>
      <c r="AI129" s="111" t="n">
        <f aca="false">IFERROR('Price History'!N3+(INDEX('Price History'!N:N,MATCH(9.99E+307,'Price History'!$A:$A))-'Price History'!N3)*(ROW()-3)/(MATCH(9.99E+307,'Returns (Calc)'!$A:$A)-3),"")</f>
        <v>505.38679245283</v>
      </c>
      <c r="AJ129" s="111" t="n">
        <f aca="false">IFERROR('Price History'!O3+(INDEX('Price History'!O:O,MATCH(9.99E+307,'Price History'!$A:$A))-'Price History'!O3)*(ROW()-3)/(MATCH(9.99E+307,'Returns (Calc)'!$A:$A)-3),"")</f>
        <v>117.781320754717</v>
      </c>
      <c r="AK129" s="111" t="n">
        <f aca="false">IFERROR('Price History'!Q3+(INDEX('Price History'!Q:Q,MATCH(9.99E+307,'Price History'!$A:$A))-'Price History'!Q3)*(ROW()-3)/(MATCH(9.99E+307,'Returns (Calc)'!$A:$A)-3),"")</f>
        <v>65.593962264151</v>
      </c>
      <c r="AL129" s="111" t="n">
        <f aca="false">IFERROR('Price History'!R3+(INDEX('Price History'!R:R,MATCH(9.99E+307,'Price History'!$A:$A))-'Price History'!R3)*(ROW()-3)/(MATCH(9.99E+307,'Returns (Calc)'!$A:$A)-3),"")</f>
        <v>57.3690566037736</v>
      </c>
      <c r="AM129" s="111" t="n">
        <f aca="false">IFERROR('Price History'!S3+(INDEX('Price History'!S:S,MATCH(9.99E+307,'Price History'!$A:$A))-'Price History'!S3)*(ROW()-3)/(MATCH(9.99E+307,'Returns (Calc)'!$A:$A)-3),"")</f>
        <v>130.795849056604</v>
      </c>
      <c r="AN129" s="111" t="n">
        <f aca="false">IFERROR('Price History'!T3+(INDEX('Price History'!T:T,MATCH(9.99E+307,'Price History'!$A:$A))-'Price History'!T3)*(ROW()-3)/(MATCH(9.99E+307,'Returns (Calc)'!$A:$A)-3),"")</f>
        <v>49.3998113207547</v>
      </c>
      <c r="AO129" s="112" t="n">
        <f aca="false">IFERROR('Price History'!V3+(INDEX('Price History'!V:V,MATCH(9.99E+307,'Price History'!$A:$A))-'Price History'!V3)*(ROW()-3)/(MATCH(9.99E+307,'Returns (Calc)'!$A:$A)-3),"")</f>
        <v>297.225283018868</v>
      </c>
    </row>
    <row r="130" customFormat="false" ht="15" hidden="false" customHeight="true" outlineLevel="0" collapsed="false">
      <c r="A130" s="108" t="n">
        <f aca="false">IF('Price History'!A131="","",'Price History'!A131)</f>
        <v>46045</v>
      </c>
      <c r="B130" s="109" t="n">
        <f aca="false">IFERROR(IF(OR(NOT(ISNUMBER('Price History'!B131)),NOT(ISNUMBER('Price History'!B130)),'Price History'!B130=0),"",'Price History'!B131/'Price History'!B130-1),"")</f>
        <v>0.0167161961367013</v>
      </c>
      <c r="C130" s="109" t="n">
        <f aca="false">IFERROR(IF(OR(NOT(ISNUMBER('Price History'!C131)),NOT(ISNUMBER('Price History'!C130)),'Price History'!C130=0),"",'Price History'!C131/'Price History'!C130-1),"")</f>
        <v>0.0501424940306554</v>
      </c>
      <c r="D130" s="109" t="n">
        <f aca="false">IFERROR(IF(OR(NOT(ISNUMBER('Price History'!D131)),NOT(ISNUMBER('Price History'!D130)),'Price History'!D130=0),"",'Price History'!D131/'Price History'!D130-1),"")</f>
        <v>0.0224279941408982</v>
      </c>
      <c r="E130" s="109" t="n">
        <f aca="false">IFERROR(IF(OR(NOT(ISNUMBER('Price History'!E131)),NOT(ISNUMBER('Price History'!E130)),'Price History'!E130=0),"",'Price History'!E131/'Price History'!E130-1),"")</f>
        <v>-0.090017343834409</v>
      </c>
      <c r="F130" s="109" t="n">
        <f aca="false">IFERROR(IF(OR(NOT(ISNUMBER('Price History'!F131)),NOT(ISNUMBER('Price History'!F130)),'Price History'!F130=0),"",'Price History'!F131/'Price History'!F130-1),"")</f>
        <v>-0.00308451573103019</v>
      </c>
      <c r="G130" s="109" t="n">
        <f aca="false">IFERROR(IF(OR(NOT(ISNUMBER('Price History'!G131)),NOT(ISNUMBER('Price History'!G130)),'Price History'!G130=0),"",'Price History'!G131/'Price History'!G130-1),"")</f>
        <v>-0.0350810052302589</v>
      </c>
      <c r="H130" s="109" t="n">
        <f aca="false">IFERROR(IF(OR(NOT(ISNUMBER('Price History'!H131)),NOT(ISNUMBER('Price History'!H130)),'Price History'!H130=0),"",'Price History'!H131/'Price History'!H130-1),"")</f>
        <v>0.101722949689869</v>
      </c>
      <c r="I130" s="109" t="n">
        <f aca="false">IFERROR(IF(OR(NOT(ISNUMBER('Price History'!I131)),NOT(ISNUMBER('Price History'!I130)),'Price History'!I130=0),"",'Price History'!I131/'Price History'!I130-1),"")</f>
        <v>0.00773237394619564</v>
      </c>
      <c r="J130" s="109" t="n">
        <f aca="false">IFERROR(IF(OR(NOT(ISNUMBER('Price History'!J131)),NOT(ISNUMBER('Price History'!J130)),'Price History'!J130=0),"",'Price History'!J131/'Price History'!J130-1),"")</f>
        <v>-0.0454920801741611</v>
      </c>
      <c r="K130" s="109" t="n">
        <f aca="false">IFERROR(IF(OR(NOT(ISNUMBER('Price History'!K131)),NOT(ISNUMBER('Price History'!K130)),'Price History'!K130=0),"",'Price History'!K131/'Price History'!K130-1),"")</f>
        <v>-0.0079550772110436</v>
      </c>
      <c r="L130" s="109" t="n">
        <f aca="false">IFERROR(IF(OR(NOT(ISNUMBER('Price History'!L131)),NOT(ISNUMBER('Price History'!L130)),'Price History'!L130=0),"",'Price History'!L131/'Price History'!L130-1),"")</f>
        <v>-0.0219918224299065</v>
      </c>
      <c r="M130" s="109" t="n">
        <f aca="false">IFERROR(IF(OR(NOT(ISNUMBER('Price History'!M131)),NOT(ISNUMBER('Price History'!M130)),'Price History'!M130=0),"",'Price History'!M131/'Price History'!M130-1),"")</f>
        <v>0.031424857288193</v>
      </c>
      <c r="N130" s="109" t="n">
        <f aca="false">IFERROR(IF(OR(NOT(ISNUMBER('Price History'!N131)),NOT(ISNUMBER('Price History'!N130)),'Price History'!N130=0),"",'Price History'!N131/'Price History'!N130-1),"")</f>
        <v>0.0612878375928947</v>
      </c>
      <c r="O130" s="109" t="n">
        <f aca="false">IFERROR(IF(OR(NOT(ISNUMBER('Price History'!O131)),NOT(ISNUMBER('Price History'!O130)),'Price History'!O130=0),"",'Price History'!O131/'Price History'!O130-1),"")</f>
        <v>-0.000184314809695052</v>
      </c>
      <c r="P130" s="109" t="str">
        <f aca="false">IFERROR(IF(OR(NOT(ISNUMBER('Price History'!P131)),NOT(ISNUMBER('Price History'!P130)),'Price History'!P130=0),"",'Price History'!P131/'Price History'!P130-1),"")</f>
        <v/>
      </c>
      <c r="Q130" s="109" t="n">
        <f aca="false">IFERROR(IF(OR(NOT(ISNUMBER('Price History'!Q131)),NOT(ISNUMBER('Price History'!Q130)),'Price History'!Q130=0),"",'Price History'!Q131/'Price History'!Q130-1),"")</f>
        <v>-0.013355592654424</v>
      </c>
      <c r="R130" s="109" t="n">
        <f aca="false">IFERROR(IF(OR(NOT(ISNUMBER('Price History'!R131)),NOT(ISNUMBER('Price History'!R130)),'Price History'!R130=0),"",'Price History'!R131/'Price History'!R130-1),"")</f>
        <v>0.00509164969450104</v>
      </c>
      <c r="S130" s="109" t="n">
        <f aca="false">IFERROR(IF(OR(NOT(ISNUMBER('Price History'!S131)),NOT(ISNUMBER('Price History'!S130)),'Price History'!S130=0),"",'Price History'!S131/'Price History'!S130-1),"")</f>
        <v>-0.0173333333333333</v>
      </c>
      <c r="T130" s="109" t="n">
        <f aca="false">IFERROR(IF(OR(NOT(ISNUMBER('Price History'!T131)),NOT(ISNUMBER('Price History'!T130)),'Price History'!T130=0),"",'Price History'!T131/'Price History'!T130-1),"")</f>
        <v>0.0063115374905327</v>
      </c>
      <c r="U130" s="109" t="str">
        <f aca="false">IFERROR(IF(OR(NOT(ISNUMBER('Price History'!U131)),NOT(ISNUMBER('Price History'!U130)),'Price History'!U130=0),"",'Price History'!U131/'Price History'!U130-1),"")</f>
        <v/>
      </c>
      <c r="V130" s="110" t="n">
        <f aca="false">IFERROR(IF(OR(NOT(ISNUMBER('Price History'!V131)),NOT(ISNUMBER('Price History'!V130)),'Price History'!V130=0),"",'Price History'!V131/'Price History'!V130-1),"")</f>
        <v>-0.00646564932279203</v>
      </c>
      <c r="W130" s="111" t="n">
        <f aca="false">IFERROR('Price History'!B3+(INDEX('Price History'!B:B,MATCH(9.99E+307,'Price History'!$A:$A))-'Price History'!B3)*(ROW()-3)/(MATCH(9.99E+307,'Returns (Calc)'!$A:$A)-3),"")</f>
        <v>315.202327044025</v>
      </c>
      <c r="X130" s="111" t="n">
        <f aca="false">IFERROR('Price History'!C3+(INDEX('Price History'!C:C,MATCH(9.99E+307,'Price History'!$A:$A))-'Price History'!C3)*(ROW()-3)/(MATCH(9.99E+307,'Returns (Calc)'!$A:$A)-3),"")</f>
        <v>163.583270440252</v>
      </c>
      <c r="Y130" s="111" t="n">
        <f aca="false">IFERROR('Price History'!D3+(INDEX('Price History'!D:D,MATCH(9.99E+307,'Price History'!$A:$A))-'Price History'!D3)*(ROW()-3)/(MATCH(9.99E+307,'Returns (Calc)'!$A:$A)-3),"")</f>
        <v>1502.93534591195</v>
      </c>
      <c r="Z130" s="111" t="n">
        <f aca="false">IFERROR('Price History'!E3+(INDEX('Price History'!E:E,MATCH(9.99E+307,'Price History'!$A:$A))-'Price History'!E3)*(ROW()-3)/(MATCH(9.99E+307,'Returns (Calc)'!$A:$A)-3),"")</f>
        <v>302.570188679245</v>
      </c>
      <c r="AA130" s="111" t="n">
        <f aca="false">IFERROR('Price History'!F3+(INDEX('Price History'!F:F,MATCH(9.99E+307,'Price History'!$A:$A))-'Price History'!F3)*(ROW()-3)/(MATCH(9.99E+307,'Returns (Calc)'!$A:$A)-3),"")</f>
        <v>177.670566037736</v>
      </c>
      <c r="AB130" s="111" t="n">
        <f aca="false">IFERROR('Price History'!G3+(INDEX('Price History'!G:G,MATCH(9.99E+307,'Price History'!$A:$A))-'Price History'!G3)*(ROW()-3)/(MATCH(9.99E+307,'Returns (Calc)'!$A:$A)-3),"")</f>
        <v>157.88679245283</v>
      </c>
      <c r="AC130" s="111" t="n">
        <f aca="false">IFERROR('Price History'!H3+(INDEX('Price History'!H:H,MATCH(9.99E+307,'Price History'!$A:$A))-'Price History'!H3)*(ROW()-3)/(MATCH(9.99E+307,'Returns (Calc)'!$A:$A)-3),"")</f>
        <v>824.948238993711</v>
      </c>
      <c r="AD130" s="111" t="n">
        <f aca="false">IFERROR('Price History'!I3+(INDEX('Price History'!I:I,MATCH(9.99E+307,'Price History'!$A:$A))-'Price History'!I3)*(ROW()-3)/(MATCH(9.99E+307,'Returns (Calc)'!$A:$A)-3),"")</f>
        <v>192.219622641509</v>
      </c>
      <c r="AE130" s="111" t="n">
        <f aca="false">IFERROR('Price History'!J3+(INDEX('Price History'!J:J,MATCH(9.99E+307,'Price History'!$A:$A))-'Price History'!J3)*(ROW()-3)/(MATCH(9.99E+307,'Returns (Calc)'!$A:$A)-3),"")</f>
        <v>134.556603773585</v>
      </c>
      <c r="AF130" s="111" t="n">
        <f aca="false">IFERROR('Price History'!K3+(INDEX('Price History'!K:K,MATCH(9.99E+307,'Price History'!$A:$A))-'Price History'!K3)*(ROW()-3)/(MATCH(9.99E+307,'Returns (Calc)'!$A:$A)-3),"")</f>
        <v>142.346100628931</v>
      </c>
      <c r="AG130" s="111" t="n">
        <f aca="false">IFERROR('Price History'!L3+(INDEX('Price History'!L:L,MATCH(9.99E+307,'Price History'!$A:$A))-'Price History'!L3)*(ROW()-3)/(MATCH(9.99E+307,'Returns (Calc)'!$A:$A)-3),"")</f>
        <v>361.102201257862</v>
      </c>
      <c r="AH130" s="111" t="n">
        <f aca="false">IFERROR('Price History'!M3+(INDEX('Price History'!M:M,MATCH(9.99E+307,'Price History'!$A:$A))-'Price History'!M3)*(ROW()-3)/(MATCH(9.99E+307,'Returns (Calc)'!$A:$A)-3),"")</f>
        <v>230.815283018868</v>
      </c>
      <c r="AI130" s="111" t="n">
        <f aca="false">IFERROR('Price History'!N3+(INDEX('Price History'!N:N,MATCH(9.99E+307,'Price History'!$A:$A))-'Price History'!N3)*(ROW()-3)/(MATCH(9.99E+307,'Returns (Calc)'!$A:$A)-3),"")</f>
        <v>506.621132075472</v>
      </c>
      <c r="AJ130" s="111" t="n">
        <f aca="false">IFERROR('Price History'!O3+(INDEX('Price History'!O:O,MATCH(9.99E+307,'Price History'!$A:$A))-'Price History'!O3)*(ROW()-3)/(MATCH(9.99E+307,'Returns (Calc)'!$A:$A)-3),"")</f>
        <v>118.05855345912</v>
      </c>
      <c r="AK130" s="111" t="n">
        <f aca="false">IFERROR('Price History'!Q3+(INDEX('Price History'!Q:Q,MATCH(9.99E+307,'Price History'!$A:$A))-'Price History'!Q3)*(ROW()-3)/(MATCH(9.99E+307,'Returns (Calc)'!$A:$A)-3),"")</f>
        <v>65.7189937106918</v>
      </c>
      <c r="AL130" s="111" t="n">
        <f aca="false">IFERROR('Price History'!R3+(INDEX('Price History'!R:R,MATCH(9.99E+307,'Price History'!$A:$A))-'Price History'!R3)*(ROW()-3)/(MATCH(9.99E+307,'Returns (Calc)'!$A:$A)-3),"")</f>
        <v>57.4448427672956</v>
      </c>
      <c r="AM130" s="111" t="n">
        <f aca="false">IFERROR('Price History'!S3+(INDEX('Price History'!S:S,MATCH(9.99E+307,'Price History'!$A:$A))-'Price History'!S3)*(ROW()-3)/(MATCH(9.99E+307,'Returns (Calc)'!$A:$A)-3),"")</f>
        <v>131.369308176101</v>
      </c>
      <c r="AN130" s="111" t="n">
        <f aca="false">IFERROR('Price History'!T3+(INDEX('Price History'!T:T,MATCH(9.99E+307,'Price History'!$A:$A))-'Price History'!T3)*(ROW()-3)/(MATCH(9.99E+307,'Returns (Calc)'!$A:$A)-3),"")</f>
        <v>49.5783018867925</v>
      </c>
      <c r="AO130" s="112" t="n">
        <f aca="false">IFERROR('Price History'!V3+(INDEX('Price History'!V:V,MATCH(9.99E+307,'Price History'!$A:$A))-'Price History'!V3)*(ROW()-3)/(MATCH(9.99E+307,'Returns (Calc)'!$A:$A)-3),"")</f>
        <v>299.584213836478</v>
      </c>
    </row>
    <row r="131" customFormat="false" ht="15" hidden="false" customHeight="true" outlineLevel="0" collapsed="false">
      <c r="A131" s="108" t="n">
        <f aca="false">IF('Price History'!A132="","",'Price History'!A132)</f>
        <v>46052</v>
      </c>
      <c r="B131" s="109" t="n">
        <f aca="false">IFERROR(IF(OR(NOT(ISNUMBER('Price History'!B132)),NOT(ISNUMBER('Price History'!B131)),'Price History'!B131=0),"",'Price History'!B132/'Price History'!B131-1),"")</f>
        <v>-0.025974025974026</v>
      </c>
      <c r="C131" s="109" t="n">
        <f aca="false">IFERROR(IF(OR(NOT(ISNUMBER('Price History'!C132)),NOT(ISNUMBER('Price History'!C131)),'Price History'!C131=0),"",'Price History'!C132/'Price History'!C131-1),"")</f>
        <v>0.0396068651899664</v>
      </c>
      <c r="D131" s="109" t="n">
        <f aca="false">IFERROR(IF(OR(NOT(ISNUMBER('Price History'!D132)),NOT(ISNUMBER('Price History'!D131)),'Price History'!D131=0),"",'Price History'!D132/'Price History'!D131-1),"")</f>
        <v>0.0244485399988481</v>
      </c>
      <c r="E131" s="109" t="n">
        <f aca="false">IFERROR(IF(OR(NOT(ISNUMBER('Price History'!E132)),NOT(ISNUMBER('Price History'!E131)),'Price History'!E131=0),"",'Price History'!E132/'Price History'!E131-1),"")</f>
        <v>0.0351507576941104</v>
      </c>
      <c r="F131" s="109" t="n">
        <f aca="false">IFERROR(IF(OR(NOT(ISNUMBER('Price History'!F132)),NOT(ISNUMBER('Price History'!F131)),'Price History'!F131=0),"",'Price History'!F132/'Price History'!F131-1),"")</f>
        <v>-0.0244872701555871</v>
      </c>
      <c r="G131" s="109" t="n">
        <f aca="false">IFERROR(IF(OR(NOT(ISNUMBER('Price History'!G132)),NOT(ISNUMBER('Price History'!G131)),'Price History'!G131=0),"",'Price History'!G132/'Price History'!G131-1),"")</f>
        <v>-0.056121099947118</v>
      </c>
      <c r="H131" s="109" t="n">
        <f aca="false">IFERROR(IF(OR(NOT(ISNUMBER('Price History'!H132)),NOT(ISNUMBER('Price History'!H131)),'Price History'!H131=0),"",'Price History'!H132/'Price History'!H131-1),"")</f>
        <v>0.0381083448017014</v>
      </c>
      <c r="I131" s="109" t="n">
        <f aca="false">IFERROR(IF(OR(NOT(ISNUMBER('Price History'!I132)),NOT(ISNUMBER('Price History'!I131)),'Price History'!I131=0),"",'Price History'!I132/'Price History'!I131-1),"")</f>
        <v>0.01843661746683</v>
      </c>
      <c r="J131" s="109" t="n">
        <f aca="false">IFERROR(IF(OR(NOT(ISNUMBER('Price History'!J132)),NOT(ISNUMBER('Price History'!J131)),'Price History'!J131=0),"",'Price History'!J132/'Price History'!J131-1),"")</f>
        <v>0.0268187180495478</v>
      </c>
      <c r="K131" s="109" t="n">
        <f aca="false">IFERROR(IF(OR(NOT(ISNUMBER('Price History'!K132)),NOT(ISNUMBER('Price History'!K131)),'Price History'!K131=0),"",'Price History'!K132/'Price History'!K131-1),"")</f>
        <v>-0.135672169811321</v>
      </c>
      <c r="L131" s="109" t="n">
        <f aca="false">IFERROR(IF(OR(NOT(ISNUMBER('Price History'!L132)),NOT(ISNUMBER('Price History'!L131)),'Price History'!L131=0),"",'Price History'!L132/'Price History'!L131-1),"")</f>
        <v>-0.0128706662286857</v>
      </c>
      <c r="M131" s="109" t="n">
        <f aca="false">IFERROR(IF(OR(NOT(ISNUMBER('Price History'!M132)),NOT(ISNUMBER('Price History'!M131)),'Price History'!M131=0),"",'Price History'!M132/'Price History'!M131-1),"")</f>
        <v>0.0202202860430709</v>
      </c>
      <c r="N131" s="109" t="n">
        <f aca="false">IFERROR(IF(OR(NOT(ISNUMBER('Price History'!N132)),NOT(ISNUMBER('Price History'!N131)),'Price History'!N131=0),"",'Price History'!N132/'Price History'!N131-1),"")</f>
        <v>0.0031809739330928</v>
      </c>
      <c r="O131" s="109" t="n">
        <f aca="false">IFERROR(IF(OR(NOT(ISNUMBER('Price History'!O132)),NOT(ISNUMBER('Price History'!O131)),'Price History'!O131=0),"",'Price History'!O132/'Price History'!O131-1),"")</f>
        <v>0.007189602728362</v>
      </c>
      <c r="P131" s="109" t="str">
        <f aca="false">IFERROR(IF(OR(NOT(ISNUMBER('Price History'!P132)),NOT(ISNUMBER('Price History'!P131)),'Price History'!P131=0),"",'Price History'!P132/'Price History'!P131-1),"")</f>
        <v/>
      </c>
      <c r="Q131" s="109" t="n">
        <f aca="false">IFERROR(IF(OR(NOT(ISNUMBER('Price History'!Q132)),NOT(ISNUMBER('Price History'!Q131)),'Price History'!Q131=0),"",'Price History'!Q132/'Price History'!Q131-1),"")</f>
        <v>-0.0112290416858946</v>
      </c>
      <c r="R131" s="109" t="n">
        <f aca="false">IFERROR(IF(OR(NOT(ISNUMBER('Price History'!R132)),NOT(ISNUMBER('Price History'!R131)),'Price History'!R131=0),"",'Price History'!R132/'Price History'!R131-1),"")</f>
        <v>0.00354609929078009</v>
      </c>
      <c r="S131" s="109" t="n">
        <f aca="false">IFERROR(IF(OR(NOT(ISNUMBER('Price History'!S132)),NOT(ISNUMBER('Price History'!S131)),'Price History'!S131=0),"",'Price History'!S132/'Price History'!S131-1),"")</f>
        <v>0.0165366350067844</v>
      </c>
      <c r="T131" s="109" t="n">
        <f aca="false">IFERROR(IF(OR(NOT(ISNUMBER('Price History'!T132)),NOT(ISNUMBER('Price History'!T131)),'Price History'!T131=0),"",'Price History'!T132/'Price History'!T131-1),"")</f>
        <v>-0.00978424485699947</v>
      </c>
      <c r="U131" s="109" t="str">
        <f aca="false">IFERROR(IF(OR(NOT(ISNUMBER('Price History'!U132)),NOT(ISNUMBER('Price History'!U131)),'Price History'!U131=0),"",'Price History'!U132/'Price History'!U131-1),"")</f>
        <v/>
      </c>
      <c r="V131" s="110" t="n">
        <f aca="false">IFERROR(IF(OR(NOT(ISNUMBER('Price History'!V132)),NOT(ISNUMBER('Price History'!V131)),'Price History'!V131=0),"",'Price History'!V132/'Price History'!V131-1),"")</f>
        <v>-0.013323875026987</v>
      </c>
      <c r="W131" s="111" t="n">
        <f aca="false">IFERROR('Price History'!B3+(INDEX('Price History'!B:B,MATCH(9.99E+307,'Price History'!$A:$A))-'Price History'!B3)*(ROW()-3)/(MATCH(9.99E+307,'Returns (Calc)'!$A:$A)-3),"")</f>
        <v>313.680691823899</v>
      </c>
      <c r="X131" s="111" t="n">
        <f aca="false">IFERROR('Price History'!C3+(INDEX('Price History'!C:C,MATCH(9.99E+307,'Price History'!$A:$A))-'Price History'!C3)*(ROW()-3)/(MATCH(9.99E+307,'Returns (Calc)'!$A:$A)-3),"")</f>
        <v>164.526918238994</v>
      </c>
      <c r="Y131" s="111" t="n">
        <f aca="false">IFERROR('Price History'!D3+(INDEX('Price History'!D:D,MATCH(9.99E+307,'Price History'!$A:$A))-'Price History'!D3)*(ROW()-3)/(MATCH(9.99E+307,'Returns (Calc)'!$A:$A)-3),"")</f>
        <v>1509.5586163522</v>
      </c>
      <c r="Z131" s="111" t="n">
        <f aca="false">IFERROR('Price History'!E3+(INDEX('Price History'!E:E,MATCH(9.99E+307,'Price History'!$A:$A))-'Price History'!E3)*(ROW()-3)/(MATCH(9.99E+307,'Returns (Calc)'!$A:$A)-3),"")</f>
        <v>304.299245283019</v>
      </c>
      <c r="AA131" s="111" t="n">
        <f aca="false">IFERROR('Price History'!F3+(INDEX('Price History'!F:F,MATCH(9.99E+307,'Price History'!$A:$A))-'Price History'!F3)*(ROW()-3)/(MATCH(9.99E+307,'Returns (Calc)'!$A:$A)-3),"")</f>
        <v>178.777735849057</v>
      </c>
      <c r="AB131" s="111" t="n">
        <f aca="false">IFERROR('Price History'!G3+(INDEX('Price History'!G:G,MATCH(9.99E+307,'Price History'!$A:$A))-'Price History'!G3)*(ROW()-3)/(MATCH(9.99E+307,'Returns (Calc)'!$A:$A)-3),"")</f>
        <v>158.752830188679</v>
      </c>
      <c r="AC131" s="111" t="n">
        <f aca="false">IFERROR('Price History'!H3+(INDEX('Price History'!H:H,MATCH(9.99E+307,'Price History'!$A:$A))-'Price History'!H3)*(ROW()-3)/(MATCH(9.99E+307,'Returns (Calc)'!$A:$A)-3),"")</f>
        <v>830.937044025157</v>
      </c>
      <c r="AD131" s="111" t="n">
        <f aca="false">IFERROR('Price History'!I3+(INDEX('Price History'!I:I,MATCH(9.99E+307,'Price History'!$A:$A))-'Price History'!I3)*(ROW()-3)/(MATCH(9.99E+307,'Returns (Calc)'!$A:$A)-3),"")</f>
        <v>193.411509433962</v>
      </c>
      <c r="AE131" s="111" t="n">
        <f aca="false">IFERROR('Price History'!J3+(INDEX('Price History'!J:J,MATCH(9.99E+307,'Price History'!$A:$A))-'Price History'!J3)*(ROW()-3)/(MATCH(9.99E+307,'Returns (Calc)'!$A:$A)-3),"")</f>
        <v>134.64358490566</v>
      </c>
      <c r="AF131" s="111" t="n">
        <f aca="false">IFERROR('Price History'!K3+(INDEX('Price History'!K:K,MATCH(9.99E+307,'Price History'!$A:$A))-'Price History'!K3)*(ROW()-3)/(MATCH(9.99E+307,'Returns (Calc)'!$A:$A)-3),"")</f>
        <v>143.345597484277</v>
      </c>
      <c r="AG131" s="111" t="n">
        <f aca="false">IFERROR('Price History'!L3+(INDEX('Price History'!L:L,MATCH(9.99E+307,'Price History'!$A:$A))-'Price History'!L3)*(ROW()-3)/(MATCH(9.99E+307,'Returns (Calc)'!$A:$A)-3),"")</f>
        <v>363.221194968554</v>
      </c>
      <c r="AH131" s="111" t="n">
        <f aca="false">IFERROR('Price History'!M3+(INDEX('Price History'!M:M,MATCH(9.99E+307,'Price History'!$A:$A))-'Price History'!M3)*(ROW()-3)/(MATCH(9.99E+307,'Returns (Calc)'!$A:$A)-3),"")</f>
        <v>232.368867924528</v>
      </c>
      <c r="AI131" s="111" t="n">
        <f aca="false">IFERROR('Price History'!N3+(INDEX('Price History'!N:N,MATCH(9.99E+307,'Price History'!$A:$A))-'Price History'!N3)*(ROW()-3)/(MATCH(9.99E+307,'Returns (Calc)'!$A:$A)-3),"")</f>
        <v>507.855471698113</v>
      </c>
      <c r="AJ131" s="111" t="n">
        <f aca="false">IFERROR('Price History'!O3+(INDEX('Price History'!O:O,MATCH(9.99E+307,'Price History'!$A:$A))-'Price History'!O3)*(ROW()-3)/(MATCH(9.99E+307,'Returns (Calc)'!$A:$A)-3),"")</f>
        <v>118.335786163522</v>
      </c>
      <c r="AK131" s="111" t="n">
        <f aca="false">IFERROR('Price History'!Q3+(INDEX('Price History'!Q:Q,MATCH(9.99E+307,'Price History'!$A:$A))-'Price History'!Q3)*(ROW()-3)/(MATCH(9.99E+307,'Returns (Calc)'!$A:$A)-3),"")</f>
        <v>65.8440251572327</v>
      </c>
      <c r="AL131" s="111" t="n">
        <f aca="false">IFERROR('Price History'!R3+(INDEX('Price History'!R:R,MATCH(9.99E+307,'Price History'!$A:$A))-'Price History'!R3)*(ROW()-3)/(MATCH(9.99E+307,'Returns (Calc)'!$A:$A)-3),"")</f>
        <v>57.5206289308176</v>
      </c>
      <c r="AM131" s="111" t="n">
        <f aca="false">IFERROR('Price History'!S3+(INDEX('Price History'!S:S,MATCH(9.99E+307,'Price History'!$A:$A))-'Price History'!S3)*(ROW()-3)/(MATCH(9.99E+307,'Returns (Calc)'!$A:$A)-3),"")</f>
        <v>131.942767295598</v>
      </c>
      <c r="AN131" s="111" t="n">
        <f aca="false">IFERROR('Price History'!T3+(INDEX('Price History'!T:T,MATCH(9.99E+307,'Price History'!$A:$A))-'Price History'!T3)*(ROW()-3)/(MATCH(9.99E+307,'Returns (Calc)'!$A:$A)-3),"")</f>
        <v>49.7567924528302</v>
      </c>
      <c r="AO131" s="112" t="n">
        <f aca="false">IFERROR('Price History'!V3+(INDEX('Price History'!V:V,MATCH(9.99E+307,'Price History'!$A:$A))-'Price History'!V3)*(ROW()-3)/(MATCH(9.99E+307,'Returns (Calc)'!$A:$A)-3),"")</f>
        <v>301.943144654088</v>
      </c>
    </row>
    <row r="132" customFormat="false" ht="15" hidden="false" customHeight="true" outlineLevel="0" collapsed="false">
      <c r="A132" s="108" t="n">
        <f aca="false">IF('Price History'!A133="","",'Price History'!A133)</f>
        <v>46059</v>
      </c>
      <c r="B132" s="109" t="n">
        <f aca="false">IFERROR(IF(OR(NOT(ISNUMBER('Price History'!B133)),NOT(ISNUMBER('Price History'!B132)),'Price History'!B132=0),"",'Price History'!B133/'Price History'!B132-1),"")</f>
        <v>-0.0848081841432226</v>
      </c>
      <c r="C132" s="109" t="n">
        <f aca="false">IFERROR(IF(OR(NOT(ISNUMBER('Price History'!C133)),NOT(ISNUMBER('Price History'!C132)),'Price History'!C132=0),"",'Price History'!C133/'Price History'!C132-1),"")</f>
        <v>-0.0299844786228305</v>
      </c>
      <c r="D132" s="109" t="n">
        <f aca="false">IFERROR(IF(OR(NOT(ISNUMBER('Price History'!D133)),NOT(ISNUMBER('Price History'!D132)),'Price History'!D132=0),"",'Price History'!D133/'Price History'!D132-1),"")</f>
        <v>-0.00702037947997192</v>
      </c>
      <c r="E132" s="109" t="n">
        <f aca="false">IFERROR(IF(OR(NOT(ISNUMBER('Price History'!E133)),NOT(ISNUMBER('Price History'!E132)),'Price History'!E132=0),"",'Price History'!E133/'Price History'!E132-1),"")</f>
        <v>0.00488982795049808</v>
      </c>
      <c r="F132" s="109" t="n">
        <f aca="false">IFERROR(IF(OR(NOT(ISNUMBER('Price History'!F133)),NOT(ISNUMBER('Price History'!F132)),'Price History'!F132=0),"",'Price History'!F133/'Price History'!F132-1),"")</f>
        <v>-0.103942002718623</v>
      </c>
      <c r="G132" s="109" t="n">
        <f aca="false">IFERROR(IF(OR(NOT(ISNUMBER('Price History'!G133)),NOT(ISNUMBER('Price History'!G132)),'Price History'!G132=0),"",'Price History'!G133/'Price History'!G132-1),"")</f>
        <v>0.0105049373205406</v>
      </c>
      <c r="H132" s="109" t="n">
        <f aca="false">IFERROR(IF(OR(NOT(ISNUMBER('Price History'!H133)),NOT(ISNUMBER('Price History'!H132)),'Price History'!H132=0),"",'Price History'!H133/'Price History'!H132-1),"")</f>
        <v>-0.0486646741226379</v>
      </c>
      <c r="I132" s="109" t="n">
        <f aca="false">IFERROR(IF(OR(NOT(ISNUMBER('Price History'!I133)),NOT(ISNUMBER('Price History'!I132)),'Price History'!I132=0),"",'Price History'!I133/'Price History'!I132-1),"")</f>
        <v>-0.0299272746298331</v>
      </c>
      <c r="J132" s="109" t="n">
        <f aca="false">IFERROR(IF(OR(NOT(ISNUMBER('Price History'!J133)),NOT(ISNUMBER('Price History'!J132)),'Price History'!J132=0),"",'Price History'!J133/'Price History'!J132-1),"")</f>
        <v>0.0489430147058823</v>
      </c>
      <c r="K132" s="109" t="n">
        <f aca="false">IFERROR(IF(OR(NOT(ISNUMBER('Price History'!K133)),NOT(ISNUMBER('Price History'!K132)),'Price History'!K132=0),"",'Price History'!K133/'Price History'!K132-1),"")</f>
        <v>-0.0729244832526093</v>
      </c>
      <c r="L132" s="109" t="n">
        <f aca="false">IFERROR(IF(OR(NOT(ISNUMBER('Price History'!L133)),NOT(ISNUMBER('Price History'!L132)),'Price History'!L132=0),"",'Price History'!L133/'Price History'!L132-1),"")</f>
        <v>0.055330348499516</v>
      </c>
      <c r="M132" s="109" t="n">
        <f aca="false">IFERROR(IF(OR(NOT(ISNUMBER('Price History'!M133)),NOT(ISNUMBER('Price History'!M132)),'Price History'!M132=0),"",'Price History'!M133/'Price History'!M132-1),"")</f>
        <v>0.0504887743044367</v>
      </c>
      <c r="N132" s="109" t="n">
        <f aca="false">IFERROR(IF(OR(NOT(ISNUMBER('Price History'!N133)),NOT(ISNUMBER('Price History'!N132)),'Price History'!N132=0),"",'Price History'!N133/'Price History'!N132-1),"")</f>
        <v>0.0170674611619495</v>
      </c>
      <c r="O132" s="109" t="n">
        <f aca="false">IFERROR(IF(OR(NOT(ISNUMBER('Price History'!O133)),NOT(ISNUMBER('Price History'!O132)),'Price History'!O132=0),"",'Price History'!O133/'Price History'!O132-1),"")</f>
        <v>0.0541777249016198</v>
      </c>
      <c r="P132" s="109" t="str">
        <f aca="false">IFERROR(IF(OR(NOT(ISNUMBER('Price History'!P133)),NOT(ISNUMBER('Price History'!P132)),'Price History'!P132=0),"",'Price History'!P133/'Price History'!P132-1),"")</f>
        <v/>
      </c>
      <c r="Q132" s="109" t="n">
        <f aca="false">IFERROR(IF(OR(NOT(ISNUMBER('Price History'!Q133)),NOT(ISNUMBER('Price History'!Q132)),'Price History'!Q132=0),"",'Price History'!Q133/'Price History'!Q132-1),"")</f>
        <v>-0.0138456751711263</v>
      </c>
      <c r="R132" s="109" t="n">
        <f aca="false">IFERROR(IF(OR(NOT(ISNUMBER('Price History'!R133)),NOT(ISNUMBER('Price History'!R132)),'Price History'!R132=0),"",'Price History'!R133/'Price History'!R132-1),"")</f>
        <v>-0.0232205956587582</v>
      </c>
      <c r="S132" s="109" t="n">
        <f aca="false">IFERROR(IF(OR(NOT(ISNUMBER('Price History'!S133)),NOT(ISNUMBER('Price History'!S132)),'Price History'!S132=0),"",'Price History'!S133/'Price History'!S132-1),"")</f>
        <v>-0.000250271127054336</v>
      </c>
      <c r="T132" s="109" t="n">
        <f aca="false">IFERROR(IF(OR(NOT(ISNUMBER('Price History'!T133)),NOT(ISNUMBER('Price History'!T132)),'Price History'!T132=0),"",'Price History'!T133/'Price History'!T132-1),"")</f>
        <v>0.0243222700785406</v>
      </c>
      <c r="U132" s="109" t="str">
        <f aca="false">IFERROR(IF(OR(NOT(ISNUMBER('Price History'!U133)),NOT(ISNUMBER('Price History'!U132)),'Price History'!U132=0),"",'Price History'!U133/'Price History'!U132-1),"")</f>
        <v/>
      </c>
      <c r="V132" s="110" t="n">
        <f aca="false">IFERROR(IF(OR(NOT(ISNUMBER('Price History'!V133)),NOT(ISNUMBER('Price History'!V132)),'Price History'!V132=0),"",'Price History'!V133/'Price History'!V132-1),"")</f>
        <v>0.0302897689975306</v>
      </c>
      <c r="W132" s="111" t="n">
        <f aca="false">IFERROR('Price History'!B3+(INDEX('Price History'!B:B,MATCH(9.99E+307,'Price History'!$A:$A))-'Price History'!B3)*(ROW()-3)/(MATCH(9.99E+307,'Returns (Calc)'!$A:$A)-3),"")</f>
        <v>312.159056603774</v>
      </c>
      <c r="X132" s="111" t="n">
        <f aca="false">IFERROR('Price History'!C3+(INDEX('Price History'!C:C,MATCH(9.99E+307,'Price History'!$A:$A))-'Price History'!C3)*(ROW()-3)/(MATCH(9.99E+307,'Returns (Calc)'!$A:$A)-3),"")</f>
        <v>165.470566037736</v>
      </c>
      <c r="Y132" s="111" t="n">
        <f aca="false">IFERROR('Price History'!D3+(INDEX('Price History'!D:D,MATCH(9.99E+307,'Price History'!$A:$A))-'Price History'!D3)*(ROW()-3)/(MATCH(9.99E+307,'Returns (Calc)'!$A:$A)-3),"")</f>
        <v>1516.18188679245</v>
      </c>
      <c r="Z132" s="111" t="n">
        <f aca="false">IFERROR('Price History'!E3+(INDEX('Price History'!E:E,MATCH(9.99E+307,'Price History'!$A:$A))-'Price History'!E3)*(ROW()-3)/(MATCH(9.99E+307,'Returns (Calc)'!$A:$A)-3),"")</f>
        <v>306.028301886792</v>
      </c>
      <c r="AA132" s="111" t="n">
        <f aca="false">IFERROR('Price History'!F3+(INDEX('Price History'!F:F,MATCH(9.99E+307,'Price History'!$A:$A))-'Price History'!F3)*(ROW()-3)/(MATCH(9.99E+307,'Returns (Calc)'!$A:$A)-3),"")</f>
        <v>179.884905660377</v>
      </c>
      <c r="AB132" s="111" t="n">
        <f aca="false">IFERROR('Price History'!G3+(INDEX('Price History'!G:G,MATCH(9.99E+307,'Price History'!$A:$A))-'Price History'!G3)*(ROW()-3)/(MATCH(9.99E+307,'Returns (Calc)'!$A:$A)-3),"")</f>
        <v>159.618867924528</v>
      </c>
      <c r="AC132" s="111" t="n">
        <f aca="false">IFERROR('Price History'!H3+(INDEX('Price History'!H:H,MATCH(9.99E+307,'Price History'!$A:$A))-'Price History'!H3)*(ROW()-3)/(MATCH(9.99E+307,'Returns (Calc)'!$A:$A)-3),"")</f>
        <v>836.925849056604</v>
      </c>
      <c r="AD132" s="111" t="n">
        <f aca="false">IFERROR('Price History'!I3+(INDEX('Price History'!I:I,MATCH(9.99E+307,'Price History'!$A:$A))-'Price History'!I3)*(ROW()-3)/(MATCH(9.99E+307,'Returns (Calc)'!$A:$A)-3),"")</f>
        <v>194.603396226415</v>
      </c>
      <c r="AE132" s="111" t="n">
        <f aca="false">IFERROR('Price History'!J3+(INDEX('Price History'!J:J,MATCH(9.99E+307,'Price History'!$A:$A))-'Price History'!J3)*(ROW()-3)/(MATCH(9.99E+307,'Returns (Calc)'!$A:$A)-3),"")</f>
        <v>134.730566037736</v>
      </c>
      <c r="AF132" s="111" t="n">
        <f aca="false">IFERROR('Price History'!K3+(INDEX('Price History'!K:K,MATCH(9.99E+307,'Price History'!$A:$A))-'Price History'!K3)*(ROW()-3)/(MATCH(9.99E+307,'Returns (Calc)'!$A:$A)-3),"")</f>
        <v>144.345094339623</v>
      </c>
      <c r="AG132" s="111" t="n">
        <f aca="false">IFERROR('Price History'!L3+(INDEX('Price History'!L:L,MATCH(9.99E+307,'Price History'!$A:$A))-'Price History'!L3)*(ROW()-3)/(MATCH(9.99E+307,'Returns (Calc)'!$A:$A)-3),"")</f>
        <v>365.340188679245</v>
      </c>
      <c r="AH132" s="111" t="n">
        <f aca="false">IFERROR('Price History'!M3+(INDEX('Price History'!M:M,MATCH(9.99E+307,'Price History'!$A:$A))-'Price History'!M3)*(ROW()-3)/(MATCH(9.99E+307,'Returns (Calc)'!$A:$A)-3),"")</f>
        <v>233.922452830189</v>
      </c>
      <c r="AI132" s="111" t="n">
        <f aca="false">IFERROR('Price History'!N3+(INDEX('Price History'!N:N,MATCH(9.99E+307,'Price History'!$A:$A))-'Price History'!N3)*(ROW()-3)/(MATCH(9.99E+307,'Returns (Calc)'!$A:$A)-3),"")</f>
        <v>509.089811320755</v>
      </c>
      <c r="AJ132" s="111" t="n">
        <f aca="false">IFERROR('Price History'!O3+(INDEX('Price History'!O:O,MATCH(9.99E+307,'Price History'!$A:$A))-'Price History'!O3)*(ROW()-3)/(MATCH(9.99E+307,'Returns (Calc)'!$A:$A)-3),"")</f>
        <v>118.613018867925</v>
      </c>
      <c r="AK132" s="111" t="n">
        <f aca="false">IFERROR('Price History'!Q3+(INDEX('Price History'!Q:Q,MATCH(9.99E+307,'Price History'!$A:$A))-'Price History'!Q3)*(ROW()-3)/(MATCH(9.99E+307,'Returns (Calc)'!$A:$A)-3),"")</f>
        <v>65.9690566037736</v>
      </c>
      <c r="AL132" s="111" t="n">
        <f aca="false">IFERROR('Price History'!R3+(INDEX('Price History'!R:R,MATCH(9.99E+307,'Price History'!$A:$A))-'Price History'!R3)*(ROW()-3)/(MATCH(9.99E+307,'Returns (Calc)'!$A:$A)-3),"")</f>
        <v>57.5964150943396</v>
      </c>
      <c r="AM132" s="111" t="n">
        <f aca="false">IFERROR('Price History'!S3+(INDEX('Price History'!S:S,MATCH(9.99E+307,'Price History'!$A:$A))-'Price History'!S3)*(ROW()-3)/(MATCH(9.99E+307,'Returns (Calc)'!$A:$A)-3),"")</f>
        <v>132.516226415094</v>
      </c>
      <c r="AN132" s="111" t="n">
        <f aca="false">IFERROR('Price History'!T3+(INDEX('Price History'!T:T,MATCH(9.99E+307,'Price History'!$A:$A))-'Price History'!T3)*(ROW()-3)/(MATCH(9.99E+307,'Returns (Calc)'!$A:$A)-3),"")</f>
        <v>49.9352830188679</v>
      </c>
      <c r="AO132" s="112" t="n">
        <f aca="false">IFERROR('Price History'!V3+(INDEX('Price History'!V:V,MATCH(9.99E+307,'Price History'!$A:$A))-'Price History'!V3)*(ROW()-3)/(MATCH(9.99E+307,'Returns (Calc)'!$A:$A)-3),"")</f>
        <v>304.302075471698</v>
      </c>
    </row>
    <row r="133" customFormat="false" ht="15" hidden="false" customHeight="true" outlineLevel="0" collapsed="false">
      <c r="A133" s="108" t="n">
        <f aca="false">IF('Price History'!A134="","",'Price History'!A134)</f>
        <v>46066</v>
      </c>
      <c r="B133" s="109" t="n">
        <f aca="false">IFERROR(IF(OR(NOT(ISNUMBER('Price History'!B134)),NOT(ISNUMBER('Price History'!B133)),'Price History'!B133=0),"",'Price History'!B134/'Price History'!B133-1),"")</f>
        <v>-0.016431924882629</v>
      </c>
      <c r="C133" s="109" t="n">
        <f aca="false">IFERROR(IF(OR(NOT(ISNUMBER('Price History'!C134)),NOT(ISNUMBER('Price History'!C133)),'Price History'!C133=0),"",'Price History'!C134/'Price History'!C133-1),"")</f>
        <v>0.0298203505709507</v>
      </c>
      <c r="D133" s="109" t="n">
        <f aca="false">IFERROR(IF(OR(NOT(ISNUMBER('Price History'!D134)),NOT(ISNUMBER('Price History'!D133)),'Price History'!D133=0),"",'Price History'!D134/'Price History'!D133-1),"")</f>
        <v>-0.00452933807970224</v>
      </c>
      <c r="E133" s="109" t="n">
        <f aca="false">IFERROR(IF(OR(NOT(ISNUMBER('Price History'!E134)),NOT(ISNUMBER('Price History'!E133)),'Price History'!E133=0),"",'Price History'!E134/'Price History'!E133-1),"")</f>
        <v>-0.0232788657935841</v>
      </c>
      <c r="F133" s="109" t="n">
        <f aca="false">IFERROR(IF(OR(NOT(ISNUMBER('Price History'!F134)),NOT(ISNUMBER('Price History'!F133)),'Price History'!F133=0),"",'Price History'!F134/'Price History'!F133-1),"")</f>
        <v>0.0862661812297736</v>
      </c>
      <c r="G133" s="109" t="n">
        <f aca="false">IFERROR(IF(OR(NOT(ISNUMBER('Price History'!G134)),NOT(ISNUMBER('Price History'!G133)),'Price History'!G133=0),"",'Price History'!G134/'Price History'!G133-1),"")</f>
        <v>0.0146926328920924</v>
      </c>
      <c r="H133" s="109" t="n">
        <f aca="false">IFERROR(IF(OR(NOT(ISNUMBER('Price History'!H134)),NOT(ISNUMBER('Price History'!H133)),'Price History'!H133=0),"",'Price History'!H134/'Price History'!H133-1),"")</f>
        <v>0.0429957688312348</v>
      </c>
      <c r="I133" s="109" t="n">
        <f aca="false">IFERROR(IF(OR(NOT(ISNUMBER('Price History'!I134)),NOT(ISNUMBER('Price History'!I133)),'Price History'!I133=0),"",'Price History'!I134/'Price History'!I133-1),"")</f>
        <v>-0.0140229761070061</v>
      </c>
      <c r="J133" s="109" t="n">
        <f aca="false">IFERROR(IF(OR(NOT(ISNUMBER('Price History'!J134)),NOT(ISNUMBER('Price History'!J133)),'Price History'!J133=0),"",'Price History'!J134/'Price History'!J133-1),"")</f>
        <v>0.0147499087258125</v>
      </c>
      <c r="K133" s="109" t="n">
        <f aca="false">IFERROR(IF(OR(NOT(ISNUMBER('Price History'!K134)),NOT(ISNUMBER('Price History'!K133)),'Price History'!K133=0),"",'Price History'!K134/'Price History'!K133-1),"")</f>
        <v>-0.0330389992641649</v>
      </c>
      <c r="L133" s="109" t="n">
        <f aca="false">IFERROR(IF(OR(NOT(ISNUMBER('Price History'!L134)),NOT(ISNUMBER('Price History'!L133)),'Price History'!L133=0),"",'Price History'!L134/'Price History'!L133-1),"")</f>
        <v>0.0501934929052601</v>
      </c>
      <c r="M133" s="109" t="n">
        <f aca="false">IFERROR(IF(OR(NOT(ISNUMBER('Price History'!M134)),NOT(ISNUMBER('Price History'!M133)),'Price History'!M133=0),"",'Price History'!M134/'Price History'!M133-1),"")</f>
        <v>0.199151242458329</v>
      </c>
      <c r="N133" s="109" t="n">
        <f aca="false">IFERROR(IF(OR(NOT(ISNUMBER('Price History'!N134)),NOT(ISNUMBER('Price History'!N133)),'Price History'!N133=0),"",'Price History'!N134/'Price History'!N133-1),"")</f>
        <v>0.0283520254435889</v>
      </c>
      <c r="O133" s="109" t="n">
        <f aca="false">IFERROR(IF(OR(NOT(ISNUMBER('Price History'!O134)),NOT(ISNUMBER('Price History'!O133)),'Price History'!O133=0),"",'Price History'!O134/'Price History'!O133-1),"")</f>
        <v>-0.00251757965101129</v>
      </c>
      <c r="P133" s="109" t="str">
        <f aca="false">IFERROR(IF(OR(NOT(ISNUMBER('Price History'!P134)),NOT(ISNUMBER('Price History'!P133)),'Price History'!P133=0),"",'Price History'!P134/'Price History'!P133-1),"")</f>
        <v/>
      </c>
      <c r="Q133" s="109" t="n">
        <f aca="false">IFERROR(IF(OR(NOT(ISNUMBER('Price History'!Q134)),NOT(ISNUMBER('Price History'!Q133)),'Price History'!Q133=0),"",'Price History'!Q134/'Price History'!Q133-1),"")</f>
        <v>0.0116737655781669</v>
      </c>
      <c r="R133" s="109" t="n">
        <f aca="false">IFERROR(IF(OR(NOT(ISNUMBER('Price History'!R134)),NOT(ISNUMBER('Price History'!R133)),'Price History'!R133=0),"",'Price History'!R134/'Price History'!R133-1),"")</f>
        <v>-0.00930232558139532</v>
      </c>
      <c r="S133" s="109" t="n">
        <f aca="false">IFERROR(IF(OR(NOT(ISNUMBER('Price History'!S134)),NOT(ISNUMBER('Price History'!S133)),'Price History'!S133=0),"",'Price History'!S134/'Price History'!S133-1),"")</f>
        <v>-0.0132676902536716</v>
      </c>
      <c r="T133" s="109" t="n">
        <f aca="false">IFERROR(IF(OR(NOT(ISNUMBER('Price History'!T134)),NOT(ISNUMBER('Price History'!T133)),'Price History'!T133=0),"",'Price History'!T134/'Price History'!T133-1),"")</f>
        <v>-0.00420479841701715</v>
      </c>
      <c r="U133" s="109" t="str">
        <f aca="false">IFERROR(IF(OR(NOT(ISNUMBER('Price History'!U134)),NOT(ISNUMBER('Price History'!U133)),'Price History'!U133=0),"",'Price History'!U134/'Price History'!U133-1),"")</f>
        <v/>
      </c>
      <c r="V133" s="110" t="n">
        <f aca="false">IFERROR(IF(OR(NOT(ISNUMBER('Price History'!V134)),NOT(ISNUMBER('Price History'!V133)),'Price History'!V133=0),"",'Price History'!V134/'Price History'!V133-1),"")</f>
        <v>-0.0508191747572816</v>
      </c>
      <c r="W133" s="111" t="n">
        <f aca="false">IFERROR('Price History'!B3+(INDEX('Price History'!B:B,MATCH(9.99E+307,'Price History'!$A:$A))-'Price History'!B3)*(ROW()-3)/(MATCH(9.99E+307,'Returns (Calc)'!$A:$A)-3),"")</f>
        <v>310.637421383648</v>
      </c>
      <c r="X133" s="111" t="n">
        <f aca="false">IFERROR('Price History'!C3+(INDEX('Price History'!C:C,MATCH(9.99E+307,'Price History'!$A:$A))-'Price History'!C3)*(ROW()-3)/(MATCH(9.99E+307,'Returns (Calc)'!$A:$A)-3),"")</f>
        <v>166.414213836478</v>
      </c>
      <c r="Y133" s="111" t="n">
        <f aca="false">IFERROR('Price History'!D3+(INDEX('Price History'!D:D,MATCH(9.99E+307,'Price History'!$A:$A))-'Price History'!D3)*(ROW()-3)/(MATCH(9.99E+307,'Returns (Calc)'!$A:$A)-3),"")</f>
        <v>1522.8051572327</v>
      </c>
      <c r="Z133" s="111" t="n">
        <f aca="false">IFERROR('Price History'!E3+(INDEX('Price History'!E:E,MATCH(9.99E+307,'Price History'!$A:$A))-'Price History'!E3)*(ROW()-3)/(MATCH(9.99E+307,'Returns (Calc)'!$A:$A)-3),"")</f>
        <v>307.757358490566</v>
      </c>
      <c r="AA133" s="111" t="n">
        <f aca="false">IFERROR('Price History'!F3+(INDEX('Price History'!F:F,MATCH(9.99E+307,'Price History'!$A:$A))-'Price History'!F3)*(ROW()-3)/(MATCH(9.99E+307,'Returns (Calc)'!$A:$A)-3),"")</f>
        <v>180.992075471698</v>
      </c>
      <c r="AB133" s="111" t="n">
        <f aca="false">IFERROR('Price History'!G3+(INDEX('Price History'!G:G,MATCH(9.99E+307,'Price History'!$A:$A))-'Price History'!G3)*(ROW()-3)/(MATCH(9.99E+307,'Returns (Calc)'!$A:$A)-3),"")</f>
        <v>160.484905660377</v>
      </c>
      <c r="AC133" s="111" t="n">
        <f aca="false">IFERROR('Price History'!H3+(INDEX('Price History'!H:H,MATCH(9.99E+307,'Price History'!$A:$A))-'Price History'!H3)*(ROW()-3)/(MATCH(9.99E+307,'Returns (Calc)'!$A:$A)-3),"")</f>
        <v>842.91465408805</v>
      </c>
      <c r="AD133" s="111" t="n">
        <f aca="false">IFERROR('Price History'!I3+(INDEX('Price History'!I:I,MATCH(9.99E+307,'Price History'!$A:$A))-'Price History'!I3)*(ROW()-3)/(MATCH(9.99E+307,'Returns (Calc)'!$A:$A)-3),"")</f>
        <v>195.795283018868</v>
      </c>
      <c r="AE133" s="111" t="n">
        <f aca="false">IFERROR('Price History'!J3+(INDEX('Price History'!J:J,MATCH(9.99E+307,'Price History'!$A:$A))-'Price History'!J3)*(ROW()-3)/(MATCH(9.99E+307,'Returns (Calc)'!$A:$A)-3),"")</f>
        <v>134.817547169811</v>
      </c>
      <c r="AF133" s="111" t="n">
        <f aca="false">IFERROR('Price History'!K3+(INDEX('Price History'!K:K,MATCH(9.99E+307,'Price History'!$A:$A))-'Price History'!K3)*(ROW()-3)/(MATCH(9.99E+307,'Returns (Calc)'!$A:$A)-3),"")</f>
        <v>145.344591194969</v>
      </c>
      <c r="AG133" s="111" t="n">
        <f aca="false">IFERROR('Price History'!L3+(INDEX('Price History'!L:L,MATCH(9.99E+307,'Price History'!$A:$A))-'Price History'!L3)*(ROW()-3)/(MATCH(9.99E+307,'Returns (Calc)'!$A:$A)-3),"")</f>
        <v>367.459182389937</v>
      </c>
      <c r="AH133" s="111" t="n">
        <f aca="false">IFERROR('Price History'!M3+(INDEX('Price History'!M:M,MATCH(9.99E+307,'Price History'!$A:$A))-'Price History'!M3)*(ROW()-3)/(MATCH(9.99E+307,'Returns (Calc)'!$A:$A)-3),"")</f>
        <v>235.476037735849</v>
      </c>
      <c r="AI133" s="111" t="n">
        <f aca="false">IFERROR('Price History'!N3+(INDEX('Price History'!N:N,MATCH(9.99E+307,'Price History'!$A:$A))-'Price History'!N3)*(ROW()-3)/(MATCH(9.99E+307,'Returns (Calc)'!$A:$A)-3),"")</f>
        <v>510.324150943396</v>
      </c>
      <c r="AJ133" s="111" t="n">
        <f aca="false">IFERROR('Price History'!O3+(INDEX('Price History'!O:O,MATCH(9.99E+307,'Price History'!$A:$A))-'Price History'!O3)*(ROW()-3)/(MATCH(9.99E+307,'Returns (Calc)'!$A:$A)-3),"")</f>
        <v>118.890251572327</v>
      </c>
      <c r="AK133" s="111" t="n">
        <f aca="false">IFERROR('Price History'!Q3+(INDEX('Price History'!Q:Q,MATCH(9.99E+307,'Price History'!$A:$A))-'Price History'!Q3)*(ROW()-3)/(MATCH(9.99E+307,'Returns (Calc)'!$A:$A)-3),"")</f>
        <v>66.0940880503145</v>
      </c>
      <c r="AL133" s="111" t="n">
        <f aca="false">IFERROR('Price History'!R3+(INDEX('Price History'!R:R,MATCH(9.99E+307,'Price History'!$A:$A))-'Price History'!R3)*(ROW()-3)/(MATCH(9.99E+307,'Returns (Calc)'!$A:$A)-3),"")</f>
        <v>57.6722012578616</v>
      </c>
      <c r="AM133" s="111" t="n">
        <f aca="false">IFERROR('Price History'!S3+(INDEX('Price History'!S:S,MATCH(9.99E+307,'Price History'!$A:$A))-'Price History'!S3)*(ROW()-3)/(MATCH(9.99E+307,'Returns (Calc)'!$A:$A)-3),"")</f>
        <v>133.089685534591</v>
      </c>
      <c r="AN133" s="111" t="n">
        <f aca="false">IFERROR('Price History'!T3+(INDEX('Price History'!T:T,MATCH(9.99E+307,'Price History'!$A:$A))-'Price History'!T3)*(ROW()-3)/(MATCH(9.99E+307,'Returns (Calc)'!$A:$A)-3),"")</f>
        <v>50.1137735849057</v>
      </c>
      <c r="AO133" s="112" t="n">
        <f aca="false">IFERROR('Price History'!V3+(INDEX('Price History'!V:V,MATCH(9.99E+307,'Price History'!$A:$A))-'Price History'!V3)*(ROW()-3)/(MATCH(9.99E+307,'Returns (Calc)'!$A:$A)-3),"")</f>
        <v>306.661006289308</v>
      </c>
    </row>
    <row r="134" customFormat="false" ht="15" hidden="false" customHeight="true" outlineLevel="0" collapsed="false">
      <c r="A134" s="108" t="n">
        <f aca="false">IF('Price History'!A135="","",'Price History'!A135)</f>
        <v>46073</v>
      </c>
      <c r="B134" s="109" t="n">
        <f aca="false">IFERROR(IF(OR(NOT(ISNUMBER('Price History'!B135)),NOT(ISNUMBER('Price History'!B134)),'Price History'!B134=0),"",'Price History'!B135/'Price History'!B134-1),"")</f>
        <v>-0.0203053377277721</v>
      </c>
      <c r="C134" s="109" t="n">
        <f aca="false">IFERROR(IF(OR(NOT(ISNUMBER('Price History'!C135)),NOT(ISNUMBER('Price History'!C134)),'Price History'!C134=0),"",'Price History'!C135/'Price History'!C134-1),"")</f>
        <v>-0.0621512818701887</v>
      </c>
      <c r="D134" s="109" t="n">
        <f aca="false">IFERROR(IF(OR(NOT(ISNUMBER('Price History'!D135)),NOT(ISNUMBER('Price History'!D134)),'Price History'!D134=0),"",'Price History'!D135/'Price History'!D134-1),"")</f>
        <v>0.0447743155529963</v>
      </c>
      <c r="E134" s="109" t="n">
        <f aca="false">IFERROR(IF(OR(NOT(ISNUMBER('Price History'!E135)),NOT(ISNUMBER('Price History'!E134)),'Price History'!E134=0),"",'Price History'!E135/'Price History'!E134-1),"")</f>
        <v>0.0230033520927513</v>
      </c>
      <c r="F134" s="109" t="n">
        <f aca="false">IFERROR(IF(OR(NOT(ISNUMBER('Price History'!F135)),NOT(ISNUMBER('Price History'!F134)),'Price History'!F134=0),"",'Price History'!F135/'Price History'!F134-1),"")</f>
        <v>-0.0955218322316357</v>
      </c>
      <c r="G134" s="109" t="n">
        <f aca="false">IFERROR(IF(OR(NOT(ISNUMBER('Price History'!G135)),NOT(ISNUMBER('Price History'!G134)),'Price History'!G134=0),"",'Price History'!G135/'Price History'!G134-1),"")</f>
        <v>0.0217881292261457</v>
      </c>
      <c r="H134" s="109" t="n">
        <f aca="false">IFERROR(IF(OR(NOT(ISNUMBER('Price History'!H135)),NOT(ISNUMBER('Price History'!H134)),'Price History'!H134=0),"",'Price History'!H135/'Price History'!H134-1),"")</f>
        <v>0.0401059126463585</v>
      </c>
      <c r="I134" s="109" t="n">
        <f aca="false">IFERROR(IF(OR(NOT(ISNUMBER('Price History'!I135)),NOT(ISNUMBER('Price History'!I134)),'Price History'!I134=0),"",'Price History'!I135/'Price History'!I134-1),"")</f>
        <v>0.0383458235326295</v>
      </c>
      <c r="J134" s="109" t="n">
        <f aca="false">IFERROR(IF(OR(NOT(ISNUMBER('Price History'!J135)),NOT(ISNUMBER('Price History'!J134)),'Price History'!J134=0),"",'Price History'!J135/'Price History'!J134-1),"")</f>
        <v>0.0182773260415916</v>
      </c>
      <c r="K134" s="109" t="n">
        <f aca="false">IFERROR(IF(OR(NOT(ISNUMBER('Price History'!K135)),NOT(ISNUMBER('Price History'!K134)),'Price History'!K134=0),"",'Price History'!K135/'Price History'!K134-1),"")</f>
        <v>0.0291454227227761</v>
      </c>
      <c r="L134" s="109" t="n">
        <f aca="false">IFERROR(IF(OR(NOT(ISNUMBER('Price History'!L135)),NOT(ISNUMBER('Price History'!L134)),'Price History'!L134=0),"",'Price History'!L135/'Price History'!L134-1),"")</f>
        <v>0.0114095425264766</v>
      </c>
      <c r="M134" s="109" t="n">
        <f aca="false">IFERROR(IF(OR(NOT(ISNUMBER('Price History'!M135)),NOT(ISNUMBER('Price History'!M134)),'Price History'!M134=0),"",'Price History'!M135/'Price History'!M134-1),"")</f>
        <v>0.0393126678889695</v>
      </c>
      <c r="N134" s="109" t="n">
        <f aca="false">IFERROR(IF(OR(NOT(ISNUMBER('Price History'!N135)),NOT(ISNUMBER('Price History'!N134)),'Price History'!N134=0),"",'Price History'!N135/'Price History'!N134-1),"")</f>
        <v>-0.0296457566077279</v>
      </c>
      <c r="O134" s="109" t="n">
        <f aca="false">IFERROR(IF(OR(NOT(ISNUMBER('Price History'!O135)),NOT(ISNUMBER('Price History'!O134)),'Price History'!O134=0),"",'Price History'!O135/'Price History'!O134-1),"")</f>
        <v>0.00557006092254131</v>
      </c>
      <c r="P134" s="109" t="str">
        <f aca="false">IFERROR(IF(OR(NOT(ISNUMBER('Price History'!P135)),NOT(ISNUMBER('Price History'!P134)),'Price History'!P134=0),"",'Price History'!P135/'Price History'!P134-1),"")</f>
        <v/>
      </c>
      <c r="Q134" s="109" t="n">
        <f aca="false">IFERROR(IF(OR(NOT(ISNUMBER('Price History'!Q135)),NOT(ISNUMBER('Price History'!Q134)),'Price History'!Q134=0),"",'Price History'!Q135/'Price History'!Q134-1),"")</f>
        <v>0.0204272571339468</v>
      </c>
      <c r="R134" s="109" t="n">
        <f aca="false">IFERROR(IF(OR(NOT(ISNUMBER('Price History'!R135)),NOT(ISNUMBER('Price History'!R134)),'Price History'!R134=0),"",'Price History'!R135/'Price History'!R134-1),"")</f>
        <v>0.0111284993914103</v>
      </c>
      <c r="S134" s="109" t="n">
        <f aca="false">IFERROR(IF(OR(NOT(ISNUMBER('Price History'!S135)),NOT(ISNUMBER('Price History'!S134)),'Price History'!S134=0),"",'Price History'!S135/'Price History'!S134-1),"")</f>
        <v>0.01446088794926</v>
      </c>
      <c r="T134" s="109" t="n">
        <f aca="false">IFERROR(IF(OR(NOT(ISNUMBER('Price History'!T135)),NOT(ISNUMBER('Price History'!T134)),'Price History'!T134=0),"",'Price History'!T135/'Price History'!T134-1),"")</f>
        <v>0.00198708395429725</v>
      </c>
      <c r="U134" s="109" t="str">
        <f aca="false">IFERROR(IF(OR(NOT(ISNUMBER('Price History'!U135)),NOT(ISNUMBER('Price History'!U134)),'Price History'!U134=0),"",'Price History'!U135/'Price History'!U134-1),"")</f>
        <v/>
      </c>
      <c r="V134" s="110" t="n">
        <f aca="false">IFERROR(IF(OR(NOT(ISNUMBER('Price History'!V135)),NOT(ISNUMBER('Price History'!V134)),'Price History'!V134=0),"",'Price History'!V135/'Price History'!V134-1),"")</f>
        <v>0.0218635128655904</v>
      </c>
      <c r="W134" s="111" t="n">
        <f aca="false">IFERROR('Price History'!B3+(INDEX('Price History'!B:B,MATCH(9.99E+307,'Price History'!$A:$A))-'Price History'!B3)*(ROW()-3)/(MATCH(9.99E+307,'Returns (Calc)'!$A:$A)-3),"")</f>
        <v>309.115786163522</v>
      </c>
      <c r="X134" s="111" t="n">
        <f aca="false">IFERROR('Price History'!C3+(INDEX('Price History'!C:C,MATCH(9.99E+307,'Price History'!$A:$A))-'Price History'!C3)*(ROW()-3)/(MATCH(9.99E+307,'Returns (Calc)'!$A:$A)-3),"")</f>
        <v>167.35786163522</v>
      </c>
      <c r="Y134" s="111" t="n">
        <f aca="false">IFERROR('Price History'!D3+(INDEX('Price History'!D:D,MATCH(9.99E+307,'Price History'!$A:$A))-'Price History'!D3)*(ROW()-3)/(MATCH(9.99E+307,'Returns (Calc)'!$A:$A)-3),"")</f>
        <v>1529.42842767296</v>
      </c>
      <c r="Z134" s="111" t="n">
        <f aca="false">IFERROR('Price History'!E3+(INDEX('Price History'!E:E,MATCH(9.99E+307,'Price History'!$A:$A))-'Price History'!E3)*(ROW()-3)/(MATCH(9.99E+307,'Returns (Calc)'!$A:$A)-3),"")</f>
        <v>309.48641509434</v>
      </c>
      <c r="AA134" s="111" t="n">
        <f aca="false">IFERROR('Price History'!F3+(INDEX('Price History'!F:F,MATCH(9.99E+307,'Price History'!$A:$A))-'Price History'!F3)*(ROW()-3)/(MATCH(9.99E+307,'Returns (Calc)'!$A:$A)-3),"")</f>
        <v>182.099245283019</v>
      </c>
      <c r="AB134" s="111" t="n">
        <f aca="false">IFERROR('Price History'!G3+(INDEX('Price History'!G:G,MATCH(9.99E+307,'Price History'!$A:$A))-'Price History'!G3)*(ROW()-3)/(MATCH(9.99E+307,'Returns (Calc)'!$A:$A)-3),"")</f>
        <v>161.350943396226</v>
      </c>
      <c r="AC134" s="111" t="n">
        <f aca="false">IFERROR('Price History'!H3+(INDEX('Price History'!H:H,MATCH(9.99E+307,'Price History'!$A:$A))-'Price History'!H3)*(ROW()-3)/(MATCH(9.99E+307,'Returns (Calc)'!$A:$A)-3),"")</f>
        <v>848.903459119497</v>
      </c>
      <c r="AD134" s="111" t="n">
        <f aca="false">IFERROR('Price History'!I3+(INDEX('Price History'!I:I,MATCH(9.99E+307,'Price History'!$A:$A))-'Price History'!I3)*(ROW()-3)/(MATCH(9.99E+307,'Returns (Calc)'!$A:$A)-3),"")</f>
        <v>196.987169811321</v>
      </c>
      <c r="AE134" s="111" t="n">
        <f aca="false">IFERROR('Price History'!J3+(INDEX('Price History'!J:J,MATCH(9.99E+307,'Price History'!$A:$A))-'Price History'!J3)*(ROW()-3)/(MATCH(9.99E+307,'Returns (Calc)'!$A:$A)-3),"")</f>
        <v>134.904528301887</v>
      </c>
      <c r="AF134" s="111" t="n">
        <f aca="false">IFERROR('Price History'!K3+(INDEX('Price History'!K:K,MATCH(9.99E+307,'Price History'!$A:$A))-'Price History'!K3)*(ROW()-3)/(MATCH(9.99E+307,'Returns (Calc)'!$A:$A)-3),"")</f>
        <v>146.344088050314</v>
      </c>
      <c r="AG134" s="111" t="n">
        <f aca="false">IFERROR('Price History'!L3+(INDEX('Price History'!L:L,MATCH(9.99E+307,'Price History'!$A:$A))-'Price History'!L3)*(ROW()-3)/(MATCH(9.99E+307,'Returns (Calc)'!$A:$A)-3),"")</f>
        <v>369.578176100629</v>
      </c>
      <c r="AH134" s="111" t="n">
        <f aca="false">IFERROR('Price History'!M3+(INDEX('Price History'!M:M,MATCH(9.99E+307,'Price History'!$A:$A))-'Price History'!M3)*(ROW()-3)/(MATCH(9.99E+307,'Returns (Calc)'!$A:$A)-3),"")</f>
        <v>237.029622641509</v>
      </c>
      <c r="AI134" s="111" t="n">
        <f aca="false">IFERROR('Price History'!N3+(INDEX('Price History'!N:N,MATCH(9.99E+307,'Price History'!$A:$A))-'Price History'!N3)*(ROW()-3)/(MATCH(9.99E+307,'Returns (Calc)'!$A:$A)-3),"")</f>
        <v>511.558490566038</v>
      </c>
      <c r="AJ134" s="111" t="n">
        <f aca="false">IFERROR('Price History'!O3+(INDEX('Price History'!O:O,MATCH(9.99E+307,'Price History'!$A:$A))-'Price History'!O3)*(ROW()-3)/(MATCH(9.99E+307,'Returns (Calc)'!$A:$A)-3),"")</f>
        <v>119.16748427673</v>
      </c>
      <c r="AK134" s="111" t="n">
        <f aca="false">IFERROR('Price History'!Q3+(INDEX('Price History'!Q:Q,MATCH(9.99E+307,'Price History'!$A:$A))-'Price History'!Q3)*(ROW()-3)/(MATCH(9.99E+307,'Returns (Calc)'!$A:$A)-3),"")</f>
        <v>66.2191194968553</v>
      </c>
      <c r="AL134" s="111" t="n">
        <f aca="false">IFERROR('Price History'!R3+(INDEX('Price History'!R:R,MATCH(9.99E+307,'Price History'!$A:$A))-'Price History'!R3)*(ROW()-3)/(MATCH(9.99E+307,'Returns (Calc)'!$A:$A)-3),"")</f>
        <v>57.7479874213837</v>
      </c>
      <c r="AM134" s="111" t="n">
        <f aca="false">IFERROR('Price History'!S3+(INDEX('Price History'!S:S,MATCH(9.99E+307,'Price History'!$A:$A))-'Price History'!S3)*(ROW()-3)/(MATCH(9.99E+307,'Returns (Calc)'!$A:$A)-3),"")</f>
        <v>133.663144654088</v>
      </c>
      <c r="AN134" s="111" t="n">
        <f aca="false">IFERROR('Price History'!T3+(INDEX('Price History'!T:T,MATCH(9.99E+307,'Price History'!$A:$A))-'Price History'!T3)*(ROW()-3)/(MATCH(9.99E+307,'Returns (Calc)'!$A:$A)-3),"")</f>
        <v>50.2922641509434</v>
      </c>
      <c r="AO134" s="112" t="n">
        <f aca="false">IFERROR('Price History'!V3+(INDEX('Price History'!V:V,MATCH(9.99E+307,'Price History'!$A:$A))-'Price History'!V3)*(ROW()-3)/(MATCH(9.99E+307,'Returns (Calc)'!$A:$A)-3),"")</f>
        <v>309.019937106918</v>
      </c>
    </row>
    <row r="135" customFormat="false" ht="15" hidden="false" customHeight="true" outlineLevel="0" collapsed="false">
      <c r="A135" s="108" t="n">
        <f aca="false">IF('Price History'!A136="","",'Price History'!A136)</f>
        <v>46080</v>
      </c>
      <c r="B135" s="109" t="n">
        <f aca="false">IFERROR(IF(OR(NOT(ISNUMBER('Price History'!B136)),NOT(ISNUMBER('Price History'!B135)),'Price History'!B135=0),"",'Price History'!B136/'Price History'!B135-1),"")</f>
        <v>0.0146939406828817</v>
      </c>
      <c r="C135" s="109" t="n">
        <f aca="false">IFERROR(IF(OR(NOT(ISNUMBER('Price History'!C136)),NOT(ISNUMBER('Price History'!C135)),'Price History'!C135=0),"",'Price History'!C136/'Price History'!C135-1),"")</f>
        <v>0.00534678816175926</v>
      </c>
      <c r="D135" s="109" t="n">
        <f aca="false">IFERROR(IF(OR(NOT(ISNUMBER('Price History'!D136)),NOT(ISNUMBER('Price History'!D135)),'Price History'!D135=0),"",'Price History'!D136/'Price History'!D135-1),"")</f>
        <v>-0.012949189910111</v>
      </c>
      <c r="E135" s="109" t="n">
        <f aca="false">IFERROR(IF(OR(NOT(ISNUMBER('Price History'!E136)),NOT(ISNUMBER('Price History'!E135)),'Price History'!E135=0),"",'Price History'!E136/'Price History'!E135-1),"")</f>
        <v>-0.0393807304975198</v>
      </c>
      <c r="F135" s="109" t="n">
        <f aca="false">IFERROR(IF(OR(NOT(ISNUMBER('Price History'!F136)),NOT(ISNUMBER('Price History'!F135)),'Price History'!F135=0),"",'Price History'!F136/'Price History'!F135-1),"")</f>
        <v>-0.042717447246526</v>
      </c>
      <c r="G135" s="109" t="n">
        <f aca="false">IFERROR(IF(OR(NOT(ISNUMBER('Price History'!G136)),NOT(ISNUMBER('Price History'!G135)),'Price History'!G135=0),"",'Price History'!G136/'Price History'!G135-1),"")</f>
        <v>0.0191176470588237</v>
      </c>
      <c r="H135" s="109" t="n">
        <f aca="false">IFERROR(IF(OR(NOT(ISNUMBER('Price History'!H136)),NOT(ISNUMBER('Price History'!H135)),'Price History'!H135=0),"",'Price History'!H136/'Price History'!H135-1),"")</f>
        <v>-0.0369012308195343</v>
      </c>
      <c r="I135" s="109" t="n">
        <f aca="false">IFERROR(IF(OR(NOT(ISNUMBER('Price History'!I136)),NOT(ISNUMBER('Price History'!I135)),'Price History'!I135=0),"",'Price History'!I136/'Price History'!I135-1),"")</f>
        <v>-0.0665367189969445</v>
      </c>
      <c r="J135" s="109" t="n">
        <f aca="false">IFERROR(IF(OR(NOT(ISNUMBER('Price History'!J136)),NOT(ISNUMBER('Price History'!J135)),'Price History'!J135=0),"",'Price History'!J136/'Price History'!J135-1),"")</f>
        <v>0.00749063670411987</v>
      </c>
      <c r="K135" s="109" t="n">
        <f aca="false">IFERROR(IF(OR(NOT(ISNUMBER('Price History'!K136)),NOT(ISNUMBER('Price History'!K135)),'Price History'!K135=0),"",'Price History'!K136/'Price History'!K135-1),"")</f>
        <v>0.014418811002662</v>
      </c>
      <c r="L135" s="109" t="n">
        <f aca="false">IFERROR(IF(OR(NOT(ISNUMBER('Price History'!L136)),NOT(ISNUMBER('Price History'!L135)),'Price History'!L135=0),"",'Price History'!L136/'Price History'!L135-1),"")</f>
        <v>0.0109030064230582</v>
      </c>
      <c r="M135" s="109" t="n">
        <f aca="false">IFERROR(IF(OR(NOT(ISNUMBER('Price History'!M136)),NOT(ISNUMBER('Price History'!M135)),'Price History'!M135=0),"",'Price History'!M136/'Price History'!M135-1),"")</f>
        <v>0.0457025641025641</v>
      </c>
      <c r="N135" s="109" t="n">
        <f aca="false">IFERROR(IF(OR(NOT(ISNUMBER('Price History'!N136)),NOT(ISNUMBER('Price History'!N135)),'Price History'!N135=0),"",'Price History'!N136/'Price History'!N135-1),"")</f>
        <v>0.0417907318096038</v>
      </c>
      <c r="O135" s="109" t="n">
        <f aca="false">IFERROR(IF(OR(NOT(ISNUMBER('Price History'!O136)),NOT(ISNUMBER('Price History'!O135)),'Price History'!O135=0),"",'Price History'!O136/'Price History'!O135-1),"")</f>
        <v>-0.0221568288038775</v>
      </c>
      <c r="P135" s="109" t="str">
        <f aca="false">IFERROR(IF(OR(NOT(ISNUMBER('Price History'!P136)),NOT(ISNUMBER('Price History'!P135)),'Price History'!P135=0),"",'Price History'!P136/'Price History'!P135-1),"")</f>
        <v/>
      </c>
      <c r="Q135" s="109" t="n">
        <f aca="false">IFERROR(IF(OR(NOT(ISNUMBER('Price History'!Q136)),NOT(ISNUMBER('Price History'!Q135)),'Price History'!Q135=0),"",'Price History'!Q136/'Price History'!Q135-1),"")</f>
        <v>0.025672371638142</v>
      </c>
      <c r="R135" s="109" t="n">
        <f aca="false">IFERROR(IF(OR(NOT(ISNUMBER('Price History'!R136)),NOT(ISNUMBER('Price History'!R135)),'Price History'!R135=0),"",'Price History'!R136/'Price History'!R135-1),"")</f>
        <v>-0.00189165950128978</v>
      </c>
      <c r="S135" s="109" t="n">
        <f aca="false">IFERROR(IF(OR(NOT(ISNUMBER('Price History'!S136)),NOT(ISNUMBER('Price History'!S135)),'Price History'!S135=0),"",'Price History'!S136/'Price History'!S135-1),"")</f>
        <v>-0.00408469489829944</v>
      </c>
      <c r="T135" s="109" t="n">
        <f aca="false">IFERROR(IF(OR(NOT(ISNUMBER('Price History'!T136)),NOT(ISNUMBER('Price History'!T135)),'Price History'!T135=0),"",'Price History'!T136/'Price History'!T135-1),"")</f>
        <v>0.00347050074367861</v>
      </c>
      <c r="U135" s="109" t="str">
        <f aca="false">IFERROR(IF(OR(NOT(ISNUMBER('Price History'!U136)),NOT(ISNUMBER('Price History'!U135)),'Price History'!U135=0),"",'Price History'!U136/'Price History'!U135-1),"")</f>
        <v/>
      </c>
      <c r="V135" s="110" t="n">
        <f aca="false">IFERROR(IF(OR(NOT(ISNUMBER('Price History'!V136)),NOT(ISNUMBER('Price History'!V135)),'Price History'!V135=0),"",'Price History'!V136/'Price History'!V135-1),"")</f>
        <v>-0.00250242422346647</v>
      </c>
      <c r="W135" s="111" t="n">
        <f aca="false">IFERROR('Price History'!B3+(INDEX('Price History'!B:B,MATCH(9.99E+307,'Price History'!$A:$A))-'Price History'!B3)*(ROW()-3)/(MATCH(9.99E+307,'Returns (Calc)'!$A:$A)-3),"")</f>
        <v>307.594150943396</v>
      </c>
      <c r="X135" s="111" t="n">
        <f aca="false">IFERROR('Price History'!C3+(INDEX('Price History'!C:C,MATCH(9.99E+307,'Price History'!$A:$A))-'Price History'!C3)*(ROW()-3)/(MATCH(9.99E+307,'Returns (Calc)'!$A:$A)-3),"")</f>
        <v>168.301509433962</v>
      </c>
      <c r="Y135" s="111" t="n">
        <f aca="false">IFERROR('Price History'!D3+(INDEX('Price History'!D:D,MATCH(9.99E+307,'Price History'!$A:$A))-'Price History'!D3)*(ROW()-3)/(MATCH(9.99E+307,'Returns (Calc)'!$A:$A)-3),"")</f>
        <v>1536.05169811321</v>
      </c>
      <c r="Z135" s="111" t="n">
        <f aca="false">IFERROR('Price History'!E3+(INDEX('Price History'!E:E,MATCH(9.99E+307,'Price History'!$A:$A))-'Price History'!E3)*(ROW()-3)/(MATCH(9.99E+307,'Returns (Calc)'!$A:$A)-3),"")</f>
        <v>311.215471698113</v>
      </c>
      <c r="AA135" s="111" t="n">
        <f aca="false">IFERROR('Price History'!F3+(INDEX('Price History'!F:F,MATCH(9.99E+307,'Price History'!$A:$A))-'Price History'!F3)*(ROW()-3)/(MATCH(9.99E+307,'Returns (Calc)'!$A:$A)-3),"")</f>
        <v>183.20641509434</v>
      </c>
      <c r="AB135" s="111" t="n">
        <f aca="false">IFERROR('Price History'!G3+(INDEX('Price History'!G:G,MATCH(9.99E+307,'Price History'!$A:$A))-'Price History'!G3)*(ROW()-3)/(MATCH(9.99E+307,'Returns (Calc)'!$A:$A)-3),"")</f>
        <v>162.216981132075</v>
      </c>
      <c r="AC135" s="111" t="n">
        <f aca="false">IFERROR('Price History'!H3+(INDEX('Price History'!H:H,MATCH(9.99E+307,'Price History'!$A:$A))-'Price History'!H3)*(ROW()-3)/(MATCH(9.99E+307,'Returns (Calc)'!$A:$A)-3),"")</f>
        <v>854.892264150943</v>
      </c>
      <c r="AD135" s="111" t="n">
        <f aca="false">IFERROR('Price History'!I3+(INDEX('Price History'!I:I,MATCH(9.99E+307,'Price History'!$A:$A))-'Price History'!I3)*(ROW()-3)/(MATCH(9.99E+307,'Returns (Calc)'!$A:$A)-3),"")</f>
        <v>198.179056603774</v>
      </c>
      <c r="AE135" s="111" t="n">
        <f aca="false">IFERROR('Price History'!J3+(INDEX('Price History'!J:J,MATCH(9.99E+307,'Price History'!$A:$A))-'Price History'!J3)*(ROW()-3)/(MATCH(9.99E+307,'Returns (Calc)'!$A:$A)-3),"")</f>
        <v>134.991509433962</v>
      </c>
      <c r="AF135" s="111" t="n">
        <f aca="false">IFERROR('Price History'!K3+(INDEX('Price History'!K:K,MATCH(9.99E+307,'Price History'!$A:$A))-'Price History'!K3)*(ROW()-3)/(MATCH(9.99E+307,'Returns (Calc)'!$A:$A)-3),"")</f>
        <v>147.34358490566</v>
      </c>
      <c r="AG135" s="111" t="n">
        <f aca="false">IFERROR('Price History'!L3+(INDEX('Price History'!L:L,MATCH(9.99E+307,'Price History'!$A:$A))-'Price History'!L3)*(ROW()-3)/(MATCH(9.99E+307,'Returns (Calc)'!$A:$A)-3),"")</f>
        <v>371.697169811321</v>
      </c>
      <c r="AH135" s="111" t="n">
        <f aca="false">IFERROR('Price History'!M3+(INDEX('Price History'!M:M,MATCH(9.99E+307,'Price History'!$A:$A))-'Price History'!M3)*(ROW()-3)/(MATCH(9.99E+307,'Returns (Calc)'!$A:$A)-3),"")</f>
        <v>238.58320754717</v>
      </c>
      <c r="AI135" s="111" t="n">
        <f aca="false">IFERROR('Price History'!N3+(INDEX('Price History'!N:N,MATCH(9.99E+307,'Price History'!$A:$A))-'Price History'!N3)*(ROW()-3)/(MATCH(9.99E+307,'Returns (Calc)'!$A:$A)-3),"")</f>
        <v>512.792830188679</v>
      </c>
      <c r="AJ135" s="111" t="n">
        <f aca="false">IFERROR('Price History'!O3+(INDEX('Price History'!O:O,MATCH(9.99E+307,'Price History'!$A:$A))-'Price History'!O3)*(ROW()-3)/(MATCH(9.99E+307,'Returns (Calc)'!$A:$A)-3),"")</f>
        <v>119.444716981132</v>
      </c>
      <c r="AK135" s="111" t="n">
        <f aca="false">IFERROR('Price History'!Q3+(INDEX('Price History'!Q:Q,MATCH(9.99E+307,'Price History'!$A:$A))-'Price History'!Q3)*(ROW()-3)/(MATCH(9.99E+307,'Returns (Calc)'!$A:$A)-3),"")</f>
        <v>66.3441509433962</v>
      </c>
      <c r="AL135" s="111" t="n">
        <f aca="false">IFERROR('Price History'!R3+(INDEX('Price History'!R:R,MATCH(9.99E+307,'Price History'!$A:$A))-'Price History'!R3)*(ROW()-3)/(MATCH(9.99E+307,'Returns (Calc)'!$A:$A)-3),"")</f>
        <v>57.8237735849057</v>
      </c>
      <c r="AM135" s="111" t="n">
        <f aca="false">IFERROR('Price History'!S3+(INDEX('Price History'!S:S,MATCH(9.99E+307,'Price History'!$A:$A))-'Price History'!S3)*(ROW()-3)/(MATCH(9.99E+307,'Returns (Calc)'!$A:$A)-3),"")</f>
        <v>134.236603773585</v>
      </c>
      <c r="AN135" s="111" t="n">
        <f aca="false">IFERROR('Price History'!T3+(INDEX('Price History'!T:T,MATCH(9.99E+307,'Price History'!$A:$A))-'Price History'!T3)*(ROW()-3)/(MATCH(9.99E+307,'Returns (Calc)'!$A:$A)-3),"")</f>
        <v>50.4707547169811</v>
      </c>
      <c r="AO135" s="112" t="n">
        <f aca="false">IFERROR('Price History'!V3+(INDEX('Price History'!V:V,MATCH(9.99E+307,'Price History'!$A:$A))-'Price History'!V3)*(ROW()-3)/(MATCH(9.99E+307,'Returns (Calc)'!$A:$A)-3),"")</f>
        <v>311.378867924528</v>
      </c>
    </row>
    <row r="136" customFormat="false" ht="15" hidden="false" customHeight="true" outlineLevel="0" collapsed="false">
      <c r="A136" s="108" t="n">
        <f aca="false">IF('Price History'!A137="","",'Price History'!A137)</f>
        <v>46087</v>
      </c>
      <c r="B136" s="109" t="n">
        <f aca="false">IFERROR(IF(OR(NOT(ISNUMBER('Price History'!B137)),NOT(ISNUMBER('Price History'!B136)),'Price History'!B136=0),"",'Price History'!B137/'Price History'!B136-1),"")</f>
        <v>0.0808277123585228</v>
      </c>
      <c r="C136" s="109" t="n">
        <f aca="false">IFERROR(IF(OR(NOT(ISNUMBER('Price History'!C137)),NOT(ISNUMBER('Price History'!C136)),'Price History'!C136=0),"",'Price History'!C137/'Price History'!C136-1),"")</f>
        <v>-0.0045692883895132</v>
      </c>
      <c r="D136" s="109" t="n">
        <f aca="false">IFERROR(IF(OR(NOT(ISNUMBER('Price History'!D137)),NOT(ISNUMBER('Price History'!D136)),'Price History'!D136=0),"",'Price History'!D137/'Price History'!D136-1),"")</f>
        <v>-0.108757996911538</v>
      </c>
      <c r="E136" s="109" t="n">
        <f aca="false">IFERROR(IF(OR(NOT(ISNUMBER('Price History'!E137)),NOT(ISNUMBER('Price History'!E136)),'Price History'!E136=0),"",'Price History'!E137/'Price History'!E136-1),"")</f>
        <v>0.0342043498670004</v>
      </c>
      <c r="F136" s="109" t="n">
        <f aca="false">IFERROR(IF(OR(NOT(ISNUMBER('Price History'!F137)),NOT(ISNUMBER('Price History'!F136)),'Price History'!F136=0),"",'Price History'!F137/'Price History'!F136-1),"")</f>
        <v>0.153225806451613</v>
      </c>
      <c r="G136" s="109" t="n">
        <f aca="false">IFERROR(IF(OR(NOT(ISNUMBER('Price History'!G137)),NOT(ISNUMBER('Price History'!G136)),'Price History'!G136=0),"",'Price History'!G137/'Price History'!G136-1),"")</f>
        <v>-0.118063754427391</v>
      </c>
      <c r="H136" s="109" t="n">
        <f aca="false">IFERROR(IF(OR(NOT(ISNUMBER('Price History'!H137)),NOT(ISNUMBER('Price History'!H136)),'Price History'!H136=0),"",'Price History'!H137/'Price History'!H136-1),"")</f>
        <v>-0.102020030555084</v>
      </c>
      <c r="I136" s="109" t="n">
        <f aca="false">IFERROR(IF(OR(NOT(ISNUMBER('Price History'!I137)),NOT(ISNUMBER('Price History'!I136)),'Price History'!I136=0),"",'Price History'!I137/'Price History'!I136-1),"")</f>
        <v>0.00355550538969474</v>
      </c>
      <c r="J136" s="109" t="n">
        <f aca="false">IFERROR(IF(OR(NOT(ISNUMBER('Price History'!J137)),NOT(ISNUMBER('Price History'!J136)),'Price History'!J136=0),"",'Price History'!J137/'Price History'!J136-1),"")</f>
        <v>-0.0563232096513994</v>
      </c>
      <c r="K136" s="109" t="n">
        <f aca="false">IFERROR(IF(OR(NOT(ISNUMBER('Price History'!K137)),NOT(ISNUMBER('Price History'!K136)),'Price History'!K136=0),"",'Price History'!K137/'Price History'!K136-1),"")</f>
        <v>0.145564545520811</v>
      </c>
      <c r="L136" s="109" t="n">
        <f aca="false">IFERROR(IF(OR(NOT(ISNUMBER('Price History'!L137)),NOT(ISNUMBER('Price History'!L136)),'Price History'!L136=0),"",'Price History'!L137/'Price History'!L136-1),"")</f>
        <v>-0.0952800469859576</v>
      </c>
      <c r="M136" s="109" t="n">
        <f aca="false">IFERROR(IF(OR(NOT(ISNUMBER('Price History'!M137)),NOT(ISNUMBER('Price History'!M136)),'Price History'!M136=0),"",'Price History'!M137/'Price History'!M136-1),"")</f>
        <v>-0.0514339519008199</v>
      </c>
      <c r="N136" s="109" t="n">
        <f aca="false">IFERROR(IF(OR(NOT(ISNUMBER('Price History'!N137)),NOT(ISNUMBER('Price History'!N136)),'Price History'!N136=0),"",'Price History'!N137/'Price History'!N136-1),"")</f>
        <v>-0.0807922226918664</v>
      </c>
      <c r="O136" s="109" t="n">
        <f aca="false">IFERROR(IF(OR(NOT(ISNUMBER('Price History'!O137)),NOT(ISNUMBER('Price History'!O136)),'Price History'!O136=0),"",'Price History'!O137/'Price History'!O136-1),"")</f>
        <v>-0.0383253673216498</v>
      </c>
      <c r="P136" s="109" t="str">
        <f aca="false">IFERROR(IF(OR(NOT(ISNUMBER('Price History'!P137)),NOT(ISNUMBER('Price History'!P136)),'Price History'!P136=0),"",'Price History'!P137/'Price History'!P136-1),"")</f>
        <v/>
      </c>
      <c r="Q136" s="109" t="n">
        <f aca="false">IFERROR(IF(OR(NOT(ISNUMBER('Price History'!Q137)),NOT(ISNUMBER('Price History'!Q136)),'Price History'!Q136=0),"",'Price History'!Q137/'Price History'!Q136-1),"")</f>
        <v>0.00223480333730608</v>
      </c>
      <c r="R136" s="109" t="n">
        <f aca="false">IFERROR(IF(OR(NOT(ISNUMBER('Price History'!R137)),NOT(ISNUMBER('Price History'!R136)),'Price History'!R136=0),"",'Price History'!R137/'Price History'!R136-1),"")</f>
        <v>-0.0205031013094418</v>
      </c>
      <c r="S136" s="109" t="n">
        <f aca="false">IFERROR(IF(OR(NOT(ISNUMBER('Price History'!S137)),NOT(ISNUMBER('Price History'!S136)),'Price History'!S136=0),"",'Price History'!S137/'Price History'!S136-1),"")</f>
        <v>-0.0102954716665272</v>
      </c>
      <c r="T136" s="109" t="n">
        <f aca="false">IFERROR(IF(OR(NOT(ISNUMBER('Price History'!T137)),NOT(ISNUMBER('Price History'!T136)),'Price History'!T136=0),"",'Price History'!T137/'Price History'!T136-1),"")</f>
        <v>-0.00914031620553357</v>
      </c>
      <c r="U136" s="109" t="str">
        <f aca="false">IFERROR(IF(OR(NOT(ISNUMBER('Price History'!U137)),NOT(ISNUMBER('Price History'!U136)),'Price History'!U136=0),"",'Price History'!U137/'Price History'!U136-1),"")</f>
        <v/>
      </c>
      <c r="V136" s="110" t="n">
        <f aca="false">IFERROR(IF(OR(NOT(ISNUMBER('Price History'!V137)),NOT(ISNUMBER('Price History'!V136)),'Price History'!V136=0),"",'Price History'!V137/'Price History'!V136-1),"")</f>
        <v>-0.00868638088369023</v>
      </c>
      <c r="W136" s="111" t="n">
        <f aca="false">IFERROR('Price History'!B3+(INDEX('Price History'!B:B,MATCH(9.99E+307,'Price History'!$A:$A))-'Price History'!B3)*(ROW()-3)/(MATCH(9.99E+307,'Returns (Calc)'!$A:$A)-3),"")</f>
        <v>306.07251572327</v>
      </c>
      <c r="X136" s="111" t="n">
        <f aca="false">IFERROR('Price History'!C3+(INDEX('Price History'!C:C,MATCH(9.99E+307,'Price History'!$A:$A))-'Price History'!C3)*(ROW()-3)/(MATCH(9.99E+307,'Returns (Calc)'!$A:$A)-3),"")</f>
        <v>169.245157232704</v>
      </c>
      <c r="Y136" s="111" t="n">
        <f aca="false">IFERROR('Price History'!D3+(INDEX('Price History'!D:D,MATCH(9.99E+307,'Price History'!$A:$A))-'Price History'!D3)*(ROW()-3)/(MATCH(9.99E+307,'Returns (Calc)'!$A:$A)-3),"")</f>
        <v>1542.67496855346</v>
      </c>
      <c r="Z136" s="111" t="n">
        <f aca="false">IFERROR('Price History'!E3+(INDEX('Price History'!E:E,MATCH(9.99E+307,'Price History'!$A:$A))-'Price History'!E3)*(ROW()-3)/(MATCH(9.99E+307,'Returns (Calc)'!$A:$A)-3),"")</f>
        <v>312.944528301887</v>
      </c>
      <c r="AA136" s="111" t="n">
        <f aca="false">IFERROR('Price History'!F3+(INDEX('Price History'!F:F,MATCH(9.99E+307,'Price History'!$A:$A))-'Price History'!F3)*(ROW()-3)/(MATCH(9.99E+307,'Returns (Calc)'!$A:$A)-3),"")</f>
        <v>184.31358490566</v>
      </c>
      <c r="AB136" s="111" t="n">
        <f aca="false">IFERROR('Price History'!G3+(INDEX('Price History'!G:G,MATCH(9.99E+307,'Price History'!$A:$A))-'Price History'!G3)*(ROW()-3)/(MATCH(9.99E+307,'Returns (Calc)'!$A:$A)-3),"")</f>
        <v>163.083018867925</v>
      </c>
      <c r="AC136" s="111" t="n">
        <f aca="false">IFERROR('Price History'!H3+(INDEX('Price History'!H:H,MATCH(9.99E+307,'Price History'!$A:$A))-'Price History'!H3)*(ROW()-3)/(MATCH(9.99E+307,'Returns (Calc)'!$A:$A)-3),"")</f>
        <v>860.88106918239</v>
      </c>
      <c r="AD136" s="111" t="n">
        <f aca="false">IFERROR('Price History'!I3+(INDEX('Price History'!I:I,MATCH(9.99E+307,'Price History'!$A:$A))-'Price History'!I3)*(ROW()-3)/(MATCH(9.99E+307,'Returns (Calc)'!$A:$A)-3),"")</f>
        <v>199.370943396226</v>
      </c>
      <c r="AE136" s="111" t="n">
        <f aca="false">IFERROR('Price History'!J3+(INDEX('Price History'!J:J,MATCH(9.99E+307,'Price History'!$A:$A))-'Price History'!J3)*(ROW()-3)/(MATCH(9.99E+307,'Returns (Calc)'!$A:$A)-3),"")</f>
        <v>135.078490566038</v>
      </c>
      <c r="AF136" s="111" t="n">
        <f aca="false">IFERROR('Price History'!K3+(INDEX('Price History'!K:K,MATCH(9.99E+307,'Price History'!$A:$A))-'Price History'!K3)*(ROW()-3)/(MATCH(9.99E+307,'Returns (Calc)'!$A:$A)-3),"")</f>
        <v>148.343081761006</v>
      </c>
      <c r="AG136" s="111" t="n">
        <f aca="false">IFERROR('Price History'!L3+(INDEX('Price History'!L:L,MATCH(9.99E+307,'Price History'!$A:$A))-'Price History'!L3)*(ROW()-3)/(MATCH(9.99E+307,'Returns (Calc)'!$A:$A)-3),"")</f>
        <v>373.816163522013</v>
      </c>
      <c r="AH136" s="111" t="n">
        <f aca="false">IFERROR('Price History'!M3+(INDEX('Price History'!M:M,MATCH(9.99E+307,'Price History'!$A:$A))-'Price History'!M3)*(ROW()-3)/(MATCH(9.99E+307,'Returns (Calc)'!$A:$A)-3),"")</f>
        <v>240.13679245283</v>
      </c>
      <c r="AI136" s="111" t="n">
        <f aca="false">IFERROR('Price History'!N3+(INDEX('Price History'!N:N,MATCH(9.99E+307,'Price History'!$A:$A))-'Price History'!N3)*(ROW()-3)/(MATCH(9.99E+307,'Returns (Calc)'!$A:$A)-3),"")</f>
        <v>514.027169811321</v>
      </c>
      <c r="AJ136" s="111" t="n">
        <f aca="false">IFERROR('Price History'!O3+(INDEX('Price History'!O:O,MATCH(9.99E+307,'Price History'!$A:$A))-'Price History'!O3)*(ROW()-3)/(MATCH(9.99E+307,'Returns (Calc)'!$A:$A)-3),"")</f>
        <v>119.721949685535</v>
      </c>
      <c r="AK136" s="111" t="n">
        <f aca="false">IFERROR('Price History'!Q3+(INDEX('Price History'!Q:Q,MATCH(9.99E+307,'Price History'!$A:$A))-'Price History'!Q3)*(ROW()-3)/(MATCH(9.99E+307,'Returns (Calc)'!$A:$A)-3),"")</f>
        <v>66.4691823899371</v>
      </c>
      <c r="AL136" s="111" t="n">
        <f aca="false">IFERROR('Price History'!R3+(INDEX('Price History'!R:R,MATCH(9.99E+307,'Price History'!$A:$A))-'Price History'!R3)*(ROW()-3)/(MATCH(9.99E+307,'Returns (Calc)'!$A:$A)-3),"")</f>
        <v>57.8995597484277</v>
      </c>
      <c r="AM136" s="111" t="n">
        <f aca="false">IFERROR('Price History'!S3+(INDEX('Price History'!S:S,MATCH(9.99E+307,'Price History'!$A:$A))-'Price History'!S3)*(ROW()-3)/(MATCH(9.99E+307,'Returns (Calc)'!$A:$A)-3),"")</f>
        <v>134.810062893082</v>
      </c>
      <c r="AN136" s="111" t="n">
        <f aca="false">IFERROR('Price History'!T3+(INDEX('Price History'!T:T,MATCH(9.99E+307,'Price History'!$A:$A))-'Price History'!T3)*(ROW()-3)/(MATCH(9.99E+307,'Returns (Calc)'!$A:$A)-3),"")</f>
        <v>50.6492452830189</v>
      </c>
      <c r="AO136" s="112" t="n">
        <f aca="false">IFERROR('Price History'!V3+(INDEX('Price History'!V:V,MATCH(9.99E+307,'Price History'!$A:$A))-'Price History'!V3)*(ROW()-3)/(MATCH(9.99E+307,'Returns (Calc)'!$A:$A)-3),"")</f>
        <v>313.737798742138</v>
      </c>
    </row>
    <row r="137" customFormat="false" ht="15" hidden="false" customHeight="true" outlineLevel="0" collapsed="false">
      <c r="A137" s="108" t="n">
        <f aca="false">IF('Price History'!A138="","",'Price History'!A138)</f>
        <v>46094</v>
      </c>
      <c r="B137" s="109" t="n">
        <f aca="false">IFERROR(IF(OR(NOT(ISNUMBER('Price History'!B138)),NOT(ISNUMBER('Price History'!B137)),'Price History'!B137=0),"",'Price History'!B138/'Price History'!B137-1),"")</f>
        <v>-0.120936464283196</v>
      </c>
      <c r="C137" s="109" t="n">
        <f aca="false">IFERROR(IF(OR(NOT(ISNUMBER('Price History'!C138)),NOT(ISNUMBER('Price History'!C137)),'Price History'!C137=0),"",'Price History'!C138/'Price History'!C137-1),"")</f>
        <v>0.00511701407178866</v>
      </c>
      <c r="D137" s="109" t="n">
        <f aca="false">IFERROR(IF(OR(NOT(ISNUMBER('Price History'!D138)),NOT(ISNUMBER('Price History'!D137)),'Price History'!D137=0),"",'Price History'!D138/'Price History'!D137-1),"")</f>
        <v>0.0409112004950496</v>
      </c>
      <c r="E137" s="109" t="n">
        <f aca="false">IFERROR(IF(OR(NOT(ISNUMBER('Price History'!E138)),NOT(ISNUMBER('Price History'!E137)),'Price History'!E137=0),"",'Price History'!E138/'Price History'!E137-1),"")</f>
        <v>-0.0251755022996852</v>
      </c>
      <c r="F137" s="109" t="n">
        <f aca="false">IFERROR(IF(OR(NOT(ISNUMBER('Price History'!F138)),NOT(ISNUMBER('Price History'!F137)),'Price History'!F137=0),"",'Price History'!F138/'Price History'!F137-1),"")</f>
        <v>0.0298368298368299</v>
      </c>
      <c r="G137" s="109" t="n">
        <f aca="false">IFERROR(IF(OR(NOT(ISNUMBER('Price History'!G138)),NOT(ISNUMBER('Price History'!G137)),'Price History'!G137=0),"",'Price History'!G138/'Price History'!G137-1),"")</f>
        <v>0.0550349546333482</v>
      </c>
      <c r="H137" s="109" t="n">
        <f aca="false">IFERROR(IF(OR(NOT(ISNUMBER('Price History'!H138)),NOT(ISNUMBER('Price History'!H137)),'Price History'!H137=0),"",'Price History'!H138/'Price History'!H137-1),"")</f>
        <v>0.150769646232784</v>
      </c>
      <c r="I137" s="109" t="n">
        <f aca="false">IFERROR(IF(OR(NOT(ISNUMBER('Price History'!I138)),NOT(ISNUMBER('Price History'!I137)),'Price History'!I137=0),"",'Price History'!I138/'Price History'!I137-1),"")</f>
        <v>0.013665504442695</v>
      </c>
      <c r="J137" s="109" t="n">
        <f aca="false">IFERROR(IF(OR(NOT(ISNUMBER('Price History'!J138)),NOT(ISNUMBER('Price History'!J137)),'Price History'!J137=0),"",'Price History'!J138/'Price History'!J137-1),"")</f>
        <v>-0.0207373271889401</v>
      </c>
      <c r="K137" s="109" t="n">
        <f aca="false">IFERROR(IF(OR(NOT(ISNUMBER('Price History'!K138)),NOT(ISNUMBER('Price History'!K137)),'Price History'!K137=0),"",'Price History'!K138/'Price History'!K137-1),"")</f>
        <v>-0.0395138712140495</v>
      </c>
      <c r="L137" s="109" t="n">
        <f aca="false">IFERROR(IF(OR(NOT(ISNUMBER('Price History'!L138)),NOT(ISNUMBER('Price History'!L137)),'Price History'!L137=0),"",'Price History'!L138/'Price History'!L137-1),"")</f>
        <v>-0.0017114697984596</v>
      </c>
      <c r="M137" s="109" t="n">
        <f aca="false">IFERROR(IF(OR(NOT(ISNUMBER('Price History'!M138)),NOT(ISNUMBER('Price History'!M137)),'Price History'!M137=0),"",'Price History'!M138/'Price History'!M137-1),"")</f>
        <v>0.0707254528910579</v>
      </c>
      <c r="N137" s="109" t="n">
        <f aca="false">IFERROR(IF(OR(NOT(ISNUMBER('Price History'!N138)),NOT(ISNUMBER('Price History'!N137)),'Price History'!N137=0),"",'Price History'!N138/'Price History'!N137-1),"")</f>
        <v>0.0276993146335589</v>
      </c>
      <c r="O137" s="109" t="n">
        <f aca="false">IFERROR(IF(OR(NOT(ISNUMBER('Price History'!O138)),NOT(ISNUMBER('Price History'!O137)),'Price History'!O137=0),"",'Price History'!O138/'Price History'!O137-1),"")</f>
        <v>-0.0217211228716061</v>
      </c>
      <c r="P137" s="109" t="str">
        <f aca="false">IFERROR(IF(OR(NOT(ISNUMBER('Price History'!P138)),NOT(ISNUMBER('Price History'!P137)),'Price History'!P137=0),"",'Price History'!P138/'Price History'!P137-1),"")</f>
        <v/>
      </c>
      <c r="Q137" s="109" t="n">
        <f aca="false">IFERROR(IF(OR(NOT(ISNUMBER('Price History'!Q138)),NOT(ISNUMBER('Price History'!Q137)),'Price History'!Q137=0),"",'Price History'!Q138/'Price History'!Q137-1),"")</f>
        <v>0.0040136762301175</v>
      </c>
      <c r="R137" s="109" t="n">
        <f aca="false">IFERROR(IF(OR(NOT(ISNUMBER('Price History'!R138)),NOT(ISNUMBER('Price History'!R137)),'Price History'!R137=0),"",'Price History'!R138/'Price History'!R137-1),"")</f>
        <v>-0.00510114335971856</v>
      </c>
      <c r="S137" s="109" t="n">
        <f aca="false">IFERROR(IF(OR(NOT(ISNUMBER('Price History'!S138)),NOT(ISNUMBER('Price History'!S137)),'Price History'!S137=0),"",'Price History'!S138/'Price History'!S137-1),"")</f>
        <v>-0.0174221921515561</v>
      </c>
      <c r="T137" s="109" t="n">
        <f aca="false">IFERROR(IF(OR(NOT(ISNUMBER('Price History'!T138)),NOT(ISNUMBER('Price History'!T137)),'Price History'!T137=0),"",'Price History'!T138/'Price History'!T137-1),"")</f>
        <v>-0.0226876090750435</v>
      </c>
      <c r="U137" s="109" t="str">
        <f aca="false">IFERROR(IF(OR(NOT(ISNUMBER('Price History'!U138)),NOT(ISNUMBER('Price History'!U137)),'Price History'!U137=0),"",'Price History'!U138/'Price History'!U137-1),"")</f>
        <v/>
      </c>
      <c r="V137" s="110" t="n">
        <f aca="false">IFERROR(IF(OR(NOT(ISNUMBER('Price History'!V138)),NOT(ISNUMBER('Price History'!V137)),'Price History'!V137=0),"",'Price History'!V138/'Price History'!V137-1),"")</f>
        <v>-0.0322029609009237</v>
      </c>
      <c r="W137" s="111" t="n">
        <f aca="false">IFERROR('Price History'!B3+(INDEX('Price History'!B:B,MATCH(9.99E+307,'Price History'!$A:$A))-'Price History'!B3)*(ROW()-3)/(MATCH(9.99E+307,'Returns (Calc)'!$A:$A)-3),"")</f>
        <v>304.550880503145</v>
      </c>
      <c r="X137" s="111" t="n">
        <f aca="false">IFERROR('Price History'!C3+(INDEX('Price History'!C:C,MATCH(9.99E+307,'Price History'!$A:$A))-'Price History'!C3)*(ROW()-3)/(MATCH(9.99E+307,'Returns (Calc)'!$A:$A)-3),"")</f>
        <v>170.188805031447</v>
      </c>
      <c r="Y137" s="111" t="n">
        <f aca="false">IFERROR('Price History'!D3+(INDEX('Price History'!D:D,MATCH(9.99E+307,'Price History'!$A:$A))-'Price History'!D3)*(ROW()-3)/(MATCH(9.99E+307,'Returns (Calc)'!$A:$A)-3),"")</f>
        <v>1549.29823899371</v>
      </c>
      <c r="Z137" s="111" t="n">
        <f aca="false">IFERROR('Price History'!E3+(INDEX('Price History'!E:E,MATCH(9.99E+307,'Price History'!$A:$A))-'Price History'!E3)*(ROW()-3)/(MATCH(9.99E+307,'Returns (Calc)'!$A:$A)-3),"")</f>
        <v>314.67358490566</v>
      </c>
      <c r="AA137" s="111" t="n">
        <f aca="false">IFERROR('Price History'!F3+(INDEX('Price History'!F:F,MATCH(9.99E+307,'Price History'!$A:$A))-'Price History'!F3)*(ROW()-3)/(MATCH(9.99E+307,'Returns (Calc)'!$A:$A)-3),"")</f>
        <v>185.420754716981</v>
      </c>
      <c r="AB137" s="111" t="n">
        <f aca="false">IFERROR('Price History'!G3+(INDEX('Price History'!G:G,MATCH(9.99E+307,'Price History'!$A:$A))-'Price History'!G3)*(ROW()-3)/(MATCH(9.99E+307,'Returns (Calc)'!$A:$A)-3),"")</f>
        <v>163.949056603774</v>
      </c>
      <c r="AC137" s="111" t="n">
        <f aca="false">IFERROR('Price History'!H3+(INDEX('Price History'!H:H,MATCH(9.99E+307,'Price History'!$A:$A))-'Price History'!H3)*(ROW()-3)/(MATCH(9.99E+307,'Returns (Calc)'!$A:$A)-3),"")</f>
        <v>866.869874213837</v>
      </c>
      <c r="AD137" s="111" t="n">
        <f aca="false">IFERROR('Price History'!I3+(INDEX('Price History'!I:I,MATCH(9.99E+307,'Price History'!$A:$A))-'Price History'!I3)*(ROW()-3)/(MATCH(9.99E+307,'Returns (Calc)'!$A:$A)-3),"")</f>
        <v>200.562830188679</v>
      </c>
      <c r="AE137" s="111" t="n">
        <f aca="false">IFERROR('Price History'!J3+(INDEX('Price History'!J:J,MATCH(9.99E+307,'Price History'!$A:$A))-'Price History'!J3)*(ROW()-3)/(MATCH(9.99E+307,'Returns (Calc)'!$A:$A)-3),"")</f>
        <v>135.165471698113</v>
      </c>
      <c r="AF137" s="111" t="n">
        <f aca="false">IFERROR('Price History'!K3+(INDEX('Price History'!K:K,MATCH(9.99E+307,'Price History'!$A:$A))-'Price History'!K3)*(ROW()-3)/(MATCH(9.99E+307,'Returns (Calc)'!$A:$A)-3),"")</f>
        <v>149.342578616352</v>
      </c>
      <c r="AG137" s="111" t="n">
        <f aca="false">IFERROR('Price History'!L3+(INDEX('Price History'!L:L,MATCH(9.99E+307,'Price History'!$A:$A))-'Price History'!L3)*(ROW()-3)/(MATCH(9.99E+307,'Returns (Calc)'!$A:$A)-3),"")</f>
        <v>375.935157232704</v>
      </c>
      <c r="AH137" s="111" t="n">
        <f aca="false">IFERROR('Price History'!M3+(INDEX('Price History'!M:M,MATCH(9.99E+307,'Price History'!$A:$A))-'Price History'!M3)*(ROW()-3)/(MATCH(9.99E+307,'Returns (Calc)'!$A:$A)-3),"")</f>
        <v>241.690377358491</v>
      </c>
      <c r="AI137" s="111" t="n">
        <f aca="false">IFERROR('Price History'!N3+(INDEX('Price History'!N:N,MATCH(9.99E+307,'Price History'!$A:$A))-'Price History'!N3)*(ROW()-3)/(MATCH(9.99E+307,'Returns (Calc)'!$A:$A)-3),"")</f>
        <v>515.261509433962</v>
      </c>
      <c r="AJ137" s="111" t="n">
        <f aca="false">IFERROR('Price History'!O3+(INDEX('Price History'!O:O,MATCH(9.99E+307,'Price History'!$A:$A))-'Price History'!O3)*(ROW()-3)/(MATCH(9.99E+307,'Returns (Calc)'!$A:$A)-3),"")</f>
        <v>119.999182389937</v>
      </c>
      <c r="AK137" s="111" t="n">
        <f aca="false">IFERROR('Price History'!Q3+(INDEX('Price History'!Q:Q,MATCH(9.99E+307,'Price History'!$A:$A))-'Price History'!Q3)*(ROW()-3)/(MATCH(9.99E+307,'Returns (Calc)'!$A:$A)-3),"")</f>
        <v>66.594213836478</v>
      </c>
      <c r="AL137" s="111" t="n">
        <f aca="false">IFERROR('Price History'!R3+(INDEX('Price History'!R:R,MATCH(9.99E+307,'Price History'!$A:$A))-'Price History'!R3)*(ROW()-3)/(MATCH(9.99E+307,'Returns (Calc)'!$A:$A)-3),"")</f>
        <v>57.9753459119497</v>
      </c>
      <c r="AM137" s="111" t="n">
        <f aca="false">IFERROR('Price History'!S3+(INDEX('Price History'!S:S,MATCH(9.99E+307,'Price History'!$A:$A))-'Price History'!S3)*(ROW()-3)/(MATCH(9.99E+307,'Returns (Calc)'!$A:$A)-3),"")</f>
        <v>135.383522012579</v>
      </c>
      <c r="AN137" s="111" t="n">
        <f aca="false">IFERROR('Price History'!T3+(INDEX('Price History'!T:T,MATCH(9.99E+307,'Price History'!$A:$A))-'Price History'!T3)*(ROW()-3)/(MATCH(9.99E+307,'Returns (Calc)'!$A:$A)-3),"")</f>
        <v>50.8277358490566</v>
      </c>
      <c r="AO137" s="112" t="n">
        <f aca="false">IFERROR('Price History'!V3+(INDEX('Price History'!V:V,MATCH(9.99E+307,'Price History'!$A:$A))-'Price History'!V3)*(ROW()-3)/(MATCH(9.99E+307,'Returns (Calc)'!$A:$A)-3),"")</f>
        <v>316.096729559748</v>
      </c>
    </row>
    <row r="138" customFormat="false" ht="15" hidden="false" customHeight="true" outlineLevel="0" collapsed="false">
      <c r="A138" s="108" t="n">
        <f aca="false">IF('Price History'!A139="","",'Price History'!A139)</f>
        <v>46101</v>
      </c>
      <c r="B138" s="109" t="n">
        <f aca="false">IFERROR(IF(OR(NOT(ISNUMBER('Price History'!B139)),NOT(ISNUMBER('Price History'!B138)),'Price History'!B138=0),"",'Price History'!B139/'Price History'!B138-1),"")</f>
        <v>-0.0046927643189475</v>
      </c>
      <c r="C138" s="109" t="n">
        <f aca="false">IFERROR(IF(OR(NOT(ISNUMBER('Price History'!C139)),NOT(ISNUMBER('Price History'!C138)),'Price History'!C138=0),"",'Price History'!C139/'Price History'!C138-1),"")</f>
        <v>-0.0175937710563749</v>
      </c>
      <c r="D138" s="109" t="n">
        <f aca="false">IFERROR(IF(OR(NOT(ISNUMBER('Price History'!D139)),NOT(ISNUMBER('Price History'!D138)),'Price History'!D138=0),"",'Price History'!D139/'Price History'!D138-1),"")</f>
        <v>-0.0211341393634493</v>
      </c>
      <c r="E138" s="109" t="n">
        <f aca="false">IFERROR(IF(OR(NOT(ISNUMBER('Price History'!E139)),NOT(ISNUMBER('Price History'!E138)),'Price History'!E138=0),"",'Price History'!E139/'Price History'!E138-1),"")</f>
        <v>-0.0361621554507078</v>
      </c>
      <c r="F138" s="109" t="n">
        <f aca="false">IFERROR(IF(OR(NOT(ISNUMBER('Price History'!F139)),NOT(ISNUMBER('Price History'!F138)),'Price History'!F138=0),"",'Price History'!F139/'Price History'!F138-1),"")</f>
        <v>-0.0742417383431417</v>
      </c>
      <c r="G138" s="109" t="n">
        <f aca="false">IFERROR(IF(OR(NOT(ISNUMBER('Price History'!G139)),NOT(ISNUMBER('Price History'!G138)),'Price History'!G138=0),"",'Price History'!G139/'Price History'!G138-1),"")</f>
        <v>0.0564641195544904</v>
      </c>
      <c r="H138" s="109" t="n">
        <f aca="false">IFERROR(IF(OR(NOT(ISNUMBER('Price History'!H139)),NOT(ISNUMBER('Price History'!H138)),'Price History'!H138=0),"",'Price History'!H139/'Price History'!H138-1),"")</f>
        <v>-0.0075798465257082</v>
      </c>
      <c r="I138" s="109" t="n">
        <f aca="false">IFERROR(IF(OR(NOT(ISNUMBER('Price History'!I139)),NOT(ISNUMBER('Price History'!I138)),'Price History'!I138=0),"",'Price History'!I139/'Price History'!I138-1),"")</f>
        <v>-0.0418862690707351</v>
      </c>
      <c r="J138" s="109" t="n">
        <f aca="false">IFERROR(IF(OR(NOT(ISNUMBER('Price History'!J139)),NOT(ISNUMBER('Price History'!J138)),'Price History'!J138=0),"",'Price History'!J139/'Price History'!J138-1),"")</f>
        <v>-0.0283870967741936</v>
      </c>
      <c r="K138" s="109" t="n">
        <f aca="false">IFERROR(IF(OR(NOT(ISNUMBER('Price History'!K139)),NOT(ISNUMBER('Price History'!K138)),'Price History'!K138=0),"",'Price History'!K139/'Price History'!K138-1),"")</f>
        <v>-0.00178867174561104</v>
      </c>
      <c r="L138" s="109" t="n">
        <f aca="false">IFERROR(IF(OR(NOT(ISNUMBER('Price History'!L139)),NOT(ISNUMBER('Price History'!L138)),'Price History'!L138=0),"",'Price History'!L139/'Price History'!L138-1),"")</f>
        <v>-0.0268097307203452</v>
      </c>
      <c r="M138" s="109" t="n">
        <f aca="false">IFERROR(IF(OR(NOT(ISNUMBER('Price History'!M139)),NOT(ISNUMBER('Price History'!M138)),'Price History'!M138=0),"",'Price History'!M139/'Price History'!M138-1),"")</f>
        <v>-0.0115883807169345</v>
      </c>
      <c r="N138" s="109" t="n">
        <f aca="false">IFERROR(IF(OR(NOT(ISNUMBER('Price History'!N139)),NOT(ISNUMBER('Price History'!N138)),'Price History'!N138=0),"",'Price History'!N139/'Price History'!N138-1),"")</f>
        <v>-0.032684194826778</v>
      </c>
      <c r="O138" s="109" t="n">
        <f aca="false">IFERROR(IF(OR(NOT(ISNUMBER('Price History'!O139)),NOT(ISNUMBER('Price History'!O138)),'Price History'!O138=0),"",'Price History'!O139/'Price History'!O138-1),"")</f>
        <v>-0.0019757267852103</v>
      </c>
      <c r="P138" s="109" t="str">
        <f aca="false">IFERROR(IF(OR(NOT(ISNUMBER('Price History'!P139)),NOT(ISNUMBER('Price History'!P138)),'Price History'!P138=0),"",'Price History'!P139/'Price History'!P138-1),"")</f>
        <v/>
      </c>
      <c r="Q138" s="109" t="n">
        <f aca="false">IFERROR(IF(OR(NOT(ISNUMBER('Price History'!Q139)),NOT(ISNUMBER('Price History'!Q138)),'Price History'!Q138=0),"",'Price History'!Q139/'Price History'!Q138-1),"")</f>
        <v>0.00207284572105415</v>
      </c>
      <c r="R138" s="109" t="n">
        <f aca="false">IFERROR(IF(OR(NOT(ISNUMBER('Price History'!R139)),NOT(ISNUMBER('Price History'!R138)),'Price History'!R138=0),"",'Price History'!R139/'Price History'!R138-1),"")</f>
        <v>-0.0141442715700142</v>
      </c>
      <c r="S138" s="109" t="n">
        <f aca="false">IFERROR(IF(OR(NOT(ISNUMBER('Price History'!S139)),NOT(ISNUMBER('Price History'!S138)),'Price History'!S138=0),"",'Price History'!S139/'Price History'!S138-1),"")</f>
        <v>-0.0206576002754347</v>
      </c>
      <c r="T138" s="109" t="n">
        <f aca="false">IFERROR(IF(OR(NOT(ISNUMBER('Price History'!T139)),NOT(ISNUMBER('Price History'!T138)),'Price History'!T138=0),"",'Price History'!T139/'Price History'!T138-1),"")</f>
        <v>0.00102040816326521</v>
      </c>
      <c r="U138" s="109" t="str">
        <f aca="false">IFERROR(IF(OR(NOT(ISNUMBER('Price History'!U139)),NOT(ISNUMBER('Price History'!U138)),'Price History'!U138=0),"",'Price History'!U139/'Price History'!U138-1),"")</f>
        <v/>
      </c>
      <c r="V138" s="110" t="n">
        <f aca="false">IFERROR(IF(OR(NOT(ISNUMBER('Price History'!V139)),NOT(ISNUMBER('Price History'!V138)),'Price History'!V138=0),"",'Price History'!V139/'Price History'!V138-1),"")</f>
        <v>-0.0179773811858535</v>
      </c>
      <c r="W138" s="111" t="n">
        <f aca="false">IFERROR('Price History'!B3+(INDEX('Price History'!B:B,MATCH(9.99E+307,'Price History'!$A:$A))-'Price History'!B3)*(ROW()-3)/(MATCH(9.99E+307,'Returns (Calc)'!$A:$A)-3),"")</f>
        <v>303.029245283019</v>
      </c>
      <c r="X138" s="111" t="n">
        <f aca="false">IFERROR('Price History'!C3+(INDEX('Price History'!C:C,MATCH(9.99E+307,'Price History'!$A:$A))-'Price History'!C3)*(ROW()-3)/(MATCH(9.99E+307,'Returns (Calc)'!$A:$A)-3),"")</f>
        <v>171.132452830189</v>
      </c>
      <c r="Y138" s="111" t="n">
        <f aca="false">IFERROR('Price History'!D3+(INDEX('Price History'!D:D,MATCH(9.99E+307,'Price History'!$A:$A))-'Price History'!D3)*(ROW()-3)/(MATCH(9.99E+307,'Returns (Calc)'!$A:$A)-3),"")</f>
        <v>1555.92150943396</v>
      </c>
      <c r="Z138" s="111" t="n">
        <f aca="false">IFERROR('Price History'!E3+(INDEX('Price History'!E:E,MATCH(9.99E+307,'Price History'!$A:$A))-'Price History'!E3)*(ROW()-3)/(MATCH(9.99E+307,'Returns (Calc)'!$A:$A)-3),"")</f>
        <v>316.402641509434</v>
      </c>
      <c r="AA138" s="111" t="n">
        <f aca="false">IFERROR('Price History'!F3+(INDEX('Price History'!F:F,MATCH(9.99E+307,'Price History'!$A:$A))-'Price History'!F3)*(ROW()-3)/(MATCH(9.99E+307,'Returns (Calc)'!$A:$A)-3),"")</f>
        <v>186.527924528302</v>
      </c>
      <c r="AB138" s="111" t="n">
        <f aca="false">IFERROR('Price History'!G3+(INDEX('Price History'!G:G,MATCH(9.99E+307,'Price History'!$A:$A))-'Price History'!G3)*(ROW()-3)/(MATCH(9.99E+307,'Returns (Calc)'!$A:$A)-3),"")</f>
        <v>164.815094339623</v>
      </c>
      <c r="AC138" s="111" t="n">
        <f aca="false">IFERROR('Price History'!H3+(INDEX('Price History'!H:H,MATCH(9.99E+307,'Price History'!$A:$A))-'Price History'!H3)*(ROW()-3)/(MATCH(9.99E+307,'Returns (Calc)'!$A:$A)-3),"")</f>
        <v>872.858679245283</v>
      </c>
      <c r="AD138" s="111" t="n">
        <f aca="false">IFERROR('Price History'!I3+(INDEX('Price History'!I:I,MATCH(9.99E+307,'Price History'!$A:$A))-'Price History'!I3)*(ROW()-3)/(MATCH(9.99E+307,'Returns (Calc)'!$A:$A)-3),"")</f>
        <v>201.754716981132</v>
      </c>
      <c r="AE138" s="111" t="n">
        <f aca="false">IFERROR('Price History'!J3+(INDEX('Price History'!J:J,MATCH(9.99E+307,'Price History'!$A:$A))-'Price History'!J3)*(ROW()-3)/(MATCH(9.99E+307,'Returns (Calc)'!$A:$A)-3),"")</f>
        <v>135.252452830189</v>
      </c>
      <c r="AF138" s="111" t="n">
        <f aca="false">IFERROR('Price History'!K3+(INDEX('Price History'!K:K,MATCH(9.99E+307,'Price History'!$A:$A))-'Price History'!K3)*(ROW()-3)/(MATCH(9.99E+307,'Returns (Calc)'!$A:$A)-3),"")</f>
        <v>150.342075471698</v>
      </c>
      <c r="AG138" s="111" t="n">
        <f aca="false">IFERROR('Price History'!L3+(INDEX('Price History'!L:L,MATCH(9.99E+307,'Price History'!$A:$A))-'Price History'!L3)*(ROW()-3)/(MATCH(9.99E+307,'Returns (Calc)'!$A:$A)-3),"")</f>
        <v>378.054150943396</v>
      </c>
      <c r="AH138" s="111" t="n">
        <f aca="false">IFERROR('Price History'!M3+(INDEX('Price History'!M:M,MATCH(9.99E+307,'Price History'!$A:$A))-'Price History'!M3)*(ROW()-3)/(MATCH(9.99E+307,'Returns (Calc)'!$A:$A)-3),"")</f>
        <v>243.243962264151</v>
      </c>
      <c r="AI138" s="111" t="n">
        <f aca="false">IFERROR('Price History'!N3+(INDEX('Price History'!N:N,MATCH(9.99E+307,'Price History'!$A:$A))-'Price History'!N3)*(ROW()-3)/(MATCH(9.99E+307,'Returns (Calc)'!$A:$A)-3),"")</f>
        <v>516.495849056604</v>
      </c>
      <c r="AJ138" s="111" t="n">
        <f aca="false">IFERROR('Price History'!O3+(INDEX('Price History'!O:O,MATCH(9.99E+307,'Price History'!$A:$A))-'Price History'!O3)*(ROW()-3)/(MATCH(9.99E+307,'Returns (Calc)'!$A:$A)-3),"")</f>
        <v>120.27641509434</v>
      </c>
      <c r="AK138" s="111" t="n">
        <f aca="false">IFERROR('Price History'!Q3+(INDEX('Price History'!Q:Q,MATCH(9.99E+307,'Price History'!$A:$A))-'Price History'!Q3)*(ROW()-3)/(MATCH(9.99E+307,'Returns (Calc)'!$A:$A)-3),"")</f>
        <v>66.7192452830189</v>
      </c>
      <c r="AL138" s="111" t="n">
        <f aca="false">IFERROR('Price History'!R3+(INDEX('Price History'!R:R,MATCH(9.99E+307,'Price History'!$A:$A))-'Price History'!R3)*(ROW()-3)/(MATCH(9.99E+307,'Returns (Calc)'!$A:$A)-3),"")</f>
        <v>58.0511320754717</v>
      </c>
      <c r="AM138" s="111" t="n">
        <f aca="false">IFERROR('Price History'!S3+(INDEX('Price History'!S:S,MATCH(9.99E+307,'Price History'!$A:$A))-'Price History'!S3)*(ROW()-3)/(MATCH(9.99E+307,'Returns (Calc)'!$A:$A)-3),"")</f>
        <v>135.956981132075</v>
      </c>
      <c r="AN138" s="111" t="n">
        <f aca="false">IFERROR('Price History'!T3+(INDEX('Price History'!T:T,MATCH(9.99E+307,'Price History'!$A:$A))-'Price History'!T3)*(ROW()-3)/(MATCH(9.99E+307,'Returns (Calc)'!$A:$A)-3),"")</f>
        <v>51.0062264150943</v>
      </c>
      <c r="AO138" s="112" t="n">
        <f aca="false">IFERROR('Price History'!V3+(INDEX('Price History'!V:V,MATCH(9.99E+307,'Price History'!$A:$A))-'Price History'!V3)*(ROW()-3)/(MATCH(9.99E+307,'Returns (Calc)'!$A:$A)-3),"")</f>
        <v>318.455660377358</v>
      </c>
    </row>
    <row r="139" customFormat="false" ht="15" hidden="false" customHeight="true" outlineLevel="0" collapsed="false">
      <c r="A139" s="108" t="n">
        <f aca="false">IF('Price History'!A140="","",'Price History'!A140)</f>
        <v>46108</v>
      </c>
      <c r="B139" s="109" t="n">
        <f aca="false">IFERROR(IF(OR(NOT(ISNUMBER('Price History'!B140)),NOT(ISNUMBER('Price History'!B139)),'Price History'!B139=0),"",'Price History'!B140/'Price History'!B139-1),"")</f>
        <v>-0.0536369131573645</v>
      </c>
      <c r="C139" s="109" t="n">
        <f aca="false">IFERROR(IF(OR(NOT(ISNUMBER('Price History'!C140)),NOT(ISNUMBER('Price History'!C139)),'Price History'!C139=0),"",'Price History'!C140/'Price History'!C139-1),"")</f>
        <v>-0.0796372504191435</v>
      </c>
      <c r="D139" s="109" t="n">
        <f aca="false">IFERROR(IF(OR(NOT(ISNUMBER('Price History'!D140)),NOT(ISNUMBER('Price History'!D139)),'Price History'!D139=0),"",'Price History'!D140/'Price History'!D139-1),"")</f>
        <v>-0.0112203454165876</v>
      </c>
      <c r="E139" s="109" t="n">
        <f aca="false">IFERROR(IF(OR(NOT(ISNUMBER('Price History'!E140)),NOT(ISNUMBER('Price History'!E139)),'Price History'!E139=0),"",'Price History'!E140/'Price History'!E139-1),"")</f>
        <v>-0.0316575955685807</v>
      </c>
      <c r="F139" s="109" t="n">
        <f aca="false">IFERROR(IF(OR(NOT(ISNUMBER('Price History'!F140)),NOT(ISNUMBER('Price History'!F139)),'Price History'!F139=0),"",'Price History'!F140/'Price History'!F139-1),"")</f>
        <v>-0.0963325183374083</v>
      </c>
      <c r="G139" s="109" t="n">
        <f aca="false">IFERROR(IF(OR(NOT(ISNUMBER('Price History'!G140)),NOT(ISNUMBER('Price History'!G139)),'Price History'!G139=0),"",'Price History'!G140/'Price History'!G139-1),"")</f>
        <v>-0.0370320944818844</v>
      </c>
      <c r="H139" s="109" t="n">
        <f aca="false">IFERROR(IF(OR(NOT(ISNUMBER('Price History'!H140)),NOT(ISNUMBER('Price History'!H139)),'Price History'!H139=0),"",'Price History'!H140/'Price History'!H139-1),"")</f>
        <v>-0.155308583589501</v>
      </c>
      <c r="I139" s="109" t="n">
        <f aca="false">IFERROR(IF(OR(NOT(ISNUMBER('Price History'!I140)),NOT(ISNUMBER('Price History'!I139)),'Price History'!I139=0),"",'Price History'!I140/'Price History'!I139-1),"")</f>
        <v>-0.0299942096120439</v>
      </c>
      <c r="J139" s="109" t="n">
        <f aca="false">IFERROR(IF(OR(NOT(ISNUMBER('Price History'!J140)),NOT(ISNUMBER('Price History'!J139)),'Price History'!J139=0),"",'Price History'!J140/'Price History'!J139-1),"")</f>
        <v>0.00695258182954461</v>
      </c>
      <c r="K139" s="109" t="n">
        <f aca="false">IFERROR(IF(OR(NOT(ISNUMBER('Price History'!K140)),NOT(ISNUMBER('Price History'!K139)),'Price History'!K139=0),"",'Price History'!K140/'Price History'!K139-1),"")</f>
        <v>-0.0505707459516858</v>
      </c>
      <c r="L139" s="109" t="n">
        <f aca="false">IFERROR(IF(OR(NOT(ISNUMBER('Price History'!L140)),NOT(ISNUMBER('Price History'!L139)),'Price History'!L139=0),"",'Price History'!L140/'Price History'!L139-1),"")</f>
        <v>-0.00759324504920422</v>
      </c>
      <c r="M139" s="109" t="n">
        <f aca="false">IFERROR(IF(OR(NOT(ISNUMBER('Price History'!M140)),NOT(ISNUMBER('Price History'!M139)),'Price History'!M139=0),"",'Price History'!M140/'Price History'!M139-1),"")</f>
        <v>-0.0187978740034391</v>
      </c>
      <c r="N139" s="109" t="n">
        <f aca="false">IFERROR(IF(OR(NOT(ISNUMBER('Price History'!N140)),NOT(ISNUMBER('Price History'!N139)),'Price History'!N139=0),"",'Price History'!N140/'Price History'!N139-1),"")</f>
        <v>-0.0461013215859031</v>
      </c>
      <c r="O139" s="109" t="n">
        <f aca="false">IFERROR(IF(OR(NOT(ISNUMBER('Price History'!O140)),NOT(ISNUMBER('Price History'!O139)),'Price History'!O139=0),"",'Price History'!O140/'Price History'!O139-1),"")</f>
        <v>0.0296945701357467</v>
      </c>
      <c r="P139" s="109" t="str">
        <f aca="false">IFERROR(IF(OR(NOT(ISNUMBER('Price History'!P140)),NOT(ISNUMBER('Price History'!P139)),'Price History'!P139=0),"",'Price History'!P140/'Price History'!P139-1),"")</f>
        <v/>
      </c>
      <c r="Q139" s="109" t="n">
        <f aca="false">IFERROR(IF(OR(NOT(ISNUMBER('Price History'!Q140)),NOT(ISNUMBER('Price History'!Q139)),'Price History'!Q139=0),"",'Price History'!Q140/'Price History'!Q139-1),"")</f>
        <v>0.000295508274231526</v>
      </c>
      <c r="R139" s="109" t="n">
        <f aca="false">IFERROR(IF(OR(NOT(ISNUMBER('Price History'!R140)),NOT(ISNUMBER('Price History'!R139)),'Price History'!R139=0),"",'Price History'!R140/'Price History'!R139-1),"")</f>
        <v>-0.0292324246771879</v>
      </c>
      <c r="S139" s="109" t="n">
        <f aca="false">IFERROR(IF(OR(NOT(ISNUMBER('Price History'!S140)),NOT(ISNUMBER('Price History'!S139)),'Price History'!S139=0),"",'Price History'!S140/'Price History'!S139-1),"")</f>
        <v>-0.0304974512216558</v>
      </c>
      <c r="T139" s="109" t="n">
        <f aca="false">IFERROR(IF(OR(NOT(ISNUMBER('Price History'!T140)),NOT(ISNUMBER('Price History'!T139)),'Price History'!T139=0),"",'Price History'!T140/'Price History'!T139-1),"")</f>
        <v>-0.012487257900102</v>
      </c>
      <c r="U139" s="109" t="str">
        <f aca="false">IFERROR(IF(OR(NOT(ISNUMBER('Price History'!U140)),NOT(ISNUMBER('Price History'!U139)),'Price History'!U139=0),"",'Price History'!U140/'Price History'!U139-1),"")</f>
        <v/>
      </c>
      <c r="V139" s="110" t="n">
        <f aca="false">IFERROR(IF(OR(NOT(ISNUMBER('Price History'!V140)),NOT(ISNUMBER('Price History'!V139)),'Price History'!V139=0),"",'Price History'!V140/'Price History'!V139-1),"")</f>
        <v>-0.0202369857542271</v>
      </c>
      <c r="W139" s="111" t="n">
        <f aca="false">IFERROR('Price History'!B3+(INDEX('Price History'!B:B,MATCH(9.99E+307,'Price History'!$A:$A))-'Price History'!B3)*(ROW()-3)/(MATCH(9.99E+307,'Returns (Calc)'!$A:$A)-3),"")</f>
        <v>301.507610062893</v>
      </c>
      <c r="X139" s="111" t="n">
        <f aca="false">IFERROR('Price History'!C3+(INDEX('Price History'!C:C,MATCH(9.99E+307,'Price History'!$A:$A))-'Price History'!C3)*(ROW()-3)/(MATCH(9.99E+307,'Returns (Calc)'!$A:$A)-3),"")</f>
        <v>172.076100628931</v>
      </c>
      <c r="Y139" s="111" t="n">
        <f aca="false">IFERROR('Price History'!D3+(INDEX('Price History'!D:D,MATCH(9.99E+307,'Price History'!$A:$A))-'Price History'!D3)*(ROW()-3)/(MATCH(9.99E+307,'Returns (Calc)'!$A:$A)-3),"")</f>
        <v>1562.54477987421</v>
      </c>
      <c r="Z139" s="111" t="n">
        <f aca="false">IFERROR('Price History'!E3+(INDEX('Price History'!E:E,MATCH(9.99E+307,'Price History'!$A:$A))-'Price History'!E3)*(ROW()-3)/(MATCH(9.99E+307,'Returns (Calc)'!$A:$A)-3),"")</f>
        <v>318.131698113208</v>
      </c>
      <c r="AA139" s="111" t="n">
        <f aca="false">IFERROR('Price History'!F3+(INDEX('Price History'!F:F,MATCH(9.99E+307,'Price History'!$A:$A))-'Price History'!F3)*(ROW()-3)/(MATCH(9.99E+307,'Returns (Calc)'!$A:$A)-3),"")</f>
        <v>187.635094339623</v>
      </c>
      <c r="AB139" s="111" t="n">
        <f aca="false">IFERROR('Price History'!G3+(INDEX('Price History'!G:G,MATCH(9.99E+307,'Price History'!$A:$A))-'Price History'!G3)*(ROW()-3)/(MATCH(9.99E+307,'Returns (Calc)'!$A:$A)-3),"")</f>
        <v>165.681132075472</v>
      </c>
      <c r="AC139" s="111" t="n">
        <f aca="false">IFERROR('Price History'!H3+(INDEX('Price History'!H:H,MATCH(9.99E+307,'Price History'!$A:$A))-'Price History'!H3)*(ROW()-3)/(MATCH(9.99E+307,'Returns (Calc)'!$A:$A)-3),"")</f>
        <v>878.84748427673</v>
      </c>
      <c r="AD139" s="111" t="n">
        <f aca="false">IFERROR('Price History'!I3+(INDEX('Price History'!I:I,MATCH(9.99E+307,'Price History'!$A:$A))-'Price History'!I3)*(ROW()-3)/(MATCH(9.99E+307,'Returns (Calc)'!$A:$A)-3),"")</f>
        <v>202.946603773585</v>
      </c>
      <c r="AE139" s="111" t="n">
        <f aca="false">IFERROR('Price History'!J3+(INDEX('Price History'!J:J,MATCH(9.99E+307,'Price History'!$A:$A))-'Price History'!J3)*(ROW()-3)/(MATCH(9.99E+307,'Returns (Calc)'!$A:$A)-3),"")</f>
        <v>135.339433962264</v>
      </c>
      <c r="AF139" s="111" t="n">
        <f aca="false">IFERROR('Price History'!K3+(INDEX('Price History'!K:K,MATCH(9.99E+307,'Price History'!$A:$A))-'Price History'!K3)*(ROW()-3)/(MATCH(9.99E+307,'Returns (Calc)'!$A:$A)-3),"")</f>
        <v>151.341572327044</v>
      </c>
      <c r="AG139" s="111" t="n">
        <f aca="false">IFERROR('Price History'!L3+(INDEX('Price History'!L:L,MATCH(9.99E+307,'Price History'!$A:$A))-'Price History'!L3)*(ROW()-3)/(MATCH(9.99E+307,'Returns (Calc)'!$A:$A)-3),"")</f>
        <v>380.173144654088</v>
      </c>
      <c r="AH139" s="111" t="n">
        <f aca="false">IFERROR('Price History'!M3+(INDEX('Price History'!M:M,MATCH(9.99E+307,'Price History'!$A:$A))-'Price History'!M3)*(ROW()-3)/(MATCH(9.99E+307,'Returns (Calc)'!$A:$A)-3),"")</f>
        <v>244.797547169811</v>
      </c>
      <c r="AI139" s="111" t="n">
        <f aca="false">IFERROR('Price History'!N3+(INDEX('Price History'!N:N,MATCH(9.99E+307,'Price History'!$A:$A))-'Price History'!N3)*(ROW()-3)/(MATCH(9.99E+307,'Returns (Calc)'!$A:$A)-3),"")</f>
        <v>517.730188679245</v>
      </c>
      <c r="AJ139" s="111" t="n">
        <f aca="false">IFERROR('Price History'!O3+(INDEX('Price History'!O:O,MATCH(9.99E+307,'Price History'!$A:$A))-'Price History'!O3)*(ROW()-3)/(MATCH(9.99E+307,'Returns (Calc)'!$A:$A)-3),"")</f>
        <v>120.553647798742</v>
      </c>
      <c r="AK139" s="111" t="n">
        <f aca="false">IFERROR('Price History'!Q3+(INDEX('Price History'!Q:Q,MATCH(9.99E+307,'Price History'!$A:$A))-'Price History'!Q3)*(ROW()-3)/(MATCH(9.99E+307,'Returns (Calc)'!$A:$A)-3),"")</f>
        <v>66.8442767295598</v>
      </c>
      <c r="AL139" s="111" t="n">
        <f aca="false">IFERROR('Price History'!R3+(INDEX('Price History'!R:R,MATCH(9.99E+307,'Price History'!$A:$A))-'Price History'!R3)*(ROW()-3)/(MATCH(9.99E+307,'Returns (Calc)'!$A:$A)-3),"")</f>
        <v>58.1269182389937</v>
      </c>
      <c r="AM139" s="111" t="n">
        <f aca="false">IFERROR('Price History'!S3+(INDEX('Price History'!S:S,MATCH(9.99E+307,'Price History'!$A:$A))-'Price History'!S3)*(ROW()-3)/(MATCH(9.99E+307,'Returns (Calc)'!$A:$A)-3),"")</f>
        <v>136.530440251572</v>
      </c>
      <c r="AN139" s="111" t="n">
        <f aca="false">IFERROR('Price History'!T3+(INDEX('Price History'!T:T,MATCH(9.99E+307,'Price History'!$A:$A))-'Price History'!T3)*(ROW()-3)/(MATCH(9.99E+307,'Returns (Calc)'!$A:$A)-3),"")</f>
        <v>51.1847169811321</v>
      </c>
      <c r="AO139" s="112" t="n">
        <f aca="false">IFERROR('Price History'!V3+(INDEX('Price History'!V:V,MATCH(9.99E+307,'Price History'!$A:$A))-'Price History'!V3)*(ROW()-3)/(MATCH(9.99E+307,'Returns (Calc)'!$A:$A)-3),"")</f>
        <v>320.814591194969</v>
      </c>
    </row>
    <row r="140" customFormat="false" ht="15" hidden="false" customHeight="true" outlineLevel="0" collapsed="false">
      <c r="A140" s="108" t="n">
        <f aca="false">IF('Price History'!A141="","",'Price History'!A141)</f>
        <v>46114</v>
      </c>
      <c r="B140" s="109" t="n">
        <f aca="false">IFERROR(IF(OR(NOT(ISNUMBER('Price History'!B141)),NOT(ISNUMBER('Price History'!B140)),'Price History'!B140=0),"",'Price History'!B141/'Price History'!B140-1),"")</f>
        <v>0.0344064043604155</v>
      </c>
      <c r="C140" s="109" t="n">
        <f aca="false">IFERROR(IF(OR(NOT(ISNUMBER('Price History'!C141)),NOT(ISNUMBER('Price History'!C140)),'Price History'!C140=0),"",'Price History'!C141/'Price History'!C140-1),"")</f>
        <v>0.0489359940382546</v>
      </c>
      <c r="D140" s="109" t="n">
        <f aca="false">IFERROR(IF(OR(NOT(ISNUMBER('Price History'!D141)),NOT(ISNUMBER('Price History'!D140)),'Price History'!D140=0),"",'Price History'!D141/'Price History'!D140-1),"")</f>
        <v>0.0113323147558102</v>
      </c>
      <c r="E140" s="109" t="n">
        <f aca="false">IFERROR(IF(OR(NOT(ISNUMBER('Price History'!E141)),NOT(ISNUMBER('Price History'!E140)),'Price History'!E140=0),"",'Price History'!E141/'Price History'!E140-1),"")</f>
        <v>0.0461287747771717</v>
      </c>
      <c r="F140" s="109" t="n">
        <f aca="false">IFERROR(IF(OR(NOT(ISNUMBER('Price History'!F141)),NOT(ISNUMBER('Price History'!F140)),'Price History'!F140=0),"",'Price History'!F141/'Price History'!F140-1),"")</f>
        <v>0.0798701298701299</v>
      </c>
      <c r="G140" s="109" t="n">
        <f aca="false">IFERROR(IF(OR(NOT(ISNUMBER('Price History'!G141)),NOT(ISNUMBER('Price History'!G140)),'Price History'!G140=0),"",'Price History'!G141/'Price History'!G140-1),"")</f>
        <v>0.0509977827050998</v>
      </c>
      <c r="H140" s="109" t="n">
        <f aca="false">IFERROR(IF(OR(NOT(ISNUMBER('Price History'!H141)),NOT(ISNUMBER('Price History'!H140)),'Price History'!H140=0),"",'Price History'!H141/'Price History'!H140-1),"")</f>
        <v>0.0252505458820895</v>
      </c>
      <c r="I140" s="109" t="n">
        <f aca="false">IFERROR(IF(OR(NOT(ISNUMBER('Price History'!I141)),NOT(ISNUMBER('Price History'!I140)),'Price History'!I140=0),"",'Price History'!I141/'Price History'!I140-1),"")</f>
        <v>0.0589183381088825</v>
      </c>
      <c r="J140" s="109" t="n">
        <f aca="false">IFERROR(IF(OR(NOT(ISNUMBER('Price History'!J141)),NOT(ISNUMBER('Price History'!J140)),'Price History'!J140=0),"",'Price History'!J141/'Price History'!J140-1),"")</f>
        <v>0.0377812257564003</v>
      </c>
      <c r="K140" s="109" t="n">
        <f aca="false">IFERROR(IF(OR(NOT(ISNUMBER('Price History'!K141)),NOT(ISNUMBER('Price History'!K140)),'Price History'!K140=0),"",'Price History'!K141/'Price History'!K140-1),"")</f>
        <v>0.0377464001118413</v>
      </c>
      <c r="L140" s="109" t="n">
        <f aca="false">IFERROR(IF(OR(NOT(ISNUMBER('Price History'!L141)),NOT(ISNUMBER('Price History'!L140)),'Price History'!L140=0),"",'Price History'!L141/'Price History'!L140-1),"")</f>
        <v>0.0376446103935852</v>
      </c>
      <c r="M140" s="109" t="n">
        <f aca="false">IFERROR(IF(OR(NOT(ISNUMBER('Price History'!M141)),NOT(ISNUMBER('Price History'!M140)),'Price History'!M140=0),"",'Price History'!M141/'Price History'!M140-1),"")</f>
        <v>0.0407057792647469</v>
      </c>
      <c r="N140" s="109" t="n">
        <f aca="false">IFERROR(IF(OR(NOT(ISNUMBER('Price History'!N141)),NOT(ISNUMBER('Price History'!N140)),'Price History'!N140=0),"",'Price History'!N141/'Price History'!N140-1),"")</f>
        <v>0.0130232987738703</v>
      </c>
      <c r="O140" s="109" t="n">
        <f aca="false">IFERROR(IF(OR(NOT(ISNUMBER('Price History'!O141)),NOT(ISNUMBER('Price History'!O140)),'Price History'!O140=0),"",'Price History'!O141/'Price History'!O140-1),"")</f>
        <v>0.0200494369678659</v>
      </c>
      <c r="P140" s="109" t="str">
        <f aca="false">IFERROR(IF(OR(NOT(ISNUMBER('Price History'!P141)),NOT(ISNUMBER('Price History'!P140)),'Price History'!P140=0),"",'Price History'!P141/'Price History'!P140-1),"")</f>
        <v/>
      </c>
      <c r="Q140" s="109" t="n">
        <f aca="false">IFERROR(IF(OR(NOT(ISNUMBER('Price History'!Q141)),NOT(ISNUMBER('Price History'!Q140)),'Price History'!Q140=0),"",'Price History'!Q141/'Price History'!Q140-1),"")</f>
        <v>0.000738552437222984</v>
      </c>
      <c r="R140" s="109" t="n">
        <f aca="false">IFERROR(IF(OR(NOT(ISNUMBER('Price History'!R141)),NOT(ISNUMBER('Price History'!R140)),'Price History'!R140=0),"",'Price History'!R141/'Price History'!R140-1),"")</f>
        <v>0.026972104193608</v>
      </c>
      <c r="S140" s="109" t="n">
        <f aca="false">IFERROR(IF(OR(NOT(ISNUMBER('Price History'!S141)),NOT(ISNUMBER('Price History'!S140)),'Price History'!S140=0),"",'Price History'!S141/'Price History'!S140-1),"")</f>
        <v>0.0401595503580816</v>
      </c>
      <c r="T140" s="109" t="n">
        <f aca="false">IFERROR(IF(OR(NOT(ISNUMBER('Price History'!T141)),NOT(ISNUMBER('Price History'!T140)),'Price History'!T140=0),"",'Price History'!T141/'Price History'!T140-1),"")</f>
        <v>0.0281290322580645</v>
      </c>
      <c r="U140" s="109" t="str">
        <f aca="false">IFERROR(IF(OR(NOT(ISNUMBER('Price History'!U141)),NOT(ISNUMBER('Price History'!U140)),'Price History'!U140=0),"",'Price History'!U141/'Price History'!U140-1),"")</f>
        <v/>
      </c>
      <c r="V140" s="110" t="str">
        <f aca="false">IFERROR(IF(OR(NOT(ISNUMBER('Price History'!V141)),NOT(ISNUMBER('Price History'!V140)),'Price History'!V140=0),"",'Price History'!V141/'Price History'!V140-1),"")</f>
        <v/>
      </c>
      <c r="W140" s="111" t="n">
        <f aca="false">IFERROR('Price History'!B3+(INDEX('Price History'!B:B,MATCH(9.99E+307,'Price History'!$A:$A))-'Price History'!B3)*(ROW()-3)/(MATCH(9.99E+307,'Returns (Calc)'!$A:$A)-3),"")</f>
        <v>299.985974842767</v>
      </c>
      <c r="X140" s="111" t="n">
        <f aca="false">IFERROR('Price History'!C3+(INDEX('Price History'!C:C,MATCH(9.99E+307,'Price History'!$A:$A))-'Price History'!C3)*(ROW()-3)/(MATCH(9.99E+307,'Returns (Calc)'!$A:$A)-3),"")</f>
        <v>173.019748427673</v>
      </c>
      <c r="Y140" s="111" t="n">
        <f aca="false">IFERROR('Price History'!D3+(INDEX('Price History'!D:D,MATCH(9.99E+307,'Price History'!$A:$A))-'Price History'!D3)*(ROW()-3)/(MATCH(9.99E+307,'Returns (Calc)'!$A:$A)-3),"")</f>
        <v>1569.16805031447</v>
      </c>
      <c r="Z140" s="111" t="n">
        <f aca="false">IFERROR('Price History'!E3+(INDEX('Price History'!E:E,MATCH(9.99E+307,'Price History'!$A:$A))-'Price History'!E3)*(ROW()-3)/(MATCH(9.99E+307,'Returns (Calc)'!$A:$A)-3),"")</f>
        <v>319.860754716981</v>
      </c>
      <c r="AA140" s="111" t="n">
        <f aca="false">IFERROR('Price History'!F3+(INDEX('Price History'!F:F,MATCH(9.99E+307,'Price History'!$A:$A))-'Price History'!F3)*(ROW()-3)/(MATCH(9.99E+307,'Returns (Calc)'!$A:$A)-3),"")</f>
        <v>188.742264150943</v>
      </c>
      <c r="AB140" s="111" t="n">
        <f aca="false">IFERROR('Price History'!G3+(INDEX('Price History'!G:G,MATCH(9.99E+307,'Price History'!$A:$A))-'Price History'!G3)*(ROW()-3)/(MATCH(9.99E+307,'Returns (Calc)'!$A:$A)-3),"")</f>
        <v>166.547169811321</v>
      </c>
      <c r="AC140" s="111" t="n">
        <f aca="false">IFERROR('Price History'!H3+(INDEX('Price History'!H:H,MATCH(9.99E+307,'Price History'!$A:$A))-'Price History'!H3)*(ROW()-3)/(MATCH(9.99E+307,'Returns (Calc)'!$A:$A)-3),"")</f>
        <v>884.836289308176</v>
      </c>
      <c r="AD140" s="111" t="n">
        <f aca="false">IFERROR('Price History'!I3+(INDEX('Price History'!I:I,MATCH(9.99E+307,'Price History'!$A:$A))-'Price History'!I3)*(ROW()-3)/(MATCH(9.99E+307,'Returns (Calc)'!$A:$A)-3),"")</f>
        <v>204.138490566038</v>
      </c>
      <c r="AE140" s="111" t="n">
        <f aca="false">IFERROR('Price History'!J3+(INDEX('Price History'!J:J,MATCH(9.99E+307,'Price History'!$A:$A))-'Price History'!J3)*(ROW()-3)/(MATCH(9.99E+307,'Returns (Calc)'!$A:$A)-3),"")</f>
        <v>135.42641509434</v>
      </c>
      <c r="AF140" s="111" t="n">
        <f aca="false">IFERROR('Price History'!K3+(INDEX('Price History'!K:K,MATCH(9.99E+307,'Price History'!$A:$A))-'Price History'!K3)*(ROW()-3)/(MATCH(9.99E+307,'Returns (Calc)'!$A:$A)-3),"")</f>
        <v>152.34106918239</v>
      </c>
      <c r="AG140" s="111" t="n">
        <f aca="false">IFERROR('Price History'!L3+(INDEX('Price History'!L:L,MATCH(9.99E+307,'Price History'!$A:$A))-'Price History'!L3)*(ROW()-3)/(MATCH(9.99E+307,'Returns (Calc)'!$A:$A)-3),"")</f>
        <v>382.29213836478</v>
      </c>
      <c r="AH140" s="111" t="n">
        <f aca="false">IFERROR('Price History'!M3+(INDEX('Price History'!M:M,MATCH(9.99E+307,'Price History'!$A:$A))-'Price History'!M3)*(ROW()-3)/(MATCH(9.99E+307,'Returns (Calc)'!$A:$A)-3),"")</f>
        <v>246.351132075472</v>
      </c>
      <c r="AI140" s="111" t="n">
        <f aca="false">IFERROR('Price History'!N3+(INDEX('Price History'!N:N,MATCH(9.99E+307,'Price History'!$A:$A))-'Price History'!N3)*(ROW()-3)/(MATCH(9.99E+307,'Returns (Calc)'!$A:$A)-3),"")</f>
        <v>518.964528301887</v>
      </c>
      <c r="AJ140" s="111" t="n">
        <f aca="false">IFERROR('Price History'!O3+(INDEX('Price History'!O:O,MATCH(9.99E+307,'Price History'!$A:$A))-'Price History'!O3)*(ROW()-3)/(MATCH(9.99E+307,'Returns (Calc)'!$A:$A)-3),"")</f>
        <v>120.830880503145</v>
      </c>
      <c r="AK140" s="111" t="n">
        <f aca="false">IFERROR('Price History'!Q3+(INDEX('Price History'!Q:Q,MATCH(9.99E+307,'Price History'!$A:$A))-'Price History'!Q3)*(ROW()-3)/(MATCH(9.99E+307,'Returns (Calc)'!$A:$A)-3),"")</f>
        <v>66.9693081761006</v>
      </c>
      <c r="AL140" s="111" t="n">
        <f aca="false">IFERROR('Price History'!R3+(INDEX('Price History'!R:R,MATCH(9.99E+307,'Price History'!$A:$A))-'Price History'!R3)*(ROW()-3)/(MATCH(9.99E+307,'Returns (Calc)'!$A:$A)-3),"")</f>
        <v>58.2027044025157</v>
      </c>
      <c r="AM140" s="111" t="n">
        <f aca="false">IFERROR('Price History'!S3+(INDEX('Price History'!S:S,MATCH(9.99E+307,'Price History'!$A:$A))-'Price History'!S3)*(ROW()-3)/(MATCH(9.99E+307,'Returns (Calc)'!$A:$A)-3),"")</f>
        <v>137.103899371069</v>
      </c>
      <c r="AN140" s="111" t="n">
        <f aca="false">IFERROR('Price History'!T3+(INDEX('Price History'!T:T,MATCH(9.99E+307,'Price History'!$A:$A))-'Price History'!T3)*(ROW()-3)/(MATCH(9.99E+307,'Returns (Calc)'!$A:$A)-3),"")</f>
        <v>51.3632075471698</v>
      </c>
      <c r="AO140" s="112" t="n">
        <f aca="false">IFERROR('Price History'!V3+(INDEX('Price History'!V:V,MATCH(9.99E+307,'Price History'!$A:$A))-'Price History'!V3)*(ROW()-3)/(MATCH(9.99E+307,'Returns (Calc)'!$A:$A)-3),"")</f>
        <v>323.173522012579</v>
      </c>
    </row>
    <row r="141" customFormat="false" ht="15" hidden="false" customHeight="true" outlineLevel="0" collapsed="false">
      <c r="A141" s="108" t="n">
        <f aca="false">IF('Price History'!A142="","",'Price History'!A142)</f>
        <v>46122</v>
      </c>
      <c r="B141" s="109" t="n">
        <f aca="false">IFERROR(IF(OR(NOT(ISNUMBER('Price History'!B142)),NOT(ISNUMBER('Price History'!B141)),'Price History'!B141=0),"",'Price History'!B142/'Price History'!B141-1),"")</f>
        <v>-0.07232833854767</v>
      </c>
      <c r="C141" s="109" t="n">
        <f aca="false">IFERROR(IF(OR(NOT(ISNUMBER('Price History'!C142)),NOT(ISNUMBER('Price History'!C141)),'Price History'!C141=0),"",'Price History'!C142/'Price History'!C141-1),"")</f>
        <v>0.163167035048942</v>
      </c>
      <c r="D141" s="109" t="n">
        <f aca="false">IFERROR(IF(OR(NOT(ISNUMBER('Price History'!D142)),NOT(ISNUMBER('Price History'!D141)),'Price History'!D141=0),"",'Price History'!D142/'Price History'!D141-1),"")</f>
        <v>0.12226414521382</v>
      </c>
      <c r="E141" s="109" t="n">
        <f aca="false">IFERROR(IF(OR(NOT(ISNUMBER('Price History'!E142)),NOT(ISNUMBER('Price History'!E141)),'Price History'!E141=0),"",'Price History'!E142/'Price History'!E141-1),"")</f>
        <v>0.181211254172628</v>
      </c>
      <c r="F141" s="109" t="n">
        <f aca="false">IFERROR(IF(OR(NOT(ISNUMBER('Price History'!F142)),NOT(ISNUMBER('Price History'!F141)),'Price History'!F141=0),"",'Price History'!F142/'Price History'!F141-1),"")</f>
        <v>-0.0503106835037082</v>
      </c>
      <c r="G141" s="109" t="n">
        <f aca="false">IFERROR(IF(OR(NOT(ISNUMBER('Price History'!G142)),NOT(ISNUMBER('Price History'!G141)),'Price History'!G141=0),"",'Price History'!G142/'Price History'!G141-1),"")</f>
        <v>0.145371835443038</v>
      </c>
      <c r="H141" s="109" t="n">
        <f aca="false">IFERROR(IF(OR(NOT(ISNUMBER('Price History'!H142)),NOT(ISNUMBER('Price History'!H141)),'Price History'!H141=0),"",'Price History'!H142/'Price History'!H141-1),"")</f>
        <v>0.1483999563128</v>
      </c>
      <c r="I141" s="109" t="n">
        <f aca="false">IFERROR(IF(OR(NOT(ISNUMBER('Price History'!I142)),NOT(ISNUMBER('Price History'!I141)),'Price History'!I141=0),"",'Price History'!I142/'Price History'!I141-1),"")</f>
        <v>0.0633632110040026</v>
      </c>
      <c r="J141" s="109" t="n">
        <f aca="false">IFERROR(IF(OR(NOT(ISNUMBER('Price History'!J142)),NOT(ISNUMBER('Price History'!J141)),'Price History'!J141=0),"",'Price History'!J142/'Price History'!J141-1),"")</f>
        <v>0.0255662704642297</v>
      </c>
      <c r="K141" s="109" t="n">
        <f aca="false">IFERROR(IF(OR(NOT(ISNUMBER('Price History'!K142)),NOT(ISNUMBER('Price History'!K141)),'Price History'!K141=0),"",'Price History'!K142/'Price History'!K141-1),"")</f>
        <v>-0.13741075037047</v>
      </c>
      <c r="L141" s="109" t="n">
        <f aca="false">IFERROR(IF(OR(NOT(ISNUMBER('Price History'!L142)),NOT(ISNUMBER('Price History'!L141)),'Price History'!L141=0),"",'Price History'!L142/'Price History'!L141-1),"")</f>
        <v>0.0930863614912694</v>
      </c>
      <c r="M141" s="109" t="n">
        <f aca="false">IFERROR(IF(OR(NOT(ISNUMBER('Price History'!M142)),NOT(ISNUMBER('Price History'!M141)),'Price History'!M141=0),"",'Price History'!M142/'Price History'!M141-1),"")</f>
        <v>0.129434727697195</v>
      </c>
      <c r="N141" s="109" t="n">
        <f aca="false">IFERROR(IF(OR(NOT(ISNUMBER('Price History'!N142)),NOT(ISNUMBER('Price History'!N141)),'Price History'!N141=0),"",'Price History'!N142/'Price History'!N141-1),"")</f>
        <v>-0.0055617606163525</v>
      </c>
      <c r="O141" s="109" t="n">
        <f aca="false">IFERROR(IF(OR(NOT(ISNUMBER('Price History'!O142)),NOT(ISNUMBER('Price History'!O141)),'Price History'!O141=0),"",'Price History'!O142/'Price History'!O141-1),"")</f>
        <v>0.0297074133907738</v>
      </c>
      <c r="P141" s="109" t="str">
        <f aca="false">IFERROR(IF(OR(NOT(ISNUMBER('Price History'!P142)),NOT(ISNUMBER('Price History'!P141)),'Price History'!P141=0),"",'Price History'!P142/'Price History'!P141-1),"")</f>
        <v/>
      </c>
      <c r="Q141" s="109" t="n">
        <f aca="false">IFERROR(IF(OR(NOT(ISNUMBER('Price History'!Q142)),NOT(ISNUMBER('Price History'!Q141)),'Price History'!Q141=0),"",'Price History'!Q142/'Price History'!Q141-1),"")</f>
        <v>0.00428044280442808</v>
      </c>
      <c r="R141" s="109" t="n">
        <f aca="false">IFERROR(IF(OR(NOT(ISNUMBER('Price History'!R142)),NOT(ISNUMBER('Price History'!R141)),'Price History'!R141=0),"",'Price History'!R142/'Price History'!R141-1),"")</f>
        <v>0.0365173592372727</v>
      </c>
      <c r="S141" s="109" t="n">
        <f aca="false">IFERROR(IF(OR(NOT(ISNUMBER('Price History'!S142)),NOT(ISNUMBER('Price History'!S141)),'Price History'!S141=0),"",'Price History'!S142/'Price History'!S141-1),"")</f>
        <v>0.0749520655394806</v>
      </c>
      <c r="T141" s="109" t="n">
        <f aca="false">IFERROR(IF(OR(NOT(ISNUMBER('Price History'!T142)),NOT(ISNUMBER('Price History'!T141)),'Price History'!T141=0),"",'Price History'!T142/'Price History'!T141-1),"")</f>
        <v>-0.0050200803212852</v>
      </c>
      <c r="U141" s="109" t="str">
        <f aca="false">IFERROR(IF(OR(NOT(ISNUMBER('Price History'!U142)),NOT(ISNUMBER('Price History'!U141)),'Price History'!U141=0),"",'Price History'!U142/'Price History'!U141-1),"")</f>
        <v/>
      </c>
      <c r="V141" s="110" t="str">
        <f aca="false">IFERROR(IF(OR(NOT(ISNUMBER('Price History'!V142)),NOT(ISNUMBER('Price History'!V141)),'Price History'!V141=0),"",'Price History'!V142/'Price History'!V141-1),"")</f>
        <v/>
      </c>
      <c r="W141" s="111" t="n">
        <f aca="false">IFERROR('Price History'!B3+(INDEX('Price History'!B:B,MATCH(9.99E+307,'Price History'!$A:$A))-'Price History'!B3)*(ROW()-3)/(MATCH(9.99E+307,'Returns (Calc)'!$A:$A)-3),"")</f>
        <v>298.464339622642</v>
      </c>
      <c r="X141" s="111" t="n">
        <f aca="false">IFERROR('Price History'!C3+(INDEX('Price History'!C:C,MATCH(9.99E+307,'Price History'!$A:$A))-'Price History'!C3)*(ROW()-3)/(MATCH(9.99E+307,'Returns (Calc)'!$A:$A)-3),"")</f>
        <v>173.963396226415</v>
      </c>
      <c r="Y141" s="111" t="n">
        <f aca="false">IFERROR('Price History'!D3+(INDEX('Price History'!D:D,MATCH(9.99E+307,'Price History'!$A:$A))-'Price History'!D3)*(ROW()-3)/(MATCH(9.99E+307,'Returns (Calc)'!$A:$A)-3),"")</f>
        <v>1575.79132075472</v>
      </c>
      <c r="Z141" s="111" t="n">
        <f aca="false">IFERROR('Price History'!E3+(INDEX('Price History'!E:E,MATCH(9.99E+307,'Price History'!$A:$A))-'Price History'!E3)*(ROW()-3)/(MATCH(9.99E+307,'Returns (Calc)'!$A:$A)-3),"")</f>
        <v>321.589811320755</v>
      </c>
      <c r="AA141" s="111" t="n">
        <f aca="false">IFERROR('Price History'!F3+(INDEX('Price History'!F:F,MATCH(9.99E+307,'Price History'!$A:$A))-'Price History'!F3)*(ROW()-3)/(MATCH(9.99E+307,'Returns (Calc)'!$A:$A)-3),"")</f>
        <v>189.849433962264</v>
      </c>
      <c r="AB141" s="111" t="n">
        <f aca="false">IFERROR('Price History'!G3+(INDEX('Price History'!G:G,MATCH(9.99E+307,'Price History'!$A:$A))-'Price History'!G3)*(ROW()-3)/(MATCH(9.99E+307,'Returns (Calc)'!$A:$A)-3),"")</f>
        <v>167.41320754717</v>
      </c>
      <c r="AC141" s="111" t="n">
        <f aca="false">IFERROR('Price History'!H3+(INDEX('Price History'!H:H,MATCH(9.99E+307,'Price History'!$A:$A))-'Price History'!H3)*(ROW()-3)/(MATCH(9.99E+307,'Returns (Calc)'!$A:$A)-3),"")</f>
        <v>890.825094339623</v>
      </c>
      <c r="AD141" s="111" t="n">
        <f aca="false">IFERROR('Price History'!I3+(INDEX('Price History'!I:I,MATCH(9.99E+307,'Price History'!$A:$A))-'Price History'!I3)*(ROW()-3)/(MATCH(9.99E+307,'Returns (Calc)'!$A:$A)-3),"")</f>
        <v>205.330377358491</v>
      </c>
      <c r="AE141" s="111" t="n">
        <f aca="false">IFERROR('Price History'!J3+(INDEX('Price History'!J:J,MATCH(9.99E+307,'Price History'!$A:$A))-'Price History'!J3)*(ROW()-3)/(MATCH(9.99E+307,'Returns (Calc)'!$A:$A)-3),"")</f>
        <v>135.513396226415</v>
      </c>
      <c r="AF141" s="111" t="n">
        <f aca="false">IFERROR('Price History'!K3+(INDEX('Price History'!K:K,MATCH(9.99E+307,'Price History'!$A:$A))-'Price History'!K3)*(ROW()-3)/(MATCH(9.99E+307,'Returns (Calc)'!$A:$A)-3),"")</f>
        <v>153.340566037736</v>
      </c>
      <c r="AG141" s="111" t="n">
        <f aca="false">IFERROR('Price History'!L3+(INDEX('Price History'!L:L,MATCH(9.99E+307,'Price History'!$A:$A))-'Price History'!L3)*(ROW()-3)/(MATCH(9.99E+307,'Returns (Calc)'!$A:$A)-3),"")</f>
        <v>384.411132075472</v>
      </c>
      <c r="AH141" s="111" t="n">
        <f aca="false">IFERROR('Price History'!M3+(INDEX('Price History'!M:M,MATCH(9.99E+307,'Price History'!$A:$A))-'Price History'!M3)*(ROW()-3)/(MATCH(9.99E+307,'Returns (Calc)'!$A:$A)-3),"")</f>
        <v>247.904716981132</v>
      </c>
      <c r="AI141" s="111" t="n">
        <f aca="false">IFERROR('Price History'!N3+(INDEX('Price History'!N:N,MATCH(9.99E+307,'Price History'!$A:$A))-'Price History'!N3)*(ROW()-3)/(MATCH(9.99E+307,'Returns (Calc)'!$A:$A)-3),"")</f>
        <v>520.198867924528</v>
      </c>
      <c r="AJ141" s="111" t="n">
        <f aca="false">IFERROR('Price History'!O3+(INDEX('Price History'!O:O,MATCH(9.99E+307,'Price History'!$A:$A))-'Price History'!O3)*(ROW()-3)/(MATCH(9.99E+307,'Returns (Calc)'!$A:$A)-3),"")</f>
        <v>121.108113207547</v>
      </c>
      <c r="AK141" s="111" t="n">
        <f aca="false">IFERROR('Price History'!Q3+(INDEX('Price History'!Q:Q,MATCH(9.99E+307,'Price History'!$A:$A))-'Price History'!Q3)*(ROW()-3)/(MATCH(9.99E+307,'Returns (Calc)'!$A:$A)-3),"")</f>
        <v>67.0943396226415</v>
      </c>
      <c r="AL141" s="111" t="n">
        <f aca="false">IFERROR('Price History'!R3+(INDEX('Price History'!R:R,MATCH(9.99E+307,'Price History'!$A:$A))-'Price History'!R3)*(ROW()-3)/(MATCH(9.99E+307,'Returns (Calc)'!$A:$A)-3),"")</f>
        <v>58.2784905660377</v>
      </c>
      <c r="AM141" s="111" t="n">
        <f aca="false">IFERROR('Price History'!S3+(INDEX('Price History'!S:S,MATCH(9.99E+307,'Price History'!$A:$A))-'Price History'!S3)*(ROW()-3)/(MATCH(9.99E+307,'Returns (Calc)'!$A:$A)-3),"")</f>
        <v>137.677358490566</v>
      </c>
      <c r="AN141" s="111" t="n">
        <f aca="false">IFERROR('Price History'!T3+(INDEX('Price History'!T:T,MATCH(9.99E+307,'Price History'!$A:$A))-'Price History'!T3)*(ROW()-3)/(MATCH(9.99E+307,'Returns (Calc)'!$A:$A)-3),"")</f>
        <v>51.5416981132075</v>
      </c>
      <c r="AO141" s="112" t="n">
        <f aca="false">IFERROR('Price History'!V3+(INDEX('Price History'!V:V,MATCH(9.99E+307,'Price History'!$A:$A))-'Price History'!V3)*(ROW()-3)/(MATCH(9.99E+307,'Returns (Calc)'!$A:$A)-3),"")</f>
        <v>325.532452830189</v>
      </c>
    </row>
    <row r="142" customFormat="false" ht="15" hidden="false" customHeight="true" outlineLevel="0" collapsed="false">
      <c r="A142" s="108" t="n">
        <f aca="false">IF('Price History'!A143="","",'Price History'!A143)</f>
        <v>46129</v>
      </c>
      <c r="B142" s="109" t="n">
        <f aca="false">IFERROR(IF(OR(NOT(ISNUMBER('Price History'!B143)),NOT(ISNUMBER('Price History'!B142)),'Price History'!B142=0),"",'Price History'!B143/'Price History'!B142-1),"")</f>
        <v>0.0847570445972932</v>
      </c>
      <c r="C142" s="109" t="n">
        <f aca="false">IFERROR(IF(OR(NOT(ISNUMBER('Price History'!C143)),NOT(ISNUMBER('Price History'!C142)),'Price History'!C142=0),"",'Price History'!C143/'Price History'!C142-1),"")</f>
        <v>0.114557176789956</v>
      </c>
      <c r="D142" s="109" t="n">
        <f aca="false">IFERROR(IF(OR(NOT(ISNUMBER('Price History'!D143)),NOT(ISNUMBER('Price History'!D142)),'Price History'!D142=0),"",'Price History'!D143/'Price History'!D142-1),"")</f>
        <v>-0.012501014692751</v>
      </c>
      <c r="E142" s="109" t="n">
        <f aca="false">IFERROR(IF(OR(NOT(ISNUMBER('Price History'!E143)),NOT(ISNUMBER('Price History'!E142)),'Price History'!E142=0),"",'Price History'!E143/'Price History'!E142-1),"")</f>
        <v>0.0941730588076974</v>
      </c>
      <c r="F142" s="109" t="n">
        <f aca="false">IFERROR(IF(OR(NOT(ISNUMBER('Price History'!F143)),NOT(ISNUMBER('Price History'!F142)),'Price History'!F142=0),"",'Price History'!F143/'Price History'!F142-1),"")</f>
        <v>0.118509919797383</v>
      </c>
      <c r="G142" s="109" t="n">
        <f aca="false">IFERROR(IF(OR(NOT(ISNUMBER('Price History'!G143)),NOT(ISNUMBER('Price History'!G142)),'Price History'!G142=0),"",'Price History'!G143/'Price History'!G142-1),"")</f>
        <v>0.0311402751395844</v>
      </c>
      <c r="H142" s="109" t="n">
        <f aca="false">IFERROR(IF(OR(NOT(ISNUMBER('Price History'!H143)),NOT(ISNUMBER('Price History'!H142)),'Price History'!H142=0),"",'Price History'!H143/'Price History'!H142-1),"")</f>
        <v>0.0819800756080744</v>
      </c>
      <c r="I142" s="109" t="n">
        <f aca="false">IFERROR(IF(OR(NOT(ISNUMBER('Price History'!I143)),NOT(ISNUMBER('Price History'!I142)),'Price History'!I142=0),"",'Price History'!I143/'Price History'!I142-1),"")</f>
        <v>0.0691830567778191</v>
      </c>
      <c r="J142" s="109" t="n">
        <f aca="false">IFERROR(IF(OR(NOT(ISNUMBER('Price History'!J143)),NOT(ISNUMBER('Price History'!J142)),'Price History'!J142=0),"",'Price History'!J143/'Price History'!J142-1),"")</f>
        <v>0.0576572636489541</v>
      </c>
      <c r="K142" s="109" t="n">
        <f aca="false">IFERROR(IF(OR(NOT(ISNUMBER('Price History'!K143)),NOT(ISNUMBER('Price History'!K142)),'Price History'!K142=0),"",'Price History'!K143/'Price History'!K142-1),"")</f>
        <v>0.143136029985944</v>
      </c>
      <c r="L142" s="109" t="n">
        <f aca="false">IFERROR(IF(OR(NOT(ISNUMBER('Price History'!L143)),NOT(ISNUMBER('Price History'!L142)),'Price History'!L142=0),"",'Price History'!L143/'Price History'!L142-1),"")</f>
        <v>-0.000269832703723716</v>
      </c>
      <c r="M142" s="109" t="n">
        <f aca="false">IFERROR(IF(OR(NOT(ISNUMBER('Price History'!M143)),NOT(ISNUMBER('Price History'!M142)),'Price History'!M142=0),"",'Price History'!M143/'Price History'!M142-1),"")</f>
        <v>0.041442174104571</v>
      </c>
      <c r="N142" s="109" t="n">
        <f aca="false">IFERROR(IF(OR(NOT(ISNUMBER('Price History'!N143)),NOT(ISNUMBER('Price History'!N142)),'Price History'!N142=0),"",'Price History'!N143/'Price History'!N142-1),"")</f>
        <v>0.0113003415316204</v>
      </c>
      <c r="O142" s="109" t="n">
        <f aca="false">IFERROR(IF(OR(NOT(ISNUMBER('Price History'!O143)),NOT(ISNUMBER('Price History'!O142)),'Price History'!O142=0),"",'Price History'!O143/'Price History'!O142-1),"")</f>
        <v>0.0243179639152793</v>
      </c>
      <c r="P142" s="109" t="str">
        <f aca="false">IFERROR(IF(OR(NOT(ISNUMBER('Price History'!P143)),NOT(ISNUMBER('Price History'!P142)),'Price History'!P142=0),"",'Price History'!P143/'Price History'!P142-1),"")</f>
        <v/>
      </c>
      <c r="Q142" s="109" t="n">
        <f aca="false">IFERROR(IF(OR(NOT(ISNUMBER('Price History'!Q143)),NOT(ISNUMBER('Price History'!Q142)),'Price History'!Q142=0),"",'Price History'!Q143/'Price History'!Q142-1),"")</f>
        <v>-0.0105820105820108</v>
      </c>
      <c r="R142" s="109" t="n">
        <f aca="false">IFERROR(IF(OR(NOT(ISNUMBER('Price History'!R143)),NOT(ISNUMBER('Price History'!R142)),'Price History'!R142=0),"",'Price History'!R143/'Price History'!R142-1),"")</f>
        <v>0.0180492884415133</v>
      </c>
      <c r="S142" s="109" t="n">
        <f aca="false">IFERROR(IF(OR(NOT(ISNUMBER('Price History'!S143)),NOT(ISNUMBER('Price History'!S142)),'Price History'!S142=0),"",'Price History'!S143/'Price History'!S142-1),"")</f>
        <v>0.0402140424841901</v>
      </c>
      <c r="T142" s="109" t="n">
        <f aca="false">IFERROR(IF(OR(NOT(ISNUMBER('Price History'!T143)),NOT(ISNUMBER('Price History'!T142)),'Price History'!T142=0),"",'Price History'!T143/'Price History'!T142-1),"")</f>
        <v>0.0534813319878908</v>
      </c>
      <c r="U142" s="109" t="str">
        <f aca="false">IFERROR(IF(OR(NOT(ISNUMBER('Price History'!U143)),NOT(ISNUMBER('Price History'!U142)),'Price History'!U142=0),"",'Price History'!U143/'Price History'!U142-1),"")</f>
        <v/>
      </c>
      <c r="V142" s="110" t="n">
        <f aca="false">IFERROR(IF(OR(NOT(ISNUMBER('Price History'!V143)),NOT(ISNUMBER('Price History'!V142)),'Price History'!V142=0),"",'Price History'!V143/'Price History'!V142-1),"")</f>
        <v>0.0415938252465613</v>
      </c>
      <c r="W142" s="111" t="n">
        <f aca="false">IFERROR('Price History'!B3+(INDEX('Price History'!B:B,MATCH(9.99E+307,'Price History'!$A:$A))-'Price History'!B3)*(ROW()-3)/(MATCH(9.99E+307,'Returns (Calc)'!$A:$A)-3),"")</f>
        <v>296.942704402516</v>
      </c>
      <c r="X142" s="111" t="n">
        <f aca="false">IFERROR('Price History'!C3+(INDEX('Price History'!C:C,MATCH(9.99E+307,'Price History'!$A:$A))-'Price History'!C3)*(ROW()-3)/(MATCH(9.99E+307,'Returns (Calc)'!$A:$A)-3),"")</f>
        <v>174.907044025157</v>
      </c>
      <c r="Y142" s="111" t="n">
        <f aca="false">IFERROR('Price History'!D3+(INDEX('Price History'!D:D,MATCH(9.99E+307,'Price History'!$A:$A))-'Price History'!D3)*(ROW()-3)/(MATCH(9.99E+307,'Returns (Calc)'!$A:$A)-3),"")</f>
        <v>1582.41459119497</v>
      </c>
      <c r="Z142" s="111" t="n">
        <f aca="false">IFERROR('Price History'!E3+(INDEX('Price History'!E:E,MATCH(9.99E+307,'Price History'!$A:$A))-'Price History'!E3)*(ROW()-3)/(MATCH(9.99E+307,'Returns (Calc)'!$A:$A)-3),"")</f>
        <v>323.318867924528</v>
      </c>
      <c r="AA142" s="111" t="n">
        <f aca="false">IFERROR('Price History'!F3+(INDEX('Price History'!F:F,MATCH(9.99E+307,'Price History'!$A:$A))-'Price History'!F3)*(ROW()-3)/(MATCH(9.99E+307,'Returns (Calc)'!$A:$A)-3),"")</f>
        <v>190.956603773585</v>
      </c>
      <c r="AB142" s="111" t="n">
        <f aca="false">IFERROR('Price History'!G3+(INDEX('Price History'!G:G,MATCH(9.99E+307,'Price History'!$A:$A))-'Price History'!G3)*(ROW()-3)/(MATCH(9.99E+307,'Returns (Calc)'!$A:$A)-3),"")</f>
        <v>168.279245283019</v>
      </c>
      <c r="AC142" s="111" t="n">
        <f aca="false">IFERROR('Price History'!H3+(INDEX('Price History'!H:H,MATCH(9.99E+307,'Price History'!$A:$A))-'Price History'!H3)*(ROW()-3)/(MATCH(9.99E+307,'Returns (Calc)'!$A:$A)-3),"")</f>
        <v>896.813899371069</v>
      </c>
      <c r="AD142" s="111" t="n">
        <f aca="false">IFERROR('Price History'!I3+(INDEX('Price History'!I:I,MATCH(9.99E+307,'Price History'!$A:$A))-'Price History'!I3)*(ROW()-3)/(MATCH(9.99E+307,'Returns (Calc)'!$A:$A)-3),"")</f>
        <v>206.522264150943</v>
      </c>
      <c r="AE142" s="111" t="n">
        <f aca="false">IFERROR('Price History'!J3+(INDEX('Price History'!J:J,MATCH(9.99E+307,'Price History'!$A:$A))-'Price History'!J3)*(ROW()-3)/(MATCH(9.99E+307,'Returns (Calc)'!$A:$A)-3),"")</f>
        <v>135.600377358491</v>
      </c>
      <c r="AF142" s="111" t="n">
        <f aca="false">IFERROR('Price History'!K3+(INDEX('Price History'!K:K,MATCH(9.99E+307,'Price History'!$A:$A))-'Price History'!K3)*(ROW()-3)/(MATCH(9.99E+307,'Returns (Calc)'!$A:$A)-3),"")</f>
        <v>154.340062893082</v>
      </c>
      <c r="AG142" s="111" t="n">
        <f aca="false">IFERROR('Price History'!L3+(INDEX('Price History'!L:L,MATCH(9.99E+307,'Price History'!$A:$A))-'Price History'!L3)*(ROW()-3)/(MATCH(9.99E+307,'Returns (Calc)'!$A:$A)-3),"")</f>
        <v>386.530125786164</v>
      </c>
      <c r="AH142" s="111" t="n">
        <f aca="false">IFERROR('Price History'!M3+(INDEX('Price History'!M:M,MATCH(9.99E+307,'Price History'!$A:$A))-'Price History'!M3)*(ROW()-3)/(MATCH(9.99E+307,'Returns (Calc)'!$A:$A)-3),"")</f>
        <v>249.458301886792</v>
      </c>
      <c r="AI142" s="111" t="n">
        <f aca="false">IFERROR('Price History'!N3+(INDEX('Price History'!N:N,MATCH(9.99E+307,'Price History'!$A:$A))-'Price History'!N3)*(ROW()-3)/(MATCH(9.99E+307,'Returns (Calc)'!$A:$A)-3),"")</f>
        <v>521.43320754717</v>
      </c>
      <c r="AJ142" s="111" t="n">
        <f aca="false">IFERROR('Price History'!O3+(INDEX('Price History'!O:O,MATCH(9.99E+307,'Price History'!$A:$A))-'Price History'!O3)*(ROW()-3)/(MATCH(9.99E+307,'Returns (Calc)'!$A:$A)-3),"")</f>
        <v>121.38534591195</v>
      </c>
      <c r="AK142" s="111" t="n">
        <f aca="false">IFERROR('Price History'!Q3+(INDEX('Price History'!Q:Q,MATCH(9.99E+307,'Price History'!$A:$A))-'Price History'!Q3)*(ROW()-3)/(MATCH(9.99E+307,'Returns (Calc)'!$A:$A)-3),"")</f>
        <v>67.2193710691824</v>
      </c>
      <c r="AL142" s="111" t="n">
        <f aca="false">IFERROR('Price History'!R3+(INDEX('Price History'!R:R,MATCH(9.99E+307,'Price History'!$A:$A))-'Price History'!R3)*(ROW()-3)/(MATCH(9.99E+307,'Returns (Calc)'!$A:$A)-3),"")</f>
        <v>58.3542767295597</v>
      </c>
      <c r="AM142" s="111" t="n">
        <f aca="false">IFERROR('Price History'!S3+(INDEX('Price History'!S:S,MATCH(9.99E+307,'Price History'!$A:$A))-'Price History'!S3)*(ROW()-3)/(MATCH(9.99E+307,'Returns (Calc)'!$A:$A)-3),"")</f>
        <v>138.250817610063</v>
      </c>
      <c r="AN142" s="111" t="n">
        <f aca="false">IFERROR('Price History'!T3+(INDEX('Price History'!T:T,MATCH(9.99E+307,'Price History'!$A:$A))-'Price History'!T3)*(ROW()-3)/(MATCH(9.99E+307,'Returns (Calc)'!$A:$A)-3),"")</f>
        <v>51.7201886792453</v>
      </c>
      <c r="AO142" s="112" t="n">
        <f aca="false">IFERROR('Price History'!V3+(INDEX('Price History'!V:V,MATCH(9.99E+307,'Price History'!$A:$A))-'Price History'!V3)*(ROW()-3)/(MATCH(9.99E+307,'Returns (Calc)'!$A:$A)-3),"")</f>
        <v>327.891383647799</v>
      </c>
    </row>
    <row r="143" customFormat="false" ht="15" hidden="false" customHeight="true" outlineLevel="0" collapsed="false">
      <c r="A143" s="108" t="n">
        <f aca="false">IF('Price History'!A144="","",'Price History'!A144)</f>
        <v>46136</v>
      </c>
      <c r="B143" s="109" t="n">
        <f aca="false">IFERROR(IF(OR(NOT(ISNUMBER('Price History'!B144)),NOT(ISNUMBER('Price History'!B143)),'Price History'!B143=0),"",'Price History'!B144/'Price History'!B143-1),"")</f>
        <v>0.0040499079566374</v>
      </c>
      <c r="C143" s="109" t="n">
        <f aca="false">IFERROR(IF(OR(NOT(ISNUMBER('Price History'!C144)),NOT(ISNUMBER('Price History'!C143)),'Price History'!C143=0),"",'Price History'!C144/'Price History'!C143-1),"")</f>
        <v>0.0772087925470377</v>
      </c>
      <c r="D143" s="109" t="n">
        <f aca="false">IFERROR(IF(OR(NOT(ISNUMBER('Price History'!D144)),NOT(ISNUMBER('Price History'!D143)),'Price History'!D143=0),"",'Price History'!D144/'Price History'!D143-1),"")</f>
        <v>-0.00143855322646935</v>
      </c>
      <c r="E143" s="109" t="n">
        <f aca="false">IFERROR(IF(OR(NOT(ISNUMBER('Price History'!E144)),NOT(ISNUMBER('Price History'!E143)),'Price History'!E143=0),"",'Price History'!E144/'Price History'!E143-1),"")</f>
        <v>0.0398976730457026</v>
      </c>
      <c r="F143" s="109" t="n">
        <f aca="false">IFERROR(IF(OR(NOT(ISNUMBER('Price History'!F144)),NOT(ISNUMBER('Price History'!F143)),'Price History'!F143=0),"",'Price History'!F144/'Price History'!F143-1),"")</f>
        <v>0.0569865081611474</v>
      </c>
      <c r="G143" s="109" t="n">
        <f aca="false">IFERROR(IF(OR(NOT(ISNUMBER('Price History'!G144)),NOT(ISNUMBER('Price History'!G143)),'Price History'!G143=0),"",'Price History'!G144/'Price History'!G143-1),"")</f>
        <v>0.0801607681143242</v>
      </c>
      <c r="H143" s="109" t="n">
        <f aca="false">IFERROR(IF(OR(NOT(ISNUMBER('Price History'!H144)),NOT(ISNUMBER('Price History'!H143)),'Price History'!H143=0),"",'Price History'!H144/'Price History'!H143-1),"")</f>
        <v>0.0915243808644826</v>
      </c>
      <c r="I143" s="109" t="n">
        <f aca="false">IFERROR(IF(OR(NOT(ISNUMBER('Price History'!I144)),NOT(ISNUMBER('Price History'!I143)),'Price History'!I143=0),"",'Price History'!I144/'Price History'!I143-1),"")</f>
        <v>0.0326755255850852</v>
      </c>
      <c r="J143" s="109" t="n">
        <f aca="false">IFERROR(IF(OR(NOT(ISNUMBER('Price History'!J144)),NOT(ISNUMBER('Price History'!J143)),'Price History'!J143=0),"",'Price History'!J144/'Price History'!J143-1),"")</f>
        <v>-0.0206753962784286</v>
      </c>
      <c r="K143" s="109" t="n">
        <f aca="false">IFERROR(IF(OR(NOT(ISNUMBER('Price History'!K144)),NOT(ISNUMBER('Price History'!K143)),'Price History'!K143=0),"",'Price History'!K144/'Price History'!K143-1),"")</f>
        <v>-0.0225425233964067</v>
      </c>
      <c r="L143" s="109" t="n">
        <f aca="false">IFERROR(IF(OR(NOT(ISNUMBER('Price History'!L144)),NOT(ISNUMBER('Price History'!L143)),'Price History'!L143=0),"",'Price History'!L144/'Price History'!L143-1),"")</f>
        <v>0.0862618083670714</v>
      </c>
      <c r="M143" s="109" t="n">
        <f aca="false">IFERROR(IF(OR(NOT(ISNUMBER('Price History'!M144)),NOT(ISNUMBER('Price History'!M143)),'Price History'!M143=0),"",'Price History'!M144/'Price History'!M143-1),"")</f>
        <v>0.0524500553133338</v>
      </c>
      <c r="N143" s="109" t="n">
        <f aca="false">IFERROR(IF(OR(NOT(ISNUMBER('Price History'!N144)),NOT(ISNUMBER('Price History'!N143)),'Price History'!N143=0),"",'Price History'!N144/'Price History'!N143-1),"")</f>
        <v>-0.0247280145058929</v>
      </c>
      <c r="O143" s="109" t="n">
        <f aca="false">IFERROR(IF(OR(NOT(ISNUMBER('Price History'!O144)),NOT(ISNUMBER('Price History'!O143)),'Price History'!O143=0),"",'Price History'!O144/'Price History'!O143-1),"")</f>
        <v>0.0122532334921714</v>
      </c>
      <c r="P143" s="109" t="str">
        <f aca="false">IFERROR(IF(OR(NOT(ISNUMBER('Price History'!P144)),NOT(ISNUMBER('Price History'!P143)),'Price History'!P143=0),"",'Price History'!P144/'Price History'!P143-1),"")</f>
        <v/>
      </c>
      <c r="Q143" s="109" t="n">
        <f aca="false">IFERROR(IF(OR(NOT(ISNUMBER('Price History'!Q144)),NOT(ISNUMBER('Price History'!Q143)),'Price History'!Q143=0),"",'Price History'!Q144/'Price History'!Q143-1),"")</f>
        <v>0.000445632798574014</v>
      </c>
      <c r="R143" s="109" t="n">
        <f aca="false">IFERROR(IF(OR(NOT(ISNUMBER('Price History'!R144)),NOT(ISNUMBER('Price History'!R143)),'Price History'!R143=0),"",'Price History'!R144/'Price History'!R143-1),"")</f>
        <v>0.00562563927719073</v>
      </c>
      <c r="S143" s="109" t="n">
        <f aca="false">IFERROR(IF(OR(NOT(ISNUMBER('Price History'!S144)),NOT(ISNUMBER('Price History'!S143)),'Price History'!S143=0),"",'Price History'!S144/'Price History'!S143-1),"")</f>
        <v>0.0250974279033516</v>
      </c>
      <c r="T143" s="109" t="n">
        <f aca="false">IFERROR(IF(OR(NOT(ISNUMBER('Price History'!T144)),NOT(ISNUMBER('Price History'!T143)),'Price History'!T143=0),"",'Price History'!T144/'Price History'!T143-1),"")</f>
        <v>-0.00574712643678144</v>
      </c>
      <c r="U143" s="109" t="str">
        <f aca="false">IFERROR(IF(OR(NOT(ISNUMBER('Price History'!U144)),NOT(ISNUMBER('Price History'!U143)),'Price History'!U143=0),"",'Price History'!U144/'Price History'!U143-1),"")</f>
        <v/>
      </c>
      <c r="V143" s="110" t="n">
        <f aca="false">IFERROR(IF(OR(NOT(ISNUMBER('Price History'!V144)),NOT(ISNUMBER('Price History'!V143)),'Price History'!V143=0),"",'Price History'!V144/'Price History'!V143-1),"")</f>
        <v>-0.0239723858382418</v>
      </c>
      <c r="W143" s="111" t="n">
        <f aca="false">IFERROR('Price History'!B3+(INDEX('Price History'!B:B,MATCH(9.99E+307,'Price History'!$A:$A))-'Price History'!B3)*(ROW()-3)/(MATCH(9.99E+307,'Returns (Calc)'!$A:$A)-3),"")</f>
        <v>295.42106918239</v>
      </c>
      <c r="X143" s="111" t="n">
        <f aca="false">IFERROR('Price History'!C3+(INDEX('Price History'!C:C,MATCH(9.99E+307,'Price History'!$A:$A))-'Price History'!C3)*(ROW()-3)/(MATCH(9.99E+307,'Returns (Calc)'!$A:$A)-3),"")</f>
        <v>175.850691823899</v>
      </c>
      <c r="Y143" s="111" t="n">
        <f aca="false">IFERROR('Price History'!D3+(INDEX('Price History'!D:D,MATCH(9.99E+307,'Price History'!$A:$A))-'Price History'!D3)*(ROW()-3)/(MATCH(9.99E+307,'Returns (Calc)'!$A:$A)-3),"")</f>
        <v>1589.03786163522</v>
      </c>
      <c r="Z143" s="111" t="n">
        <f aca="false">IFERROR('Price History'!E3+(INDEX('Price History'!E:E,MATCH(9.99E+307,'Price History'!$A:$A))-'Price History'!E3)*(ROW()-3)/(MATCH(9.99E+307,'Returns (Calc)'!$A:$A)-3),"")</f>
        <v>325.047924528302</v>
      </c>
      <c r="AA143" s="111" t="n">
        <f aca="false">IFERROR('Price History'!F3+(INDEX('Price History'!F:F,MATCH(9.99E+307,'Price History'!$A:$A))-'Price History'!F3)*(ROW()-3)/(MATCH(9.99E+307,'Returns (Calc)'!$A:$A)-3),"")</f>
        <v>192.063773584906</v>
      </c>
      <c r="AB143" s="111" t="n">
        <f aca="false">IFERROR('Price History'!G3+(INDEX('Price History'!G:G,MATCH(9.99E+307,'Price History'!$A:$A))-'Price History'!G3)*(ROW()-3)/(MATCH(9.99E+307,'Returns (Calc)'!$A:$A)-3),"")</f>
        <v>169.145283018868</v>
      </c>
      <c r="AC143" s="111" t="n">
        <f aca="false">IFERROR('Price History'!H3+(INDEX('Price History'!H:H,MATCH(9.99E+307,'Price History'!$A:$A))-'Price History'!H3)*(ROW()-3)/(MATCH(9.99E+307,'Returns (Calc)'!$A:$A)-3),"")</f>
        <v>902.802704402516</v>
      </c>
      <c r="AD143" s="111" t="n">
        <f aca="false">IFERROR('Price History'!I3+(INDEX('Price History'!I:I,MATCH(9.99E+307,'Price History'!$A:$A))-'Price History'!I3)*(ROW()-3)/(MATCH(9.99E+307,'Returns (Calc)'!$A:$A)-3),"")</f>
        <v>207.714150943396</v>
      </c>
      <c r="AE143" s="111" t="n">
        <f aca="false">IFERROR('Price History'!J3+(INDEX('Price History'!J:J,MATCH(9.99E+307,'Price History'!$A:$A))-'Price History'!J3)*(ROW()-3)/(MATCH(9.99E+307,'Returns (Calc)'!$A:$A)-3),"")</f>
        <v>135.687358490566</v>
      </c>
      <c r="AF143" s="111" t="n">
        <f aca="false">IFERROR('Price History'!K3+(INDEX('Price History'!K:K,MATCH(9.99E+307,'Price History'!$A:$A))-'Price History'!K3)*(ROW()-3)/(MATCH(9.99E+307,'Returns (Calc)'!$A:$A)-3),"")</f>
        <v>155.339559748428</v>
      </c>
      <c r="AG143" s="111" t="n">
        <f aca="false">IFERROR('Price History'!L3+(INDEX('Price History'!L:L,MATCH(9.99E+307,'Price History'!$A:$A))-'Price History'!L3)*(ROW()-3)/(MATCH(9.99E+307,'Returns (Calc)'!$A:$A)-3),"")</f>
        <v>388.649119496855</v>
      </c>
      <c r="AH143" s="111" t="n">
        <f aca="false">IFERROR('Price History'!M3+(INDEX('Price History'!M:M,MATCH(9.99E+307,'Price History'!$A:$A))-'Price History'!M3)*(ROW()-3)/(MATCH(9.99E+307,'Returns (Calc)'!$A:$A)-3),"")</f>
        <v>251.011886792453</v>
      </c>
      <c r="AI143" s="111" t="n">
        <f aca="false">IFERROR('Price History'!N3+(INDEX('Price History'!N:N,MATCH(9.99E+307,'Price History'!$A:$A))-'Price History'!N3)*(ROW()-3)/(MATCH(9.99E+307,'Returns (Calc)'!$A:$A)-3),"")</f>
        <v>522.667547169811</v>
      </c>
      <c r="AJ143" s="111" t="n">
        <f aca="false">IFERROR('Price History'!O3+(INDEX('Price History'!O:O,MATCH(9.99E+307,'Price History'!$A:$A))-'Price History'!O3)*(ROW()-3)/(MATCH(9.99E+307,'Returns (Calc)'!$A:$A)-3),"")</f>
        <v>121.662578616352</v>
      </c>
      <c r="AK143" s="111" t="n">
        <f aca="false">IFERROR('Price History'!Q3+(INDEX('Price History'!Q:Q,MATCH(9.99E+307,'Price History'!$A:$A))-'Price History'!Q3)*(ROW()-3)/(MATCH(9.99E+307,'Returns (Calc)'!$A:$A)-3),"")</f>
        <v>67.3444025157233</v>
      </c>
      <c r="AL143" s="111" t="n">
        <f aca="false">IFERROR('Price History'!R3+(INDEX('Price History'!R:R,MATCH(9.99E+307,'Price History'!$A:$A))-'Price History'!R3)*(ROW()-3)/(MATCH(9.99E+307,'Returns (Calc)'!$A:$A)-3),"")</f>
        <v>58.4300628930818</v>
      </c>
      <c r="AM143" s="111" t="n">
        <f aca="false">IFERROR('Price History'!S3+(INDEX('Price History'!S:S,MATCH(9.99E+307,'Price History'!$A:$A))-'Price History'!S3)*(ROW()-3)/(MATCH(9.99E+307,'Returns (Calc)'!$A:$A)-3),"")</f>
        <v>138.82427672956</v>
      </c>
      <c r="AN143" s="111" t="n">
        <f aca="false">IFERROR('Price History'!T3+(INDEX('Price History'!T:T,MATCH(9.99E+307,'Price History'!$A:$A))-'Price History'!T3)*(ROW()-3)/(MATCH(9.99E+307,'Returns (Calc)'!$A:$A)-3),"")</f>
        <v>51.898679245283</v>
      </c>
      <c r="AO143" s="112" t="n">
        <f aca="false">IFERROR('Price History'!V3+(INDEX('Price History'!V:V,MATCH(9.99E+307,'Price History'!$A:$A))-'Price History'!V3)*(ROW()-3)/(MATCH(9.99E+307,'Returns (Calc)'!$A:$A)-3),"")</f>
        <v>330.250314465409</v>
      </c>
    </row>
    <row r="144" customFormat="false" ht="15" hidden="false" customHeight="true" outlineLevel="0" collapsed="false">
      <c r="A144" s="108" t="n">
        <f aca="false">IF('Price History'!A145="","",'Price History'!A145)</f>
        <v>46143</v>
      </c>
      <c r="B144" s="109" t="n">
        <f aca="false">IFERROR(IF(OR(NOT(ISNUMBER('Price History'!B145)),NOT(ISNUMBER('Price History'!B144)),'Price History'!B144=0),"",'Price History'!B145/'Price History'!B144-1),"")</f>
        <v>0.0214716427640156</v>
      </c>
      <c r="C144" s="109" t="n">
        <f aca="false">IFERROR(IF(OR(NOT(ISNUMBER('Price History'!C145)),NOT(ISNUMBER('Price History'!C144)),'Price History'!C144=0),"",'Price History'!C145/'Price History'!C144-1),"")</f>
        <v>-0.0237974111129954</v>
      </c>
      <c r="D144" s="109" t="n">
        <f aca="false">IFERROR(IF(OR(NOT(ISNUMBER('Price History'!D145)),NOT(ISNUMBER('Price History'!D144)),'Price History'!D144=0),"",'Price History'!D145/'Price History'!D144-1),"")</f>
        <v>-0.0210468546340126</v>
      </c>
      <c r="E144" s="109" t="n">
        <f aca="false">IFERROR(IF(OR(NOT(ISNUMBER('Price History'!E145)),NOT(ISNUMBER('Price History'!E144)),'Price History'!E144=0),"",'Price History'!E145/'Price History'!E144-1),"")</f>
        <v>-0.00350080423881172</v>
      </c>
      <c r="F144" s="109" t="n">
        <f aca="false">IFERROR(IF(OR(NOT(ISNUMBER('Price History'!F145)),NOT(ISNUMBER('Price History'!F144)),'Price History'!F144=0),"",'Price History'!F145/'Price History'!F144-1),"")</f>
        <v>0.0167812193162544</v>
      </c>
      <c r="G144" s="109" t="n">
        <f aca="false">IFERROR(IF(OR(NOT(ISNUMBER('Price History'!G145)),NOT(ISNUMBER('Price History'!G144)),'Price History'!G144=0),"",'Price History'!G145/'Price History'!G144-1),"")</f>
        <v>-0.107855297157623</v>
      </c>
      <c r="H144" s="109" t="n">
        <f aca="false">IFERROR(IF(OR(NOT(ISNUMBER('Price History'!H145)),NOT(ISNUMBER('Price History'!H144)),'Price History'!H144=0),"",'Price History'!H145/'Price History'!H144-1),"")</f>
        <v>0.0915807698502174</v>
      </c>
      <c r="I144" s="109" t="n">
        <f aca="false">IFERROR(IF(OR(NOT(ISNUMBER('Price History'!I145)),NOT(ISNUMBER('Price History'!I144)),'Price History'!I144=0),"",'Price History'!I145/'Price History'!I144-1),"")</f>
        <v>-0.0471503337014454</v>
      </c>
      <c r="J144" s="109" t="n">
        <f aca="false">IFERROR(IF(OR(NOT(ISNUMBER('Price History'!J145)),NOT(ISNUMBER('Price History'!J144)),'Price History'!J144=0),"",'Price History'!J145/'Price History'!J144-1),"")</f>
        <v>-0.00485573539760731</v>
      </c>
      <c r="K144" s="109" t="n">
        <f aca="false">IFERROR(IF(OR(NOT(ISNUMBER('Price History'!K145)),NOT(ISNUMBER('Price History'!K144)),'Price History'!K144=0),"",'Price History'!K145/'Price History'!K144-1),"")</f>
        <v>0.00684883639667344</v>
      </c>
      <c r="L144" s="109" t="n">
        <f aca="false">IFERROR(IF(OR(NOT(ISNUMBER('Price History'!L145)),NOT(ISNUMBER('Price History'!L144)),'Price History'!L144=0),"",'Price History'!L145/'Price History'!L144-1),"")</f>
        <v>-0.0119018039059782</v>
      </c>
      <c r="M144" s="109" t="n">
        <f aca="false">IFERROR(IF(OR(NOT(ISNUMBER('Price History'!M145)),NOT(ISNUMBER('Price History'!M144)),'Price History'!M144=0),"",'Price History'!M145/'Price History'!M144-1),"")</f>
        <v>0.01499412601249</v>
      </c>
      <c r="N144" s="109" t="n">
        <f aca="false">IFERROR(IF(OR(NOT(ISNUMBER('Price History'!N145)),NOT(ISNUMBER('Price History'!N144)),'Price History'!N144=0),"",'Price History'!N145/'Price History'!N144-1),"")</f>
        <v>-0.0148039694159753</v>
      </c>
      <c r="O144" s="109" t="n">
        <f aca="false">IFERROR(IF(OR(NOT(ISNUMBER('Price History'!O145)),NOT(ISNUMBER('Price History'!O144)),'Price History'!O144=0),"",'Price History'!O145/'Price History'!O144-1),"")</f>
        <v>0.00840618695359785</v>
      </c>
      <c r="P144" s="109" t="str">
        <f aca="false">IFERROR(IF(OR(NOT(ISNUMBER('Price History'!P145)),NOT(ISNUMBER('Price History'!P144)),'Price History'!P144=0),"",'Price History'!P145/'Price History'!P144-1),"")</f>
        <v/>
      </c>
      <c r="Q144" s="109" t="n">
        <f aca="false">IFERROR(IF(OR(NOT(ISNUMBER('Price History'!Q145)),NOT(ISNUMBER('Price History'!Q144)),'Price History'!Q144=0),"",'Price History'!Q145/'Price History'!Q144-1),"")</f>
        <v>0.00846325167037865</v>
      </c>
      <c r="R144" s="109" t="n">
        <f aca="false">IFERROR(IF(OR(NOT(ISNUMBER('Price History'!R145)),NOT(ISNUMBER('Price History'!R144)),'Price History'!R144=0),"",'Price History'!R145/'Price History'!R144-1),"")</f>
        <v>-0.00220376334972039</v>
      </c>
      <c r="S144" s="109" t="n">
        <f aca="false">IFERROR(IF(OR(NOT(ISNUMBER('Price History'!S145)),NOT(ISNUMBER('Price History'!S144)),'Price History'!S144=0),"",'Price History'!S145/'Price History'!S144-1),"")</f>
        <v>0.0220498783454985</v>
      </c>
      <c r="T144" s="109" t="n">
        <f aca="false">IFERROR(IF(OR(NOT(ISNUMBER('Price History'!T145)),NOT(ISNUMBER('Price History'!T144)),'Price History'!T144=0),"",'Price History'!T145/'Price History'!T144-1),"")</f>
        <v>0.0257707129094413</v>
      </c>
      <c r="U144" s="109" t="str">
        <f aca="false">IFERROR(IF(OR(NOT(ISNUMBER('Price History'!U145)),NOT(ISNUMBER('Price History'!U144)),'Price History'!U144=0),"",'Price History'!U145/'Price History'!U144-1),"")</f>
        <v/>
      </c>
      <c r="V144" s="110" t="n">
        <f aca="false">IFERROR(IF(OR(NOT(ISNUMBER('Price History'!V145)),NOT(ISNUMBER('Price History'!V144)),'Price History'!V144=0),"",'Price History'!V145/'Price History'!V144-1),"")</f>
        <v>0.0601213458356316</v>
      </c>
      <c r="W144" s="111" t="n">
        <f aca="false">IFERROR('Price History'!B3+(INDEX('Price History'!B:B,MATCH(9.99E+307,'Price History'!$A:$A))-'Price History'!B3)*(ROW()-3)/(MATCH(9.99E+307,'Returns (Calc)'!$A:$A)-3),"")</f>
        <v>293.899433962264</v>
      </c>
      <c r="X144" s="111" t="n">
        <f aca="false">IFERROR('Price History'!C3+(INDEX('Price History'!C:C,MATCH(9.99E+307,'Price History'!$A:$A))-'Price History'!C3)*(ROW()-3)/(MATCH(9.99E+307,'Returns (Calc)'!$A:$A)-3),"")</f>
        <v>176.794339622642</v>
      </c>
      <c r="Y144" s="111" t="n">
        <f aca="false">IFERROR('Price History'!D3+(INDEX('Price History'!D:D,MATCH(9.99E+307,'Price History'!$A:$A))-'Price History'!D3)*(ROW()-3)/(MATCH(9.99E+307,'Returns (Calc)'!$A:$A)-3),"")</f>
        <v>1595.66113207547</v>
      </c>
      <c r="Z144" s="111" t="n">
        <f aca="false">IFERROR('Price History'!E3+(INDEX('Price History'!E:E,MATCH(9.99E+307,'Price History'!$A:$A))-'Price History'!E3)*(ROW()-3)/(MATCH(9.99E+307,'Returns (Calc)'!$A:$A)-3),"")</f>
        <v>326.776981132075</v>
      </c>
      <c r="AA144" s="111" t="n">
        <f aca="false">IFERROR('Price History'!F3+(INDEX('Price History'!F:F,MATCH(9.99E+307,'Price History'!$A:$A))-'Price History'!F3)*(ROW()-3)/(MATCH(9.99E+307,'Returns (Calc)'!$A:$A)-3),"")</f>
        <v>193.170943396226</v>
      </c>
      <c r="AB144" s="111" t="n">
        <f aca="false">IFERROR('Price History'!G3+(INDEX('Price History'!G:G,MATCH(9.99E+307,'Price History'!$A:$A))-'Price History'!G3)*(ROW()-3)/(MATCH(9.99E+307,'Returns (Calc)'!$A:$A)-3),"")</f>
        <v>170.011320754717</v>
      </c>
      <c r="AC144" s="111" t="n">
        <f aca="false">IFERROR('Price History'!H3+(INDEX('Price History'!H:H,MATCH(9.99E+307,'Price History'!$A:$A))-'Price History'!H3)*(ROW()-3)/(MATCH(9.99E+307,'Returns (Calc)'!$A:$A)-3),"")</f>
        <v>908.791509433962</v>
      </c>
      <c r="AD144" s="111" t="n">
        <f aca="false">IFERROR('Price History'!I3+(INDEX('Price History'!I:I,MATCH(9.99E+307,'Price History'!$A:$A))-'Price History'!I3)*(ROW()-3)/(MATCH(9.99E+307,'Returns (Calc)'!$A:$A)-3),"")</f>
        <v>208.906037735849</v>
      </c>
      <c r="AE144" s="111" t="n">
        <f aca="false">IFERROR('Price History'!J3+(INDEX('Price History'!J:J,MATCH(9.99E+307,'Price History'!$A:$A))-'Price History'!J3)*(ROW()-3)/(MATCH(9.99E+307,'Returns (Calc)'!$A:$A)-3),"")</f>
        <v>135.774339622642</v>
      </c>
      <c r="AF144" s="111" t="n">
        <f aca="false">IFERROR('Price History'!K3+(INDEX('Price History'!K:K,MATCH(9.99E+307,'Price History'!$A:$A))-'Price History'!K3)*(ROW()-3)/(MATCH(9.99E+307,'Returns (Calc)'!$A:$A)-3),"")</f>
        <v>156.339056603774</v>
      </c>
      <c r="AG144" s="111" t="n">
        <f aca="false">IFERROR('Price History'!L3+(INDEX('Price History'!L:L,MATCH(9.99E+307,'Price History'!$A:$A))-'Price History'!L3)*(ROW()-3)/(MATCH(9.99E+307,'Returns (Calc)'!$A:$A)-3),"")</f>
        <v>390.768113207547</v>
      </c>
      <c r="AH144" s="111" t="n">
        <f aca="false">IFERROR('Price History'!M3+(INDEX('Price History'!M:M,MATCH(9.99E+307,'Price History'!$A:$A))-'Price History'!M3)*(ROW()-3)/(MATCH(9.99E+307,'Returns (Calc)'!$A:$A)-3),"")</f>
        <v>252.565471698113</v>
      </c>
      <c r="AI144" s="111" t="n">
        <f aca="false">IFERROR('Price History'!N3+(INDEX('Price History'!N:N,MATCH(9.99E+307,'Price History'!$A:$A))-'Price History'!N3)*(ROW()-3)/(MATCH(9.99E+307,'Returns (Calc)'!$A:$A)-3),"")</f>
        <v>523.901886792453</v>
      </c>
      <c r="AJ144" s="111" t="n">
        <f aca="false">IFERROR('Price History'!O3+(INDEX('Price History'!O:O,MATCH(9.99E+307,'Price History'!$A:$A))-'Price History'!O3)*(ROW()-3)/(MATCH(9.99E+307,'Returns (Calc)'!$A:$A)-3),"")</f>
        <v>121.939811320755</v>
      </c>
      <c r="AK144" s="111" t="n">
        <f aca="false">IFERROR('Price History'!Q3+(INDEX('Price History'!Q:Q,MATCH(9.99E+307,'Price History'!$A:$A))-'Price History'!Q3)*(ROW()-3)/(MATCH(9.99E+307,'Returns (Calc)'!$A:$A)-3),"")</f>
        <v>67.4694339622642</v>
      </c>
      <c r="AL144" s="111" t="n">
        <f aca="false">IFERROR('Price History'!R3+(INDEX('Price History'!R:R,MATCH(9.99E+307,'Price History'!$A:$A))-'Price History'!R3)*(ROW()-3)/(MATCH(9.99E+307,'Returns (Calc)'!$A:$A)-3),"")</f>
        <v>58.5058490566038</v>
      </c>
      <c r="AM144" s="111" t="n">
        <f aca="false">IFERROR('Price History'!S3+(INDEX('Price History'!S:S,MATCH(9.99E+307,'Price History'!$A:$A))-'Price History'!S3)*(ROW()-3)/(MATCH(9.99E+307,'Returns (Calc)'!$A:$A)-3),"")</f>
        <v>139.397735849057</v>
      </c>
      <c r="AN144" s="111" t="n">
        <f aca="false">IFERROR('Price History'!T3+(INDEX('Price History'!T:T,MATCH(9.99E+307,'Price History'!$A:$A))-'Price History'!T3)*(ROW()-3)/(MATCH(9.99E+307,'Returns (Calc)'!$A:$A)-3),"")</f>
        <v>52.0771698113208</v>
      </c>
      <c r="AO144" s="112" t="n">
        <f aca="false">IFERROR('Price History'!V3+(INDEX('Price History'!V:V,MATCH(9.99E+307,'Price History'!$A:$A))-'Price History'!V3)*(ROW()-3)/(MATCH(9.99E+307,'Returns (Calc)'!$A:$A)-3),"")</f>
        <v>332.609245283019</v>
      </c>
    </row>
    <row r="145" customFormat="false" ht="15" hidden="false" customHeight="true" outlineLevel="0" collapsed="false">
      <c r="A145" s="108" t="n">
        <f aca="false">IF('Price History'!A146="","",'Price History'!A146)</f>
        <v>46150</v>
      </c>
      <c r="B145" s="109" t="n">
        <f aca="false">IFERROR(IF(OR(NOT(ISNUMBER('Price History'!B146)),NOT(ISNUMBER('Price History'!B145)),'Price History'!B145=0),"",'Price History'!B146/'Price History'!B145-1),"")</f>
        <v>0.00929360615850983</v>
      </c>
      <c r="C145" s="109" t="n">
        <f aca="false">IFERROR(IF(OR(NOT(ISNUMBER('Price History'!C146)),NOT(ISNUMBER('Price History'!C145)),'Price History'!C145=0),"",'Price History'!C146/'Price History'!C145-1),"")</f>
        <v>-0.179096699478865</v>
      </c>
      <c r="D145" s="109" t="n">
        <f aca="false">IFERROR(IF(OR(NOT(ISNUMBER('Price History'!D146)),NOT(ISNUMBER('Price History'!D145)),'Price History'!D145=0),"",'Price History'!D146/'Price History'!D145-1),"")</f>
        <v>0.115625569368334</v>
      </c>
      <c r="E145" s="109" t="n">
        <f aca="false">IFERROR(IF(OR(NOT(ISNUMBER('Price History'!E146)),NOT(ISNUMBER('Price History'!E145)),'Price History'!E145=0),"",'Price History'!E146/'Price History'!E145-1),"")</f>
        <v>0.0206988226357767</v>
      </c>
      <c r="F145" s="109" t="n">
        <f aca="false">IFERROR(IF(OR(NOT(ISNUMBER('Price History'!F146)),NOT(ISNUMBER('Price History'!F145)),'Price History'!F145=0),"",'Price History'!F146/'Price History'!F145-1),"")</f>
        <v>0.158282854885436</v>
      </c>
      <c r="G145" s="109" t="n">
        <f aca="false">IFERROR(IF(OR(NOT(ISNUMBER('Price History'!G146)),NOT(ISNUMBER('Price History'!G145)),'Price History'!G145=0),"",'Price History'!G146/'Price History'!G145-1),"")</f>
        <v>0.0827781961420377</v>
      </c>
      <c r="H145" s="109" t="n">
        <f aca="false">IFERROR(IF(OR(NOT(ISNUMBER('Price History'!H146)),NOT(ISNUMBER('Price History'!H145)),'Price History'!H145=0),"",'Price History'!H146/'Price History'!H145-1),"")</f>
        <v>0.377344571291566</v>
      </c>
      <c r="I145" s="109" t="n">
        <f aca="false">IFERROR(IF(OR(NOT(ISNUMBER('Price History'!I146)),NOT(ISNUMBER('Price History'!I145)),'Price History'!I145=0),"",'Price History'!I146/'Price History'!I145-1),"")</f>
        <v>0.0844041320231797</v>
      </c>
      <c r="J145" s="109" t="n">
        <f aca="false">IFERROR(IF(OR(NOT(ISNUMBER('Price History'!J146)),NOT(ISNUMBER('Price History'!J145)),'Price History'!J145=0),"",'Price History'!J146/'Price History'!J145-1),"")</f>
        <v>0.0189519835938052</v>
      </c>
      <c r="K145" s="109" t="n">
        <f aca="false">IFERROR(IF(OR(NOT(ISNUMBER('Price History'!K146)),NOT(ISNUMBER('Price History'!K145)),'Price History'!K145=0),"",'Price History'!K146/'Price History'!K145-1),"")</f>
        <v>-0.0435205108627749</v>
      </c>
      <c r="L145" s="109" t="n">
        <f aca="false">IFERROR(IF(OR(NOT(ISNUMBER('Price History'!L146)),NOT(ISNUMBER('Price History'!L145)),'Price History'!L145=0),"",'Price History'!L146/'Price History'!L145-1),"")</f>
        <v>0.0352302160082481</v>
      </c>
      <c r="M145" s="109" t="n">
        <f aca="false">IFERROR(IF(OR(NOT(ISNUMBER('Price History'!M146)),NOT(ISNUMBER('Price History'!M145)),'Price History'!M145=0),"",'Price History'!M146/'Price History'!M145-1),"")</f>
        <v>0.0355152142791875</v>
      </c>
      <c r="N145" s="109" t="n">
        <f aca="false">IFERROR(IF(OR(NOT(ISNUMBER('Price History'!N146)),NOT(ISNUMBER('Price History'!N145)),'Price History'!N145=0),"",'Price History'!N146/'Price History'!N145-1),"")</f>
        <v>0.0139177203245895</v>
      </c>
      <c r="O145" s="109" t="n">
        <f aca="false">IFERROR(IF(OR(NOT(ISNUMBER('Price History'!O146)),NOT(ISNUMBER('Price History'!O145)),'Price History'!O145=0),"",'Price History'!O146/'Price History'!O145-1),"")</f>
        <v>-0.00100033344448136</v>
      </c>
      <c r="P145" s="109" t="str">
        <f aca="false">IFERROR(IF(OR(NOT(ISNUMBER('Price History'!P146)),NOT(ISNUMBER('Price History'!P145)),'Price History'!P145=0),"",'Price History'!P146/'Price History'!P145-1),"")</f>
        <v/>
      </c>
      <c r="Q145" s="109" t="n">
        <f aca="false">IFERROR(IF(OR(NOT(ISNUMBER('Price History'!Q146)),NOT(ISNUMBER('Price History'!Q145)),'Price History'!Q145=0),"",'Price History'!Q146/'Price History'!Q145-1),"")</f>
        <v>-0.0123674911660778</v>
      </c>
      <c r="R145" s="109" t="n">
        <f aca="false">IFERROR(IF(OR(NOT(ISNUMBER('Price History'!R146)),NOT(ISNUMBER('Price History'!R145)),'Price History'!R145=0),"",'Price History'!R146/'Price History'!R145-1),"")</f>
        <v>0.0127420998980632</v>
      </c>
      <c r="S145" s="109" t="n">
        <f aca="false">IFERROR(IF(OR(NOT(ISNUMBER('Price History'!S146)),NOT(ISNUMBER('Price History'!S145)),'Price History'!S145=0),"",'Price History'!S146/'Price History'!S145-1),"")</f>
        <v>0.0698556762386551</v>
      </c>
      <c r="T145" s="109" t="n">
        <f aca="false">IFERROR(IF(OR(NOT(ISNUMBER('Price History'!T146)),NOT(ISNUMBER('Price History'!T145)),'Price History'!T145=0),"",'Price History'!T146/'Price History'!T145-1),"")</f>
        <v>0.0241840807701337</v>
      </c>
      <c r="U145" s="109" t="str">
        <f aca="false">IFERROR(IF(OR(NOT(ISNUMBER('Price History'!U146)),NOT(ISNUMBER('Price History'!U145)),'Price History'!U145=0),"",'Price History'!U146/'Price History'!U145-1),"")</f>
        <v/>
      </c>
      <c r="V145" s="110" t="n">
        <f aca="false">IFERROR(IF(OR(NOT(ISNUMBER('Price History'!V146)),NOT(ISNUMBER('Price History'!V145)),'Price History'!V145=0),"",'Price History'!V146/'Price History'!V145-1),"")</f>
        <v>-0.0281569443594295</v>
      </c>
      <c r="W145" s="111" t="n">
        <f aca="false">IFERROR('Price History'!B3+(INDEX('Price History'!B:B,MATCH(9.99E+307,'Price History'!$A:$A))-'Price History'!B3)*(ROW()-3)/(MATCH(9.99E+307,'Returns (Calc)'!$A:$A)-3),"")</f>
        <v>292.377798742138</v>
      </c>
      <c r="X145" s="111" t="n">
        <f aca="false">IFERROR('Price History'!C3+(INDEX('Price History'!C:C,MATCH(9.99E+307,'Price History'!$A:$A))-'Price History'!C3)*(ROW()-3)/(MATCH(9.99E+307,'Returns (Calc)'!$A:$A)-3),"")</f>
        <v>177.737987421384</v>
      </c>
      <c r="Y145" s="111" t="n">
        <f aca="false">IFERROR('Price History'!D3+(INDEX('Price History'!D:D,MATCH(9.99E+307,'Price History'!$A:$A))-'Price History'!D3)*(ROW()-3)/(MATCH(9.99E+307,'Returns (Calc)'!$A:$A)-3),"")</f>
        <v>1602.28440251572</v>
      </c>
      <c r="Z145" s="111" t="n">
        <f aca="false">IFERROR('Price History'!E3+(INDEX('Price History'!E:E,MATCH(9.99E+307,'Price History'!$A:$A))-'Price History'!E3)*(ROW()-3)/(MATCH(9.99E+307,'Returns (Calc)'!$A:$A)-3),"")</f>
        <v>328.506037735849</v>
      </c>
      <c r="AA145" s="111" t="n">
        <f aca="false">IFERROR('Price History'!F3+(INDEX('Price History'!F:F,MATCH(9.99E+307,'Price History'!$A:$A))-'Price History'!F3)*(ROW()-3)/(MATCH(9.99E+307,'Returns (Calc)'!$A:$A)-3),"")</f>
        <v>194.278113207547</v>
      </c>
      <c r="AB145" s="111" t="n">
        <f aca="false">IFERROR('Price History'!G3+(INDEX('Price History'!G:G,MATCH(9.99E+307,'Price History'!$A:$A))-'Price History'!G3)*(ROW()-3)/(MATCH(9.99E+307,'Returns (Calc)'!$A:$A)-3),"")</f>
        <v>170.877358490566</v>
      </c>
      <c r="AC145" s="111" t="n">
        <f aca="false">IFERROR('Price History'!H3+(INDEX('Price History'!H:H,MATCH(9.99E+307,'Price History'!$A:$A))-'Price History'!H3)*(ROW()-3)/(MATCH(9.99E+307,'Returns (Calc)'!$A:$A)-3),"")</f>
        <v>914.780314465409</v>
      </c>
      <c r="AD145" s="111" t="n">
        <f aca="false">IFERROR('Price History'!I3+(INDEX('Price History'!I:I,MATCH(9.99E+307,'Price History'!$A:$A))-'Price History'!I3)*(ROW()-3)/(MATCH(9.99E+307,'Returns (Calc)'!$A:$A)-3),"")</f>
        <v>210.097924528302</v>
      </c>
      <c r="AE145" s="111" t="n">
        <f aca="false">IFERROR('Price History'!J3+(INDEX('Price History'!J:J,MATCH(9.99E+307,'Price History'!$A:$A))-'Price History'!J3)*(ROW()-3)/(MATCH(9.99E+307,'Returns (Calc)'!$A:$A)-3),"")</f>
        <v>135.861320754717</v>
      </c>
      <c r="AF145" s="111" t="n">
        <f aca="false">IFERROR('Price History'!K3+(INDEX('Price History'!K:K,MATCH(9.99E+307,'Price History'!$A:$A))-'Price History'!K3)*(ROW()-3)/(MATCH(9.99E+307,'Returns (Calc)'!$A:$A)-3),"")</f>
        <v>157.33855345912</v>
      </c>
      <c r="AG145" s="111" t="n">
        <f aca="false">IFERROR('Price History'!L3+(INDEX('Price History'!L:L,MATCH(9.99E+307,'Price History'!$A:$A))-'Price History'!L3)*(ROW()-3)/(MATCH(9.99E+307,'Returns (Calc)'!$A:$A)-3),"")</f>
        <v>392.887106918239</v>
      </c>
      <c r="AH145" s="111" t="n">
        <f aca="false">IFERROR('Price History'!M3+(INDEX('Price History'!M:M,MATCH(9.99E+307,'Price History'!$A:$A))-'Price History'!M3)*(ROW()-3)/(MATCH(9.99E+307,'Returns (Calc)'!$A:$A)-3),"")</f>
        <v>254.119056603774</v>
      </c>
      <c r="AI145" s="111" t="n">
        <f aca="false">IFERROR('Price History'!N3+(INDEX('Price History'!N:N,MATCH(9.99E+307,'Price History'!$A:$A))-'Price History'!N3)*(ROW()-3)/(MATCH(9.99E+307,'Returns (Calc)'!$A:$A)-3),"")</f>
        <v>525.136226415094</v>
      </c>
      <c r="AJ145" s="111" t="n">
        <f aca="false">IFERROR('Price History'!O3+(INDEX('Price History'!O:O,MATCH(9.99E+307,'Price History'!$A:$A))-'Price History'!O3)*(ROW()-3)/(MATCH(9.99E+307,'Returns (Calc)'!$A:$A)-3),"")</f>
        <v>122.217044025157</v>
      </c>
      <c r="AK145" s="111" t="n">
        <f aca="false">IFERROR('Price History'!Q3+(INDEX('Price History'!Q:Q,MATCH(9.99E+307,'Price History'!$A:$A))-'Price History'!Q3)*(ROW()-3)/(MATCH(9.99E+307,'Returns (Calc)'!$A:$A)-3),"")</f>
        <v>67.594465408805</v>
      </c>
      <c r="AL145" s="111" t="n">
        <f aca="false">IFERROR('Price History'!R3+(INDEX('Price History'!R:R,MATCH(9.99E+307,'Price History'!$A:$A))-'Price History'!R3)*(ROW()-3)/(MATCH(9.99E+307,'Returns (Calc)'!$A:$A)-3),"")</f>
        <v>58.5816352201258</v>
      </c>
      <c r="AM145" s="111" t="n">
        <f aca="false">IFERROR('Price History'!S3+(INDEX('Price History'!S:S,MATCH(9.99E+307,'Price History'!$A:$A))-'Price History'!S3)*(ROW()-3)/(MATCH(9.99E+307,'Returns (Calc)'!$A:$A)-3),"")</f>
        <v>139.971194968553</v>
      </c>
      <c r="AN145" s="111" t="n">
        <f aca="false">IFERROR('Price History'!T3+(INDEX('Price History'!T:T,MATCH(9.99E+307,'Price History'!$A:$A))-'Price History'!T3)*(ROW()-3)/(MATCH(9.99E+307,'Returns (Calc)'!$A:$A)-3),"")</f>
        <v>52.2556603773585</v>
      </c>
      <c r="AO145" s="112" t="n">
        <f aca="false">IFERROR('Price History'!V3+(INDEX('Price History'!V:V,MATCH(9.99E+307,'Price History'!$A:$A))-'Price History'!V3)*(ROW()-3)/(MATCH(9.99E+307,'Returns (Calc)'!$A:$A)-3),"")</f>
        <v>334.968176100629</v>
      </c>
    </row>
    <row r="146" customFormat="false" ht="15" hidden="false" customHeight="true" outlineLevel="0" collapsed="false">
      <c r="A146" s="108" t="n">
        <f aca="false">IF('Price History'!A147="","",'Price History'!A147)</f>
        <v>46157</v>
      </c>
      <c r="B146" s="109" t="n">
        <f aca="false">IFERROR(IF(OR(NOT(ISNUMBER('Price History'!B147)),NOT(ISNUMBER('Price History'!B146)),'Price History'!B146=0),"",'Price History'!B147/'Price History'!B146-1),"")</f>
        <v>-0.0214985773000316</v>
      </c>
      <c r="C146" s="109" t="n">
        <f aca="false">IFERROR(IF(OR(NOT(ISNUMBER('Price History'!C147)),NOT(ISNUMBER('Price History'!C146)),'Price History'!C146=0),"",'Price History'!C147/'Price History'!C146-1),"")</f>
        <v>0.00141073569866679</v>
      </c>
      <c r="D146" s="109" t="n">
        <f aca="false">IFERROR(IF(OR(NOT(ISNUMBER('Price History'!D147)),NOT(ISNUMBER('Price History'!D146)),'Price History'!D146=0),"",'Price History'!D147/'Price History'!D146-1),"")</f>
        <v>-0.0566638610067713</v>
      </c>
      <c r="E146" s="109" t="n">
        <f aca="false">IFERROR(IF(OR(NOT(ISNUMBER('Price History'!E147)),NOT(ISNUMBER('Price History'!E146)),'Price History'!E146=0),"",'Price History'!E147/'Price History'!E146-1),"")</f>
        <v>-0.0111860465116279</v>
      </c>
      <c r="F146" s="109" t="n">
        <f aca="false">IFERROR(IF(OR(NOT(ISNUMBER('Price History'!F147)),NOT(ISNUMBER('Price History'!F146)),'Price History'!F146=0),"",'Price History'!F147/'Price History'!F146-1),"")</f>
        <v>0.12566318023344</v>
      </c>
      <c r="G146" s="109" t="n">
        <f aca="false">IFERROR(IF(OR(NOT(ISNUMBER('Price History'!G147)),NOT(ISNUMBER('Price History'!G146)),'Price History'!G146=0),"",'Price History'!G147/'Price History'!G146-1),"")</f>
        <v>-0.0347207361438048</v>
      </c>
      <c r="H146" s="109" t="n">
        <f aca="false">IFERROR(IF(OR(NOT(ISNUMBER('Price History'!H147)),NOT(ISNUMBER('Price History'!H146)),'Price History'!H146=0),"",'Price History'!H147/'Price History'!H146-1),"")</f>
        <v>-0.0296594850095741</v>
      </c>
      <c r="I146" s="109" t="n">
        <f aca="false">IFERROR(IF(OR(NOT(ISNUMBER('Price History'!I147)),NOT(ISNUMBER('Price History'!I146)),'Price History'!I146=0),"",'Price History'!I147/'Price History'!I146-1),"")</f>
        <v>0.0470260223048327</v>
      </c>
      <c r="J146" s="109" t="n">
        <f aca="false">IFERROR(IF(OR(NOT(ISNUMBER('Price History'!J147)),NOT(ISNUMBER('Price History'!J146)),'Price History'!J146=0),"",'Price History'!J147/'Price History'!J146-1),"")</f>
        <v>-0.0247067804844194</v>
      </c>
      <c r="K146" s="109" t="n">
        <f aca="false">IFERROR(IF(OR(NOT(ISNUMBER('Price History'!K147)),NOT(ISNUMBER('Price History'!K146)),'Price History'!K146=0),"",'Price History'!K147/'Price History'!K146-1),"")</f>
        <v>-0.0276487663280116</v>
      </c>
      <c r="L146" s="109" t="n">
        <f aca="false">IFERROR(IF(OR(NOT(ISNUMBER('Price History'!L147)),NOT(ISNUMBER('Price History'!L146)),'Price History'!L146=0),"",'Price History'!L147/'Price History'!L146-1),"")</f>
        <v>-0.0178050913330742</v>
      </c>
      <c r="M146" s="109" t="n">
        <f aca="false">IFERROR(IF(OR(NOT(ISNUMBER('Price History'!M147)),NOT(ISNUMBER('Price History'!M146)),'Price History'!M146=0),"",'Price History'!M147/'Price History'!M146-1),"")</f>
        <v>0.0910962732005765</v>
      </c>
      <c r="N146" s="109" t="n">
        <f aca="false">IFERROR(IF(OR(NOT(ISNUMBER('Price History'!N147)),NOT(ISNUMBER('Price History'!N146)),'Price History'!N146=0),"",'Price History'!N147/'Price History'!N146-1),"")</f>
        <v>0.0165883393048252</v>
      </c>
      <c r="O146" s="109" t="n">
        <f aca="false">IFERROR(IF(OR(NOT(ISNUMBER('Price History'!O147)),NOT(ISNUMBER('Price History'!O146)),'Price History'!O146=0),"",'Price History'!O147/'Price History'!O146-1),"")</f>
        <v>-0.0216121495327103</v>
      </c>
      <c r="P146" s="109" t="str">
        <f aca="false">IFERROR(IF(OR(NOT(ISNUMBER('Price History'!P147)),NOT(ISNUMBER('Price History'!P146)),'Price History'!P146=0),"",'Price History'!P147/'Price History'!P146-1),"")</f>
        <v/>
      </c>
      <c r="Q146" s="109" t="n">
        <f aca="false">IFERROR(IF(OR(NOT(ISNUMBER('Price History'!Q147)),NOT(ISNUMBER('Price History'!Q146)),'Price History'!Q146=0),"",'Price History'!Q147/'Price History'!Q146-1),"")</f>
        <v>0.00760286225402518</v>
      </c>
      <c r="R146" s="109" t="n">
        <f aca="false">IFERROR(IF(OR(NOT(ISNUMBER('Price History'!R147)),NOT(ISNUMBER('Price History'!R146)),'Price History'!R146=0),"",'Price History'!R147/'Price History'!R146-1),"")</f>
        <v>0.00268411340379138</v>
      </c>
      <c r="S146" s="109" t="n">
        <f aca="false">IFERROR(IF(OR(NOT(ISNUMBER('Price History'!S147)),NOT(ISNUMBER('Price History'!S146)),'Price History'!S146=0),"",'Price History'!S147/'Price History'!S146-1),"")</f>
        <v>-0.00229469438842922</v>
      </c>
      <c r="T146" s="109" t="n">
        <f aca="false">IFERROR(IF(OR(NOT(ISNUMBER('Price History'!T147)),NOT(ISNUMBER('Price History'!T146)),'Price History'!T146=0),"",'Price History'!T147/'Price History'!T146-1),"")</f>
        <v>-0.0256762952773957</v>
      </c>
      <c r="U146" s="109" t="str">
        <f aca="false">IFERROR(IF(OR(NOT(ISNUMBER('Price History'!U147)),NOT(ISNUMBER('Price History'!U146)),'Price History'!U146=0),"",'Price History'!U147/'Price History'!U146-1),"")</f>
        <v/>
      </c>
      <c r="V146" s="110" t="n">
        <f aca="false">IFERROR(IF(OR(NOT(ISNUMBER('Price History'!V147)),NOT(ISNUMBER('Price History'!V146)),'Price History'!V146=0),"",'Price History'!V147/'Price History'!V146-1),"")</f>
        <v>0.0239654846633495</v>
      </c>
      <c r="W146" s="111" t="n">
        <f aca="false">IFERROR('Price History'!B3+(INDEX('Price History'!B:B,MATCH(9.99E+307,'Price History'!$A:$A))-'Price History'!B3)*(ROW()-3)/(MATCH(9.99E+307,'Returns (Calc)'!$A:$A)-3),"")</f>
        <v>290.856163522013</v>
      </c>
      <c r="X146" s="111" t="n">
        <f aca="false">IFERROR('Price History'!C3+(INDEX('Price History'!C:C,MATCH(9.99E+307,'Price History'!$A:$A))-'Price History'!C3)*(ROW()-3)/(MATCH(9.99E+307,'Returns (Calc)'!$A:$A)-3),"")</f>
        <v>178.681635220126</v>
      </c>
      <c r="Y146" s="111" t="n">
        <f aca="false">IFERROR('Price History'!D3+(INDEX('Price History'!D:D,MATCH(9.99E+307,'Price History'!$A:$A))-'Price History'!D3)*(ROW()-3)/(MATCH(9.99E+307,'Returns (Calc)'!$A:$A)-3),"")</f>
        <v>1608.90767295598</v>
      </c>
      <c r="Z146" s="111" t="n">
        <f aca="false">IFERROR('Price History'!E3+(INDEX('Price History'!E:E,MATCH(9.99E+307,'Price History'!$A:$A))-'Price History'!E3)*(ROW()-3)/(MATCH(9.99E+307,'Returns (Calc)'!$A:$A)-3),"")</f>
        <v>330.235094339623</v>
      </c>
      <c r="AA146" s="111" t="n">
        <f aca="false">IFERROR('Price History'!F3+(INDEX('Price History'!F:F,MATCH(9.99E+307,'Price History'!$A:$A))-'Price History'!F3)*(ROW()-3)/(MATCH(9.99E+307,'Returns (Calc)'!$A:$A)-3),"")</f>
        <v>195.385283018868</v>
      </c>
      <c r="AB146" s="111" t="n">
        <f aca="false">IFERROR('Price History'!G3+(INDEX('Price History'!G:G,MATCH(9.99E+307,'Price History'!$A:$A))-'Price History'!G3)*(ROW()-3)/(MATCH(9.99E+307,'Returns (Calc)'!$A:$A)-3),"")</f>
        <v>171.743396226415</v>
      </c>
      <c r="AC146" s="111" t="n">
        <f aca="false">IFERROR('Price History'!H3+(INDEX('Price History'!H:H,MATCH(9.99E+307,'Price History'!$A:$A))-'Price History'!H3)*(ROW()-3)/(MATCH(9.99E+307,'Returns (Calc)'!$A:$A)-3),"")</f>
        <v>920.769119496855</v>
      </c>
      <c r="AD146" s="111" t="n">
        <f aca="false">IFERROR('Price History'!I3+(INDEX('Price History'!I:I,MATCH(9.99E+307,'Price History'!$A:$A))-'Price History'!I3)*(ROW()-3)/(MATCH(9.99E+307,'Returns (Calc)'!$A:$A)-3),"")</f>
        <v>211.289811320755</v>
      </c>
      <c r="AE146" s="111" t="n">
        <f aca="false">IFERROR('Price History'!J3+(INDEX('Price History'!J:J,MATCH(9.99E+307,'Price History'!$A:$A))-'Price History'!J3)*(ROW()-3)/(MATCH(9.99E+307,'Returns (Calc)'!$A:$A)-3),"")</f>
        <v>135.948301886792</v>
      </c>
      <c r="AF146" s="111" t="n">
        <f aca="false">IFERROR('Price History'!K3+(INDEX('Price History'!K:K,MATCH(9.99E+307,'Price History'!$A:$A))-'Price History'!K3)*(ROW()-3)/(MATCH(9.99E+307,'Returns (Calc)'!$A:$A)-3),"")</f>
        <v>158.338050314465</v>
      </c>
      <c r="AG146" s="111" t="n">
        <f aca="false">IFERROR('Price History'!L3+(INDEX('Price History'!L:L,MATCH(9.99E+307,'Price History'!$A:$A))-'Price History'!L3)*(ROW()-3)/(MATCH(9.99E+307,'Returns (Calc)'!$A:$A)-3),"")</f>
        <v>395.006100628931</v>
      </c>
      <c r="AH146" s="111" t="n">
        <f aca="false">IFERROR('Price History'!M3+(INDEX('Price History'!M:M,MATCH(9.99E+307,'Price History'!$A:$A))-'Price History'!M3)*(ROW()-3)/(MATCH(9.99E+307,'Returns (Calc)'!$A:$A)-3),"")</f>
        <v>255.672641509434</v>
      </c>
      <c r="AI146" s="111" t="n">
        <f aca="false">IFERROR('Price History'!N3+(INDEX('Price History'!N:N,MATCH(9.99E+307,'Price History'!$A:$A))-'Price History'!N3)*(ROW()-3)/(MATCH(9.99E+307,'Returns (Calc)'!$A:$A)-3),"")</f>
        <v>526.370566037736</v>
      </c>
      <c r="AJ146" s="111" t="n">
        <f aca="false">IFERROR('Price History'!O3+(INDEX('Price History'!O:O,MATCH(9.99E+307,'Price History'!$A:$A))-'Price History'!O3)*(ROW()-3)/(MATCH(9.99E+307,'Returns (Calc)'!$A:$A)-3),"")</f>
        <v>122.49427672956</v>
      </c>
      <c r="AK146" s="111" t="n">
        <f aca="false">IFERROR('Price History'!Q3+(INDEX('Price History'!Q:Q,MATCH(9.99E+307,'Price History'!$A:$A))-'Price History'!Q3)*(ROW()-3)/(MATCH(9.99E+307,'Returns (Calc)'!$A:$A)-3),"")</f>
        <v>67.7194968553459</v>
      </c>
      <c r="AL146" s="111" t="n">
        <f aca="false">IFERROR('Price History'!R3+(INDEX('Price History'!R:R,MATCH(9.99E+307,'Price History'!$A:$A))-'Price History'!R3)*(ROW()-3)/(MATCH(9.99E+307,'Returns (Calc)'!$A:$A)-3),"")</f>
        <v>58.6574213836478</v>
      </c>
      <c r="AM146" s="111" t="n">
        <f aca="false">IFERROR('Price History'!S3+(INDEX('Price History'!S:S,MATCH(9.99E+307,'Price History'!$A:$A))-'Price History'!S3)*(ROW()-3)/(MATCH(9.99E+307,'Returns (Calc)'!$A:$A)-3),"")</f>
        <v>140.54465408805</v>
      </c>
      <c r="AN146" s="111" t="n">
        <f aca="false">IFERROR('Price History'!T3+(INDEX('Price History'!T:T,MATCH(9.99E+307,'Price History'!$A:$A))-'Price History'!T3)*(ROW()-3)/(MATCH(9.99E+307,'Returns (Calc)'!$A:$A)-3),"")</f>
        <v>52.4341509433962</v>
      </c>
      <c r="AO146" s="112" t="n">
        <f aca="false">IFERROR('Price History'!V3+(INDEX('Price History'!V:V,MATCH(9.99E+307,'Price History'!$A:$A))-'Price History'!V3)*(ROW()-3)/(MATCH(9.99E+307,'Returns (Calc)'!$A:$A)-3),"")</f>
        <v>337.327106918239</v>
      </c>
    </row>
    <row r="147" customFormat="false" ht="15" hidden="false" customHeight="true" outlineLevel="0" collapsed="false">
      <c r="A147" s="108" t="n">
        <f aca="false">IF('Price History'!A148="","",'Price History'!A148)</f>
        <v>46164</v>
      </c>
      <c r="B147" s="109" t="n">
        <f aca="false">IFERROR(IF(OR(NOT(ISNUMBER('Price History'!B148)),NOT(ISNUMBER('Price History'!B147)),'Price History'!B147=0),"",'Price History'!B148/'Price History'!B147-1),"")</f>
        <v>-0.011470113085622</v>
      </c>
      <c r="C147" s="109" t="n">
        <f aca="false">IFERROR(IF(OR(NOT(ISNUMBER('Price History'!C148)),NOT(ISNUMBER('Price History'!C147)),'Price History'!C147=0),"",'Price History'!C148/'Price History'!C147-1),"")</f>
        <v>0.0849475241248152</v>
      </c>
      <c r="D147" s="109" t="n">
        <f aca="false">IFERROR(IF(OR(NOT(ISNUMBER('Price History'!D148)),NOT(ISNUMBER('Price History'!D147)),'Price History'!D147=0),"",'Price History'!D148/'Price History'!D147-1),"")</f>
        <v>0.0872880058063272</v>
      </c>
      <c r="E147" s="109" t="n">
        <f aca="false">IFERROR(IF(OR(NOT(ISNUMBER('Price History'!E148)),NOT(ISNUMBER('Price History'!E147)),'Price History'!E147=0),"",'Price History'!E148/'Price History'!E147-1),"")</f>
        <v>-0.0259883816646675</v>
      </c>
      <c r="F147" s="109" t="n">
        <f aca="false">IFERROR(IF(OR(NOT(ISNUMBER('Price History'!F148)),NOT(ISNUMBER('Price History'!F147)),'Price History'!F147=0),"",'Price History'!F148/'Price History'!F147-1),"")</f>
        <v>0.116819283598169</v>
      </c>
      <c r="G147" s="109" t="n">
        <f aca="false">IFERROR(IF(OR(NOT(ISNUMBER('Price History'!G148)),NOT(ISNUMBER('Price History'!G147)),'Price History'!G147=0),"",'Price History'!G148/'Price History'!G147-1),"")</f>
        <v>0.0466108740231668</v>
      </c>
      <c r="H147" s="109" t="n">
        <f aca="false">IFERROR(IF(OR(NOT(ISNUMBER('Price History'!H148)),NOT(ISNUMBER('Price History'!H147)),'Price History'!H147=0),"",'Price History'!H148/'Price History'!H147-1),"")</f>
        <v>0.0363480804791212</v>
      </c>
      <c r="I147" s="109" t="n">
        <f aca="false">IFERROR(IF(OR(NOT(ISNUMBER('Price History'!I148)),NOT(ISNUMBER('Price History'!I147)),'Price History'!I147=0),"",'Price History'!I148/'Price History'!I147-1),"")</f>
        <v>-0.0443369430143795</v>
      </c>
      <c r="J147" s="109" t="n">
        <f aca="false">IFERROR(IF(OR(NOT(ISNUMBER('Price History'!J148)),NOT(ISNUMBER('Price History'!J147)),'Price History'!J147=0),"",'Price History'!J148/'Price History'!J147-1),"")</f>
        <v>0.0382124813207145</v>
      </c>
      <c r="K147" s="109" t="n">
        <f aca="false">IFERROR(IF(OR(NOT(ISNUMBER('Price History'!K148)),NOT(ISNUMBER('Price History'!K147)),'Price History'!K147=0),"",'Price History'!K148/'Price History'!K147-1),"")</f>
        <v>0.0215687737890886</v>
      </c>
      <c r="L147" s="109" t="n">
        <f aca="false">IFERROR(IF(OR(NOT(ISNUMBER('Price History'!L148)),NOT(ISNUMBER('Price History'!L147)),'Price History'!L147=0),"",'Price History'!L148/'Price History'!L147-1),"")</f>
        <v>0.000420427847162008</v>
      </c>
      <c r="M147" s="109" t="n">
        <f aca="false">IFERROR(IF(OR(NOT(ISNUMBER('Price History'!M148)),NOT(ISNUMBER('Price History'!M147)),'Price History'!M147=0),"",'Price History'!M148/'Price History'!M147-1),"")</f>
        <v>-0.117215722219227</v>
      </c>
      <c r="N147" s="109" t="n">
        <f aca="false">IFERROR(IF(OR(NOT(ISNUMBER('Price History'!N148)),NOT(ISNUMBER('Price History'!N147)),'Price History'!N147=0),"",'Price History'!N148/'Price History'!N147-1),"")</f>
        <v>-0.00556127703398557</v>
      </c>
      <c r="O147" s="109" t="n">
        <f aca="false">IFERROR(IF(OR(NOT(ISNUMBER('Price History'!O148)),NOT(ISNUMBER('Price History'!O147)),'Price History'!O147=0),"",'Price History'!O148/'Price History'!O147-1),"")</f>
        <v>0.0237100213219617</v>
      </c>
      <c r="P147" s="109" t="str">
        <f aca="false">IFERROR(IF(OR(NOT(ISNUMBER('Price History'!P148)),NOT(ISNUMBER('Price History'!P147)),'Price History'!P147=0),"",'Price History'!P148/'Price History'!P147-1),"")</f>
        <v/>
      </c>
      <c r="Q147" s="109" t="n">
        <f aca="false">IFERROR(IF(OR(NOT(ISNUMBER('Price History'!Q148)),NOT(ISNUMBER('Price History'!Q147)),'Price History'!Q147=0),"",'Price History'!Q148/'Price History'!Q147-1),"")</f>
        <v>0.0109483651427724</v>
      </c>
      <c r="R147" s="109" t="n">
        <f aca="false">IFERROR(IF(OR(NOT(ISNUMBER('Price History'!R148)),NOT(ISNUMBER('Price History'!R147)),'Price History'!R147=0),"",'Price History'!R148/'Price History'!R147-1),"")</f>
        <v>0.00736155261837035</v>
      </c>
      <c r="S147" s="109" t="n">
        <f aca="false">IFERROR(IF(OR(NOT(ISNUMBER('Price History'!S148)),NOT(ISNUMBER('Price History'!S147)),'Price History'!S147=0),"",'Price History'!S148/'Price History'!S147-1),"")</f>
        <v>0.0101756342347366</v>
      </c>
      <c r="T147" s="109" t="n">
        <f aca="false">IFERROR(IF(OR(NOT(ISNUMBER('Price History'!T148)),NOT(ISNUMBER('Price History'!T147)),'Price History'!T147=0),"",'Price History'!T148/'Price History'!T147-1),"")</f>
        <v>0.0395294117647058</v>
      </c>
      <c r="U147" s="109" t="str">
        <f aca="false">IFERROR(IF(OR(NOT(ISNUMBER('Price History'!U148)),NOT(ISNUMBER('Price History'!U147)),'Price History'!U147=0),"",'Price History'!U148/'Price History'!U147-1),"")</f>
        <v/>
      </c>
      <c r="V147" s="110" t="n">
        <f aca="false">IFERROR(IF(OR(NOT(ISNUMBER('Price History'!V148)),NOT(ISNUMBER('Price History'!V147)),'Price History'!V147=0),"",'Price History'!V148/'Price History'!V147-1),"")</f>
        <v>0.00959557127479616</v>
      </c>
      <c r="W147" s="111" t="n">
        <f aca="false">IFERROR('Price History'!B3+(INDEX('Price History'!B:B,MATCH(9.99E+307,'Price History'!$A:$A))-'Price History'!B3)*(ROW()-3)/(MATCH(9.99E+307,'Returns (Calc)'!$A:$A)-3),"")</f>
        <v>289.334528301887</v>
      </c>
      <c r="X147" s="111" t="n">
        <f aca="false">IFERROR('Price History'!C3+(INDEX('Price History'!C:C,MATCH(9.99E+307,'Price History'!$A:$A))-'Price History'!C3)*(ROW()-3)/(MATCH(9.99E+307,'Returns (Calc)'!$A:$A)-3),"")</f>
        <v>179.625283018868</v>
      </c>
      <c r="Y147" s="111" t="n">
        <f aca="false">IFERROR('Price History'!D3+(INDEX('Price History'!D:D,MATCH(9.99E+307,'Price History'!$A:$A))-'Price History'!D3)*(ROW()-3)/(MATCH(9.99E+307,'Returns (Calc)'!$A:$A)-3),"")</f>
        <v>1615.53094339623</v>
      </c>
      <c r="Z147" s="111" t="n">
        <f aca="false">IFERROR('Price History'!E3+(INDEX('Price History'!E:E,MATCH(9.99E+307,'Price History'!$A:$A))-'Price History'!E3)*(ROW()-3)/(MATCH(9.99E+307,'Returns (Calc)'!$A:$A)-3),"")</f>
        <v>331.964150943396</v>
      </c>
      <c r="AA147" s="111" t="n">
        <f aca="false">IFERROR('Price History'!F3+(INDEX('Price History'!F:F,MATCH(9.99E+307,'Price History'!$A:$A))-'Price History'!F3)*(ROW()-3)/(MATCH(9.99E+307,'Returns (Calc)'!$A:$A)-3),"")</f>
        <v>196.492452830189</v>
      </c>
      <c r="AB147" s="111" t="n">
        <f aca="false">IFERROR('Price History'!G3+(INDEX('Price History'!G:G,MATCH(9.99E+307,'Price History'!$A:$A))-'Price History'!G3)*(ROW()-3)/(MATCH(9.99E+307,'Returns (Calc)'!$A:$A)-3),"")</f>
        <v>172.609433962264</v>
      </c>
      <c r="AC147" s="111" t="n">
        <f aca="false">IFERROR('Price History'!H3+(INDEX('Price History'!H:H,MATCH(9.99E+307,'Price History'!$A:$A))-'Price History'!H3)*(ROW()-3)/(MATCH(9.99E+307,'Returns (Calc)'!$A:$A)-3),"")</f>
        <v>926.757924528302</v>
      </c>
      <c r="AD147" s="111" t="n">
        <f aca="false">IFERROR('Price History'!I3+(INDEX('Price History'!I:I,MATCH(9.99E+307,'Price History'!$A:$A))-'Price History'!I3)*(ROW()-3)/(MATCH(9.99E+307,'Returns (Calc)'!$A:$A)-3),"")</f>
        <v>212.481698113208</v>
      </c>
      <c r="AE147" s="111" t="n">
        <f aca="false">IFERROR('Price History'!J3+(INDEX('Price History'!J:J,MATCH(9.99E+307,'Price History'!$A:$A))-'Price History'!J3)*(ROW()-3)/(MATCH(9.99E+307,'Returns (Calc)'!$A:$A)-3),"")</f>
        <v>136.035283018868</v>
      </c>
      <c r="AF147" s="111" t="n">
        <f aca="false">IFERROR('Price History'!K3+(INDEX('Price History'!K:K,MATCH(9.99E+307,'Price History'!$A:$A))-'Price History'!K3)*(ROW()-3)/(MATCH(9.99E+307,'Returns (Calc)'!$A:$A)-3),"")</f>
        <v>159.337547169811</v>
      </c>
      <c r="AG147" s="111" t="n">
        <f aca="false">IFERROR('Price History'!L3+(INDEX('Price History'!L:L,MATCH(9.99E+307,'Price History'!$A:$A))-'Price History'!L3)*(ROW()-3)/(MATCH(9.99E+307,'Returns (Calc)'!$A:$A)-3),"")</f>
        <v>397.125094339623</v>
      </c>
      <c r="AH147" s="111" t="n">
        <f aca="false">IFERROR('Price History'!M3+(INDEX('Price History'!M:M,MATCH(9.99E+307,'Price History'!$A:$A))-'Price History'!M3)*(ROW()-3)/(MATCH(9.99E+307,'Returns (Calc)'!$A:$A)-3),"")</f>
        <v>257.226226415094</v>
      </c>
      <c r="AI147" s="111" t="n">
        <f aca="false">IFERROR('Price History'!N3+(INDEX('Price History'!N:N,MATCH(9.99E+307,'Price History'!$A:$A))-'Price History'!N3)*(ROW()-3)/(MATCH(9.99E+307,'Returns (Calc)'!$A:$A)-3),"")</f>
        <v>527.604905660377</v>
      </c>
      <c r="AJ147" s="111" t="n">
        <f aca="false">IFERROR('Price History'!O3+(INDEX('Price History'!O:O,MATCH(9.99E+307,'Price History'!$A:$A))-'Price History'!O3)*(ROW()-3)/(MATCH(9.99E+307,'Returns (Calc)'!$A:$A)-3),"")</f>
        <v>122.771509433962</v>
      </c>
      <c r="AK147" s="111" t="n">
        <f aca="false">IFERROR('Price History'!Q3+(INDEX('Price History'!Q:Q,MATCH(9.99E+307,'Price History'!$A:$A))-'Price History'!Q3)*(ROW()-3)/(MATCH(9.99E+307,'Returns (Calc)'!$A:$A)-3),"")</f>
        <v>67.8445283018868</v>
      </c>
      <c r="AL147" s="111" t="n">
        <f aca="false">IFERROR('Price History'!R3+(INDEX('Price History'!R:R,MATCH(9.99E+307,'Price History'!$A:$A))-'Price History'!R3)*(ROW()-3)/(MATCH(9.99E+307,'Returns (Calc)'!$A:$A)-3),"")</f>
        <v>58.7332075471698</v>
      </c>
      <c r="AM147" s="111" t="n">
        <f aca="false">IFERROR('Price History'!S3+(INDEX('Price History'!S:S,MATCH(9.99E+307,'Price History'!$A:$A))-'Price History'!S3)*(ROW()-3)/(MATCH(9.99E+307,'Returns (Calc)'!$A:$A)-3),"")</f>
        <v>141.118113207547</v>
      </c>
      <c r="AN147" s="111" t="n">
        <f aca="false">IFERROR('Price History'!T3+(INDEX('Price History'!T:T,MATCH(9.99E+307,'Price History'!$A:$A))-'Price History'!T3)*(ROW()-3)/(MATCH(9.99E+307,'Returns (Calc)'!$A:$A)-3),"")</f>
        <v>52.612641509434</v>
      </c>
      <c r="AO147" s="112" t="n">
        <f aca="false">IFERROR('Price History'!V3+(INDEX('Price History'!V:V,MATCH(9.99E+307,'Price History'!$A:$A))-'Price History'!V3)*(ROW()-3)/(MATCH(9.99E+307,'Returns (Calc)'!$A:$A)-3),"")</f>
        <v>339.686037735849</v>
      </c>
    </row>
    <row r="148" customFormat="false" ht="15" hidden="false" customHeight="true" outlineLevel="0" collapsed="false">
      <c r="A148" s="108" t="n">
        <f aca="false">IF('Price History'!A149="","",'Price History'!A149)</f>
        <v>46171</v>
      </c>
      <c r="B148" s="109" t="n">
        <f aca="false">IFERROR(IF(OR(NOT(ISNUMBER('Price History'!B149)),NOT(ISNUMBER('Price History'!B148)),'Price History'!B148=0),"",'Price History'!B149/'Price History'!B148-1),"")</f>
        <v>0.0590374244157541</v>
      </c>
      <c r="C148" s="109" t="n">
        <f aca="false">IFERROR(IF(OR(NOT(ISNUMBER('Price History'!C149)),NOT(ISNUMBER('Price History'!C148)),'Price History'!C148=0),"",'Price History'!C149/'Price History'!C148-1),"")</f>
        <v>0.0353177952346946</v>
      </c>
      <c r="D148" s="109" t="n">
        <f aca="false">IFERROR(IF(OR(NOT(ISNUMBER('Price History'!D149)),NOT(ISNUMBER('Price History'!D148)),'Price History'!D148=0),"",'Price History'!D149/'Price History'!D148-1),"")</f>
        <v>-0.0123338844999694</v>
      </c>
      <c r="E148" s="109" t="n">
        <f aca="false">IFERROR(IF(OR(NOT(ISNUMBER('Price History'!E149)),NOT(ISNUMBER('Price History'!E148)),'Price History'!E148=0),"",'Price History'!E149/'Price History'!E148-1),"")</f>
        <v>0.0787897812333993</v>
      </c>
      <c r="F148" s="109" t="n">
        <f aca="false">IFERROR(IF(OR(NOT(ISNUMBER('Price History'!F149)),NOT(ISNUMBER('Price History'!F148)),'Price History'!F148=0),"",'Price History'!F149/'Price History'!F148-1),"")</f>
        <v>0.10176644360041</v>
      </c>
      <c r="G148" s="109" t="n">
        <f aca="false">IFERROR(IF(OR(NOT(ISNUMBER('Price History'!G149)),NOT(ISNUMBER('Price History'!G148)),'Price History'!G148=0),"",'Price History'!G149/'Price History'!G148-1),"")</f>
        <v>0.0176339758525734</v>
      </c>
      <c r="H148" s="109" t="n">
        <f aca="false">IFERROR(IF(OR(NOT(ISNUMBER('Price History'!H149)),NOT(ISNUMBER('Price History'!H148)),'Price History'!H148=0),"",'Price History'!H149/'Price History'!H148-1),"")</f>
        <v>0.292942743009321</v>
      </c>
      <c r="I148" s="109" t="n">
        <f aca="false">IFERROR(IF(OR(NOT(ISNUMBER('Price History'!I149)),NOT(ISNUMBER('Price History'!I148)),'Price History'!I148=0),"",'Price History'!I149/'Price History'!I148-1),"")</f>
        <v>-0.0194585055496216</v>
      </c>
      <c r="J148" s="109" t="n">
        <f aca="false">IFERROR(IF(OR(NOT(ISNUMBER('Price History'!J149)),NOT(ISNUMBER('Price History'!J148)),'Price History'!J148=0),"",'Price History'!J149/'Price History'!J148-1),"")</f>
        <v>-0.0166552433173407</v>
      </c>
      <c r="K148" s="109" t="n">
        <f aca="false">IFERROR(IF(OR(NOT(ISNUMBER('Price History'!K149)),NOT(ISNUMBER('Price History'!K148)),'Price History'!K148=0),"",'Price History'!K149/'Price History'!K148-1),"")</f>
        <v>0.143629456458211</v>
      </c>
      <c r="L148" s="109" t="n">
        <f aca="false">IFERROR(IF(OR(NOT(ISNUMBER('Price History'!L149)),NOT(ISNUMBER('Price History'!L148)),'Price History'!L148=0),"",'Price History'!L149/'Price History'!L148-1),"")</f>
        <v>0.0344358746168298</v>
      </c>
      <c r="M148" s="109" t="n">
        <f aca="false">IFERROR(IF(OR(NOT(ISNUMBER('Price History'!M149)),NOT(ISNUMBER('Price History'!M148)),'Price History'!M148=0),"",'Price History'!M149/'Price History'!M148-1),"")</f>
        <v>-0.0358822451597142</v>
      </c>
      <c r="N148" s="109" t="n">
        <f aca="false">IFERROR(IF(OR(NOT(ISNUMBER('Price History'!N149)),NOT(ISNUMBER('Price History'!N148)),'Price History'!N148=0),"",'Price History'!N149/'Price History'!N148-1),"")</f>
        <v>0.0299640983153826</v>
      </c>
      <c r="O148" s="109" t="n">
        <f aca="false">IFERROR(IF(OR(NOT(ISNUMBER('Price History'!O149)),NOT(ISNUMBER('Price History'!O148)),'Price History'!O148=0),"",'Price History'!O149/'Price History'!O148-1),"")</f>
        <v>0.000166625010413979</v>
      </c>
      <c r="P148" s="109" t="str">
        <f aca="false">IFERROR(IF(OR(NOT(ISNUMBER('Price History'!P149)),NOT(ISNUMBER('Price History'!P148)),'Price History'!P148=0),"",'Price History'!P149/'Price History'!P148-1),"")</f>
        <v/>
      </c>
      <c r="Q148" s="109" t="n">
        <f aca="false">IFERROR(IF(OR(NOT(ISNUMBER('Price History'!Q149)),NOT(ISNUMBER('Price History'!Q148)),'Price History'!Q148=0),"",'Price History'!Q149/'Price History'!Q148-1),"")</f>
        <v>-0.00921996194936336</v>
      </c>
      <c r="R148" s="109" t="n">
        <f aca="false">IFERROR(IF(OR(NOT(ISNUMBER('Price History'!R149)),NOT(ISNUMBER('Price History'!R148)),'Price History'!R148=0),"",'Price History'!R149/'Price History'!R148-1),"")</f>
        <v>0.0156120245806344</v>
      </c>
      <c r="S148" s="109" t="n">
        <f aca="false">IFERROR(IF(OR(NOT(ISNUMBER('Price History'!S149)),NOT(ISNUMBER('Price History'!S148)),'Price History'!S148=0),"",'Price History'!S149/'Price History'!S148-1),"")</f>
        <v>0.0389816475783082</v>
      </c>
      <c r="T148" s="109" t="n">
        <f aca="false">IFERROR(IF(OR(NOT(ISNUMBER('Price History'!T149)),NOT(ISNUMBER('Price History'!T148)),'Price History'!T148=0),"",'Price History'!T149/'Price History'!T148-1),"")</f>
        <v>0.0540968764146672</v>
      </c>
      <c r="U148" s="109" t="str">
        <f aca="false">IFERROR(IF(OR(NOT(ISNUMBER('Price History'!U149)),NOT(ISNUMBER('Price History'!U148)),'Price History'!U148=0),"",'Price History'!U149/'Price History'!U148-1),"")</f>
        <v/>
      </c>
      <c r="V148" s="110" t="n">
        <f aca="false">IFERROR(IF(OR(NOT(ISNUMBER('Price History'!V149)),NOT(ISNUMBER('Price History'!V148)),'Price History'!V148=0),"",'Price History'!V149/'Price History'!V148-1),"")</f>
        <v>-0.00767660767051503</v>
      </c>
      <c r="W148" s="111" t="n">
        <f aca="false">IFERROR('Price History'!B3+(INDEX('Price History'!B:B,MATCH(9.99E+307,'Price History'!$A:$A))-'Price History'!B3)*(ROW()-3)/(MATCH(9.99E+307,'Returns (Calc)'!$A:$A)-3),"")</f>
        <v>287.812893081761</v>
      </c>
      <c r="X148" s="111" t="n">
        <f aca="false">IFERROR('Price History'!C3+(INDEX('Price History'!C:C,MATCH(9.99E+307,'Price History'!$A:$A))-'Price History'!C3)*(ROW()-3)/(MATCH(9.99E+307,'Returns (Calc)'!$A:$A)-3),"")</f>
        <v>180.56893081761</v>
      </c>
      <c r="Y148" s="111" t="n">
        <f aca="false">IFERROR('Price History'!D3+(INDEX('Price History'!D:D,MATCH(9.99E+307,'Price History'!$A:$A))-'Price History'!D3)*(ROW()-3)/(MATCH(9.99E+307,'Returns (Calc)'!$A:$A)-3),"")</f>
        <v>1622.15421383648</v>
      </c>
      <c r="Z148" s="111" t="n">
        <f aca="false">IFERROR('Price History'!E3+(INDEX('Price History'!E:E,MATCH(9.99E+307,'Price History'!$A:$A))-'Price History'!E3)*(ROW()-3)/(MATCH(9.99E+307,'Returns (Calc)'!$A:$A)-3),"")</f>
        <v>333.69320754717</v>
      </c>
      <c r="AA148" s="111" t="n">
        <f aca="false">IFERROR('Price History'!F3+(INDEX('Price History'!F:F,MATCH(9.99E+307,'Price History'!$A:$A))-'Price History'!F3)*(ROW()-3)/(MATCH(9.99E+307,'Returns (Calc)'!$A:$A)-3),"")</f>
        <v>197.599622641509</v>
      </c>
      <c r="AB148" s="111" t="n">
        <f aca="false">IFERROR('Price History'!G3+(INDEX('Price History'!G:G,MATCH(9.99E+307,'Price History'!$A:$A))-'Price History'!G3)*(ROW()-3)/(MATCH(9.99E+307,'Returns (Calc)'!$A:$A)-3),"")</f>
        <v>173.475471698113</v>
      </c>
      <c r="AC148" s="111" t="n">
        <f aca="false">IFERROR('Price History'!H3+(INDEX('Price History'!H:H,MATCH(9.99E+307,'Price History'!$A:$A))-'Price History'!H3)*(ROW()-3)/(MATCH(9.99E+307,'Returns (Calc)'!$A:$A)-3),"")</f>
        <v>932.746729559748</v>
      </c>
      <c r="AD148" s="111" t="n">
        <f aca="false">IFERROR('Price History'!I3+(INDEX('Price History'!I:I,MATCH(9.99E+307,'Price History'!$A:$A))-'Price History'!I3)*(ROW()-3)/(MATCH(9.99E+307,'Returns (Calc)'!$A:$A)-3),"")</f>
        <v>213.67358490566</v>
      </c>
      <c r="AE148" s="111" t="n">
        <f aca="false">IFERROR('Price History'!J3+(INDEX('Price History'!J:J,MATCH(9.99E+307,'Price History'!$A:$A))-'Price History'!J3)*(ROW()-3)/(MATCH(9.99E+307,'Returns (Calc)'!$A:$A)-3),"")</f>
        <v>136.122264150943</v>
      </c>
      <c r="AF148" s="111" t="n">
        <f aca="false">IFERROR('Price History'!K3+(INDEX('Price History'!K:K,MATCH(9.99E+307,'Price History'!$A:$A))-'Price History'!K3)*(ROW()-3)/(MATCH(9.99E+307,'Returns (Calc)'!$A:$A)-3),"")</f>
        <v>160.337044025157</v>
      </c>
      <c r="AG148" s="111" t="n">
        <f aca="false">IFERROR('Price History'!L3+(INDEX('Price History'!L:L,MATCH(9.99E+307,'Price History'!$A:$A))-'Price History'!L3)*(ROW()-3)/(MATCH(9.99E+307,'Returns (Calc)'!$A:$A)-3),"")</f>
        <v>399.244088050315</v>
      </c>
      <c r="AH148" s="111" t="n">
        <f aca="false">IFERROR('Price History'!M3+(INDEX('Price History'!M:M,MATCH(9.99E+307,'Price History'!$A:$A))-'Price History'!M3)*(ROW()-3)/(MATCH(9.99E+307,'Returns (Calc)'!$A:$A)-3),"")</f>
        <v>258.779811320755</v>
      </c>
      <c r="AI148" s="111" t="n">
        <f aca="false">IFERROR('Price History'!N3+(INDEX('Price History'!N:N,MATCH(9.99E+307,'Price History'!$A:$A))-'Price History'!N3)*(ROW()-3)/(MATCH(9.99E+307,'Returns (Calc)'!$A:$A)-3),"")</f>
        <v>528.839245283019</v>
      </c>
      <c r="AJ148" s="111" t="n">
        <f aca="false">IFERROR('Price History'!O3+(INDEX('Price History'!O:O,MATCH(9.99E+307,'Price History'!$A:$A))-'Price History'!O3)*(ROW()-3)/(MATCH(9.99E+307,'Returns (Calc)'!$A:$A)-3),"")</f>
        <v>123.048742138365</v>
      </c>
      <c r="AK148" s="111" t="n">
        <f aca="false">IFERROR('Price History'!Q3+(INDEX('Price History'!Q:Q,MATCH(9.99E+307,'Price History'!$A:$A))-'Price History'!Q3)*(ROW()-3)/(MATCH(9.99E+307,'Returns (Calc)'!$A:$A)-3),"")</f>
        <v>67.9695597484277</v>
      </c>
      <c r="AL148" s="111" t="n">
        <f aca="false">IFERROR('Price History'!R3+(INDEX('Price History'!R:R,MATCH(9.99E+307,'Price History'!$A:$A))-'Price History'!R3)*(ROW()-3)/(MATCH(9.99E+307,'Returns (Calc)'!$A:$A)-3),"")</f>
        <v>58.8089937106918</v>
      </c>
      <c r="AM148" s="111" t="n">
        <f aca="false">IFERROR('Price History'!S3+(INDEX('Price History'!S:S,MATCH(9.99E+307,'Price History'!$A:$A))-'Price History'!S3)*(ROW()-3)/(MATCH(9.99E+307,'Returns (Calc)'!$A:$A)-3),"")</f>
        <v>141.691572327044</v>
      </c>
      <c r="AN148" s="111" t="n">
        <f aca="false">IFERROR('Price History'!T3+(INDEX('Price History'!T:T,MATCH(9.99E+307,'Price History'!$A:$A))-'Price History'!T3)*(ROW()-3)/(MATCH(9.99E+307,'Returns (Calc)'!$A:$A)-3),"")</f>
        <v>52.7911320754717</v>
      </c>
      <c r="AO148" s="112" t="n">
        <f aca="false">IFERROR('Price History'!V3+(INDEX('Price History'!V:V,MATCH(9.99E+307,'Price History'!$A:$A))-'Price History'!V3)*(ROW()-3)/(MATCH(9.99E+307,'Returns (Calc)'!$A:$A)-3),"")</f>
        <v>342.044968553459</v>
      </c>
    </row>
    <row r="149" customFormat="false" ht="15" hidden="false" customHeight="true" outlineLevel="0" collapsed="false">
      <c r="A149" s="108" t="n">
        <f aca="false">IF('Price History'!A150="","",'Price History'!A150)</f>
        <v>46178</v>
      </c>
      <c r="B149" s="109" t="n">
        <f aca="false">IFERROR(IF(OR(NOT(ISNUMBER('Price History'!B150)),NOT(ISNUMBER('Price History'!B149)),'Price History'!B149=0),"",'Price History'!B150/'Price History'!B149-1),"")</f>
        <v>-0.0299756953821225</v>
      </c>
      <c r="C149" s="109" t="n">
        <f aca="false">IFERROR(IF(OR(NOT(ISNUMBER('Price History'!C150)),NOT(ISNUMBER('Price History'!C149)),'Price History'!C149=0),"",'Price History'!C150/'Price History'!C149-1),"")</f>
        <v>-0.032608014046529</v>
      </c>
      <c r="D149" s="109" t="n">
        <f aca="false">IFERROR(IF(OR(NOT(ISNUMBER('Price History'!D150)),NOT(ISNUMBER('Price History'!D149)),'Price History'!D149=0),"",'Price History'!D150/'Price History'!D149-1),"")</f>
        <v>0.0179691956645751</v>
      </c>
      <c r="E149" s="109" t="n">
        <f aca="false">IFERROR(IF(OR(NOT(ISNUMBER('Price History'!E150)),NOT(ISNUMBER('Price History'!E149)),'Price History'!E149=0),"",'Price History'!E150/'Price History'!E149-1),"")</f>
        <v>-0.136625109116548</v>
      </c>
      <c r="F149" s="109" t="n">
        <f aca="false">IFERROR(IF(OR(NOT(ISNUMBER('Price History'!F150)),NOT(ISNUMBER('Price History'!F149)),'Price History'!F149=0),"",'Price History'!F150/'Price History'!F149-1),"")</f>
        <v>-0.0820246238030097</v>
      </c>
      <c r="G149" s="109" t="n">
        <f aca="false">IFERROR(IF(OR(NOT(ISNUMBER('Price History'!G150)),NOT(ISNUMBER('Price History'!G149)),'Price History'!G149=0),"",'Price History'!G150/'Price History'!G149-1),"")</f>
        <v>0.003902794400791</v>
      </c>
      <c r="H149" s="109" t="n">
        <f aca="false">IFERROR(IF(OR(NOT(ISNUMBER('Price History'!H150)),NOT(ISNUMBER('Price History'!H149)),'Price History'!H149=0),"",'Price History'!H150/'Price History'!H149-1),"")</f>
        <v>-0.110185375901133</v>
      </c>
      <c r="I149" s="109" t="n">
        <f aca="false">IFERROR(IF(OR(NOT(ISNUMBER('Price History'!I150)),NOT(ISNUMBER('Price History'!I149)),'Price History'!I149=0),"",'Price History'!I150/'Price History'!I149-1),"")</f>
        <v>-0.0286066117268163</v>
      </c>
      <c r="J149" s="109" t="n">
        <f aca="false">IFERROR(IF(OR(NOT(ISNUMBER('Price History'!J150)),NOT(ISNUMBER('Price History'!J149)),'Price History'!J149=0),"",'Price History'!J150/'Price History'!J149-1),"")</f>
        <v>0.00745800515787276</v>
      </c>
      <c r="K149" s="109" t="n">
        <f aca="false">IFERROR(IF(OR(NOT(ISNUMBER('Price History'!K150)),NOT(ISNUMBER('Price History'!K149)),'Price History'!K149=0),"",'Price History'!K150/'Price History'!K149-1),"")</f>
        <v>-0.134214897150888</v>
      </c>
      <c r="L149" s="109" t="n">
        <f aca="false">IFERROR(IF(OR(NOT(ISNUMBER('Price History'!L150)),NOT(ISNUMBER('Price History'!L149)),'Price History'!L149=0),"",'Price History'!L150/'Price History'!L149-1),"")</f>
        <v>-0.00783845142788853</v>
      </c>
      <c r="M149" s="109" t="n">
        <f aca="false">IFERROR(IF(OR(NOT(ISNUMBER('Price History'!M150)),NOT(ISNUMBER('Price History'!M149)),'Price History'!M149=0),"",'Price History'!M150/'Price History'!M149-1),"")</f>
        <v>-0.0481454499382344</v>
      </c>
      <c r="N149" s="109" t="n">
        <f aca="false">IFERROR(IF(OR(NOT(ISNUMBER('Price History'!N150)),NOT(ISNUMBER('Price History'!N149)),'Price History'!N149=0),"",'Price History'!N150/'Price History'!N149-1),"")</f>
        <v>-0.00158645037315108</v>
      </c>
      <c r="O149" s="109" t="n">
        <f aca="false">IFERROR(IF(OR(NOT(ISNUMBER('Price History'!O150)),NOT(ISNUMBER('Price History'!O149)),'Price History'!O149=0),"",'Price History'!O150/'Price History'!O149-1),"")</f>
        <v>-0.00291545189504372</v>
      </c>
      <c r="P149" s="109" t="str">
        <f aca="false">IFERROR(IF(OR(NOT(ISNUMBER('Price History'!P150)),NOT(ISNUMBER('Price History'!P149)),'Price History'!P149=0),"",'Price History'!P150/'Price History'!P149-1),"")</f>
        <v/>
      </c>
      <c r="Q149" s="109" t="n">
        <f aca="false">IFERROR(IF(OR(NOT(ISNUMBER('Price History'!Q150)),NOT(ISNUMBER('Price History'!Q149)),'Price History'!Q149=0),"",'Price History'!Q150/'Price History'!Q149-1),"")</f>
        <v>-0.0017725258493354</v>
      </c>
      <c r="R149" s="109" t="n">
        <f aca="false">IFERROR(IF(OR(NOT(ISNUMBER('Price History'!R150)),NOT(ISNUMBER('Price History'!R149)),'Price History'!R149=0),"",'Price History'!R150/'Price History'!R149-1),"")</f>
        <v>-0.0367947669664759</v>
      </c>
      <c r="S149" s="109" t="n">
        <f aca="false">IFERROR(IF(OR(NOT(ISNUMBER('Price History'!S150)),NOT(ISNUMBER('Price History'!S149)),'Price History'!S149=0),"",'Price History'!S150/'Price History'!S149-1),"")</f>
        <v>-0.0419018527126636</v>
      </c>
      <c r="T149" s="109" t="n">
        <f aca="false">IFERROR(IF(OR(NOT(ISNUMBER('Price History'!T150)),NOT(ISNUMBER('Price History'!T149)),'Price History'!T149=0),"",'Price History'!T150/'Price History'!T149-1),"")</f>
        <v>-0.0111659866867082</v>
      </c>
      <c r="U149" s="109" t="str">
        <f aca="false">IFERROR(IF(OR(NOT(ISNUMBER('Price History'!U150)),NOT(ISNUMBER('Price History'!U149)),'Price History'!U149=0),"",'Price History'!U150/'Price History'!U149-1),"")</f>
        <v/>
      </c>
      <c r="V149" s="110" t="n">
        <f aca="false">IFERROR(IF(OR(NOT(ISNUMBER('Price History'!V150)),NOT(ISNUMBER('Price History'!V149)),'Price History'!V149=0),"",'Price History'!V150/'Price History'!V149-1),"")</f>
        <v>-0.00853415195702212</v>
      </c>
      <c r="W149" s="111" t="n">
        <f aca="false">IFERROR('Price History'!B3+(INDEX('Price History'!B:B,MATCH(9.99E+307,'Price History'!$A:$A))-'Price History'!B3)*(ROW()-3)/(MATCH(9.99E+307,'Returns (Calc)'!$A:$A)-3),"")</f>
        <v>286.291257861635</v>
      </c>
      <c r="X149" s="111" t="n">
        <f aca="false">IFERROR('Price History'!C3+(INDEX('Price History'!C:C,MATCH(9.99E+307,'Price History'!$A:$A))-'Price History'!C3)*(ROW()-3)/(MATCH(9.99E+307,'Returns (Calc)'!$A:$A)-3),"")</f>
        <v>181.512578616352</v>
      </c>
      <c r="Y149" s="111" t="n">
        <f aca="false">IFERROR('Price History'!D3+(INDEX('Price History'!D:D,MATCH(9.99E+307,'Price History'!$A:$A))-'Price History'!D3)*(ROW()-3)/(MATCH(9.99E+307,'Returns (Calc)'!$A:$A)-3),"")</f>
        <v>1628.77748427673</v>
      </c>
      <c r="Z149" s="111" t="n">
        <f aca="false">IFERROR('Price History'!E3+(INDEX('Price History'!E:E,MATCH(9.99E+307,'Price History'!$A:$A))-'Price History'!E3)*(ROW()-3)/(MATCH(9.99E+307,'Returns (Calc)'!$A:$A)-3),"")</f>
        <v>335.422264150943</v>
      </c>
      <c r="AA149" s="111" t="n">
        <f aca="false">IFERROR('Price History'!F3+(INDEX('Price History'!F:F,MATCH(9.99E+307,'Price History'!$A:$A))-'Price History'!F3)*(ROW()-3)/(MATCH(9.99E+307,'Returns (Calc)'!$A:$A)-3),"")</f>
        <v>198.70679245283</v>
      </c>
      <c r="AB149" s="111" t="n">
        <f aca="false">IFERROR('Price History'!G3+(INDEX('Price History'!G:G,MATCH(9.99E+307,'Price History'!$A:$A))-'Price History'!G3)*(ROW()-3)/(MATCH(9.99E+307,'Returns (Calc)'!$A:$A)-3),"")</f>
        <v>174.341509433962</v>
      </c>
      <c r="AC149" s="111" t="n">
        <f aca="false">IFERROR('Price History'!H3+(INDEX('Price History'!H:H,MATCH(9.99E+307,'Price History'!$A:$A))-'Price History'!H3)*(ROW()-3)/(MATCH(9.99E+307,'Returns (Calc)'!$A:$A)-3),"")</f>
        <v>938.735534591195</v>
      </c>
      <c r="AD149" s="111" t="n">
        <f aca="false">IFERROR('Price History'!I3+(INDEX('Price History'!I:I,MATCH(9.99E+307,'Price History'!$A:$A))-'Price History'!I3)*(ROW()-3)/(MATCH(9.99E+307,'Returns (Calc)'!$A:$A)-3),"")</f>
        <v>214.865471698113</v>
      </c>
      <c r="AE149" s="111" t="n">
        <f aca="false">IFERROR('Price History'!J3+(INDEX('Price History'!J:J,MATCH(9.99E+307,'Price History'!$A:$A))-'Price History'!J3)*(ROW()-3)/(MATCH(9.99E+307,'Returns (Calc)'!$A:$A)-3),"")</f>
        <v>136.209245283019</v>
      </c>
      <c r="AF149" s="111" t="n">
        <f aca="false">IFERROR('Price History'!K3+(INDEX('Price History'!K:K,MATCH(9.99E+307,'Price History'!$A:$A))-'Price History'!K3)*(ROW()-3)/(MATCH(9.99E+307,'Returns (Calc)'!$A:$A)-3),"")</f>
        <v>161.336540880503</v>
      </c>
      <c r="AG149" s="111" t="n">
        <f aca="false">IFERROR('Price History'!L3+(INDEX('Price History'!L:L,MATCH(9.99E+307,'Price History'!$A:$A))-'Price History'!L3)*(ROW()-3)/(MATCH(9.99E+307,'Returns (Calc)'!$A:$A)-3),"")</f>
        <v>401.363081761006</v>
      </c>
      <c r="AH149" s="111" t="n">
        <f aca="false">IFERROR('Price History'!M3+(INDEX('Price History'!M:M,MATCH(9.99E+307,'Price History'!$A:$A))-'Price History'!M3)*(ROW()-3)/(MATCH(9.99E+307,'Returns (Calc)'!$A:$A)-3),"")</f>
        <v>260.333396226415</v>
      </c>
      <c r="AI149" s="111" t="n">
        <f aca="false">IFERROR('Price History'!N3+(INDEX('Price History'!N:N,MATCH(9.99E+307,'Price History'!$A:$A))-'Price History'!N3)*(ROW()-3)/(MATCH(9.99E+307,'Returns (Calc)'!$A:$A)-3),"")</f>
        <v>530.07358490566</v>
      </c>
      <c r="AJ149" s="111" t="n">
        <f aca="false">IFERROR('Price History'!O3+(INDEX('Price History'!O:O,MATCH(9.99E+307,'Price History'!$A:$A))-'Price History'!O3)*(ROW()-3)/(MATCH(9.99E+307,'Returns (Calc)'!$A:$A)-3),"")</f>
        <v>123.325974842767</v>
      </c>
      <c r="AK149" s="111" t="n">
        <f aca="false">IFERROR('Price History'!Q3+(INDEX('Price History'!Q:Q,MATCH(9.99E+307,'Price History'!$A:$A))-'Price History'!Q3)*(ROW()-3)/(MATCH(9.99E+307,'Returns (Calc)'!$A:$A)-3),"")</f>
        <v>68.0945911949686</v>
      </c>
      <c r="AL149" s="111" t="n">
        <f aca="false">IFERROR('Price History'!R3+(INDEX('Price History'!R:R,MATCH(9.99E+307,'Price History'!$A:$A))-'Price History'!R3)*(ROW()-3)/(MATCH(9.99E+307,'Returns (Calc)'!$A:$A)-3),"")</f>
        <v>58.8847798742138</v>
      </c>
      <c r="AM149" s="111" t="n">
        <f aca="false">IFERROR('Price History'!S3+(INDEX('Price History'!S:S,MATCH(9.99E+307,'Price History'!$A:$A))-'Price History'!S3)*(ROW()-3)/(MATCH(9.99E+307,'Returns (Calc)'!$A:$A)-3),"")</f>
        <v>142.265031446541</v>
      </c>
      <c r="AN149" s="111" t="n">
        <f aca="false">IFERROR('Price History'!T3+(INDEX('Price History'!T:T,MATCH(9.99E+307,'Price History'!$A:$A))-'Price History'!T3)*(ROW()-3)/(MATCH(9.99E+307,'Returns (Calc)'!$A:$A)-3),"")</f>
        <v>52.9696226415094</v>
      </c>
      <c r="AO149" s="112" t="n">
        <f aca="false">IFERROR('Price History'!V3+(INDEX('Price History'!V:V,MATCH(9.99E+307,'Price History'!$A:$A))-'Price History'!V3)*(ROW()-3)/(MATCH(9.99E+307,'Returns (Calc)'!$A:$A)-3),"")</f>
        <v>344.403899371069</v>
      </c>
    </row>
    <row r="150" customFormat="false" ht="15" hidden="false" customHeight="true" outlineLevel="0" collapsed="false">
      <c r="A150" s="108" t="n">
        <f aca="false">IF('Price History'!A151="","",'Price History'!A151)</f>
        <v>46185</v>
      </c>
      <c r="B150" s="109" t="n">
        <f aca="false">IFERROR(IF(OR(NOT(ISNUMBER('Price History'!B151)),NOT(ISNUMBER('Price History'!B150)),'Price History'!B150=0),"",'Price History'!B151/'Price History'!B150-1),"")</f>
        <v>-0.188593700286351</v>
      </c>
      <c r="C150" s="109" t="n">
        <f aca="false">IFERROR(IF(OR(NOT(ISNUMBER('Price History'!C151)),NOT(ISNUMBER('Price History'!C150)),'Price History'!C150=0),"",'Price History'!C151/'Price History'!C150-1),"")</f>
        <v>0.0581448110455693</v>
      </c>
      <c r="D150" s="109" t="n">
        <f aca="false">IFERROR(IF(OR(NOT(ISNUMBER('Price History'!D151)),NOT(ISNUMBER('Price History'!D150)),'Price History'!D150=0),"",'Price History'!D151/'Price History'!D150-1),"")</f>
        <v>0.135106655134187</v>
      </c>
      <c r="E150" s="109" t="n">
        <f aca="false">IFERROR(IF(OR(NOT(ISNUMBER('Price History'!E151)),NOT(ISNUMBER('Price History'!E150)),'Price History'!E150=0),"",'Price History'!E151/'Price History'!E150-1),"")</f>
        <v>-0.00948850232027587</v>
      </c>
      <c r="F150" s="109" t="n">
        <f aca="false">IFERROR(IF(OR(NOT(ISNUMBER('Price History'!F151)),NOT(ISNUMBER('Price History'!F150)),'Price History'!F150=0),"",'Price History'!F151/'Price History'!F150-1),"")</f>
        <v>0.0175250357653791</v>
      </c>
      <c r="G150" s="109" t="n">
        <f aca="false">IFERROR(IF(OR(NOT(ISNUMBER('Price History'!G151)),NOT(ISNUMBER('Price History'!G150)),'Price History'!G150=0),"",'Price History'!G151/'Price History'!G150-1),"")</f>
        <v>0.319407008086253</v>
      </c>
      <c r="H150" s="109" t="n">
        <f aca="false">IFERROR(IF(OR(NOT(ISNUMBER('Price History'!H151)),NOT(ISNUMBER('Price History'!H150)),'Price History'!H150=0),"",'Price History'!H151/'Price History'!H150-1),"")</f>
        <v>0.136109535769262</v>
      </c>
      <c r="I150" s="109" t="n">
        <f aca="false">IFERROR(IF(OR(NOT(ISNUMBER('Price History'!I151)),NOT(ISNUMBER('Price History'!I150)),'Price History'!I150=0),"",'Price History'!I151/'Price History'!I150-1),"")</f>
        <v>0.000438810336421236</v>
      </c>
      <c r="J150" s="109" t="n">
        <f aca="false">IFERROR(IF(OR(NOT(ISNUMBER('Price History'!J151)),NOT(ISNUMBER('Price History'!J150)),'Price History'!J150=0),"",'Price History'!J151/'Price History'!J150-1),"")</f>
        <v>0.0290577002905772</v>
      </c>
      <c r="K150" s="109" t="n">
        <f aca="false">IFERROR(IF(OR(NOT(ISNUMBER('Price History'!K151)),NOT(ISNUMBER('Price History'!K150)),'Price History'!K150=0),"",'Price History'!K151/'Price History'!K150-1),"")</f>
        <v>-0.0556334390909762</v>
      </c>
      <c r="L150" s="109" t="n">
        <f aca="false">IFERROR(IF(OR(NOT(ISNUMBER('Price History'!L151)),NOT(ISNUMBER('Price History'!L150)),'Price History'!L150=0),"",'Price History'!L151/'Price History'!L150-1),"")</f>
        <v>0.0210997904472867</v>
      </c>
      <c r="M150" s="109" t="n">
        <f aca="false">IFERROR(IF(OR(NOT(ISNUMBER('Price History'!M151)),NOT(ISNUMBER('Price History'!M150)),'Price History'!M150=0),"",'Price History'!M151/'Price History'!M150-1),"")</f>
        <v>0.00785331602941675</v>
      </c>
      <c r="N150" s="109" t="n">
        <f aca="false">IFERROR(IF(OR(NOT(ISNUMBER('Price History'!N151)),NOT(ISNUMBER('Price History'!N150)),'Price History'!N150=0),"",'Price History'!N151/'Price History'!N150-1),"")</f>
        <v>-0.0042521764429424</v>
      </c>
      <c r="O150" s="109" t="n">
        <f aca="false">IFERROR(IF(OR(NOT(ISNUMBER('Price History'!O151)),NOT(ISNUMBER('Price History'!O150)),'Price History'!O150=0),"",'Price History'!O151/'Price History'!O150-1),"")</f>
        <v>0.0390977443609022</v>
      </c>
      <c r="P150" s="109" t="str">
        <f aca="false">IFERROR(IF(OR(NOT(ISNUMBER('Price History'!P151)),NOT(ISNUMBER('Price History'!P150)),'Price History'!P150=0),"",'Price History'!P151/'Price History'!P150-1),"")</f>
        <v/>
      </c>
      <c r="Q150" s="109" t="n">
        <f aca="false">IFERROR(IF(OR(NOT(ISNUMBER('Price History'!Q151)),NOT(ISNUMBER('Price History'!Q150)),'Price History'!Q150=0),"",'Price History'!Q151/'Price History'!Q150-1),"")</f>
        <v>0.0128736312518498</v>
      </c>
      <c r="R150" s="109" t="n">
        <f aca="false">IFERROR(IF(OR(NOT(ISNUMBER('Price History'!R151)),NOT(ISNUMBER('Price History'!R150)),'Price History'!R150=0),"",'Price History'!R151/'Price History'!R150-1),"")</f>
        <v>0.0162988115449916</v>
      </c>
      <c r="S150" s="109" t="n">
        <f aca="false">IFERROR(IF(OR(NOT(ISNUMBER('Price History'!S151)),NOT(ISNUMBER('Price History'!S150)),'Price History'!S150=0),"",'Price History'!S151/'Price History'!S150-1),"")</f>
        <v>0.0568339340171886</v>
      </c>
      <c r="T150" s="109" t="n">
        <f aca="false">IFERROR(IF(OR(NOT(ISNUMBER('Price History'!T151)),NOT(ISNUMBER('Price History'!T150)),'Price History'!T150=0),"",'Price History'!T151/'Price History'!T150-1),"")</f>
        <v>0.00521172638436496</v>
      </c>
      <c r="U150" s="109" t="str">
        <f aca="false">IFERROR(IF(OR(NOT(ISNUMBER('Price History'!U151)),NOT(ISNUMBER('Price History'!U150)),'Price History'!U150=0),"",'Price History'!U151/'Price History'!U150-1),"")</f>
        <v/>
      </c>
      <c r="V150" s="110" t="n">
        <f aca="false">IFERROR(IF(OR(NOT(ISNUMBER('Price History'!V151)),NOT(ISNUMBER('Price History'!V150)),'Price History'!V150=0),"",'Price History'!V151/'Price History'!V150-1),"")</f>
        <v>-0.00365359011672917</v>
      </c>
      <c r="W150" s="111" t="n">
        <f aca="false">IFERROR('Price History'!B3+(INDEX('Price History'!B:B,MATCH(9.99E+307,'Price History'!$A:$A))-'Price History'!B3)*(ROW()-3)/(MATCH(9.99E+307,'Returns (Calc)'!$A:$A)-3),"")</f>
        <v>284.769622641509</v>
      </c>
      <c r="X150" s="111" t="n">
        <f aca="false">IFERROR('Price History'!C3+(INDEX('Price History'!C:C,MATCH(9.99E+307,'Price History'!$A:$A))-'Price History'!C3)*(ROW()-3)/(MATCH(9.99E+307,'Returns (Calc)'!$A:$A)-3),"")</f>
        <v>182.456226415094</v>
      </c>
      <c r="Y150" s="111" t="n">
        <f aca="false">IFERROR('Price History'!D3+(INDEX('Price History'!D:D,MATCH(9.99E+307,'Price History'!$A:$A))-'Price History'!D3)*(ROW()-3)/(MATCH(9.99E+307,'Returns (Calc)'!$A:$A)-3),"")</f>
        <v>1635.40075471698</v>
      </c>
      <c r="Z150" s="111" t="n">
        <f aca="false">IFERROR('Price History'!E3+(INDEX('Price History'!E:E,MATCH(9.99E+307,'Price History'!$A:$A))-'Price History'!E3)*(ROW()-3)/(MATCH(9.99E+307,'Returns (Calc)'!$A:$A)-3),"")</f>
        <v>337.151320754717</v>
      </c>
      <c r="AA150" s="111" t="n">
        <f aca="false">IFERROR('Price History'!F3+(INDEX('Price History'!F:F,MATCH(9.99E+307,'Price History'!$A:$A))-'Price History'!F3)*(ROW()-3)/(MATCH(9.99E+307,'Returns (Calc)'!$A:$A)-3),"")</f>
        <v>199.813962264151</v>
      </c>
      <c r="AB150" s="111" t="n">
        <f aca="false">IFERROR('Price History'!G3+(INDEX('Price History'!G:G,MATCH(9.99E+307,'Price History'!$A:$A))-'Price History'!G3)*(ROW()-3)/(MATCH(9.99E+307,'Returns (Calc)'!$A:$A)-3),"")</f>
        <v>175.207547169811</v>
      </c>
      <c r="AC150" s="111" t="n">
        <f aca="false">IFERROR('Price History'!H3+(INDEX('Price History'!H:H,MATCH(9.99E+307,'Price History'!$A:$A))-'Price History'!H3)*(ROW()-3)/(MATCH(9.99E+307,'Returns (Calc)'!$A:$A)-3),"")</f>
        <v>944.724339622642</v>
      </c>
      <c r="AD150" s="111" t="n">
        <f aca="false">IFERROR('Price History'!I3+(INDEX('Price History'!I:I,MATCH(9.99E+307,'Price History'!$A:$A))-'Price History'!I3)*(ROW()-3)/(MATCH(9.99E+307,'Returns (Calc)'!$A:$A)-3),"")</f>
        <v>216.057358490566</v>
      </c>
      <c r="AE150" s="111" t="n">
        <f aca="false">IFERROR('Price History'!J3+(INDEX('Price History'!J:J,MATCH(9.99E+307,'Price History'!$A:$A))-'Price History'!J3)*(ROW()-3)/(MATCH(9.99E+307,'Returns (Calc)'!$A:$A)-3),"")</f>
        <v>136.296226415094</v>
      </c>
      <c r="AF150" s="111" t="n">
        <f aca="false">IFERROR('Price History'!K3+(INDEX('Price History'!K:K,MATCH(9.99E+307,'Price History'!$A:$A))-'Price History'!K3)*(ROW()-3)/(MATCH(9.99E+307,'Returns (Calc)'!$A:$A)-3),"")</f>
        <v>162.336037735849</v>
      </c>
      <c r="AG150" s="111" t="n">
        <f aca="false">IFERROR('Price History'!L3+(INDEX('Price History'!L:L,MATCH(9.99E+307,'Price History'!$A:$A))-'Price History'!L3)*(ROW()-3)/(MATCH(9.99E+307,'Returns (Calc)'!$A:$A)-3),"")</f>
        <v>403.482075471698</v>
      </c>
      <c r="AH150" s="111" t="n">
        <f aca="false">IFERROR('Price History'!M3+(INDEX('Price History'!M:M,MATCH(9.99E+307,'Price History'!$A:$A))-'Price History'!M3)*(ROW()-3)/(MATCH(9.99E+307,'Returns (Calc)'!$A:$A)-3),"")</f>
        <v>261.886981132075</v>
      </c>
      <c r="AI150" s="111" t="n">
        <f aca="false">IFERROR('Price History'!N3+(INDEX('Price History'!N:N,MATCH(9.99E+307,'Price History'!$A:$A))-'Price History'!N3)*(ROW()-3)/(MATCH(9.99E+307,'Returns (Calc)'!$A:$A)-3),"")</f>
        <v>531.307924528302</v>
      </c>
      <c r="AJ150" s="111" t="n">
        <f aca="false">IFERROR('Price History'!O3+(INDEX('Price History'!O:O,MATCH(9.99E+307,'Price History'!$A:$A))-'Price History'!O3)*(ROW()-3)/(MATCH(9.99E+307,'Returns (Calc)'!$A:$A)-3),"")</f>
        <v>123.60320754717</v>
      </c>
      <c r="AK150" s="111" t="n">
        <f aca="false">IFERROR('Price History'!Q3+(INDEX('Price History'!Q:Q,MATCH(9.99E+307,'Price History'!$A:$A))-'Price History'!Q3)*(ROW()-3)/(MATCH(9.99E+307,'Returns (Calc)'!$A:$A)-3),"")</f>
        <v>68.2196226415094</v>
      </c>
      <c r="AL150" s="111" t="n">
        <f aca="false">IFERROR('Price History'!R3+(INDEX('Price History'!R:R,MATCH(9.99E+307,'Price History'!$A:$A))-'Price History'!R3)*(ROW()-3)/(MATCH(9.99E+307,'Returns (Calc)'!$A:$A)-3),"")</f>
        <v>58.9605660377358</v>
      </c>
      <c r="AM150" s="111" t="n">
        <f aca="false">IFERROR('Price History'!S3+(INDEX('Price History'!S:S,MATCH(9.99E+307,'Price History'!$A:$A))-'Price History'!S3)*(ROW()-3)/(MATCH(9.99E+307,'Returns (Calc)'!$A:$A)-3),"")</f>
        <v>142.838490566038</v>
      </c>
      <c r="AN150" s="111" t="n">
        <f aca="false">IFERROR('Price History'!T3+(INDEX('Price History'!T:T,MATCH(9.99E+307,'Price History'!$A:$A))-'Price History'!T3)*(ROW()-3)/(MATCH(9.99E+307,'Returns (Calc)'!$A:$A)-3),"")</f>
        <v>53.1481132075472</v>
      </c>
      <c r="AO150" s="112" t="n">
        <f aca="false">IFERROR('Price History'!V3+(INDEX('Price History'!V:V,MATCH(9.99E+307,'Price History'!$A:$A))-'Price History'!V3)*(ROW()-3)/(MATCH(9.99E+307,'Returns (Calc)'!$A:$A)-3),"")</f>
        <v>346.762830188679</v>
      </c>
    </row>
    <row r="151" customFormat="false" ht="15" hidden="false" customHeight="true" outlineLevel="0" collapsed="false">
      <c r="A151" s="108" t="n">
        <f aca="false">IF('Price History'!A152="","",'Price History'!A152)</f>
        <v>46191</v>
      </c>
      <c r="B151" s="109" t="n">
        <f aca="false">IFERROR(IF(OR(NOT(ISNUMBER('Price History'!B152)),NOT(ISNUMBER('Price History'!B151)),'Price History'!B151=0),"",'Price History'!B152/'Price History'!B151-1),"")</f>
        <v>-0.0434271149887266</v>
      </c>
      <c r="C151" s="109" t="n">
        <f aca="false">IFERROR(IF(OR(NOT(ISNUMBER('Price History'!C152)),NOT(ISNUMBER('Price History'!C151)),'Price History'!C151=0),"",'Price History'!C152/'Price History'!C151-1),"")</f>
        <v>0.0393898554275911</v>
      </c>
      <c r="D151" s="109" t="n">
        <f aca="false">IFERROR(IF(OR(NOT(ISNUMBER('Price History'!D152)),NOT(ISNUMBER('Price History'!D151)),'Price History'!D151=0),"",'Price History'!D152/'Price History'!D151-1),"")</f>
        <v>0.0354860347186821</v>
      </c>
      <c r="E151" s="109" t="n">
        <f aca="false">IFERROR(IF(OR(NOT(ISNUMBER('Price History'!E152)),NOT(ISNUMBER('Price History'!E151)),'Price History'!E151=0),"",'Price History'!E152/'Price History'!E151-1),"")</f>
        <v>0.0766351715654201</v>
      </c>
      <c r="F151" s="109" t="n">
        <f aca="false">IFERROR(IF(OR(NOT(ISNUMBER('Price History'!F152)),NOT(ISNUMBER('Price History'!F151)),'Price History'!F151=0),"",'Price History'!F152/'Price History'!F151-1),"")</f>
        <v>0.00304628002343299</v>
      </c>
      <c r="G151" s="109" t="n">
        <f aca="false">IFERROR(IF(OR(NOT(ISNUMBER('Price History'!G152)),NOT(ISNUMBER('Price History'!G151)),'Price History'!G151=0),"",'Price History'!G152/'Price History'!G151-1),"")</f>
        <v>0.0197218511825255</v>
      </c>
      <c r="H151" s="109" t="n">
        <f aca="false">IFERROR(IF(OR(NOT(ISNUMBER('Price History'!H152)),NOT(ISNUMBER('Price History'!H151)),'Price History'!H151=0),"",'Price History'!H152/'Price History'!H151-1),"")</f>
        <v>0.155234767371971</v>
      </c>
      <c r="I151" s="109" t="n">
        <f aca="false">IFERROR(IF(OR(NOT(ISNUMBER('Price History'!I152)),NOT(ISNUMBER('Price History'!I151)),'Price History'!I151=0),"",'Price History'!I152/'Price History'!I151-1),"")</f>
        <v>0.0268044251669184</v>
      </c>
      <c r="J151" s="109" t="n">
        <f aca="false">IFERROR(IF(OR(NOT(ISNUMBER('Price History'!J152)),NOT(ISNUMBER('Price History'!J151)),'Price History'!J151=0),"",'Price History'!J152/'Price History'!J151-1),"")</f>
        <v>-0.055129756622294</v>
      </c>
      <c r="K151" s="109" t="n">
        <f aca="false">IFERROR(IF(OR(NOT(ISNUMBER('Price History'!K152)),NOT(ISNUMBER('Price History'!K151)),'Price History'!K151=0),"",'Price History'!K152/'Price History'!K151-1),"")</f>
        <v>0.00375029299163998</v>
      </c>
      <c r="L151" s="109" t="n">
        <f aca="false">IFERROR(IF(OR(NOT(ISNUMBER('Price History'!L152)),NOT(ISNUMBER('Price History'!L151)),'Price History'!L151=0),"",'Price History'!L152/'Price History'!L151-1),"")</f>
        <v>0.0900856273441371</v>
      </c>
      <c r="M151" s="109" t="n">
        <f aca="false">IFERROR(IF(OR(NOT(ISNUMBER('Price History'!M152)),NOT(ISNUMBER('Price History'!M151)),'Price History'!M151=0),"",'Price History'!M152/'Price History'!M151-1),"")</f>
        <v>0.099646713111236</v>
      </c>
      <c r="N151" s="109" t="n">
        <f aca="false">IFERROR(IF(OR(NOT(ISNUMBER('Price History'!N152)),NOT(ISNUMBER('Price History'!N151)),'Price History'!N151=0),"",'Price History'!N152/'Price History'!N151-1),"")</f>
        <v>0.0150585485357246</v>
      </c>
      <c r="O151" s="109" t="n">
        <f aca="false">IFERROR(IF(OR(NOT(ISNUMBER('Price History'!O152)),NOT(ISNUMBER('Price History'!O151)),'Price History'!O151=0),"",'Price History'!O152/'Price History'!O151-1),"")</f>
        <v>-0.0191349091493809</v>
      </c>
      <c r="P151" s="109" t="str">
        <f aca="false">IFERROR(IF(OR(NOT(ISNUMBER('Price History'!P152)),NOT(ISNUMBER('Price History'!P151)),'Price History'!P151=0),"",'Price History'!P152/'Price History'!P151-1),"")</f>
        <v/>
      </c>
      <c r="Q151" s="109" t="str">
        <f aca="false">IFERROR(IF(OR(NOT(ISNUMBER('Price History'!Q152)),NOT(ISNUMBER('Price History'!Q151)),'Price History'!Q151=0),"",'Price History'!Q152/'Price History'!Q151-1),"")</f>
        <v/>
      </c>
      <c r="R151" s="109" t="n">
        <f aca="false">IFERROR(IF(OR(NOT(ISNUMBER('Price History'!R152)),NOT(ISNUMBER('Price History'!R151)),'Price History'!R151=0),"",'Price History'!R152/'Price History'!R151-1),"")</f>
        <v>0.0247243568326094</v>
      </c>
      <c r="S151" s="109" t="n">
        <f aca="false">IFERROR(IF(OR(NOT(ISNUMBER('Price History'!S152)),NOT(ISNUMBER('Price History'!S151)),'Price History'!S151=0),"",'Price History'!S152/'Price History'!S151-1),"")</f>
        <v>0.0486621196222457</v>
      </c>
      <c r="T151" s="109" t="n">
        <f aca="false">IFERROR(IF(OR(NOT(ISNUMBER('Price History'!T152)),NOT(ISNUMBER('Price History'!T151)),'Price History'!T151=0),"",'Price History'!T152/'Price History'!T151-1),"")</f>
        <v>-0.0224670555195506</v>
      </c>
      <c r="U151" s="109" t="str">
        <f aca="false">IFERROR(IF(OR(NOT(ISNUMBER('Price History'!U152)),NOT(ISNUMBER('Price History'!U151)),'Price History'!U151=0),"",'Price History'!U152/'Price History'!U151-1),"")</f>
        <v/>
      </c>
      <c r="V151" s="110" t="str">
        <f aca="false">IFERROR(IF(OR(NOT(ISNUMBER('Price History'!V152)),NOT(ISNUMBER('Price History'!V151)),'Price History'!V151=0),"",'Price History'!V152/'Price History'!V151-1),"")</f>
        <v/>
      </c>
      <c r="W151" s="111" t="n">
        <f aca="false">IFERROR('Price History'!B3+(INDEX('Price History'!B:B,MATCH(9.99E+307,'Price History'!$A:$A))-'Price History'!B3)*(ROW()-3)/(MATCH(9.99E+307,'Returns (Calc)'!$A:$A)-3),"")</f>
        <v>283.247987421384</v>
      </c>
      <c r="X151" s="111" t="n">
        <f aca="false">IFERROR('Price History'!C3+(INDEX('Price History'!C:C,MATCH(9.99E+307,'Price History'!$A:$A))-'Price History'!C3)*(ROW()-3)/(MATCH(9.99E+307,'Returns (Calc)'!$A:$A)-3),"")</f>
        <v>183.399874213836</v>
      </c>
      <c r="Y151" s="111" t="n">
        <f aca="false">IFERROR('Price History'!D3+(INDEX('Price History'!D:D,MATCH(9.99E+307,'Price History'!$A:$A))-'Price History'!D3)*(ROW()-3)/(MATCH(9.99E+307,'Returns (Calc)'!$A:$A)-3),"")</f>
        <v>1642.02402515723</v>
      </c>
      <c r="Z151" s="111" t="n">
        <f aca="false">IFERROR('Price History'!E3+(INDEX('Price History'!E:E,MATCH(9.99E+307,'Price History'!$A:$A))-'Price History'!E3)*(ROW()-3)/(MATCH(9.99E+307,'Returns (Calc)'!$A:$A)-3),"")</f>
        <v>338.880377358491</v>
      </c>
      <c r="AA151" s="111" t="n">
        <f aca="false">IFERROR('Price History'!F3+(INDEX('Price History'!F:F,MATCH(9.99E+307,'Price History'!$A:$A))-'Price History'!F3)*(ROW()-3)/(MATCH(9.99E+307,'Returns (Calc)'!$A:$A)-3),"")</f>
        <v>200.921132075472</v>
      </c>
      <c r="AB151" s="111" t="n">
        <f aca="false">IFERROR('Price History'!G3+(INDEX('Price History'!G:G,MATCH(9.99E+307,'Price History'!$A:$A))-'Price History'!G3)*(ROW()-3)/(MATCH(9.99E+307,'Returns (Calc)'!$A:$A)-3),"")</f>
        <v>176.07358490566</v>
      </c>
      <c r="AC151" s="111" t="n">
        <f aca="false">IFERROR('Price History'!H3+(INDEX('Price History'!H:H,MATCH(9.99E+307,'Price History'!$A:$A))-'Price History'!H3)*(ROW()-3)/(MATCH(9.99E+307,'Returns (Calc)'!$A:$A)-3),"")</f>
        <v>950.713144654088</v>
      </c>
      <c r="AD151" s="111" t="n">
        <f aca="false">IFERROR('Price History'!I3+(INDEX('Price History'!I:I,MATCH(9.99E+307,'Price History'!$A:$A))-'Price History'!I3)*(ROW()-3)/(MATCH(9.99E+307,'Returns (Calc)'!$A:$A)-3),"")</f>
        <v>217.249245283019</v>
      </c>
      <c r="AE151" s="111" t="n">
        <f aca="false">IFERROR('Price History'!J3+(INDEX('Price History'!J:J,MATCH(9.99E+307,'Price History'!$A:$A))-'Price History'!J3)*(ROW()-3)/(MATCH(9.99E+307,'Returns (Calc)'!$A:$A)-3),"")</f>
        <v>136.38320754717</v>
      </c>
      <c r="AF151" s="111" t="n">
        <f aca="false">IFERROR('Price History'!K3+(INDEX('Price History'!K:K,MATCH(9.99E+307,'Price History'!$A:$A))-'Price History'!K3)*(ROW()-3)/(MATCH(9.99E+307,'Returns (Calc)'!$A:$A)-3),"")</f>
        <v>163.335534591195</v>
      </c>
      <c r="AG151" s="111" t="n">
        <f aca="false">IFERROR('Price History'!L3+(INDEX('Price History'!L:L,MATCH(9.99E+307,'Price History'!$A:$A))-'Price History'!L3)*(ROW()-3)/(MATCH(9.99E+307,'Returns (Calc)'!$A:$A)-3),"")</f>
        <v>405.60106918239</v>
      </c>
      <c r="AH151" s="111" t="n">
        <f aca="false">IFERROR('Price History'!M3+(INDEX('Price History'!M:M,MATCH(9.99E+307,'Price History'!$A:$A))-'Price History'!M3)*(ROW()-3)/(MATCH(9.99E+307,'Returns (Calc)'!$A:$A)-3),"")</f>
        <v>263.440566037736</v>
      </c>
      <c r="AI151" s="111" t="n">
        <f aca="false">IFERROR('Price History'!N3+(INDEX('Price History'!N:N,MATCH(9.99E+307,'Price History'!$A:$A))-'Price History'!N3)*(ROW()-3)/(MATCH(9.99E+307,'Returns (Calc)'!$A:$A)-3),"")</f>
        <v>532.542264150943</v>
      </c>
      <c r="AJ151" s="111" t="n">
        <f aca="false">IFERROR('Price History'!O3+(INDEX('Price History'!O:O,MATCH(9.99E+307,'Price History'!$A:$A))-'Price History'!O3)*(ROW()-3)/(MATCH(9.99E+307,'Returns (Calc)'!$A:$A)-3),"")</f>
        <v>123.880440251572</v>
      </c>
      <c r="AK151" s="111" t="n">
        <f aca="false">IFERROR('Price History'!Q3+(INDEX('Price History'!Q:Q,MATCH(9.99E+307,'Price History'!$A:$A))-'Price History'!Q3)*(ROW()-3)/(MATCH(9.99E+307,'Returns (Calc)'!$A:$A)-3),"")</f>
        <v>68.3446540880503</v>
      </c>
      <c r="AL151" s="111" t="n">
        <f aca="false">IFERROR('Price History'!R3+(INDEX('Price History'!R:R,MATCH(9.99E+307,'Price History'!$A:$A))-'Price History'!R3)*(ROW()-3)/(MATCH(9.99E+307,'Returns (Calc)'!$A:$A)-3),"")</f>
        <v>59.0363522012579</v>
      </c>
      <c r="AM151" s="111" t="n">
        <f aca="false">IFERROR('Price History'!S3+(INDEX('Price History'!S:S,MATCH(9.99E+307,'Price History'!$A:$A))-'Price History'!S3)*(ROW()-3)/(MATCH(9.99E+307,'Returns (Calc)'!$A:$A)-3),"")</f>
        <v>143.411949685535</v>
      </c>
      <c r="AN151" s="111" t="n">
        <f aca="false">IFERROR('Price History'!T3+(INDEX('Price History'!T:T,MATCH(9.99E+307,'Price History'!$A:$A))-'Price History'!T3)*(ROW()-3)/(MATCH(9.99E+307,'Returns (Calc)'!$A:$A)-3),"")</f>
        <v>53.3266037735849</v>
      </c>
      <c r="AO151" s="112" t="n">
        <f aca="false">IFERROR('Price History'!V3+(INDEX('Price History'!V:V,MATCH(9.99E+307,'Price History'!$A:$A))-'Price History'!V3)*(ROW()-3)/(MATCH(9.99E+307,'Returns (Calc)'!$A:$A)-3),"")</f>
        <v>349.121761006289</v>
      </c>
    </row>
    <row r="152" customFormat="false" ht="15" hidden="false" customHeight="true" outlineLevel="0" collapsed="false">
      <c r="A152" s="108" t="n">
        <f aca="false">IF('Price History'!A153="","",'Price History'!A153)</f>
        <v>46199</v>
      </c>
      <c r="B152" s="109" t="n">
        <f aca="false">IFERROR(IF(OR(NOT(ISNUMBER('Price History'!B153)),NOT(ISNUMBER('Price History'!B152)),'Price History'!B152=0),"",'Price History'!B153/'Price History'!B152-1),"")</f>
        <v>0.0387886862061897</v>
      </c>
      <c r="C152" s="109" t="n">
        <f aca="false">IFERROR(IF(OR(NOT(ISNUMBER('Price History'!C153)),NOT(ISNUMBER('Price History'!C152)),'Price History'!C152=0),"",'Price History'!C153/'Price History'!C152-1),"")</f>
        <v>-0.0711380915895562</v>
      </c>
      <c r="D152" s="109" t="n">
        <f aca="false">IFERROR(IF(OR(NOT(ISNUMBER('Price History'!D153)),NOT(ISNUMBER('Price History'!D152)),'Price History'!D152=0),"",'Price History'!D153/'Price History'!D152-1),"")</f>
        <v>-0.0699908793167781</v>
      </c>
      <c r="E152" s="109" t="n">
        <f aca="false">IFERROR(IF(OR(NOT(ISNUMBER('Price History'!E153)),NOT(ISNUMBER('Price History'!E152)),'Price History'!E152=0),"",'Price History'!E153/'Price History'!E152-1),"")</f>
        <v>-0.112629147927556</v>
      </c>
      <c r="F152" s="109" t="n">
        <f aca="false">IFERROR(IF(OR(NOT(ISNUMBER('Price History'!F153)),NOT(ISNUMBER('Price History'!F152)),'Price History'!F152=0),"",'Price History'!F153/'Price History'!F152-1),"")</f>
        <v>0.0236537787641631</v>
      </c>
      <c r="G152" s="109" t="n">
        <f aca="false">IFERROR(IF(OR(NOT(ISNUMBER('Price History'!G153)),NOT(ISNUMBER('Price History'!G152)),'Price History'!G152=0),"",'Price History'!G153/'Price History'!G152-1),"")</f>
        <v>-0.0420711974110033</v>
      </c>
      <c r="H152" s="109" t="n">
        <f aca="false">IFERROR(IF(OR(NOT(ISNUMBER('Price History'!H153)),NOT(ISNUMBER('Price History'!H152)),'Price History'!H152=0),"",'Price History'!H153/'Price History'!H152-1),"")</f>
        <v>-0.00146385770597635</v>
      </c>
      <c r="I152" s="109" t="n">
        <f aca="false">IFERROR(IF(OR(NOT(ISNUMBER('Price History'!I153)),NOT(ISNUMBER('Price History'!I152)),'Price History'!I152=0),"",'Price History'!I153/'Price History'!I152-1),"")</f>
        <v>-0.0861929849541981</v>
      </c>
      <c r="J152" s="109" t="n">
        <f aca="false">IFERROR(IF(OR(NOT(ISNUMBER('Price History'!J153)),NOT(ISNUMBER('Price History'!J152)),'Price History'!J152=0),"",'Price History'!J153/'Price History'!J152-1),"")</f>
        <v>-0.00405578482994162</v>
      </c>
      <c r="K152" s="109" t="n">
        <f aca="false">IFERROR(IF(OR(NOT(ISNUMBER('Price History'!K153)),NOT(ISNUMBER('Price History'!K152)),'Price History'!K152=0),"",'Price History'!K153/'Price History'!K152-1),"")</f>
        <v>-0.120962092317273</v>
      </c>
      <c r="L152" s="109" t="n">
        <f aca="false">IFERROR(IF(OR(NOT(ISNUMBER('Price History'!L153)),NOT(ISNUMBER('Price History'!L152)),'Price History'!L152=0),"",'Price History'!L153/'Price History'!L152-1),"")</f>
        <v>-0.0644204968406474</v>
      </c>
      <c r="M152" s="109" t="n">
        <f aca="false">IFERROR(IF(OR(NOT(ISNUMBER('Price History'!M153)),NOT(ISNUMBER('Price History'!M152)),'Price History'!M152=0),"",'Price History'!M153/'Price History'!M152-1),"")</f>
        <v>-0.0873742681279088</v>
      </c>
      <c r="N152" s="109" t="n">
        <f aca="false">IFERROR(IF(OR(NOT(ISNUMBER('Price History'!N153)),NOT(ISNUMBER('Price History'!N152)),'Price History'!N152=0),"",'Price History'!N153/'Price History'!N152-1),"")</f>
        <v>0.0879259570887674</v>
      </c>
      <c r="O152" s="109" t="n">
        <f aca="false">IFERROR(IF(OR(NOT(ISNUMBER('Price History'!O153)),NOT(ISNUMBER('Price History'!O152)),'Price History'!O152=0),"",'Price History'!O153/'Price History'!O152-1),"")</f>
        <v>0.0240983606557377</v>
      </c>
      <c r="P152" s="109" t="str">
        <f aca="false">IFERROR(IF(OR(NOT(ISNUMBER('Price History'!P153)),NOT(ISNUMBER('Price History'!P152)),'Price History'!P152=0),"",'Price History'!P153/'Price History'!P152-1),"")</f>
        <v/>
      </c>
      <c r="Q152" s="109" t="str">
        <f aca="false">IFERROR(IF(OR(NOT(ISNUMBER('Price History'!Q153)),NOT(ISNUMBER('Price History'!Q152)),'Price History'!Q152=0),"",'Price History'!Q153/'Price History'!Q152-1),"")</f>
        <v/>
      </c>
      <c r="R152" s="109" t="n">
        <f aca="false">IFERROR(IF(OR(NOT(ISNUMBER('Price History'!R153)),NOT(ISNUMBER('Price History'!R152)),'Price History'!R152=0),"",'Price History'!R153/'Price History'!R152-1),"")</f>
        <v>-0.0313009455493969</v>
      </c>
      <c r="S152" s="109" t="n">
        <f aca="false">IFERROR(IF(OR(NOT(ISNUMBER('Price History'!S153)),NOT(ISNUMBER('Price History'!S152)),'Price History'!S152=0),"",'Price History'!S153/'Price History'!S152-1),"")</f>
        <v>-0.0356472795497187</v>
      </c>
      <c r="T152" s="109" t="n">
        <f aca="false">IFERROR(IF(OR(NOT(ISNUMBER('Price History'!T153)),NOT(ISNUMBER('Price History'!T152)),'Price History'!T152=0),"",'Price History'!T153/'Price History'!T152-1),"")</f>
        <v>0.0207734806629833</v>
      </c>
      <c r="U152" s="109" t="str">
        <f aca="false">IFERROR(IF(OR(NOT(ISNUMBER('Price History'!U153)),NOT(ISNUMBER('Price History'!U152)),'Price History'!U152=0),"",'Price History'!U153/'Price History'!U152-1),"")</f>
        <v/>
      </c>
      <c r="V152" s="110" t="str">
        <f aca="false">IFERROR(IF(OR(NOT(ISNUMBER('Price History'!V153)),NOT(ISNUMBER('Price History'!V152)),'Price History'!V152=0),"",'Price History'!V153/'Price History'!V152-1),"")</f>
        <v/>
      </c>
      <c r="W152" s="111" t="n">
        <f aca="false">IFERROR('Price History'!B3+(INDEX('Price History'!B:B,MATCH(9.99E+307,'Price History'!$A:$A))-'Price History'!B3)*(ROW()-3)/(MATCH(9.99E+307,'Returns (Calc)'!$A:$A)-3),"")</f>
        <v>281.726352201258</v>
      </c>
      <c r="X152" s="111" t="n">
        <f aca="false">IFERROR('Price History'!C3+(INDEX('Price History'!C:C,MATCH(9.99E+307,'Price History'!$A:$A))-'Price History'!C3)*(ROW()-3)/(MATCH(9.99E+307,'Returns (Calc)'!$A:$A)-3),"")</f>
        <v>184.343522012579</v>
      </c>
      <c r="Y152" s="111" t="n">
        <f aca="false">IFERROR('Price History'!D3+(INDEX('Price History'!D:D,MATCH(9.99E+307,'Price History'!$A:$A))-'Price History'!D3)*(ROW()-3)/(MATCH(9.99E+307,'Returns (Calc)'!$A:$A)-3),"")</f>
        <v>1648.64729559748</v>
      </c>
      <c r="Z152" s="111" t="n">
        <f aca="false">IFERROR('Price History'!E3+(INDEX('Price History'!E:E,MATCH(9.99E+307,'Price History'!$A:$A))-'Price History'!E3)*(ROW()-3)/(MATCH(9.99E+307,'Returns (Calc)'!$A:$A)-3),"")</f>
        <v>340.609433962264</v>
      </c>
      <c r="AA152" s="111" t="n">
        <f aca="false">IFERROR('Price History'!F3+(INDEX('Price History'!F:F,MATCH(9.99E+307,'Price History'!$A:$A))-'Price History'!F3)*(ROW()-3)/(MATCH(9.99E+307,'Returns (Calc)'!$A:$A)-3),"")</f>
        <v>202.028301886792</v>
      </c>
      <c r="AB152" s="111" t="n">
        <f aca="false">IFERROR('Price History'!G3+(INDEX('Price History'!G:G,MATCH(9.99E+307,'Price History'!$A:$A))-'Price History'!G3)*(ROW()-3)/(MATCH(9.99E+307,'Returns (Calc)'!$A:$A)-3),"")</f>
        <v>176.939622641509</v>
      </c>
      <c r="AC152" s="111" t="n">
        <f aca="false">IFERROR('Price History'!H3+(INDEX('Price History'!H:H,MATCH(9.99E+307,'Price History'!$A:$A))-'Price History'!H3)*(ROW()-3)/(MATCH(9.99E+307,'Returns (Calc)'!$A:$A)-3),"")</f>
        <v>956.701949685535</v>
      </c>
      <c r="AD152" s="111" t="n">
        <f aca="false">IFERROR('Price History'!I3+(INDEX('Price History'!I:I,MATCH(9.99E+307,'Price History'!$A:$A))-'Price History'!I3)*(ROW()-3)/(MATCH(9.99E+307,'Returns (Calc)'!$A:$A)-3),"")</f>
        <v>218.441132075472</v>
      </c>
      <c r="AE152" s="111" t="n">
        <f aca="false">IFERROR('Price History'!J3+(INDEX('Price History'!J:J,MATCH(9.99E+307,'Price History'!$A:$A))-'Price History'!J3)*(ROW()-3)/(MATCH(9.99E+307,'Returns (Calc)'!$A:$A)-3),"")</f>
        <v>136.470188679245</v>
      </c>
      <c r="AF152" s="111" t="n">
        <f aca="false">IFERROR('Price History'!K3+(INDEX('Price History'!K:K,MATCH(9.99E+307,'Price History'!$A:$A))-'Price History'!K3)*(ROW()-3)/(MATCH(9.99E+307,'Returns (Calc)'!$A:$A)-3),"")</f>
        <v>164.335031446541</v>
      </c>
      <c r="AG152" s="111" t="n">
        <f aca="false">IFERROR('Price History'!L3+(INDEX('Price History'!L:L,MATCH(9.99E+307,'Price History'!$A:$A))-'Price History'!L3)*(ROW()-3)/(MATCH(9.99E+307,'Returns (Calc)'!$A:$A)-3),"")</f>
        <v>407.720062893082</v>
      </c>
      <c r="AH152" s="111" t="n">
        <f aca="false">IFERROR('Price History'!M3+(INDEX('Price History'!M:M,MATCH(9.99E+307,'Price History'!$A:$A))-'Price History'!M3)*(ROW()-3)/(MATCH(9.99E+307,'Returns (Calc)'!$A:$A)-3),"")</f>
        <v>264.994150943396</v>
      </c>
      <c r="AI152" s="111" t="n">
        <f aca="false">IFERROR('Price History'!N3+(INDEX('Price History'!N:N,MATCH(9.99E+307,'Price History'!$A:$A))-'Price History'!N3)*(ROW()-3)/(MATCH(9.99E+307,'Returns (Calc)'!$A:$A)-3),"")</f>
        <v>533.776603773585</v>
      </c>
      <c r="AJ152" s="111" t="n">
        <f aca="false">IFERROR('Price History'!O3+(INDEX('Price History'!O:O,MATCH(9.99E+307,'Price History'!$A:$A))-'Price History'!O3)*(ROW()-3)/(MATCH(9.99E+307,'Returns (Calc)'!$A:$A)-3),"")</f>
        <v>124.157672955975</v>
      </c>
      <c r="AK152" s="111" t="n">
        <f aca="false">IFERROR('Price History'!Q3+(INDEX('Price History'!Q:Q,MATCH(9.99E+307,'Price History'!$A:$A))-'Price History'!Q3)*(ROW()-3)/(MATCH(9.99E+307,'Returns (Calc)'!$A:$A)-3),"")</f>
        <v>68.4696855345912</v>
      </c>
      <c r="AL152" s="111" t="n">
        <f aca="false">IFERROR('Price History'!R3+(INDEX('Price History'!R:R,MATCH(9.99E+307,'Price History'!$A:$A))-'Price History'!R3)*(ROW()-3)/(MATCH(9.99E+307,'Returns (Calc)'!$A:$A)-3),"")</f>
        <v>59.1121383647799</v>
      </c>
      <c r="AM152" s="111" t="n">
        <f aca="false">IFERROR('Price History'!S3+(INDEX('Price History'!S:S,MATCH(9.99E+307,'Price History'!$A:$A))-'Price History'!S3)*(ROW()-3)/(MATCH(9.99E+307,'Returns (Calc)'!$A:$A)-3),"")</f>
        <v>143.985408805031</v>
      </c>
      <c r="AN152" s="111" t="n">
        <f aca="false">IFERROR('Price History'!T3+(INDEX('Price History'!T:T,MATCH(9.99E+307,'Price History'!$A:$A))-'Price History'!T3)*(ROW()-3)/(MATCH(9.99E+307,'Returns (Calc)'!$A:$A)-3),"")</f>
        <v>53.5050943396226</v>
      </c>
      <c r="AO152" s="112" t="n">
        <f aca="false">IFERROR('Price History'!V3+(INDEX('Price History'!V:V,MATCH(9.99E+307,'Price History'!$A:$A))-'Price History'!V3)*(ROW()-3)/(MATCH(9.99E+307,'Returns (Calc)'!$A:$A)-3),"")</f>
        <v>351.480691823899</v>
      </c>
    </row>
    <row r="153" customFormat="false" ht="15" hidden="false" customHeight="true" outlineLevel="0" collapsed="false">
      <c r="A153" s="108" t="n">
        <f aca="false">IF('Price History'!A154="","",'Price History'!A154)</f>
        <v>46205</v>
      </c>
      <c r="B153" s="109" t="n">
        <f aca="false">IFERROR(IF(OR(NOT(ISNUMBER('Price History'!B154)),NOT(ISNUMBER('Price History'!B153)),'Price History'!B153=0),"",'Price History'!B154/'Price History'!B153-1),"")</f>
        <v>0.0838060474522764</v>
      </c>
      <c r="C153" s="109" t="n">
        <f aca="false">IFERROR(IF(OR(NOT(ISNUMBER('Price History'!C154)),NOT(ISNUMBER('Price History'!C153)),'Price History'!C153=0),"",'Price History'!C154/'Price History'!C153-1),"")</f>
        <v>0.0151649746192895</v>
      </c>
      <c r="D153" s="109" t="n">
        <f aca="false">IFERROR(IF(OR(NOT(ISNUMBER('Price History'!D154)),NOT(ISNUMBER('Price History'!D153)),'Price History'!D153=0),"",'Price History'!D154/'Price History'!D153-1),"")</f>
        <v>-0.0140976919905049</v>
      </c>
      <c r="E153" s="109" t="n">
        <f aca="false">IFERROR(IF(OR(NOT(ISNUMBER('Price History'!E154)),NOT(ISNUMBER('Price History'!E153)),'Price History'!E153=0),"",'Price History'!E154/'Price History'!E153-1),"")</f>
        <v>-0.0125198619253739</v>
      </c>
      <c r="F153" s="109" t="n">
        <f aca="false">IFERROR(IF(OR(NOT(ISNUMBER('Price History'!F154)),NOT(ISNUMBER('Price History'!F153)),'Price History'!F153=0),"",'Price History'!F154/'Price History'!F153-1),"")</f>
        <v>0.106749586352485</v>
      </c>
      <c r="G153" s="109" t="n">
        <f aca="false">IFERROR(IF(OR(NOT(ISNUMBER('Price History'!G154)),NOT(ISNUMBER('Price History'!G153)),'Price History'!G153=0),"",'Price History'!G154/'Price History'!G153-1),"")</f>
        <v>-0.0526463963963963</v>
      </c>
      <c r="H153" s="109" t="n">
        <f aca="false">IFERROR(IF(OR(NOT(ISNUMBER('Price History'!H154)),NOT(ISNUMBER('Price History'!H153)),'Price History'!H153=0),"",'Price History'!H154/'Price History'!H153-1),"")</f>
        <v>-0.138449038707797</v>
      </c>
      <c r="I153" s="109" t="n">
        <f aca="false">IFERROR(IF(OR(NOT(ISNUMBER('Price History'!I154)),NOT(ISNUMBER('Price History'!I153)),'Price History'!I153=0),"",'Price History'!I154/'Price History'!I153-1),"")</f>
        <v>0.011946190204124</v>
      </c>
      <c r="J153" s="109" t="n">
        <f aca="false">IFERROR(IF(OR(NOT(ISNUMBER('Price History'!J154)),NOT(ISNUMBER('Price History'!J153)),'Price History'!J153=0),"",'Price History'!J154/'Price History'!J153-1),"")</f>
        <v>-0.00385796956490669</v>
      </c>
      <c r="K153" s="109" t="n">
        <f aca="false">IFERROR(IF(OR(NOT(ISNUMBER('Price History'!K154)),NOT(ISNUMBER('Price History'!K153)),'Price History'!K153=0),"",'Price History'!K154/'Price History'!K153-1),"")</f>
        <v>0.144957053041707</v>
      </c>
      <c r="L153" s="109" t="n">
        <f aca="false">IFERROR(IF(OR(NOT(ISNUMBER('Price History'!L154)),NOT(ISNUMBER('Price History'!L153)),'Price History'!L153=0),"",'Price History'!L154/'Price History'!L153-1),"")</f>
        <v>0.00418642303689132</v>
      </c>
      <c r="M153" s="109" t="n">
        <f aca="false">IFERROR(IF(OR(NOT(ISNUMBER('Price History'!M154)),NOT(ISNUMBER('Price History'!M153)),'Price History'!M153=0),"",'Price History'!M154/'Price History'!M153-1),"")</f>
        <v>-0.0112518506333279</v>
      </c>
      <c r="N153" s="109" t="n">
        <f aca="false">IFERROR(IF(OR(NOT(ISNUMBER('Price History'!N154)),NOT(ISNUMBER('Price History'!N153)),'Price History'!N153=0),"",'Price History'!N154/'Price History'!N153-1),"")</f>
        <v>0.074693694793829</v>
      </c>
      <c r="O153" s="109" t="n">
        <f aca="false">IFERROR(IF(OR(NOT(ISNUMBER('Price History'!O154)),NOT(ISNUMBER('Price History'!O153)),'Price History'!O153=0),"",'Price History'!O154/'Price History'!O153-1),"")</f>
        <v>-0.0114454938370417</v>
      </c>
      <c r="P153" s="109" t="str">
        <f aca="false">IFERROR(IF(OR(NOT(ISNUMBER('Price History'!P154)),NOT(ISNUMBER('Price History'!P153)),'Price History'!P153=0),"",'Price History'!P154/'Price History'!P153-1),"")</f>
        <v/>
      </c>
      <c r="Q153" s="109" t="str">
        <f aca="false">IFERROR(IF(OR(NOT(ISNUMBER('Price History'!Q154)),NOT(ISNUMBER('Price History'!Q153)),'Price History'!Q153=0),"",'Price History'!Q154/'Price History'!Q153-1),"")</f>
        <v/>
      </c>
      <c r="R153" s="109" t="n">
        <f aca="false">IFERROR(IF(OR(NOT(ISNUMBER('Price History'!R154)),NOT(ISNUMBER('Price History'!R153)),'Price History'!R153=0),"",'Price History'!R154/'Price History'!R153-1),"")</f>
        <v>-0.000504880511612238</v>
      </c>
      <c r="S153" s="109" t="n">
        <f aca="false">IFERROR(IF(OR(NOT(ISNUMBER('Price History'!S154)),NOT(ISNUMBER('Price History'!S153)),'Price History'!S153=0),"",'Price History'!S154/'Price History'!S153-1),"")</f>
        <v>-0.0218547341115433</v>
      </c>
      <c r="T153" s="109" t="n">
        <f aca="false">IFERROR(IF(OR(NOT(ISNUMBER('Price History'!T154)),NOT(ISNUMBER('Price History'!T153)),'Price History'!T153=0),"",'Price History'!T154/'Price History'!T153-1),"")</f>
        <v>0.0175362632604461</v>
      </c>
      <c r="U153" s="109" t="str">
        <f aca="false">IFERROR(IF(OR(NOT(ISNUMBER('Price History'!U154)),NOT(ISNUMBER('Price History'!U153)),'Price History'!U153=0),"",'Price History'!U154/'Price History'!U153-1),"")</f>
        <v/>
      </c>
      <c r="V153" s="110" t="str">
        <f aca="false">IFERROR(IF(OR(NOT(ISNUMBER('Price History'!V154)),NOT(ISNUMBER('Price History'!V153)),'Price History'!V153=0),"",'Price History'!V154/'Price History'!V153-1),"")</f>
        <v/>
      </c>
      <c r="W153" s="111" t="n">
        <f aca="false">IFERROR('Price History'!B3+(INDEX('Price History'!B:B,MATCH(9.99E+307,'Price History'!$A:$A))-'Price History'!B3)*(ROW()-3)/(MATCH(9.99E+307,'Returns (Calc)'!$A:$A)-3),"")</f>
        <v>280.204716981132</v>
      </c>
      <c r="X153" s="111" t="n">
        <f aca="false">IFERROR('Price History'!C3+(INDEX('Price History'!C:C,MATCH(9.99E+307,'Price History'!$A:$A))-'Price History'!C3)*(ROW()-3)/(MATCH(9.99E+307,'Returns (Calc)'!$A:$A)-3),"")</f>
        <v>185.287169811321</v>
      </c>
      <c r="Y153" s="111" t="n">
        <f aca="false">IFERROR('Price History'!D3+(INDEX('Price History'!D:D,MATCH(9.99E+307,'Price History'!$A:$A))-'Price History'!D3)*(ROW()-3)/(MATCH(9.99E+307,'Returns (Calc)'!$A:$A)-3),"")</f>
        <v>1655.27056603774</v>
      </c>
      <c r="Z153" s="111" t="n">
        <f aca="false">IFERROR('Price History'!E3+(INDEX('Price History'!E:E,MATCH(9.99E+307,'Price History'!$A:$A))-'Price History'!E3)*(ROW()-3)/(MATCH(9.99E+307,'Returns (Calc)'!$A:$A)-3),"")</f>
        <v>342.338490566038</v>
      </c>
      <c r="AA153" s="111" t="n">
        <f aca="false">IFERROR('Price History'!F3+(INDEX('Price History'!F:F,MATCH(9.99E+307,'Price History'!$A:$A))-'Price History'!F3)*(ROW()-3)/(MATCH(9.99E+307,'Returns (Calc)'!$A:$A)-3),"")</f>
        <v>203.135471698113</v>
      </c>
      <c r="AB153" s="111" t="n">
        <f aca="false">IFERROR('Price History'!G3+(INDEX('Price History'!G:G,MATCH(9.99E+307,'Price History'!$A:$A))-'Price History'!G3)*(ROW()-3)/(MATCH(9.99E+307,'Returns (Calc)'!$A:$A)-3),"")</f>
        <v>177.805660377359</v>
      </c>
      <c r="AC153" s="111" t="n">
        <f aca="false">IFERROR('Price History'!H3+(INDEX('Price History'!H:H,MATCH(9.99E+307,'Price History'!$A:$A))-'Price History'!H3)*(ROW()-3)/(MATCH(9.99E+307,'Returns (Calc)'!$A:$A)-3),"")</f>
        <v>962.690754716981</v>
      </c>
      <c r="AD153" s="111" t="n">
        <f aca="false">IFERROR('Price History'!I3+(INDEX('Price History'!I:I,MATCH(9.99E+307,'Price History'!$A:$A))-'Price History'!I3)*(ROW()-3)/(MATCH(9.99E+307,'Returns (Calc)'!$A:$A)-3),"")</f>
        <v>219.633018867925</v>
      </c>
      <c r="AE153" s="111" t="n">
        <f aca="false">IFERROR('Price History'!J3+(INDEX('Price History'!J:J,MATCH(9.99E+307,'Price History'!$A:$A))-'Price History'!J3)*(ROW()-3)/(MATCH(9.99E+307,'Returns (Calc)'!$A:$A)-3),"")</f>
        <v>136.557169811321</v>
      </c>
      <c r="AF153" s="111" t="n">
        <f aca="false">IFERROR('Price History'!K3+(INDEX('Price History'!K:K,MATCH(9.99E+307,'Price History'!$A:$A))-'Price History'!K3)*(ROW()-3)/(MATCH(9.99E+307,'Returns (Calc)'!$A:$A)-3),"")</f>
        <v>165.334528301887</v>
      </c>
      <c r="AG153" s="111" t="n">
        <f aca="false">IFERROR('Price History'!L3+(INDEX('Price History'!L:L,MATCH(9.99E+307,'Price History'!$A:$A))-'Price History'!L3)*(ROW()-3)/(MATCH(9.99E+307,'Returns (Calc)'!$A:$A)-3),"")</f>
        <v>409.839056603774</v>
      </c>
      <c r="AH153" s="111" t="n">
        <f aca="false">IFERROR('Price History'!M3+(INDEX('Price History'!M:M,MATCH(9.99E+307,'Price History'!$A:$A))-'Price History'!M3)*(ROW()-3)/(MATCH(9.99E+307,'Returns (Calc)'!$A:$A)-3),"")</f>
        <v>266.547735849057</v>
      </c>
      <c r="AI153" s="111" t="n">
        <f aca="false">IFERROR('Price History'!N3+(INDEX('Price History'!N:N,MATCH(9.99E+307,'Price History'!$A:$A))-'Price History'!N3)*(ROW()-3)/(MATCH(9.99E+307,'Returns (Calc)'!$A:$A)-3),"")</f>
        <v>535.010943396226</v>
      </c>
      <c r="AJ153" s="111" t="n">
        <f aca="false">IFERROR('Price History'!O3+(INDEX('Price History'!O:O,MATCH(9.99E+307,'Price History'!$A:$A))-'Price History'!O3)*(ROW()-3)/(MATCH(9.99E+307,'Returns (Calc)'!$A:$A)-3),"")</f>
        <v>124.434905660377</v>
      </c>
      <c r="AK153" s="111" t="n">
        <f aca="false">IFERROR('Price History'!Q3+(INDEX('Price History'!Q:Q,MATCH(9.99E+307,'Price History'!$A:$A))-'Price History'!Q3)*(ROW()-3)/(MATCH(9.99E+307,'Returns (Calc)'!$A:$A)-3),"")</f>
        <v>68.5947169811321</v>
      </c>
      <c r="AL153" s="111" t="n">
        <f aca="false">IFERROR('Price History'!R3+(INDEX('Price History'!R:R,MATCH(9.99E+307,'Price History'!$A:$A))-'Price History'!R3)*(ROW()-3)/(MATCH(9.99E+307,'Returns (Calc)'!$A:$A)-3),"")</f>
        <v>59.1879245283019</v>
      </c>
      <c r="AM153" s="111" t="n">
        <f aca="false">IFERROR('Price History'!S3+(INDEX('Price History'!S:S,MATCH(9.99E+307,'Price History'!$A:$A))-'Price History'!S3)*(ROW()-3)/(MATCH(9.99E+307,'Returns (Calc)'!$A:$A)-3),"")</f>
        <v>144.558867924528</v>
      </c>
      <c r="AN153" s="111" t="n">
        <f aca="false">IFERROR('Price History'!T3+(INDEX('Price History'!T:T,MATCH(9.99E+307,'Price History'!$A:$A))-'Price History'!T3)*(ROW()-3)/(MATCH(9.99E+307,'Returns (Calc)'!$A:$A)-3),"")</f>
        <v>53.6835849056604</v>
      </c>
      <c r="AO153" s="112" t="n">
        <f aca="false">IFERROR('Price History'!V3+(INDEX('Price History'!V:V,MATCH(9.99E+307,'Price History'!$A:$A))-'Price History'!V3)*(ROW()-3)/(MATCH(9.99E+307,'Returns (Calc)'!$A:$A)-3),"")</f>
        <v>353.839622641509</v>
      </c>
    </row>
    <row r="154" customFormat="false" ht="15" hidden="false" customHeight="true" outlineLevel="0" collapsed="false">
      <c r="A154" s="108" t="n">
        <f aca="false">IF('Price History'!A155="","",'Price History'!A155)</f>
        <v>46213</v>
      </c>
      <c r="B154" s="109" t="n">
        <f aca="false">IFERROR(IF(OR(NOT(ISNUMBER('Price History'!B155)),NOT(ISNUMBER('Price History'!B154)),'Price History'!B154=0),"",'Price History'!B155/'Price History'!B154-1),"")</f>
        <v>0.0178408884034225</v>
      </c>
      <c r="C154" s="109" t="n">
        <f aca="false">IFERROR(IF(OR(NOT(ISNUMBER('Price History'!C155)),NOT(ISNUMBER('Price History'!C154)),'Price History'!C154=0),"",'Price History'!C155/'Price History'!C154-1),"")</f>
        <v>0.168573035814738</v>
      </c>
      <c r="D154" s="109" t="n">
        <f aca="false">IFERROR(IF(OR(NOT(ISNUMBER('Price History'!D155)),NOT(ISNUMBER('Price History'!D154)),'Price History'!D154=0),"",'Price History'!D155/'Price History'!D154-1),"")</f>
        <v>0.0158252888115209</v>
      </c>
      <c r="E154" s="109" t="n">
        <f aca="false">IFERROR(IF(OR(NOT(ISNUMBER('Price History'!E155)),NOT(ISNUMBER('Price History'!E154)),'Price History'!E154=0),"",'Price History'!E155/'Price History'!E154-1),"")</f>
        <v>0.109640726869191</v>
      </c>
      <c r="F154" s="109" t="n">
        <f aca="false">IFERROR(IF(OR(NOT(ISNUMBER('Price History'!F155)),NOT(ISNUMBER('Price History'!F154)),'Price History'!F154=0),"",'Price History'!F155/'Price History'!F154-1),"")</f>
        <v>-0.0350551603258067</v>
      </c>
      <c r="G154" s="109" t="n">
        <f aca="false">IFERROR(IF(OR(NOT(ISNUMBER('Price History'!G155)),NOT(ISNUMBER('Price History'!G154)),'Price History'!G154=0),"",'Price History'!G155/'Price History'!G154-1),"")</f>
        <v>-0.0171088940776906</v>
      </c>
      <c r="H154" s="109" t="n">
        <f aca="false">IFERROR(IF(OR(NOT(ISNUMBER('Price History'!H155)),NOT(ISNUMBER('Price History'!H154)),'Price History'!H154=0),"",'Price History'!H155/'Price History'!H154-1),"")</f>
        <v>0.00383369551847146</v>
      </c>
      <c r="I154" s="109" t="n">
        <f aca="false">IFERROR(IF(OR(NOT(ISNUMBER('Price History'!I155)),NOT(ISNUMBER('Price History'!I154)),'Price History'!I154=0),"",'Price History'!I155/'Price History'!I154-1),"")</f>
        <v>0.0827901247241185</v>
      </c>
      <c r="J154" s="109" t="n">
        <f aca="false">IFERROR(IF(OR(NOT(ISNUMBER('Price History'!J155)),NOT(ISNUMBER('Price History'!J154)),'Price History'!J154=0),"",'Price History'!J155/'Price History'!J154-1),"")</f>
        <v>0.0103277630352148</v>
      </c>
      <c r="K154" s="109" t="n">
        <f aca="false">IFERROR(IF(OR(NOT(ISNUMBER('Price History'!K155)),NOT(ISNUMBER('Price History'!K154)),'Price History'!K154=0),"",'Price History'!K155/'Price History'!K154-1),"")</f>
        <v>-0.0194122196442382</v>
      </c>
      <c r="L154" s="109" t="n">
        <f aca="false">IFERROR(IF(OR(NOT(ISNUMBER('Price History'!L155)),NOT(ISNUMBER('Price History'!L154)),'Price History'!L154=0),"",'Price History'!L155/'Price History'!L154-1),"")</f>
        <v>-0.000115164916159927</v>
      </c>
      <c r="M154" s="109" t="n">
        <f aca="false">IFERROR(IF(OR(NOT(ISNUMBER('Price History'!M155)),NOT(ISNUMBER('Price History'!M154)),'Price History'!M154=0),"",'Price History'!M155/'Price History'!M154-1),"")</f>
        <v>0.0609922470302466</v>
      </c>
      <c r="N154" s="109" t="n">
        <f aca="false">IFERROR(IF(OR(NOT(ISNUMBER('Price History'!N155)),NOT(ISNUMBER('Price History'!N154)),'Price History'!N154=0),"",'Price History'!N155/'Price History'!N154-1),"")</f>
        <v>-0.0807703961821074</v>
      </c>
      <c r="O154" s="109" t="n">
        <f aca="false">IFERROR(IF(OR(NOT(ISNUMBER('Price History'!O155)),NOT(ISNUMBER('Price History'!O154)),'Price History'!O154=0),"",'Price History'!O155/'Price History'!O154-1),"")</f>
        <v>0.00356246457776699</v>
      </c>
      <c r="P154" s="109" t="str">
        <f aca="false">IFERROR(IF(OR(NOT(ISNUMBER('Price History'!P155)),NOT(ISNUMBER('Price History'!P154)),'Price History'!P154=0),"",'Price History'!P155/'Price History'!P154-1),"")</f>
        <v/>
      </c>
      <c r="Q154" s="109" t="str">
        <f aca="false">IFERROR(IF(OR(NOT(ISNUMBER('Price History'!Q155)),NOT(ISNUMBER('Price History'!Q154)),'Price History'!Q154=0),"",'Price History'!Q155/'Price History'!Q154-1),"")</f>
        <v/>
      </c>
      <c r="R154" s="109" t="n">
        <f aca="false">IFERROR(IF(OR(NOT(ISNUMBER('Price History'!R155)),NOT(ISNUMBER('Price History'!R154)),'Price History'!R154=0),"",'Price History'!R155/'Price History'!R154-1),"")</f>
        <v>0.0188583936689677</v>
      </c>
      <c r="S154" s="109" t="n">
        <f aca="false">IFERROR(IF(OR(NOT(ISNUMBER('Price History'!S155)),NOT(ISNUMBER('Price History'!S154)),'Price History'!S154=0),"",'Price History'!S155/'Price History'!S154-1),"")</f>
        <v>0.0193595438573226</v>
      </c>
      <c r="T154" s="109" t="n">
        <f aca="false">IFERROR(IF(OR(NOT(ISNUMBER('Price History'!T155)),NOT(ISNUMBER('Price History'!T154)),'Price History'!T154=0),"",'Price History'!T155/'Price History'!T154-1),"")</f>
        <v>0.00829787234042545</v>
      </c>
      <c r="U154" s="109" t="str">
        <f aca="false">IFERROR(IF(OR(NOT(ISNUMBER('Price History'!U155)),NOT(ISNUMBER('Price History'!U154)),'Price History'!U154=0),"",'Price History'!U155/'Price History'!U154-1),"")</f>
        <v/>
      </c>
      <c r="V154" s="110" t="str">
        <f aca="false">IFERROR(IF(OR(NOT(ISNUMBER('Price History'!V155)),NOT(ISNUMBER('Price History'!V154)),'Price History'!V154=0),"",'Price History'!V155/'Price History'!V154-1),"")</f>
        <v/>
      </c>
      <c r="W154" s="111" t="n">
        <f aca="false">IFERROR('Price History'!B3+(INDEX('Price History'!B:B,MATCH(9.99E+307,'Price History'!$A:$A))-'Price History'!B3)*(ROW()-3)/(MATCH(9.99E+307,'Returns (Calc)'!$A:$A)-3),"")</f>
        <v>278.683081761006</v>
      </c>
      <c r="X154" s="111" t="n">
        <f aca="false">IFERROR('Price History'!C3+(INDEX('Price History'!C:C,MATCH(9.99E+307,'Price History'!$A:$A))-'Price History'!C3)*(ROW()-3)/(MATCH(9.99E+307,'Returns (Calc)'!$A:$A)-3),"")</f>
        <v>186.230817610063</v>
      </c>
      <c r="Y154" s="111" t="n">
        <f aca="false">IFERROR('Price History'!D3+(INDEX('Price History'!D:D,MATCH(9.99E+307,'Price History'!$A:$A))-'Price History'!D3)*(ROW()-3)/(MATCH(9.99E+307,'Returns (Calc)'!$A:$A)-3),"")</f>
        <v>1661.89383647799</v>
      </c>
      <c r="Z154" s="111" t="n">
        <f aca="false">IFERROR('Price History'!E3+(INDEX('Price History'!E:E,MATCH(9.99E+307,'Price History'!$A:$A))-'Price History'!E3)*(ROW()-3)/(MATCH(9.99E+307,'Returns (Calc)'!$A:$A)-3),"")</f>
        <v>344.067547169811</v>
      </c>
      <c r="AA154" s="111" t="n">
        <f aca="false">IFERROR('Price History'!F3+(INDEX('Price History'!F:F,MATCH(9.99E+307,'Price History'!$A:$A))-'Price History'!F3)*(ROW()-3)/(MATCH(9.99E+307,'Returns (Calc)'!$A:$A)-3),"")</f>
        <v>204.242641509434</v>
      </c>
      <c r="AB154" s="111" t="n">
        <f aca="false">IFERROR('Price History'!G3+(INDEX('Price History'!G:G,MATCH(9.99E+307,'Price History'!$A:$A))-'Price History'!G3)*(ROW()-3)/(MATCH(9.99E+307,'Returns (Calc)'!$A:$A)-3),"")</f>
        <v>178.671698113208</v>
      </c>
      <c r="AC154" s="111" t="n">
        <f aca="false">IFERROR('Price History'!H3+(INDEX('Price History'!H:H,MATCH(9.99E+307,'Price History'!$A:$A))-'Price History'!H3)*(ROW()-3)/(MATCH(9.99E+307,'Returns (Calc)'!$A:$A)-3),"")</f>
        <v>968.679559748428</v>
      </c>
      <c r="AD154" s="111" t="n">
        <f aca="false">IFERROR('Price History'!I3+(INDEX('Price History'!I:I,MATCH(9.99E+307,'Price History'!$A:$A))-'Price History'!I3)*(ROW()-3)/(MATCH(9.99E+307,'Returns (Calc)'!$A:$A)-3),"")</f>
        <v>220.824905660377</v>
      </c>
      <c r="AE154" s="111" t="n">
        <f aca="false">IFERROR('Price History'!J3+(INDEX('Price History'!J:J,MATCH(9.99E+307,'Price History'!$A:$A))-'Price History'!J3)*(ROW()-3)/(MATCH(9.99E+307,'Returns (Calc)'!$A:$A)-3),"")</f>
        <v>136.644150943396</v>
      </c>
      <c r="AF154" s="111" t="n">
        <f aca="false">IFERROR('Price History'!K3+(INDEX('Price History'!K:K,MATCH(9.99E+307,'Price History'!$A:$A))-'Price History'!K3)*(ROW()-3)/(MATCH(9.99E+307,'Returns (Calc)'!$A:$A)-3),"")</f>
        <v>166.334025157233</v>
      </c>
      <c r="AG154" s="111" t="n">
        <f aca="false">IFERROR('Price History'!L3+(INDEX('Price History'!L:L,MATCH(9.99E+307,'Price History'!$A:$A))-'Price History'!L3)*(ROW()-3)/(MATCH(9.99E+307,'Returns (Calc)'!$A:$A)-3),"")</f>
        <v>411.958050314465</v>
      </c>
      <c r="AH154" s="111" t="n">
        <f aca="false">IFERROR('Price History'!M3+(INDEX('Price History'!M:M,MATCH(9.99E+307,'Price History'!$A:$A))-'Price History'!M3)*(ROW()-3)/(MATCH(9.99E+307,'Returns (Calc)'!$A:$A)-3),"")</f>
        <v>268.101320754717</v>
      </c>
      <c r="AI154" s="111" t="n">
        <f aca="false">IFERROR('Price History'!N3+(INDEX('Price History'!N:N,MATCH(9.99E+307,'Price History'!$A:$A))-'Price History'!N3)*(ROW()-3)/(MATCH(9.99E+307,'Returns (Calc)'!$A:$A)-3),"")</f>
        <v>536.245283018868</v>
      </c>
      <c r="AJ154" s="111" t="n">
        <f aca="false">IFERROR('Price History'!O3+(INDEX('Price History'!O:O,MATCH(9.99E+307,'Price History'!$A:$A))-'Price History'!O3)*(ROW()-3)/(MATCH(9.99E+307,'Returns (Calc)'!$A:$A)-3),"")</f>
        <v>124.71213836478</v>
      </c>
      <c r="AK154" s="111" t="n">
        <f aca="false">IFERROR('Price History'!Q3+(INDEX('Price History'!Q:Q,MATCH(9.99E+307,'Price History'!$A:$A))-'Price History'!Q3)*(ROW()-3)/(MATCH(9.99E+307,'Returns (Calc)'!$A:$A)-3),"")</f>
        <v>68.719748427673</v>
      </c>
      <c r="AL154" s="111" t="n">
        <f aca="false">IFERROR('Price History'!R3+(INDEX('Price History'!R:R,MATCH(9.99E+307,'Price History'!$A:$A))-'Price History'!R3)*(ROW()-3)/(MATCH(9.99E+307,'Returns (Calc)'!$A:$A)-3),"")</f>
        <v>59.2637106918239</v>
      </c>
      <c r="AM154" s="111" t="n">
        <f aca="false">IFERROR('Price History'!S3+(INDEX('Price History'!S:S,MATCH(9.99E+307,'Price History'!$A:$A))-'Price History'!S3)*(ROW()-3)/(MATCH(9.99E+307,'Returns (Calc)'!$A:$A)-3),"")</f>
        <v>145.132327044025</v>
      </c>
      <c r="AN154" s="111" t="n">
        <f aca="false">IFERROR('Price History'!T3+(INDEX('Price History'!T:T,MATCH(9.99E+307,'Price History'!$A:$A))-'Price History'!T3)*(ROW()-3)/(MATCH(9.99E+307,'Returns (Calc)'!$A:$A)-3),"")</f>
        <v>53.8620754716981</v>
      </c>
      <c r="AO154" s="112" t="n">
        <f aca="false">IFERROR('Price History'!V3+(INDEX('Price History'!V:V,MATCH(9.99E+307,'Price History'!$A:$A))-'Price History'!V3)*(ROW()-3)/(MATCH(9.99E+307,'Returns (Calc)'!$A:$A)-3),"")</f>
        <v>356.19855345912</v>
      </c>
    </row>
    <row r="155" customFormat="false" ht="15" hidden="false" customHeight="true" outlineLevel="0" collapsed="false">
      <c r="A155" s="108" t="n">
        <f aca="false">IF('Price History'!A156="","",'Price History'!A156)</f>
        <v>46220</v>
      </c>
      <c r="B155" s="109" t="n">
        <f aca="false">IFERROR(IF(OR(NOT(ISNUMBER('Price History'!B156)),NOT(ISNUMBER('Price History'!B155)),'Price History'!B155=0),"",'Price History'!B156/'Price History'!B155-1),"")</f>
        <v>0.0608567340368449</v>
      </c>
      <c r="C155" s="109" t="n">
        <f aca="false">IFERROR(IF(OR(NOT(ISNUMBER('Price History'!C156)),NOT(ISNUMBER('Price History'!C155)),'Price History'!C155=0),"",'Price History'!C156/'Price History'!C155-1),"")</f>
        <v>-0.0981493367565254</v>
      </c>
      <c r="D155" s="109" t="n">
        <f aca="false">IFERROR(IF(OR(NOT(ISNUMBER('Price History'!D156)),NOT(ISNUMBER('Price History'!D155)),'Price History'!D155=0),"",'Price History'!D156/'Price History'!D155-1),"")</f>
        <v>-0.027674537644938</v>
      </c>
      <c r="E155" s="109" t="n">
        <f aca="false">IFERROR(IF(OR(NOT(ISNUMBER('Price History'!E156)),NOT(ISNUMBER('Price History'!E155)),'Price History'!E155=0),"",'Price History'!E156/'Price History'!E155-1),"")</f>
        <v>-0.0728554641598121</v>
      </c>
      <c r="F155" s="109" t="n">
        <f aca="false">IFERROR(IF(OR(NOT(ISNUMBER('Price History'!F156)),NOT(ISNUMBER('Price History'!F155)),'Price History'!F155=0),"",'Price History'!F156/'Price History'!F155-1),"")</f>
        <v>0.0849449727534994</v>
      </c>
      <c r="G155" s="109" t="n">
        <f aca="false">IFERROR(IF(OR(NOT(ISNUMBER('Price History'!G156)),NOT(ISNUMBER('Price History'!G155)),'Price History'!G155=0),"",'Price History'!G156/'Price History'!G155-1),"")</f>
        <v>-0.0810729094678646</v>
      </c>
      <c r="H155" s="109" t="n">
        <f aca="false">IFERROR(IF(OR(NOT(ISNUMBER('Price History'!H156)),NOT(ISNUMBER('Price History'!H155)),'Price History'!H155=0),"",'Price History'!H156/'Price History'!H155-1),"")</f>
        <v>-0.133105279281119</v>
      </c>
      <c r="I155" s="109" t="n">
        <f aca="false">IFERROR(IF(OR(NOT(ISNUMBER('Price History'!I156)),NOT(ISNUMBER('Price History'!I155)),'Price History'!I155=0),"",'Price History'!I156/'Price History'!I155-1),"")</f>
        <v>-0.0386329161926432</v>
      </c>
      <c r="J155" s="109" t="n">
        <f aca="false">IFERROR(IF(OR(NOT(ISNUMBER('Price History'!J156)),NOT(ISNUMBER('Price History'!J155)),'Price History'!J155=0),"",'Price History'!J156/'Price History'!J155-1),"")</f>
        <v>0.0633207922197769</v>
      </c>
      <c r="K155" s="109" t="n">
        <f aca="false">IFERROR(IF(OR(NOT(ISNUMBER('Price History'!K156)),NOT(ISNUMBER('Price History'!K155)),'Price History'!K155=0),"",'Price History'!K156/'Price History'!K155-1),"")</f>
        <v>0.0440886505244893</v>
      </c>
      <c r="L155" s="109" t="n">
        <f aca="false">IFERROR(IF(OR(NOT(ISNUMBER('Price History'!L156)),NOT(ISNUMBER('Price History'!L155)),'Price History'!L155=0),"",'Price History'!L156/'Price History'!L155-1),"")</f>
        <v>-0.0823293635253738</v>
      </c>
      <c r="M155" s="109" t="n">
        <f aca="false">IFERROR(IF(OR(NOT(ISNUMBER('Price History'!M156)),NOT(ISNUMBER('Price History'!M155)),'Price History'!M155=0),"",'Price History'!M156/'Price History'!M155-1),"")</f>
        <v>-0.0918898576177634</v>
      </c>
      <c r="N155" s="109" t="n">
        <f aca="false">IFERROR(IF(OR(NOT(ISNUMBER('Price History'!N156)),NOT(ISNUMBER('Price History'!N155)),'Price History'!N155=0),"",'Price History'!N156/'Price History'!N155-1),"")</f>
        <v>0.000535651743958532</v>
      </c>
      <c r="O155" s="109" t="n">
        <f aca="false">IFERROR(IF(OR(NOT(ISNUMBER('Price History'!O156)),NOT(ISNUMBER('Price History'!O155)),'Price History'!O155=0),"",'Price History'!O156/'Price History'!O155-1),"")</f>
        <v>0.0112948769665187</v>
      </c>
      <c r="P155" s="109" t="str">
        <f aca="false">IFERROR(IF(OR(NOT(ISNUMBER('Price History'!P156)),NOT(ISNUMBER('Price History'!P155)),'Price History'!P155=0),"",'Price History'!P156/'Price History'!P155-1),"")</f>
        <v/>
      </c>
      <c r="Q155" s="109" t="n">
        <f aca="false">IFERROR(IF(OR(NOT(ISNUMBER('Price History'!Q156)),NOT(ISNUMBER('Price History'!Q155)),'Price History'!Q155=0),"",'Price History'!Q156/'Price History'!Q155-1),"")</f>
        <v>-0.00921996194936336</v>
      </c>
      <c r="R155" s="109" t="n">
        <f aca="false">IFERROR(IF(OR(NOT(ISNUMBER('Price History'!R156)),NOT(ISNUMBER('Price History'!R155)),'Price History'!R155=0),"",'Price History'!R156/'Price History'!R155-1),"")</f>
        <v>-0.0330523880350355</v>
      </c>
      <c r="S155" s="109" t="n">
        <f aca="false">IFERROR(IF(OR(NOT(ISNUMBER('Price History'!S156)),NOT(ISNUMBER('Price History'!S155)),'Price History'!S155=0),"",'Price History'!S156/'Price History'!S155-1),"")</f>
        <v>-0.0641300813008131</v>
      </c>
      <c r="T155" s="109" t="n">
        <f aca="false">IFERROR(IF(OR(NOT(ISNUMBER('Price History'!T156)),NOT(ISNUMBER('Price History'!T155)),'Price History'!T155=0),"",'Price History'!T156/'Price History'!T155-1),"")</f>
        <v>0.0086516142646127</v>
      </c>
      <c r="U155" s="109" t="str">
        <f aca="false">IFERROR(IF(OR(NOT(ISNUMBER('Price History'!U156)),NOT(ISNUMBER('Price History'!U155)),'Price History'!U155=0),"",'Price History'!U156/'Price History'!U155-1),"")</f>
        <v/>
      </c>
      <c r="V155" s="110" t="n">
        <f aca="false">IFERROR(IF(OR(NOT(ISNUMBER('Price History'!V156)),NOT(ISNUMBER('Price History'!V155)),'Price History'!V155=0),"",'Price History'!V156/'Price History'!V155-1),"")</f>
        <v>0.0275034451079468</v>
      </c>
      <c r="W155" s="111" t="n">
        <f aca="false">IFERROR('Price History'!B3+(INDEX('Price History'!B:B,MATCH(9.99E+307,'Price History'!$A:$A))-'Price History'!B3)*(ROW()-3)/(MATCH(9.99E+307,'Returns (Calc)'!$A:$A)-3),"")</f>
        <v>277.161446540881</v>
      </c>
      <c r="X155" s="111" t="n">
        <f aca="false">IFERROR('Price History'!C3+(INDEX('Price History'!C:C,MATCH(9.99E+307,'Price History'!$A:$A))-'Price History'!C3)*(ROW()-3)/(MATCH(9.99E+307,'Returns (Calc)'!$A:$A)-3),"")</f>
        <v>187.174465408805</v>
      </c>
      <c r="Y155" s="111" t="n">
        <f aca="false">IFERROR('Price History'!D3+(INDEX('Price History'!D:D,MATCH(9.99E+307,'Price History'!$A:$A))-'Price History'!D3)*(ROW()-3)/(MATCH(9.99E+307,'Returns (Calc)'!$A:$A)-3),"")</f>
        <v>1668.51710691824</v>
      </c>
      <c r="Z155" s="111" t="n">
        <f aca="false">IFERROR('Price History'!E3+(INDEX('Price History'!E:E,MATCH(9.99E+307,'Price History'!$A:$A))-'Price History'!E3)*(ROW()-3)/(MATCH(9.99E+307,'Returns (Calc)'!$A:$A)-3),"")</f>
        <v>345.796603773585</v>
      </c>
      <c r="AA155" s="111" t="n">
        <f aca="false">IFERROR('Price History'!F3+(INDEX('Price History'!F:F,MATCH(9.99E+307,'Price History'!$A:$A))-'Price History'!F3)*(ROW()-3)/(MATCH(9.99E+307,'Returns (Calc)'!$A:$A)-3),"")</f>
        <v>205.349811320755</v>
      </c>
      <c r="AB155" s="111" t="n">
        <f aca="false">IFERROR('Price History'!G3+(INDEX('Price History'!G:G,MATCH(9.99E+307,'Price History'!$A:$A))-'Price History'!G3)*(ROW()-3)/(MATCH(9.99E+307,'Returns (Calc)'!$A:$A)-3),"")</f>
        <v>179.537735849057</v>
      </c>
      <c r="AC155" s="111" t="n">
        <f aca="false">IFERROR('Price History'!H3+(INDEX('Price History'!H:H,MATCH(9.99E+307,'Price History'!$A:$A))-'Price History'!H3)*(ROW()-3)/(MATCH(9.99E+307,'Returns (Calc)'!$A:$A)-3),"")</f>
        <v>974.668364779874</v>
      </c>
      <c r="AD155" s="111" t="n">
        <f aca="false">IFERROR('Price History'!I3+(INDEX('Price History'!I:I,MATCH(9.99E+307,'Price History'!$A:$A))-'Price History'!I3)*(ROW()-3)/(MATCH(9.99E+307,'Returns (Calc)'!$A:$A)-3),"")</f>
        <v>222.01679245283</v>
      </c>
      <c r="AE155" s="111" t="n">
        <f aca="false">IFERROR('Price History'!J3+(INDEX('Price History'!J:J,MATCH(9.99E+307,'Price History'!$A:$A))-'Price History'!J3)*(ROW()-3)/(MATCH(9.99E+307,'Returns (Calc)'!$A:$A)-3),"")</f>
        <v>136.731132075472</v>
      </c>
      <c r="AF155" s="111" t="n">
        <f aca="false">IFERROR('Price History'!K3+(INDEX('Price History'!K:K,MATCH(9.99E+307,'Price History'!$A:$A))-'Price History'!K3)*(ROW()-3)/(MATCH(9.99E+307,'Returns (Calc)'!$A:$A)-3),"")</f>
        <v>167.333522012579</v>
      </c>
      <c r="AG155" s="111" t="n">
        <f aca="false">IFERROR('Price History'!L3+(INDEX('Price History'!L:L,MATCH(9.99E+307,'Price History'!$A:$A))-'Price History'!L3)*(ROW()-3)/(MATCH(9.99E+307,'Returns (Calc)'!$A:$A)-3),"")</f>
        <v>414.077044025157</v>
      </c>
      <c r="AH155" s="111" t="n">
        <f aca="false">IFERROR('Price History'!M3+(INDEX('Price History'!M:M,MATCH(9.99E+307,'Price History'!$A:$A))-'Price History'!M3)*(ROW()-3)/(MATCH(9.99E+307,'Returns (Calc)'!$A:$A)-3),"")</f>
        <v>269.654905660377</v>
      </c>
      <c r="AI155" s="111" t="n">
        <f aca="false">IFERROR('Price History'!N3+(INDEX('Price History'!N:N,MATCH(9.99E+307,'Price History'!$A:$A))-'Price History'!N3)*(ROW()-3)/(MATCH(9.99E+307,'Returns (Calc)'!$A:$A)-3),"")</f>
        <v>537.479622641509</v>
      </c>
      <c r="AJ155" s="111" t="n">
        <f aca="false">IFERROR('Price History'!O3+(INDEX('Price History'!O:O,MATCH(9.99E+307,'Price History'!$A:$A))-'Price History'!O3)*(ROW()-3)/(MATCH(9.99E+307,'Returns (Calc)'!$A:$A)-3),"")</f>
        <v>124.989371069182</v>
      </c>
      <c r="AK155" s="111" t="n">
        <f aca="false">IFERROR('Price History'!Q3+(INDEX('Price History'!Q:Q,MATCH(9.99E+307,'Price History'!$A:$A))-'Price History'!Q3)*(ROW()-3)/(MATCH(9.99E+307,'Returns (Calc)'!$A:$A)-3),"")</f>
        <v>68.8447798742138</v>
      </c>
      <c r="AL155" s="111" t="n">
        <f aca="false">IFERROR('Price History'!R3+(INDEX('Price History'!R:R,MATCH(9.99E+307,'Price History'!$A:$A))-'Price History'!R3)*(ROW()-3)/(MATCH(9.99E+307,'Returns (Calc)'!$A:$A)-3),"")</f>
        <v>59.3394968553459</v>
      </c>
      <c r="AM155" s="111" t="n">
        <f aca="false">IFERROR('Price History'!S3+(INDEX('Price History'!S:S,MATCH(9.99E+307,'Price History'!$A:$A))-'Price History'!S3)*(ROW()-3)/(MATCH(9.99E+307,'Returns (Calc)'!$A:$A)-3),"")</f>
        <v>145.705786163522</v>
      </c>
      <c r="AN155" s="111" t="n">
        <f aca="false">IFERROR('Price History'!T3+(INDEX('Price History'!T:T,MATCH(9.99E+307,'Price History'!$A:$A))-'Price History'!T3)*(ROW()-3)/(MATCH(9.99E+307,'Returns (Calc)'!$A:$A)-3),"")</f>
        <v>54.0405660377359</v>
      </c>
      <c r="AO155" s="112" t="n">
        <f aca="false">IFERROR('Price History'!V3+(INDEX('Price History'!V:V,MATCH(9.99E+307,'Price History'!$A:$A))-'Price History'!V3)*(ROW()-3)/(MATCH(9.99E+307,'Returns (Calc)'!$A:$A)-3),"")</f>
        <v>358.55748427673</v>
      </c>
    </row>
    <row r="156" customFormat="false" ht="15" hidden="false" customHeight="true" outlineLevel="0" collapsed="false">
      <c r="A156" s="108" t="n">
        <f aca="false">IF('Price History'!A157="","",'Price History'!A157)</f>
        <v>46227</v>
      </c>
      <c r="B156" s="109" t="n">
        <f aca="false">IFERROR(IF(OR(NOT(ISNUMBER('Price History'!B157)),NOT(ISNUMBER('Price History'!B156)),'Price History'!B156=0),"",'Price History'!B157/'Price History'!B156-1),"")</f>
        <v>-0.0511696522655426</v>
      </c>
      <c r="C156" s="109" t="n">
        <f aca="false">IFERROR(IF(OR(NOT(ISNUMBER('Price History'!C157)),NOT(ISNUMBER('Price History'!C156)),'Price History'!C156=0),"",'Price History'!C157/'Price History'!C156-1),"")</f>
        <v>0.0319079532649309</v>
      </c>
      <c r="D156" s="109" t="n">
        <f aca="false">IFERROR(IF(OR(NOT(ISNUMBER('Price History'!D157)),NOT(ISNUMBER('Price History'!D156)),'Price History'!D156=0),"",'Price History'!D157/'Price History'!D156-1),"")</f>
        <v>0.00544181096144381</v>
      </c>
      <c r="E156" s="109" t="n">
        <f aca="false">IFERROR(IF(OR(NOT(ISNUMBER('Price History'!E157)),NOT(ISNUMBER('Price History'!E156)),'Price History'!E156=0),"",'Price History'!E157/'Price History'!E156-1),"")</f>
        <v>0.0299058867944881</v>
      </c>
      <c r="F156" s="109" t="n">
        <f aca="false">IFERROR(IF(OR(NOT(ISNUMBER('Price History'!F157)),NOT(ISNUMBER('Price History'!F156)),'Price History'!F156=0),"",'Price History'!F157/'Price History'!F156-1),"")</f>
        <v>-0.0974985227496553</v>
      </c>
      <c r="G156" s="109" t="n">
        <f aca="false">IFERROR(IF(OR(NOT(ISNUMBER('Price History'!G157)),NOT(ISNUMBER('Price History'!G156)),'Price History'!G156=0),"",'Price History'!G157/'Price History'!G156-1),"")</f>
        <v>-0.01048178613396</v>
      </c>
      <c r="H156" s="109" t="n">
        <f aca="false">IFERROR(IF(OR(NOT(ISNUMBER('Price History'!H157)),NOT(ISNUMBER('Price History'!H156)),'Price History'!H156=0),"",'Price History'!H157/'Price History'!H156-1),"")</f>
        <v>0.0848106484480828</v>
      </c>
      <c r="I156" s="109" t="n">
        <f aca="false">IFERROR(IF(OR(NOT(ISNUMBER('Price History'!I157)),NOT(ISNUMBER('Price History'!I156)),'Price History'!I156=0),"",'Price History'!I157/'Price History'!I156-1),"")</f>
        <v>0.0198708150485676</v>
      </c>
      <c r="J156" s="109" t="n">
        <f aca="false">IFERROR(IF(OR(NOT(ISNUMBER('Price History'!J157)),NOT(ISNUMBER('Price History'!J156)),'Price History'!J156=0),"",'Price History'!J157/'Price History'!J156-1),"")</f>
        <v>-0.0144201882635689</v>
      </c>
      <c r="K156" s="109" t="n">
        <f aca="false">IFERROR(IF(OR(NOT(ISNUMBER('Price History'!K157)),NOT(ISNUMBER('Price History'!K156)),'Price History'!K156=0),"",'Price History'!K157/'Price History'!K156-1),"")</f>
        <v>-0.0714609457621996</v>
      </c>
      <c r="L156" s="109" t="n">
        <f aca="false">IFERROR(IF(OR(NOT(ISNUMBER('Price History'!L157)),NOT(ISNUMBER('Price History'!L156)),'Price History'!L156=0),"",'Price History'!L157/'Price History'!L156-1),"")</f>
        <v>0.0126515550869795</v>
      </c>
      <c r="M156" s="109" t="n">
        <f aca="false">IFERROR(IF(OR(NOT(ISNUMBER('Price History'!M157)),NOT(ISNUMBER('Price History'!M156)),'Price History'!M156=0),"",'Price History'!M157/'Price History'!M156-1),"")</f>
        <v>0.0027628125431689</v>
      </c>
      <c r="N156" s="109" t="n">
        <f aca="false">IFERROR(IF(OR(NOT(ISNUMBER('Price History'!N157)),NOT(ISNUMBER('Price History'!N156)),'Price History'!N156=0),"",'Price History'!N157/'Price History'!N156-1),"")</f>
        <v>-0.0170699063111294</v>
      </c>
      <c r="O156" s="109" t="n">
        <f aca="false">IFERROR(IF(OR(NOT(ISNUMBER('Price History'!O157)),NOT(ISNUMBER('Price History'!O156)),'Price History'!O156=0),"",'Price History'!O157/'Price History'!O156-1),"")</f>
        <v>-0.000558436378141125</v>
      </c>
      <c r="P156" s="109" t="str">
        <f aca="false">IFERROR(IF(OR(NOT(ISNUMBER('Price History'!P157)),NOT(ISNUMBER('Price History'!P156)),'Price History'!P156=0),"",'Price History'!P157/'Price History'!P156-1),"")</f>
        <v/>
      </c>
      <c r="Q156" s="109" t="n">
        <f aca="false">IFERROR(IF(OR(NOT(ISNUMBER('Price History'!Q157)),NOT(ISNUMBER('Price History'!Q156)),'Price History'!Q156=0),"",'Price History'!Q157/'Price History'!Q156-1),"")</f>
        <v>-0.0017725258493354</v>
      </c>
      <c r="R156" s="109" t="n">
        <f aca="false">IFERROR(IF(OR(NOT(ISNUMBER('Price History'!R157)),NOT(ISNUMBER('Price History'!R156)),'Price History'!R156=0),"",'Price History'!R157/'Price History'!R156-1),"")</f>
        <v>-0.0094001025465732</v>
      </c>
      <c r="S156" s="109" t="n">
        <f aca="false">IFERROR(IF(OR(NOT(ISNUMBER('Price History'!S157)),NOT(ISNUMBER('Price History'!S156)),'Price History'!S156=0),"",'Price History'!S157/'Price History'!S156-1),"")</f>
        <v>0.0182083536034472</v>
      </c>
      <c r="T156" s="109" t="n">
        <f aca="false">IFERROR(IF(OR(NOT(ISNUMBER('Price History'!T157)),NOT(ISNUMBER('Price History'!T156)),'Price History'!T156=0),"",'Price History'!T157/'Price History'!T156-1),"")</f>
        <v>0.00711297071129713</v>
      </c>
      <c r="U156" s="109" t="str">
        <f aca="false">IFERROR(IF(OR(NOT(ISNUMBER('Price History'!U157)),NOT(ISNUMBER('Price History'!U156)),'Price History'!U156=0),"",'Price History'!U157/'Price History'!U156-1),"")</f>
        <v/>
      </c>
      <c r="V156" s="110" t="n">
        <f aca="false">IFERROR(IF(OR(NOT(ISNUMBER('Price History'!V157)),NOT(ISNUMBER('Price History'!V156)),'Price History'!V156=0),"",'Price History'!V157/'Price History'!V156-1),"")</f>
        <v>-0.00787929589270742</v>
      </c>
      <c r="W156" s="111" t="n">
        <f aca="false">IFERROR('Price History'!B3+(INDEX('Price History'!B:B,MATCH(9.99E+307,'Price History'!$A:$A))-'Price History'!B3)*(ROW()-3)/(MATCH(9.99E+307,'Returns (Calc)'!$A:$A)-3),"")</f>
        <v>275.639811320755</v>
      </c>
      <c r="X156" s="111" t="n">
        <f aca="false">IFERROR('Price History'!C3+(INDEX('Price History'!C:C,MATCH(9.99E+307,'Price History'!$A:$A))-'Price History'!C3)*(ROW()-3)/(MATCH(9.99E+307,'Returns (Calc)'!$A:$A)-3),"")</f>
        <v>188.118113207547</v>
      </c>
      <c r="Y156" s="111" t="n">
        <f aca="false">IFERROR('Price History'!D3+(INDEX('Price History'!D:D,MATCH(9.99E+307,'Price History'!$A:$A))-'Price History'!D3)*(ROW()-3)/(MATCH(9.99E+307,'Returns (Calc)'!$A:$A)-3),"")</f>
        <v>1675.14037735849</v>
      </c>
      <c r="Z156" s="111" t="n">
        <f aca="false">IFERROR('Price History'!E3+(INDEX('Price History'!E:E,MATCH(9.99E+307,'Price History'!$A:$A))-'Price History'!E3)*(ROW()-3)/(MATCH(9.99E+307,'Returns (Calc)'!$A:$A)-3),"")</f>
        <v>347.525660377358</v>
      </c>
      <c r="AA156" s="111" t="n">
        <f aca="false">IFERROR('Price History'!F3+(INDEX('Price History'!F:F,MATCH(9.99E+307,'Price History'!$A:$A))-'Price History'!F3)*(ROW()-3)/(MATCH(9.99E+307,'Returns (Calc)'!$A:$A)-3),"")</f>
        <v>206.456981132075</v>
      </c>
      <c r="AB156" s="111" t="n">
        <f aca="false">IFERROR('Price History'!G3+(INDEX('Price History'!G:G,MATCH(9.99E+307,'Price History'!$A:$A))-'Price History'!G3)*(ROW()-3)/(MATCH(9.99E+307,'Returns (Calc)'!$A:$A)-3),"")</f>
        <v>180.403773584906</v>
      </c>
      <c r="AC156" s="111" t="n">
        <f aca="false">IFERROR('Price History'!H3+(INDEX('Price History'!H:H,MATCH(9.99E+307,'Price History'!$A:$A))-'Price History'!H3)*(ROW()-3)/(MATCH(9.99E+307,'Returns (Calc)'!$A:$A)-3),"")</f>
        <v>980.657169811321</v>
      </c>
      <c r="AD156" s="111" t="n">
        <f aca="false">IFERROR('Price History'!I3+(INDEX('Price History'!I:I,MATCH(9.99E+307,'Price History'!$A:$A))-'Price History'!I3)*(ROW()-3)/(MATCH(9.99E+307,'Returns (Calc)'!$A:$A)-3),"")</f>
        <v>223.208679245283</v>
      </c>
      <c r="AE156" s="111" t="n">
        <f aca="false">IFERROR('Price History'!J3+(INDEX('Price History'!J:J,MATCH(9.99E+307,'Price History'!$A:$A))-'Price History'!J3)*(ROW()-3)/(MATCH(9.99E+307,'Returns (Calc)'!$A:$A)-3),"")</f>
        <v>136.818113207547</v>
      </c>
      <c r="AF156" s="111" t="n">
        <f aca="false">IFERROR('Price History'!K3+(INDEX('Price History'!K:K,MATCH(9.99E+307,'Price History'!$A:$A))-'Price History'!K3)*(ROW()-3)/(MATCH(9.99E+307,'Returns (Calc)'!$A:$A)-3),"")</f>
        <v>168.333018867925</v>
      </c>
      <c r="AG156" s="111" t="n">
        <f aca="false">IFERROR('Price History'!L3+(INDEX('Price History'!L:L,MATCH(9.99E+307,'Price History'!$A:$A))-'Price History'!L3)*(ROW()-3)/(MATCH(9.99E+307,'Returns (Calc)'!$A:$A)-3),"")</f>
        <v>416.196037735849</v>
      </c>
      <c r="AH156" s="111" t="n">
        <f aca="false">IFERROR('Price History'!M3+(INDEX('Price History'!M:M,MATCH(9.99E+307,'Price History'!$A:$A))-'Price History'!M3)*(ROW()-3)/(MATCH(9.99E+307,'Returns (Calc)'!$A:$A)-3),"")</f>
        <v>271.208490566038</v>
      </c>
      <c r="AI156" s="111" t="n">
        <f aca="false">IFERROR('Price History'!N3+(INDEX('Price History'!N:N,MATCH(9.99E+307,'Price History'!$A:$A))-'Price History'!N3)*(ROW()-3)/(MATCH(9.99E+307,'Returns (Calc)'!$A:$A)-3),"")</f>
        <v>538.713962264151</v>
      </c>
      <c r="AJ156" s="111" t="n">
        <f aca="false">IFERROR('Price History'!O3+(INDEX('Price History'!O:O,MATCH(9.99E+307,'Price History'!$A:$A))-'Price History'!O3)*(ROW()-3)/(MATCH(9.99E+307,'Returns (Calc)'!$A:$A)-3),"")</f>
        <v>125.266603773585</v>
      </c>
      <c r="AK156" s="111" t="n">
        <f aca="false">IFERROR('Price History'!Q3+(INDEX('Price History'!Q:Q,MATCH(9.99E+307,'Price History'!$A:$A))-'Price History'!Q3)*(ROW()-3)/(MATCH(9.99E+307,'Returns (Calc)'!$A:$A)-3),"")</f>
        <v>68.9698113207547</v>
      </c>
      <c r="AL156" s="111" t="n">
        <f aca="false">IFERROR('Price History'!R3+(INDEX('Price History'!R:R,MATCH(9.99E+307,'Price History'!$A:$A))-'Price History'!R3)*(ROW()-3)/(MATCH(9.99E+307,'Returns (Calc)'!$A:$A)-3),"")</f>
        <v>59.4152830188679</v>
      </c>
      <c r="AM156" s="111" t="n">
        <f aca="false">IFERROR('Price History'!S3+(INDEX('Price History'!S:S,MATCH(9.99E+307,'Price History'!$A:$A))-'Price History'!S3)*(ROW()-3)/(MATCH(9.99E+307,'Returns (Calc)'!$A:$A)-3),"")</f>
        <v>146.279245283019</v>
      </c>
      <c r="AN156" s="111" t="n">
        <f aca="false">IFERROR('Price History'!T3+(INDEX('Price History'!T:T,MATCH(9.99E+307,'Price History'!$A:$A))-'Price History'!T3)*(ROW()-3)/(MATCH(9.99E+307,'Returns (Calc)'!$A:$A)-3),"")</f>
        <v>54.2190566037736</v>
      </c>
      <c r="AO156" s="112" t="n">
        <f aca="false">IFERROR('Price History'!V3+(INDEX('Price History'!V:V,MATCH(9.99E+307,'Price History'!$A:$A))-'Price History'!V3)*(ROW()-3)/(MATCH(9.99E+307,'Returns (Calc)'!$A:$A)-3),"")</f>
        <v>360.91641509434</v>
      </c>
    </row>
    <row r="157" customFormat="false" ht="15" hidden="false" customHeight="true" outlineLevel="0" collapsed="false">
      <c r="A157" s="108" t="n">
        <f aca="false">IF('Price History'!A158="","",'Price History'!A158)</f>
        <v>46234</v>
      </c>
      <c r="B157" s="109" t="n">
        <f aca="false">IFERROR(IF(OR(NOT(ISNUMBER('Price History'!B158)),NOT(ISNUMBER('Price History'!B157)),'Price History'!B157=0),"",'Price History'!B158/'Price History'!B157-1),"")</f>
        <v>0.112389498467416</v>
      </c>
      <c r="C157" s="109" t="n">
        <f aca="false">IFERROR(IF(OR(NOT(ISNUMBER('Price History'!C158)),NOT(ISNUMBER('Price History'!C157)),'Price History'!C157=0),"",'Price History'!C158/'Price History'!C157-1),"")</f>
        <v>0.0365538249324673</v>
      </c>
      <c r="D157" s="109" t="n">
        <f aca="false">IFERROR(IF(OR(NOT(ISNUMBER('Price History'!D158)),NOT(ISNUMBER('Price History'!D157)),'Price History'!D157=0),"",'Price History'!D158/'Price History'!D157-1),"")</f>
        <v>-0.0728989408624486</v>
      </c>
      <c r="E157" s="109" t="n">
        <f aca="false">IFERROR(IF(OR(NOT(ISNUMBER('Price History'!E158)),NOT(ISNUMBER('Price History'!E157)),'Price History'!E157=0),"",'Price History'!E158/'Price History'!E157-1),"")</f>
        <v>0.0192710515291159</v>
      </c>
      <c r="F157" s="109" t="n">
        <f aca="false">IFERROR(IF(OR(NOT(ISNUMBER('Price History'!F158)),NOT(ISNUMBER('Price History'!F157)),'Price History'!F157=0),"",'Price History'!F158/'Price History'!F157-1),"")</f>
        <v>0.0413574858140551</v>
      </c>
      <c r="G157" s="109" t="n">
        <f aca="false">IFERROR(IF(OR(NOT(ISNUMBER('Price History'!G158)),NOT(ISNUMBER('Price History'!G157)),'Price History'!G157=0),"",'Price History'!G158/'Price History'!G157-1),"")</f>
        <v>-0.131578947368421</v>
      </c>
      <c r="H157" s="109" t="n">
        <f aca="false">IFERROR(IF(OR(NOT(ISNUMBER('Price History'!H158)),NOT(ISNUMBER('Price History'!H157)),'Price History'!H157=0),"",'Price History'!H158/'Price History'!H157-1),"")</f>
        <v>-0.106324990498941</v>
      </c>
      <c r="I157" s="109" t="n">
        <f aca="false">IFERROR(IF(OR(NOT(ISNUMBER('Price History'!I158)),NOT(ISNUMBER('Price History'!I157)),'Price History'!I157=0),"",'Price History'!I158/'Price History'!I157-1),"")</f>
        <v>-0.0294430477663895</v>
      </c>
      <c r="J157" s="109" t="n">
        <f aca="false">IFERROR(IF(OR(NOT(ISNUMBER('Price History'!J158)),NOT(ISNUMBER('Price History'!J157)),'Price History'!J157=0),"",'Price History'!J158/'Price History'!J157-1),"")</f>
        <v>-0.0204565467723361</v>
      </c>
      <c r="K157" s="109" t="n">
        <f aca="false">IFERROR(IF(OR(NOT(ISNUMBER('Price History'!K158)),NOT(ISNUMBER('Price History'!K157)),'Price History'!K157=0),"",'Price History'!K158/'Price History'!K157-1),"")</f>
        <v>0.00113895216400906</v>
      </c>
      <c r="L157" s="109" t="n">
        <f aca="false">IFERROR(IF(OR(NOT(ISNUMBER('Price History'!L158)),NOT(ISNUMBER('Price History'!L157)),'Price History'!L157=0),"",'Price History'!L158/'Price History'!L157-1),"")</f>
        <v>0.00208224882873487</v>
      </c>
      <c r="M157" s="109" t="n">
        <f aca="false">IFERROR(IF(OR(NOT(ISNUMBER('Price History'!M158)),NOT(ISNUMBER('Price History'!M157)),'Price History'!M157=0),"",'Price History'!M158/'Price History'!M157-1),"")</f>
        <v>-0.168032786885246</v>
      </c>
      <c r="N157" s="109" t="n">
        <f aca="false">IFERROR(IF(OR(NOT(ISNUMBER('Price History'!N158)),NOT(ISNUMBER('Price History'!N157)),'Price History'!N157=0),"",'Price History'!N158/'Price History'!N157-1),"")</f>
        <v>-0.000544662309368227</v>
      </c>
      <c r="O157" s="109" t="n">
        <f aca="false">IFERROR(IF(OR(NOT(ISNUMBER('Price History'!O158)),NOT(ISNUMBER('Price History'!O157)),'Price History'!O157=0),"",'Price History'!O158/'Price History'!O157-1),"")</f>
        <v>0</v>
      </c>
      <c r="P157" s="109" t="str">
        <f aca="false">IFERROR(IF(OR(NOT(ISNUMBER('Price History'!P158)),NOT(ISNUMBER('Price History'!P157)),'Price History'!P157=0),"",'Price History'!P158/'Price History'!P157-1),"")</f>
        <v/>
      </c>
      <c r="Q157" s="109" t="n">
        <f aca="false">IFERROR(IF(OR(NOT(ISNUMBER('Price History'!Q158)),NOT(ISNUMBER('Price History'!Q157)),'Price History'!Q157=0),"",'Price History'!Q158/'Price History'!Q157-1),"")</f>
        <v>0.0128736312518498</v>
      </c>
      <c r="R157" s="109" t="n">
        <f aca="false">IFERROR(IF(OR(NOT(ISNUMBER('Price History'!R158)),NOT(ISNUMBER('Price History'!R157)),'Price History'!R157=0),"",'Price History'!R158/'Price History'!R157-1),"")</f>
        <v>0.00500345065562446</v>
      </c>
      <c r="S157" s="109" t="n">
        <f aca="false">IFERROR(IF(OR(NOT(ISNUMBER('Price History'!S158)),NOT(ISNUMBER('Price History'!S157)),'Price History'!S157=0),"",'Price History'!S158/'Price History'!S157-1),"")</f>
        <v>-0.0182922667394716</v>
      </c>
      <c r="T157" s="109" t="n">
        <f aca="false">IFERROR(IF(OR(NOT(ISNUMBER('Price History'!T158)),NOT(ISNUMBER('Price History'!T157)),'Price History'!T157=0),"",'Price History'!T158/'Price History'!T157-1),"")</f>
        <v>0.0332363938512672</v>
      </c>
      <c r="U157" s="109" t="str">
        <f aca="false">IFERROR(IF(OR(NOT(ISNUMBER('Price History'!U158)),NOT(ISNUMBER('Price History'!U157)),'Price History'!U157=0),"",'Price History'!U158/'Price History'!U157-1),"")</f>
        <v/>
      </c>
      <c r="V157" s="110" t="n">
        <f aca="false">IFERROR(IF(OR(NOT(ISNUMBER('Price History'!V158)),NOT(ISNUMBER('Price History'!V157)),'Price History'!V157=0),"",'Price History'!V158/'Price History'!V157-1),"")</f>
        <v>0.0292046862678834</v>
      </c>
      <c r="W157" s="111" t="n">
        <f aca="false">IFERROR('Price History'!B3+(INDEX('Price History'!B:B,MATCH(9.99E+307,'Price History'!$A:$A))-'Price History'!B3)*(ROW()-3)/(MATCH(9.99E+307,'Returns (Calc)'!$A:$A)-3),"")</f>
        <v>274.118176100629</v>
      </c>
      <c r="X157" s="111" t="n">
        <f aca="false">IFERROR('Price History'!C3+(INDEX('Price History'!C:C,MATCH(9.99E+307,'Price History'!$A:$A))-'Price History'!C3)*(ROW()-3)/(MATCH(9.99E+307,'Returns (Calc)'!$A:$A)-3),"")</f>
        <v>189.061761006289</v>
      </c>
      <c r="Y157" s="111" t="n">
        <f aca="false">IFERROR('Price History'!D3+(INDEX('Price History'!D:D,MATCH(9.99E+307,'Price History'!$A:$A))-'Price History'!D3)*(ROW()-3)/(MATCH(9.99E+307,'Returns (Calc)'!$A:$A)-3),"")</f>
        <v>1681.76364779874</v>
      </c>
      <c r="Z157" s="111" t="n">
        <f aca="false">IFERROR('Price History'!E3+(INDEX('Price History'!E:E,MATCH(9.99E+307,'Price History'!$A:$A))-'Price History'!E3)*(ROW()-3)/(MATCH(9.99E+307,'Returns (Calc)'!$A:$A)-3),"")</f>
        <v>349.254716981132</v>
      </c>
      <c r="AA157" s="111" t="n">
        <f aca="false">IFERROR('Price History'!F3+(INDEX('Price History'!F:F,MATCH(9.99E+307,'Price History'!$A:$A))-'Price History'!F3)*(ROW()-3)/(MATCH(9.99E+307,'Returns (Calc)'!$A:$A)-3),"")</f>
        <v>207.564150943396</v>
      </c>
      <c r="AB157" s="111" t="n">
        <f aca="false">IFERROR('Price History'!G3+(INDEX('Price History'!G:G,MATCH(9.99E+307,'Price History'!$A:$A))-'Price History'!G3)*(ROW()-3)/(MATCH(9.99E+307,'Returns (Calc)'!$A:$A)-3),"")</f>
        <v>181.269811320755</v>
      </c>
      <c r="AC157" s="111" t="n">
        <f aca="false">IFERROR('Price History'!H3+(INDEX('Price History'!H:H,MATCH(9.99E+307,'Price History'!$A:$A))-'Price History'!H3)*(ROW()-3)/(MATCH(9.99E+307,'Returns (Calc)'!$A:$A)-3),"")</f>
        <v>986.645974842767</v>
      </c>
      <c r="AD157" s="111" t="n">
        <f aca="false">IFERROR('Price History'!I3+(INDEX('Price History'!I:I,MATCH(9.99E+307,'Price History'!$A:$A))-'Price History'!I3)*(ROW()-3)/(MATCH(9.99E+307,'Returns (Calc)'!$A:$A)-3),"")</f>
        <v>224.400566037736</v>
      </c>
      <c r="AE157" s="111" t="n">
        <f aca="false">IFERROR('Price History'!J3+(INDEX('Price History'!J:J,MATCH(9.99E+307,'Price History'!$A:$A))-'Price History'!J3)*(ROW()-3)/(MATCH(9.99E+307,'Returns (Calc)'!$A:$A)-3),"")</f>
        <v>136.905094339623</v>
      </c>
      <c r="AF157" s="111" t="n">
        <f aca="false">IFERROR('Price History'!K3+(INDEX('Price History'!K:K,MATCH(9.99E+307,'Price History'!$A:$A))-'Price History'!K3)*(ROW()-3)/(MATCH(9.99E+307,'Returns (Calc)'!$A:$A)-3),"")</f>
        <v>169.33251572327</v>
      </c>
      <c r="AG157" s="111" t="n">
        <f aca="false">IFERROR('Price History'!L3+(INDEX('Price History'!L:L,MATCH(9.99E+307,'Price History'!$A:$A))-'Price History'!L3)*(ROW()-3)/(MATCH(9.99E+307,'Returns (Calc)'!$A:$A)-3),"")</f>
        <v>418.315031446541</v>
      </c>
      <c r="AH157" s="111" t="n">
        <f aca="false">IFERROR('Price History'!M3+(INDEX('Price History'!M:M,MATCH(9.99E+307,'Price History'!$A:$A))-'Price History'!M3)*(ROW()-3)/(MATCH(9.99E+307,'Returns (Calc)'!$A:$A)-3),"")</f>
        <v>272.762075471698</v>
      </c>
      <c r="AI157" s="111" t="n">
        <f aca="false">IFERROR('Price History'!N3+(INDEX('Price History'!N:N,MATCH(9.99E+307,'Price History'!$A:$A))-'Price History'!N3)*(ROW()-3)/(MATCH(9.99E+307,'Returns (Calc)'!$A:$A)-3),"")</f>
        <v>539.948301886793</v>
      </c>
      <c r="AJ157" s="111" t="n">
        <f aca="false">IFERROR('Price History'!O3+(INDEX('Price History'!O:O,MATCH(9.99E+307,'Price History'!$A:$A))-'Price History'!O3)*(ROW()-3)/(MATCH(9.99E+307,'Returns (Calc)'!$A:$A)-3),"")</f>
        <v>125.543836477987</v>
      </c>
      <c r="AK157" s="111" t="n">
        <f aca="false">IFERROR('Price History'!Q3+(INDEX('Price History'!Q:Q,MATCH(9.99E+307,'Price History'!$A:$A))-'Price History'!Q3)*(ROW()-3)/(MATCH(9.99E+307,'Returns (Calc)'!$A:$A)-3),"")</f>
        <v>69.0948427672956</v>
      </c>
      <c r="AL157" s="111" t="n">
        <f aca="false">IFERROR('Price History'!R3+(INDEX('Price History'!R:R,MATCH(9.99E+307,'Price History'!$A:$A))-'Price History'!R3)*(ROW()-3)/(MATCH(9.99E+307,'Returns (Calc)'!$A:$A)-3),"")</f>
        <v>59.4910691823899</v>
      </c>
      <c r="AM157" s="111" t="n">
        <f aca="false">IFERROR('Price History'!S3+(INDEX('Price History'!S:S,MATCH(9.99E+307,'Price History'!$A:$A))-'Price History'!S3)*(ROW()-3)/(MATCH(9.99E+307,'Returns (Calc)'!$A:$A)-3),"")</f>
        <v>146.852704402516</v>
      </c>
      <c r="AN157" s="111" t="n">
        <f aca="false">IFERROR('Price History'!T3+(INDEX('Price History'!T:T,MATCH(9.99E+307,'Price History'!$A:$A))-'Price History'!T3)*(ROW()-3)/(MATCH(9.99E+307,'Returns (Calc)'!$A:$A)-3),"")</f>
        <v>54.3975471698113</v>
      </c>
      <c r="AO157" s="112" t="n">
        <f aca="false">IFERROR('Price History'!V3+(INDEX('Price History'!V:V,MATCH(9.99E+307,'Price History'!$A:$A))-'Price History'!V3)*(ROW()-3)/(MATCH(9.99E+307,'Returns (Calc)'!$A:$A)-3),"")</f>
        <v>363.27534591195</v>
      </c>
    </row>
    <row r="158" customFormat="false" ht="15" hidden="false" customHeight="true" outlineLevel="0" collapsed="false">
      <c r="A158" s="108" t="n">
        <f aca="false">IF('Price History'!A159="","",'Price History'!A159)</f>
        <v>46241</v>
      </c>
      <c r="B158" s="109" t="n">
        <f aca="false">IFERROR(IF(OR(NOT(ISNUMBER('Price History'!B159)),NOT(ISNUMBER('Price History'!B158)),'Price History'!B158=0),"",'Price History'!B159/'Price History'!B158-1),"")</f>
        <v>0.0591030709636196</v>
      </c>
      <c r="C158" s="109" t="n">
        <f aca="false">IFERROR(IF(OR(NOT(ISNUMBER('Price History'!C159)),NOT(ISNUMBER('Price History'!C158)),'Price History'!C158=0),"",'Price History'!C159/'Price History'!C158-1),"")</f>
        <v>0.046132520099806</v>
      </c>
      <c r="D158" s="109" t="n">
        <f aca="false">IFERROR(IF(OR(NOT(ISNUMBER('Price History'!D159)),NOT(ISNUMBER('Price History'!D158)),'Price History'!D158=0),"",'Price History'!D159/'Price History'!D158-1),"")</f>
        <v>0.0687476979742174</v>
      </c>
      <c r="E158" s="109" t="n">
        <f aca="false">IFERROR(IF(OR(NOT(ISNUMBER('Price History'!E159)),NOT(ISNUMBER('Price History'!E158)),'Price History'!E158=0),"",'Price History'!E159/'Price History'!E158-1),"")</f>
        <v>0.0988491574188246</v>
      </c>
      <c r="F158" s="109" t="n">
        <f aca="false">IFERROR(IF(OR(NOT(ISNUMBER('Price History'!F159)),NOT(ISNUMBER('Price History'!F158)),'Price History'!F158=0),"",'Price History'!F159/'Price History'!F158-1),"")</f>
        <v>0.123441265849314</v>
      </c>
      <c r="G158" s="109" t="n">
        <f aca="false">IFERROR(IF(OR(NOT(ISNUMBER('Price History'!G159)),NOT(ISNUMBER('Price History'!G158)),'Price History'!G158=0),"",'Price History'!G159/'Price History'!G158-1),"")</f>
        <v>0.082430806257521</v>
      </c>
      <c r="H158" s="109" t="n">
        <f aca="false">IFERROR(IF(OR(NOT(ISNUMBER('Price History'!H159)),NOT(ISNUMBER('Price History'!H158)),'Price History'!H158=0),"",'Price History'!H159/'Price History'!H158-1),"")</f>
        <v>0.066267329258958</v>
      </c>
      <c r="I158" s="109" t="n">
        <f aca="false">IFERROR(IF(OR(NOT(ISNUMBER('Price History'!I159)),NOT(ISNUMBER('Price History'!I158)),'Price History'!I158=0),"",'Price History'!I159/'Price History'!I158-1),"")</f>
        <v>0.115616438356164</v>
      </c>
      <c r="J158" s="109" t="n">
        <f aca="false">IFERROR(IF(OR(NOT(ISNUMBER('Price History'!J159)),NOT(ISNUMBER('Price History'!J158)),'Price History'!J158=0),"",'Price History'!J159/'Price History'!J158-1),"")</f>
        <v>-0.0307724223774291</v>
      </c>
      <c r="K158" s="109" t="n">
        <f aca="false">IFERROR(IF(OR(NOT(ISNUMBER('Price History'!K159)),NOT(ISNUMBER('Price History'!K158)),'Price History'!K158=0),"",'Price History'!K159/'Price History'!K158-1),"")</f>
        <v>0.397773443848529</v>
      </c>
      <c r="L158" s="109" t="n">
        <f aca="false">IFERROR(IF(OR(NOT(ISNUMBER('Price History'!L159)),NOT(ISNUMBER('Price History'!L158)),'Price History'!L158=0),"",'Price History'!L159/'Price History'!L158-1),"")</f>
        <v>0.0390599876314162</v>
      </c>
      <c r="M158" s="109" t="n">
        <f aca="false">IFERROR(IF(OR(NOT(ISNUMBER('Price History'!M159)),NOT(ISNUMBER('Price History'!M158)),'Price History'!M158=0),"",'Price History'!M159/'Price History'!M158-1),"")</f>
        <v>0.127623463178375</v>
      </c>
      <c r="N158" s="109" t="n">
        <f aca="false">IFERROR(IF(OR(NOT(ISNUMBER('Price History'!N159)),NOT(ISNUMBER('Price History'!N158)),'Price History'!N158=0),"",'Price History'!N159/'Price History'!N158-1),"")</f>
        <v>0.0397610563823096</v>
      </c>
      <c r="O158" s="109" t="n">
        <f aca="false">IFERROR(IF(OR(NOT(ISNUMBER('Price History'!O159)),NOT(ISNUMBER('Price History'!O158)),'Price History'!O158=0),"",'Price History'!O159/'Price History'!O158-1),"")</f>
        <v>0.0127713920817369</v>
      </c>
      <c r="P158" s="109" t="str">
        <f aca="false">IFERROR(IF(OR(NOT(ISNUMBER('Price History'!P159)),NOT(ISNUMBER('Price History'!P158)),'Price History'!P158=0),"",'Price History'!P159/'Price History'!P158-1),"")</f>
        <v/>
      </c>
      <c r="Q158" s="109" t="n">
        <f aca="false">IFERROR(IF(OR(NOT(ISNUMBER('Price History'!Q159)),NOT(ISNUMBER('Price History'!Q158)),'Price History'!Q158=0),"",'Price History'!Q159/'Price History'!Q158-1),"")</f>
        <v>0.020598977355734</v>
      </c>
      <c r="R158" s="109" t="n">
        <f aca="false">IFERROR(IF(OR(NOT(ISNUMBER('Price History'!R159)),NOT(ISNUMBER('Price History'!R158)),'Price History'!R158=0),"",'Price History'!R159/'Price History'!R158-1),"")</f>
        <v>0.0255793991416309</v>
      </c>
      <c r="S158" s="109" t="n">
        <f aca="false">IFERROR(IF(OR(NOT(ISNUMBER('Price History'!S159)),NOT(ISNUMBER('Price History'!S158)),'Price History'!S158=0),"",'Price History'!S159/'Price History'!S158-1),"")</f>
        <v>0.0407425432802613</v>
      </c>
      <c r="T158" s="109" t="n">
        <f aca="false">IFERROR(IF(OR(NOT(ISNUMBER('Price History'!T159)),NOT(ISNUMBER('Price History'!T158)),'Price History'!T158=0),"",'Price History'!T159/'Price History'!T158-1),"")</f>
        <v>0.0345798150381986</v>
      </c>
      <c r="U158" s="109" t="str">
        <f aca="false">IFERROR(IF(OR(NOT(ISNUMBER('Price History'!U159)),NOT(ISNUMBER('Price History'!U158)),'Price History'!U158=0),"",'Price History'!U159/'Price History'!U158-1),"")</f>
        <v/>
      </c>
      <c r="V158" s="110" t="n">
        <f aca="false">IFERROR(IF(OR(NOT(ISNUMBER('Price History'!V159)),NOT(ISNUMBER('Price History'!V158)),'Price History'!V158=0),"",'Price History'!V159/'Price History'!V158-1),"")</f>
        <v>-0.00990559584074435</v>
      </c>
      <c r="W158" s="112" t="n">
        <f aca="false">IFERROR('Price History'!B3+(INDEX('Price History'!B:B,MATCH(9.99E+307,'Price History'!$A:$A))-'Price History'!B3)*(ROW()-3)/(MATCH(9.99E+307,'Returns (Calc)'!$A:$A)-3),"")</f>
        <v>272.596540880503</v>
      </c>
      <c r="X158" s="112" t="n">
        <f aca="false">IFERROR('Price History'!C3+(INDEX('Price History'!C:C,MATCH(9.99E+307,'Price History'!$A:$A))-'Price History'!C3)*(ROW()-3)/(MATCH(9.99E+307,'Returns (Calc)'!$A:$A)-3),"")</f>
        <v>190.005408805031</v>
      </c>
      <c r="Y158" s="112" t="n">
        <f aca="false">IFERROR('Price History'!D3+(INDEX('Price History'!D:D,MATCH(9.99E+307,'Price History'!$A:$A))-'Price History'!D3)*(ROW()-3)/(MATCH(9.99E+307,'Returns (Calc)'!$A:$A)-3),"")</f>
        <v>1688.38691823899</v>
      </c>
      <c r="Z158" s="112" t="n">
        <f aca="false">IFERROR('Price History'!E3+(INDEX('Price History'!E:E,MATCH(9.99E+307,'Price History'!$A:$A))-'Price History'!E3)*(ROW()-3)/(MATCH(9.99E+307,'Returns (Calc)'!$A:$A)-3),"")</f>
        <v>350.983773584906</v>
      </c>
      <c r="AA158" s="112" t="n">
        <f aca="false">IFERROR('Price History'!F3+(INDEX('Price History'!F:F,MATCH(9.99E+307,'Price History'!$A:$A))-'Price History'!F3)*(ROW()-3)/(MATCH(9.99E+307,'Returns (Calc)'!$A:$A)-3),"")</f>
        <v>208.671320754717</v>
      </c>
      <c r="AB158" s="112" t="n">
        <f aca="false">IFERROR('Price History'!G3+(INDEX('Price History'!G:G,MATCH(9.99E+307,'Price History'!$A:$A))-'Price History'!G3)*(ROW()-3)/(MATCH(9.99E+307,'Returns (Calc)'!$A:$A)-3),"")</f>
        <v>182.135849056604</v>
      </c>
      <c r="AC158" s="112" t="n">
        <f aca="false">IFERROR('Price History'!H3+(INDEX('Price History'!H:H,MATCH(9.99E+307,'Price History'!$A:$A))-'Price History'!H3)*(ROW()-3)/(MATCH(9.99E+307,'Returns (Calc)'!$A:$A)-3),"")</f>
        <v>992.634779874214</v>
      </c>
      <c r="AD158" s="112" t="n">
        <f aca="false">IFERROR('Price History'!I3+(INDEX('Price History'!I:I,MATCH(9.99E+307,'Price History'!$A:$A))-'Price History'!I3)*(ROW()-3)/(MATCH(9.99E+307,'Returns (Calc)'!$A:$A)-3),"")</f>
        <v>225.592452830189</v>
      </c>
      <c r="AE158" s="112" t="n">
        <f aca="false">IFERROR('Price History'!J3+(INDEX('Price History'!J:J,MATCH(9.99E+307,'Price History'!$A:$A))-'Price History'!J3)*(ROW()-3)/(MATCH(9.99E+307,'Returns (Calc)'!$A:$A)-3),"")</f>
        <v>136.992075471698</v>
      </c>
      <c r="AF158" s="112" t="n">
        <f aca="false">IFERROR('Price History'!K3+(INDEX('Price History'!K:K,MATCH(9.99E+307,'Price History'!$A:$A))-'Price History'!K3)*(ROW()-3)/(MATCH(9.99E+307,'Returns (Calc)'!$A:$A)-3),"")</f>
        <v>170.332012578616</v>
      </c>
      <c r="AG158" s="112" t="n">
        <f aca="false">IFERROR('Price History'!L3+(INDEX('Price History'!L:L,MATCH(9.99E+307,'Price History'!$A:$A))-'Price History'!L3)*(ROW()-3)/(MATCH(9.99E+307,'Returns (Calc)'!$A:$A)-3),"")</f>
        <v>420.434025157233</v>
      </c>
      <c r="AH158" s="112" t="n">
        <f aca="false">IFERROR('Price History'!M3+(INDEX('Price History'!M:M,MATCH(9.99E+307,'Price History'!$A:$A))-'Price History'!M3)*(ROW()-3)/(MATCH(9.99E+307,'Returns (Calc)'!$A:$A)-3),"")</f>
        <v>274.315660377359</v>
      </c>
      <c r="AI158" s="112" t="n">
        <f aca="false">IFERROR('Price History'!N3+(INDEX('Price History'!N:N,MATCH(9.99E+307,'Price History'!$A:$A))-'Price History'!N3)*(ROW()-3)/(MATCH(9.99E+307,'Returns (Calc)'!$A:$A)-3),"")</f>
        <v>541.182641509434</v>
      </c>
      <c r="AJ158" s="112" t="n">
        <f aca="false">IFERROR('Price History'!O3+(INDEX('Price History'!O:O,MATCH(9.99E+307,'Price History'!$A:$A))-'Price History'!O3)*(ROW()-3)/(MATCH(9.99E+307,'Returns (Calc)'!$A:$A)-3),"")</f>
        <v>125.82106918239</v>
      </c>
      <c r="AK158" s="112" t="n">
        <f aca="false">IFERROR('Price History'!Q3+(INDEX('Price History'!Q:Q,MATCH(9.99E+307,'Price History'!$A:$A))-'Price History'!Q3)*(ROW()-3)/(MATCH(9.99E+307,'Returns (Calc)'!$A:$A)-3),"")</f>
        <v>69.2198742138365</v>
      </c>
      <c r="AL158" s="112" t="n">
        <f aca="false">IFERROR('Price History'!R3+(INDEX('Price History'!R:R,MATCH(9.99E+307,'Price History'!$A:$A))-'Price History'!R3)*(ROW()-3)/(MATCH(9.99E+307,'Returns (Calc)'!$A:$A)-3),"")</f>
        <v>59.566855345912</v>
      </c>
      <c r="AM158" s="112" t="n">
        <f aca="false">IFERROR('Price History'!S3+(INDEX('Price History'!S:S,MATCH(9.99E+307,'Price History'!$A:$A))-'Price History'!S3)*(ROW()-3)/(MATCH(9.99E+307,'Returns (Calc)'!$A:$A)-3),"")</f>
        <v>147.426163522013</v>
      </c>
      <c r="AN158" s="112" t="n">
        <f aca="false">IFERROR('Price History'!T3+(INDEX('Price History'!T:T,MATCH(9.99E+307,'Price History'!$A:$A))-'Price History'!T3)*(ROW()-3)/(MATCH(9.99E+307,'Returns (Calc)'!$A:$A)-3),"")</f>
        <v>54.5760377358491</v>
      </c>
      <c r="AO158" s="112" t="n">
        <f aca="false">IFERROR('Price History'!V3+(INDEX('Price History'!V:V,MATCH(9.99E+307,'Price History'!$A:$A))-'Price History'!V3)*(ROW()-3)/(MATCH(9.99E+307,'Returns (Calc)'!$A:$A)-3),"")</f>
        <v>365.63427672956</v>
      </c>
    </row>
    <row r="159" customFormat="false" ht="15" hidden="false" customHeight="true" outlineLevel="0" collapsed="false">
      <c r="A159" s="108" t="n">
        <f aca="false">IF('Price History'!A160="","",'Price History'!A160)</f>
        <v>46248</v>
      </c>
      <c r="B159" s="109" t="n">
        <f aca="false">IFERROR(IF(OR(NOT(ISNUMBER('Price History'!B160)),NOT(ISNUMBER('Price History'!B159)),'Price History'!B159=0),"",'Price History'!B160/'Price History'!B159-1),"")</f>
        <v>-0.00448701029372944</v>
      </c>
      <c r="C159" s="109" t="n">
        <f aca="false">IFERROR(IF(OR(NOT(ISNUMBER('Price History'!C160)),NOT(ISNUMBER('Price History'!C159)),'Price History'!C159=0),"",'Price History'!C160/'Price History'!C159-1),"")</f>
        <v>0.0537976360841681</v>
      </c>
      <c r="D159" s="109" t="n">
        <f aca="false">IFERROR(IF(OR(NOT(ISNUMBER('Price History'!D160)),NOT(ISNUMBER('Price History'!D159)),'Price History'!D159=0),"",'Price History'!D160/'Price History'!D159-1),"")</f>
        <v>0.059213436033521</v>
      </c>
      <c r="E159" s="109" t="n">
        <f aca="false">IFERROR(IF(OR(NOT(ISNUMBER('Price History'!E160)),NOT(ISNUMBER('Price History'!E159)),'Price History'!E159=0),"",'Price History'!E160/'Price History'!E159-1),"")</f>
        <v>-0.0812838975126239</v>
      </c>
      <c r="F159" s="109" t="n">
        <f aca="false">IFERROR(IF(OR(NOT(ISNUMBER('Price History'!F160)),NOT(ISNUMBER('Price History'!F159)),'Price History'!F159=0),"",'Price History'!F160/'Price History'!F159-1),"")</f>
        <v>0.0117992724559277</v>
      </c>
      <c r="G159" s="109" t="n">
        <f aca="false">IFERROR(IF(OR(NOT(ISNUMBER('Price History'!G160)),NOT(ISNUMBER('Price History'!G159)),'Price History'!G159=0),"",'Price History'!G160/'Price History'!G159-1),"")</f>
        <v>0.028298549699328</v>
      </c>
      <c r="H159" s="109" t="n">
        <f aca="false">IFERROR(IF(OR(NOT(ISNUMBER('Price History'!H160)),NOT(ISNUMBER('Price History'!H159)),'Price History'!H159=0),"",'Price History'!H160/'Price History'!H159-1),"")</f>
        <v>0.107216518340417</v>
      </c>
      <c r="I159" s="109" t="n">
        <f aca="false">IFERROR(IF(OR(NOT(ISNUMBER('Price History'!I160)),NOT(ISNUMBER('Price History'!I159)),'Price History'!I159=0),"",'Price History'!I160/'Price History'!I159-1),"")</f>
        <v>0.0053580996606537</v>
      </c>
      <c r="J159" s="109" t="n">
        <f aca="false">IFERROR(IF(OR(NOT(ISNUMBER('Price History'!J160)),NOT(ISNUMBER('Price History'!J159)),'Price History'!J159=0),"",'Price History'!J160/'Price History'!J159-1),"")</f>
        <v>0.00620719178082196</v>
      </c>
      <c r="K159" s="109" t="n">
        <f aca="false">IFERROR(IF(OR(NOT(ISNUMBER('Price History'!K160)),NOT(ISNUMBER('Price History'!K159)),'Price History'!K159=0),"",'Price History'!K160/'Price History'!K159-1),"")</f>
        <v>0.0118016394395675</v>
      </c>
      <c r="L159" s="109" t="n">
        <f aca="false">IFERROR(IF(OR(NOT(ISNUMBER('Price History'!L160)),NOT(ISNUMBER('Price History'!L159)),'Price History'!L159=0),"",'Price History'!L160/'Price History'!L159-1),"")</f>
        <v>0.0150223788210646</v>
      </c>
      <c r="M159" s="109" t="n">
        <f aca="false">IFERROR(IF(OR(NOT(ISNUMBER('Price History'!M160)),NOT(ISNUMBER('Price History'!M159)),'Price History'!M159=0),"",'Price History'!M160/'Price History'!M159-1),"")</f>
        <v>0.0787077826725404</v>
      </c>
      <c r="N159" s="109" t="n">
        <f aca="false">IFERROR(IF(OR(NOT(ISNUMBER('Price History'!N160)),NOT(ISNUMBER('Price History'!N159)),'Price History'!N159=0),"",'Price History'!N160/'Price History'!N159-1),"")</f>
        <v>0.0195133751285101</v>
      </c>
      <c r="O159" s="109" t="n">
        <f aca="false">IFERROR(IF(OR(NOT(ISNUMBER('Price History'!O160)),NOT(ISNUMBER('Price History'!O159)),'Price History'!O159=0),"",'Price History'!O160/'Price History'!O159-1),"")</f>
        <v>0.0145807061790668</v>
      </c>
      <c r="P159" s="109" t="str">
        <f aca="false">IFERROR(IF(OR(NOT(ISNUMBER('Price History'!P160)),NOT(ISNUMBER('Price History'!P159)),'Price History'!P159=0),"",'Price History'!P160/'Price History'!P159-1),"")</f>
        <v/>
      </c>
      <c r="Q159" s="109" t="n">
        <f aca="false">IFERROR(IF(OR(NOT(ISNUMBER('Price History'!Q160)),NOT(ISNUMBER('Price History'!Q159)),'Price History'!Q159=0),"",'Price History'!Q160/'Price History'!Q159-1),"")</f>
        <v>0.00415115946178069</v>
      </c>
      <c r="R159" s="109" t="n">
        <f aca="false">IFERROR(IF(OR(NOT(ISNUMBER('Price History'!R160)),NOT(ISNUMBER('Price History'!R159)),'Price History'!R159=0),"",'Price History'!R160/'Price History'!R159-1),"")</f>
        <v>0.0132239705390023</v>
      </c>
      <c r="S159" s="109" t="n">
        <f aca="false">IFERROR(IF(OR(NOT(ISNUMBER('Price History'!S160)),NOT(ISNUMBER('Price History'!S159)),'Price History'!S159=0),"",'Price History'!S160/'Price History'!S159-1),"")</f>
        <v>0.0241833121785022</v>
      </c>
      <c r="T159" s="109" t="n">
        <f aca="false">IFERROR(IF(OR(NOT(ISNUMBER('Price History'!T160)),NOT(ISNUMBER('Price History'!T159)),'Price History'!T159=0),"",'Price History'!T160/'Price History'!T159-1),"")</f>
        <v>0.0437232802176448</v>
      </c>
      <c r="U159" s="109" t="str">
        <f aca="false">IFERROR(IF(OR(NOT(ISNUMBER('Price History'!U160)),NOT(ISNUMBER('Price History'!U159)),'Price History'!U159=0),"",'Price History'!U160/'Price History'!U159-1),"")</f>
        <v/>
      </c>
      <c r="V159" s="110" t="n">
        <f aca="false">IFERROR(IF(OR(NOT(ISNUMBER('Price History'!V160)),NOT(ISNUMBER('Price History'!V159)),'Price History'!V159=0),"",'Price History'!V160/'Price History'!V159-1),"")</f>
        <v>0.0064118508691926</v>
      </c>
      <c r="W159" s="112" t="n">
        <f aca="false">IFERROR('Price History'!B3+(INDEX('Price History'!B:B,MATCH(9.99E+307,'Price History'!$A:$A))-'Price History'!B3)*(ROW()-3)/(MATCH(9.99E+307,'Returns (Calc)'!$A:$A)-3),"")</f>
        <v>271.074905660377</v>
      </c>
      <c r="X159" s="112" t="n">
        <f aca="false">IFERROR('Price History'!C3+(INDEX('Price History'!C:C,MATCH(9.99E+307,'Price History'!$A:$A))-'Price History'!C3)*(ROW()-3)/(MATCH(9.99E+307,'Returns (Calc)'!$A:$A)-3),"")</f>
        <v>190.949056603774</v>
      </c>
      <c r="Y159" s="112" t="n">
        <f aca="false">IFERROR('Price History'!D3+(INDEX('Price History'!D:D,MATCH(9.99E+307,'Price History'!$A:$A))-'Price History'!D3)*(ROW()-3)/(MATCH(9.99E+307,'Returns (Calc)'!$A:$A)-3),"")</f>
        <v>1695.01018867925</v>
      </c>
      <c r="Z159" s="112" t="n">
        <f aca="false">IFERROR('Price History'!E3+(INDEX('Price History'!E:E,MATCH(9.99E+307,'Price History'!$A:$A))-'Price History'!E3)*(ROW()-3)/(MATCH(9.99E+307,'Returns (Calc)'!$A:$A)-3),"")</f>
        <v>352.712830188679</v>
      </c>
      <c r="AA159" s="112" t="n">
        <f aca="false">IFERROR('Price History'!F3+(INDEX('Price History'!F:F,MATCH(9.99E+307,'Price History'!$A:$A))-'Price History'!F3)*(ROW()-3)/(MATCH(9.99E+307,'Returns (Calc)'!$A:$A)-3),"")</f>
        <v>209.778490566038</v>
      </c>
      <c r="AB159" s="112" t="n">
        <f aca="false">IFERROR('Price History'!G3+(INDEX('Price History'!G:G,MATCH(9.99E+307,'Price History'!$A:$A))-'Price History'!G3)*(ROW()-3)/(MATCH(9.99E+307,'Returns (Calc)'!$A:$A)-3),"")</f>
        <v>183.001886792453</v>
      </c>
      <c r="AC159" s="112" t="n">
        <f aca="false">IFERROR('Price History'!H3+(INDEX('Price History'!H:H,MATCH(9.99E+307,'Price History'!$A:$A))-'Price History'!H3)*(ROW()-3)/(MATCH(9.99E+307,'Returns (Calc)'!$A:$A)-3),"")</f>
        <v>998.62358490566</v>
      </c>
      <c r="AD159" s="112" t="n">
        <f aca="false">IFERROR('Price History'!I3+(INDEX('Price History'!I:I,MATCH(9.99E+307,'Price History'!$A:$A))-'Price History'!I3)*(ROW()-3)/(MATCH(9.99E+307,'Returns (Calc)'!$A:$A)-3),"")</f>
        <v>226.784339622642</v>
      </c>
      <c r="AE159" s="112" t="n">
        <f aca="false">IFERROR('Price History'!J3+(INDEX('Price History'!J:J,MATCH(9.99E+307,'Price History'!$A:$A))-'Price History'!J3)*(ROW()-3)/(MATCH(9.99E+307,'Returns (Calc)'!$A:$A)-3),"")</f>
        <v>137.079056603774</v>
      </c>
      <c r="AF159" s="112" t="n">
        <f aca="false">IFERROR('Price History'!K3+(INDEX('Price History'!K:K,MATCH(9.99E+307,'Price History'!$A:$A))-'Price History'!K3)*(ROW()-3)/(MATCH(9.99E+307,'Returns (Calc)'!$A:$A)-3),"")</f>
        <v>171.331509433962</v>
      </c>
      <c r="AG159" s="112" t="n">
        <f aca="false">IFERROR('Price History'!L3+(INDEX('Price History'!L:L,MATCH(9.99E+307,'Price History'!$A:$A))-'Price History'!L3)*(ROW()-3)/(MATCH(9.99E+307,'Returns (Calc)'!$A:$A)-3),"")</f>
        <v>422.553018867925</v>
      </c>
      <c r="AH159" s="112" t="n">
        <f aca="false">IFERROR('Price History'!M3+(INDEX('Price History'!M:M,MATCH(9.99E+307,'Price History'!$A:$A))-'Price History'!M3)*(ROW()-3)/(MATCH(9.99E+307,'Returns (Calc)'!$A:$A)-3),"")</f>
        <v>275.869245283019</v>
      </c>
      <c r="AI159" s="112" t="n">
        <f aca="false">IFERROR('Price History'!N3+(INDEX('Price History'!N:N,MATCH(9.99E+307,'Price History'!$A:$A))-'Price History'!N3)*(ROW()-3)/(MATCH(9.99E+307,'Returns (Calc)'!$A:$A)-3),"")</f>
        <v>542.416981132076</v>
      </c>
      <c r="AJ159" s="112" t="n">
        <f aca="false">IFERROR('Price History'!O3+(INDEX('Price History'!O:O,MATCH(9.99E+307,'Price History'!$A:$A))-'Price History'!O3)*(ROW()-3)/(MATCH(9.99E+307,'Returns (Calc)'!$A:$A)-3),"")</f>
        <v>126.098301886792</v>
      </c>
      <c r="AK159" s="112" t="n">
        <f aca="false">IFERROR('Price History'!Q3+(INDEX('Price History'!Q:Q,MATCH(9.99E+307,'Price History'!$A:$A))-'Price History'!Q3)*(ROW()-3)/(MATCH(9.99E+307,'Returns (Calc)'!$A:$A)-3),"")</f>
        <v>69.3449056603774</v>
      </c>
      <c r="AL159" s="112" t="n">
        <f aca="false">IFERROR('Price History'!R3+(INDEX('Price History'!R:R,MATCH(9.99E+307,'Price History'!$A:$A))-'Price History'!R3)*(ROW()-3)/(MATCH(9.99E+307,'Returns (Calc)'!$A:$A)-3),"")</f>
        <v>59.642641509434</v>
      </c>
      <c r="AM159" s="112" t="n">
        <f aca="false">IFERROR('Price History'!S3+(INDEX('Price History'!S:S,MATCH(9.99E+307,'Price History'!$A:$A))-'Price History'!S3)*(ROW()-3)/(MATCH(9.99E+307,'Returns (Calc)'!$A:$A)-3),"")</f>
        <v>147.999622641509</v>
      </c>
      <c r="AN159" s="112" t="n">
        <f aca="false">IFERROR('Price History'!T3+(INDEX('Price History'!T:T,MATCH(9.99E+307,'Price History'!$A:$A))-'Price History'!T3)*(ROW()-3)/(MATCH(9.99E+307,'Returns (Calc)'!$A:$A)-3),"")</f>
        <v>54.7545283018868</v>
      </c>
      <c r="AO159" s="112" t="n">
        <f aca="false">IFERROR('Price History'!V3+(INDEX('Price History'!V:V,MATCH(9.99E+307,'Price History'!$A:$A))-'Price History'!V3)*(ROW()-3)/(MATCH(9.99E+307,'Returns (Calc)'!$A:$A)-3),"")</f>
        <v>367.99320754717</v>
      </c>
    </row>
    <row r="160" customFormat="false" ht="15" hidden="false" customHeight="true" outlineLevel="0" collapsed="false">
      <c r="A160" s="108" t="n">
        <f aca="false">IF('Price History'!A161="","",'Price History'!A161)</f>
        <v>46255</v>
      </c>
      <c r="B160" s="109" t="n">
        <f aca="false">IFERROR(IF(OR(NOT(ISNUMBER('Price History'!B161)),NOT(ISNUMBER('Price History'!B160)),'Price History'!B160=0),"",'Price History'!B161/'Price History'!B160-1),"")</f>
        <v>0.0427240360578745</v>
      </c>
      <c r="C160" s="109" t="n">
        <f aca="false">IFERROR(IF(OR(NOT(ISNUMBER('Price History'!C161)),NOT(ISNUMBER('Price History'!C160)),'Price History'!C160=0),"",'Price History'!C161/'Price History'!C160-1),"")</f>
        <v>-0.0511517955940045</v>
      </c>
      <c r="D160" s="109" t="n">
        <f aca="false">IFERROR(IF(OR(NOT(ISNUMBER('Price History'!D161)),NOT(ISNUMBER('Price History'!D160)),'Price History'!D160=0),"",'Price History'!D161/'Price History'!D160-1),"")</f>
        <v>-0.0435555941173919</v>
      </c>
      <c r="E160" s="109" t="n">
        <f aca="false">IFERROR(IF(OR(NOT(ISNUMBER('Price History'!E161)),NOT(ISNUMBER('Price History'!E160)),'Price History'!E160=0),"",'Price History'!E161/'Price History'!E160-1),"")</f>
        <v>-0.0624443370060307</v>
      </c>
      <c r="F160" s="109" t="n">
        <f aca="false">IFERROR(IF(OR(NOT(ISNUMBER('Price History'!F161)),NOT(ISNUMBER('Price History'!F160)),'Price History'!F160=0),"",'Price History'!F161/'Price History'!F160-1),"")</f>
        <v>-0.115233924867481</v>
      </c>
      <c r="G160" s="109" t="n">
        <f aca="false">IFERROR(IF(OR(NOT(ISNUMBER('Price History'!G161)),NOT(ISNUMBER('Price History'!G160)),'Price History'!G160=0),"",'Price History'!G161/'Price History'!G160-1),"")</f>
        <v>-0.095827804806133</v>
      </c>
      <c r="H160" s="109" t="n">
        <f aca="false">IFERROR(IF(OR(NOT(ISNUMBER('Price History'!H161)),NOT(ISNUMBER('Price History'!H160)),'Price History'!H160=0),"",'Price History'!H161/'Price History'!H160-1),"")</f>
        <v>-0.00502233291480558</v>
      </c>
      <c r="I160" s="109" t="n">
        <f aca="false">IFERROR(IF(OR(NOT(ISNUMBER('Price History'!I161)),NOT(ISNUMBER('Price History'!I160)),'Price History'!I160=0),"",'Price History'!I161/'Price History'!I160-1),"")</f>
        <v>-0.0463670278912773</v>
      </c>
      <c r="J160" s="109" t="n">
        <f aca="false">IFERROR(IF(OR(NOT(ISNUMBER('Price History'!J161)),NOT(ISNUMBER('Price History'!J160)),'Price History'!J160=0),"",'Price History'!J161/'Price History'!J160-1),"")</f>
        <v>0.00545983124157989</v>
      </c>
      <c r="K160" s="109" t="n">
        <f aca="false">IFERROR(IF(OR(NOT(ISNUMBER('Price History'!K161)),NOT(ISNUMBER('Price History'!K160)),'Price History'!K160=0),"",'Price History'!K161/'Price History'!K160-1),"")</f>
        <v>0.0339002528154448</v>
      </c>
      <c r="L160" s="109" t="n">
        <f aca="false">IFERROR(IF(OR(NOT(ISNUMBER('Price History'!L161)),NOT(ISNUMBER('Price History'!L160)),'Price History'!L160=0),"",'Price History'!L161/'Price History'!L160-1),"")</f>
        <v>-0.01735663187522</v>
      </c>
      <c r="M160" s="109" t="n">
        <f aca="false">IFERROR(IF(OR(NOT(ISNUMBER('Price History'!M161)),NOT(ISNUMBER('Price History'!M160)),'Price History'!M160=0),"",'Price History'!M161/'Price History'!M160-1),"")</f>
        <v>-0.10852845085761</v>
      </c>
      <c r="N160" s="109" t="n">
        <f aca="false">IFERROR(IF(OR(NOT(ISNUMBER('Price History'!N161)),NOT(ISNUMBER('Price History'!N160)),'Price History'!N160=0),"",'Price History'!N161/'Price History'!N160-1),"")</f>
        <v>0.0836381611468116</v>
      </c>
      <c r="O160" s="109" t="n">
        <f aca="false">IFERROR(IF(OR(NOT(ISNUMBER('Price History'!O161)),NOT(ISNUMBER('Price History'!O160)),'Price History'!O160=0),"",'Price History'!O161/'Price History'!O160-1),"")</f>
        <v>-0.0177114891633651</v>
      </c>
      <c r="P160" s="109" t="str">
        <f aca="false">IFERROR(IF(OR(NOT(ISNUMBER('Price History'!P161)),NOT(ISNUMBER('Price History'!P160)),'Price History'!P160=0),"",'Price History'!P161/'Price History'!P160-1),"")</f>
        <v/>
      </c>
      <c r="Q160" s="109" t="n">
        <f aca="false">IFERROR(IF(OR(NOT(ISNUMBER('Price History'!Q161)),NOT(ISNUMBER('Price History'!Q160)),'Price History'!Q160=0),"",'Price History'!Q161/'Price History'!Q160-1),"")</f>
        <v>-0.0105488239486815</v>
      </c>
      <c r="R160" s="109" t="n">
        <f aca="false">IFERROR(IF(OR(NOT(ISNUMBER('Price History'!R161)),NOT(ISNUMBER('Price History'!R160)),'Price History'!R160=0),"",'Price History'!R161/'Price History'!R160-1),"")</f>
        <v>-0.011399306129192</v>
      </c>
      <c r="S160" s="109" t="n">
        <f aca="false">IFERROR(IF(OR(NOT(ISNUMBER('Price History'!S161)),NOT(ISNUMBER('Price History'!S160)),'Price History'!S160=0),"",'Price History'!S161/'Price History'!S160-1),"")</f>
        <v>-0.0298741112778033</v>
      </c>
      <c r="T160" s="109" t="n">
        <f aca="false">IFERROR(IF(OR(NOT(ISNUMBER('Price History'!T161)),NOT(ISNUMBER('Price History'!T160)),'Price History'!T160=0),"",'Price History'!T161/'Price History'!T160-1),"")</f>
        <v>0.0323962018246138</v>
      </c>
      <c r="U160" s="109" t="str">
        <f aca="false">IFERROR(IF(OR(NOT(ISNUMBER('Price History'!U161)),NOT(ISNUMBER('Price History'!U160)),'Price History'!U160=0),"",'Price History'!U161/'Price History'!U160-1),"")</f>
        <v/>
      </c>
      <c r="V160" s="110" t="n">
        <f aca="false">IFERROR(IF(OR(NOT(ISNUMBER('Price History'!V161)),NOT(ISNUMBER('Price History'!V160)),'Price History'!V160=0),"",'Price History'!V161/'Price History'!V160-1),"")</f>
        <v>0.0189207744061515</v>
      </c>
      <c r="W160" s="112" t="n">
        <f aca="false">IFERROR('Price History'!B3+(INDEX('Price History'!B:B,MATCH(9.99E+307,'Price History'!$A:$A))-'Price History'!B3)*(ROW()-3)/(MATCH(9.99E+307,'Returns (Calc)'!$A:$A)-3),"")</f>
        <v>269.553270440252</v>
      </c>
      <c r="X160" s="112" t="n">
        <f aca="false">IFERROR('Price History'!C3+(INDEX('Price History'!C:C,MATCH(9.99E+307,'Price History'!$A:$A))-'Price History'!C3)*(ROW()-3)/(MATCH(9.99E+307,'Returns (Calc)'!$A:$A)-3),"")</f>
        <v>191.892704402516</v>
      </c>
      <c r="Y160" s="112" t="n">
        <f aca="false">IFERROR('Price History'!D3+(INDEX('Price History'!D:D,MATCH(9.99E+307,'Price History'!$A:$A))-'Price History'!D3)*(ROW()-3)/(MATCH(9.99E+307,'Returns (Calc)'!$A:$A)-3),"")</f>
        <v>1701.6334591195</v>
      </c>
      <c r="Z160" s="112" t="n">
        <f aca="false">IFERROR('Price History'!E3+(INDEX('Price History'!E:E,MATCH(9.99E+307,'Price History'!$A:$A))-'Price History'!E3)*(ROW()-3)/(MATCH(9.99E+307,'Returns (Calc)'!$A:$A)-3),"")</f>
        <v>354.441886792453</v>
      </c>
      <c r="AA160" s="112" t="n">
        <f aca="false">IFERROR('Price History'!F3+(INDEX('Price History'!F:F,MATCH(9.99E+307,'Price History'!$A:$A))-'Price History'!F3)*(ROW()-3)/(MATCH(9.99E+307,'Returns (Calc)'!$A:$A)-3),"")</f>
        <v>210.885660377358</v>
      </c>
      <c r="AB160" s="112" t="n">
        <f aca="false">IFERROR('Price History'!G3+(INDEX('Price History'!G:G,MATCH(9.99E+307,'Price History'!$A:$A))-'Price History'!G3)*(ROW()-3)/(MATCH(9.99E+307,'Returns (Calc)'!$A:$A)-3),"")</f>
        <v>183.867924528302</v>
      </c>
      <c r="AC160" s="112" t="n">
        <f aca="false">IFERROR('Price History'!H3+(INDEX('Price History'!H:H,MATCH(9.99E+307,'Price History'!$A:$A))-'Price History'!H3)*(ROW()-3)/(MATCH(9.99E+307,'Returns (Calc)'!$A:$A)-3),"")</f>
        <v>1004.61238993711</v>
      </c>
      <c r="AD160" s="112" t="n">
        <f aca="false">IFERROR('Price History'!I3+(INDEX('Price History'!I:I,MATCH(9.99E+307,'Price History'!$A:$A))-'Price History'!I3)*(ROW()-3)/(MATCH(9.99E+307,'Returns (Calc)'!$A:$A)-3),"")</f>
        <v>227.976226415094</v>
      </c>
      <c r="AE160" s="112" t="n">
        <f aca="false">IFERROR('Price History'!J3+(INDEX('Price History'!J:J,MATCH(9.99E+307,'Price History'!$A:$A))-'Price History'!J3)*(ROW()-3)/(MATCH(9.99E+307,'Returns (Calc)'!$A:$A)-3),"")</f>
        <v>137.166037735849</v>
      </c>
      <c r="AF160" s="112" t="n">
        <f aca="false">IFERROR('Price History'!K3+(INDEX('Price History'!K:K,MATCH(9.99E+307,'Price History'!$A:$A))-'Price History'!K3)*(ROW()-3)/(MATCH(9.99E+307,'Returns (Calc)'!$A:$A)-3),"")</f>
        <v>172.331006289308</v>
      </c>
      <c r="AG160" s="112" t="n">
        <f aca="false">IFERROR('Price History'!L3+(INDEX('Price History'!L:L,MATCH(9.99E+307,'Price History'!$A:$A))-'Price History'!L3)*(ROW()-3)/(MATCH(9.99E+307,'Returns (Calc)'!$A:$A)-3),"")</f>
        <v>424.672012578616</v>
      </c>
      <c r="AH160" s="112" t="n">
        <f aca="false">IFERROR('Price History'!M3+(INDEX('Price History'!M:M,MATCH(9.99E+307,'Price History'!$A:$A))-'Price History'!M3)*(ROW()-3)/(MATCH(9.99E+307,'Returns (Calc)'!$A:$A)-3),"")</f>
        <v>277.422830188679</v>
      </c>
      <c r="AI160" s="112" t="n">
        <f aca="false">IFERROR('Price History'!N3+(INDEX('Price History'!N:N,MATCH(9.99E+307,'Price History'!$A:$A))-'Price History'!N3)*(ROW()-3)/(MATCH(9.99E+307,'Returns (Calc)'!$A:$A)-3),"")</f>
        <v>543.651320754717</v>
      </c>
      <c r="AJ160" s="112" t="n">
        <f aca="false">IFERROR('Price History'!O3+(INDEX('Price History'!O:O,MATCH(9.99E+307,'Price History'!$A:$A))-'Price History'!O3)*(ROW()-3)/(MATCH(9.99E+307,'Returns (Calc)'!$A:$A)-3),"")</f>
        <v>126.375534591195</v>
      </c>
      <c r="AK160" s="112" t="n">
        <f aca="false">IFERROR('Price History'!Q3+(INDEX('Price History'!Q:Q,MATCH(9.99E+307,'Price History'!$A:$A))-'Price History'!Q3)*(ROW()-3)/(MATCH(9.99E+307,'Returns (Calc)'!$A:$A)-3),"")</f>
        <v>69.4699371069182</v>
      </c>
      <c r="AL160" s="112" t="n">
        <f aca="false">IFERROR('Price History'!R3+(INDEX('Price History'!R:R,MATCH(9.99E+307,'Price History'!$A:$A))-'Price History'!R3)*(ROW()-3)/(MATCH(9.99E+307,'Returns (Calc)'!$A:$A)-3),"")</f>
        <v>59.718427672956</v>
      </c>
      <c r="AM160" s="112" t="n">
        <f aca="false">IFERROR('Price History'!S3+(INDEX('Price History'!S:S,MATCH(9.99E+307,'Price History'!$A:$A))-'Price History'!S3)*(ROW()-3)/(MATCH(9.99E+307,'Returns (Calc)'!$A:$A)-3),"")</f>
        <v>148.573081761006</v>
      </c>
      <c r="AN160" s="112" t="n">
        <f aca="false">IFERROR('Price History'!T3+(INDEX('Price History'!T:T,MATCH(9.99E+307,'Price History'!$A:$A))-'Price History'!T3)*(ROW()-3)/(MATCH(9.99E+307,'Returns (Calc)'!$A:$A)-3),"")</f>
        <v>54.9330188679245</v>
      </c>
      <c r="AO160" s="112" t="n">
        <f aca="false">IFERROR('Price History'!V3+(INDEX('Price History'!V:V,MATCH(9.99E+307,'Price History'!$A:$A))-'Price History'!V3)*(ROW()-3)/(MATCH(9.99E+307,'Returns (Calc)'!$A:$A)-3),"")</f>
        <v>370.35213836478</v>
      </c>
    </row>
    <row r="161" customFormat="false" ht="15" hidden="false" customHeight="true" outlineLevel="0" collapsed="false">
      <c r="A161" s="108" t="n">
        <f aca="false">IF('Price History'!A162="","",'Price History'!A162)</f>
        <v>46262</v>
      </c>
      <c r="B161" s="109" t="n">
        <f aca="false">IFERROR(IF(OR(NOT(ISNUMBER('Price History'!B162)),NOT(ISNUMBER('Price History'!B161)),'Price History'!B161=0),"",'Price History'!B162/'Price History'!B161-1),"")</f>
        <v>0.0589175444969123</v>
      </c>
      <c r="C161" s="109" t="n">
        <f aca="false">IFERROR(IF(OR(NOT(ISNUMBER('Price History'!C162)),NOT(ISNUMBER('Price History'!C161)),'Price History'!C161=0),"",'Price History'!C162/'Price History'!C161-1),"")</f>
        <v>0.0356745295520806</v>
      </c>
      <c r="D161" s="109" t="n">
        <f aca="false">IFERROR(IF(OR(NOT(ISNUMBER('Price History'!D162)),NOT(ISNUMBER('Price History'!D161)),'Price History'!D161=0),"",'Price History'!D162/'Price History'!D161-1),"")</f>
        <v>-0.0383272100512541</v>
      </c>
      <c r="E161" s="109" t="n">
        <f aca="false">IFERROR(IF(OR(NOT(ISNUMBER('Price History'!E162)),NOT(ISNUMBER('Price History'!E161)),'Price History'!E161=0),"",'Price History'!E162/'Price History'!E161-1),"")</f>
        <v>0.000922784638349938</v>
      </c>
      <c r="F161" s="109" t="n">
        <f aca="false">IFERROR(IF(OR(NOT(ISNUMBER('Price History'!F162)),NOT(ISNUMBER('Price History'!F161)),'Price History'!F161=0),"",'Price History'!F162/'Price History'!F161-1),"")</f>
        <v>0.137796301120083</v>
      </c>
      <c r="G161" s="109" t="n">
        <f aca="false">IFERROR(IF(OR(NOT(ISNUMBER('Price History'!G162)),NOT(ISNUMBER('Price History'!G161)),'Price History'!G161=0),"",'Price History'!G162/'Price History'!G161-1),"")</f>
        <v>-0.0459264090439698</v>
      </c>
      <c r="H161" s="109" t="n">
        <f aca="false">IFERROR(IF(OR(NOT(ISNUMBER('Price History'!H162)),NOT(ISNUMBER('Price History'!H161)),'Price History'!H161=0),"",'Price History'!H162/'Price History'!H161-1),"")</f>
        <v>-0.0350855416951116</v>
      </c>
      <c r="I161" s="109" t="n">
        <f aca="false">IFERROR(IF(OR(NOT(ISNUMBER('Price History'!I162)),NOT(ISNUMBER('Price History'!I161)),'Price History'!I161=0),"",'Price History'!I162/'Price History'!I161-1),"")</f>
        <v>0.0131799552906111</v>
      </c>
      <c r="J161" s="109" t="n">
        <f aca="false">IFERROR(IF(OR(NOT(ISNUMBER('Price History'!J162)),NOT(ISNUMBER('Price History'!J161)),'Price History'!J161=0),"",'Price History'!J162/'Price History'!J161-1),"")</f>
        <v>-0.00775740479548681</v>
      </c>
      <c r="K161" s="109" t="n">
        <f aca="false">IFERROR(IF(OR(NOT(ISNUMBER('Price History'!K162)),NOT(ISNUMBER('Price History'!K161)),'Price History'!K161=0),"",'Price History'!K162/'Price History'!K161-1),"")</f>
        <v>0.0352895409580971</v>
      </c>
      <c r="L161" s="109" t="n">
        <f aca="false">IFERROR(IF(OR(NOT(ISNUMBER('Price History'!L162)),NOT(ISNUMBER('Price History'!L161)),'Price History'!L161=0),"",'Price History'!L162/'Price History'!L161-1),"")</f>
        <v>-0.00341329514261846</v>
      </c>
      <c r="M161" s="109" t="n">
        <f aca="false">IFERROR(IF(OR(NOT(ISNUMBER('Price History'!M162)),NOT(ISNUMBER('Price History'!M161)),'Price History'!M161=0),"",'Price History'!M162/'Price History'!M161-1),"")</f>
        <v>-0.0185913342240885</v>
      </c>
      <c r="N161" s="109" t="n">
        <f aca="false">IFERROR(IF(OR(NOT(ISNUMBER('Price History'!N162)),NOT(ISNUMBER('Price History'!N161)),'Price History'!N161=0),"",'Price History'!N162/'Price History'!N161-1),"")</f>
        <v>-0.0116047805857128</v>
      </c>
      <c r="O161" s="109" t="n">
        <f aca="false">IFERROR(IF(OR(NOT(ISNUMBER('Price History'!O162)),NOT(ISNUMBER('Price History'!O161)),'Price History'!O161=0),"",'Price History'!O162/'Price History'!O161-1),"")</f>
        <v>-0.00695927243969952</v>
      </c>
      <c r="P161" s="109" t="str">
        <f aca="false">IFERROR(IF(OR(NOT(ISNUMBER('Price History'!P162)),NOT(ISNUMBER('Price History'!P161)),'Price History'!P161=0),"",'Price History'!P162/'Price History'!P161-1),"")</f>
        <v/>
      </c>
      <c r="Q161" s="109" t="n">
        <f aca="false">IFERROR(IF(OR(NOT(ISNUMBER('Price History'!Q162)),NOT(ISNUMBER('Price History'!Q161)),'Price History'!Q161=0),"",'Price History'!Q162/'Price History'!Q161-1),"")</f>
        <v>0.00403400086442884</v>
      </c>
      <c r="R161" s="109" t="n">
        <f aca="false">IFERROR(IF(OR(NOT(ISNUMBER('Price History'!R162)),NOT(ISNUMBER('Price History'!R161)),'Price History'!R161=0),"",'Price History'!R162/'Price History'!R161-1),"")</f>
        <v>-0.00618315508021394</v>
      </c>
      <c r="S161" s="109" t="n">
        <f aca="false">IFERROR(IF(OR(NOT(ISNUMBER('Price History'!S162)),NOT(ISNUMBER('Price History'!S161)),'Price History'!S161=0),"",'Price History'!S162/'Price History'!S161-1),"")</f>
        <v>-0.0131110065218852</v>
      </c>
      <c r="T161" s="109" t="n">
        <f aca="false">IFERROR(IF(OR(NOT(ISNUMBER('Price History'!T162)),NOT(ISNUMBER('Price History'!T161)),'Price History'!T161=0),"",'Price History'!T162/'Price History'!T161-1),"")</f>
        <v>0.00378719567177632</v>
      </c>
      <c r="U161" s="109" t="str">
        <f aca="false">IFERROR(IF(OR(NOT(ISNUMBER('Price History'!U162)),NOT(ISNUMBER('Price History'!U161)),'Price History'!U161=0),"",'Price History'!U162/'Price History'!U161-1),"")</f>
        <v/>
      </c>
      <c r="V161" s="110" t="n">
        <f aca="false">IFERROR(IF(OR(NOT(ISNUMBER('Price History'!V162)),NOT(ISNUMBER('Price History'!V161)),'Price History'!V161=0),"",'Price History'!V162/'Price History'!V161-1),"")</f>
        <v>0.0284605433376455</v>
      </c>
      <c r="W161" s="112" t="n">
        <f aca="false">IFERROR('Price History'!B3+(INDEX('Price History'!B:B,MATCH(9.99E+307,'Price History'!$A:$A))-'Price History'!B3)*(ROW()-3)/(MATCH(9.99E+307,'Returns (Calc)'!$A:$A)-3),"")</f>
        <v>268.031635220126</v>
      </c>
      <c r="X161" s="112" t="n">
        <f aca="false">IFERROR('Price History'!C3+(INDEX('Price History'!C:C,MATCH(9.99E+307,'Price History'!$A:$A))-'Price History'!C3)*(ROW()-3)/(MATCH(9.99E+307,'Returns (Calc)'!$A:$A)-3),"")</f>
        <v>192.836352201258</v>
      </c>
      <c r="Y161" s="112" t="n">
        <f aca="false">IFERROR('Price History'!D3+(INDEX('Price History'!D:D,MATCH(9.99E+307,'Price History'!$A:$A))-'Price History'!D3)*(ROW()-3)/(MATCH(9.99E+307,'Returns (Calc)'!$A:$A)-3),"")</f>
        <v>1708.25672955975</v>
      </c>
      <c r="Z161" s="112" t="n">
        <f aca="false">IFERROR('Price History'!E3+(INDEX('Price History'!E:E,MATCH(9.99E+307,'Price History'!$A:$A))-'Price History'!E3)*(ROW()-3)/(MATCH(9.99E+307,'Returns (Calc)'!$A:$A)-3),"")</f>
        <v>356.170943396226</v>
      </c>
      <c r="AA161" s="112" t="n">
        <f aca="false">IFERROR('Price History'!F3+(INDEX('Price History'!F:F,MATCH(9.99E+307,'Price History'!$A:$A))-'Price History'!F3)*(ROW()-3)/(MATCH(9.99E+307,'Returns (Calc)'!$A:$A)-3),"")</f>
        <v>211.992830188679</v>
      </c>
      <c r="AB161" s="112" t="n">
        <f aca="false">IFERROR('Price History'!G3+(INDEX('Price History'!G:G,MATCH(9.99E+307,'Price History'!$A:$A))-'Price History'!G3)*(ROW()-3)/(MATCH(9.99E+307,'Returns (Calc)'!$A:$A)-3),"")</f>
        <v>184.733962264151</v>
      </c>
      <c r="AC161" s="112" t="n">
        <f aca="false">IFERROR('Price History'!H3+(INDEX('Price History'!H:H,MATCH(9.99E+307,'Price History'!$A:$A))-'Price History'!H3)*(ROW()-3)/(MATCH(9.99E+307,'Returns (Calc)'!$A:$A)-3),"")</f>
        <v>1010.60119496855</v>
      </c>
      <c r="AD161" s="112" t="n">
        <f aca="false">IFERROR('Price History'!I3+(INDEX('Price History'!I:I,MATCH(9.99E+307,'Price History'!$A:$A))-'Price History'!I3)*(ROW()-3)/(MATCH(9.99E+307,'Returns (Calc)'!$A:$A)-3),"")</f>
        <v>229.168113207547</v>
      </c>
      <c r="AE161" s="112" t="n">
        <f aca="false">IFERROR('Price History'!J3+(INDEX('Price History'!J:J,MATCH(9.99E+307,'Price History'!$A:$A))-'Price History'!J3)*(ROW()-3)/(MATCH(9.99E+307,'Returns (Calc)'!$A:$A)-3),"")</f>
        <v>137.253018867925</v>
      </c>
      <c r="AF161" s="112" t="n">
        <f aca="false">IFERROR('Price History'!K3+(INDEX('Price History'!K:K,MATCH(9.99E+307,'Price History'!$A:$A))-'Price History'!K3)*(ROW()-3)/(MATCH(9.99E+307,'Returns (Calc)'!$A:$A)-3),"")</f>
        <v>173.330503144654</v>
      </c>
      <c r="AG161" s="112" t="n">
        <f aca="false">IFERROR('Price History'!L3+(INDEX('Price History'!L:L,MATCH(9.99E+307,'Price History'!$A:$A))-'Price History'!L3)*(ROW()-3)/(MATCH(9.99E+307,'Returns (Calc)'!$A:$A)-3),"")</f>
        <v>426.791006289308</v>
      </c>
      <c r="AH161" s="112" t="n">
        <f aca="false">IFERROR('Price History'!M3+(INDEX('Price History'!M:M,MATCH(9.99E+307,'Price History'!$A:$A))-'Price History'!M3)*(ROW()-3)/(MATCH(9.99E+307,'Returns (Calc)'!$A:$A)-3),"")</f>
        <v>278.97641509434</v>
      </c>
      <c r="AI161" s="112" t="n">
        <f aca="false">IFERROR('Price History'!N3+(INDEX('Price History'!N:N,MATCH(9.99E+307,'Price History'!$A:$A))-'Price History'!N3)*(ROW()-3)/(MATCH(9.99E+307,'Returns (Calc)'!$A:$A)-3),"")</f>
        <v>544.885660377359</v>
      </c>
      <c r="AJ161" s="112" t="n">
        <f aca="false">IFERROR('Price History'!O3+(INDEX('Price History'!O:O,MATCH(9.99E+307,'Price History'!$A:$A))-'Price History'!O3)*(ROW()-3)/(MATCH(9.99E+307,'Returns (Calc)'!$A:$A)-3),"")</f>
        <v>126.652767295598</v>
      </c>
      <c r="AK161" s="112" t="n">
        <f aca="false">IFERROR('Price History'!Q3+(INDEX('Price History'!Q:Q,MATCH(9.99E+307,'Price History'!$A:$A))-'Price History'!Q3)*(ROW()-3)/(MATCH(9.99E+307,'Returns (Calc)'!$A:$A)-3),"")</f>
        <v>69.5949685534591</v>
      </c>
      <c r="AL161" s="112" t="n">
        <f aca="false">IFERROR('Price History'!R3+(INDEX('Price History'!R:R,MATCH(9.99E+307,'Price History'!$A:$A))-'Price History'!R3)*(ROW()-3)/(MATCH(9.99E+307,'Returns (Calc)'!$A:$A)-3),"")</f>
        <v>59.794213836478</v>
      </c>
      <c r="AM161" s="112" t="n">
        <f aca="false">IFERROR('Price History'!S3+(INDEX('Price History'!S:S,MATCH(9.99E+307,'Price History'!$A:$A))-'Price History'!S3)*(ROW()-3)/(MATCH(9.99E+307,'Returns (Calc)'!$A:$A)-3),"")</f>
        <v>149.146540880503</v>
      </c>
      <c r="AN161" s="112" t="n">
        <f aca="false">IFERROR('Price History'!T3+(INDEX('Price History'!T:T,MATCH(9.99E+307,'Price History'!$A:$A))-'Price History'!T3)*(ROW()-3)/(MATCH(9.99E+307,'Returns (Calc)'!$A:$A)-3),"")</f>
        <v>55.1115094339623</v>
      </c>
      <c r="AO161" s="112" t="n">
        <f aca="false">IFERROR('Price History'!V3+(INDEX('Price History'!V:V,MATCH(9.99E+307,'Price History'!$A:$A))-'Price History'!V3)*(ROW()-3)/(MATCH(9.99E+307,'Returns (Calc)'!$A:$A)-3),"")</f>
        <v>372.71106918239</v>
      </c>
    </row>
    <row r="162" customFormat="false" ht="15" hidden="false" customHeight="true" outlineLevel="0" collapsed="false">
      <c r="A162" s="108" t="n">
        <f aca="false">IF('Price History'!A163="","",'Price History'!A163)</f>
        <v>46269</v>
      </c>
      <c r="B162" s="109" t="n">
        <f aca="false">IFERROR(IF(OR(NOT(ISNUMBER('Price History'!B163)),NOT(ISNUMBER('Price History'!B162)),'Price History'!B162=0),"",'Price History'!B163/'Price History'!B162-1),"")</f>
        <v>-0.0857917124039517</v>
      </c>
      <c r="C162" s="109" t="n">
        <f aca="false">IFERROR(IF(OR(NOT(ISNUMBER('Price History'!C163)),NOT(ISNUMBER('Price History'!C162)),'Price History'!C162=0),"",'Price History'!C163/'Price History'!C162-1),"")</f>
        <v>-0.00818916982290918</v>
      </c>
      <c r="D162" s="109" t="n">
        <f aca="false">IFERROR(IF(OR(NOT(ISNUMBER('Price History'!D163)),NOT(ISNUMBER('Price History'!D162)),'Price History'!D162=0),"",'Price History'!D163/'Price History'!D162-1),"")</f>
        <v>0.011036694651448</v>
      </c>
      <c r="E162" s="109" t="n">
        <f aca="false">IFERROR(IF(OR(NOT(ISNUMBER('Price History'!E163)),NOT(ISNUMBER('Price History'!E162)),'Price History'!E162=0),"",'Price History'!E163/'Price History'!E162-1),"")</f>
        <v>-0.0295290002440415</v>
      </c>
      <c r="F162" s="109" t="n">
        <f aca="false">IFERROR(IF(OR(NOT(ISNUMBER('Price History'!F163)),NOT(ISNUMBER('Price History'!F162)),'Price History'!F162=0),"",'Price History'!F163/'Price History'!F162-1),"")</f>
        <v>-0.0242673992673993</v>
      </c>
      <c r="G162" s="109" t="n">
        <f aca="false">IFERROR(IF(OR(NOT(ISNUMBER('Price History'!G163)),NOT(ISNUMBER('Price History'!G162)),'Price History'!G162=0),"",'Price History'!G163/'Price History'!G162-1),"")</f>
        <v>0.0573088754699784</v>
      </c>
      <c r="H162" s="109" t="n">
        <f aca="false">IFERROR(IF(OR(NOT(ISNUMBER('Price History'!H163)),NOT(ISNUMBER('Price History'!H162)),'Price History'!H162=0),"",'Price History'!H163/'Price History'!H162-1),"")</f>
        <v>0.0897562335184272</v>
      </c>
      <c r="I162" s="109" t="n">
        <f aca="false">IFERROR(IF(OR(NOT(ISNUMBER('Price History'!I163)),NOT(ISNUMBER('Price History'!I162)),'Price History'!I162=0),"",'Price History'!I163/'Price History'!I162-1),"")</f>
        <v>0.058883015398759</v>
      </c>
      <c r="J162" s="109" t="n">
        <f aca="false">IFERROR(IF(OR(NOT(ISNUMBER('Price History'!J163)),NOT(ISNUMBER('Price History'!J162)),'Price History'!J162=0),"",'Price History'!J163/'Price History'!J162-1),"")</f>
        <v>-0.0238805970149253</v>
      </c>
      <c r="K162" s="109" t="n">
        <f aca="false">IFERROR(IF(OR(NOT(ISNUMBER('Price History'!K163)),NOT(ISNUMBER('Price History'!K162)),'Price History'!K162=0),"",'Price History'!K163/'Price History'!K162-1),"")</f>
        <v>-0.0642009769713886</v>
      </c>
      <c r="L162" s="109" t="n">
        <f aca="false">IFERROR(IF(OR(NOT(ISNUMBER('Price History'!L163)),NOT(ISNUMBER('Price History'!L162)),'Price History'!L162=0),"",'Price History'!L163/'Price History'!L162-1),"")</f>
        <v>0.0272801302931598</v>
      </c>
      <c r="M162" s="109" t="n">
        <f aca="false">IFERROR(IF(OR(NOT(ISNUMBER('Price History'!M163)),NOT(ISNUMBER('Price History'!M162)),'Price History'!M162=0),"",'Price History'!M163/'Price History'!M162-1),"")</f>
        <v>0.091216741870235</v>
      </c>
      <c r="N162" s="109" t="n">
        <f aca="false">IFERROR(IF(OR(NOT(ISNUMBER('Price History'!N163)),NOT(ISNUMBER('Price History'!N162)),'Price History'!N162=0),"",'Price History'!N163/'Price History'!N162-1),"")</f>
        <v>0.0081781092506783</v>
      </c>
      <c r="O162" s="109" t="n">
        <f aca="false">IFERROR(IF(OR(NOT(ISNUMBER('Price History'!O163)),NOT(ISNUMBER('Price History'!O162)),'Price History'!O162=0),"",'Price History'!O163/'Price History'!O162-1),"")</f>
        <v>0.0108306124074222</v>
      </c>
      <c r="P162" s="109" t="str">
        <f aca="false">IFERROR(IF(OR(NOT(ISNUMBER('Price History'!P163)),NOT(ISNUMBER('Price History'!P162)),'Price History'!P162=0),"",'Price History'!P163/'Price History'!P162-1),"")</f>
        <v/>
      </c>
      <c r="Q162" s="109" t="n">
        <f aca="false">IFERROR(IF(OR(NOT(ISNUMBER('Price History'!Q163)),NOT(ISNUMBER('Price History'!Q162)),'Price History'!Q162=0),"",'Price History'!Q163/'Price History'!Q162-1),"")</f>
        <v>0.000430477830391851</v>
      </c>
      <c r="R162" s="109" t="n">
        <f aca="false">IFERROR(IF(OR(NOT(ISNUMBER('Price History'!R163)),NOT(ISNUMBER('Price History'!R162)),'Price History'!R162=0),"",'Price History'!R163/'Price History'!R162-1),"")</f>
        <v>0.00672608037666045</v>
      </c>
      <c r="S162" s="109" t="n">
        <f aca="false">IFERROR(IF(OR(NOT(ISNUMBER('Price History'!S163)),NOT(ISNUMBER('Price History'!S162)),'Price History'!S162=0),"",'Price History'!S163/'Price History'!S162-1),"")</f>
        <v>0.0200299768360812</v>
      </c>
      <c r="T162" s="109" t="n">
        <f aca="false">IFERROR(IF(OR(NOT(ISNUMBER('Price History'!T163)),NOT(ISNUMBER('Price History'!T162)),'Price History'!T162=0),"",'Price History'!T163/'Price History'!T162-1),"")</f>
        <v>-0.00664750269493353</v>
      </c>
      <c r="U162" s="109" t="str">
        <f aca="false">IFERROR(IF(OR(NOT(ISNUMBER('Price History'!U163)),NOT(ISNUMBER('Price History'!U162)),'Price History'!U162=0),"",'Price History'!U163/'Price History'!U162-1),"")</f>
        <v/>
      </c>
      <c r="V162" s="110" t="n">
        <f aca="false">IFERROR(IF(OR(NOT(ISNUMBER('Price History'!V163)),NOT(ISNUMBER('Price History'!V162)),'Price History'!V162=0),"",'Price History'!V163/'Price History'!V162-1),"")</f>
        <v>-0.0171121593291406</v>
      </c>
      <c r="W162" s="112" t="n">
        <f aca="false">IFERROR('Price History'!B3+(INDEX('Price History'!B:B,MATCH(9.99E+307,'Price History'!$A:$A))-'Price History'!B3)*(ROW()-3)/(MATCH(9.99E+307,'Returns (Calc)'!$A:$A)-3),"")</f>
        <v>266.51</v>
      </c>
      <c r="X162" s="112" t="n">
        <f aca="false">IFERROR('Price History'!C3+(INDEX('Price History'!C:C,MATCH(9.99E+307,'Price History'!$A:$A))-'Price History'!C3)*(ROW()-3)/(MATCH(9.99E+307,'Returns (Calc)'!$A:$A)-3),"")</f>
        <v>193.78</v>
      </c>
      <c r="Y162" s="112" t="n">
        <f aca="false">IFERROR('Price History'!D3+(INDEX('Price History'!D:D,MATCH(9.99E+307,'Price History'!$A:$A))-'Price History'!D3)*(ROW()-3)/(MATCH(9.99E+307,'Returns (Calc)'!$A:$A)-3),"")</f>
        <v>1714.88</v>
      </c>
      <c r="Z162" s="112" t="n">
        <f aca="false">IFERROR('Price History'!E3+(INDEX('Price History'!E:E,MATCH(9.99E+307,'Price History'!$A:$A))-'Price History'!E3)*(ROW()-3)/(MATCH(9.99E+307,'Returns (Calc)'!$A:$A)-3),"")</f>
        <v>357.9</v>
      </c>
      <c r="AA162" s="112" t="n">
        <f aca="false">IFERROR('Price History'!F3+(INDEX('Price History'!F:F,MATCH(9.99E+307,'Price History'!$A:$A))-'Price History'!F3)*(ROW()-3)/(MATCH(9.99E+307,'Returns (Calc)'!$A:$A)-3),"")</f>
        <v>213.1</v>
      </c>
      <c r="AB162" s="112" t="n">
        <f aca="false">IFERROR('Price History'!G3+(INDEX('Price History'!G:G,MATCH(9.99E+307,'Price History'!$A:$A))-'Price History'!G3)*(ROW()-3)/(MATCH(9.99E+307,'Returns (Calc)'!$A:$A)-3),"")</f>
        <v>185.6</v>
      </c>
      <c r="AC162" s="112" t="n">
        <f aca="false">IFERROR('Price History'!H3+(INDEX('Price History'!H:H,MATCH(9.99E+307,'Price History'!$A:$A))-'Price History'!H3)*(ROW()-3)/(MATCH(9.99E+307,'Returns (Calc)'!$A:$A)-3),"")</f>
        <v>1016.59</v>
      </c>
      <c r="AD162" s="112" t="n">
        <f aca="false">IFERROR('Price History'!I3+(INDEX('Price History'!I:I,MATCH(9.99E+307,'Price History'!$A:$A))-'Price History'!I3)*(ROW()-3)/(MATCH(9.99E+307,'Returns (Calc)'!$A:$A)-3),"")</f>
        <v>230.36</v>
      </c>
      <c r="AE162" s="112" t="n">
        <f aca="false">IFERROR('Price History'!J3+(INDEX('Price History'!J:J,MATCH(9.99E+307,'Price History'!$A:$A))-'Price History'!J3)*(ROW()-3)/(MATCH(9.99E+307,'Returns (Calc)'!$A:$A)-3),"")</f>
        <v>137.34</v>
      </c>
      <c r="AF162" s="112" t="n">
        <f aca="false">IFERROR('Price History'!K3+(INDEX('Price History'!K:K,MATCH(9.99E+307,'Price History'!$A:$A))-'Price History'!K3)*(ROW()-3)/(MATCH(9.99E+307,'Returns (Calc)'!$A:$A)-3),"")</f>
        <v>174.33</v>
      </c>
      <c r="AG162" s="112" t="n">
        <f aca="false">IFERROR('Price History'!L3+(INDEX('Price History'!L:L,MATCH(9.99E+307,'Price History'!$A:$A))-'Price History'!L3)*(ROW()-3)/(MATCH(9.99E+307,'Returns (Calc)'!$A:$A)-3),"")</f>
        <v>428.91</v>
      </c>
      <c r="AH162" s="112" t="n">
        <f aca="false">IFERROR('Price History'!M3+(INDEX('Price History'!M:M,MATCH(9.99E+307,'Price History'!$A:$A))-'Price History'!M3)*(ROW()-3)/(MATCH(9.99E+307,'Returns (Calc)'!$A:$A)-3),"")</f>
        <v>280.53</v>
      </c>
      <c r="AI162" s="112" t="n">
        <f aca="false">IFERROR('Price History'!N3+(INDEX('Price History'!N:N,MATCH(9.99E+307,'Price History'!$A:$A))-'Price History'!N3)*(ROW()-3)/(MATCH(9.99E+307,'Returns (Calc)'!$A:$A)-3),"")</f>
        <v>546.12</v>
      </c>
      <c r="AJ162" s="112" t="n">
        <f aca="false">IFERROR('Price History'!O3+(INDEX('Price History'!O:O,MATCH(9.99E+307,'Price History'!$A:$A))-'Price History'!O3)*(ROW()-3)/(MATCH(9.99E+307,'Returns (Calc)'!$A:$A)-3),"")</f>
        <v>126.93</v>
      </c>
      <c r="AK162" s="112" t="n">
        <f aca="false">IFERROR('Price History'!Q3+(INDEX('Price History'!Q:Q,MATCH(9.99E+307,'Price History'!$A:$A))-'Price History'!Q3)*(ROW()-3)/(MATCH(9.99E+307,'Returns (Calc)'!$A:$A)-3),"")</f>
        <v>69.72</v>
      </c>
      <c r="AL162" s="112" t="n">
        <f aca="false">IFERROR('Price History'!R3+(INDEX('Price History'!R:R,MATCH(9.99E+307,'Price History'!$A:$A))-'Price History'!R3)*(ROW()-3)/(MATCH(9.99E+307,'Returns (Calc)'!$A:$A)-3),"")</f>
        <v>59.87</v>
      </c>
      <c r="AM162" s="112" t="n">
        <f aca="false">IFERROR('Price History'!S3+(INDEX('Price History'!S:S,MATCH(9.99E+307,'Price History'!$A:$A))-'Price History'!S3)*(ROW()-3)/(MATCH(9.99E+307,'Returns (Calc)'!$A:$A)-3),"")</f>
        <v>149.72</v>
      </c>
      <c r="AN162" s="112" t="n">
        <f aca="false">IFERROR('Price History'!T3+(INDEX('Price History'!T:T,MATCH(9.99E+307,'Price History'!$A:$A))-'Price History'!T3)*(ROW()-3)/(MATCH(9.99E+307,'Returns (Calc)'!$A:$A)-3),"")</f>
        <v>55.29</v>
      </c>
      <c r="AO162" s="112"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0" t="s">
        <v>443</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row>
    <row r="2" customFormat="false" ht="15" hidden="false" customHeight="true" outlineLevel="0" collapsed="false">
      <c r="A2" s="27" t="s">
        <v>444</v>
      </c>
      <c r="J2" s="113" t="n">
        <f aca="false">COUNTIF(AG6:AG26,"&gt;1")</f>
        <v>4</v>
      </c>
    </row>
    <row r="3" customFormat="false" ht="15" hidden="false" customHeight="true" outlineLevel="0" collapsed="false">
      <c r="A3" s="27" t="s">
        <v>445</v>
      </c>
      <c r="J3" s="113" t="str">
        <f aca="false">IF(J2&gt;0,"REVIEW REQUIRED","OK")</f>
        <v>REVIEW REQUIRED</v>
      </c>
    </row>
    <row r="5" customFormat="false" ht="27.75" hidden="false" customHeight="true" outlineLevel="0" collapsed="false">
      <c r="A5" s="114" t="s">
        <v>82</v>
      </c>
      <c r="B5" s="114" t="str">
        <f aca="false">'Returns (Calc)'!B2</f>
        <v>ADBE</v>
      </c>
      <c r="C5" s="114" t="str">
        <f aca="false">'Returns (Calc)'!C2</f>
        <v>ANET</v>
      </c>
      <c r="D5" s="114" t="str">
        <f aca="false">'Returns (Calc)'!D2</f>
        <v>ASML</v>
      </c>
      <c r="E5" s="114" t="str">
        <f aca="false">'Returns (Calc)'!E2</f>
        <v>AVGO</v>
      </c>
      <c r="F5" s="114" t="str">
        <f aca="false">'Returns (Calc)'!F2</f>
        <v>CRWD</v>
      </c>
      <c r="G5" s="114" t="str">
        <f aca="false">'Returns (Calc)'!G2</f>
        <v>KLAC</v>
      </c>
      <c r="H5" s="114" t="str">
        <f aca="false">'Returns (Calc)'!H2</f>
        <v>MU</v>
      </c>
      <c r="I5" s="114" t="str">
        <f aca="false">'Returns (Calc)'!I2</f>
        <v>NVDA</v>
      </c>
      <c r="J5" s="114" t="str">
        <f aca="false">'Returns (Calc)'!J2</f>
        <v>PLD</v>
      </c>
      <c r="K5" s="114" t="str">
        <f aca="false">'Returns (Calc)'!K2</f>
        <v>PLTR</v>
      </c>
      <c r="L5" s="114" t="str">
        <f aca="false">'Returns (Calc)'!L2</f>
        <v>TSM</v>
      </c>
      <c r="M5" s="114" t="str">
        <f aca="false">'Returns (Calc)'!M2</f>
        <v>VRT</v>
      </c>
      <c r="N5" s="114" t="str">
        <f aca="false">'Returns (Calc)'!N2</f>
        <v>VRTX</v>
      </c>
      <c r="O5" s="114" t="str">
        <f aca="false">'Returns (Calc)'!O2</f>
        <v>AVUV</v>
      </c>
      <c r="P5" s="114" t="n">
        <f aca="false">'Returns (Calc)'!P2</f>
        <v>0</v>
      </c>
      <c r="Q5" s="114" t="str">
        <f aca="false">'Returns (Calc)'!Q2</f>
        <v>HELO</v>
      </c>
      <c r="R5" s="114" t="str">
        <f aca="false">'Returns (Calc)'!R2</f>
        <v>JEPQ</v>
      </c>
      <c r="S5" s="114" t="str">
        <f aca="false">'Returns (Calc)'!S2</f>
        <v>SPMO</v>
      </c>
      <c r="T5" s="114" t="str">
        <f aca="false">'Returns (Calc)'!T2</f>
        <v>VFLO</v>
      </c>
      <c r="U5" s="114" t="n">
        <f aca="false">'Returns (Calc)'!U2</f>
        <v>0</v>
      </c>
      <c r="V5" s="114" t="str">
        <f aca="false">'Returns (Calc)'!V2</f>
        <v>V</v>
      </c>
      <c r="W5" s="115"/>
      <c r="X5" s="115"/>
      <c r="Y5" s="115"/>
      <c r="Z5" s="115"/>
      <c r="AA5" s="115"/>
      <c r="AB5" s="115"/>
      <c r="AC5" s="115"/>
      <c r="AD5" s="115"/>
      <c r="AE5" s="115"/>
      <c r="AF5" s="115"/>
      <c r="AG5" s="114" t="s">
        <v>446</v>
      </c>
    </row>
    <row r="6" customFormat="false" ht="15" hidden="false" customHeight="true" outlineLevel="0" collapsed="false">
      <c r="A6" s="116" t="str">
        <f aca="false">'Returns (Calc)'!B2</f>
        <v>ADBE</v>
      </c>
      <c r="B6" s="117" t="n">
        <v>1</v>
      </c>
      <c r="C6" s="117" t="n">
        <f aca="false">IFERROR(ROUND(CORREL('Returns (Calc)'!$B$3:$B$500,'Returns (Calc)'!$C$3:$C$500),2),"")</f>
        <v>0.22</v>
      </c>
      <c r="D6" s="117" t="n">
        <f aca="false">IFERROR(ROUND(CORREL('Returns (Calc)'!$B$3:$B$500,'Returns (Calc)'!$D$3:$D$500),2),"")</f>
        <v>0.02</v>
      </c>
      <c r="E6" s="117" t="n">
        <f aca="false">IFERROR(ROUND(CORREL('Returns (Calc)'!$B$3:$B$500,'Returns (Calc)'!$E$3:$E$500),2),"")</f>
        <v>0.17</v>
      </c>
      <c r="F6" s="117" t="n">
        <f aca="false">IFERROR(ROUND(CORREL('Returns (Calc)'!$B$3:$B$500,'Returns (Calc)'!$F$3:$F$500),2),"")</f>
        <v>0.42</v>
      </c>
      <c r="G6" s="117" t="n">
        <f aca="false">IFERROR(ROUND(CORREL('Returns (Calc)'!$B$3:$B$500,'Returns (Calc)'!$G$3:$G$500),2),"")</f>
        <v>-0.05</v>
      </c>
      <c r="H6" s="117" t="n">
        <f aca="false">IFERROR(ROUND(CORREL('Returns (Calc)'!$B$3:$B$500,'Returns (Calc)'!$H$3:$H$500),2),"")</f>
        <v>0.05</v>
      </c>
      <c r="I6" s="117" t="n">
        <f aca="false">IFERROR(ROUND(CORREL('Returns (Calc)'!$B$3:$B$500,'Returns (Calc)'!$I$3:$I$500),2),"")</f>
        <v>0.22</v>
      </c>
      <c r="J6" s="117" t="n">
        <f aca="false">IFERROR(ROUND(CORREL('Returns (Calc)'!$B$3:$B$500,'Returns (Calc)'!$J$3:$J$500),2),"")</f>
        <v>0.18</v>
      </c>
      <c r="K6" s="117" t="n">
        <f aca="false">IFERROR(ROUND(CORREL('Returns (Calc)'!$B$3:$B$500,'Returns (Calc)'!$K$3:$K$500),2),"")</f>
        <v>0.37</v>
      </c>
      <c r="L6" s="117" t="n">
        <f aca="false">IFERROR(ROUND(CORREL('Returns (Calc)'!$B$3:$B$500,'Returns (Calc)'!$L$3:$L$500),2),"")</f>
        <v>0.16</v>
      </c>
      <c r="M6" s="117" t="n">
        <f aca="false">IFERROR(ROUND(CORREL('Returns (Calc)'!$B$3:$B$500,'Returns (Calc)'!$M$3:$M$500),2),"")</f>
        <v>0.06</v>
      </c>
      <c r="N6" s="117" t="n">
        <f aca="false">IFERROR(ROUND(CORREL('Returns (Calc)'!$B$3:$B$500,'Returns (Calc)'!$N$3:$N$500),2),"")</f>
        <v>0.14</v>
      </c>
      <c r="O6" s="117" t="n">
        <f aca="false">IFERROR(ROUND(CORREL('Returns (Calc)'!$B$3:$B$500,'Returns (Calc)'!$O$3:$O$500),2),"")</f>
        <v>0.16</v>
      </c>
      <c r="P6" s="117" t="str">
        <f aca="false">IFERROR(ROUND(CORREL('Returns (Calc)'!$B$3:$B$500,'Returns (Calc)'!$P$3:$P$500),2),"")</f>
        <v/>
      </c>
      <c r="Q6" s="117" t="n">
        <f aca="false">IFERROR(ROUND(CORREL('Returns (Calc)'!$B$3:$B$500,'Returns (Calc)'!$Q$3:$Q$500),2),"")</f>
        <v>-0.07</v>
      </c>
      <c r="R6" s="117" t="n">
        <f aca="false">IFERROR(ROUND(CORREL('Returns (Calc)'!$B$3:$B$500,'Returns (Calc)'!$R$3:$R$500),2),"")</f>
        <v>0.31</v>
      </c>
      <c r="S6" s="117" t="n">
        <f aca="false">IFERROR(ROUND(CORREL('Returns (Calc)'!$B$3:$B$500,'Returns (Calc)'!$S$3:$S$500),2),"")</f>
        <v>0.23</v>
      </c>
      <c r="T6" s="117" t="n">
        <f aca="false">IFERROR(ROUND(CORREL('Returns (Calc)'!$B$3:$B$500,'Returns (Calc)'!$T$3:$T$500),2),"")</f>
        <v>0.42</v>
      </c>
      <c r="U6" s="117" t="str">
        <f aca="false">IFERROR(ROUND(CORREL('Returns (Calc)'!$B$3:$B$500,'Returns (Calc)'!$U$3:$U$500),2),"")</f>
        <v/>
      </c>
      <c r="V6" s="117" t="n">
        <f aca="false">IFERROR(ROUND(CORREL('Returns (Calc)'!$B$3:$B$500,'Returns (Calc)'!$V$3:$V$500),2),"")</f>
        <v>0.39</v>
      </c>
      <c r="AG6" s="118" t="n">
        <f aca="false">COUNTIF(B6:V6,"&gt;0.7")-1</f>
        <v>0</v>
      </c>
    </row>
    <row r="7" customFormat="false" ht="15" hidden="false" customHeight="true" outlineLevel="0" collapsed="false">
      <c r="A7" s="116" t="str">
        <f aca="false">'Returns (Calc)'!C2</f>
        <v>ANET</v>
      </c>
      <c r="B7" s="117" t="n">
        <f aca="false">IFERROR(ROUND(CORREL('Returns (Calc)'!$C$3:$C$500,'Returns (Calc)'!$B$3:$B$500),2),"")</f>
        <v>0.22</v>
      </c>
      <c r="C7" s="117" t="n">
        <v>1</v>
      </c>
      <c r="D7" s="117" t="n">
        <f aca="false">IFERROR(ROUND(CORREL('Returns (Calc)'!$C$3:$C$500,'Returns (Calc)'!$D$3:$D$500),2),"")</f>
        <v>0.39</v>
      </c>
      <c r="E7" s="117" t="n">
        <f aca="false">IFERROR(ROUND(CORREL('Returns (Calc)'!$C$3:$C$500,'Returns (Calc)'!$E$3:$E$500),2),"")</f>
        <v>0.58</v>
      </c>
      <c r="F7" s="117" t="n">
        <f aca="false">IFERROR(ROUND(CORREL('Returns (Calc)'!$C$3:$C$500,'Returns (Calc)'!$F$3:$F$500),2),"")</f>
        <v>0.38</v>
      </c>
      <c r="G7" s="117" t="n">
        <f aca="false">IFERROR(ROUND(CORREL('Returns (Calc)'!$C$3:$C$500,'Returns (Calc)'!$G$3:$G$500),2),"")</f>
        <v>0.44</v>
      </c>
      <c r="H7" s="117" t="n">
        <f aca="false">IFERROR(ROUND(CORREL('Returns (Calc)'!$C$3:$C$500,'Returns (Calc)'!$H$3:$H$500),2),"")</f>
        <v>0.35</v>
      </c>
      <c r="I7" s="117" t="n">
        <f aca="false">IFERROR(ROUND(CORREL('Returns (Calc)'!$C$3:$C$500,'Returns (Calc)'!$I$3:$I$500),2),"")</f>
        <v>0.53</v>
      </c>
      <c r="J7" s="117" t="n">
        <f aca="false">IFERROR(ROUND(CORREL('Returns (Calc)'!$C$3:$C$500,'Returns (Calc)'!$J$3:$J$500),2),"")</f>
        <v>0.18</v>
      </c>
      <c r="K7" s="117" t="n">
        <f aca="false">IFERROR(ROUND(CORREL('Returns (Calc)'!$C$3:$C$500,'Returns (Calc)'!$K$3:$K$500),2),"")</f>
        <v>0.33</v>
      </c>
      <c r="L7" s="117" t="n">
        <f aca="false">IFERROR(ROUND(CORREL('Returns (Calc)'!$C$3:$C$500,'Returns (Calc)'!$L$3:$L$500),2),"")</f>
        <v>0.55</v>
      </c>
      <c r="M7" s="117" t="n">
        <f aca="false">IFERROR(ROUND(CORREL('Returns (Calc)'!$C$3:$C$500,'Returns (Calc)'!$M$3:$M$500),2),"")</f>
        <v>0.59</v>
      </c>
      <c r="N7" s="117" t="n">
        <f aca="false">IFERROR(ROUND(CORREL('Returns (Calc)'!$C$3:$C$500,'Returns (Calc)'!$N$3:$N$500),2),"")</f>
        <v>0.04</v>
      </c>
      <c r="O7" s="117" t="n">
        <f aca="false">IFERROR(ROUND(CORREL('Returns (Calc)'!$C$3:$C$500,'Returns (Calc)'!$O$3:$O$500),2),"")</f>
        <v>0.35</v>
      </c>
      <c r="P7" s="117" t="str">
        <f aca="false">IFERROR(ROUND(CORREL('Returns (Calc)'!$C$3:$C$500,'Returns (Calc)'!$P$3:$P$500),2),"")</f>
        <v/>
      </c>
      <c r="Q7" s="117" t="n">
        <f aca="false">IFERROR(ROUND(CORREL('Returns (Calc)'!$C$3:$C$500,'Returns (Calc)'!$Q$3:$Q$500),2),"")</f>
        <v>0.02</v>
      </c>
      <c r="R7" s="117" t="n">
        <f aca="false">IFERROR(ROUND(CORREL('Returns (Calc)'!$C$3:$C$500,'Returns (Calc)'!$R$3:$R$500),2),"")</f>
        <v>0.64</v>
      </c>
      <c r="S7" s="117" t="n">
        <f aca="false">IFERROR(ROUND(CORREL('Returns (Calc)'!$C$3:$C$500,'Returns (Calc)'!$S$3:$S$500),2),"")</f>
        <v>0.64</v>
      </c>
      <c r="T7" s="117" t="n">
        <f aca="false">IFERROR(ROUND(CORREL('Returns (Calc)'!$C$3:$C$500,'Returns (Calc)'!$T$3:$T$500),2),"")</f>
        <v>0.34</v>
      </c>
      <c r="U7" s="117" t="str">
        <f aca="false">IFERROR(ROUND(CORREL('Returns (Calc)'!$C$3:$C$500,'Returns (Calc)'!$U$3:$U$500),2),"")</f>
        <v/>
      </c>
      <c r="V7" s="117" t="n">
        <f aca="false">IFERROR(ROUND(CORREL('Returns (Calc)'!$C$3:$C$500,'Returns (Calc)'!$V$3:$V$500),2),"")</f>
        <v>0.3</v>
      </c>
      <c r="AG7" s="118" t="n">
        <f aca="false">COUNTIF(B7:V7,"&gt;0.7")-1</f>
        <v>0</v>
      </c>
    </row>
    <row r="8" customFormat="false" ht="15" hidden="false" customHeight="true" outlineLevel="0" collapsed="false">
      <c r="A8" s="116" t="str">
        <f aca="false">'Returns (Calc)'!D2</f>
        <v>ASML</v>
      </c>
      <c r="B8" s="117" t="n">
        <f aca="false">IFERROR(ROUND(CORREL('Returns (Calc)'!$D$3:$D$500,'Returns (Calc)'!$B$3:$B$500),2),"")</f>
        <v>0.02</v>
      </c>
      <c r="C8" s="117" t="n">
        <f aca="false">IFERROR(ROUND(CORREL('Returns (Calc)'!$D$3:$D$500,'Returns (Calc)'!$C$3:$C$500),2),"")</f>
        <v>0.39</v>
      </c>
      <c r="D8" s="117" t="n">
        <v>1</v>
      </c>
      <c r="E8" s="117" t="n">
        <f aca="false">IFERROR(ROUND(CORREL('Returns (Calc)'!$D$3:$D$500,'Returns (Calc)'!$E$3:$E$500),2),"")</f>
        <v>0.5</v>
      </c>
      <c r="F8" s="117" t="n">
        <f aca="false">IFERROR(ROUND(CORREL('Returns (Calc)'!$D$3:$D$500,'Returns (Calc)'!$F$3:$F$500),2),"")</f>
        <v>0.32</v>
      </c>
      <c r="G8" s="117" t="n">
        <f aca="false">IFERROR(ROUND(CORREL('Returns (Calc)'!$D$3:$D$500,'Returns (Calc)'!$G$3:$G$500),2),"")</f>
        <v>0.77</v>
      </c>
      <c r="H8" s="117" t="n">
        <f aca="false">IFERROR(ROUND(CORREL('Returns (Calc)'!$D$3:$D$500,'Returns (Calc)'!$H$3:$H$500),2),"")</f>
        <v>0.6</v>
      </c>
      <c r="I8" s="117" t="n">
        <f aca="false">IFERROR(ROUND(CORREL('Returns (Calc)'!$D$3:$D$500,'Returns (Calc)'!$I$3:$I$500),2),"")</f>
        <v>0.49</v>
      </c>
      <c r="J8" s="117" t="n">
        <f aca="false">IFERROR(ROUND(CORREL('Returns (Calc)'!$D$3:$D$500,'Returns (Calc)'!$J$3:$J$500),2),"")</f>
        <v>0.28</v>
      </c>
      <c r="K8" s="117" t="n">
        <f aca="false">IFERROR(ROUND(CORREL('Returns (Calc)'!$D$3:$D$500,'Returns (Calc)'!$K$3:$K$500),2),"")</f>
        <v>0.21</v>
      </c>
      <c r="L8" s="117" t="n">
        <f aca="false">IFERROR(ROUND(CORREL('Returns (Calc)'!$D$3:$D$500,'Returns (Calc)'!$L$3:$L$500),2),"")</f>
        <v>0.63</v>
      </c>
      <c r="M8" s="117" t="n">
        <f aca="false">IFERROR(ROUND(CORREL('Returns (Calc)'!$D$3:$D$500,'Returns (Calc)'!$M$3:$M$500),2),"")</f>
        <v>0.43</v>
      </c>
      <c r="N8" s="117" t="n">
        <f aca="false">IFERROR(ROUND(CORREL('Returns (Calc)'!$D$3:$D$500,'Returns (Calc)'!$N$3:$N$500),2),"")</f>
        <v>0.12</v>
      </c>
      <c r="O8" s="117" t="n">
        <f aca="false">IFERROR(ROUND(CORREL('Returns (Calc)'!$D$3:$D$500,'Returns (Calc)'!$O$3:$O$500),2),"")</f>
        <v>0.39</v>
      </c>
      <c r="P8" s="117" t="str">
        <f aca="false">IFERROR(ROUND(CORREL('Returns (Calc)'!$D$3:$D$500,'Returns (Calc)'!$P$3:$P$500),2),"")</f>
        <v/>
      </c>
      <c r="Q8" s="117" t="n">
        <f aca="false">IFERROR(ROUND(CORREL('Returns (Calc)'!$D$3:$D$500,'Returns (Calc)'!$Q$3:$Q$500),2),"")</f>
        <v>-0.04</v>
      </c>
      <c r="R8" s="117" t="n">
        <f aca="false">IFERROR(ROUND(CORREL('Returns (Calc)'!$D$3:$D$500,'Returns (Calc)'!$R$3:$R$500),2),"")</f>
        <v>0.61</v>
      </c>
      <c r="S8" s="117" t="n">
        <f aca="false">IFERROR(ROUND(CORREL('Returns (Calc)'!$D$3:$D$500,'Returns (Calc)'!$S$3:$S$500),2),"")</f>
        <v>0.61</v>
      </c>
      <c r="T8" s="117" t="n">
        <f aca="false">IFERROR(ROUND(CORREL('Returns (Calc)'!$D$3:$D$500,'Returns (Calc)'!$T$3:$T$500),2),"")</f>
        <v>0.31</v>
      </c>
      <c r="U8" s="117" t="str">
        <f aca="false">IFERROR(ROUND(CORREL('Returns (Calc)'!$D$3:$D$500,'Returns (Calc)'!$U$3:$U$500),2),"")</f>
        <v/>
      </c>
      <c r="V8" s="117" t="n">
        <f aca="false">IFERROR(ROUND(CORREL('Returns (Calc)'!$D$3:$D$500,'Returns (Calc)'!$V$3:$V$500),2),"")</f>
        <v>0.06</v>
      </c>
      <c r="AG8" s="118" t="n">
        <f aca="false">COUNTIF(B8:V8,"&gt;0.7")-1</f>
        <v>1</v>
      </c>
    </row>
    <row r="9" customFormat="false" ht="15" hidden="false" customHeight="true" outlineLevel="0" collapsed="false">
      <c r="A9" s="116" t="str">
        <f aca="false">'Returns (Calc)'!E2</f>
        <v>AVGO</v>
      </c>
      <c r="B9" s="117" t="n">
        <f aca="false">IFERROR(ROUND(CORREL('Returns (Calc)'!$E$3:$E$500,'Returns (Calc)'!$B$3:$B$500),2),"")</f>
        <v>0.17</v>
      </c>
      <c r="C9" s="117" t="n">
        <f aca="false">IFERROR(ROUND(CORREL('Returns (Calc)'!$E$3:$E$500,'Returns (Calc)'!$C$3:$C$500),2),"")</f>
        <v>0.58</v>
      </c>
      <c r="D9" s="117" t="n">
        <f aca="false">IFERROR(ROUND(CORREL('Returns (Calc)'!$E$3:$E$500,'Returns (Calc)'!$D$3:$D$500),2),"")</f>
        <v>0.5</v>
      </c>
      <c r="E9" s="117" t="n">
        <v>1</v>
      </c>
      <c r="F9" s="117" t="n">
        <f aca="false">IFERROR(ROUND(CORREL('Returns (Calc)'!$E$3:$E$500,'Returns (Calc)'!$F$3:$F$500),2),"")</f>
        <v>0.41</v>
      </c>
      <c r="G9" s="117" t="n">
        <f aca="false">IFERROR(ROUND(CORREL('Returns (Calc)'!$E$3:$E$500,'Returns (Calc)'!$G$3:$G$500),2),"")</f>
        <v>0.54</v>
      </c>
      <c r="H9" s="117" t="n">
        <f aca="false">IFERROR(ROUND(CORREL('Returns (Calc)'!$E$3:$E$500,'Returns (Calc)'!$H$3:$H$500),2),"")</f>
        <v>0.48</v>
      </c>
      <c r="I9" s="117" t="n">
        <f aca="false">IFERROR(ROUND(CORREL('Returns (Calc)'!$E$3:$E$500,'Returns (Calc)'!$I$3:$I$500),2),"")</f>
        <v>0.62</v>
      </c>
      <c r="J9" s="117" t="n">
        <f aca="false">IFERROR(ROUND(CORREL('Returns (Calc)'!$E$3:$E$500,'Returns (Calc)'!$J$3:$J$500),2),"")</f>
        <v>0.22</v>
      </c>
      <c r="K9" s="117" t="n">
        <f aca="false">IFERROR(ROUND(CORREL('Returns (Calc)'!$E$3:$E$500,'Returns (Calc)'!$K$3:$K$500),2),"")</f>
        <v>0.38</v>
      </c>
      <c r="L9" s="117" t="n">
        <f aca="false">IFERROR(ROUND(CORREL('Returns (Calc)'!$E$3:$E$500,'Returns (Calc)'!$L$3:$L$500),2),"")</f>
        <v>0.63</v>
      </c>
      <c r="M9" s="117" t="n">
        <f aca="false">IFERROR(ROUND(CORREL('Returns (Calc)'!$E$3:$E$500,'Returns (Calc)'!$M$3:$M$500),2),"")</f>
        <v>0.53</v>
      </c>
      <c r="N9" s="117" t="n">
        <f aca="false">IFERROR(ROUND(CORREL('Returns (Calc)'!$E$3:$E$500,'Returns (Calc)'!$N$3:$N$500),2),"")</f>
        <v>0.15</v>
      </c>
      <c r="O9" s="117" t="n">
        <f aca="false">IFERROR(ROUND(CORREL('Returns (Calc)'!$E$3:$E$500,'Returns (Calc)'!$O$3:$O$500),2),"")</f>
        <v>0.29</v>
      </c>
      <c r="P9" s="117" t="str">
        <f aca="false">IFERROR(ROUND(CORREL('Returns (Calc)'!$E$3:$E$500,'Returns (Calc)'!$P$3:$P$500),2),"")</f>
        <v/>
      </c>
      <c r="Q9" s="117" t="n">
        <f aca="false">IFERROR(ROUND(CORREL('Returns (Calc)'!$E$3:$E$500,'Returns (Calc)'!$Q$3:$Q$500),2),"")</f>
        <v>-0.04</v>
      </c>
      <c r="R9" s="117" t="n">
        <f aca="false">IFERROR(ROUND(CORREL('Returns (Calc)'!$E$3:$E$500,'Returns (Calc)'!$R$3:$R$500),2),"")</f>
        <v>0.72</v>
      </c>
      <c r="S9" s="117" t="n">
        <f aca="false">IFERROR(ROUND(CORREL('Returns (Calc)'!$E$3:$E$500,'Returns (Calc)'!$S$3:$S$500),2),"")</f>
        <v>0.73</v>
      </c>
      <c r="T9" s="117" t="n">
        <f aca="false">IFERROR(ROUND(CORREL('Returns (Calc)'!$E$3:$E$500,'Returns (Calc)'!$T$3:$T$500),2),"")</f>
        <v>0.26</v>
      </c>
      <c r="U9" s="117" t="str">
        <f aca="false">IFERROR(ROUND(CORREL('Returns (Calc)'!$E$3:$E$500,'Returns (Calc)'!$U$3:$U$500),2),"")</f>
        <v/>
      </c>
      <c r="V9" s="117" t="n">
        <f aca="false">IFERROR(ROUND(CORREL('Returns (Calc)'!$E$3:$E$500,'Returns (Calc)'!$V$3:$V$500),2),"")</f>
        <v>0.23</v>
      </c>
      <c r="AG9" s="118" t="n">
        <f aca="false">COUNTIF(B9:V9,"&gt;0.7")-1</f>
        <v>2</v>
      </c>
    </row>
    <row r="10" customFormat="false" ht="15" hidden="false" customHeight="true" outlineLevel="0" collapsed="false">
      <c r="A10" s="116" t="str">
        <f aca="false">'Returns (Calc)'!F2</f>
        <v>CRWD</v>
      </c>
      <c r="B10" s="117" t="n">
        <f aca="false">IFERROR(ROUND(CORREL('Returns (Calc)'!$F$3:$F$500,'Returns (Calc)'!$B$3:$B$500),2),"")</f>
        <v>0.42</v>
      </c>
      <c r="C10" s="117" t="n">
        <f aca="false">IFERROR(ROUND(CORREL('Returns (Calc)'!$F$3:$F$500,'Returns (Calc)'!$C$3:$C$500),2),"")</f>
        <v>0.38</v>
      </c>
      <c r="D10" s="117" t="n">
        <f aca="false">IFERROR(ROUND(CORREL('Returns (Calc)'!$F$3:$F$500,'Returns (Calc)'!$D$3:$D$500),2),"")</f>
        <v>0.32</v>
      </c>
      <c r="E10" s="117" t="n">
        <f aca="false">IFERROR(ROUND(CORREL('Returns (Calc)'!$F$3:$F$500,'Returns (Calc)'!$E$3:$E$500),2),"")</f>
        <v>0.41</v>
      </c>
      <c r="F10" s="117" t="n">
        <v>1</v>
      </c>
      <c r="G10" s="117" t="n">
        <f aca="false">IFERROR(ROUND(CORREL('Returns (Calc)'!$F$3:$F$500,'Returns (Calc)'!$G$3:$G$500),2),"")</f>
        <v>0.34</v>
      </c>
      <c r="H10" s="117" t="n">
        <f aca="false">IFERROR(ROUND(CORREL('Returns (Calc)'!$F$3:$F$500,'Returns (Calc)'!$H$3:$H$500),2),"")</f>
        <v>0.32</v>
      </c>
      <c r="I10" s="117" t="n">
        <f aca="false">IFERROR(ROUND(CORREL('Returns (Calc)'!$F$3:$F$500,'Returns (Calc)'!$I$3:$I$500),2),"")</f>
        <v>0.46</v>
      </c>
      <c r="J10" s="117" t="n">
        <f aca="false">IFERROR(ROUND(CORREL('Returns (Calc)'!$F$3:$F$500,'Returns (Calc)'!$J$3:$J$500),2),"")</f>
        <v>0.1</v>
      </c>
      <c r="K10" s="117" t="n">
        <f aca="false">IFERROR(ROUND(CORREL('Returns (Calc)'!$F$3:$F$500,'Returns (Calc)'!$K$3:$K$500),2),"")</f>
        <v>0.5</v>
      </c>
      <c r="L10" s="117" t="n">
        <f aca="false">IFERROR(ROUND(CORREL('Returns (Calc)'!$F$3:$F$500,'Returns (Calc)'!$L$3:$L$500),2),"")</f>
        <v>0.38</v>
      </c>
      <c r="M10" s="117" t="n">
        <f aca="false">IFERROR(ROUND(CORREL('Returns (Calc)'!$F$3:$F$500,'Returns (Calc)'!$M$3:$M$500),2),"")</f>
        <v>0.42</v>
      </c>
      <c r="N10" s="117" t="n">
        <f aca="false">IFERROR(ROUND(CORREL('Returns (Calc)'!$F$3:$F$500,'Returns (Calc)'!$N$3:$N$500),2),"")</f>
        <v>0.18</v>
      </c>
      <c r="O10" s="117" t="n">
        <f aca="false">IFERROR(ROUND(CORREL('Returns (Calc)'!$F$3:$F$500,'Returns (Calc)'!$O$3:$O$500),2),"")</f>
        <v>0.22</v>
      </c>
      <c r="P10" s="117" t="str">
        <f aca="false">IFERROR(ROUND(CORREL('Returns (Calc)'!$F$3:$F$500,'Returns (Calc)'!$P$3:$P$500),2),"")</f>
        <v/>
      </c>
      <c r="Q10" s="117" t="n">
        <f aca="false">IFERROR(ROUND(CORREL('Returns (Calc)'!$F$3:$F$500,'Returns (Calc)'!$Q$3:$Q$500),2),"")</f>
        <v>-0.03</v>
      </c>
      <c r="R10" s="117" t="n">
        <f aca="false">IFERROR(ROUND(CORREL('Returns (Calc)'!$F$3:$F$500,'Returns (Calc)'!$R$3:$R$500),2),"")</f>
        <v>0.53</v>
      </c>
      <c r="S10" s="117" t="n">
        <f aca="false">IFERROR(ROUND(CORREL('Returns (Calc)'!$F$3:$F$500,'Returns (Calc)'!$S$3:$S$500),2),"")</f>
        <v>0.53</v>
      </c>
      <c r="T10" s="117" t="n">
        <f aca="false">IFERROR(ROUND(CORREL('Returns (Calc)'!$F$3:$F$500,'Returns (Calc)'!$T$3:$T$500),2),"")</f>
        <v>0.32</v>
      </c>
      <c r="U10" s="117" t="str">
        <f aca="false">IFERROR(ROUND(CORREL('Returns (Calc)'!$F$3:$F$500,'Returns (Calc)'!$U$3:$U$500),2),"")</f>
        <v/>
      </c>
      <c r="V10" s="117" t="n">
        <f aca="false">IFERROR(ROUND(CORREL('Returns (Calc)'!$F$3:$F$500,'Returns (Calc)'!$V$3:$V$500),2),"")</f>
        <v>0.25</v>
      </c>
      <c r="AG10" s="118" t="n">
        <f aca="false">COUNTIF(B10:V10,"&gt;0.7")-1</f>
        <v>0</v>
      </c>
    </row>
    <row r="11" customFormat="false" ht="15" hidden="false" customHeight="true" outlineLevel="0" collapsed="false">
      <c r="A11" s="116" t="str">
        <f aca="false">'Returns (Calc)'!G2</f>
        <v>KLAC</v>
      </c>
      <c r="B11" s="117" t="n">
        <f aca="false">IFERROR(ROUND(CORREL('Returns (Calc)'!$G$3:$G$500,'Returns (Calc)'!$B$3:$B$500),2),"")</f>
        <v>-0.05</v>
      </c>
      <c r="C11" s="117" t="n">
        <f aca="false">IFERROR(ROUND(CORREL('Returns (Calc)'!$G$3:$G$500,'Returns (Calc)'!$C$3:$C$500),2),"")</f>
        <v>0.44</v>
      </c>
      <c r="D11" s="117" t="n">
        <f aca="false">IFERROR(ROUND(CORREL('Returns (Calc)'!$G$3:$G$500,'Returns (Calc)'!$D$3:$D$500),2),"")</f>
        <v>0.77</v>
      </c>
      <c r="E11" s="117" t="n">
        <f aca="false">IFERROR(ROUND(CORREL('Returns (Calc)'!$G$3:$G$500,'Returns (Calc)'!$E$3:$E$500),2),"")</f>
        <v>0.54</v>
      </c>
      <c r="F11" s="117" t="n">
        <f aca="false">IFERROR(ROUND(CORREL('Returns (Calc)'!$G$3:$G$500,'Returns (Calc)'!$F$3:$F$500),2),"")</f>
        <v>0.34</v>
      </c>
      <c r="G11" s="117" t="n">
        <v>1</v>
      </c>
      <c r="H11" s="117" t="n">
        <f aca="false">IFERROR(ROUND(CORREL('Returns (Calc)'!$G$3:$G$500,'Returns (Calc)'!$H$3:$H$500),2),"")</f>
        <v>0.6</v>
      </c>
      <c r="I11" s="117" t="n">
        <f aca="false">IFERROR(ROUND(CORREL('Returns (Calc)'!$G$3:$G$500,'Returns (Calc)'!$I$3:$I$500),2),"")</f>
        <v>0.52</v>
      </c>
      <c r="J11" s="117" t="n">
        <f aca="false">IFERROR(ROUND(CORREL('Returns (Calc)'!$G$3:$G$500,'Returns (Calc)'!$J$3:$J$500),2),"")</f>
        <v>0.28</v>
      </c>
      <c r="K11" s="117" t="n">
        <f aca="false">IFERROR(ROUND(CORREL('Returns (Calc)'!$G$3:$G$500,'Returns (Calc)'!$K$3:$K$500),2),"")</f>
        <v>0.25</v>
      </c>
      <c r="L11" s="117" t="n">
        <f aca="false">IFERROR(ROUND(CORREL('Returns (Calc)'!$G$3:$G$500,'Returns (Calc)'!$L$3:$L$500),2),"")</f>
        <v>0.61</v>
      </c>
      <c r="M11" s="117" t="n">
        <f aca="false">IFERROR(ROUND(CORREL('Returns (Calc)'!$G$3:$G$500,'Returns (Calc)'!$M$3:$M$500),2),"")</f>
        <v>0.51</v>
      </c>
      <c r="N11" s="117" t="n">
        <f aca="false">IFERROR(ROUND(CORREL('Returns (Calc)'!$G$3:$G$500,'Returns (Calc)'!$N$3:$N$500),2),"")</f>
        <v>0.16</v>
      </c>
      <c r="O11" s="117" t="n">
        <f aca="false">IFERROR(ROUND(CORREL('Returns (Calc)'!$G$3:$G$500,'Returns (Calc)'!$O$3:$O$500),2),"")</f>
        <v>0.43</v>
      </c>
      <c r="P11" s="117" t="str">
        <f aca="false">IFERROR(ROUND(CORREL('Returns (Calc)'!$G$3:$G$500,'Returns (Calc)'!$P$3:$P$500),2),"")</f>
        <v/>
      </c>
      <c r="Q11" s="117" t="n">
        <f aca="false">IFERROR(ROUND(CORREL('Returns (Calc)'!$G$3:$G$500,'Returns (Calc)'!$Q$3:$Q$500),2),"")</f>
        <v>-0.02</v>
      </c>
      <c r="R11" s="117" t="n">
        <f aca="false">IFERROR(ROUND(CORREL('Returns (Calc)'!$G$3:$G$500,'Returns (Calc)'!$R$3:$R$500),2),"")</f>
        <v>0.62</v>
      </c>
      <c r="S11" s="117" t="n">
        <f aca="false">IFERROR(ROUND(CORREL('Returns (Calc)'!$G$3:$G$500,'Returns (Calc)'!$S$3:$S$500),2),"")</f>
        <v>0.67</v>
      </c>
      <c r="T11" s="117" t="n">
        <f aca="false">IFERROR(ROUND(CORREL('Returns (Calc)'!$G$3:$G$500,'Returns (Calc)'!$T$3:$T$500),2),"")</f>
        <v>0.31</v>
      </c>
      <c r="U11" s="117" t="str">
        <f aca="false">IFERROR(ROUND(CORREL('Returns (Calc)'!$G$3:$G$500,'Returns (Calc)'!$U$3:$U$500),2),"")</f>
        <v/>
      </c>
      <c r="V11" s="117" t="n">
        <f aca="false">IFERROR(ROUND(CORREL('Returns (Calc)'!$G$3:$G$500,'Returns (Calc)'!$V$3:$V$500),2),"")</f>
        <v>0.03</v>
      </c>
      <c r="AG11" s="118" t="n">
        <f aca="false">COUNTIF(B11:V11,"&gt;0.7")-1</f>
        <v>1</v>
      </c>
    </row>
    <row r="12" customFormat="false" ht="15" hidden="false" customHeight="true" outlineLevel="0" collapsed="false">
      <c r="A12" s="116" t="str">
        <f aca="false">'Returns (Calc)'!H2</f>
        <v>MU</v>
      </c>
      <c r="B12" s="117" t="n">
        <f aca="false">IFERROR(ROUND(CORREL('Returns (Calc)'!$H$3:$H$500,'Returns (Calc)'!$B$3:$B$500),2),"")</f>
        <v>0.05</v>
      </c>
      <c r="C12" s="117" t="n">
        <f aca="false">IFERROR(ROUND(CORREL('Returns (Calc)'!$H$3:$H$500,'Returns (Calc)'!$C$3:$C$500),2),"")</f>
        <v>0.35</v>
      </c>
      <c r="D12" s="117" t="n">
        <f aca="false">IFERROR(ROUND(CORREL('Returns (Calc)'!$H$3:$H$500,'Returns (Calc)'!$D$3:$D$500),2),"")</f>
        <v>0.6</v>
      </c>
      <c r="E12" s="117" t="n">
        <f aca="false">IFERROR(ROUND(CORREL('Returns (Calc)'!$H$3:$H$500,'Returns (Calc)'!$E$3:$E$500),2),"")</f>
        <v>0.48</v>
      </c>
      <c r="F12" s="117" t="n">
        <f aca="false">IFERROR(ROUND(CORREL('Returns (Calc)'!$H$3:$H$500,'Returns (Calc)'!$F$3:$F$500),2),"")</f>
        <v>0.32</v>
      </c>
      <c r="G12" s="117" t="n">
        <f aca="false">IFERROR(ROUND(CORREL('Returns (Calc)'!$H$3:$H$500,'Returns (Calc)'!$G$3:$G$500),2),"")</f>
        <v>0.6</v>
      </c>
      <c r="H12" s="117" t="n">
        <v>1</v>
      </c>
      <c r="I12" s="117" t="n">
        <f aca="false">IFERROR(ROUND(CORREL('Returns (Calc)'!$H$3:$H$500,'Returns (Calc)'!$I$3:$I$500),2),"")</f>
        <v>0.5</v>
      </c>
      <c r="J12" s="117" t="n">
        <f aca="false">IFERROR(ROUND(CORREL('Returns (Calc)'!$H$3:$H$500,'Returns (Calc)'!$J$3:$J$500),2),"")</f>
        <v>0.2</v>
      </c>
      <c r="K12" s="117" t="n">
        <f aca="false">IFERROR(ROUND(CORREL('Returns (Calc)'!$H$3:$H$500,'Returns (Calc)'!$K$3:$K$500),2),"")</f>
        <v>0.17</v>
      </c>
      <c r="L12" s="117" t="n">
        <f aca="false">IFERROR(ROUND(CORREL('Returns (Calc)'!$H$3:$H$500,'Returns (Calc)'!$L$3:$L$500),2),"")</f>
        <v>0.55</v>
      </c>
      <c r="M12" s="117" t="n">
        <f aca="false">IFERROR(ROUND(CORREL('Returns (Calc)'!$H$3:$H$500,'Returns (Calc)'!$M$3:$M$500),2),"")</f>
        <v>0.5</v>
      </c>
      <c r="N12" s="117" t="n">
        <f aca="false">IFERROR(ROUND(CORREL('Returns (Calc)'!$H$3:$H$500,'Returns (Calc)'!$N$3:$N$500),2),"")</f>
        <v>0.18</v>
      </c>
      <c r="O12" s="117" t="n">
        <f aca="false">IFERROR(ROUND(CORREL('Returns (Calc)'!$H$3:$H$500,'Returns (Calc)'!$O$3:$O$500),2),"")</f>
        <v>0.36</v>
      </c>
      <c r="P12" s="117" t="str">
        <f aca="false">IFERROR(ROUND(CORREL('Returns (Calc)'!$H$3:$H$500,'Returns (Calc)'!$P$3:$P$500),2),"")</f>
        <v/>
      </c>
      <c r="Q12" s="117" t="n">
        <f aca="false">IFERROR(ROUND(CORREL('Returns (Calc)'!$H$3:$H$500,'Returns (Calc)'!$Q$3:$Q$500),2),"")</f>
        <v>-0.1</v>
      </c>
      <c r="R12" s="117" t="n">
        <f aca="false">IFERROR(ROUND(CORREL('Returns (Calc)'!$H$3:$H$500,'Returns (Calc)'!$R$3:$R$500),2),"")</f>
        <v>0.61</v>
      </c>
      <c r="S12" s="117" t="n">
        <f aca="false">IFERROR(ROUND(CORREL('Returns (Calc)'!$H$3:$H$500,'Returns (Calc)'!$S$3:$S$500),2),"")</f>
        <v>0.66</v>
      </c>
      <c r="T12" s="117" t="n">
        <f aca="false">IFERROR(ROUND(CORREL('Returns (Calc)'!$H$3:$H$500,'Returns (Calc)'!$T$3:$T$500),2),"")</f>
        <v>0.43</v>
      </c>
      <c r="U12" s="117" t="str">
        <f aca="false">IFERROR(ROUND(CORREL('Returns (Calc)'!$H$3:$H$500,'Returns (Calc)'!$U$3:$U$500),2),"")</f>
        <v/>
      </c>
      <c r="V12" s="117" t="n">
        <f aca="false">IFERROR(ROUND(CORREL('Returns (Calc)'!$H$3:$H$500,'Returns (Calc)'!$V$3:$V$500),2),"")</f>
        <v>0.05</v>
      </c>
      <c r="AG12" s="118" t="n">
        <f aca="false">COUNTIF(B12:V12,"&gt;0.7")-1</f>
        <v>0</v>
      </c>
    </row>
    <row r="13" customFormat="false" ht="15" hidden="false" customHeight="true" outlineLevel="0" collapsed="false">
      <c r="A13" s="116" t="str">
        <f aca="false">'Returns (Calc)'!I2</f>
        <v>NVDA</v>
      </c>
      <c r="B13" s="117" t="n">
        <f aca="false">IFERROR(ROUND(CORREL('Returns (Calc)'!$I$3:$I$500,'Returns (Calc)'!$B$3:$B$500),2),"")</f>
        <v>0.22</v>
      </c>
      <c r="C13" s="117" t="n">
        <f aca="false">IFERROR(ROUND(CORREL('Returns (Calc)'!$I$3:$I$500,'Returns (Calc)'!$C$3:$C$500),2),"")</f>
        <v>0.53</v>
      </c>
      <c r="D13" s="117" t="n">
        <f aca="false">IFERROR(ROUND(CORREL('Returns (Calc)'!$I$3:$I$500,'Returns (Calc)'!$D$3:$D$500),2),"")</f>
        <v>0.49</v>
      </c>
      <c r="E13" s="117" t="n">
        <f aca="false">IFERROR(ROUND(CORREL('Returns (Calc)'!$I$3:$I$500,'Returns (Calc)'!$E$3:$E$500),2),"")</f>
        <v>0.62</v>
      </c>
      <c r="F13" s="117" t="n">
        <f aca="false">IFERROR(ROUND(CORREL('Returns (Calc)'!$I$3:$I$500,'Returns (Calc)'!$F$3:$F$500),2),"")</f>
        <v>0.46</v>
      </c>
      <c r="G13" s="117" t="n">
        <f aca="false">IFERROR(ROUND(CORREL('Returns (Calc)'!$I$3:$I$500,'Returns (Calc)'!$G$3:$G$500),2),"")</f>
        <v>0.52</v>
      </c>
      <c r="H13" s="117" t="n">
        <f aca="false">IFERROR(ROUND(CORREL('Returns (Calc)'!$I$3:$I$500,'Returns (Calc)'!$H$3:$H$500),2),"")</f>
        <v>0.5</v>
      </c>
      <c r="I13" s="117" t="n">
        <v>1</v>
      </c>
      <c r="J13" s="117" t="n">
        <f aca="false">IFERROR(ROUND(CORREL('Returns (Calc)'!$I$3:$I$500,'Returns (Calc)'!$J$3:$J$500),2),"")</f>
        <v>0.17</v>
      </c>
      <c r="K13" s="117" t="n">
        <f aca="false">IFERROR(ROUND(CORREL('Returns (Calc)'!$I$3:$I$500,'Returns (Calc)'!$K$3:$K$500),2),"")</f>
        <v>0.45</v>
      </c>
      <c r="L13" s="117" t="n">
        <f aca="false">IFERROR(ROUND(CORREL('Returns (Calc)'!$I$3:$I$500,'Returns (Calc)'!$L$3:$L$500),2),"")</f>
        <v>0.64</v>
      </c>
      <c r="M13" s="117" t="n">
        <f aca="false">IFERROR(ROUND(CORREL('Returns (Calc)'!$I$3:$I$500,'Returns (Calc)'!$M$3:$M$500),2),"")</f>
        <v>0.65</v>
      </c>
      <c r="N13" s="117" t="n">
        <f aca="false">IFERROR(ROUND(CORREL('Returns (Calc)'!$I$3:$I$500,'Returns (Calc)'!$N$3:$N$500),2),"")</f>
        <v>0.13</v>
      </c>
      <c r="O13" s="117" t="n">
        <f aca="false">IFERROR(ROUND(CORREL('Returns (Calc)'!$I$3:$I$500,'Returns (Calc)'!$O$3:$O$500),2),"")</f>
        <v>0.28</v>
      </c>
      <c r="P13" s="117" t="str">
        <f aca="false">IFERROR(ROUND(CORREL('Returns (Calc)'!$I$3:$I$500,'Returns (Calc)'!$P$3:$P$500),2),"")</f>
        <v/>
      </c>
      <c r="Q13" s="117" t="n">
        <f aca="false">IFERROR(ROUND(CORREL('Returns (Calc)'!$I$3:$I$500,'Returns (Calc)'!$Q$3:$Q$500),2),"")</f>
        <v>-0.07</v>
      </c>
      <c r="R13" s="117" t="n">
        <f aca="false">IFERROR(ROUND(CORREL('Returns (Calc)'!$I$3:$I$500,'Returns (Calc)'!$R$3:$R$500),2),"")</f>
        <v>0.71</v>
      </c>
      <c r="S13" s="117" t="n">
        <f aca="false">IFERROR(ROUND(CORREL('Returns (Calc)'!$I$3:$I$500,'Returns (Calc)'!$S$3:$S$500),2),"")</f>
        <v>0.74</v>
      </c>
      <c r="T13" s="117" t="n">
        <f aca="false">IFERROR(ROUND(CORREL('Returns (Calc)'!$I$3:$I$500,'Returns (Calc)'!$T$3:$T$500),2),"")</f>
        <v>0.29</v>
      </c>
      <c r="U13" s="117" t="str">
        <f aca="false">IFERROR(ROUND(CORREL('Returns (Calc)'!$I$3:$I$500,'Returns (Calc)'!$U$3:$U$500),2),"")</f>
        <v/>
      </c>
      <c r="V13" s="117" t="n">
        <f aca="false">IFERROR(ROUND(CORREL('Returns (Calc)'!$I$3:$I$500,'Returns (Calc)'!$V$3:$V$500),2),"")</f>
        <v>0.23</v>
      </c>
      <c r="AG13" s="118" t="n">
        <f aca="false">COUNTIF(B13:V13,"&gt;0.7")-1</f>
        <v>2</v>
      </c>
    </row>
    <row r="14" customFormat="false" ht="15" hidden="false" customHeight="true" outlineLevel="0" collapsed="false">
      <c r="A14" s="116" t="str">
        <f aca="false">'Returns (Calc)'!J2</f>
        <v>PLD</v>
      </c>
      <c r="B14" s="117" t="n">
        <f aca="false">IFERROR(ROUND(CORREL('Returns (Calc)'!$J$3:$J$500,'Returns (Calc)'!$B$3:$B$500),2),"")</f>
        <v>0.18</v>
      </c>
      <c r="C14" s="117" t="n">
        <f aca="false">IFERROR(ROUND(CORREL('Returns (Calc)'!$J$3:$J$500,'Returns (Calc)'!$C$3:$C$500),2),"")</f>
        <v>0.18</v>
      </c>
      <c r="D14" s="117" t="n">
        <f aca="false">IFERROR(ROUND(CORREL('Returns (Calc)'!$J$3:$J$500,'Returns (Calc)'!$D$3:$D$500),2),"")</f>
        <v>0.28</v>
      </c>
      <c r="E14" s="117" t="n">
        <f aca="false">IFERROR(ROUND(CORREL('Returns (Calc)'!$J$3:$J$500,'Returns (Calc)'!$E$3:$E$500),2),"")</f>
        <v>0.22</v>
      </c>
      <c r="F14" s="117" t="n">
        <f aca="false">IFERROR(ROUND(CORREL('Returns (Calc)'!$J$3:$J$500,'Returns (Calc)'!$F$3:$F$500),2),"")</f>
        <v>0.1</v>
      </c>
      <c r="G14" s="117" t="n">
        <f aca="false">IFERROR(ROUND(CORREL('Returns (Calc)'!$J$3:$J$500,'Returns (Calc)'!$G$3:$G$500),2),"")</f>
        <v>0.28</v>
      </c>
      <c r="H14" s="117" t="n">
        <f aca="false">IFERROR(ROUND(CORREL('Returns (Calc)'!$J$3:$J$500,'Returns (Calc)'!$H$3:$H$500),2),"")</f>
        <v>0.2</v>
      </c>
      <c r="I14" s="117" t="n">
        <f aca="false">IFERROR(ROUND(CORREL('Returns (Calc)'!$J$3:$J$500,'Returns (Calc)'!$I$3:$I$500),2),"")</f>
        <v>0.17</v>
      </c>
      <c r="J14" s="117" t="n">
        <v>1</v>
      </c>
      <c r="K14" s="117" t="n">
        <f aca="false">IFERROR(ROUND(CORREL('Returns (Calc)'!$J$3:$J$500,'Returns (Calc)'!$K$3:$K$500),2),"")</f>
        <v>0.13</v>
      </c>
      <c r="L14" s="117" t="n">
        <f aca="false">IFERROR(ROUND(CORREL('Returns (Calc)'!$J$3:$J$500,'Returns (Calc)'!$L$3:$L$500),2),"")</f>
        <v>0.21</v>
      </c>
      <c r="M14" s="117" t="n">
        <f aca="false">IFERROR(ROUND(CORREL('Returns (Calc)'!$J$3:$J$500,'Returns (Calc)'!$M$3:$M$500),2),"")</f>
        <v>0.14</v>
      </c>
      <c r="N14" s="117" t="n">
        <f aca="false">IFERROR(ROUND(CORREL('Returns (Calc)'!$J$3:$J$500,'Returns (Calc)'!$N$3:$N$500),2),"")</f>
        <v>0.25</v>
      </c>
      <c r="O14" s="117" t="n">
        <f aca="false">IFERROR(ROUND(CORREL('Returns (Calc)'!$J$3:$J$500,'Returns (Calc)'!$O$3:$O$500),2),"")</f>
        <v>0.62</v>
      </c>
      <c r="P14" s="117" t="str">
        <f aca="false">IFERROR(ROUND(CORREL('Returns (Calc)'!$J$3:$J$500,'Returns (Calc)'!$P$3:$P$500),2),"")</f>
        <v/>
      </c>
      <c r="Q14" s="117" t="n">
        <f aca="false">IFERROR(ROUND(CORREL('Returns (Calc)'!$J$3:$J$500,'Returns (Calc)'!$Q$3:$Q$500),2),"")</f>
        <v>-0.11</v>
      </c>
      <c r="R14" s="117" t="n">
        <f aca="false">IFERROR(ROUND(CORREL('Returns (Calc)'!$J$3:$J$500,'Returns (Calc)'!$R$3:$R$500),2),"")</f>
        <v>0.36</v>
      </c>
      <c r="S14" s="117" t="n">
        <f aca="false">IFERROR(ROUND(CORREL('Returns (Calc)'!$J$3:$J$500,'Returns (Calc)'!$S$3:$S$500),2),"")</f>
        <v>0.35</v>
      </c>
      <c r="T14" s="117" t="n">
        <f aca="false">IFERROR(ROUND(CORREL('Returns (Calc)'!$J$3:$J$500,'Returns (Calc)'!$T$3:$T$500),2),"")</f>
        <v>0.52</v>
      </c>
      <c r="U14" s="117" t="str">
        <f aca="false">IFERROR(ROUND(CORREL('Returns (Calc)'!$J$3:$J$500,'Returns (Calc)'!$U$3:$U$500),2),"")</f>
        <v/>
      </c>
      <c r="V14" s="117" t="n">
        <f aca="false">IFERROR(ROUND(CORREL('Returns (Calc)'!$J$3:$J$500,'Returns (Calc)'!$V$3:$V$500),2),"")</f>
        <v>0.4</v>
      </c>
      <c r="AG14" s="118" t="n">
        <f aca="false">COUNTIF(B14:V14,"&gt;0.7")-1</f>
        <v>0</v>
      </c>
    </row>
    <row r="15" customFormat="false" ht="15" hidden="false" customHeight="true" outlineLevel="0" collapsed="false">
      <c r="A15" s="116" t="str">
        <f aca="false">'Returns (Calc)'!K2</f>
        <v>PLTR</v>
      </c>
      <c r="B15" s="117" t="n">
        <f aca="false">IFERROR(ROUND(CORREL('Returns (Calc)'!$K$3:$K$500,'Returns (Calc)'!$B$3:$B$500),2),"")</f>
        <v>0.37</v>
      </c>
      <c r="C15" s="117" t="n">
        <f aca="false">IFERROR(ROUND(CORREL('Returns (Calc)'!$K$3:$K$500,'Returns (Calc)'!$C$3:$C$500),2),"")</f>
        <v>0.33</v>
      </c>
      <c r="D15" s="117" t="n">
        <f aca="false">IFERROR(ROUND(CORREL('Returns (Calc)'!$K$3:$K$500,'Returns (Calc)'!$D$3:$D$500),2),"")</f>
        <v>0.21</v>
      </c>
      <c r="E15" s="117" t="n">
        <f aca="false">IFERROR(ROUND(CORREL('Returns (Calc)'!$K$3:$K$500,'Returns (Calc)'!$E$3:$E$500),2),"")</f>
        <v>0.38</v>
      </c>
      <c r="F15" s="117" t="n">
        <f aca="false">IFERROR(ROUND(CORREL('Returns (Calc)'!$K$3:$K$500,'Returns (Calc)'!$F$3:$F$500),2),"")</f>
        <v>0.5</v>
      </c>
      <c r="G15" s="117" t="n">
        <f aca="false">IFERROR(ROUND(CORREL('Returns (Calc)'!$K$3:$K$500,'Returns (Calc)'!$G$3:$G$500),2),"")</f>
        <v>0.25</v>
      </c>
      <c r="H15" s="117" t="n">
        <f aca="false">IFERROR(ROUND(CORREL('Returns (Calc)'!$K$3:$K$500,'Returns (Calc)'!$H$3:$H$500),2),"")</f>
        <v>0.17</v>
      </c>
      <c r="I15" s="117" t="n">
        <f aca="false">IFERROR(ROUND(CORREL('Returns (Calc)'!$K$3:$K$500,'Returns (Calc)'!$I$3:$I$500),2),"")</f>
        <v>0.45</v>
      </c>
      <c r="J15" s="117" t="n">
        <f aca="false">IFERROR(ROUND(CORREL('Returns (Calc)'!$K$3:$K$500,'Returns (Calc)'!$J$3:$J$500),2),"")</f>
        <v>0.13</v>
      </c>
      <c r="K15" s="117" t="n">
        <v>1</v>
      </c>
      <c r="L15" s="117" t="n">
        <f aca="false">IFERROR(ROUND(CORREL('Returns (Calc)'!$K$3:$K$500,'Returns (Calc)'!$L$3:$L$500),2),"")</f>
        <v>0.38</v>
      </c>
      <c r="M15" s="117" t="n">
        <f aca="false">IFERROR(ROUND(CORREL('Returns (Calc)'!$K$3:$K$500,'Returns (Calc)'!$M$3:$M$500),2),"")</f>
        <v>0.32</v>
      </c>
      <c r="N15" s="117" t="n">
        <f aca="false">IFERROR(ROUND(CORREL('Returns (Calc)'!$K$3:$K$500,'Returns (Calc)'!$N$3:$N$500),2),"")</f>
        <v>0.07</v>
      </c>
      <c r="O15" s="117" t="n">
        <f aca="false">IFERROR(ROUND(CORREL('Returns (Calc)'!$K$3:$K$500,'Returns (Calc)'!$O$3:$O$500),2),"")</f>
        <v>0.25</v>
      </c>
      <c r="P15" s="117" t="str">
        <f aca="false">IFERROR(ROUND(CORREL('Returns (Calc)'!$K$3:$K$500,'Returns (Calc)'!$P$3:$P$500),2),"")</f>
        <v/>
      </c>
      <c r="Q15" s="117" t="n">
        <f aca="false">IFERROR(ROUND(CORREL('Returns (Calc)'!$K$3:$K$500,'Returns (Calc)'!$Q$3:$Q$500),2),"")</f>
        <v>-0.03</v>
      </c>
      <c r="R15" s="117" t="n">
        <f aca="false">IFERROR(ROUND(CORREL('Returns (Calc)'!$K$3:$K$500,'Returns (Calc)'!$R$3:$R$500),2),"")</f>
        <v>0.48</v>
      </c>
      <c r="S15" s="117" t="n">
        <f aca="false">IFERROR(ROUND(CORREL('Returns (Calc)'!$K$3:$K$500,'Returns (Calc)'!$S$3:$S$500),2),"")</f>
        <v>0.44</v>
      </c>
      <c r="T15" s="117" t="n">
        <f aca="false">IFERROR(ROUND(CORREL('Returns (Calc)'!$K$3:$K$500,'Returns (Calc)'!$T$3:$T$500),2),"")</f>
        <v>0.35</v>
      </c>
      <c r="U15" s="117" t="str">
        <f aca="false">IFERROR(ROUND(CORREL('Returns (Calc)'!$K$3:$K$500,'Returns (Calc)'!$U$3:$U$500),2),"")</f>
        <v/>
      </c>
      <c r="V15" s="117" t="n">
        <f aca="false">IFERROR(ROUND(CORREL('Returns (Calc)'!$K$3:$K$500,'Returns (Calc)'!$V$3:$V$500),2),"")</f>
        <v>0.24</v>
      </c>
      <c r="AG15" s="118" t="n">
        <f aca="false">COUNTIF(B15:V15,"&gt;0.7")-1</f>
        <v>0</v>
      </c>
    </row>
    <row r="16" customFormat="false" ht="15" hidden="false" customHeight="true" outlineLevel="0" collapsed="false">
      <c r="A16" s="116" t="str">
        <f aca="false">'Returns (Calc)'!L2</f>
        <v>TSM</v>
      </c>
      <c r="B16" s="117" t="n">
        <f aca="false">IFERROR(ROUND(CORREL('Returns (Calc)'!$L$3:$L$500,'Returns (Calc)'!$B$3:$B$500),2),"")</f>
        <v>0.16</v>
      </c>
      <c r="C16" s="117" t="n">
        <f aca="false">IFERROR(ROUND(CORREL('Returns (Calc)'!$L$3:$L$500,'Returns (Calc)'!$C$3:$C$500),2),"")</f>
        <v>0.55</v>
      </c>
      <c r="D16" s="117" t="n">
        <f aca="false">IFERROR(ROUND(CORREL('Returns (Calc)'!$L$3:$L$500,'Returns (Calc)'!$D$3:$D$500),2),"")</f>
        <v>0.63</v>
      </c>
      <c r="E16" s="117" t="n">
        <f aca="false">IFERROR(ROUND(CORREL('Returns (Calc)'!$L$3:$L$500,'Returns (Calc)'!$E$3:$E$500),2),"")</f>
        <v>0.63</v>
      </c>
      <c r="F16" s="117" t="n">
        <f aca="false">IFERROR(ROUND(CORREL('Returns (Calc)'!$L$3:$L$500,'Returns (Calc)'!$F$3:$F$500),2),"")</f>
        <v>0.38</v>
      </c>
      <c r="G16" s="117" t="n">
        <f aca="false">IFERROR(ROUND(CORREL('Returns (Calc)'!$L$3:$L$500,'Returns (Calc)'!$G$3:$G$500),2),"")</f>
        <v>0.61</v>
      </c>
      <c r="H16" s="117" t="n">
        <f aca="false">IFERROR(ROUND(CORREL('Returns (Calc)'!$L$3:$L$500,'Returns (Calc)'!$H$3:$H$500),2),"")</f>
        <v>0.55</v>
      </c>
      <c r="I16" s="117" t="n">
        <f aca="false">IFERROR(ROUND(CORREL('Returns (Calc)'!$L$3:$L$500,'Returns (Calc)'!$I$3:$I$500),2),"")</f>
        <v>0.64</v>
      </c>
      <c r="J16" s="117" t="n">
        <f aca="false">IFERROR(ROUND(CORREL('Returns (Calc)'!$L$3:$L$500,'Returns (Calc)'!$J$3:$J$500),2),"")</f>
        <v>0.21</v>
      </c>
      <c r="K16" s="117" t="n">
        <f aca="false">IFERROR(ROUND(CORREL('Returns (Calc)'!$L$3:$L$500,'Returns (Calc)'!$K$3:$K$500),2),"")</f>
        <v>0.38</v>
      </c>
      <c r="L16" s="117" t="n">
        <v>1</v>
      </c>
      <c r="M16" s="117" t="n">
        <f aca="false">IFERROR(ROUND(CORREL('Returns (Calc)'!$L$3:$L$500,'Returns (Calc)'!$M$3:$M$500),2),"")</f>
        <v>0.6</v>
      </c>
      <c r="N16" s="117" t="n">
        <f aca="false">IFERROR(ROUND(CORREL('Returns (Calc)'!$L$3:$L$500,'Returns (Calc)'!$N$3:$N$500),2),"")</f>
        <v>0.15</v>
      </c>
      <c r="O16" s="117" t="n">
        <f aca="false">IFERROR(ROUND(CORREL('Returns (Calc)'!$L$3:$L$500,'Returns (Calc)'!$O$3:$O$500),2),"")</f>
        <v>0.33</v>
      </c>
      <c r="P16" s="117" t="str">
        <f aca="false">IFERROR(ROUND(CORREL('Returns (Calc)'!$L$3:$L$500,'Returns (Calc)'!$P$3:$P$500),2),"")</f>
        <v/>
      </c>
      <c r="Q16" s="117" t="n">
        <f aca="false">IFERROR(ROUND(CORREL('Returns (Calc)'!$L$3:$L$500,'Returns (Calc)'!$Q$3:$Q$500),2),"")</f>
        <v>0.02</v>
      </c>
      <c r="R16" s="117" t="n">
        <f aca="false">IFERROR(ROUND(CORREL('Returns (Calc)'!$L$3:$L$500,'Returns (Calc)'!$R$3:$R$500),2),"")</f>
        <v>0.67</v>
      </c>
      <c r="S16" s="117" t="n">
        <f aca="false">IFERROR(ROUND(CORREL('Returns (Calc)'!$L$3:$L$500,'Returns (Calc)'!$S$3:$S$500),2),"")</f>
        <v>0.69</v>
      </c>
      <c r="T16" s="117" t="n">
        <f aca="false">IFERROR(ROUND(CORREL('Returns (Calc)'!$L$3:$L$500,'Returns (Calc)'!$T$3:$T$500),2),"")</f>
        <v>0.29</v>
      </c>
      <c r="U16" s="117" t="str">
        <f aca="false">IFERROR(ROUND(CORREL('Returns (Calc)'!$L$3:$L$500,'Returns (Calc)'!$U$3:$U$500),2),"")</f>
        <v/>
      </c>
      <c r="V16" s="117" t="n">
        <f aca="false">IFERROR(ROUND(CORREL('Returns (Calc)'!$L$3:$L$500,'Returns (Calc)'!$V$3:$V$500),2),"")</f>
        <v>0.13</v>
      </c>
      <c r="AG16" s="118" t="n">
        <f aca="false">COUNTIF(B16:V16,"&gt;0.7")-1</f>
        <v>0</v>
      </c>
    </row>
    <row r="17" customFormat="false" ht="15" hidden="false" customHeight="true" outlineLevel="0" collapsed="false">
      <c r="A17" s="116" t="str">
        <f aca="false">'Returns (Calc)'!M2</f>
        <v>VRT</v>
      </c>
      <c r="B17" s="117" t="n">
        <f aca="false">IFERROR(ROUND(CORREL('Returns (Calc)'!$M$3:$M$500,'Returns (Calc)'!$B$3:$B$500),2),"")</f>
        <v>0.06</v>
      </c>
      <c r="C17" s="117" t="n">
        <f aca="false">IFERROR(ROUND(CORREL('Returns (Calc)'!$M$3:$M$500,'Returns (Calc)'!$C$3:$C$500),2),"")</f>
        <v>0.59</v>
      </c>
      <c r="D17" s="117" t="n">
        <f aca="false">IFERROR(ROUND(CORREL('Returns (Calc)'!$M$3:$M$500,'Returns (Calc)'!$D$3:$D$500),2),"")</f>
        <v>0.43</v>
      </c>
      <c r="E17" s="117" t="n">
        <f aca="false">IFERROR(ROUND(CORREL('Returns (Calc)'!$M$3:$M$500,'Returns (Calc)'!$E$3:$E$500),2),"")</f>
        <v>0.53</v>
      </c>
      <c r="F17" s="117" t="n">
        <f aca="false">IFERROR(ROUND(CORREL('Returns (Calc)'!$M$3:$M$500,'Returns (Calc)'!$F$3:$F$500),2),"")</f>
        <v>0.42</v>
      </c>
      <c r="G17" s="117" t="n">
        <f aca="false">IFERROR(ROUND(CORREL('Returns (Calc)'!$M$3:$M$500,'Returns (Calc)'!$G$3:$G$500),2),"")</f>
        <v>0.51</v>
      </c>
      <c r="H17" s="117" t="n">
        <f aca="false">IFERROR(ROUND(CORREL('Returns (Calc)'!$M$3:$M$500,'Returns (Calc)'!$H$3:$H$500),2),"")</f>
        <v>0.5</v>
      </c>
      <c r="I17" s="117" t="n">
        <f aca="false">IFERROR(ROUND(CORREL('Returns (Calc)'!$M$3:$M$500,'Returns (Calc)'!$I$3:$I$500),2),"")</f>
        <v>0.65</v>
      </c>
      <c r="J17" s="117" t="n">
        <f aca="false">IFERROR(ROUND(CORREL('Returns (Calc)'!$M$3:$M$500,'Returns (Calc)'!$J$3:$J$500),2),"")</f>
        <v>0.14</v>
      </c>
      <c r="K17" s="117" t="n">
        <f aca="false">IFERROR(ROUND(CORREL('Returns (Calc)'!$M$3:$M$500,'Returns (Calc)'!$K$3:$K$500),2),"")</f>
        <v>0.32</v>
      </c>
      <c r="L17" s="117" t="n">
        <f aca="false">IFERROR(ROUND(CORREL('Returns (Calc)'!$M$3:$M$500,'Returns (Calc)'!$L$3:$L$500),2),"")</f>
        <v>0.6</v>
      </c>
      <c r="M17" s="117" t="n">
        <v>1</v>
      </c>
      <c r="N17" s="117" t="n">
        <f aca="false">IFERROR(ROUND(CORREL('Returns (Calc)'!$M$3:$M$500,'Returns (Calc)'!$N$3:$N$500),2),"")</f>
        <v>0.11</v>
      </c>
      <c r="O17" s="117" t="n">
        <f aca="false">IFERROR(ROUND(CORREL('Returns (Calc)'!$M$3:$M$500,'Returns (Calc)'!$O$3:$O$500),2),"")</f>
        <v>0.34</v>
      </c>
      <c r="P17" s="117" t="str">
        <f aca="false">IFERROR(ROUND(CORREL('Returns (Calc)'!$M$3:$M$500,'Returns (Calc)'!$P$3:$P$500),2),"")</f>
        <v/>
      </c>
      <c r="Q17" s="117" t="n">
        <f aca="false">IFERROR(ROUND(CORREL('Returns (Calc)'!$M$3:$M$500,'Returns (Calc)'!$Q$3:$Q$500),2),"")</f>
        <v>-0</v>
      </c>
      <c r="R17" s="117" t="n">
        <f aca="false">IFERROR(ROUND(CORREL('Returns (Calc)'!$M$3:$M$500,'Returns (Calc)'!$R$3:$R$500),2),"")</f>
        <v>0.62</v>
      </c>
      <c r="S17" s="117" t="n">
        <f aca="false">IFERROR(ROUND(CORREL('Returns (Calc)'!$M$3:$M$500,'Returns (Calc)'!$S$3:$S$500),2),"")</f>
        <v>0.66</v>
      </c>
      <c r="T17" s="117" t="n">
        <f aca="false">IFERROR(ROUND(CORREL('Returns (Calc)'!$M$3:$M$500,'Returns (Calc)'!$T$3:$T$500),2),"")</f>
        <v>0.29</v>
      </c>
      <c r="U17" s="117" t="str">
        <f aca="false">IFERROR(ROUND(CORREL('Returns (Calc)'!$M$3:$M$500,'Returns (Calc)'!$U$3:$U$500),2),"")</f>
        <v/>
      </c>
      <c r="V17" s="117" t="n">
        <f aca="false">IFERROR(ROUND(CORREL('Returns (Calc)'!$M$3:$M$500,'Returns (Calc)'!$V$3:$V$500),2),"")</f>
        <v>0.16</v>
      </c>
      <c r="AG17" s="118" t="n">
        <f aca="false">COUNTIF(B17:V17,"&gt;0.7")-1</f>
        <v>0</v>
      </c>
    </row>
    <row r="18" customFormat="false" ht="15" hidden="false" customHeight="true" outlineLevel="0" collapsed="false">
      <c r="A18" s="116" t="str">
        <f aca="false">'Returns (Calc)'!N2</f>
        <v>VRTX</v>
      </c>
      <c r="B18" s="117" t="n">
        <f aca="false">IFERROR(ROUND(CORREL('Returns (Calc)'!$N$3:$N$500,'Returns (Calc)'!$B$3:$B$500),2),"")</f>
        <v>0.14</v>
      </c>
      <c r="C18" s="117" t="n">
        <f aca="false">IFERROR(ROUND(CORREL('Returns (Calc)'!$N$3:$N$500,'Returns (Calc)'!$C$3:$C$500),2),"")</f>
        <v>0.04</v>
      </c>
      <c r="D18" s="117" t="n">
        <f aca="false">IFERROR(ROUND(CORREL('Returns (Calc)'!$N$3:$N$500,'Returns (Calc)'!$D$3:$D$500),2),"")</f>
        <v>0.12</v>
      </c>
      <c r="E18" s="117" t="n">
        <f aca="false">IFERROR(ROUND(CORREL('Returns (Calc)'!$N$3:$N$500,'Returns (Calc)'!$E$3:$E$500),2),"")</f>
        <v>0.15</v>
      </c>
      <c r="F18" s="117" t="n">
        <f aca="false">IFERROR(ROUND(CORREL('Returns (Calc)'!$N$3:$N$500,'Returns (Calc)'!$F$3:$F$500),2),"")</f>
        <v>0.18</v>
      </c>
      <c r="G18" s="117" t="n">
        <f aca="false">IFERROR(ROUND(CORREL('Returns (Calc)'!$N$3:$N$500,'Returns (Calc)'!$G$3:$G$500),2),"")</f>
        <v>0.16</v>
      </c>
      <c r="H18" s="117" t="n">
        <f aca="false">IFERROR(ROUND(CORREL('Returns (Calc)'!$N$3:$N$500,'Returns (Calc)'!$H$3:$H$500),2),"")</f>
        <v>0.18</v>
      </c>
      <c r="I18" s="117" t="n">
        <f aca="false">IFERROR(ROUND(CORREL('Returns (Calc)'!$N$3:$N$500,'Returns (Calc)'!$I$3:$I$500),2),"")</f>
        <v>0.13</v>
      </c>
      <c r="J18" s="117" t="n">
        <f aca="false">IFERROR(ROUND(CORREL('Returns (Calc)'!$N$3:$N$500,'Returns (Calc)'!$J$3:$J$500),2),"")</f>
        <v>0.25</v>
      </c>
      <c r="K18" s="117" t="n">
        <f aca="false">IFERROR(ROUND(CORREL('Returns (Calc)'!$N$3:$N$500,'Returns (Calc)'!$K$3:$K$500),2),"")</f>
        <v>0.07</v>
      </c>
      <c r="L18" s="117" t="n">
        <f aca="false">IFERROR(ROUND(CORREL('Returns (Calc)'!$N$3:$N$500,'Returns (Calc)'!$L$3:$L$500),2),"")</f>
        <v>0.15</v>
      </c>
      <c r="M18" s="117" t="n">
        <f aca="false">IFERROR(ROUND(CORREL('Returns (Calc)'!$N$3:$N$500,'Returns (Calc)'!$M$3:$M$500),2),"")</f>
        <v>0.11</v>
      </c>
      <c r="N18" s="117" t="n">
        <v>1</v>
      </c>
      <c r="O18" s="117" t="n">
        <f aca="false">IFERROR(ROUND(CORREL('Returns (Calc)'!$N$3:$N$500,'Returns (Calc)'!$O$3:$O$500),2),"")</f>
        <v>0.23</v>
      </c>
      <c r="P18" s="117" t="str">
        <f aca="false">IFERROR(ROUND(CORREL('Returns (Calc)'!$N$3:$N$500,'Returns (Calc)'!$P$3:$P$500),2),"")</f>
        <v/>
      </c>
      <c r="Q18" s="117" t="n">
        <f aca="false">IFERROR(ROUND(CORREL('Returns (Calc)'!$N$3:$N$500,'Returns (Calc)'!$Q$3:$Q$500),2),"")</f>
        <v>0.03</v>
      </c>
      <c r="R18" s="117" t="n">
        <f aca="false">IFERROR(ROUND(CORREL('Returns (Calc)'!$N$3:$N$500,'Returns (Calc)'!$R$3:$R$500),2),"")</f>
        <v>0.19</v>
      </c>
      <c r="S18" s="117" t="n">
        <f aca="false">IFERROR(ROUND(CORREL('Returns (Calc)'!$N$3:$N$500,'Returns (Calc)'!$S$3:$S$500),2),"")</f>
        <v>0.16</v>
      </c>
      <c r="T18" s="117" t="n">
        <f aca="false">IFERROR(ROUND(CORREL('Returns (Calc)'!$N$3:$N$500,'Returns (Calc)'!$T$3:$T$500),2),"")</f>
        <v>0.32</v>
      </c>
      <c r="U18" s="117" t="str">
        <f aca="false">IFERROR(ROUND(CORREL('Returns (Calc)'!$N$3:$N$500,'Returns (Calc)'!$U$3:$U$500),2),"")</f>
        <v/>
      </c>
      <c r="V18" s="117" t="n">
        <f aca="false">IFERROR(ROUND(CORREL('Returns (Calc)'!$N$3:$N$500,'Returns (Calc)'!$V$3:$V$500),2),"")</f>
        <v>0.2</v>
      </c>
      <c r="AG18" s="118" t="n">
        <f aca="false">COUNTIF(B18:V18,"&gt;0.7")-1</f>
        <v>0</v>
      </c>
    </row>
    <row r="19" customFormat="false" ht="15" hidden="false" customHeight="true" outlineLevel="0" collapsed="false">
      <c r="A19" s="116" t="str">
        <f aca="false">'Returns (Calc)'!O2</f>
        <v>AVUV</v>
      </c>
      <c r="B19" s="117" t="n">
        <f aca="false">IFERROR(ROUND(CORREL('Returns (Calc)'!$O$3:$O$500,'Returns (Calc)'!$B$3:$B$500),2),"")</f>
        <v>0.16</v>
      </c>
      <c r="C19" s="117" t="n">
        <f aca="false">IFERROR(ROUND(CORREL('Returns (Calc)'!$O$3:$O$500,'Returns (Calc)'!$C$3:$C$500),2),"")</f>
        <v>0.35</v>
      </c>
      <c r="D19" s="117" t="n">
        <f aca="false">IFERROR(ROUND(CORREL('Returns (Calc)'!$O$3:$O$500,'Returns (Calc)'!$D$3:$D$500),2),"")</f>
        <v>0.39</v>
      </c>
      <c r="E19" s="117" t="n">
        <f aca="false">IFERROR(ROUND(CORREL('Returns (Calc)'!$O$3:$O$500,'Returns (Calc)'!$E$3:$E$500),2),"")</f>
        <v>0.29</v>
      </c>
      <c r="F19" s="117" t="n">
        <f aca="false">IFERROR(ROUND(CORREL('Returns (Calc)'!$O$3:$O$500,'Returns (Calc)'!$F$3:$F$500),2),"")</f>
        <v>0.22</v>
      </c>
      <c r="G19" s="117" t="n">
        <f aca="false">IFERROR(ROUND(CORREL('Returns (Calc)'!$O$3:$O$500,'Returns (Calc)'!$G$3:$G$500),2),"")</f>
        <v>0.43</v>
      </c>
      <c r="H19" s="117" t="n">
        <f aca="false">IFERROR(ROUND(CORREL('Returns (Calc)'!$O$3:$O$500,'Returns (Calc)'!$H$3:$H$500),2),"")</f>
        <v>0.36</v>
      </c>
      <c r="I19" s="117" t="n">
        <f aca="false">IFERROR(ROUND(CORREL('Returns (Calc)'!$O$3:$O$500,'Returns (Calc)'!$I$3:$I$500),2),"")</f>
        <v>0.28</v>
      </c>
      <c r="J19" s="117" t="n">
        <f aca="false">IFERROR(ROUND(CORREL('Returns (Calc)'!$O$3:$O$500,'Returns (Calc)'!$J$3:$J$500),2),"")</f>
        <v>0.62</v>
      </c>
      <c r="K19" s="117" t="n">
        <f aca="false">IFERROR(ROUND(CORREL('Returns (Calc)'!$O$3:$O$500,'Returns (Calc)'!$K$3:$K$500),2),"")</f>
        <v>0.25</v>
      </c>
      <c r="L19" s="117" t="n">
        <f aca="false">IFERROR(ROUND(CORREL('Returns (Calc)'!$O$3:$O$500,'Returns (Calc)'!$L$3:$L$500),2),"")</f>
        <v>0.33</v>
      </c>
      <c r="M19" s="117" t="n">
        <f aca="false">IFERROR(ROUND(CORREL('Returns (Calc)'!$O$3:$O$500,'Returns (Calc)'!$M$3:$M$500),2),"")</f>
        <v>0.34</v>
      </c>
      <c r="N19" s="117" t="n">
        <f aca="false">IFERROR(ROUND(CORREL('Returns (Calc)'!$O$3:$O$500,'Returns (Calc)'!$N$3:$N$500),2),"")</f>
        <v>0.23</v>
      </c>
      <c r="O19" s="117" t="n">
        <v>1</v>
      </c>
      <c r="P19" s="117" t="str">
        <f aca="false">IFERROR(ROUND(CORREL('Returns (Calc)'!$O$3:$O$500,'Returns (Calc)'!$P$3:$P$500),2),"")</f>
        <v/>
      </c>
      <c r="Q19" s="117" t="n">
        <f aca="false">IFERROR(ROUND(CORREL('Returns (Calc)'!$O$3:$O$500,'Returns (Calc)'!$Q$3:$Q$500),2),"")</f>
        <v>-0.03</v>
      </c>
      <c r="R19" s="117" t="n">
        <f aca="false">IFERROR(ROUND(CORREL('Returns (Calc)'!$O$3:$O$500,'Returns (Calc)'!$R$3:$R$500),2),"")</f>
        <v>0.54</v>
      </c>
      <c r="S19" s="117" t="n">
        <f aca="false">IFERROR(ROUND(CORREL('Returns (Calc)'!$O$3:$O$500,'Returns (Calc)'!$S$3:$S$500),2),"")</f>
        <v>0.5</v>
      </c>
      <c r="T19" s="117" t="n">
        <f aca="false">IFERROR(ROUND(CORREL('Returns (Calc)'!$O$3:$O$500,'Returns (Calc)'!$T$3:$T$500),2),"")</f>
        <v>0.79</v>
      </c>
      <c r="U19" s="117" t="str">
        <f aca="false">IFERROR(ROUND(CORREL('Returns (Calc)'!$O$3:$O$500,'Returns (Calc)'!$U$3:$U$500),2),"")</f>
        <v/>
      </c>
      <c r="V19" s="117" t="n">
        <f aca="false">IFERROR(ROUND(CORREL('Returns (Calc)'!$O$3:$O$500,'Returns (Calc)'!$V$3:$V$500),2),"")</f>
        <v>0.39</v>
      </c>
      <c r="AG19" s="118" t="n">
        <f aca="false">COUNTIF(B19:V19,"&gt;0.7")-1</f>
        <v>1</v>
      </c>
    </row>
    <row r="20" customFormat="false" ht="15" hidden="false" customHeight="true" outlineLevel="0" collapsed="false">
      <c r="A20" s="116" t="n">
        <f aca="false">'Returns (Calc)'!P2</f>
        <v>0</v>
      </c>
      <c r="B20" s="117" t="str">
        <f aca="false">IFERROR(ROUND(CORREL('Returns (Calc)'!$P$3:$P$500,'Returns (Calc)'!$B$3:$B$500),2),"")</f>
        <v/>
      </c>
      <c r="C20" s="117" t="str">
        <f aca="false">IFERROR(ROUND(CORREL('Returns (Calc)'!$P$3:$P$500,'Returns (Calc)'!$C$3:$C$500),2),"")</f>
        <v/>
      </c>
      <c r="D20" s="117" t="str">
        <f aca="false">IFERROR(ROUND(CORREL('Returns (Calc)'!$P$3:$P$500,'Returns (Calc)'!$D$3:$D$500),2),"")</f>
        <v/>
      </c>
      <c r="E20" s="117" t="str">
        <f aca="false">IFERROR(ROUND(CORREL('Returns (Calc)'!$P$3:$P$500,'Returns (Calc)'!$E$3:$E$500),2),"")</f>
        <v/>
      </c>
      <c r="F20" s="117" t="str">
        <f aca="false">IFERROR(ROUND(CORREL('Returns (Calc)'!$P$3:$P$500,'Returns (Calc)'!$F$3:$F$500),2),"")</f>
        <v/>
      </c>
      <c r="G20" s="117" t="str">
        <f aca="false">IFERROR(ROUND(CORREL('Returns (Calc)'!$P$3:$P$500,'Returns (Calc)'!$G$3:$G$500),2),"")</f>
        <v/>
      </c>
      <c r="H20" s="117" t="str">
        <f aca="false">IFERROR(ROUND(CORREL('Returns (Calc)'!$P$3:$P$500,'Returns (Calc)'!$H$3:$H$500),2),"")</f>
        <v/>
      </c>
      <c r="I20" s="117" t="str">
        <f aca="false">IFERROR(ROUND(CORREL('Returns (Calc)'!$P$3:$P$500,'Returns (Calc)'!$I$3:$I$500),2),"")</f>
        <v/>
      </c>
      <c r="J20" s="117" t="str">
        <f aca="false">IFERROR(ROUND(CORREL('Returns (Calc)'!$P$3:$P$500,'Returns (Calc)'!$J$3:$J$500),2),"")</f>
        <v/>
      </c>
      <c r="K20" s="117" t="str">
        <f aca="false">IFERROR(ROUND(CORREL('Returns (Calc)'!$P$3:$P$500,'Returns (Calc)'!$K$3:$K$500),2),"")</f>
        <v/>
      </c>
      <c r="L20" s="117" t="str">
        <f aca="false">IFERROR(ROUND(CORREL('Returns (Calc)'!$P$3:$P$500,'Returns (Calc)'!$L$3:$L$500),2),"")</f>
        <v/>
      </c>
      <c r="M20" s="117" t="str">
        <f aca="false">IFERROR(ROUND(CORREL('Returns (Calc)'!$P$3:$P$500,'Returns (Calc)'!$M$3:$M$500),2),"")</f>
        <v/>
      </c>
      <c r="N20" s="117" t="str">
        <f aca="false">IFERROR(ROUND(CORREL('Returns (Calc)'!$P$3:$P$500,'Returns (Calc)'!$N$3:$N$500),2),"")</f>
        <v/>
      </c>
      <c r="O20" s="117" t="str">
        <f aca="false">IFERROR(ROUND(CORREL('Returns (Calc)'!$P$3:$P$500,'Returns (Calc)'!$O$3:$O$500),2),"")</f>
        <v/>
      </c>
      <c r="P20" s="117" t="n">
        <v>1</v>
      </c>
      <c r="Q20" s="117" t="str">
        <f aca="false">IFERROR(ROUND(CORREL('Returns (Calc)'!$P$3:$P$500,'Returns (Calc)'!$Q$3:$Q$500),2),"")</f>
        <v/>
      </c>
      <c r="R20" s="117" t="str">
        <f aca="false">IFERROR(ROUND(CORREL('Returns (Calc)'!$P$3:$P$500,'Returns (Calc)'!$R$3:$R$500),2),"")</f>
        <v/>
      </c>
      <c r="S20" s="117" t="str">
        <f aca="false">IFERROR(ROUND(CORREL('Returns (Calc)'!$P$3:$P$500,'Returns (Calc)'!$S$3:$S$500),2),"")</f>
        <v/>
      </c>
      <c r="T20" s="117" t="str">
        <f aca="false">IFERROR(ROUND(CORREL('Returns (Calc)'!$P$3:$P$500,'Returns (Calc)'!$T$3:$T$500),2),"")</f>
        <v/>
      </c>
      <c r="U20" s="117" t="str">
        <f aca="false">IFERROR(ROUND(CORREL('Returns (Calc)'!$P$3:$P$500,'Returns (Calc)'!$U$3:$U$500),2),"")</f>
        <v/>
      </c>
      <c r="V20" s="117" t="str">
        <f aca="false">IFERROR(ROUND(CORREL('Returns (Calc)'!$P$3:$P$500,'Returns (Calc)'!$V$3:$V$500),2),"")</f>
        <v/>
      </c>
      <c r="AG20" s="118" t="n">
        <f aca="false">COUNTIF(B20:V20,"&gt;0.7")-1</f>
        <v>0</v>
      </c>
    </row>
    <row r="21" customFormat="false" ht="15" hidden="false" customHeight="true" outlineLevel="0" collapsed="false">
      <c r="A21" s="116" t="str">
        <f aca="false">'Returns (Calc)'!Q2</f>
        <v>HELO</v>
      </c>
      <c r="B21" s="117" t="n">
        <f aca="false">IFERROR(ROUND(CORREL('Returns (Calc)'!$Q$3:$Q$500,'Returns (Calc)'!$B$3:$B$500),2),"")</f>
        <v>-0.07</v>
      </c>
      <c r="C21" s="117" t="n">
        <f aca="false">IFERROR(ROUND(CORREL('Returns (Calc)'!$Q$3:$Q$500,'Returns (Calc)'!$C$3:$C$500),2),"")</f>
        <v>0.02</v>
      </c>
      <c r="D21" s="117" t="n">
        <f aca="false">IFERROR(ROUND(CORREL('Returns (Calc)'!$Q$3:$Q$500,'Returns (Calc)'!$D$3:$D$500),2),"")</f>
        <v>-0.04</v>
      </c>
      <c r="E21" s="117" t="n">
        <f aca="false">IFERROR(ROUND(CORREL('Returns (Calc)'!$Q$3:$Q$500,'Returns (Calc)'!$E$3:$E$500),2),"")</f>
        <v>-0.04</v>
      </c>
      <c r="F21" s="117" t="n">
        <f aca="false">IFERROR(ROUND(CORREL('Returns (Calc)'!$Q$3:$Q$500,'Returns (Calc)'!$F$3:$F$500),2),"")</f>
        <v>-0.03</v>
      </c>
      <c r="G21" s="117" t="n">
        <f aca="false">IFERROR(ROUND(CORREL('Returns (Calc)'!$Q$3:$Q$500,'Returns (Calc)'!$G$3:$G$500),2),"")</f>
        <v>-0.02</v>
      </c>
      <c r="H21" s="117" t="n">
        <f aca="false">IFERROR(ROUND(CORREL('Returns (Calc)'!$Q$3:$Q$500,'Returns (Calc)'!$H$3:$H$500),2),"")</f>
        <v>-0.1</v>
      </c>
      <c r="I21" s="117" t="n">
        <f aca="false">IFERROR(ROUND(CORREL('Returns (Calc)'!$Q$3:$Q$500,'Returns (Calc)'!$I$3:$I$500),2),"")</f>
        <v>-0.07</v>
      </c>
      <c r="J21" s="117" t="n">
        <f aca="false">IFERROR(ROUND(CORREL('Returns (Calc)'!$Q$3:$Q$500,'Returns (Calc)'!$J$3:$J$500),2),"")</f>
        <v>-0.11</v>
      </c>
      <c r="K21" s="117" t="n">
        <f aca="false">IFERROR(ROUND(CORREL('Returns (Calc)'!$Q$3:$Q$500,'Returns (Calc)'!$K$3:$K$500),2),"")</f>
        <v>-0.03</v>
      </c>
      <c r="L21" s="117" t="n">
        <f aca="false">IFERROR(ROUND(CORREL('Returns (Calc)'!$Q$3:$Q$500,'Returns (Calc)'!$L$3:$L$500),2),"")</f>
        <v>0.02</v>
      </c>
      <c r="M21" s="117" t="n">
        <f aca="false">IFERROR(ROUND(CORREL('Returns (Calc)'!$Q$3:$Q$500,'Returns (Calc)'!$M$3:$M$500),2),"")</f>
        <v>-0</v>
      </c>
      <c r="N21" s="117" t="n">
        <f aca="false">IFERROR(ROUND(CORREL('Returns (Calc)'!$Q$3:$Q$500,'Returns (Calc)'!$N$3:$N$500),2),"")</f>
        <v>0.03</v>
      </c>
      <c r="O21" s="117" t="n">
        <f aca="false">IFERROR(ROUND(CORREL('Returns (Calc)'!$Q$3:$Q$500,'Returns (Calc)'!$O$3:$O$500),2),"")</f>
        <v>-0.03</v>
      </c>
      <c r="P21" s="117" t="str">
        <f aca="false">IFERROR(ROUND(CORREL('Returns (Calc)'!$Q$3:$Q$500,'Returns (Calc)'!$P$3:$P$500),2),"")</f>
        <v/>
      </c>
      <c r="Q21" s="117" t="n">
        <v>1</v>
      </c>
      <c r="R21" s="117" t="n">
        <f aca="false">IFERROR(ROUND(CORREL('Returns (Calc)'!$Q$3:$Q$500,'Returns (Calc)'!$R$3:$R$500),2),"")</f>
        <v>-0.01</v>
      </c>
      <c r="S21" s="117" t="n">
        <f aca="false">IFERROR(ROUND(CORREL('Returns (Calc)'!$Q$3:$Q$500,'Returns (Calc)'!$S$3:$S$500),2),"")</f>
        <v>-0.01</v>
      </c>
      <c r="T21" s="117" t="n">
        <f aca="false">IFERROR(ROUND(CORREL('Returns (Calc)'!$Q$3:$Q$500,'Returns (Calc)'!$T$3:$T$500),2),"")</f>
        <v>-0.07</v>
      </c>
      <c r="U21" s="117" t="str">
        <f aca="false">IFERROR(ROUND(CORREL('Returns (Calc)'!$Q$3:$Q$500,'Returns (Calc)'!$U$3:$U$500),2),"")</f>
        <v/>
      </c>
      <c r="V21" s="117" t="n">
        <f aca="false">IFERROR(ROUND(CORREL('Returns (Calc)'!$Q$3:$Q$500,'Returns (Calc)'!$V$3:$V$500),2),"")</f>
        <v>-0.1</v>
      </c>
      <c r="AG21" s="118" t="n">
        <f aca="false">COUNTIF(B21:V21,"&gt;0.7")-1</f>
        <v>0</v>
      </c>
    </row>
    <row r="22" customFormat="false" ht="15" hidden="false" customHeight="true" outlineLevel="0" collapsed="false">
      <c r="A22" s="116" t="str">
        <f aca="false">'Returns (Calc)'!R2</f>
        <v>JEPQ</v>
      </c>
      <c r="B22" s="117" t="n">
        <f aca="false">IFERROR(ROUND(CORREL('Returns (Calc)'!$R$3:$R$500,'Returns (Calc)'!$B$3:$B$500),2),"")</f>
        <v>0.31</v>
      </c>
      <c r="C22" s="117" t="n">
        <f aca="false">IFERROR(ROUND(CORREL('Returns (Calc)'!$R$3:$R$500,'Returns (Calc)'!$C$3:$C$500),2),"")</f>
        <v>0.64</v>
      </c>
      <c r="D22" s="117" t="n">
        <f aca="false">IFERROR(ROUND(CORREL('Returns (Calc)'!$R$3:$R$500,'Returns (Calc)'!$D$3:$D$500),2),"")</f>
        <v>0.61</v>
      </c>
      <c r="E22" s="117" t="n">
        <f aca="false">IFERROR(ROUND(CORREL('Returns (Calc)'!$R$3:$R$500,'Returns (Calc)'!$E$3:$E$500),2),"")</f>
        <v>0.72</v>
      </c>
      <c r="F22" s="117" t="n">
        <f aca="false">IFERROR(ROUND(CORREL('Returns (Calc)'!$R$3:$R$500,'Returns (Calc)'!$F$3:$F$500),2),"")</f>
        <v>0.53</v>
      </c>
      <c r="G22" s="117" t="n">
        <f aca="false">IFERROR(ROUND(CORREL('Returns (Calc)'!$R$3:$R$500,'Returns (Calc)'!$G$3:$G$500),2),"")</f>
        <v>0.62</v>
      </c>
      <c r="H22" s="117" t="n">
        <f aca="false">IFERROR(ROUND(CORREL('Returns (Calc)'!$R$3:$R$500,'Returns (Calc)'!$H$3:$H$500),2),"")</f>
        <v>0.61</v>
      </c>
      <c r="I22" s="117" t="n">
        <f aca="false">IFERROR(ROUND(CORREL('Returns (Calc)'!$R$3:$R$500,'Returns (Calc)'!$I$3:$I$500),2),"")</f>
        <v>0.71</v>
      </c>
      <c r="J22" s="117" t="n">
        <f aca="false">IFERROR(ROUND(CORREL('Returns (Calc)'!$R$3:$R$500,'Returns (Calc)'!$J$3:$J$500),2),"")</f>
        <v>0.36</v>
      </c>
      <c r="K22" s="117" t="n">
        <f aca="false">IFERROR(ROUND(CORREL('Returns (Calc)'!$R$3:$R$500,'Returns (Calc)'!$K$3:$K$500),2),"")</f>
        <v>0.48</v>
      </c>
      <c r="L22" s="117" t="n">
        <f aca="false">IFERROR(ROUND(CORREL('Returns (Calc)'!$R$3:$R$500,'Returns (Calc)'!$L$3:$L$500),2),"")</f>
        <v>0.67</v>
      </c>
      <c r="M22" s="117" t="n">
        <f aca="false">IFERROR(ROUND(CORREL('Returns (Calc)'!$R$3:$R$500,'Returns (Calc)'!$M$3:$M$500),2),"")</f>
        <v>0.62</v>
      </c>
      <c r="N22" s="117" t="n">
        <f aca="false">IFERROR(ROUND(CORREL('Returns (Calc)'!$R$3:$R$500,'Returns (Calc)'!$N$3:$N$500),2),"")</f>
        <v>0.19</v>
      </c>
      <c r="O22" s="117" t="n">
        <f aca="false">IFERROR(ROUND(CORREL('Returns (Calc)'!$R$3:$R$500,'Returns (Calc)'!$O$3:$O$500),2),"")</f>
        <v>0.54</v>
      </c>
      <c r="P22" s="117" t="str">
        <f aca="false">IFERROR(ROUND(CORREL('Returns (Calc)'!$R$3:$R$500,'Returns (Calc)'!$P$3:$P$500),2),"")</f>
        <v/>
      </c>
      <c r="Q22" s="117" t="n">
        <f aca="false">IFERROR(ROUND(CORREL('Returns (Calc)'!$R$3:$R$500,'Returns (Calc)'!$Q$3:$Q$500),2),"")</f>
        <v>-0.01</v>
      </c>
      <c r="R22" s="117" t="n">
        <v>1</v>
      </c>
      <c r="S22" s="117" t="n">
        <f aca="false">IFERROR(ROUND(CORREL('Returns (Calc)'!$R$3:$R$500,'Returns (Calc)'!$S$3:$S$500),2),"")</f>
        <v>0.88</v>
      </c>
      <c r="T22" s="117" t="n">
        <f aca="false">IFERROR(ROUND(CORREL('Returns (Calc)'!$R$3:$R$500,'Returns (Calc)'!$T$3:$T$500),2),"")</f>
        <v>0.57</v>
      </c>
      <c r="U22" s="117" t="str">
        <f aca="false">IFERROR(ROUND(CORREL('Returns (Calc)'!$R$3:$R$500,'Returns (Calc)'!$U$3:$U$500),2),"")</f>
        <v/>
      </c>
      <c r="V22" s="117" t="n">
        <f aca="false">IFERROR(ROUND(CORREL('Returns (Calc)'!$R$3:$R$500,'Returns (Calc)'!$V$3:$V$500),2),"")</f>
        <v>0.44</v>
      </c>
      <c r="AG22" s="118" t="n">
        <f aca="false">COUNTIF(B22:V22,"&gt;0.7")-1</f>
        <v>3</v>
      </c>
    </row>
    <row r="23" customFormat="false" ht="15" hidden="false" customHeight="true" outlineLevel="0" collapsed="false">
      <c r="A23" s="116" t="str">
        <f aca="false">'Returns (Calc)'!S2</f>
        <v>SPMO</v>
      </c>
      <c r="B23" s="117" t="n">
        <f aca="false">IFERROR(ROUND(CORREL('Returns (Calc)'!$S$3:$S$500,'Returns (Calc)'!$B$3:$B$500),2),"")</f>
        <v>0.23</v>
      </c>
      <c r="C23" s="117" t="n">
        <f aca="false">IFERROR(ROUND(CORREL('Returns (Calc)'!$S$3:$S$500,'Returns (Calc)'!$C$3:$C$500),2),"")</f>
        <v>0.64</v>
      </c>
      <c r="D23" s="117" t="n">
        <f aca="false">IFERROR(ROUND(CORREL('Returns (Calc)'!$S$3:$S$500,'Returns (Calc)'!$D$3:$D$500),2),"")</f>
        <v>0.61</v>
      </c>
      <c r="E23" s="117" t="n">
        <f aca="false">IFERROR(ROUND(CORREL('Returns (Calc)'!$S$3:$S$500,'Returns (Calc)'!$E$3:$E$500),2),"")</f>
        <v>0.73</v>
      </c>
      <c r="F23" s="117" t="n">
        <f aca="false">IFERROR(ROUND(CORREL('Returns (Calc)'!$S$3:$S$500,'Returns (Calc)'!$F$3:$F$500),2),"")</f>
        <v>0.53</v>
      </c>
      <c r="G23" s="117" t="n">
        <f aca="false">IFERROR(ROUND(CORREL('Returns (Calc)'!$S$3:$S$500,'Returns (Calc)'!$G$3:$G$500),2),"")</f>
        <v>0.67</v>
      </c>
      <c r="H23" s="117" t="n">
        <f aca="false">IFERROR(ROUND(CORREL('Returns (Calc)'!$S$3:$S$500,'Returns (Calc)'!$H$3:$H$500),2),"")</f>
        <v>0.66</v>
      </c>
      <c r="I23" s="117" t="n">
        <f aca="false">IFERROR(ROUND(CORREL('Returns (Calc)'!$S$3:$S$500,'Returns (Calc)'!$I$3:$I$500),2),"")</f>
        <v>0.74</v>
      </c>
      <c r="J23" s="117" t="n">
        <f aca="false">IFERROR(ROUND(CORREL('Returns (Calc)'!$S$3:$S$500,'Returns (Calc)'!$J$3:$J$500),2),"")</f>
        <v>0.35</v>
      </c>
      <c r="K23" s="117" t="n">
        <f aca="false">IFERROR(ROUND(CORREL('Returns (Calc)'!$S$3:$S$500,'Returns (Calc)'!$K$3:$K$500),2),"")</f>
        <v>0.44</v>
      </c>
      <c r="L23" s="117" t="n">
        <f aca="false">IFERROR(ROUND(CORREL('Returns (Calc)'!$S$3:$S$500,'Returns (Calc)'!$L$3:$L$500),2),"")</f>
        <v>0.69</v>
      </c>
      <c r="M23" s="117" t="n">
        <f aca="false">IFERROR(ROUND(CORREL('Returns (Calc)'!$S$3:$S$500,'Returns (Calc)'!$M$3:$M$500),2),"")</f>
        <v>0.66</v>
      </c>
      <c r="N23" s="117" t="n">
        <f aca="false">IFERROR(ROUND(CORREL('Returns (Calc)'!$S$3:$S$500,'Returns (Calc)'!$N$3:$N$500),2),"")</f>
        <v>0.16</v>
      </c>
      <c r="O23" s="117" t="n">
        <f aca="false">IFERROR(ROUND(CORREL('Returns (Calc)'!$S$3:$S$500,'Returns (Calc)'!$O$3:$O$500),2),"")</f>
        <v>0.5</v>
      </c>
      <c r="P23" s="117" t="str">
        <f aca="false">IFERROR(ROUND(CORREL('Returns (Calc)'!$S$3:$S$500,'Returns (Calc)'!$P$3:$P$500),2),"")</f>
        <v/>
      </c>
      <c r="Q23" s="117" t="n">
        <f aca="false">IFERROR(ROUND(CORREL('Returns (Calc)'!$S$3:$S$500,'Returns (Calc)'!$Q$3:$Q$500),2),"")</f>
        <v>-0.01</v>
      </c>
      <c r="R23" s="117" t="n">
        <f aca="false">IFERROR(ROUND(CORREL('Returns (Calc)'!$S$3:$S$500,'Returns (Calc)'!$R$3:$R$500),2),"")</f>
        <v>0.88</v>
      </c>
      <c r="S23" s="117" t="n">
        <v>1</v>
      </c>
      <c r="T23" s="117" t="n">
        <f aca="false">IFERROR(ROUND(CORREL('Returns (Calc)'!$S$3:$S$500,'Returns (Calc)'!$T$3:$T$500),2),"")</f>
        <v>0.52</v>
      </c>
      <c r="U23" s="117" t="str">
        <f aca="false">IFERROR(ROUND(CORREL('Returns (Calc)'!$S$3:$S$500,'Returns (Calc)'!$U$3:$U$500),2),"")</f>
        <v/>
      </c>
      <c r="V23" s="117" t="n">
        <f aca="false">IFERROR(ROUND(CORREL('Returns (Calc)'!$S$3:$S$500,'Returns (Calc)'!$V$3:$V$500),2),"")</f>
        <v>0.42</v>
      </c>
      <c r="AG23" s="118" t="n">
        <f aca="false">COUNTIF(B23:V23,"&gt;0.7")-1</f>
        <v>3</v>
      </c>
    </row>
    <row r="24" customFormat="false" ht="15" hidden="false" customHeight="true" outlineLevel="0" collapsed="false">
      <c r="A24" s="116" t="str">
        <f aca="false">'Returns (Calc)'!T2</f>
        <v>VFLO</v>
      </c>
      <c r="B24" s="117" t="n">
        <f aca="false">IFERROR(ROUND(CORREL('Returns (Calc)'!$T$3:$T$500,'Returns (Calc)'!$B$3:$B$500),2),"")</f>
        <v>0.42</v>
      </c>
      <c r="C24" s="117" t="n">
        <f aca="false">IFERROR(ROUND(CORREL('Returns (Calc)'!$T$3:$T$500,'Returns (Calc)'!$C$3:$C$500),2),"")</f>
        <v>0.34</v>
      </c>
      <c r="D24" s="117" t="n">
        <f aca="false">IFERROR(ROUND(CORREL('Returns (Calc)'!$T$3:$T$500,'Returns (Calc)'!$D$3:$D$500),2),"")</f>
        <v>0.31</v>
      </c>
      <c r="E24" s="117" t="n">
        <f aca="false">IFERROR(ROUND(CORREL('Returns (Calc)'!$T$3:$T$500,'Returns (Calc)'!$E$3:$E$500),2),"")</f>
        <v>0.26</v>
      </c>
      <c r="F24" s="117" t="n">
        <f aca="false">IFERROR(ROUND(CORREL('Returns (Calc)'!$T$3:$T$500,'Returns (Calc)'!$F$3:$F$500),2),"")</f>
        <v>0.32</v>
      </c>
      <c r="G24" s="117" t="n">
        <f aca="false">IFERROR(ROUND(CORREL('Returns (Calc)'!$T$3:$T$500,'Returns (Calc)'!$G$3:$G$500),2),"")</f>
        <v>0.31</v>
      </c>
      <c r="H24" s="117" t="n">
        <f aca="false">IFERROR(ROUND(CORREL('Returns (Calc)'!$T$3:$T$500,'Returns (Calc)'!$H$3:$H$500),2),"")</f>
        <v>0.43</v>
      </c>
      <c r="I24" s="117" t="n">
        <f aca="false">IFERROR(ROUND(CORREL('Returns (Calc)'!$T$3:$T$500,'Returns (Calc)'!$I$3:$I$500),2),"")</f>
        <v>0.29</v>
      </c>
      <c r="J24" s="117" t="n">
        <f aca="false">IFERROR(ROUND(CORREL('Returns (Calc)'!$T$3:$T$500,'Returns (Calc)'!$J$3:$J$500),2),"")</f>
        <v>0.52</v>
      </c>
      <c r="K24" s="117" t="n">
        <f aca="false">IFERROR(ROUND(CORREL('Returns (Calc)'!$T$3:$T$500,'Returns (Calc)'!$K$3:$K$500),2),"")</f>
        <v>0.35</v>
      </c>
      <c r="L24" s="117" t="n">
        <f aca="false">IFERROR(ROUND(CORREL('Returns (Calc)'!$T$3:$T$500,'Returns (Calc)'!$L$3:$L$500),2),"")</f>
        <v>0.29</v>
      </c>
      <c r="M24" s="117" t="n">
        <f aca="false">IFERROR(ROUND(CORREL('Returns (Calc)'!$T$3:$T$500,'Returns (Calc)'!$M$3:$M$500),2),"")</f>
        <v>0.29</v>
      </c>
      <c r="N24" s="117" t="n">
        <f aca="false">IFERROR(ROUND(CORREL('Returns (Calc)'!$T$3:$T$500,'Returns (Calc)'!$N$3:$N$500),2),"")</f>
        <v>0.32</v>
      </c>
      <c r="O24" s="117" t="n">
        <f aca="false">IFERROR(ROUND(CORREL('Returns (Calc)'!$T$3:$T$500,'Returns (Calc)'!$O$3:$O$500),2),"")</f>
        <v>0.79</v>
      </c>
      <c r="P24" s="117" t="str">
        <f aca="false">IFERROR(ROUND(CORREL('Returns (Calc)'!$T$3:$T$500,'Returns (Calc)'!$P$3:$P$500),2),"")</f>
        <v/>
      </c>
      <c r="Q24" s="117" t="n">
        <f aca="false">IFERROR(ROUND(CORREL('Returns (Calc)'!$T$3:$T$500,'Returns (Calc)'!$Q$3:$Q$500),2),"")</f>
        <v>-0.07</v>
      </c>
      <c r="R24" s="117" t="n">
        <f aca="false">IFERROR(ROUND(CORREL('Returns (Calc)'!$T$3:$T$500,'Returns (Calc)'!$R$3:$R$500),2),"")</f>
        <v>0.57</v>
      </c>
      <c r="S24" s="117" t="n">
        <f aca="false">IFERROR(ROUND(CORREL('Returns (Calc)'!$T$3:$T$500,'Returns (Calc)'!$S$3:$S$500),2),"")</f>
        <v>0.52</v>
      </c>
      <c r="T24" s="117" t="n">
        <v>1</v>
      </c>
      <c r="U24" s="117" t="str">
        <f aca="false">IFERROR(ROUND(CORREL('Returns (Calc)'!$T$3:$T$500,'Returns (Calc)'!$U$3:$U$500),2),"")</f>
        <v/>
      </c>
      <c r="V24" s="117" t="n">
        <f aca="false">IFERROR(ROUND(CORREL('Returns (Calc)'!$T$3:$T$500,'Returns (Calc)'!$V$3:$V$500),2),"")</f>
        <v>0.46</v>
      </c>
      <c r="AG24" s="118" t="n">
        <f aca="false">COUNTIF(B24:V24,"&gt;0.7")-1</f>
        <v>1</v>
      </c>
    </row>
    <row r="25" customFormat="false" ht="15" hidden="false" customHeight="true" outlineLevel="0" collapsed="false">
      <c r="A25" s="116" t="n">
        <f aca="false">'Returns (Calc)'!U2</f>
        <v>0</v>
      </c>
      <c r="B25" s="117" t="str">
        <f aca="false">IFERROR(ROUND(CORREL('Returns (Calc)'!$U$3:$U$500,'Returns (Calc)'!$B$3:$B$500),2),"")</f>
        <v/>
      </c>
      <c r="C25" s="117" t="str">
        <f aca="false">IFERROR(ROUND(CORREL('Returns (Calc)'!$U$3:$U$500,'Returns (Calc)'!$C$3:$C$500),2),"")</f>
        <v/>
      </c>
      <c r="D25" s="117" t="str">
        <f aca="false">IFERROR(ROUND(CORREL('Returns (Calc)'!$U$3:$U$500,'Returns (Calc)'!$D$3:$D$500),2),"")</f>
        <v/>
      </c>
      <c r="E25" s="117" t="str">
        <f aca="false">IFERROR(ROUND(CORREL('Returns (Calc)'!$U$3:$U$500,'Returns (Calc)'!$E$3:$E$500),2),"")</f>
        <v/>
      </c>
      <c r="F25" s="117" t="str">
        <f aca="false">IFERROR(ROUND(CORREL('Returns (Calc)'!$U$3:$U$500,'Returns (Calc)'!$F$3:$F$500),2),"")</f>
        <v/>
      </c>
      <c r="G25" s="117" t="str">
        <f aca="false">IFERROR(ROUND(CORREL('Returns (Calc)'!$U$3:$U$500,'Returns (Calc)'!$G$3:$G$500),2),"")</f>
        <v/>
      </c>
      <c r="H25" s="117" t="str">
        <f aca="false">IFERROR(ROUND(CORREL('Returns (Calc)'!$U$3:$U$500,'Returns (Calc)'!$H$3:$H$500),2),"")</f>
        <v/>
      </c>
      <c r="I25" s="117" t="str">
        <f aca="false">IFERROR(ROUND(CORREL('Returns (Calc)'!$U$3:$U$500,'Returns (Calc)'!$I$3:$I$500),2),"")</f>
        <v/>
      </c>
      <c r="J25" s="117" t="str">
        <f aca="false">IFERROR(ROUND(CORREL('Returns (Calc)'!$U$3:$U$500,'Returns (Calc)'!$J$3:$J$500),2),"")</f>
        <v/>
      </c>
      <c r="K25" s="117" t="str">
        <f aca="false">IFERROR(ROUND(CORREL('Returns (Calc)'!$U$3:$U$500,'Returns (Calc)'!$K$3:$K$500),2),"")</f>
        <v/>
      </c>
      <c r="L25" s="117" t="str">
        <f aca="false">IFERROR(ROUND(CORREL('Returns (Calc)'!$U$3:$U$500,'Returns (Calc)'!$L$3:$L$500),2),"")</f>
        <v/>
      </c>
      <c r="M25" s="117" t="str">
        <f aca="false">IFERROR(ROUND(CORREL('Returns (Calc)'!$U$3:$U$500,'Returns (Calc)'!$M$3:$M$500),2),"")</f>
        <v/>
      </c>
      <c r="N25" s="117" t="str">
        <f aca="false">IFERROR(ROUND(CORREL('Returns (Calc)'!$U$3:$U$500,'Returns (Calc)'!$N$3:$N$500),2),"")</f>
        <v/>
      </c>
      <c r="O25" s="117" t="str">
        <f aca="false">IFERROR(ROUND(CORREL('Returns (Calc)'!$U$3:$U$500,'Returns (Calc)'!$O$3:$O$500),2),"")</f>
        <v/>
      </c>
      <c r="P25" s="117" t="str">
        <f aca="false">IFERROR(ROUND(CORREL('Returns (Calc)'!$U$3:$U$500,'Returns (Calc)'!$P$3:$P$500),2),"")</f>
        <v/>
      </c>
      <c r="Q25" s="117" t="str">
        <f aca="false">IFERROR(ROUND(CORREL('Returns (Calc)'!$U$3:$U$500,'Returns (Calc)'!$Q$3:$Q$500),2),"")</f>
        <v/>
      </c>
      <c r="R25" s="117" t="str">
        <f aca="false">IFERROR(ROUND(CORREL('Returns (Calc)'!$U$3:$U$500,'Returns (Calc)'!$R$3:$R$500),2),"")</f>
        <v/>
      </c>
      <c r="S25" s="117" t="str">
        <f aca="false">IFERROR(ROUND(CORREL('Returns (Calc)'!$U$3:$U$500,'Returns (Calc)'!$S$3:$S$500),2),"")</f>
        <v/>
      </c>
      <c r="T25" s="117" t="str">
        <f aca="false">IFERROR(ROUND(CORREL('Returns (Calc)'!$U$3:$U$500,'Returns (Calc)'!$T$3:$T$500),2),"")</f>
        <v/>
      </c>
      <c r="U25" s="117" t="n">
        <v>1</v>
      </c>
      <c r="V25" s="117" t="str">
        <f aca="false">IFERROR(ROUND(CORREL('Returns (Calc)'!$U$3:$U$500,'Returns (Calc)'!$V$3:$V$500),2),"")</f>
        <v/>
      </c>
      <c r="AG25" s="118" t="n">
        <f aca="false">COUNTIF(B25:V25,"&gt;0.7")-1</f>
        <v>0</v>
      </c>
    </row>
    <row r="26" customFormat="false" ht="15" hidden="false" customHeight="true" outlineLevel="0" collapsed="false">
      <c r="A26" s="116" t="str">
        <f aca="false">'Returns (Calc)'!V2</f>
        <v>V</v>
      </c>
      <c r="B26" s="117" t="n">
        <f aca="false">IFERROR(ROUND(CORREL('Returns (Calc)'!$V$3:$V$500,'Returns (Calc)'!$B$3:$B$500),2),"")</f>
        <v>0.39</v>
      </c>
      <c r="C26" s="117" t="n">
        <f aca="false">IFERROR(ROUND(CORREL('Returns (Calc)'!$V$3:$V$500,'Returns (Calc)'!$C$3:$C$500),2),"")</f>
        <v>0.3</v>
      </c>
      <c r="D26" s="117" t="n">
        <f aca="false">IFERROR(ROUND(CORREL('Returns (Calc)'!$V$3:$V$500,'Returns (Calc)'!$D$3:$D$500),2),"")</f>
        <v>0.06</v>
      </c>
      <c r="E26" s="117" t="n">
        <f aca="false">IFERROR(ROUND(CORREL('Returns (Calc)'!$V$3:$V$500,'Returns (Calc)'!$E$3:$E$500),2),"")</f>
        <v>0.23</v>
      </c>
      <c r="F26" s="117" t="n">
        <f aca="false">IFERROR(ROUND(CORREL('Returns (Calc)'!$V$3:$V$500,'Returns (Calc)'!$F$3:$F$500),2),"")</f>
        <v>0.25</v>
      </c>
      <c r="G26" s="117" t="n">
        <f aca="false">IFERROR(ROUND(CORREL('Returns (Calc)'!$V$3:$V$500,'Returns (Calc)'!$G$3:$G$500),2),"")</f>
        <v>0.03</v>
      </c>
      <c r="H26" s="117" t="n">
        <f aca="false">IFERROR(ROUND(CORREL('Returns (Calc)'!$V$3:$V$500,'Returns (Calc)'!$H$3:$H$500),2),"")</f>
        <v>0.05</v>
      </c>
      <c r="I26" s="117" t="n">
        <f aca="false">IFERROR(ROUND(CORREL('Returns (Calc)'!$V$3:$V$500,'Returns (Calc)'!$I$3:$I$500),2),"")</f>
        <v>0.23</v>
      </c>
      <c r="J26" s="117" t="n">
        <f aca="false">IFERROR(ROUND(CORREL('Returns (Calc)'!$V$3:$V$500,'Returns (Calc)'!$J$3:$J$500),2),"")</f>
        <v>0.4</v>
      </c>
      <c r="K26" s="117" t="n">
        <f aca="false">IFERROR(ROUND(CORREL('Returns (Calc)'!$V$3:$V$500,'Returns (Calc)'!$K$3:$K$500),2),"")</f>
        <v>0.24</v>
      </c>
      <c r="L26" s="117" t="n">
        <f aca="false">IFERROR(ROUND(CORREL('Returns (Calc)'!$V$3:$V$500,'Returns (Calc)'!$L$3:$L$500),2),"")</f>
        <v>0.13</v>
      </c>
      <c r="M26" s="117" t="n">
        <f aca="false">IFERROR(ROUND(CORREL('Returns (Calc)'!$V$3:$V$500,'Returns (Calc)'!$M$3:$M$500),2),"")</f>
        <v>0.16</v>
      </c>
      <c r="N26" s="117" t="n">
        <f aca="false">IFERROR(ROUND(CORREL('Returns (Calc)'!$V$3:$V$500,'Returns (Calc)'!$N$3:$N$500),2),"")</f>
        <v>0.2</v>
      </c>
      <c r="O26" s="117" t="n">
        <f aca="false">IFERROR(ROUND(CORREL('Returns (Calc)'!$V$3:$V$500,'Returns (Calc)'!$O$3:$O$500),2),"")</f>
        <v>0.39</v>
      </c>
      <c r="P26" s="117" t="str">
        <f aca="false">IFERROR(ROUND(CORREL('Returns (Calc)'!$V$3:$V$500,'Returns (Calc)'!$P$3:$P$500),2),"")</f>
        <v/>
      </c>
      <c r="Q26" s="117" t="n">
        <f aca="false">IFERROR(ROUND(CORREL('Returns (Calc)'!$V$3:$V$500,'Returns (Calc)'!$Q$3:$Q$500),2),"")</f>
        <v>-0.1</v>
      </c>
      <c r="R26" s="117" t="n">
        <f aca="false">IFERROR(ROUND(CORREL('Returns (Calc)'!$V$3:$V$500,'Returns (Calc)'!$R$3:$R$500),2),"")</f>
        <v>0.44</v>
      </c>
      <c r="S26" s="117" t="n">
        <f aca="false">IFERROR(ROUND(CORREL('Returns (Calc)'!$V$3:$V$500,'Returns (Calc)'!$S$3:$S$500),2),"")</f>
        <v>0.42</v>
      </c>
      <c r="T26" s="117" t="n">
        <f aca="false">IFERROR(ROUND(CORREL('Returns (Calc)'!$V$3:$V$500,'Returns (Calc)'!$T$3:$T$500),2),"")</f>
        <v>0.46</v>
      </c>
      <c r="U26" s="117" t="str">
        <f aca="false">IFERROR(ROUND(CORREL('Returns (Calc)'!$V$3:$V$500,'Returns (Calc)'!$U$3:$U$500),2),"")</f>
        <v/>
      </c>
      <c r="V26" s="117" t="n">
        <v>1</v>
      </c>
      <c r="AG26" s="118"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9" t="s">
        <v>447</v>
      </c>
      <c r="B1" s="119"/>
      <c r="C1" s="119"/>
      <c r="D1" s="119"/>
      <c r="E1" s="119"/>
      <c r="F1" s="119"/>
      <c r="G1" s="119"/>
      <c r="H1" s="119"/>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6" t="n">
        <v>700739.19</v>
      </c>
      <c r="C3" s="120" t="n">
        <f aca="false">IF(B3="","",B3)</f>
        <v>700739.19</v>
      </c>
      <c r="D3" s="121"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6" t="n">
        <v>751223.12</v>
      </c>
      <c r="C4" s="120" t="n">
        <f aca="false">IF(B4="","",MAX(C3,B4))</f>
        <v>751223.12</v>
      </c>
      <c r="D4" s="121"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6"/>
      <c r="C5" s="120" t="str">
        <f aca="false">IF(B5="","",MAX(C4,B5))</f>
        <v/>
      </c>
      <c r="D5" s="121"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6"/>
      <c r="C6" s="120" t="str">
        <f aca="false">IF(B6="","",MAX(C5,B6))</f>
        <v/>
      </c>
      <c r="D6" s="121"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6"/>
      <c r="C7" s="120" t="str">
        <f aca="false">IF(B7="","",MAX(C6,B7))</f>
        <v/>
      </c>
      <c r="D7" s="121"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6"/>
      <c r="C8" s="120" t="str">
        <f aca="false">IF(B8="","",MAX(C7,B8))</f>
        <v/>
      </c>
      <c r="D8" s="121"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6"/>
      <c r="C9" s="120" t="str">
        <f aca="false">IF(B9="","",MAX(C8,B9))</f>
        <v/>
      </c>
      <c r="D9" s="121"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6"/>
      <c r="C10" s="120" t="str">
        <f aca="false">IF(B10="","",MAX(C9,B10))</f>
        <v/>
      </c>
      <c r="D10" s="121"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6"/>
      <c r="C11" s="120" t="str">
        <f aca="false">IF(B11="","",MAX(C10,B11))</f>
        <v/>
      </c>
      <c r="D11" s="121"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6"/>
      <c r="C12" s="120" t="str">
        <f aca="false">IF(B12="","",MAX(C11,B12))</f>
        <v/>
      </c>
      <c r="D12" s="121"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6"/>
      <c r="C13" s="120" t="str">
        <f aca="false">IF(B13="","",MAX(C12,B13))</f>
        <v/>
      </c>
      <c r="D13" s="121"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6"/>
      <c r="C14" s="120" t="str">
        <f aca="false">IF(B14="","",MAX(C13,B14))</f>
        <v/>
      </c>
      <c r="D14" s="121"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6"/>
      <c r="C15" s="120" t="str">
        <f aca="false">IF(B15="","",MAX(C14,B15))</f>
        <v/>
      </c>
      <c r="D15" s="121"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6"/>
      <c r="C16" s="120" t="str">
        <f aca="false">IF(B16="","",MAX(C15,B16))</f>
        <v/>
      </c>
      <c r="D16" s="121"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6"/>
      <c r="C17" s="120" t="str">
        <f aca="false">IF(B17="","",MAX(C16,B17))</f>
        <v/>
      </c>
      <c r="D17" s="121"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6"/>
      <c r="C18" s="120" t="str">
        <f aca="false">IF(B18="","",MAX(C17,B18))</f>
        <v/>
      </c>
      <c r="D18" s="121"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6"/>
      <c r="C19" s="120" t="str">
        <f aca="false">IF(B19="","",MAX(C18,B19))</f>
        <v/>
      </c>
      <c r="D19" s="121"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6"/>
      <c r="C20" s="120" t="str">
        <f aca="false">IF(B20="","",MAX(C19,B20))</f>
        <v/>
      </c>
      <c r="D20" s="121"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6"/>
      <c r="C21" s="120" t="str">
        <f aca="false">IF(B21="","",MAX(C20,B21))</f>
        <v/>
      </c>
      <c r="D21" s="121"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6"/>
      <c r="C22" s="120" t="str">
        <f aca="false">IF(B22="","",MAX(C21,B22))</f>
        <v/>
      </c>
      <c r="D22" s="121"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6"/>
      <c r="C23" s="120" t="str">
        <f aca="false">IF(B23="","",MAX(C22,B23))</f>
        <v/>
      </c>
      <c r="D23" s="121"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6"/>
      <c r="C24" s="120" t="str">
        <f aca="false">IF(B24="","",MAX(C23,B24))</f>
        <v/>
      </c>
      <c r="D24" s="121"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6"/>
      <c r="C25" s="120" t="str">
        <f aca="false">IF(B25="","",MAX(C24,B25))</f>
        <v/>
      </c>
      <c r="D25" s="121"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6"/>
      <c r="C26" s="120" t="str">
        <f aca="false">IF(B26="","",MAX(C25,B26))</f>
        <v/>
      </c>
      <c r="D26" s="121"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6"/>
      <c r="C27" s="120" t="str">
        <f aca="false">IF(B27="","",MAX(C26,B27))</f>
        <v/>
      </c>
      <c r="D27" s="121"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6"/>
      <c r="C28" s="120" t="str">
        <f aca="false">IF(B28="","",MAX(C27,B28))</f>
        <v/>
      </c>
      <c r="D28" s="121"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6"/>
      <c r="C29" s="120" t="str">
        <f aca="false">IF(B29="","",MAX(C28,B29))</f>
        <v/>
      </c>
      <c r="D29" s="121"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6"/>
      <c r="C30" s="120" t="str">
        <f aca="false">IF(B30="","",MAX(C29,B30))</f>
        <v/>
      </c>
      <c r="D30" s="121"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6"/>
      <c r="C31" s="120" t="str">
        <f aca="false">IF(B31="","",MAX(C30,B31))</f>
        <v/>
      </c>
      <c r="D31" s="121"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6"/>
      <c r="C32" s="120" t="str">
        <f aca="false">IF(B32="","",MAX(C31,B32))</f>
        <v/>
      </c>
      <c r="D32" s="121"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6"/>
      <c r="C33" s="120" t="str">
        <f aca="false">IF(B33="","",MAX(C32,B33))</f>
        <v/>
      </c>
      <c r="D33" s="121"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6"/>
      <c r="C34" s="120" t="str">
        <f aca="false">IF(B34="","",MAX(C33,B34))</f>
        <v/>
      </c>
      <c r="D34" s="121"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6"/>
      <c r="C35" s="120" t="str">
        <f aca="false">IF(B35="","",MAX(C34,B35))</f>
        <v/>
      </c>
      <c r="D35" s="121"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6"/>
      <c r="C36" s="120" t="str">
        <f aca="false">IF(B36="","",MAX(C35,B36))</f>
        <v/>
      </c>
      <c r="D36" s="121"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6"/>
      <c r="C37" s="120" t="str">
        <f aca="false">IF(B37="","",MAX(C36,B37))</f>
        <v/>
      </c>
      <c r="D37" s="121"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6"/>
      <c r="C38" s="120" t="str">
        <f aca="false">IF(B38="","",MAX(C37,B38))</f>
        <v/>
      </c>
      <c r="D38" s="121"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6"/>
      <c r="C39" s="120" t="str">
        <f aca="false">IF(B39="","",MAX(C38,B39))</f>
        <v/>
      </c>
      <c r="D39" s="121"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6"/>
      <c r="C40" s="120" t="str">
        <f aca="false">IF(B40="","",MAX(C39,B40))</f>
        <v/>
      </c>
      <c r="D40" s="121"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6"/>
      <c r="C41" s="120" t="str">
        <f aca="false">IF(B41="","",MAX(C40,B41))</f>
        <v/>
      </c>
      <c r="D41" s="121"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6"/>
      <c r="C42" s="120" t="str">
        <f aca="false">IF(B42="","",MAX(C41,B42))</f>
        <v/>
      </c>
      <c r="D42" s="121"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2" t="s">
        <v>456</v>
      </c>
      <c r="B1" s="122"/>
      <c r="C1" s="122"/>
      <c r="D1" s="122"/>
      <c r="E1" s="122"/>
      <c r="F1" s="122"/>
      <c r="G1" s="122"/>
      <c r="H1" s="122"/>
      <c r="I1" s="122"/>
      <c r="J1" s="122"/>
      <c r="K1" s="122"/>
      <c r="L1" s="122"/>
      <c r="M1" s="122"/>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87"/>
      <c r="B3" s="87"/>
      <c r="C3" s="87"/>
      <c r="D3" s="123"/>
      <c r="E3" s="87"/>
      <c r="F3" s="87"/>
      <c r="G3" s="123"/>
      <c r="H3" s="87"/>
      <c r="I3" s="108" t="str">
        <f aca="false">IF(D3="","",D3+90)</f>
        <v/>
      </c>
      <c r="J3" s="124" t="str">
        <f aca="true">IF(I3="","",I3-TODAY())</f>
        <v/>
      </c>
      <c r="K3" s="8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87"/>
    </row>
    <row r="4" customFormat="false" ht="15" hidden="false" customHeight="true" outlineLevel="0" collapsed="false">
      <c r="A4" s="87"/>
      <c r="B4" s="87"/>
      <c r="C4" s="87"/>
      <c r="D4" s="123"/>
      <c r="E4" s="87"/>
      <c r="F4" s="87"/>
      <c r="G4" s="123"/>
      <c r="H4" s="87"/>
      <c r="I4" s="108" t="str">
        <f aca="false">IF(D4="","",D4+90)</f>
        <v/>
      </c>
      <c r="J4" s="124" t="str">
        <f aca="true">IF(I4="","",I4-TODAY())</f>
        <v/>
      </c>
      <c r="K4" s="8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87"/>
    </row>
    <row r="5" customFormat="false" ht="15" hidden="false" customHeight="true" outlineLevel="0" collapsed="false">
      <c r="A5" s="87"/>
      <c r="B5" s="87"/>
      <c r="C5" s="87"/>
      <c r="D5" s="123"/>
      <c r="E5" s="87"/>
      <c r="F5" s="87"/>
      <c r="G5" s="123"/>
      <c r="H5" s="87"/>
      <c r="I5" s="108" t="str">
        <f aca="false">IF(D5="","",D5+90)</f>
        <v/>
      </c>
      <c r="J5" s="124" t="str">
        <f aca="true">IF(I5="","",I5-TODAY())</f>
        <v/>
      </c>
      <c r="K5" s="8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87"/>
    </row>
    <row r="6" customFormat="false" ht="15" hidden="false" customHeight="true" outlineLevel="0" collapsed="false">
      <c r="A6" s="87"/>
      <c r="B6" s="87"/>
      <c r="C6" s="87"/>
      <c r="D6" s="123"/>
      <c r="E6" s="87"/>
      <c r="F6" s="87"/>
      <c r="G6" s="123"/>
      <c r="H6" s="87"/>
      <c r="I6" s="108" t="str">
        <f aca="false">IF(D6="","",D6+90)</f>
        <v/>
      </c>
      <c r="J6" s="124" t="str">
        <f aca="true">IF(I6="","",I6-TODAY())</f>
        <v/>
      </c>
      <c r="K6" s="8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87"/>
    </row>
    <row r="7" customFormat="false" ht="15" hidden="false" customHeight="true" outlineLevel="0" collapsed="false">
      <c r="A7" s="87"/>
      <c r="B7" s="87"/>
      <c r="C7" s="87"/>
      <c r="D7" s="123"/>
      <c r="E7" s="87"/>
      <c r="F7" s="87"/>
      <c r="G7" s="123"/>
      <c r="H7" s="87"/>
      <c r="I7" s="108" t="str">
        <f aca="false">IF(D7="","",D7+90)</f>
        <v/>
      </c>
      <c r="J7" s="124" t="str">
        <f aca="true">IF(I7="","",I7-TODAY())</f>
        <v/>
      </c>
      <c r="K7" s="8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87"/>
    </row>
    <row r="8" customFormat="false" ht="15" hidden="false" customHeight="true" outlineLevel="0" collapsed="false">
      <c r="A8" s="87"/>
      <c r="B8" s="87"/>
      <c r="C8" s="87"/>
      <c r="D8" s="123"/>
      <c r="E8" s="87"/>
      <c r="F8" s="87"/>
      <c r="G8" s="123"/>
      <c r="H8" s="87"/>
      <c r="I8" s="108" t="str">
        <f aca="false">IF(D8="","",D8+90)</f>
        <v/>
      </c>
      <c r="J8" s="124" t="str">
        <f aca="true">IF(I8="","",I8-TODAY())</f>
        <v/>
      </c>
      <c r="K8" s="8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87"/>
    </row>
    <row r="9" customFormat="false" ht="15" hidden="false" customHeight="true" outlineLevel="0" collapsed="false">
      <c r="A9" s="87"/>
      <c r="B9" s="87"/>
      <c r="C9" s="87"/>
      <c r="D9" s="123"/>
      <c r="E9" s="87"/>
      <c r="F9" s="87"/>
      <c r="G9" s="123"/>
      <c r="H9" s="87"/>
      <c r="I9" s="108" t="str">
        <f aca="false">IF(D9="","",D9+90)</f>
        <v/>
      </c>
      <c r="J9" s="124" t="str">
        <f aca="true">IF(I9="","",I9-TODAY())</f>
        <v/>
      </c>
      <c r="K9" s="8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87"/>
    </row>
    <row r="10" customFormat="false" ht="15" hidden="false" customHeight="true" outlineLevel="0" collapsed="false">
      <c r="A10" s="87"/>
      <c r="B10" s="87"/>
      <c r="C10" s="87"/>
      <c r="D10" s="123"/>
      <c r="E10" s="87"/>
      <c r="F10" s="87"/>
      <c r="G10" s="123"/>
      <c r="H10" s="87"/>
      <c r="I10" s="108" t="str">
        <f aca="false">IF(D10="","",D10+90)</f>
        <v/>
      </c>
      <c r="J10" s="124" t="str">
        <f aca="true">IF(I10="","",I10-TODAY())</f>
        <v/>
      </c>
      <c r="K10" s="8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87"/>
    </row>
    <row r="11" customFormat="false" ht="15" hidden="false" customHeight="true" outlineLevel="0" collapsed="false">
      <c r="A11" s="87"/>
      <c r="B11" s="87"/>
      <c r="C11" s="87"/>
      <c r="D11" s="123"/>
      <c r="E11" s="87"/>
      <c r="F11" s="87"/>
      <c r="G11" s="123"/>
      <c r="H11" s="87"/>
      <c r="I11" s="108" t="str">
        <f aca="false">IF(D11="","",D11+90)</f>
        <v/>
      </c>
      <c r="J11" s="124" t="str">
        <f aca="true">IF(I11="","",I11-TODAY())</f>
        <v/>
      </c>
      <c r="K11" s="8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87"/>
    </row>
    <row r="12" customFormat="false" ht="15" hidden="false" customHeight="true" outlineLevel="0" collapsed="false">
      <c r="A12" s="87"/>
      <c r="B12" s="87"/>
      <c r="C12" s="87"/>
      <c r="D12" s="123"/>
      <c r="E12" s="87"/>
      <c r="F12" s="87"/>
      <c r="G12" s="123"/>
      <c r="H12" s="87"/>
      <c r="I12" s="108" t="str">
        <f aca="false">IF(D12="","",D12+90)</f>
        <v/>
      </c>
      <c r="J12" s="124" t="str">
        <f aca="true">IF(I12="","",I12-TODAY())</f>
        <v/>
      </c>
      <c r="K12" s="8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87"/>
    </row>
    <row r="13" customFormat="false" ht="15" hidden="false" customHeight="true" outlineLevel="0" collapsed="false">
      <c r="A13" s="87"/>
      <c r="B13" s="87"/>
      <c r="C13" s="87"/>
      <c r="D13" s="123"/>
      <c r="E13" s="87"/>
      <c r="F13" s="87"/>
      <c r="G13" s="123"/>
      <c r="H13" s="87"/>
      <c r="I13" s="108" t="str">
        <f aca="false">IF(D13="","",D13+90)</f>
        <v/>
      </c>
      <c r="J13" s="124" t="str">
        <f aca="true">IF(I13="","",I13-TODAY())</f>
        <v/>
      </c>
      <c r="K13" s="8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87"/>
    </row>
    <row r="14" customFormat="false" ht="15" hidden="false" customHeight="true" outlineLevel="0" collapsed="false">
      <c r="A14" s="87"/>
      <c r="B14" s="87"/>
      <c r="C14" s="87"/>
      <c r="D14" s="123"/>
      <c r="E14" s="87"/>
      <c r="F14" s="87"/>
      <c r="G14" s="123"/>
      <c r="H14" s="87"/>
      <c r="I14" s="108" t="str">
        <f aca="false">IF(D14="","",D14+90)</f>
        <v/>
      </c>
      <c r="J14" s="124" t="str">
        <f aca="true">IF(I14="","",I14-TODAY())</f>
        <v/>
      </c>
      <c r="K14" s="8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87"/>
    </row>
    <row r="15" customFormat="false" ht="15" hidden="false" customHeight="true" outlineLevel="0" collapsed="false">
      <c r="A15" s="87"/>
      <c r="B15" s="87"/>
      <c r="C15" s="87"/>
      <c r="D15" s="123"/>
      <c r="E15" s="87"/>
      <c r="F15" s="87"/>
      <c r="G15" s="123"/>
      <c r="H15" s="87"/>
      <c r="I15" s="108" t="str">
        <f aca="false">IF(D15="","",D15+90)</f>
        <v/>
      </c>
      <c r="J15" s="124" t="str">
        <f aca="true">IF(I15="","",I15-TODAY())</f>
        <v/>
      </c>
      <c r="K15" s="8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87"/>
    </row>
    <row r="16" customFormat="false" ht="15" hidden="false" customHeight="true" outlineLevel="0" collapsed="false">
      <c r="A16" s="87"/>
      <c r="B16" s="87"/>
      <c r="C16" s="87"/>
      <c r="D16" s="123"/>
      <c r="E16" s="87"/>
      <c r="F16" s="87"/>
      <c r="G16" s="123"/>
      <c r="H16" s="87"/>
      <c r="I16" s="108" t="str">
        <f aca="false">IF(D16="","",D16+90)</f>
        <v/>
      </c>
      <c r="J16" s="124" t="str">
        <f aca="true">IF(I16="","",I16-TODAY())</f>
        <v/>
      </c>
      <c r="K16" s="8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87"/>
    </row>
    <row r="17" customFormat="false" ht="15" hidden="false" customHeight="true" outlineLevel="0" collapsed="false">
      <c r="A17" s="87"/>
      <c r="B17" s="87"/>
      <c r="C17" s="87"/>
      <c r="D17" s="123"/>
      <c r="E17" s="87"/>
      <c r="F17" s="87"/>
      <c r="G17" s="123"/>
      <c r="H17" s="87"/>
      <c r="I17" s="108" t="str">
        <f aca="false">IF(D17="","",D17+90)</f>
        <v/>
      </c>
      <c r="J17" s="124" t="str">
        <f aca="true">IF(I17="","",I17-TODAY())</f>
        <v/>
      </c>
      <c r="K17" s="8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87"/>
    </row>
    <row r="18" customFormat="false" ht="15" hidden="false" customHeight="true" outlineLevel="0" collapsed="false">
      <c r="A18" s="87"/>
      <c r="B18" s="87"/>
      <c r="C18" s="87"/>
      <c r="D18" s="123"/>
      <c r="E18" s="87"/>
      <c r="F18" s="87"/>
      <c r="G18" s="123"/>
      <c r="H18" s="87"/>
      <c r="I18" s="108" t="str">
        <f aca="false">IF(D18="","",D18+90)</f>
        <v/>
      </c>
      <c r="J18" s="124" t="str">
        <f aca="true">IF(I18="","",I18-TODAY())</f>
        <v/>
      </c>
      <c r="K18" s="8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87"/>
    </row>
    <row r="19" customFormat="false" ht="15" hidden="false" customHeight="true" outlineLevel="0" collapsed="false">
      <c r="A19" s="87"/>
      <c r="B19" s="87"/>
      <c r="C19" s="87"/>
      <c r="D19" s="123"/>
      <c r="E19" s="87"/>
      <c r="F19" s="87"/>
      <c r="G19" s="123"/>
      <c r="H19" s="87"/>
      <c r="I19" s="108" t="str">
        <f aca="false">IF(D19="","",D19+90)</f>
        <v/>
      </c>
      <c r="J19" s="124" t="str">
        <f aca="true">IF(I19="","",I19-TODAY())</f>
        <v/>
      </c>
      <c r="K19" s="8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87"/>
    </row>
    <row r="20" customFormat="false" ht="15" hidden="false" customHeight="true" outlineLevel="0" collapsed="false">
      <c r="A20" s="87"/>
      <c r="B20" s="87"/>
      <c r="C20" s="87"/>
      <c r="D20" s="123"/>
      <c r="E20" s="87"/>
      <c r="F20" s="87"/>
      <c r="G20" s="123"/>
      <c r="H20" s="87"/>
      <c r="I20" s="108" t="str">
        <f aca="false">IF(D20="","",D20+90)</f>
        <v/>
      </c>
      <c r="J20" s="124" t="str">
        <f aca="true">IF(I20="","",I20-TODAY())</f>
        <v/>
      </c>
      <c r="K20" s="8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87"/>
    </row>
    <row r="21" customFormat="false" ht="15" hidden="false" customHeight="true" outlineLevel="0" collapsed="false">
      <c r="A21" s="87"/>
      <c r="B21" s="87"/>
      <c r="C21" s="87"/>
      <c r="D21" s="123"/>
      <c r="E21" s="87"/>
      <c r="F21" s="87"/>
      <c r="G21" s="123"/>
      <c r="H21" s="87"/>
      <c r="I21" s="108" t="str">
        <f aca="false">IF(D21="","",D21+90)</f>
        <v/>
      </c>
      <c r="J21" s="124" t="str">
        <f aca="true">IF(I21="","",I21-TODAY())</f>
        <v/>
      </c>
      <c r="K21" s="8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87"/>
    </row>
    <row r="22" customFormat="false" ht="15" hidden="false" customHeight="true" outlineLevel="0" collapsed="false">
      <c r="A22" s="87"/>
      <c r="B22" s="87"/>
      <c r="C22" s="87"/>
      <c r="D22" s="123"/>
      <c r="E22" s="87"/>
      <c r="F22" s="87"/>
      <c r="G22" s="123"/>
      <c r="H22" s="87"/>
      <c r="I22" s="108" t="str">
        <f aca="false">IF(D22="","",D22+90)</f>
        <v/>
      </c>
      <c r="J22" s="124" t="str">
        <f aca="true">IF(I22="","",I22-TODAY())</f>
        <v/>
      </c>
      <c r="K22" s="8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87"/>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5" t="s">
        <v>467</v>
      </c>
      <c r="B1" s="105"/>
      <c r="C1" s="105"/>
      <c r="D1" s="105"/>
      <c r="E1" s="105"/>
      <c r="F1" s="105"/>
      <c r="G1" s="105"/>
      <c r="H1" s="105"/>
      <c r="I1" s="105"/>
      <c r="J1" s="105"/>
      <c r="K1" s="105"/>
      <c r="L1" s="105"/>
      <c r="M1" s="105"/>
      <c r="N1" s="105"/>
      <c r="O1" s="105"/>
      <c r="P1" s="105"/>
      <c r="Q1" s="105"/>
      <c r="R1" s="105"/>
      <c r="S1" s="105"/>
      <c r="T1" s="105"/>
    </row>
    <row r="2" customFormat="false" ht="15.75" hidden="false" customHeight="true" outlineLevel="0" collapsed="false">
      <c r="D2" s="125" t="s">
        <v>468</v>
      </c>
      <c r="E2" s="125"/>
      <c r="F2" s="125"/>
      <c r="G2" s="125"/>
      <c r="H2" s="125"/>
      <c r="I2" s="126" t="s">
        <v>469</v>
      </c>
      <c r="J2" s="126"/>
      <c r="K2" s="126"/>
      <c r="L2" s="126"/>
      <c r="M2" s="126"/>
      <c r="N2" s="127" t="s">
        <v>470</v>
      </c>
      <c r="O2" s="127"/>
      <c r="P2" s="127"/>
      <c r="Q2" s="127"/>
      <c r="R2" s="127"/>
      <c r="S2" s="128" t="s">
        <v>471</v>
      </c>
      <c r="T2" s="128"/>
      <c r="U2" s="128"/>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29"/>
      <c r="F4" s="38"/>
      <c r="G4" s="39" t="str">
        <f aca="false">IF(OR(C4="",D4="",E4="",F4=""),"",IFERROR(((D4*E4+F4)/C4)^(1/5)-1,"n/a"))</f>
        <v/>
      </c>
      <c r="H4" s="35"/>
      <c r="I4" s="38"/>
      <c r="J4" s="129"/>
      <c r="K4" s="38"/>
      <c r="L4" s="39" t="str">
        <f aca="false">IF(OR(C4="",I4="",J4="",K4=""),"",IFERROR(((I4*J4+K4)/C4)^(1/5)-1,"n/a"))</f>
        <v/>
      </c>
      <c r="M4" s="35"/>
      <c r="N4" s="38"/>
      <c r="O4" s="129"/>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29"/>
      <c r="F5" s="38"/>
      <c r="G5" s="39" t="str">
        <f aca="false">IF(OR(C5="",D5="",E5="",F5=""),"",IFERROR(((D5*E5+F5)/C5)^(1/5)-1,"n/a"))</f>
        <v/>
      </c>
      <c r="H5" s="35"/>
      <c r="I5" s="38"/>
      <c r="J5" s="129"/>
      <c r="K5" s="38"/>
      <c r="L5" s="39" t="str">
        <f aca="false">IF(OR(C5="",I5="",J5="",K5=""),"",IFERROR(((I5*J5+K5)/C5)^(1/5)-1,"n/a"))</f>
        <v/>
      </c>
      <c r="M5" s="35"/>
      <c r="N5" s="38"/>
      <c r="O5" s="129"/>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29"/>
      <c r="F6" s="38"/>
      <c r="G6" s="39" t="str">
        <f aca="false">IF(OR(C6="",D6="",E6="",F6=""),"",IFERROR(((D6*E6+F6)/C6)^(1/5)-1,"n/a"))</f>
        <v/>
      </c>
      <c r="H6" s="35"/>
      <c r="I6" s="38"/>
      <c r="J6" s="129"/>
      <c r="K6" s="38"/>
      <c r="L6" s="39" t="str">
        <f aca="false">IF(OR(C6="",I6="",J6="",K6=""),"",IFERROR(((I6*J6+K6)/C6)^(1/5)-1,"n/a"))</f>
        <v/>
      </c>
      <c r="M6" s="35"/>
      <c r="N6" s="38"/>
      <c r="O6" s="129"/>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29"/>
      <c r="F7" s="38"/>
      <c r="G7" s="39" t="str">
        <f aca="false">IF(OR(C7="",D7="",E7="",F7=""),"",IFERROR(((D7*E7+F7)/C7)^(1/5)-1,"n/a"))</f>
        <v/>
      </c>
      <c r="H7" s="35"/>
      <c r="I7" s="38"/>
      <c r="J7" s="129"/>
      <c r="K7" s="38"/>
      <c r="L7" s="39" t="str">
        <f aca="false">IF(OR(C7="",I7="",J7="",K7=""),"",IFERROR(((I7*J7+K7)/C7)^(1/5)-1,"n/a"))</f>
        <v/>
      </c>
      <c r="M7" s="35"/>
      <c r="N7" s="38"/>
      <c r="O7" s="129"/>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29"/>
      <c r="F8" s="38"/>
      <c r="G8" s="39" t="str">
        <f aca="false">IF(OR(C8="",D8="",E8="",F8=""),"",IFERROR(((D8*E8+F8)/C8)^(1/5)-1,"n/a"))</f>
        <v/>
      </c>
      <c r="H8" s="35"/>
      <c r="I8" s="38"/>
      <c r="J8" s="129"/>
      <c r="K8" s="38"/>
      <c r="L8" s="39" t="str">
        <f aca="false">IF(OR(C8="",I8="",J8="",K8=""),"",IFERROR(((I8*J8+K8)/C8)^(1/5)-1,"n/a"))</f>
        <v/>
      </c>
      <c r="M8" s="35"/>
      <c r="N8" s="38"/>
      <c r="O8" s="129"/>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29"/>
      <c r="F9" s="38"/>
      <c r="G9" s="39" t="str">
        <f aca="false">IF(OR(C9="",D9="",E9="",F9=""),"",IFERROR(((D9*E9+F9)/C9)^(1/5)-1,"n/a"))</f>
        <v/>
      </c>
      <c r="H9" s="35"/>
      <c r="I9" s="38"/>
      <c r="J9" s="129"/>
      <c r="K9" s="38"/>
      <c r="L9" s="39" t="str">
        <f aca="false">IF(OR(C9="",I9="",J9="",K9=""),"",IFERROR(((I9*J9+K9)/C9)^(1/5)-1,"n/a"))</f>
        <v/>
      </c>
      <c r="M9" s="35"/>
      <c r="N9" s="38"/>
      <c r="O9" s="129"/>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29"/>
      <c r="F10" s="38"/>
      <c r="G10" s="39" t="str">
        <f aca="false">IF(OR(C10="",D10="",E10="",F10=""),"",IFERROR(((D10*E10+F10)/C10)^(1/5)-1,"n/a"))</f>
        <v/>
      </c>
      <c r="H10" s="35"/>
      <c r="I10" s="38"/>
      <c r="J10" s="129"/>
      <c r="K10" s="38"/>
      <c r="L10" s="39" t="str">
        <f aca="false">IF(OR(C10="",I10="",J10="",K10=""),"",IFERROR(((I10*J10+K10)/C10)^(1/5)-1,"n/a"))</f>
        <v/>
      </c>
      <c r="M10" s="35"/>
      <c r="N10" s="38"/>
      <c r="O10" s="129"/>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29"/>
      <c r="F11" s="38"/>
      <c r="G11" s="39" t="str">
        <f aca="false">IF(OR(C11="",D11="",E11="",F11=""),"",IFERROR(((D11*E11+F11)/C11)^(1/5)-1,"n/a"))</f>
        <v/>
      </c>
      <c r="H11" s="35"/>
      <c r="I11" s="38"/>
      <c r="J11" s="129"/>
      <c r="K11" s="38"/>
      <c r="L11" s="39" t="str">
        <f aca="false">IF(OR(C11="",I11="",J11="",K11=""),"",IFERROR(((I11*J11+K11)/C11)^(1/5)-1,"n/a"))</f>
        <v/>
      </c>
      <c r="M11" s="35"/>
      <c r="N11" s="38"/>
      <c r="O11" s="129"/>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29"/>
      <c r="F12" s="38"/>
      <c r="G12" s="39" t="str">
        <f aca="false">IF(OR(C12="",D12="",E12="",F12=""),"",IFERROR(((D12*E12+F12)/C12)^(1/5)-1,"n/a"))</f>
        <v/>
      </c>
      <c r="H12" s="35"/>
      <c r="I12" s="38"/>
      <c r="J12" s="129"/>
      <c r="K12" s="38"/>
      <c r="L12" s="39" t="str">
        <f aca="false">IF(OR(C12="",I12="",J12="",K12=""),"",IFERROR(((I12*J12+K12)/C12)^(1/5)-1,"n/a"))</f>
        <v/>
      </c>
      <c r="M12" s="35"/>
      <c r="N12" s="38"/>
      <c r="O12" s="129"/>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29"/>
      <c r="F13" s="38"/>
      <c r="G13" s="39" t="str">
        <f aca="false">IF(OR(C13="",D13="",E13="",F13=""),"",IFERROR(((D13*E13+F13)/C13)^(1/5)-1,"n/a"))</f>
        <v/>
      </c>
      <c r="H13" s="35"/>
      <c r="I13" s="38"/>
      <c r="J13" s="129"/>
      <c r="K13" s="38"/>
      <c r="L13" s="39" t="str">
        <f aca="false">IF(OR(C13="",I13="",J13="",K13=""),"",IFERROR(((I13*J13+K13)/C13)^(1/5)-1,"n/a"))</f>
        <v/>
      </c>
      <c r="M13" s="35"/>
      <c r="N13" s="38"/>
      <c r="O13" s="129"/>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29"/>
      <c r="F14" s="38"/>
      <c r="G14" s="39" t="str">
        <f aca="false">IF(OR(C14="",D14="",E14="",F14=""),"",IFERROR(((D14*E14+F14)/C14)^(1/5)-1,"n/a"))</f>
        <v/>
      </c>
      <c r="H14" s="35"/>
      <c r="I14" s="38"/>
      <c r="J14" s="129"/>
      <c r="K14" s="38"/>
      <c r="L14" s="39" t="str">
        <f aca="false">IF(OR(C14="",I14="",J14="",K14=""),"",IFERROR(((I14*J14+K14)/C14)^(1/5)-1,"n/a"))</f>
        <v/>
      </c>
      <c r="M14" s="35"/>
      <c r="N14" s="38"/>
      <c r="O14" s="129"/>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29"/>
      <c r="F15" s="38"/>
      <c r="G15" s="39" t="str">
        <f aca="false">IF(OR(C15="",D15="",E15="",F15=""),"",IFERROR(((D15*E15+F15)/C15)^(1/5)-1,"n/a"))</f>
        <v/>
      </c>
      <c r="H15" s="35"/>
      <c r="I15" s="38"/>
      <c r="J15" s="129"/>
      <c r="K15" s="38"/>
      <c r="L15" s="39" t="str">
        <f aca="false">IF(OR(C15="",I15="",J15="",K15=""),"",IFERROR(((I15*J15+K15)/C15)^(1/5)-1,"n/a"))</f>
        <v/>
      </c>
      <c r="M15" s="35"/>
      <c r="N15" s="38"/>
      <c r="O15" s="129"/>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29"/>
      <c r="F16" s="38"/>
      <c r="G16" s="39" t="str">
        <f aca="false">IF(OR(C16="",D16="",E16="",F16=""),"",IFERROR(((D16*E16+F16)/C16)^(1/5)-1,"n/a"))</f>
        <v/>
      </c>
      <c r="H16" s="35"/>
      <c r="I16" s="38"/>
      <c r="J16" s="129"/>
      <c r="K16" s="38"/>
      <c r="L16" s="39" t="str">
        <f aca="false">IF(OR(C16="",I16="",J16="",K16=""),"",IFERROR(((I16*J16+K16)/C16)^(1/5)-1,"n/a"))</f>
        <v/>
      </c>
      <c r="M16" s="35"/>
      <c r="N16" s="38"/>
      <c r="O16" s="129"/>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29"/>
      <c r="F17" s="38"/>
      <c r="G17" s="39" t="str">
        <f aca="false">IF(OR(C17="",D17="",E17="",F17=""),"",IFERROR(((D17*E17+F17)/C17)^(1/5)-1,"n/a"))</f>
        <v/>
      </c>
      <c r="H17" s="35"/>
      <c r="I17" s="38"/>
      <c r="J17" s="129"/>
      <c r="K17" s="38"/>
      <c r="L17" s="39" t="str">
        <f aca="false">IF(OR(C17="",I17="",J17="",K17=""),"",IFERROR(((I17*J17+K17)/C17)^(1/5)-1,"n/a"))</f>
        <v/>
      </c>
      <c r="M17" s="35"/>
      <c r="N17" s="38"/>
      <c r="O17" s="129"/>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29"/>
      <c r="F18" s="38"/>
      <c r="G18" s="39" t="str">
        <f aca="false">IF(OR(C18="",D18="",E18="",F18=""),"",IFERROR(((D18*E18+F18)/C18)^(1/5)-1,"n/a"))</f>
        <v/>
      </c>
      <c r="H18" s="35"/>
      <c r="I18" s="38"/>
      <c r="J18" s="129"/>
      <c r="K18" s="38"/>
      <c r="L18" s="39" t="str">
        <f aca="false">IF(OR(C18="",I18="",J18="",K18=""),"",IFERROR(((I18*J18+K18)/C18)^(1/5)-1,"n/a"))</f>
        <v/>
      </c>
      <c r="M18" s="35"/>
      <c r="N18" s="38"/>
      <c r="O18" s="129"/>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29"/>
      <c r="F19" s="38"/>
      <c r="G19" s="39" t="str">
        <f aca="false">IF(OR(C19="",D19="",E19="",F19=""),"",IFERROR(((D19*E19+F19)/C19)^(1/5)-1,"n/a"))</f>
        <v/>
      </c>
      <c r="H19" s="35"/>
      <c r="I19" s="38"/>
      <c r="J19" s="129"/>
      <c r="K19" s="38"/>
      <c r="L19" s="39" t="str">
        <f aca="false">IF(OR(C19="",I19="",J19="",K19=""),"",IFERROR(((I19*J19+K19)/C19)^(1/5)-1,"n/a"))</f>
        <v/>
      </c>
      <c r="M19" s="35"/>
      <c r="N19" s="38"/>
      <c r="O19" s="129"/>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29" t="n">
        <v>61.48</v>
      </c>
      <c r="F20" s="38" t="n">
        <v>32</v>
      </c>
      <c r="G20" s="39" t="n">
        <f aca="false">IF(OR(C20="",D20="",E20="",F20=""),"",IFERROR(((D20*E20+F20)/C20)^(1/5)-1,"n/a"))</f>
        <v>0.0847777537329333</v>
      </c>
      <c r="H20" s="35" t="s">
        <v>482</v>
      </c>
      <c r="I20" s="38" t="n">
        <v>19.14</v>
      </c>
      <c r="J20" s="129" t="n">
        <v>50</v>
      </c>
      <c r="K20" s="38" t="n">
        <v>28</v>
      </c>
      <c r="L20" s="39" t="n">
        <f aca="false">IF(OR(C20="",I20="",J20="",K20=""),"",IFERROR(((I20*J20+K20)/C20)^(1/5)-1,"n/a"))</f>
        <v>0.00366015400817998</v>
      </c>
      <c r="M20" s="35" t="s">
        <v>482</v>
      </c>
      <c r="N20" s="38" t="n">
        <v>26.51</v>
      </c>
      <c r="O20" s="129"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29" t="n">
        <v>34.36</v>
      </c>
      <c r="F21" s="38" t="n">
        <v>16</v>
      </c>
      <c r="G21" s="39" t="n">
        <f aca="false">IF(OR(C21="",D21="",E21="",F21=""),"",IFERROR(((D21*E21+F21)/C21)^(1/5)-1,"n/a"))</f>
        <v>0.105673995986338</v>
      </c>
      <c r="H21" s="35" t="s">
        <v>483</v>
      </c>
      <c r="I21" s="38" t="n">
        <v>14.14</v>
      </c>
      <c r="J21" s="129" t="n">
        <v>28</v>
      </c>
      <c r="K21" s="38" t="n">
        <v>14</v>
      </c>
      <c r="L21" s="39" t="n">
        <f aca="false">IF(OR(C21="",I21="",J21="",K21=""),"",IFERROR(((I21*J21+K21)/C21)^(1/5)-1,"n/a"))</f>
        <v>0.0149373117952127</v>
      </c>
      <c r="M21" s="35" t="s">
        <v>482</v>
      </c>
      <c r="N21" s="38" t="n">
        <v>21.33</v>
      </c>
      <c r="O21" s="129"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29"/>
      <c r="F22" s="38"/>
      <c r="G22" s="39" t="str">
        <f aca="false">IF(OR(C22="",D22="",E22="",F22=""),"",IFERROR(((D22*E22+F22)/C22)^(1/5)-1,"n/a"))</f>
        <v/>
      </c>
      <c r="H22" s="35"/>
      <c r="I22" s="38"/>
      <c r="J22" s="129"/>
      <c r="K22" s="38"/>
      <c r="L22" s="39" t="str">
        <f aca="false">IF(OR(C22="",I22="",J22="",K22=""),"",IFERROR(((I22*J22+K22)/C22)^(1/5)-1,"n/a"))</f>
        <v/>
      </c>
      <c r="M22" s="35"/>
      <c r="N22" s="38"/>
      <c r="O22" s="129"/>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29"/>
      <c r="F23" s="38"/>
      <c r="G23" s="39" t="str">
        <f aca="false">IF(OR(C23="",D23="",E23="",F23=""),"",IFERROR(((D23*E23+F23)/C23)^(1/5)-1,"n/a"))</f>
        <v/>
      </c>
      <c r="H23" s="35"/>
      <c r="I23" s="38"/>
      <c r="J23" s="129"/>
      <c r="K23" s="38"/>
      <c r="L23" s="39" t="str">
        <f aca="false">IF(OR(C23="",I23="",J23="",K23=""),"",IFERROR(((I23*J23+K23)/C23)^(1/5)-1,"n/a"))</f>
        <v/>
      </c>
      <c r="M23" s="35"/>
      <c r="N23" s="38"/>
      <c r="O23" s="129"/>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0"/>
      <c r="B24" s="130"/>
      <c r="C24" s="131"/>
      <c r="D24" s="131"/>
      <c r="E24" s="132"/>
      <c r="F24" s="131"/>
      <c r="G24" s="133" t="str">
        <f aca="false">IF(OR(C24="",D24="",E24="",F24=""),"",IFERROR(((D24*E24+F24)/C24)^(1/5)-1,"n/a"))</f>
        <v/>
      </c>
      <c r="H24" s="130"/>
      <c r="I24" s="131"/>
      <c r="J24" s="132"/>
      <c r="K24" s="131"/>
      <c r="L24" s="133" t="str">
        <f aca="false">IF(OR(C24="",I24="",J24="",K24=""),"",IFERROR(((I24*J24+K24)/C24)^(1/5)-1,"n/a"))</f>
        <v/>
      </c>
      <c r="M24" s="130"/>
      <c r="N24" s="131"/>
      <c r="O24" s="132"/>
      <c r="P24" s="131"/>
      <c r="Q24" s="133" t="str">
        <f aca="false">IF(OR(C24="",N24="",O24="",P24=""),"",IFERROR(((N24*O24+P24)/C24)^(1/5)-1,"n/a"))</f>
        <v/>
      </c>
      <c r="R24" s="130"/>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0"/>
      <c r="B25" s="130"/>
      <c r="C25" s="131"/>
      <c r="D25" s="131"/>
      <c r="E25" s="132"/>
      <c r="F25" s="131"/>
      <c r="G25" s="133" t="str">
        <f aca="false">IF(OR(C25="",D25="",E25="",F25=""),"",IFERROR(((D25*E25+F25)/C25)^(1/5)-1,"n/a"))</f>
        <v/>
      </c>
      <c r="H25" s="130"/>
      <c r="I25" s="131"/>
      <c r="J25" s="132"/>
      <c r="K25" s="131"/>
      <c r="L25" s="133" t="str">
        <f aca="false">IF(OR(C25="",I25="",J25="",K25=""),"",IFERROR(((I25*J25+K25)/C25)^(1/5)-1,"n/a"))</f>
        <v/>
      </c>
      <c r="M25" s="130"/>
      <c r="N25" s="131"/>
      <c r="O25" s="132"/>
      <c r="P25" s="131"/>
      <c r="Q25" s="133" t="str">
        <f aca="false">IF(OR(C25="",N25="",O25="",P25=""),"",IFERROR(((N25*O25+P25)/C25)^(1/5)-1,"n/a"))</f>
        <v/>
      </c>
      <c r="R25" s="130"/>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0"/>
      <c r="B26" s="130"/>
      <c r="C26" s="131"/>
      <c r="D26" s="131"/>
      <c r="E26" s="132"/>
      <c r="F26" s="131"/>
      <c r="G26" s="133" t="str">
        <f aca="false">IF(OR(C26="",D26="",E26="",F26=""),"",IFERROR(((D26*E26+F26)/C26)^(1/5)-1,"n/a"))</f>
        <v/>
      </c>
      <c r="H26" s="130"/>
      <c r="I26" s="131"/>
      <c r="J26" s="132"/>
      <c r="K26" s="131"/>
      <c r="L26" s="133" t="str">
        <f aca="false">IF(OR(C26="",I26="",J26="",K26=""),"",IFERROR(((I26*J26+K26)/C26)^(1/5)-1,"n/a"))</f>
        <v/>
      </c>
      <c r="M26" s="130"/>
      <c r="N26" s="131"/>
      <c r="O26" s="132"/>
      <c r="P26" s="131"/>
      <c r="Q26" s="133" t="str">
        <f aca="false">IF(OR(C26="",N26="",O26="",P26=""),"",IFERROR(((N26*O26+P26)/C26)^(1/5)-1,"n/a"))</f>
        <v/>
      </c>
      <c r="R26" s="130"/>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0"/>
      <c r="B27" s="130"/>
      <c r="C27" s="131"/>
      <c r="D27" s="131"/>
      <c r="E27" s="132"/>
      <c r="F27" s="131"/>
      <c r="G27" s="133" t="str">
        <f aca="false">IF(OR(C27="",D27="",E27="",F27=""),"",IFERROR(((D27*E27+F27)/C27)^(1/5)-1,"n/a"))</f>
        <v/>
      </c>
      <c r="H27" s="130"/>
      <c r="I27" s="131"/>
      <c r="J27" s="132"/>
      <c r="K27" s="131"/>
      <c r="L27" s="133" t="str">
        <f aca="false">IF(OR(C27="",I27="",J27="",K27=""),"",IFERROR(((I27*J27+K27)/C27)^(1/5)-1,"n/a"))</f>
        <v/>
      </c>
      <c r="M27" s="130"/>
      <c r="N27" s="131"/>
      <c r="O27" s="132"/>
      <c r="P27" s="131"/>
      <c r="Q27" s="133" t="str">
        <f aca="false">IF(OR(C27="",N27="",O27="",P27=""),"",IFERROR(((N27*O27+P27)/C27)^(1/5)-1,"n/a"))</f>
        <v/>
      </c>
      <c r="R27" s="130"/>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0"/>
      <c r="B28" s="130"/>
      <c r="C28" s="131"/>
      <c r="D28" s="131"/>
      <c r="E28" s="132"/>
      <c r="F28" s="131"/>
      <c r="G28" s="133" t="str">
        <f aca="false">IF(OR(C28="",D28="",E28="",F28=""),"",IFERROR(((D28*E28+F28)/C28)^(1/5)-1,"n/a"))</f>
        <v/>
      </c>
      <c r="H28" s="130"/>
      <c r="I28" s="131"/>
      <c r="J28" s="132"/>
      <c r="K28" s="131"/>
      <c r="L28" s="133" t="str">
        <f aca="false">IF(OR(C28="",I28="",J28="",K28=""),"",IFERROR(((I28*J28+K28)/C28)^(1/5)-1,"n/a"))</f>
        <v/>
      </c>
      <c r="M28" s="130"/>
      <c r="N28" s="131"/>
      <c r="O28" s="132"/>
      <c r="P28" s="131"/>
      <c r="Q28" s="133" t="str">
        <f aca="false">IF(OR(C28="",N28="",O28="",P28=""),"",IFERROR(((N28*O28+P28)/C28)^(1/5)-1,"n/a"))</f>
        <v/>
      </c>
      <c r="R28" s="130"/>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0"/>
      <c r="B29" s="130"/>
      <c r="C29" s="131"/>
      <c r="D29" s="131"/>
      <c r="E29" s="132"/>
      <c r="F29" s="131"/>
      <c r="G29" s="133" t="str">
        <f aca="false">IF(OR(C29="",D29="",E29="",F29=""),"",IFERROR(((D29*E29+F29)/C29)^(1/5)-1,"n/a"))</f>
        <v/>
      </c>
      <c r="H29" s="130"/>
      <c r="I29" s="131"/>
      <c r="J29" s="132"/>
      <c r="K29" s="131"/>
      <c r="L29" s="133" t="str">
        <f aca="false">IF(OR(C29="",I29="",J29="",K29=""),"",IFERROR(((I29*J29+K29)/C29)^(1/5)-1,"n/a"))</f>
        <v/>
      </c>
      <c r="M29" s="130"/>
      <c r="N29" s="131"/>
      <c r="O29" s="132"/>
      <c r="P29" s="131"/>
      <c r="Q29" s="133" t="str">
        <f aca="false">IF(OR(C29="",N29="",O29="",P29=""),"",IFERROR(((N29*O29+P29)/C29)^(1/5)-1,"n/a"))</f>
        <v/>
      </c>
      <c r="R29" s="130"/>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0"/>
      <c r="B30" s="130"/>
      <c r="C30" s="131"/>
      <c r="D30" s="131"/>
      <c r="E30" s="132"/>
      <c r="F30" s="131"/>
      <c r="G30" s="133" t="str">
        <f aca="false">IF(OR(C30="",D30="",E30="",F30=""),"",IFERROR(((D30*E30+F30)/C30)^(1/5)-1,"n/a"))</f>
        <v/>
      </c>
      <c r="H30" s="130"/>
      <c r="I30" s="131"/>
      <c r="J30" s="132"/>
      <c r="K30" s="131"/>
      <c r="L30" s="133" t="str">
        <f aca="false">IF(OR(C30="",I30="",J30="",K30=""),"",IFERROR(((I30*J30+K30)/C30)^(1/5)-1,"n/a"))</f>
        <v/>
      </c>
      <c r="M30" s="130"/>
      <c r="N30" s="131"/>
      <c r="O30" s="132"/>
      <c r="P30" s="131"/>
      <c r="Q30" s="133" t="str">
        <f aca="false">IF(OR(C30="",N30="",O30="",P30=""),"",IFERROR(((N30*O30+P30)/C30)^(1/5)-1,"n/a"))</f>
        <v/>
      </c>
      <c r="R30" s="130"/>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0"/>
      <c r="B31" s="130"/>
      <c r="C31" s="131"/>
      <c r="D31" s="131"/>
      <c r="E31" s="132"/>
      <c r="F31" s="131"/>
      <c r="G31" s="133" t="str">
        <f aca="false">IF(OR(C31="",D31="",E31="",F31=""),"",IFERROR(((D31*E31+F31)/C31)^(1/5)-1,"n/a"))</f>
        <v/>
      </c>
      <c r="H31" s="130"/>
      <c r="I31" s="131"/>
      <c r="J31" s="132"/>
      <c r="K31" s="131"/>
      <c r="L31" s="133" t="str">
        <f aca="false">IF(OR(C31="",I31="",J31="",K31=""),"",IFERROR(((I31*J31+K31)/C31)^(1/5)-1,"n/a"))</f>
        <v/>
      </c>
      <c r="M31" s="130"/>
      <c r="N31" s="131"/>
      <c r="O31" s="132"/>
      <c r="P31" s="131"/>
      <c r="Q31" s="133" t="str">
        <f aca="false">IF(OR(C31="",N31="",O31="",P31=""),"",IFERROR(((N31*O31+P31)/C31)^(1/5)-1,"n/a"))</f>
        <v/>
      </c>
      <c r="R31" s="130"/>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0"/>
      <c r="B32" s="130"/>
      <c r="C32" s="131"/>
      <c r="D32" s="131"/>
      <c r="E32" s="132"/>
      <c r="F32" s="131"/>
      <c r="G32" s="133" t="str">
        <f aca="false">IF(OR(C32="",D32="",E32="",F32=""),"",IFERROR(((D32*E32+F32)/C32)^(1/5)-1,"n/a"))</f>
        <v/>
      </c>
      <c r="H32" s="130"/>
      <c r="I32" s="131"/>
      <c r="J32" s="132"/>
      <c r="K32" s="131"/>
      <c r="L32" s="133" t="str">
        <f aca="false">IF(OR(C32="",I32="",J32="",K32=""),"",IFERROR(((I32*J32+K32)/C32)^(1/5)-1,"n/a"))</f>
        <v/>
      </c>
      <c r="M32" s="130"/>
      <c r="N32" s="131"/>
      <c r="O32" s="132"/>
      <c r="P32" s="131"/>
      <c r="Q32" s="133" t="str">
        <f aca="false">IF(OR(C32="",N32="",O32="",P32=""),"",IFERROR(((N32*O32+P32)/C32)^(1/5)-1,"n/a"))</f>
        <v/>
      </c>
      <c r="R32" s="130"/>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0"/>
      <c r="B33" s="130"/>
      <c r="C33" s="131"/>
      <c r="D33" s="131"/>
      <c r="E33" s="132"/>
      <c r="F33" s="131"/>
      <c r="G33" s="133" t="str">
        <f aca="false">IF(OR(C33="",D33="",E33="",F33=""),"",IFERROR(((D33*E33+F33)/C33)^(1/5)-1,"n/a"))</f>
        <v/>
      </c>
      <c r="H33" s="130"/>
      <c r="I33" s="131"/>
      <c r="J33" s="132"/>
      <c r="K33" s="131"/>
      <c r="L33" s="133" t="str">
        <f aca="false">IF(OR(C33="",I33="",J33="",K33=""),"",IFERROR(((I33*J33+K33)/C33)^(1/5)-1,"n/a"))</f>
        <v/>
      </c>
      <c r="M33" s="130"/>
      <c r="N33" s="131"/>
      <c r="O33" s="132"/>
      <c r="P33" s="131"/>
      <c r="Q33" s="133" t="str">
        <f aca="false">IF(OR(C33="",N33="",O33="",P33=""),"",IFERROR(((N33*O33+P33)/C33)^(1/5)-1,"n/a"))</f>
        <v/>
      </c>
      <c r="R33" s="130"/>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0"/>
      <c r="B34" s="130"/>
      <c r="C34" s="131"/>
      <c r="D34" s="131"/>
      <c r="E34" s="132"/>
      <c r="F34" s="131"/>
      <c r="G34" s="133" t="str">
        <f aca="false">IF(OR(C34="",D34="",E34="",F34=""),"",IFERROR(((D34*E34+F34)/C34)^(1/5)-1,"n/a"))</f>
        <v/>
      </c>
      <c r="H34" s="130"/>
      <c r="I34" s="131"/>
      <c r="J34" s="132"/>
      <c r="K34" s="131"/>
      <c r="L34" s="133" t="str">
        <f aca="false">IF(OR(C34="",I34="",J34="",K34=""),"",IFERROR(((I34*J34+K34)/C34)^(1/5)-1,"n/a"))</f>
        <v/>
      </c>
      <c r="M34" s="130"/>
      <c r="N34" s="131"/>
      <c r="O34" s="132"/>
      <c r="P34" s="131"/>
      <c r="Q34" s="133" t="str">
        <f aca="false">IF(OR(C34="",N34="",O34="",P34=""),"",IFERROR(((N34*O34+P34)/C34)^(1/5)-1,"n/a"))</f>
        <v/>
      </c>
      <c r="R34" s="130"/>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0"/>
      <c r="B35" s="130"/>
      <c r="C35" s="131"/>
      <c r="D35" s="131"/>
      <c r="E35" s="132"/>
      <c r="F35" s="131"/>
      <c r="G35" s="133" t="str">
        <f aca="false">IF(OR(C35="",D35="",E35="",F35=""),"",IFERROR(((D35*E35+F35)/C35)^(1/5)-1,"n/a"))</f>
        <v/>
      </c>
      <c r="H35" s="130"/>
      <c r="I35" s="131"/>
      <c r="J35" s="132"/>
      <c r="K35" s="131"/>
      <c r="L35" s="133" t="str">
        <f aca="false">IF(OR(C35="",I35="",J35="",K35=""),"",IFERROR(((I35*J35+K35)/C35)^(1/5)-1,"n/a"))</f>
        <v/>
      </c>
      <c r="M35" s="130"/>
      <c r="N35" s="131"/>
      <c r="O35" s="132"/>
      <c r="P35" s="131"/>
      <c r="Q35" s="133" t="str">
        <f aca="false">IF(OR(C35="",N35="",O35="",P35=""),"",IFERROR(((N35*O35+P35)/C35)^(1/5)-1,"n/a"))</f>
        <v/>
      </c>
      <c r="R35" s="130"/>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0"/>
      <c r="B36" s="130"/>
      <c r="C36" s="131"/>
      <c r="D36" s="131"/>
      <c r="E36" s="132"/>
      <c r="F36" s="131"/>
      <c r="G36" s="133" t="str">
        <f aca="false">IF(OR(C36="",D36="",E36="",F36=""),"",IFERROR(((D36*E36+F36)/C36)^(1/5)-1,"n/a"))</f>
        <v/>
      </c>
      <c r="H36" s="130"/>
      <c r="I36" s="131"/>
      <c r="J36" s="132"/>
      <c r="K36" s="131"/>
      <c r="L36" s="133" t="str">
        <f aca="false">IF(OR(C36="",I36="",J36="",K36=""),"",IFERROR(((I36*J36+K36)/C36)^(1/5)-1,"n/a"))</f>
        <v/>
      </c>
      <c r="M36" s="130"/>
      <c r="N36" s="131"/>
      <c r="O36" s="132"/>
      <c r="P36" s="131"/>
      <c r="Q36" s="133" t="str">
        <f aca="false">IF(OR(C36="",N36="",O36="",P36=""),"",IFERROR(((N36*O36+P36)/C36)^(1/5)-1,"n/a"))</f>
        <v/>
      </c>
      <c r="R36" s="130"/>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0"/>
      <c r="B37" s="130"/>
      <c r="C37" s="131"/>
      <c r="D37" s="131"/>
      <c r="E37" s="132"/>
      <c r="F37" s="131"/>
      <c r="G37" s="133" t="str">
        <f aca="false">IF(OR(C37="",D37="",E37="",F37=""),"",IFERROR(((D37*E37+F37)/C37)^(1/5)-1,"n/a"))</f>
        <v/>
      </c>
      <c r="H37" s="130"/>
      <c r="I37" s="131"/>
      <c r="J37" s="132"/>
      <c r="K37" s="131"/>
      <c r="L37" s="133" t="str">
        <f aca="false">IF(OR(C37="",I37="",J37="",K37=""),"",IFERROR(((I37*J37+K37)/C37)^(1/5)-1,"n/a"))</f>
        <v/>
      </c>
      <c r="M37" s="130"/>
      <c r="N37" s="131"/>
      <c r="O37" s="132"/>
      <c r="P37" s="131"/>
      <c r="Q37" s="133" t="str">
        <f aca="false">IF(OR(C37="",N37="",O37="",P37=""),"",IFERROR(((N37*O37+P37)/C37)^(1/5)-1,"n/a"))</f>
        <v/>
      </c>
      <c r="R37" s="130"/>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0"/>
      <c r="B38" s="130"/>
      <c r="C38" s="131"/>
      <c r="D38" s="131"/>
      <c r="E38" s="132"/>
      <c r="F38" s="131"/>
      <c r="G38" s="133" t="str">
        <f aca="false">IF(OR(C38="",D38="",E38="",F38=""),"",IFERROR(((D38*E38+F38)/C38)^(1/5)-1,"n/a"))</f>
        <v/>
      </c>
      <c r="H38" s="130"/>
      <c r="I38" s="131"/>
      <c r="J38" s="132"/>
      <c r="K38" s="131"/>
      <c r="L38" s="133" t="str">
        <f aca="false">IF(OR(C38="",I38="",J38="",K38=""),"",IFERROR(((I38*J38+K38)/C38)^(1/5)-1,"n/a"))</f>
        <v/>
      </c>
      <c r="M38" s="130"/>
      <c r="N38" s="131"/>
      <c r="O38" s="132"/>
      <c r="P38" s="131"/>
      <c r="Q38" s="133" t="str">
        <f aca="false">IF(OR(C38="",N38="",O38="",P38=""),"",IFERROR(((N38*O38+P38)/C38)^(1/5)-1,"n/a"))</f>
        <v/>
      </c>
      <c r="R38" s="130"/>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0"/>
      <c r="B39" s="130"/>
      <c r="C39" s="131"/>
      <c r="D39" s="131"/>
      <c r="E39" s="132"/>
      <c r="F39" s="131"/>
      <c r="G39" s="133" t="str">
        <f aca="false">IF(OR(C39="",D39="",E39="",F39=""),"",IFERROR(((D39*E39+F39)/C39)^(1/5)-1,"n/a"))</f>
        <v/>
      </c>
      <c r="H39" s="130"/>
      <c r="I39" s="131"/>
      <c r="J39" s="132"/>
      <c r="K39" s="131"/>
      <c r="L39" s="133" t="str">
        <f aca="false">IF(OR(C39="",I39="",J39="",K39=""),"",IFERROR(((I39*J39+K39)/C39)^(1/5)-1,"n/a"))</f>
        <v/>
      </c>
      <c r="M39" s="130"/>
      <c r="N39" s="131"/>
      <c r="O39" s="132"/>
      <c r="P39" s="131"/>
      <c r="Q39" s="133" t="str">
        <f aca="false">IF(OR(C39="",N39="",O39="",P39=""),"",IFERROR(((N39*O39+P39)/C39)^(1/5)-1,"n/a"))</f>
        <v/>
      </c>
      <c r="R39" s="130"/>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0"/>
      <c r="B40" s="130"/>
      <c r="C40" s="131"/>
      <c r="D40" s="131"/>
      <c r="E40" s="132"/>
      <c r="F40" s="131"/>
      <c r="G40" s="133" t="str">
        <f aca="false">IF(OR(C40="",D40="",E40="",F40=""),"",IFERROR(((D40*E40+F40)/C40)^(1/5)-1,"n/a"))</f>
        <v/>
      </c>
      <c r="H40" s="130"/>
      <c r="I40" s="131"/>
      <c r="J40" s="132"/>
      <c r="K40" s="131"/>
      <c r="L40" s="133" t="str">
        <f aca="false">IF(OR(C40="",I40="",J40="",K40=""),"",IFERROR(((I40*J40+K40)/C40)^(1/5)-1,"n/a"))</f>
        <v/>
      </c>
      <c r="M40" s="130"/>
      <c r="N40" s="131"/>
      <c r="O40" s="132"/>
      <c r="P40" s="131"/>
      <c r="Q40" s="133" t="str">
        <f aca="false">IF(OR(C40="",N40="",O40="",P40=""),"",IFERROR(((N40*O40+P40)/C40)^(1/5)-1,"n/a"))</f>
        <v/>
      </c>
      <c r="R40" s="130"/>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0"/>
      <c r="B41" s="130"/>
      <c r="C41" s="131"/>
      <c r="D41" s="131"/>
      <c r="E41" s="132"/>
      <c r="F41" s="131"/>
      <c r="G41" s="133" t="str">
        <f aca="false">IF(OR(C41="",D41="",E41="",F41=""),"",IFERROR(((D41*E41+F41)/C41)^(1/5)-1,"n/a"))</f>
        <v/>
      </c>
      <c r="H41" s="130"/>
      <c r="I41" s="131"/>
      <c r="J41" s="132"/>
      <c r="K41" s="131"/>
      <c r="L41" s="133" t="str">
        <f aca="false">IF(OR(C41="",I41="",J41="",K41=""),"",IFERROR(((I41*J41+K41)/C41)^(1/5)-1,"n/a"))</f>
        <v/>
      </c>
      <c r="M41" s="130"/>
      <c r="N41" s="131"/>
      <c r="O41" s="132"/>
      <c r="P41" s="131"/>
      <c r="Q41" s="133" t="str">
        <f aca="false">IF(OR(C41="",N41="",O41="",P41=""),"",IFERROR(((N41*O41+P41)/C41)^(1/5)-1,"n/a"))</f>
        <v/>
      </c>
      <c r="R41" s="130"/>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0"/>
      <c r="B42" s="130"/>
      <c r="C42" s="131"/>
      <c r="D42" s="131"/>
      <c r="E42" s="132"/>
      <c r="F42" s="131"/>
      <c r="G42" s="133" t="str">
        <f aca="false">IF(OR(C42="",D42="",E42="",F42=""),"",IFERROR(((D42*E42+F42)/C42)^(1/5)-1,"n/a"))</f>
        <v/>
      </c>
      <c r="H42" s="130"/>
      <c r="I42" s="131"/>
      <c r="J42" s="132"/>
      <c r="K42" s="131"/>
      <c r="L42" s="133" t="str">
        <f aca="false">IF(OR(C42="",I42="",J42="",K42=""),"",IFERROR(((I42*J42+K42)/C42)^(1/5)-1,"n/a"))</f>
        <v/>
      </c>
      <c r="M42" s="130"/>
      <c r="N42" s="131"/>
      <c r="O42" s="132"/>
      <c r="P42" s="131"/>
      <c r="Q42" s="133" t="str">
        <f aca="false">IF(OR(C42="",N42="",O42="",P42=""),"",IFERROR(((N42*O42+P42)/C42)^(1/5)-1,"n/a"))</f>
        <v/>
      </c>
      <c r="R42" s="130"/>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0"/>
      <c r="B43" s="130"/>
      <c r="C43" s="131"/>
      <c r="D43" s="131"/>
      <c r="E43" s="132"/>
      <c r="F43" s="131"/>
      <c r="G43" s="133" t="str">
        <f aca="false">IF(OR(C43="",D43="",E43="",F43=""),"",IFERROR(((D43*E43+F43)/C43)^(1/5)-1,"n/a"))</f>
        <v/>
      </c>
      <c r="H43" s="130"/>
      <c r="I43" s="131"/>
      <c r="J43" s="132"/>
      <c r="K43" s="131"/>
      <c r="L43" s="133" t="str">
        <f aca="false">IF(OR(C43="",I43="",J43="",K43=""),"",IFERROR(((I43*J43+K43)/C43)^(1/5)-1,"n/a"))</f>
        <v/>
      </c>
      <c r="M43" s="130"/>
      <c r="N43" s="131"/>
      <c r="O43" s="132"/>
      <c r="P43" s="131"/>
      <c r="Q43" s="133" t="str">
        <f aca="false">IF(OR(C43="",N43="",O43="",P43=""),"",IFERROR(((N43*O43+P43)/C43)^(1/5)-1,"n/a"))</f>
        <v/>
      </c>
      <c r="R43" s="130"/>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0"/>
      <c r="B44" s="130"/>
      <c r="C44" s="131"/>
      <c r="D44" s="131"/>
      <c r="E44" s="132"/>
      <c r="F44" s="131"/>
      <c r="G44" s="133" t="str">
        <f aca="false">IF(OR(C44="",D44="",E44="",F44=""),"",IFERROR(((D44*E44+F44)/C44)^(1/5)-1,"n/a"))</f>
        <v/>
      </c>
      <c r="H44" s="130"/>
      <c r="I44" s="131"/>
      <c r="J44" s="132"/>
      <c r="K44" s="131"/>
      <c r="L44" s="133" t="str">
        <f aca="false">IF(OR(C44="",I44="",J44="",K44=""),"",IFERROR(((I44*J44+K44)/C44)^(1/5)-1,"n/a"))</f>
        <v/>
      </c>
      <c r="M44" s="130"/>
      <c r="N44" s="131"/>
      <c r="O44" s="132"/>
      <c r="P44" s="131"/>
      <c r="Q44" s="133" t="str">
        <f aca="false">IF(OR(C44="",N44="",O44="",P44=""),"",IFERROR(((N44*O44+P44)/C44)^(1/5)-1,"n/a"))</f>
        <v/>
      </c>
      <c r="R44" s="130"/>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0"/>
      <c r="B45" s="130"/>
      <c r="C45" s="131"/>
      <c r="D45" s="131"/>
      <c r="E45" s="132"/>
      <c r="F45" s="131"/>
      <c r="G45" s="133" t="str">
        <f aca="false">IF(OR(C45="",D45="",E45="",F45=""),"",IFERROR(((D45*E45+F45)/C45)^(1/5)-1,"n/a"))</f>
        <v/>
      </c>
      <c r="H45" s="130"/>
      <c r="I45" s="131"/>
      <c r="J45" s="132"/>
      <c r="K45" s="131"/>
      <c r="L45" s="133" t="str">
        <f aca="false">IF(OR(C45="",I45="",J45="",K45=""),"",IFERROR(((I45*J45+K45)/C45)^(1/5)-1,"n/a"))</f>
        <v/>
      </c>
      <c r="M45" s="130"/>
      <c r="N45" s="131"/>
      <c r="O45" s="132"/>
      <c r="P45" s="131"/>
      <c r="Q45" s="133" t="str">
        <f aca="false">IF(OR(C45="",N45="",O45="",P45=""),"",IFERROR(((N45*O45+P45)/C45)^(1/5)-1,"n/a"))</f>
        <v/>
      </c>
      <c r="R45" s="130"/>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0"/>
      <c r="B46" s="130"/>
      <c r="C46" s="131"/>
      <c r="D46" s="131"/>
      <c r="E46" s="132"/>
      <c r="F46" s="131"/>
      <c r="G46" s="133" t="str">
        <f aca="false">IF(OR(C46="",D46="",E46="",F46=""),"",IFERROR(((D46*E46+F46)/C46)^(1/5)-1,"n/a"))</f>
        <v/>
      </c>
      <c r="H46" s="130"/>
      <c r="I46" s="131"/>
      <c r="J46" s="132"/>
      <c r="K46" s="131"/>
      <c r="L46" s="133" t="str">
        <f aca="false">IF(OR(C46="",I46="",J46="",K46=""),"",IFERROR(((I46*J46+K46)/C46)^(1/5)-1,"n/a"))</f>
        <v/>
      </c>
      <c r="M46" s="130"/>
      <c r="N46" s="131"/>
      <c r="O46" s="132"/>
      <c r="P46" s="131"/>
      <c r="Q46" s="133" t="str">
        <f aca="false">IF(OR(C46="",N46="",O46="",P46=""),"",IFERROR(((N46*O46+P46)/C46)^(1/5)-1,"n/a"))</f>
        <v/>
      </c>
      <c r="R46" s="130"/>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0"/>
      <c r="B47" s="130"/>
      <c r="C47" s="131"/>
      <c r="D47" s="131"/>
      <c r="E47" s="132"/>
      <c r="F47" s="131"/>
      <c r="G47" s="133" t="str">
        <f aca="false">IF(OR(C47="",D47="",E47="",F47=""),"",IFERROR(((D47*E47+F47)/C47)^(1/5)-1,"n/a"))</f>
        <v/>
      </c>
      <c r="H47" s="130"/>
      <c r="I47" s="131"/>
      <c r="J47" s="132"/>
      <c r="K47" s="131"/>
      <c r="L47" s="133" t="str">
        <f aca="false">IF(OR(C47="",I47="",J47="",K47=""),"",IFERROR(((I47*J47+K47)/C47)^(1/5)-1,"n/a"))</f>
        <v/>
      </c>
      <c r="M47" s="130"/>
      <c r="N47" s="131"/>
      <c r="O47" s="132"/>
      <c r="P47" s="131"/>
      <c r="Q47" s="133" t="str">
        <f aca="false">IF(OR(C47="",N47="",O47="",P47=""),"",IFERROR(((N47*O47+P47)/C47)^(1/5)-1,"n/a"))</f>
        <v/>
      </c>
      <c r="R47" s="130"/>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0"/>
      <c r="B48" s="130"/>
      <c r="C48" s="131"/>
      <c r="D48" s="131"/>
      <c r="E48" s="132"/>
      <c r="F48" s="131"/>
      <c r="G48" s="133" t="str">
        <f aca="false">IF(OR(C48="",D48="",E48="",F48=""),"",IFERROR(((D48*E48+F48)/C48)^(1/5)-1,"n/a"))</f>
        <v/>
      </c>
      <c r="H48" s="130"/>
      <c r="I48" s="131"/>
      <c r="J48" s="132"/>
      <c r="K48" s="131"/>
      <c r="L48" s="133" t="str">
        <f aca="false">IF(OR(C48="",I48="",J48="",K48=""),"",IFERROR(((I48*J48+K48)/C48)^(1/5)-1,"n/a"))</f>
        <v/>
      </c>
      <c r="M48" s="130"/>
      <c r="N48" s="131"/>
      <c r="O48" s="132"/>
      <c r="P48" s="131"/>
      <c r="Q48" s="133" t="str">
        <f aca="false">IF(OR(C48="",N48="",O48="",P48=""),"",IFERROR(((N48*O48+P48)/C48)^(1/5)-1,"n/a"))</f>
        <v/>
      </c>
      <c r="R48" s="130"/>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0"/>
      <c r="B49" s="130"/>
      <c r="C49" s="131"/>
      <c r="D49" s="131"/>
      <c r="E49" s="132"/>
      <c r="F49" s="131"/>
      <c r="G49" s="133" t="str">
        <f aca="false">IF(OR(C49="",D49="",E49="",F49=""),"",IFERROR(((D49*E49+F49)/C49)^(1/5)-1,"n/a"))</f>
        <v/>
      </c>
      <c r="H49" s="130"/>
      <c r="I49" s="131"/>
      <c r="J49" s="132"/>
      <c r="K49" s="131"/>
      <c r="L49" s="133" t="str">
        <f aca="false">IF(OR(C49="",I49="",J49="",K49=""),"",IFERROR(((I49*J49+K49)/C49)^(1/5)-1,"n/a"))</f>
        <v/>
      </c>
      <c r="M49" s="130"/>
      <c r="N49" s="131"/>
      <c r="O49" s="132"/>
      <c r="P49" s="131"/>
      <c r="Q49" s="133" t="str">
        <f aca="false">IF(OR(C49="",N49="",O49="",P49=""),"",IFERROR(((N49*O49+P49)/C49)^(1/5)-1,"n/a"))</f>
        <v/>
      </c>
      <c r="R49" s="130"/>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0"/>
      <c r="B50" s="130"/>
      <c r="C50" s="131"/>
      <c r="D50" s="131"/>
      <c r="E50" s="132"/>
      <c r="F50" s="131"/>
      <c r="G50" s="133" t="str">
        <f aca="false">IF(OR(C50="",D50="",E50="",F50=""),"",IFERROR(((D50*E50+F50)/C50)^(1/5)-1,"n/a"))</f>
        <v/>
      </c>
      <c r="H50" s="130"/>
      <c r="I50" s="131"/>
      <c r="J50" s="132"/>
      <c r="K50" s="131"/>
      <c r="L50" s="133" t="str">
        <f aca="false">IF(OR(C50="",I50="",J50="",K50=""),"",IFERROR(((I50*J50+K50)/C50)^(1/5)-1,"n/a"))</f>
        <v/>
      </c>
      <c r="M50" s="130"/>
      <c r="N50" s="131"/>
      <c r="O50" s="132"/>
      <c r="P50" s="131"/>
      <c r="Q50" s="133" t="str">
        <f aca="false">IF(OR(C50="",N50="",O50="",P50=""),"",IFERROR(((N50*O50+P50)/C50)^(1/5)-1,"n/a"))</f>
        <v/>
      </c>
      <c r="R50" s="130"/>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4" t="s">
        <v>485</v>
      </c>
      <c r="F2" s="134"/>
      <c r="G2" s="134"/>
      <c r="H2" s="134"/>
      <c r="I2" s="134"/>
      <c r="J2" s="134"/>
      <c r="K2" s="134"/>
      <c r="L2" s="134"/>
      <c r="M2" s="134"/>
      <c r="N2" s="134"/>
      <c r="O2" s="134"/>
      <c r="P2" s="134"/>
      <c r="Q2" s="134"/>
      <c r="R2" s="134"/>
      <c r="S2" s="134"/>
      <c r="T2" s="135" t="s">
        <v>486</v>
      </c>
      <c r="U2" s="135"/>
      <c r="V2" s="135"/>
      <c r="W2" s="135"/>
      <c r="X2" s="135"/>
      <c r="Y2" s="135"/>
      <c r="Z2" s="135"/>
    </row>
    <row r="3" customFormat="false" ht="54" hidden="false" customHeight="true" outlineLevel="0" collapsed="false">
      <c r="A3" s="136" t="s">
        <v>82</v>
      </c>
      <c r="B3" s="136" t="s">
        <v>274</v>
      </c>
      <c r="C3" s="136" t="s">
        <v>487</v>
      </c>
      <c r="D3" s="136" t="s">
        <v>488</v>
      </c>
      <c r="E3" s="136" t="s">
        <v>489</v>
      </c>
      <c r="F3" s="136" t="s">
        <v>490</v>
      </c>
      <c r="G3" s="136" t="s">
        <v>491</v>
      </c>
      <c r="H3" s="136" t="s">
        <v>492</v>
      </c>
      <c r="I3" s="136" t="s">
        <v>493</v>
      </c>
      <c r="J3" s="136" t="s">
        <v>491</v>
      </c>
      <c r="K3" s="136" t="s">
        <v>494</v>
      </c>
      <c r="L3" s="136" t="s">
        <v>495</v>
      </c>
      <c r="M3" s="136" t="s">
        <v>491</v>
      </c>
      <c r="N3" s="136" t="s">
        <v>496</v>
      </c>
      <c r="O3" s="136" t="s">
        <v>497</v>
      </c>
      <c r="P3" s="136" t="s">
        <v>491</v>
      </c>
      <c r="Q3" s="136" t="s">
        <v>498</v>
      </c>
      <c r="R3" s="136" t="s">
        <v>499</v>
      </c>
      <c r="S3" s="136" t="s">
        <v>491</v>
      </c>
      <c r="T3" s="136" t="s">
        <v>500</v>
      </c>
      <c r="U3" s="136" t="s">
        <v>501</v>
      </c>
      <c r="V3" s="136" t="s">
        <v>502</v>
      </c>
      <c r="W3" s="136" t="s">
        <v>503</v>
      </c>
      <c r="X3" s="136" t="s">
        <v>504</v>
      </c>
      <c r="Y3" s="136" t="s">
        <v>505</v>
      </c>
      <c r="Z3" s="136" t="s">
        <v>506</v>
      </c>
      <c r="AA3" s="136" t="s">
        <v>507</v>
      </c>
      <c r="AB3" s="136" t="s">
        <v>465</v>
      </c>
    </row>
    <row r="4" customFormat="false" ht="15" hidden="false" customHeight="true" outlineLevel="0" collapsed="false">
      <c r="A4" s="84"/>
      <c r="B4" s="84"/>
      <c r="C4" s="137"/>
      <c r="D4" s="137"/>
      <c r="E4" s="84"/>
      <c r="F4" s="84"/>
      <c r="G4" s="138" t="str">
        <f aca="false">IF(OR(E4="",F4=""),"",IF(AND(E4&lt;=2,F4&lt;=2),"TRIGGER","OK"))</f>
        <v/>
      </c>
      <c r="H4" s="84"/>
      <c r="I4" s="84"/>
      <c r="J4" s="138" t="str">
        <f aca="false">IF(OR(H4="",I4=""),"",IF(AND(H4&lt;=2,I4&lt;=2),"TRIGGER","OK"))</f>
        <v/>
      </c>
      <c r="K4" s="84"/>
      <c r="L4" s="84"/>
      <c r="M4" s="138" t="str">
        <f aca="false">IF(OR(K4="",L4=""),"",IF(AND(K4&lt;=2,L4&lt;=2),"TRIGGER","OK"))</f>
        <v/>
      </c>
      <c r="N4" s="84"/>
      <c r="O4" s="84"/>
      <c r="P4" s="138" t="str">
        <f aca="false">IF(OR(N4="",O4=""),"",IF(AND(N4&lt;=2,O4&lt;=2),"TRIGGER","OK"))</f>
        <v/>
      </c>
      <c r="Q4" s="84"/>
      <c r="R4" s="84"/>
      <c r="S4" s="138" t="str">
        <f aca="false">IF(OR(Q4="",R4=""),"",IF(AND(Q4&lt;=2,R4&lt;=2),"TRIGGER","OK"))</f>
        <v/>
      </c>
      <c r="T4" s="139"/>
      <c r="U4" s="139"/>
      <c r="V4" s="137"/>
      <c r="W4" s="137"/>
      <c r="X4" s="84"/>
      <c r="Y4" s="84"/>
      <c r="Z4" s="138"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7"/>
      <c r="D5" s="137"/>
      <c r="E5" s="84"/>
      <c r="F5" s="84"/>
      <c r="G5" s="138" t="str">
        <f aca="false">IF(OR(E5="",F5=""),"",IF(AND(E5&lt;=2,F5&lt;=2),"TRIGGER","OK"))</f>
        <v/>
      </c>
      <c r="H5" s="84"/>
      <c r="I5" s="84"/>
      <c r="J5" s="138" t="str">
        <f aca="false">IF(OR(H5="",I5=""),"",IF(AND(H5&lt;=2,I5&lt;=2),"TRIGGER","OK"))</f>
        <v/>
      </c>
      <c r="K5" s="84"/>
      <c r="L5" s="84"/>
      <c r="M5" s="138" t="str">
        <f aca="false">IF(OR(K5="",L5=""),"",IF(AND(K5&lt;=2,L5&lt;=2),"TRIGGER","OK"))</f>
        <v/>
      </c>
      <c r="N5" s="84"/>
      <c r="O5" s="84"/>
      <c r="P5" s="138" t="str">
        <f aca="false">IF(OR(N5="",O5=""),"",IF(AND(N5&lt;=2,O5&lt;=2),"TRIGGER","OK"))</f>
        <v/>
      </c>
      <c r="Q5" s="84"/>
      <c r="R5" s="84"/>
      <c r="S5" s="138" t="str">
        <f aca="false">IF(OR(Q5="",R5=""),"",IF(AND(Q5&lt;=2,R5&lt;=2),"TRIGGER","OK"))</f>
        <v/>
      </c>
      <c r="T5" s="139"/>
      <c r="U5" s="139"/>
      <c r="V5" s="137"/>
      <c r="W5" s="137"/>
      <c r="X5" s="84"/>
      <c r="Y5" s="84"/>
      <c r="Z5" s="138"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7"/>
      <c r="D6" s="137"/>
      <c r="E6" s="84"/>
      <c r="F6" s="84"/>
      <c r="G6" s="138" t="str">
        <f aca="false">IF(OR(E6="",F6=""),"",IF(AND(E6&lt;=2,F6&lt;=2),"TRIGGER","OK"))</f>
        <v/>
      </c>
      <c r="H6" s="84"/>
      <c r="I6" s="84"/>
      <c r="J6" s="138" t="str">
        <f aca="false">IF(OR(H6="",I6=""),"",IF(AND(H6&lt;=2,I6&lt;=2),"TRIGGER","OK"))</f>
        <v/>
      </c>
      <c r="K6" s="84"/>
      <c r="L6" s="84"/>
      <c r="M6" s="138" t="str">
        <f aca="false">IF(OR(K6="",L6=""),"",IF(AND(K6&lt;=2,L6&lt;=2),"TRIGGER","OK"))</f>
        <v/>
      </c>
      <c r="N6" s="84"/>
      <c r="O6" s="84"/>
      <c r="P6" s="138" t="str">
        <f aca="false">IF(OR(N6="",O6=""),"",IF(AND(N6&lt;=2,O6&lt;=2),"TRIGGER","OK"))</f>
        <v/>
      </c>
      <c r="Q6" s="84"/>
      <c r="R6" s="84"/>
      <c r="S6" s="138" t="str">
        <f aca="false">IF(OR(Q6="",R6=""),"",IF(AND(Q6&lt;=2,R6&lt;=2),"TRIGGER","OK"))</f>
        <v/>
      </c>
      <c r="T6" s="139"/>
      <c r="U6" s="139"/>
      <c r="V6" s="137"/>
      <c r="W6" s="137"/>
      <c r="X6" s="84"/>
      <c r="Y6" s="84"/>
      <c r="Z6" s="138"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7"/>
      <c r="D7" s="137"/>
      <c r="E7" s="84"/>
      <c r="F7" s="84"/>
      <c r="G7" s="138" t="str">
        <f aca="false">IF(OR(E7="",F7=""),"",IF(AND(E7&lt;=2,F7&lt;=2),"TRIGGER","OK"))</f>
        <v/>
      </c>
      <c r="H7" s="84"/>
      <c r="I7" s="84"/>
      <c r="J7" s="138" t="str">
        <f aca="false">IF(OR(H7="",I7=""),"",IF(AND(H7&lt;=2,I7&lt;=2),"TRIGGER","OK"))</f>
        <v/>
      </c>
      <c r="K7" s="84"/>
      <c r="L7" s="84"/>
      <c r="M7" s="138" t="str">
        <f aca="false">IF(OR(K7="",L7=""),"",IF(AND(K7&lt;=2,L7&lt;=2),"TRIGGER","OK"))</f>
        <v/>
      </c>
      <c r="N7" s="84"/>
      <c r="O7" s="84"/>
      <c r="P7" s="138" t="str">
        <f aca="false">IF(OR(N7="",O7=""),"",IF(AND(N7&lt;=2,O7&lt;=2),"TRIGGER","OK"))</f>
        <v/>
      </c>
      <c r="Q7" s="84"/>
      <c r="R7" s="84"/>
      <c r="S7" s="138" t="str">
        <f aca="false">IF(OR(Q7="",R7=""),"",IF(AND(Q7&lt;=2,R7&lt;=2),"TRIGGER","OK"))</f>
        <v/>
      </c>
      <c r="T7" s="139"/>
      <c r="U7" s="139"/>
      <c r="V7" s="137"/>
      <c r="W7" s="137"/>
      <c r="X7" s="84"/>
      <c r="Y7" s="84"/>
      <c r="Z7" s="138"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7"/>
      <c r="D8" s="137"/>
      <c r="E8" s="84"/>
      <c r="F8" s="84"/>
      <c r="G8" s="138" t="str">
        <f aca="false">IF(OR(E8="",F8=""),"",IF(AND(E8&lt;=2,F8&lt;=2),"TRIGGER","OK"))</f>
        <v/>
      </c>
      <c r="H8" s="84"/>
      <c r="I8" s="84"/>
      <c r="J8" s="138" t="str">
        <f aca="false">IF(OR(H8="",I8=""),"",IF(AND(H8&lt;=2,I8&lt;=2),"TRIGGER","OK"))</f>
        <v/>
      </c>
      <c r="K8" s="84"/>
      <c r="L8" s="84"/>
      <c r="M8" s="138" t="str">
        <f aca="false">IF(OR(K8="",L8=""),"",IF(AND(K8&lt;=2,L8&lt;=2),"TRIGGER","OK"))</f>
        <v/>
      </c>
      <c r="N8" s="84"/>
      <c r="O8" s="84"/>
      <c r="P8" s="138" t="str">
        <f aca="false">IF(OR(N8="",O8=""),"",IF(AND(N8&lt;=2,O8&lt;=2),"TRIGGER","OK"))</f>
        <v/>
      </c>
      <c r="Q8" s="84"/>
      <c r="R8" s="84"/>
      <c r="S8" s="138" t="str">
        <f aca="false">IF(OR(Q8="",R8=""),"",IF(AND(Q8&lt;=2,R8&lt;=2),"TRIGGER","OK"))</f>
        <v/>
      </c>
      <c r="T8" s="139"/>
      <c r="U8" s="139"/>
      <c r="V8" s="137"/>
      <c r="W8" s="137"/>
      <c r="X8" s="84"/>
      <c r="Y8" s="84"/>
      <c r="Z8" s="138"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7"/>
      <c r="D9" s="137"/>
      <c r="E9" s="84"/>
      <c r="F9" s="84"/>
      <c r="G9" s="138" t="str">
        <f aca="false">IF(OR(E9="",F9=""),"",IF(AND(E9&lt;=2,F9&lt;=2),"TRIGGER","OK"))</f>
        <v/>
      </c>
      <c r="H9" s="84"/>
      <c r="I9" s="84"/>
      <c r="J9" s="138" t="str">
        <f aca="false">IF(OR(H9="",I9=""),"",IF(AND(H9&lt;=2,I9&lt;=2),"TRIGGER","OK"))</f>
        <v/>
      </c>
      <c r="K9" s="84"/>
      <c r="L9" s="84"/>
      <c r="M9" s="138" t="str">
        <f aca="false">IF(OR(K9="",L9=""),"",IF(AND(K9&lt;=2,L9&lt;=2),"TRIGGER","OK"))</f>
        <v/>
      </c>
      <c r="N9" s="84"/>
      <c r="O9" s="84"/>
      <c r="P9" s="138" t="str">
        <f aca="false">IF(OR(N9="",O9=""),"",IF(AND(N9&lt;=2,O9&lt;=2),"TRIGGER","OK"))</f>
        <v/>
      </c>
      <c r="Q9" s="84"/>
      <c r="R9" s="84"/>
      <c r="S9" s="138" t="str">
        <f aca="false">IF(OR(Q9="",R9=""),"",IF(AND(Q9&lt;=2,R9&lt;=2),"TRIGGER","OK"))</f>
        <v/>
      </c>
      <c r="T9" s="139"/>
      <c r="U9" s="139"/>
      <c r="V9" s="137"/>
      <c r="W9" s="137"/>
      <c r="X9" s="84"/>
      <c r="Y9" s="84"/>
      <c r="Z9" s="138"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7"/>
      <c r="D10" s="137"/>
      <c r="E10" s="84"/>
      <c r="F10" s="84"/>
      <c r="G10" s="138" t="str">
        <f aca="false">IF(OR(E10="",F10=""),"",IF(AND(E10&lt;=2,F10&lt;=2),"TRIGGER","OK"))</f>
        <v/>
      </c>
      <c r="H10" s="84"/>
      <c r="I10" s="84"/>
      <c r="J10" s="138" t="str">
        <f aca="false">IF(OR(H10="",I10=""),"",IF(AND(H10&lt;=2,I10&lt;=2),"TRIGGER","OK"))</f>
        <v/>
      </c>
      <c r="K10" s="84"/>
      <c r="L10" s="84"/>
      <c r="M10" s="138" t="str">
        <f aca="false">IF(OR(K10="",L10=""),"",IF(AND(K10&lt;=2,L10&lt;=2),"TRIGGER","OK"))</f>
        <v/>
      </c>
      <c r="N10" s="84"/>
      <c r="O10" s="84"/>
      <c r="P10" s="138" t="str">
        <f aca="false">IF(OR(N10="",O10=""),"",IF(AND(N10&lt;=2,O10&lt;=2),"TRIGGER","OK"))</f>
        <v/>
      </c>
      <c r="Q10" s="84"/>
      <c r="R10" s="84"/>
      <c r="S10" s="138" t="str">
        <f aca="false">IF(OR(Q10="",R10=""),"",IF(AND(Q10&lt;=2,R10&lt;=2),"TRIGGER","OK"))</f>
        <v/>
      </c>
      <c r="T10" s="139"/>
      <c r="U10" s="139"/>
      <c r="V10" s="137"/>
      <c r="W10" s="137"/>
      <c r="X10" s="84"/>
      <c r="Y10" s="84"/>
      <c r="Z10" s="138"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7"/>
      <c r="D11" s="137"/>
      <c r="E11" s="84"/>
      <c r="F11" s="84"/>
      <c r="G11" s="138" t="str">
        <f aca="false">IF(OR(E11="",F11=""),"",IF(AND(E11&lt;=2,F11&lt;=2),"TRIGGER","OK"))</f>
        <v/>
      </c>
      <c r="H11" s="84"/>
      <c r="I11" s="84"/>
      <c r="J11" s="138" t="str">
        <f aca="false">IF(OR(H11="",I11=""),"",IF(AND(H11&lt;=2,I11&lt;=2),"TRIGGER","OK"))</f>
        <v/>
      </c>
      <c r="K11" s="84"/>
      <c r="L11" s="84"/>
      <c r="M11" s="138" t="str">
        <f aca="false">IF(OR(K11="",L11=""),"",IF(AND(K11&lt;=2,L11&lt;=2),"TRIGGER","OK"))</f>
        <v/>
      </c>
      <c r="N11" s="84"/>
      <c r="O11" s="84"/>
      <c r="P11" s="138" t="str">
        <f aca="false">IF(OR(N11="",O11=""),"",IF(AND(N11&lt;=2,O11&lt;=2),"TRIGGER","OK"))</f>
        <v/>
      </c>
      <c r="Q11" s="84"/>
      <c r="R11" s="84"/>
      <c r="S11" s="138" t="str">
        <f aca="false">IF(OR(Q11="",R11=""),"",IF(AND(Q11&lt;=2,R11&lt;=2),"TRIGGER","OK"))</f>
        <v/>
      </c>
      <c r="T11" s="139"/>
      <c r="U11" s="139"/>
      <c r="V11" s="137"/>
      <c r="W11" s="137"/>
      <c r="X11" s="84"/>
      <c r="Y11" s="84"/>
      <c r="Z11" s="138"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7"/>
      <c r="D12" s="137"/>
      <c r="E12" s="84"/>
      <c r="F12" s="84"/>
      <c r="G12" s="138" t="str">
        <f aca="false">IF(OR(E12="",F12=""),"",IF(AND(E12&lt;=2,F12&lt;=2),"TRIGGER","OK"))</f>
        <v/>
      </c>
      <c r="H12" s="84"/>
      <c r="I12" s="84"/>
      <c r="J12" s="138" t="str">
        <f aca="false">IF(OR(H12="",I12=""),"",IF(AND(H12&lt;=2,I12&lt;=2),"TRIGGER","OK"))</f>
        <v/>
      </c>
      <c r="K12" s="84"/>
      <c r="L12" s="84"/>
      <c r="M12" s="138" t="str">
        <f aca="false">IF(OR(K12="",L12=""),"",IF(AND(K12&lt;=2,L12&lt;=2),"TRIGGER","OK"))</f>
        <v/>
      </c>
      <c r="N12" s="84"/>
      <c r="O12" s="84"/>
      <c r="P12" s="138" t="str">
        <f aca="false">IF(OR(N12="",O12=""),"",IF(AND(N12&lt;=2,O12&lt;=2),"TRIGGER","OK"))</f>
        <v/>
      </c>
      <c r="Q12" s="84"/>
      <c r="R12" s="84"/>
      <c r="S12" s="138" t="str">
        <f aca="false">IF(OR(Q12="",R12=""),"",IF(AND(Q12&lt;=2,R12&lt;=2),"TRIGGER","OK"))</f>
        <v/>
      </c>
      <c r="T12" s="139"/>
      <c r="U12" s="139"/>
      <c r="V12" s="137"/>
      <c r="W12" s="137"/>
      <c r="X12" s="84"/>
      <c r="Y12" s="84"/>
      <c r="Z12" s="138"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7"/>
      <c r="D13" s="137"/>
      <c r="E13" s="84"/>
      <c r="F13" s="84"/>
      <c r="G13" s="138" t="str">
        <f aca="false">IF(OR(E13="",F13=""),"",IF(AND(E13&lt;=2,F13&lt;=2),"TRIGGER","OK"))</f>
        <v/>
      </c>
      <c r="H13" s="84"/>
      <c r="I13" s="84"/>
      <c r="J13" s="138" t="str">
        <f aca="false">IF(OR(H13="",I13=""),"",IF(AND(H13&lt;=2,I13&lt;=2),"TRIGGER","OK"))</f>
        <v/>
      </c>
      <c r="K13" s="84"/>
      <c r="L13" s="84"/>
      <c r="M13" s="138" t="str">
        <f aca="false">IF(OR(K13="",L13=""),"",IF(AND(K13&lt;=2,L13&lt;=2),"TRIGGER","OK"))</f>
        <v/>
      </c>
      <c r="N13" s="84"/>
      <c r="O13" s="84"/>
      <c r="P13" s="138" t="str">
        <f aca="false">IF(OR(N13="",O13=""),"",IF(AND(N13&lt;=2,O13&lt;=2),"TRIGGER","OK"))</f>
        <v/>
      </c>
      <c r="Q13" s="84"/>
      <c r="R13" s="84"/>
      <c r="S13" s="138" t="str">
        <f aca="false">IF(OR(Q13="",R13=""),"",IF(AND(Q13&lt;=2,R13&lt;=2),"TRIGGER","OK"))</f>
        <v/>
      </c>
      <c r="T13" s="139"/>
      <c r="U13" s="139"/>
      <c r="V13" s="137"/>
      <c r="W13" s="137"/>
      <c r="X13" s="84"/>
      <c r="Y13" s="84"/>
      <c r="Z13" s="138"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7"/>
      <c r="D14" s="137"/>
      <c r="E14" s="84"/>
      <c r="F14" s="84"/>
      <c r="G14" s="138" t="str">
        <f aca="false">IF(OR(E14="",F14=""),"",IF(AND(E14&lt;=2,F14&lt;=2),"TRIGGER","OK"))</f>
        <v/>
      </c>
      <c r="H14" s="84"/>
      <c r="I14" s="84"/>
      <c r="J14" s="138" t="str">
        <f aca="false">IF(OR(H14="",I14=""),"",IF(AND(H14&lt;=2,I14&lt;=2),"TRIGGER","OK"))</f>
        <v/>
      </c>
      <c r="K14" s="84"/>
      <c r="L14" s="84"/>
      <c r="M14" s="138" t="str">
        <f aca="false">IF(OR(K14="",L14=""),"",IF(AND(K14&lt;=2,L14&lt;=2),"TRIGGER","OK"))</f>
        <v/>
      </c>
      <c r="N14" s="84"/>
      <c r="O14" s="84"/>
      <c r="P14" s="138" t="str">
        <f aca="false">IF(OR(N14="",O14=""),"",IF(AND(N14&lt;=2,O14&lt;=2),"TRIGGER","OK"))</f>
        <v/>
      </c>
      <c r="Q14" s="84"/>
      <c r="R14" s="84"/>
      <c r="S14" s="138" t="str">
        <f aca="false">IF(OR(Q14="",R14=""),"",IF(AND(Q14&lt;=2,R14&lt;=2),"TRIGGER","OK"))</f>
        <v/>
      </c>
      <c r="T14" s="139"/>
      <c r="U14" s="139"/>
      <c r="V14" s="137"/>
      <c r="W14" s="137"/>
      <c r="X14" s="84"/>
      <c r="Y14" s="84"/>
      <c r="Z14" s="138"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7"/>
      <c r="D15" s="137"/>
      <c r="E15" s="84"/>
      <c r="F15" s="84"/>
      <c r="G15" s="138" t="str">
        <f aca="false">IF(OR(E15="",F15=""),"",IF(AND(E15&lt;=2,F15&lt;=2),"TRIGGER","OK"))</f>
        <v/>
      </c>
      <c r="H15" s="84"/>
      <c r="I15" s="84"/>
      <c r="J15" s="138" t="str">
        <f aca="false">IF(OR(H15="",I15=""),"",IF(AND(H15&lt;=2,I15&lt;=2),"TRIGGER","OK"))</f>
        <v/>
      </c>
      <c r="K15" s="84"/>
      <c r="L15" s="84"/>
      <c r="M15" s="138" t="str">
        <f aca="false">IF(OR(K15="",L15=""),"",IF(AND(K15&lt;=2,L15&lt;=2),"TRIGGER","OK"))</f>
        <v/>
      </c>
      <c r="N15" s="84"/>
      <c r="O15" s="84"/>
      <c r="P15" s="138" t="str">
        <f aca="false">IF(OR(N15="",O15=""),"",IF(AND(N15&lt;=2,O15&lt;=2),"TRIGGER","OK"))</f>
        <v/>
      </c>
      <c r="Q15" s="84"/>
      <c r="R15" s="84"/>
      <c r="S15" s="138" t="str">
        <f aca="false">IF(OR(Q15="",R15=""),"",IF(AND(Q15&lt;=2,R15&lt;=2),"TRIGGER","OK"))</f>
        <v/>
      </c>
      <c r="T15" s="139"/>
      <c r="U15" s="139"/>
      <c r="V15" s="137"/>
      <c r="W15" s="137"/>
      <c r="X15" s="84"/>
      <c r="Y15" s="84"/>
      <c r="Z15" s="138"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7"/>
      <c r="D16" s="137"/>
      <c r="E16" s="84"/>
      <c r="F16" s="84"/>
      <c r="G16" s="138" t="str">
        <f aca="false">IF(OR(E16="",F16=""),"",IF(AND(E16&lt;=2,F16&lt;=2),"TRIGGER","OK"))</f>
        <v/>
      </c>
      <c r="H16" s="84"/>
      <c r="I16" s="84"/>
      <c r="J16" s="138" t="str">
        <f aca="false">IF(OR(H16="",I16=""),"",IF(AND(H16&lt;=2,I16&lt;=2),"TRIGGER","OK"))</f>
        <v/>
      </c>
      <c r="K16" s="84"/>
      <c r="L16" s="84"/>
      <c r="M16" s="138" t="str">
        <f aca="false">IF(OR(K16="",L16=""),"",IF(AND(K16&lt;=2,L16&lt;=2),"TRIGGER","OK"))</f>
        <v/>
      </c>
      <c r="N16" s="84"/>
      <c r="O16" s="84"/>
      <c r="P16" s="138" t="str">
        <f aca="false">IF(OR(N16="",O16=""),"",IF(AND(N16&lt;=2,O16&lt;=2),"TRIGGER","OK"))</f>
        <v/>
      </c>
      <c r="Q16" s="84"/>
      <c r="R16" s="84"/>
      <c r="S16" s="138" t="str">
        <f aca="false">IF(OR(Q16="",R16=""),"",IF(AND(Q16&lt;=2,R16&lt;=2),"TRIGGER","OK"))</f>
        <v/>
      </c>
      <c r="T16" s="139"/>
      <c r="U16" s="139"/>
      <c r="V16" s="137"/>
      <c r="W16" s="137"/>
      <c r="X16" s="84"/>
      <c r="Y16" s="84"/>
      <c r="Z16" s="138"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7"/>
      <c r="D17" s="137"/>
      <c r="E17" s="84"/>
      <c r="F17" s="84"/>
      <c r="G17" s="138" t="str">
        <f aca="false">IF(OR(E17="",F17=""),"",IF(AND(E17&lt;=2,F17&lt;=2),"TRIGGER","OK"))</f>
        <v/>
      </c>
      <c r="H17" s="84"/>
      <c r="I17" s="84"/>
      <c r="J17" s="138" t="str">
        <f aca="false">IF(OR(H17="",I17=""),"",IF(AND(H17&lt;=2,I17&lt;=2),"TRIGGER","OK"))</f>
        <v/>
      </c>
      <c r="K17" s="84"/>
      <c r="L17" s="84"/>
      <c r="M17" s="138" t="str">
        <f aca="false">IF(OR(K17="",L17=""),"",IF(AND(K17&lt;=2,L17&lt;=2),"TRIGGER","OK"))</f>
        <v/>
      </c>
      <c r="N17" s="84"/>
      <c r="O17" s="84"/>
      <c r="P17" s="138" t="str">
        <f aca="false">IF(OR(N17="",O17=""),"",IF(AND(N17&lt;=2,O17&lt;=2),"TRIGGER","OK"))</f>
        <v/>
      </c>
      <c r="Q17" s="84"/>
      <c r="R17" s="84"/>
      <c r="S17" s="138" t="str">
        <f aca="false">IF(OR(Q17="",R17=""),"",IF(AND(Q17&lt;=2,R17&lt;=2),"TRIGGER","OK"))</f>
        <v/>
      </c>
      <c r="T17" s="139"/>
      <c r="U17" s="139"/>
      <c r="V17" s="137"/>
      <c r="W17" s="137"/>
      <c r="X17" s="84"/>
      <c r="Y17" s="84"/>
      <c r="Z17" s="138"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7"/>
      <c r="D18" s="137"/>
      <c r="E18" s="84"/>
      <c r="F18" s="84"/>
      <c r="G18" s="138" t="str">
        <f aca="false">IF(OR(E18="",F18=""),"",IF(AND(E18&lt;=2,F18&lt;=2),"TRIGGER","OK"))</f>
        <v/>
      </c>
      <c r="H18" s="84"/>
      <c r="I18" s="84"/>
      <c r="J18" s="138" t="str">
        <f aca="false">IF(OR(H18="",I18=""),"",IF(AND(H18&lt;=2,I18&lt;=2),"TRIGGER","OK"))</f>
        <v/>
      </c>
      <c r="K18" s="84"/>
      <c r="L18" s="84"/>
      <c r="M18" s="138" t="str">
        <f aca="false">IF(OR(K18="",L18=""),"",IF(AND(K18&lt;=2,L18&lt;=2),"TRIGGER","OK"))</f>
        <v/>
      </c>
      <c r="N18" s="84"/>
      <c r="O18" s="84"/>
      <c r="P18" s="138" t="str">
        <f aca="false">IF(OR(N18="",O18=""),"",IF(AND(N18&lt;=2,O18&lt;=2),"TRIGGER","OK"))</f>
        <v/>
      </c>
      <c r="Q18" s="84"/>
      <c r="R18" s="84"/>
      <c r="S18" s="138" t="str">
        <f aca="false">IF(OR(Q18="",R18=""),"",IF(AND(Q18&lt;=2,R18&lt;=2),"TRIGGER","OK"))</f>
        <v/>
      </c>
      <c r="T18" s="139"/>
      <c r="U18" s="139"/>
      <c r="V18" s="137"/>
      <c r="W18" s="137"/>
      <c r="X18" s="84"/>
      <c r="Y18" s="84"/>
      <c r="Z18" s="138"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7"/>
      <c r="D19" s="137"/>
      <c r="E19" s="84"/>
      <c r="F19" s="84"/>
      <c r="G19" s="138" t="str">
        <f aca="false">IF(OR(E19="",F19=""),"",IF(AND(E19&lt;=2,F19&lt;=2),"TRIGGER","OK"))</f>
        <v/>
      </c>
      <c r="H19" s="84"/>
      <c r="I19" s="84"/>
      <c r="J19" s="138" t="str">
        <f aca="false">IF(OR(H19="",I19=""),"",IF(AND(H19&lt;=2,I19&lt;=2),"TRIGGER","OK"))</f>
        <v/>
      </c>
      <c r="K19" s="84"/>
      <c r="L19" s="84"/>
      <c r="M19" s="138" t="str">
        <f aca="false">IF(OR(K19="",L19=""),"",IF(AND(K19&lt;=2,L19&lt;=2),"TRIGGER","OK"))</f>
        <v/>
      </c>
      <c r="N19" s="84"/>
      <c r="O19" s="84"/>
      <c r="P19" s="138" t="str">
        <f aca="false">IF(OR(N19="",O19=""),"",IF(AND(N19&lt;=2,O19&lt;=2),"TRIGGER","OK"))</f>
        <v/>
      </c>
      <c r="Q19" s="84"/>
      <c r="R19" s="84"/>
      <c r="S19" s="138" t="str">
        <f aca="false">IF(OR(Q19="",R19=""),"",IF(AND(Q19&lt;=2,R19&lt;=2),"TRIGGER","OK"))</f>
        <v/>
      </c>
      <c r="T19" s="139"/>
      <c r="U19" s="139"/>
      <c r="V19" s="137"/>
      <c r="W19" s="137"/>
      <c r="X19" s="84"/>
      <c r="Y19" s="84"/>
      <c r="Z19" s="138"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7"/>
      <c r="D20" s="137"/>
      <c r="E20" s="84"/>
      <c r="F20" s="84"/>
      <c r="G20" s="138" t="str">
        <f aca="false">IF(OR(E20="",F20=""),"",IF(AND(E20&lt;=2,F20&lt;=2),"TRIGGER","OK"))</f>
        <v/>
      </c>
      <c r="H20" s="84"/>
      <c r="I20" s="84"/>
      <c r="J20" s="138" t="str">
        <f aca="false">IF(OR(H20="",I20=""),"",IF(AND(H20&lt;=2,I20&lt;=2),"TRIGGER","OK"))</f>
        <v/>
      </c>
      <c r="K20" s="84"/>
      <c r="L20" s="84"/>
      <c r="M20" s="138" t="str">
        <f aca="false">IF(OR(K20="",L20=""),"",IF(AND(K20&lt;=2,L20&lt;=2),"TRIGGER","OK"))</f>
        <v/>
      </c>
      <c r="N20" s="84"/>
      <c r="O20" s="84"/>
      <c r="P20" s="138" t="str">
        <f aca="false">IF(OR(N20="",O20=""),"",IF(AND(N20&lt;=2,O20&lt;=2),"TRIGGER","OK"))</f>
        <v/>
      </c>
      <c r="Q20" s="84"/>
      <c r="R20" s="84"/>
      <c r="S20" s="138" t="str">
        <f aca="false">IF(OR(Q20="",R20=""),"",IF(AND(Q20&lt;=2,R20&lt;=2),"TRIGGER","OK"))</f>
        <v/>
      </c>
      <c r="T20" s="139"/>
      <c r="U20" s="139"/>
      <c r="V20" s="137"/>
      <c r="W20" s="137"/>
      <c r="X20" s="84"/>
      <c r="Y20" s="84"/>
      <c r="Z20" s="138"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7"/>
      <c r="D21" s="137"/>
      <c r="E21" s="84"/>
      <c r="F21" s="84"/>
      <c r="G21" s="138" t="str">
        <f aca="false">IF(OR(E21="",F21=""),"",IF(AND(E21&lt;=2,F21&lt;=2),"TRIGGER","OK"))</f>
        <v/>
      </c>
      <c r="H21" s="84"/>
      <c r="I21" s="84"/>
      <c r="J21" s="138" t="str">
        <f aca="false">IF(OR(H21="",I21=""),"",IF(AND(H21&lt;=2,I21&lt;=2),"TRIGGER","OK"))</f>
        <v/>
      </c>
      <c r="K21" s="84"/>
      <c r="L21" s="84"/>
      <c r="M21" s="138" t="str">
        <f aca="false">IF(OR(K21="",L21=""),"",IF(AND(K21&lt;=2,L21&lt;=2),"TRIGGER","OK"))</f>
        <v/>
      </c>
      <c r="N21" s="84"/>
      <c r="O21" s="84"/>
      <c r="P21" s="138" t="str">
        <f aca="false">IF(OR(N21="",O21=""),"",IF(AND(N21&lt;=2,O21&lt;=2),"TRIGGER","OK"))</f>
        <v/>
      </c>
      <c r="Q21" s="84"/>
      <c r="R21" s="84"/>
      <c r="S21" s="138" t="str">
        <f aca="false">IF(OR(Q21="",R21=""),"",IF(AND(Q21&lt;=2,R21&lt;=2),"TRIGGER","OK"))</f>
        <v/>
      </c>
      <c r="T21" s="139"/>
      <c r="U21" s="139"/>
      <c r="V21" s="137"/>
      <c r="W21" s="137"/>
      <c r="X21" s="84"/>
      <c r="Y21" s="84"/>
      <c r="Z21" s="138"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7"/>
      <c r="D22" s="137"/>
      <c r="E22" s="84"/>
      <c r="F22" s="84"/>
      <c r="G22" s="138" t="str">
        <f aca="false">IF(OR(E22="",F22=""),"",IF(AND(E22&lt;=2,F22&lt;=2),"TRIGGER","OK"))</f>
        <v/>
      </c>
      <c r="H22" s="84"/>
      <c r="I22" s="84"/>
      <c r="J22" s="138" t="str">
        <f aca="false">IF(OR(H22="",I22=""),"",IF(AND(H22&lt;=2,I22&lt;=2),"TRIGGER","OK"))</f>
        <v/>
      </c>
      <c r="K22" s="84"/>
      <c r="L22" s="84"/>
      <c r="M22" s="138" t="str">
        <f aca="false">IF(OR(K22="",L22=""),"",IF(AND(K22&lt;=2,L22&lt;=2),"TRIGGER","OK"))</f>
        <v/>
      </c>
      <c r="N22" s="84"/>
      <c r="O22" s="84"/>
      <c r="P22" s="138" t="str">
        <f aca="false">IF(OR(N22="",O22=""),"",IF(AND(N22&lt;=2,O22&lt;=2),"TRIGGER","OK"))</f>
        <v/>
      </c>
      <c r="Q22" s="84"/>
      <c r="R22" s="84"/>
      <c r="S22" s="138" t="str">
        <f aca="false">IF(OR(Q22="",R22=""),"",IF(AND(Q22&lt;=2,R22&lt;=2),"TRIGGER","OK"))</f>
        <v/>
      </c>
      <c r="T22" s="139"/>
      <c r="U22" s="139"/>
      <c r="V22" s="137"/>
      <c r="W22" s="137"/>
      <c r="X22" s="84"/>
      <c r="Y22" s="84"/>
      <c r="Z22" s="138"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7"/>
      <c r="D23" s="137"/>
      <c r="E23" s="84"/>
      <c r="F23" s="84"/>
      <c r="G23" s="138" t="str">
        <f aca="false">IF(OR(E23="",F23=""),"",IF(AND(E23&lt;=2,F23&lt;=2),"TRIGGER","OK"))</f>
        <v/>
      </c>
      <c r="H23" s="84"/>
      <c r="I23" s="84"/>
      <c r="J23" s="138" t="str">
        <f aca="false">IF(OR(H23="",I23=""),"",IF(AND(H23&lt;=2,I23&lt;=2),"TRIGGER","OK"))</f>
        <v/>
      </c>
      <c r="K23" s="84"/>
      <c r="L23" s="84"/>
      <c r="M23" s="138" t="str">
        <f aca="false">IF(OR(K23="",L23=""),"",IF(AND(K23&lt;=2,L23&lt;=2),"TRIGGER","OK"))</f>
        <v/>
      </c>
      <c r="N23" s="84"/>
      <c r="O23" s="84"/>
      <c r="P23" s="138" t="str">
        <f aca="false">IF(OR(N23="",O23=""),"",IF(AND(N23&lt;=2,O23&lt;=2),"TRIGGER","OK"))</f>
        <v/>
      </c>
      <c r="Q23" s="84"/>
      <c r="R23" s="84"/>
      <c r="S23" s="138" t="str">
        <f aca="false">IF(OR(Q23="",R23=""),"",IF(AND(Q23&lt;=2,R23&lt;=2),"TRIGGER","OK"))</f>
        <v/>
      </c>
      <c r="T23" s="139"/>
      <c r="U23" s="139"/>
      <c r="V23" s="137"/>
      <c r="W23" s="137"/>
      <c r="X23" s="84"/>
      <c r="Y23" s="84"/>
      <c r="Z23" s="138"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2" t="s">
        <v>508</v>
      </c>
      <c r="B1" s="122"/>
      <c r="C1" s="122"/>
      <c r="D1" s="122"/>
      <c r="E1" s="122"/>
      <c r="F1" s="122"/>
      <c r="G1" s="122"/>
      <c r="H1" s="122"/>
      <c r="I1" s="122"/>
      <c r="J1" s="122"/>
      <c r="K1" s="122"/>
      <c r="L1" s="122"/>
      <c r="M1" s="122"/>
      <c r="N1" s="122"/>
      <c r="O1" s="122"/>
      <c r="P1" s="122"/>
      <c r="Q1" s="122"/>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0" t="s">
        <v>96</v>
      </c>
      <c r="B3" s="84" t="s">
        <v>97</v>
      </c>
      <c r="C3" s="141" t="n">
        <v>46241</v>
      </c>
      <c r="D3" s="142" t="n">
        <v>266.38</v>
      </c>
      <c r="E3" s="84" t="n">
        <v>85.8</v>
      </c>
      <c r="F3" s="84" t="s">
        <v>325</v>
      </c>
      <c r="G3" s="84" t="s">
        <v>523</v>
      </c>
      <c r="H3" s="142" t="n">
        <v>773.26</v>
      </c>
      <c r="I3" s="84" t="s">
        <v>524</v>
      </c>
      <c r="J3" s="141"/>
      <c r="K3" s="142"/>
      <c r="L3" s="84"/>
      <c r="M3" s="142" t="n">
        <v>259.32</v>
      </c>
      <c r="N3" s="142" t="n">
        <v>765.04</v>
      </c>
      <c r="O3" s="143" t="n">
        <f aca="false">IF(OR(D3="",M3=""),"",M3/D3-1)</f>
        <v>-0.026503491253097</v>
      </c>
      <c r="P3" s="144" t="n">
        <f aca="false">IF(OR(H3="",N3=""),"",N3/H3-1)</f>
        <v>-0.0106303183922614</v>
      </c>
      <c r="Q3" s="143" t="n">
        <f aca="false">IF(OR(O3="",P3=""),"",O3-P3)</f>
        <v>-0.0158731728608357</v>
      </c>
    </row>
    <row r="4" customFormat="false" ht="15" hidden="false" customHeight="true" outlineLevel="0" collapsed="false">
      <c r="A4" s="140" t="s">
        <v>162</v>
      </c>
      <c r="B4" s="84" t="s">
        <v>163</v>
      </c>
      <c r="C4" s="141" t="n">
        <v>46241</v>
      </c>
      <c r="D4" s="142" t="n">
        <v>488.77</v>
      </c>
      <c r="E4" s="84" t="n">
        <v>75.6</v>
      </c>
      <c r="F4" s="84" t="s">
        <v>325</v>
      </c>
      <c r="G4" s="84" t="s">
        <v>525</v>
      </c>
      <c r="H4" s="142" t="n">
        <v>773.26</v>
      </c>
      <c r="I4" s="84" t="s">
        <v>524</v>
      </c>
      <c r="J4" s="141"/>
      <c r="K4" s="142"/>
      <c r="L4" s="84"/>
      <c r="M4" s="142" t="n">
        <v>478.7</v>
      </c>
      <c r="N4" s="142" t="n">
        <v>765.04</v>
      </c>
      <c r="O4" s="143" t="n">
        <f aca="false">IF(OR(D4="",M4=""),"",M4/D4-1)</f>
        <v>-0.0206027374838881</v>
      </c>
      <c r="P4" s="144" t="n">
        <f aca="false">IF(OR(H4="",N4=""),"",N4/H4-1)</f>
        <v>-0.0106303183922614</v>
      </c>
      <c r="Q4" s="143" t="n">
        <f aca="false">IF(OR(O4="",P4=""),"",O4-P4)</f>
        <v>-0.00997241909162672</v>
      </c>
    </row>
    <row r="5" customFormat="false" ht="15" hidden="false" customHeight="true" outlineLevel="0" collapsed="false">
      <c r="A5" s="140" t="s">
        <v>165</v>
      </c>
      <c r="B5" s="84" t="s">
        <v>331</v>
      </c>
      <c r="C5" s="141" t="n">
        <v>46241</v>
      </c>
      <c r="D5" s="142" t="n">
        <v>139.92</v>
      </c>
      <c r="E5" s="84" t="n">
        <v>82</v>
      </c>
      <c r="F5" s="84" t="s">
        <v>325</v>
      </c>
      <c r="G5" s="84" t="s">
        <v>523</v>
      </c>
      <c r="H5" s="142" t="n">
        <v>773.26</v>
      </c>
      <c r="I5" s="84" t="s">
        <v>524</v>
      </c>
      <c r="J5" s="141"/>
      <c r="K5" s="142"/>
      <c r="L5" s="84"/>
      <c r="M5" s="142" t="n">
        <v>139.06</v>
      </c>
      <c r="N5" s="142" t="n">
        <v>765.04</v>
      </c>
      <c r="O5" s="143" t="n">
        <f aca="false">IF(OR(D5="",M5=""),"",M5/D5-1)</f>
        <v>-0.00614636935391644</v>
      </c>
      <c r="P5" s="144" t="n">
        <f aca="false">IF(OR(H5="",N5=""),"",N5/H5-1)</f>
        <v>-0.0106303183922614</v>
      </c>
      <c r="Q5" s="143" t="n">
        <f aca="false">IF(OR(O5="",P5=""),"",O5-P5)</f>
        <v>0.00448394903834493</v>
      </c>
    </row>
    <row r="6" customFormat="false" ht="15" hidden="false" customHeight="true" outlineLevel="0" collapsed="false">
      <c r="A6" s="140" t="s">
        <v>119</v>
      </c>
      <c r="B6" s="84" t="s">
        <v>120</v>
      </c>
      <c r="C6" s="141" t="n">
        <v>46273</v>
      </c>
      <c r="D6" s="142" t="n">
        <v>368.97</v>
      </c>
      <c r="E6" s="84" t="n">
        <v>86.4</v>
      </c>
      <c r="F6" s="84" t="s">
        <v>325</v>
      </c>
      <c r="G6" s="84" t="s">
        <v>523</v>
      </c>
      <c r="H6" s="142" t="n">
        <v>767.53</v>
      </c>
      <c r="I6" s="84" t="s">
        <v>524</v>
      </c>
      <c r="J6" s="141"/>
      <c r="K6" s="142"/>
      <c r="L6" s="84"/>
      <c r="M6" s="142" t="n">
        <v>367.68</v>
      </c>
      <c r="N6" s="142" t="n">
        <v>767.53</v>
      </c>
      <c r="O6" s="143" t="n">
        <f aca="false">IF(OR(D6="",M6=""),"",M6/D6-1)</f>
        <v>-0.00349621920481347</v>
      </c>
      <c r="P6" s="144" t="n">
        <f aca="false">IF(OR(H6="",N6=""),"",N6/H6-1)</f>
        <v>0</v>
      </c>
      <c r="Q6" s="143" t="n">
        <f aca="false">IF(OR(O6="",P6=""),"",O6-P6)</f>
        <v>-0.00349621920481347</v>
      </c>
    </row>
    <row r="7" customFormat="false" ht="15" hidden="false" customHeight="true" outlineLevel="0" collapsed="false">
      <c r="A7" s="140"/>
      <c r="B7" s="84"/>
      <c r="C7" s="141"/>
      <c r="D7" s="142"/>
      <c r="E7" s="84"/>
      <c r="F7" s="84"/>
      <c r="G7" s="84"/>
      <c r="H7" s="142"/>
      <c r="I7" s="84"/>
      <c r="J7" s="141"/>
      <c r="K7" s="142"/>
      <c r="L7" s="84"/>
      <c r="M7" s="142"/>
      <c r="N7" s="142"/>
      <c r="O7" s="143" t="str">
        <f aca="false">IF(OR(D7="",M7=""),"",M7/D7-1)</f>
        <v/>
      </c>
      <c r="P7" s="144" t="str">
        <f aca="false">IF(OR(H7="",N7=""),"",N7/H7-1)</f>
        <v/>
      </c>
      <c r="Q7" s="143" t="str">
        <f aca="false">IF(OR(O7="",P7=""),"",O7-P7)</f>
        <v/>
      </c>
    </row>
    <row r="8" customFormat="false" ht="15" hidden="false" customHeight="true" outlineLevel="0" collapsed="false">
      <c r="A8" s="140"/>
      <c r="B8" s="84"/>
      <c r="C8" s="141"/>
      <c r="D8" s="142"/>
      <c r="E8" s="84"/>
      <c r="F8" s="84"/>
      <c r="G8" s="84"/>
      <c r="H8" s="142"/>
      <c r="I8" s="84"/>
      <c r="J8" s="141"/>
      <c r="K8" s="142"/>
      <c r="L8" s="84"/>
      <c r="M8" s="142"/>
      <c r="N8" s="142"/>
      <c r="O8" s="143" t="str">
        <f aca="false">IF(OR(D8="",M8=""),"",M8/D8-1)</f>
        <v/>
      </c>
      <c r="P8" s="144" t="str">
        <f aca="false">IF(OR(H8="",N8=""),"",N8/H8-1)</f>
        <v/>
      </c>
      <c r="Q8" s="143" t="str">
        <f aca="false">IF(OR(O8="",P8=""),"",O8-P8)</f>
        <v/>
      </c>
    </row>
    <row r="9" customFormat="false" ht="15" hidden="false" customHeight="true" outlineLevel="0" collapsed="false">
      <c r="A9" s="140"/>
      <c r="B9" s="84"/>
      <c r="C9" s="141"/>
      <c r="D9" s="142"/>
      <c r="E9" s="84"/>
      <c r="F9" s="84"/>
      <c r="G9" s="84"/>
      <c r="H9" s="142"/>
      <c r="I9" s="84"/>
      <c r="J9" s="141"/>
      <c r="K9" s="142"/>
      <c r="L9" s="84"/>
      <c r="M9" s="142"/>
      <c r="N9" s="142"/>
      <c r="O9" s="143" t="str">
        <f aca="false">IF(OR(D9="",M9=""),"",M9/D9-1)</f>
        <v/>
      </c>
      <c r="P9" s="144" t="str">
        <f aca="false">IF(OR(H9="",N9=""),"",N9/H9-1)</f>
        <v/>
      </c>
      <c r="Q9" s="143" t="str">
        <f aca="false">IF(OR(O9="",P9=""),"",O9-P9)</f>
        <v/>
      </c>
    </row>
    <row r="10" customFormat="false" ht="15" hidden="false" customHeight="true" outlineLevel="0" collapsed="false">
      <c r="A10" s="140"/>
      <c r="B10" s="84"/>
      <c r="C10" s="141"/>
      <c r="D10" s="142"/>
      <c r="E10" s="84"/>
      <c r="F10" s="84"/>
      <c r="G10" s="84"/>
      <c r="H10" s="142"/>
      <c r="I10" s="84"/>
      <c r="J10" s="141"/>
      <c r="K10" s="142"/>
      <c r="L10" s="84"/>
      <c r="M10" s="142"/>
      <c r="N10" s="142"/>
      <c r="O10" s="143" t="str">
        <f aca="false">IF(OR(D10="",M10=""),"",M10/D10-1)</f>
        <v/>
      </c>
      <c r="P10" s="144" t="str">
        <f aca="false">IF(OR(H10="",N10=""),"",N10/H10-1)</f>
        <v/>
      </c>
      <c r="Q10" s="143" t="str">
        <f aca="false">IF(OR(O10="",P10=""),"",O10-P10)</f>
        <v/>
      </c>
    </row>
    <row r="11" customFormat="false" ht="15" hidden="false" customHeight="true" outlineLevel="0" collapsed="false">
      <c r="A11" s="140"/>
      <c r="B11" s="84"/>
      <c r="C11" s="141"/>
      <c r="D11" s="142"/>
      <c r="E11" s="84"/>
      <c r="F11" s="84"/>
      <c r="G11" s="84"/>
      <c r="H11" s="142"/>
      <c r="I11" s="84"/>
      <c r="J11" s="141"/>
      <c r="K11" s="142"/>
      <c r="L11" s="84"/>
      <c r="M11" s="142"/>
      <c r="N11" s="142"/>
      <c r="O11" s="143" t="str">
        <f aca="false">IF(OR(D11="",M11=""),"",M11/D11-1)</f>
        <v/>
      </c>
      <c r="P11" s="144" t="str">
        <f aca="false">IF(OR(H11="",N11=""),"",N11/H11-1)</f>
        <v/>
      </c>
      <c r="Q11" s="143" t="str">
        <f aca="false">IF(OR(O11="",P11=""),"",O11-P11)</f>
        <v/>
      </c>
    </row>
    <row r="12" customFormat="false" ht="15" hidden="false" customHeight="true" outlineLevel="0" collapsed="false">
      <c r="A12" s="140"/>
      <c r="B12" s="84"/>
      <c r="C12" s="141"/>
      <c r="D12" s="142"/>
      <c r="E12" s="84"/>
      <c r="F12" s="84"/>
      <c r="G12" s="84"/>
      <c r="H12" s="142"/>
      <c r="I12" s="84"/>
      <c r="J12" s="141"/>
      <c r="K12" s="142"/>
      <c r="L12" s="84"/>
      <c r="M12" s="142"/>
      <c r="N12" s="142"/>
      <c r="O12" s="143" t="str">
        <f aca="false">IF(OR(D12="",M12=""),"",M12/D12-1)</f>
        <v/>
      </c>
      <c r="P12" s="144" t="str">
        <f aca="false">IF(OR(H12="",N12=""),"",N12/H12-1)</f>
        <v/>
      </c>
      <c r="Q12" s="143" t="str">
        <f aca="false">IF(OR(O12="",P12=""),"",O12-P12)</f>
        <v/>
      </c>
    </row>
    <row r="13" customFormat="false" ht="15" hidden="false" customHeight="true" outlineLevel="0" collapsed="false">
      <c r="A13" s="140"/>
      <c r="B13" s="84"/>
      <c r="C13" s="141"/>
      <c r="D13" s="142"/>
      <c r="E13" s="84"/>
      <c r="F13" s="84"/>
      <c r="G13" s="84"/>
      <c r="H13" s="142"/>
      <c r="I13" s="84"/>
      <c r="J13" s="141"/>
      <c r="K13" s="142"/>
      <c r="L13" s="84"/>
      <c r="M13" s="142"/>
      <c r="N13" s="142"/>
      <c r="O13" s="143" t="str">
        <f aca="false">IF(OR(D13="",M13=""),"",M13/D13-1)</f>
        <v/>
      </c>
      <c r="P13" s="144" t="str">
        <f aca="false">IF(OR(H13="",N13=""),"",N13/H13-1)</f>
        <v/>
      </c>
      <c r="Q13" s="143" t="str">
        <f aca="false">IF(OR(O13="",P13=""),"",O13-P13)</f>
        <v/>
      </c>
    </row>
    <row r="14" customFormat="false" ht="15" hidden="false" customHeight="true" outlineLevel="0" collapsed="false">
      <c r="A14" s="140"/>
      <c r="B14" s="84"/>
      <c r="C14" s="141"/>
      <c r="D14" s="142"/>
      <c r="E14" s="84"/>
      <c r="F14" s="84"/>
      <c r="G14" s="84"/>
      <c r="H14" s="142"/>
      <c r="I14" s="84"/>
      <c r="J14" s="141"/>
      <c r="K14" s="142"/>
      <c r="L14" s="84"/>
      <c r="M14" s="142"/>
      <c r="N14" s="142"/>
      <c r="O14" s="143" t="str">
        <f aca="false">IF(OR(D14="",M14=""),"",M14/D14-1)</f>
        <v/>
      </c>
      <c r="P14" s="144" t="str">
        <f aca="false">IF(OR(H14="",N14=""),"",N14/H14-1)</f>
        <v/>
      </c>
      <c r="Q14" s="143" t="str">
        <f aca="false">IF(OR(O14="",P14=""),"",O14-P14)</f>
        <v/>
      </c>
    </row>
    <row r="15" customFormat="false" ht="15" hidden="false" customHeight="true" outlineLevel="0" collapsed="false">
      <c r="A15" s="140"/>
      <c r="B15" s="84"/>
      <c r="C15" s="141"/>
      <c r="D15" s="142"/>
      <c r="E15" s="84"/>
      <c r="F15" s="84"/>
      <c r="G15" s="84"/>
      <c r="H15" s="142"/>
      <c r="I15" s="84"/>
      <c r="J15" s="141"/>
      <c r="K15" s="142"/>
      <c r="L15" s="84"/>
      <c r="M15" s="142"/>
      <c r="N15" s="142"/>
      <c r="O15" s="143" t="str">
        <f aca="false">IF(OR(D15="",M15=""),"",M15/D15-1)</f>
        <v/>
      </c>
      <c r="P15" s="144" t="str">
        <f aca="false">IF(OR(H15="",N15=""),"",N15/H15-1)</f>
        <v/>
      </c>
      <c r="Q15" s="143" t="str">
        <f aca="false">IF(OR(O15="",P15=""),"",O15-P15)</f>
        <v/>
      </c>
    </row>
    <row r="16" customFormat="false" ht="15" hidden="false" customHeight="true" outlineLevel="0" collapsed="false">
      <c r="A16" s="140"/>
      <c r="B16" s="84"/>
      <c r="C16" s="141"/>
      <c r="D16" s="142"/>
      <c r="E16" s="84"/>
      <c r="F16" s="84"/>
      <c r="G16" s="84"/>
      <c r="H16" s="142"/>
      <c r="I16" s="84"/>
      <c r="J16" s="141"/>
      <c r="K16" s="142"/>
      <c r="L16" s="84"/>
      <c r="M16" s="142"/>
      <c r="N16" s="142"/>
      <c r="O16" s="143" t="str">
        <f aca="false">IF(OR(D16="",M16=""),"",M16/D16-1)</f>
        <v/>
      </c>
      <c r="P16" s="144" t="str">
        <f aca="false">IF(OR(H16="",N16=""),"",N16/H16-1)</f>
        <v/>
      </c>
      <c r="Q16" s="143" t="str">
        <f aca="false">IF(OR(O16="",P16=""),"",O16-P16)</f>
        <v/>
      </c>
    </row>
    <row r="17" customFormat="false" ht="15" hidden="false" customHeight="true" outlineLevel="0" collapsed="false">
      <c r="A17" s="140"/>
      <c r="B17" s="84"/>
      <c r="C17" s="141"/>
      <c r="D17" s="142"/>
      <c r="E17" s="84"/>
      <c r="F17" s="84"/>
      <c r="G17" s="84"/>
      <c r="H17" s="142"/>
      <c r="I17" s="84"/>
      <c r="J17" s="141"/>
      <c r="K17" s="142"/>
      <c r="L17" s="84"/>
      <c r="M17" s="142"/>
      <c r="N17" s="142"/>
      <c r="O17" s="143" t="str">
        <f aca="false">IF(OR(D17="",M17=""),"",M17/D17-1)</f>
        <v/>
      </c>
      <c r="P17" s="144" t="str">
        <f aca="false">IF(OR(H17="",N17=""),"",N17/H17-1)</f>
        <v/>
      </c>
      <c r="Q17" s="143" t="str">
        <f aca="false">IF(OR(O17="",P17=""),"",O17-P17)</f>
        <v/>
      </c>
    </row>
    <row r="18" customFormat="false" ht="15" hidden="false" customHeight="true" outlineLevel="0" collapsed="false">
      <c r="A18" s="140"/>
      <c r="B18" s="84"/>
      <c r="C18" s="141"/>
      <c r="D18" s="142"/>
      <c r="E18" s="84"/>
      <c r="F18" s="84"/>
      <c r="G18" s="84"/>
      <c r="H18" s="142"/>
      <c r="I18" s="84"/>
      <c r="J18" s="141"/>
      <c r="K18" s="142"/>
      <c r="L18" s="84"/>
      <c r="M18" s="142"/>
      <c r="N18" s="142"/>
      <c r="O18" s="143" t="str">
        <f aca="false">IF(OR(D18="",M18=""),"",M18/D18-1)</f>
        <v/>
      </c>
      <c r="P18" s="144" t="str">
        <f aca="false">IF(OR(H18="",N18=""),"",N18/H18-1)</f>
        <v/>
      </c>
      <c r="Q18" s="143" t="str">
        <f aca="false">IF(OR(O18="",P18=""),"",O18-P18)</f>
        <v/>
      </c>
    </row>
    <row r="19" customFormat="false" ht="15" hidden="false" customHeight="true" outlineLevel="0" collapsed="false">
      <c r="A19" s="140"/>
      <c r="B19" s="84"/>
      <c r="C19" s="141"/>
      <c r="D19" s="142"/>
      <c r="E19" s="84"/>
      <c r="F19" s="84"/>
      <c r="G19" s="84"/>
      <c r="H19" s="142"/>
      <c r="I19" s="84"/>
      <c r="J19" s="141"/>
      <c r="K19" s="142"/>
      <c r="L19" s="84"/>
      <c r="M19" s="142"/>
      <c r="N19" s="142"/>
      <c r="O19" s="143" t="str">
        <f aca="false">IF(OR(D19="",M19=""),"",M19/D19-1)</f>
        <v/>
      </c>
      <c r="P19" s="144" t="str">
        <f aca="false">IF(OR(H19="",N19=""),"",N19/H19-1)</f>
        <v/>
      </c>
      <c r="Q19" s="143" t="str">
        <f aca="false">IF(OR(O19="",P19=""),"",O19-P19)</f>
        <v/>
      </c>
    </row>
    <row r="20" customFormat="false" ht="15" hidden="false" customHeight="true" outlineLevel="0" collapsed="false">
      <c r="A20" s="140"/>
      <c r="B20" s="84"/>
      <c r="C20" s="141"/>
      <c r="D20" s="142"/>
      <c r="E20" s="84"/>
      <c r="F20" s="84"/>
      <c r="G20" s="84"/>
      <c r="H20" s="142"/>
      <c r="I20" s="84"/>
      <c r="J20" s="141"/>
      <c r="K20" s="142"/>
      <c r="L20" s="84"/>
      <c r="M20" s="142"/>
      <c r="N20" s="142"/>
      <c r="O20" s="143" t="str">
        <f aca="false">IF(OR(D20="",M20=""),"",M20/D20-1)</f>
        <v/>
      </c>
      <c r="P20" s="144" t="str">
        <f aca="false">IF(OR(H20="",N20=""),"",N20/H20-1)</f>
        <v/>
      </c>
      <c r="Q20" s="143" t="str">
        <f aca="false">IF(OR(O20="",P20=""),"",O20-P20)</f>
        <v/>
      </c>
    </row>
    <row r="21" customFormat="false" ht="15" hidden="false" customHeight="true" outlineLevel="0" collapsed="false">
      <c r="A21" s="140"/>
      <c r="B21" s="84"/>
      <c r="C21" s="141"/>
      <c r="D21" s="142"/>
      <c r="E21" s="84"/>
      <c r="F21" s="84"/>
      <c r="G21" s="84"/>
      <c r="H21" s="142"/>
      <c r="I21" s="84"/>
      <c r="J21" s="141"/>
      <c r="K21" s="142"/>
      <c r="L21" s="84"/>
      <c r="M21" s="142"/>
      <c r="N21" s="142"/>
      <c r="O21" s="143" t="str">
        <f aca="false">IF(OR(D21="",M21=""),"",M21/D21-1)</f>
        <v/>
      </c>
      <c r="P21" s="144" t="str">
        <f aca="false">IF(OR(H21="",N21=""),"",N21/H21-1)</f>
        <v/>
      </c>
      <c r="Q21" s="143" t="str">
        <f aca="false">IF(OR(O21="",P21=""),"",O21-P21)</f>
        <v/>
      </c>
    </row>
    <row r="22" customFormat="false" ht="15" hidden="false" customHeight="true" outlineLevel="0" collapsed="false">
      <c r="A22" s="140"/>
      <c r="B22" s="84"/>
      <c r="C22" s="141"/>
      <c r="D22" s="142"/>
      <c r="E22" s="84"/>
      <c r="F22" s="84"/>
      <c r="G22" s="84"/>
      <c r="H22" s="142"/>
      <c r="I22" s="84"/>
      <c r="J22" s="141"/>
      <c r="K22" s="142"/>
      <c r="L22" s="84"/>
      <c r="M22" s="142"/>
      <c r="N22" s="142"/>
      <c r="O22" s="143" t="str">
        <f aca="false">IF(OR(D22="",M22=""),"",M22/D22-1)</f>
        <v/>
      </c>
      <c r="P22" s="144" t="str">
        <f aca="false">IF(OR(H22="",N22=""),"",N22/H22-1)</f>
        <v/>
      </c>
      <c r="Q22" s="143" t="str">
        <f aca="false">IF(OR(O22="",P22=""),"",O22-P22)</f>
        <v/>
      </c>
    </row>
    <row r="23" customFormat="false" ht="15" hidden="false" customHeight="true" outlineLevel="0" collapsed="false">
      <c r="A23" s="140"/>
      <c r="B23" s="84"/>
      <c r="C23" s="141"/>
      <c r="D23" s="142"/>
      <c r="E23" s="84"/>
      <c r="F23" s="84"/>
      <c r="G23" s="84"/>
      <c r="H23" s="142"/>
      <c r="I23" s="84"/>
      <c r="J23" s="141"/>
      <c r="K23" s="142"/>
      <c r="L23" s="84"/>
      <c r="M23" s="142"/>
      <c r="N23" s="142"/>
      <c r="O23" s="143" t="str">
        <f aca="false">IF(OR(D23="",M23=""),"",M23/D23-1)</f>
        <v/>
      </c>
      <c r="P23" s="144" t="str">
        <f aca="false">IF(OR(H23="",N23=""),"",N23/H23-1)</f>
        <v/>
      </c>
      <c r="Q23" s="143" t="str">
        <f aca="false">IF(OR(O23="",P23=""),"",O23-P23)</f>
        <v/>
      </c>
    </row>
    <row r="24" customFormat="false" ht="15" hidden="false" customHeight="true" outlineLevel="0" collapsed="false">
      <c r="A24" s="140"/>
      <c r="B24" s="84"/>
      <c r="C24" s="141"/>
      <c r="D24" s="142"/>
      <c r="E24" s="84"/>
      <c r="F24" s="84"/>
      <c r="G24" s="84"/>
      <c r="H24" s="142"/>
      <c r="I24" s="84"/>
      <c r="J24" s="141"/>
      <c r="K24" s="142"/>
      <c r="L24" s="84"/>
      <c r="M24" s="142"/>
      <c r="N24" s="142"/>
      <c r="O24" s="143" t="str">
        <f aca="false">IF(OR(D24="",M24=""),"",M24/D24-1)</f>
        <v/>
      </c>
      <c r="P24" s="144" t="str">
        <f aca="false">IF(OR(H24="",N24=""),"",N24/H24-1)</f>
        <v/>
      </c>
      <c r="Q24" s="143" t="str">
        <f aca="false">IF(OR(O24="",P24=""),"",O24-P24)</f>
        <v/>
      </c>
    </row>
    <row r="25" customFormat="false" ht="15" hidden="false" customHeight="true" outlineLevel="0" collapsed="false">
      <c r="A25" s="140"/>
      <c r="B25" s="84"/>
      <c r="C25" s="141"/>
      <c r="D25" s="142"/>
      <c r="E25" s="84"/>
      <c r="F25" s="84"/>
      <c r="G25" s="84"/>
      <c r="H25" s="142"/>
      <c r="I25" s="84"/>
      <c r="J25" s="141"/>
      <c r="K25" s="142"/>
      <c r="L25" s="84"/>
      <c r="M25" s="142"/>
      <c r="N25" s="142"/>
      <c r="O25" s="143" t="str">
        <f aca="false">IF(OR(D25="",M25=""),"",M25/D25-1)</f>
        <v/>
      </c>
      <c r="P25" s="144" t="str">
        <f aca="false">IF(OR(H25="",N25=""),"",N25/H25-1)</f>
        <v/>
      </c>
      <c r="Q25" s="143" t="str">
        <f aca="false">IF(OR(O25="",P25=""),"",O25-P25)</f>
        <v/>
      </c>
    </row>
    <row r="26" customFormat="false" ht="15" hidden="false" customHeight="true" outlineLevel="0" collapsed="false">
      <c r="A26" s="140"/>
      <c r="B26" s="84"/>
      <c r="C26" s="141"/>
      <c r="D26" s="142"/>
      <c r="E26" s="84"/>
      <c r="F26" s="84"/>
      <c r="G26" s="84"/>
      <c r="H26" s="142"/>
      <c r="I26" s="84"/>
      <c r="J26" s="141"/>
      <c r="K26" s="142"/>
      <c r="L26" s="84"/>
      <c r="M26" s="142"/>
      <c r="N26" s="142"/>
      <c r="O26" s="143" t="str">
        <f aca="false">IF(OR(D26="",M26=""),"",M26/D26-1)</f>
        <v/>
      </c>
      <c r="P26" s="144" t="str">
        <f aca="false">IF(OR(H26="",N26=""),"",N26/H26-1)</f>
        <v/>
      </c>
      <c r="Q26" s="143" t="str">
        <f aca="false">IF(OR(O26="",P26=""),"",O26-P26)</f>
        <v/>
      </c>
    </row>
    <row r="27" customFormat="false" ht="15" hidden="false" customHeight="true" outlineLevel="0" collapsed="false">
      <c r="A27" s="140"/>
      <c r="B27" s="84"/>
      <c r="C27" s="141"/>
      <c r="D27" s="142"/>
      <c r="E27" s="84"/>
      <c r="F27" s="84"/>
      <c r="G27" s="84"/>
      <c r="H27" s="142"/>
      <c r="I27" s="84"/>
      <c r="J27" s="141"/>
      <c r="K27" s="142"/>
      <c r="L27" s="84"/>
      <c r="M27" s="142"/>
      <c r="N27" s="142"/>
      <c r="O27" s="143" t="str">
        <f aca="false">IF(OR(D27="",M27=""),"",M27/D27-1)</f>
        <v/>
      </c>
      <c r="P27" s="144" t="str">
        <f aca="false">IF(OR(H27="",N27=""),"",N27/H27-1)</f>
        <v/>
      </c>
      <c r="Q27" s="143" t="str">
        <f aca="false">IF(OR(O27="",P27=""),"",O27-P27)</f>
        <v/>
      </c>
    </row>
    <row r="28" customFormat="false" ht="15" hidden="false" customHeight="true" outlineLevel="0" collapsed="false">
      <c r="A28" s="140"/>
      <c r="B28" s="84"/>
      <c r="C28" s="141"/>
      <c r="D28" s="142"/>
      <c r="E28" s="84"/>
      <c r="F28" s="84"/>
      <c r="G28" s="84"/>
      <c r="H28" s="142"/>
      <c r="I28" s="84"/>
      <c r="J28" s="141"/>
      <c r="K28" s="142"/>
      <c r="L28" s="84"/>
      <c r="M28" s="142"/>
      <c r="N28" s="142"/>
      <c r="O28" s="143" t="str">
        <f aca="false">IF(OR(D28="",M28=""),"",M28/D28-1)</f>
        <v/>
      </c>
      <c r="P28" s="144" t="str">
        <f aca="false">IF(OR(H28="",N28=""),"",N28/H28-1)</f>
        <v/>
      </c>
      <c r="Q28" s="143" t="str">
        <f aca="false">IF(OR(O28="",P28=""),"",O28-P28)</f>
        <v/>
      </c>
    </row>
    <row r="29" customFormat="false" ht="15" hidden="false" customHeight="true" outlineLevel="0" collapsed="false">
      <c r="A29" s="140"/>
      <c r="B29" s="84"/>
      <c r="C29" s="141"/>
      <c r="D29" s="142"/>
      <c r="E29" s="84"/>
      <c r="F29" s="84"/>
      <c r="G29" s="84"/>
      <c r="H29" s="142"/>
      <c r="I29" s="84"/>
      <c r="J29" s="141"/>
      <c r="K29" s="142"/>
      <c r="L29" s="84"/>
      <c r="M29" s="142"/>
      <c r="N29" s="142"/>
      <c r="O29" s="143" t="str">
        <f aca="false">IF(OR(D29="",M29=""),"",M29/D29-1)</f>
        <v/>
      </c>
      <c r="P29" s="144" t="str">
        <f aca="false">IF(OR(H29="",N29=""),"",N29/H29-1)</f>
        <v/>
      </c>
      <c r="Q29" s="143" t="str">
        <f aca="false">IF(OR(O29="",P29=""),"",O29-P29)</f>
        <v/>
      </c>
    </row>
    <row r="30" customFormat="false" ht="15" hidden="false" customHeight="true" outlineLevel="0" collapsed="false">
      <c r="A30" s="140"/>
      <c r="B30" s="84"/>
      <c r="C30" s="141"/>
      <c r="D30" s="142"/>
      <c r="E30" s="84"/>
      <c r="F30" s="84"/>
      <c r="G30" s="84"/>
      <c r="H30" s="142"/>
      <c r="I30" s="84"/>
      <c r="J30" s="141"/>
      <c r="K30" s="142"/>
      <c r="L30" s="84"/>
      <c r="M30" s="142"/>
      <c r="N30" s="142"/>
      <c r="O30" s="143" t="str">
        <f aca="false">IF(OR(D30="",M30=""),"",M30/D30-1)</f>
        <v/>
      </c>
      <c r="P30" s="144" t="str">
        <f aca="false">IF(OR(H30="",N30=""),"",N30/H30-1)</f>
        <v/>
      </c>
      <c r="Q30" s="143" t="str">
        <f aca="false">IF(OR(O30="",P30=""),"",O30-P30)</f>
        <v/>
      </c>
    </row>
    <row r="31" customFormat="false" ht="15" hidden="false" customHeight="true" outlineLevel="0" collapsed="false">
      <c r="A31" s="140"/>
      <c r="B31" s="84"/>
      <c r="C31" s="141"/>
      <c r="D31" s="142"/>
      <c r="E31" s="84"/>
      <c r="F31" s="84"/>
      <c r="G31" s="84"/>
      <c r="H31" s="142"/>
      <c r="I31" s="84"/>
      <c r="J31" s="141"/>
      <c r="K31" s="142"/>
      <c r="L31" s="84"/>
      <c r="M31" s="142"/>
      <c r="N31" s="142"/>
      <c r="O31" s="143" t="str">
        <f aca="false">IF(OR(D31="",M31=""),"",M31/D31-1)</f>
        <v/>
      </c>
      <c r="P31" s="144" t="str">
        <f aca="false">IF(OR(H31="",N31=""),"",N31/H31-1)</f>
        <v/>
      </c>
      <c r="Q31" s="143" t="str">
        <f aca="false">IF(OR(O31="",P31=""),"",O31-P31)</f>
        <v/>
      </c>
    </row>
    <row r="32" customFormat="false" ht="15" hidden="false" customHeight="true" outlineLevel="0" collapsed="false">
      <c r="A32" s="140"/>
      <c r="B32" s="84"/>
      <c r="C32" s="141"/>
      <c r="D32" s="142"/>
      <c r="E32" s="84"/>
      <c r="F32" s="84"/>
      <c r="G32" s="84"/>
      <c r="H32" s="142"/>
      <c r="I32" s="84"/>
      <c r="J32" s="141"/>
      <c r="K32" s="142"/>
      <c r="L32" s="84"/>
      <c r="M32" s="142"/>
      <c r="N32" s="142"/>
      <c r="O32" s="143" t="str">
        <f aca="false">IF(OR(D32="",M32=""),"",M32/D32-1)</f>
        <v/>
      </c>
      <c r="P32" s="144" t="str">
        <f aca="false">IF(OR(H32="",N32=""),"",N32/H32-1)</f>
        <v/>
      </c>
      <c r="Q32" s="143" t="str">
        <f aca="false">IF(OR(O32="",P32=""),"",O32-P32)</f>
        <v/>
      </c>
    </row>
    <row r="34" customFormat="false" ht="25.5" hidden="false" customHeight="true" outlineLevel="0" collapsed="false">
      <c r="A34" s="145" t="s">
        <v>526</v>
      </c>
      <c r="B34" s="145"/>
      <c r="C34" s="145"/>
      <c r="D34" s="145"/>
      <c r="E34" s="145"/>
      <c r="F34" s="145"/>
      <c r="G34" s="145"/>
      <c r="H34" s="145"/>
      <c r="I34" s="145"/>
      <c r="J34" s="145"/>
      <c r="K34" s="145"/>
      <c r="L34" s="145"/>
      <c r="M34" s="145"/>
      <c r="N34" s="145"/>
      <c r="O34" s="145"/>
      <c r="P34" s="145"/>
      <c r="Q34" s="145"/>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6" width="13"/>
    <col collapsed="false" customWidth="true" hidden="false" outlineLevel="0" max="2" min="2" style="146" width="15.33"/>
    <col collapsed="false" customWidth="true" hidden="false" outlineLevel="0" max="3" min="3" style="1" width="111.51"/>
  </cols>
  <sheetData>
    <row r="1" customFormat="false" ht="27.75" hidden="false" customHeight="true" outlineLevel="0" collapsed="false">
      <c r="A1" s="93" t="s">
        <v>527</v>
      </c>
      <c r="B1" s="93"/>
      <c r="C1" s="93"/>
    </row>
    <row r="2" customFormat="false" ht="18" hidden="false" customHeight="true" outlineLevel="0" collapsed="false">
      <c r="A2" s="107" t="s">
        <v>448</v>
      </c>
      <c r="B2" s="107" t="s">
        <v>82</v>
      </c>
      <c r="C2" s="107" t="s">
        <v>205</v>
      </c>
    </row>
    <row r="3" customFormat="false" ht="15" hidden="false" customHeight="true" outlineLevel="0" collapsed="false">
      <c r="A3" s="81" t="n">
        <v>46241</v>
      </c>
      <c r="B3" s="80" t="s">
        <v>168</v>
      </c>
      <c r="C3" s="147" t="s">
        <v>528</v>
      </c>
    </row>
    <row r="4" customFormat="false" ht="15" hidden="false" customHeight="true" outlineLevel="0" collapsed="false">
      <c r="A4" s="81" t="n">
        <v>46241</v>
      </c>
      <c r="B4" s="80" t="s">
        <v>171</v>
      </c>
      <c r="C4" s="147" t="s">
        <v>529</v>
      </c>
    </row>
    <row r="5" customFormat="false" ht="15" hidden="false" customHeight="true" outlineLevel="0" collapsed="false">
      <c r="A5" s="81" t="n">
        <v>46241</v>
      </c>
      <c r="B5" s="80" t="s">
        <v>179</v>
      </c>
      <c r="C5" s="147" t="s">
        <v>530</v>
      </c>
    </row>
    <row r="6" customFormat="false" ht="27.75" hidden="false" customHeight="true" outlineLevel="0" collapsed="false">
      <c r="A6" s="81" t="n">
        <v>46241</v>
      </c>
      <c r="B6" s="80" t="s">
        <v>162</v>
      </c>
      <c r="C6" s="147" t="s">
        <v>531</v>
      </c>
    </row>
    <row r="7" customFormat="false" ht="30" hidden="false" customHeight="true" outlineLevel="0" collapsed="false">
      <c r="A7" s="81" t="n">
        <v>46241</v>
      </c>
      <c r="B7" s="80" t="s">
        <v>532</v>
      </c>
      <c r="C7" s="147" t="s">
        <v>533</v>
      </c>
    </row>
    <row r="8" customFormat="false" ht="28.5" hidden="false" customHeight="true" outlineLevel="0" collapsed="false">
      <c r="A8" s="81" t="n">
        <v>46241</v>
      </c>
      <c r="B8" s="80" t="s">
        <v>532</v>
      </c>
      <c r="C8" s="147" t="s">
        <v>534</v>
      </c>
    </row>
    <row r="9" customFormat="false" ht="30" hidden="false" customHeight="true" outlineLevel="0" collapsed="false">
      <c r="A9" s="81" t="n">
        <v>46241</v>
      </c>
      <c r="B9" s="80" t="s">
        <v>535</v>
      </c>
      <c r="C9" s="147" t="s">
        <v>536</v>
      </c>
    </row>
    <row r="10" customFormat="false" ht="28.5" hidden="false" customHeight="true" outlineLevel="0" collapsed="false">
      <c r="A10" s="81" t="n">
        <v>46241</v>
      </c>
      <c r="B10" s="80" t="s">
        <v>537</v>
      </c>
      <c r="C10" s="147" t="s">
        <v>538</v>
      </c>
    </row>
    <row r="11" customFormat="false" ht="28.5" hidden="false" customHeight="true" outlineLevel="0" collapsed="false">
      <c r="A11" s="81" t="n">
        <v>46241</v>
      </c>
      <c r="B11" s="80" t="s">
        <v>130</v>
      </c>
      <c r="C11" s="147" t="s">
        <v>539</v>
      </c>
    </row>
    <row r="12" customFormat="false" ht="75" hidden="false" customHeight="true" outlineLevel="0" collapsed="false">
      <c r="A12" s="81" t="n">
        <v>46273</v>
      </c>
      <c r="B12" s="80" t="s">
        <v>540</v>
      </c>
      <c r="C12" s="147" t="s">
        <v>541</v>
      </c>
    </row>
    <row r="13" customFormat="false" ht="60" hidden="false" customHeight="true" outlineLevel="0" collapsed="false">
      <c r="A13" s="81" t="n">
        <v>46295</v>
      </c>
      <c r="B13" s="80" t="s">
        <v>542</v>
      </c>
      <c r="C13" s="147" t="s">
        <v>543</v>
      </c>
    </row>
    <row r="14" customFormat="false" ht="57.75" hidden="false" customHeight="true" outlineLevel="0" collapsed="false">
      <c r="A14" s="81" t="n">
        <v>46302</v>
      </c>
      <c r="B14" s="80" t="s">
        <v>544</v>
      </c>
      <c r="C14" s="147" t="s">
        <v>545</v>
      </c>
    </row>
    <row r="15" customFormat="false" ht="105" hidden="false" customHeight="true" outlineLevel="0" collapsed="false">
      <c r="A15" s="81" t="n">
        <v>46320</v>
      </c>
      <c r="B15" s="80" t="s">
        <v>546</v>
      </c>
      <c r="C15" s="147" t="s">
        <v>547</v>
      </c>
    </row>
    <row r="16" customFormat="false" ht="30.75" hidden="false" customHeight="true" outlineLevel="0" collapsed="false">
      <c r="A16" s="81" t="n">
        <v>46335</v>
      </c>
      <c r="B16" s="80" t="s">
        <v>548</v>
      </c>
      <c r="C16" s="147" t="s">
        <v>549</v>
      </c>
    </row>
    <row r="17" customFormat="false" ht="30.75" hidden="false" customHeight="true" outlineLevel="0" collapsed="false">
      <c r="A17" s="81" t="n">
        <v>46387</v>
      </c>
      <c r="B17" s="80" t="s">
        <v>550</v>
      </c>
      <c r="C17" s="147" t="s">
        <v>551</v>
      </c>
    </row>
    <row r="18" customFormat="false" ht="86.25" hidden="false" customHeight="true" outlineLevel="0" collapsed="false">
      <c r="A18" s="81" t="n">
        <v>46412</v>
      </c>
      <c r="B18" s="80" t="s">
        <v>552</v>
      </c>
      <c r="C18" s="147" t="s">
        <v>553</v>
      </c>
    </row>
    <row r="19" customFormat="false" ht="100.5" hidden="false" customHeight="true" outlineLevel="0" collapsed="false">
      <c r="A19" s="81" t="n">
        <v>46252</v>
      </c>
      <c r="B19" s="148" t="s">
        <v>554</v>
      </c>
      <c r="C19" s="147" t="s">
        <v>555</v>
      </c>
    </row>
    <row r="20" customFormat="false" ht="75.75" hidden="false" customHeight="true" outlineLevel="0" collapsed="false">
      <c r="A20" s="81" t="n">
        <v>46258</v>
      </c>
      <c r="B20" s="148" t="s">
        <v>556</v>
      </c>
      <c r="C20" s="147" t="s">
        <v>557</v>
      </c>
    </row>
    <row r="21" customFormat="false" ht="15" hidden="false" customHeight="true" outlineLevel="0" collapsed="false">
      <c r="A21" s="81" t="n">
        <v>46260</v>
      </c>
      <c r="B21" s="80" t="s">
        <v>558</v>
      </c>
      <c r="C21" s="147" t="s">
        <v>559</v>
      </c>
    </row>
    <row r="22" customFormat="false" ht="15" hidden="false" customHeight="true" outlineLevel="0" collapsed="false">
      <c r="A22" s="81" t="n">
        <v>46272</v>
      </c>
      <c r="B22" s="80" t="s">
        <v>560</v>
      </c>
      <c r="C22" s="147" t="s">
        <v>561</v>
      </c>
    </row>
    <row r="23" customFormat="false" ht="15" hidden="false" customHeight="true" outlineLevel="0" collapsed="false">
      <c r="A23" s="81" t="n">
        <v>46302</v>
      </c>
      <c r="B23" s="80" t="s">
        <v>562</v>
      </c>
      <c r="C23" s="147" t="s">
        <v>563</v>
      </c>
    </row>
    <row r="24" customFormat="false" ht="15" hidden="false" customHeight="true" outlineLevel="0" collapsed="false">
      <c r="A24" s="81" t="n">
        <v>46310</v>
      </c>
      <c r="B24" s="80" t="s">
        <v>564</v>
      </c>
      <c r="C24" s="147" t="s">
        <v>563</v>
      </c>
    </row>
    <row r="25" customFormat="false" ht="15" hidden="false" customHeight="true" outlineLevel="0" collapsed="false">
      <c r="A25" s="81" t="n">
        <v>46335</v>
      </c>
      <c r="B25" s="80" t="s">
        <v>565</v>
      </c>
      <c r="C25" s="147" t="s">
        <v>563</v>
      </c>
    </row>
    <row r="26" customFormat="false" ht="15" hidden="false" customHeight="true" outlineLevel="0" collapsed="false">
      <c r="A26" s="81" t="n">
        <v>46342</v>
      </c>
      <c r="B26" s="80" t="s">
        <v>566</v>
      </c>
      <c r="C26" s="147" t="s">
        <v>563</v>
      </c>
    </row>
    <row r="27" customFormat="false" ht="15" hidden="false" customHeight="true" outlineLevel="0" collapsed="false">
      <c r="A27" s="81" t="n">
        <v>46363</v>
      </c>
      <c r="B27" s="80" t="s">
        <v>567</v>
      </c>
      <c r="C27" s="147" t="s">
        <v>563</v>
      </c>
    </row>
    <row r="28" customFormat="false" ht="15" hidden="false" customHeight="true" outlineLevel="0" collapsed="false">
      <c r="A28" s="81" t="n">
        <v>46371</v>
      </c>
      <c r="B28" s="80" t="s">
        <v>568</v>
      </c>
      <c r="C28" s="147" t="s">
        <v>563</v>
      </c>
    </row>
    <row r="29" customFormat="false" ht="15" hidden="false" customHeight="true" outlineLevel="0" collapsed="false">
      <c r="A29" s="81" t="n">
        <v>46394</v>
      </c>
      <c r="B29" s="80" t="s">
        <v>569</v>
      </c>
      <c r="C29" s="147" t="s">
        <v>563</v>
      </c>
    </row>
    <row r="30" customFormat="false" ht="15" hidden="false" customHeight="true" outlineLevel="0" collapsed="false">
      <c r="A30" s="81" t="n">
        <v>46402</v>
      </c>
      <c r="B30" s="80" t="s">
        <v>570</v>
      </c>
      <c r="C30" s="147" t="s">
        <v>563</v>
      </c>
    </row>
    <row r="31" customFormat="false" ht="15" hidden="false" customHeight="true" outlineLevel="0" collapsed="false">
      <c r="A31" s="81" t="n">
        <v>46426</v>
      </c>
      <c r="B31" s="80" t="s">
        <v>571</v>
      </c>
      <c r="C31" s="147" t="s">
        <v>563</v>
      </c>
    </row>
    <row r="32" customFormat="false" ht="15" hidden="false" customHeight="true" outlineLevel="0" collapsed="false">
      <c r="A32" s="81" t="n">
        <v>46434</v>
      </c>
      <c r="B32" s="80" t="s">
        <v>572</v>
      </c>
      <c r="C32" s="147" t="s">
        <v>563</v>
      </c>
    </row>
    <row r="33" customFormat="false" ht="15" hidden="false" customHeight="true" outlineLevel="0" collapsed="false">
      <c r="A33" s="81" t="n">
        <v>46454</v>
      </c>
      <c r="B33" s="80" t="s">
        <v>573</v>
      </c>
      <c r="C33" s="147" t="s">
        <v>563</v>
      </c>
    </row>
    <row r="34" customFormat="false" ht="15" hidden="false" customHeight="true" outlineLevel="0" collapsed="false">
      <c r="A34" s="81" t="n">
        <v>46461</v>
      </c>
      <c r="B34" s="80" t="s">
        <v>574</v>
      </c>
      <c r="C34" s="147" t="s">
        <v>575</v>
      </c>
    </row>
    <row r="35" customFormat="false" ht="15" hidden="false" customHeight="true" outlineLevel="0" collapsed="false">
      <c r="A35" s="81" t="n">
        <v>46273</v>
      </c>
      <c r="B35" s="80" t="s">
        <v>576</v>
      </c>
      <c r="C35" s="147" t="s">
        <v>577</v>
      </c>
    </row>
    <row r="36" customFormat="false" ht="15" hidden="false" customHeight="true" outlineLevel="0" collapsed="false">
      <c r="A36" s="81" t="n">
        <v>46276</v>
      </c>
      <c r="B36" s="80" t="s">
        <v>578</v>
      </c>
      <c r="C36" s="147" t="s">
        <v>579</v>
      </c>
    </row>
    <row r="37" customFormat="false" ht="15" hidden="false" customHeight="true" outlineLevel="0" collapsed="false">
      <c r="A37" s="81" t="n">
        <v>46276</v>
      </c>
      <c r="B37" s="80" t="s">
        <v>580</v>
      </c>
      <c r="C37" s="147" t="s">
        <v>581</v>
      </c>
    </row>
    <row r="38" customFormat="false" ht="15" hidden="false" customHeight="true" outlineLevel="0" collapsed="false">
      <c r="A38" s="81"/>
      <c r="B38" s="80"/>
      <c r="C38" s="147"/>
    </row>
    <row r="39" customFormat="false" ht="15" hidden="false" customHeight="true" outlineLevel="0" collapsed="false">
      <c r="A39" s="81"/>
      <c r="B39" s="80"/>
      <c r="C39" s="147"/>
    </row>
    <row r="40" customFormat="false" ht="15" hidden="false" customHeight="true" outlineLevel="0" collapsed="false">
      <c r="A40" s="81"/>
      <c r="B40" s="80"/>
      <c r="C40" s="147"/>
    </row>
    <row r="41" customFormat="false" ht="15" hidden="false" customHeight="true" outlineLevel="0" collapsed="false">
      <c r="A41" s="81"/>
      <c r="B41" s="80"/>
      <c r="C41" s="147"/>
    </row>
    <row r="42" customFormat="false" ht="15" hidden="false" customHeight="true" outlineLevel="0" collapsed="false">
      <c r="A42" s="81"/>
      <c r="B42" s="80"/>
      <c r="C42" s="147"/>
    </row>
    <row r="43" customFormat="false" ht="15" hidden="false" customHeight="true" outlineLevel="0" collapsed="false">
      <c r="A43" s="81"/>
      <c r="B43" s="80"/>
      <c r="C43" s="147"/>
    </row>
    <row r="44" customFormat="false" ht="15" hidden="false" customHeight="true" outlineLevel="0" collapsed="false">
      <c r="A44" s="81"/>
      <c r="B44" s="80"/>
      <c r="C44" s="147"/>
    </row>
    <row r="45" customFormat="false" ht="15" hidden="false" customHeight="true" outlineLevel="0" collapsed="false">
      <c r="A45" s="81"/>
      <c r="B45" s="80"/>
      <c r="C45" s="147"/>
    </row>
    <row r="46" customFormat="false" ht="15" hidden="false" customHeight="true" outlineLevel="0" collapsed="false">
      <c r="A46" s="81"/>
      <c r="B46" s="80"/>
      <c r="C46" s="147"/>
    </row>
    <row r="47" customFormat="false" ht="15" hidden="false" customHeight="true" outlineLevel="0" collapsed="false">
      <c r="A47" s="81"/>
      <c r="B47" s="80"/>
      <c r="C47" s="147"/>
    </row>
    <row r="48" customFormat="false" ht="15" hidden="false" customHeight="true" outlineLevel="0" collapsed="false">
      <c r="A48" s="81"/>
      <c r="B48" s="80"/>
      <c r="C48" s="147"/>
    </row>
    <row r="49" customFormat="false" ht="15" hidden="false" customHeight="true" outlineLevel="0" collapsed="false">
      <c r="A49" s="81"/>
      <c r="B49" s="80"/>
      <c r="C49" s="147"/>
    </row>
    <row r="50" customFormat="false" ht="15" hidden="false" customHeight="true" outlineLevel="0" collapsed="false">
      <c r="A50" s="81"/>
      <c r="B50" s="80"/>
      <c r="C50" s="147"/>
    </row>
    <row r="51" customFormat="false" ht="15" hidden="false" customHeight="true" outlineLevel="0" collapsed="false">
      <c r="A51" s="81"/>
      <c r="B51" s="80"/>
      <c r="C51" s="147"/>
    </row>
    <row r="52" customFormat="false" ht="15" hidden="false" customHeight="true" outlineLevel="0" collapsed="false">
      <c r="A52" s="81"/>
      <c r="B52" s="80"/>
      <c r="C52" s="147"/>
    </row>
    <row r="53" customFormat="false" ht="15" hidden="false" customHeight="true" outlineLevel="0" collapsed="false">
      <c r="A53" s="81"/>
      <c r="B53" s="80"/>
      <c r="C53" s="147"/>
    </row>
    <row r="54" customFormat="false" ht="15" hidden="false" customHeight="true" outlineLevel="0" collapsed="false">
      <c r="A54" s="81"/>
      <c r="B54" s="80"/>
      <c r="C54" s="147"/>
    </row>
    <row r="55" customFormat="false" ht="15" hidden="false" customHeight="true" outlineLevel="0" collapsed="false">
      <c r="A55" s="81"/>
      <c r="B55" s="80"/>
      <c r="C55" s="147"/>
    </row>
    <row r="56" customFormat="false" ht="15" hidden="false" customHeight="true" outlineLevel="0" collapsed="false">
      <c r="A56" s="81"/>
      <c r="B56" s="80"/>
      <c r="C56" s="147"/>
    </row>
    <row r="57" customFormat="false" ht="15" hidden="false" customHeight="true" outlineLevel="0" collapsed="false">
      <c r="A57" s="81"/>
      <c r="B57" s="80"/>
      <c r="C57" s="147"/>
    </row>
    <row r="58" customFormat="false" ht="15" hidden="false" customHeight="true" outlineLevel="0" collapsed="false">
      <c r="A58" s="81"/>
      <c r="B58" s="80"/>
      <c r="C58" s="147"/>
    </row>
    <row r="59" customFormat="false" ht="15" hidden="false" customHeight="true" outlineLevel="0" collapsed="false">
      <c r="A59" s="81"/>
      <c r="B59" s="80"/>
      <c r="C59" s="147"/>
    </row>
    <row r="60" customFormat="false" ht="15" hidden="false" customHeight="true" outlineLevel="0" collapsed="false">
      <c r="A60" s="81"/>
      <c r="B60" s="80"/>
      <c r="C60" s="147"/>
    </row>
    <row r="61" customFormat="false" ht="15" hidden="false" customHeight="true" outlineLevel="0" collapsed="false">
      <c r="A61" s="81"/>
      <c r="B61" s="80"/>
      <c r="C61" s="147"/>
    </row>
    <row r="62" customFormat="false" ht="15" hidden="false" customHeight="true" outlineLevel="0" collapsed="false">
      <c r="A62" s="81"/>
      <c r="B62" s="80"/>
      <c r="C62" s="147"/>
    </row>
    <row r="63" customFormat="false" ht="15" hidden="false" customHeight="true" outlineLevel="0" collapsed="false">
      <c r="A63" s="81"/>
      <c r="B63" s="80"/>
      <c r="C63" s="147"/>
    </row>
    <row r="64" customFormat="false" ht="15" hidden="false" customHeight="true" outlineLevel="0" collapsed="false">
      <c r="A64" s="81"/>
      <c r="B64" s="80"/>
      <c r="C64" s="147"/>
    </row>
    <row r="65" customFormat="false" ht="15" hidden="false" customHeight="true" outlineLevel="0" collapsed="false">
      <c r="A65" s="81"/>
      <c r="B65" s="80"/>
      <c r="C65" s="147"/>
    </row>
    <row r="66" customFormat="false" ht="15" hidden="false" customHeight="true" outlineLevel="0" collapsed="false">
      <c r="A66" s="81"/>
      <c r="B66" s="80"/>
      <c r="C66" s="147"/>
    </row>
    <row r="67" customFormat="false" ht="15" hidden="false" customHeight="true" outlineLevel="0" collapsed="false">
      <c r="A67" s="81"/>
      <c r="B67" s="80"/>
      <c r="C67" s="147"/>
    </row>
    <row r="68" customFormat="false" ht="15" hidden="false" customHeight="true" outlineLevel="0" collapsed="false">
      <c r="A68" s="81"/>
      <c r="B68" s="80"/>
      <c r="C68" s="147"/>
    </row>
    <row r="69" customFormat="false" ht="15" hidden="false" customHeight="true" outlineLevel="0" collapsed="false">
      <c r="A69" s="81"/>
      <c r="B69" s="80"/>
      <c r="C69" s="147"/>
    </row>
    <row r="70" customFormat="false" ht="15" hidden="false" customHeight="true" outlineLevel="0" collapsed="false">
      <c r="A70" s="81"/>
      <c r="B70" s="80"/>
      <c r="C70" s="147"/>
    </row>
    <row r="71" customFormat="false" ht="15" hidden="false" customHeight="true" outlineLevel="0" collapsed="false">
      <c r="A71" s="81"/>
      <c r="B71" s="80"/>
      <c r="C71" s="147"/>
    </row>
    <row r="72" customFormat="false" ht="15" hidden="false" customHeight="true" outlineLevel="0" collapsed="false">
      <c r="A72" s="81"/>
      <c r="B72" s="80"/>
      <c r="C72" s="147"/>
    </row>
    <row r="73" customFormat="false" ht="15" hidden="false" customHeight="true" outlineLevel="0" collapsed="false">
      <c r="A73" s="81"/>
      <c r="B73" s="80"/>
      <c r="C73" s="147"/>
    </row>
    <row r="74" customFormat="false" ht="15" hidden="false" customHeight="true" outlineLevel="0" collapsed="false">
      <c r="A74" s="81"/>
      <c r="B74" s="80"/>
      <c r="C74" s="147"/>
    </row>
    <row r="75" customFormat="false" ht="15" hidden="false" customHeight="true" outlineLevel="0" collapsed="false">
      <c r="A75" s="81"/>
      <c r="B75" s="80"/>
      <c r="C75" s="147"/>
    </row>
    <row r="76" customFormat="false" ht="15" hidden="false" customHeight="true" outlineLevel="0" collapsed="false">
      <c r="A76" s="81"/>
      <c r="B76" s="80"/>
      <c r="C76" s="147"/>
    </row>
    <row r="77" customFormat="false" ht="15" hidden="false" customHeight="true" outlineLevel="0" collapsed="false">
      <c r="A77" s="81"/>
      <c r="B77" s="80"/>
      <c r="C77" s="147"/>
    </row>
    <row r="78" customFormat="false" ht="15" hidden="false" customHeight="true" outlineLevel="0" collapsed="false">
      <c r="A78" s="81"/>
      <c r="B78" s="80"/>
      <c r="C78" s="147"/>
    </row>
    <row r="79" customFormat="false" ht="15" hidden="false" customHeight="true" outlineLevel="0" collapsed="false">
      <c r="A79" s="81"/>
      <c r="B79" s="80"/>
      <c r="C79" s="147"/>
    </row>
    <row r="80" customFormat="false" ht="15" hidden="false" customHeight="true" outlineLevel="0" collapsed="false">
      <c r="A80" s="81"/>
      <c r="B80" s="80"/>
      <c r="C80" s="147"/>
    </row>
    <row r="81" customFormat="false" ht="15" hidden="false" customHeight="true" outlineLevel="0" collapsed="false">
      <c r="A81" s="81"/>
      <c r="B81" s="80"/>
      <c r="C81" s="147"/>
    </row>
    <row r="82" customFormat="false" ht="15" hidden="false" customHeight="true" outlineLevel="0" collapsed="false">
      <c r="A82" s="81"/>
      <c r="B82" s="80"/>
      <c r="C82" s="147"/>
    </row>
    <row r="83" customFormat="false" ht="15" hidden="false" customHeight="true" outlineLevel="0" collapsed="false">
      <c r="A83" s="81"/>
      <c r="B83" s="80"/>
      <c r="C83" s="147"/>
    </row>
    <row r="84" customFormat="false" ht="15" hidden="false" customHeight="true" outlineLevel="0" collapsed="false">
      <c r="A84" s="81"/>
      <c r="B84" s="80"/>
      <c r="C84" s="147"/>
    </row>
    <row r="85" customFormat="false" ht="15" hidden="false" customHeight="true" outlineLevel="0" collapsed="false">
      <c r="A85" s="81"/>
      <c r="B85" s="80"/>
      <c r="C85" s="147"/>
    </row>
    <row r="86" customFormat="false" ht="15" hidden="false" customHeight="true" outlineLevel="0" collapsed="false">
      <c r="A86" s="81"/>
      <c r="B86" s="80"/>
      <c r="C86" s="147"/>
    </row>
    <row r="87" customFormat="false" ht="15" hidden="false" customHeight="true" outlineLevel="0" collapsed="false">
      <c r="A87" s="81"/>
      <c r="B87" s="80"/>
      <c r="C87" s="147"/>
    </row>
    <row r="88" customFormat="false" ht="15" hidden="false" customHeight="true" outlineLevel="0" collapsed="false">
      <c r="A88" s="81"/>
      <c r="B88" s="80"/>
      <c r="C88" s="147"/>
    </row>
    <row r="89" customFormat="false" ht="15" hidden="false" customHeight="true" outlineLevel="0" collapsed="false">
      <c r="A89" s="81"/>
      <c r="B89" s="80"/>
      <c r="C89" s="147"/>
    </row>
    <row r="90" customFormat="false" ht="15" hidden="false" customHeight="true" outlineLevel="0" collapsed="false">
      <c r="A90" s="81"/>
      <c r="B90" s="80"/>
      <c r="C90" s="147"/>
    </row>
    <row r="91" customFormat="false" ht="15" hidden="false" customHeight="true" outlineLevel="0" collapsed="false">
      <c r="A91" s="81"/>
      <c r="B91" s="80"/>
      <c r="C91" s="147"/>
    </row>
    <row r="92" customFormat="false" ht="15" hidden="false" customHeight="true" outlineLevel="0" collapsed="false">
      <c r="A92" s="81"/>
      <c r="B92" s="80"/>
      <c r="C92" s="147"/>
    </row>
    <row r="93" customFormat="false" ht="15" hidden="false" customHeight="true" outlineLevel="0" collapsed="false">
      <c r="A93" s="81"/>
      <c r="B93" s="80"/>
      <c r="C93" s="147"/>
    </row>
    <row r="94" customFormat="false" ht="15" hidden="false" customHeight="true" outlineLevel="0" collapsed="false">
      <c r="A94" s="81"/>
      <c r="B94" s="80"/>
      <c r="C94" s="147"/>
    </row>
    <row r="95" customFormat="false" ht="15" hidden="false" customHeight="true" outlineLevel="0" collapsed="false">
      <c r="A95" s="81"/>
      <c r="B95" s="80"/>
      <c r="C95" s="147"/>
    </row>
    <row r="96" customFormat="false" ht="15" hidden="false" customHeight="true" outlineLevel="0" collapsed="false">
      <c r="A96" s="81"/>
      <c r="B96" s="80"/>
      <c r="C96" s="147"/>
    </row>
    <row r="97" customFormat="false" ht="15" hidden="false" customHeight="true" outlineLevel="0" collapsed="false">
      <c r="A97" s="81"/>
      <c r="B97" s="80"/>
      <c r="C97" s="147"/>
    </row>
    <row r="98" customFormat="false" ht="15" hidden="false" customHeight="true" outlineLevel="0" collapsed="false">
      <c r="A98" s="81"/>
      <c r="B98" s="80"/>
      <c r="C98" s="147"/>
    </row>
    <row r="99" customFormat="false" ht="15" hidden="false" customHeight="true" outlineLevel="0" collapsed="false">
      <c r="A99" s="81"/>
      <c r="B99" s="80"/>
      <c r="C99" s="147"/>
    </row>
    <row r="100" customFormat="false" ht="15" hidden="false" customHeight="true" outlineLevel="0" collapsed="false">
      <c r="A100" s="81"/>
      <c r="B100" s="80"/>
      <c r="C100" s="147"/>
    </row>
    <row r="101" customFormat="false" ht="15" hidden="false" customHeight="true" outlineLevel="0" collapsed="false">
      <c r="A101" s="81"/>
      <c r="B101" s="80"/>
      <c r="C101" s="147"/>
    </row>
    <row r="102" customFormat="false" ht="15" hidden="false" customHeight="true" outlineLevel="0" collapsed="false">
      <c r="A102" s="81"/>
      <c r="B102" s="80"/>
      <c r="C102" s="147"/>
    </row>
    <row r="103" customFormat="false" ht="15" hidden="false" customHeight="true" outlineLevel="0" collapsed="false">
      <c r="A103" s="81"/>
      <c r="B103" s="80"/>
      <c r="C103" s="147"/>
    </row>
    <row r="104" customFormat="false" ht="15" hidden="false" customHeight="true" outlineLevel="0" collapsed="false">
      <c r="A104" s="81"/>
      <c r="B104" s="80"/>
      <c r="C104" s="147"/>
    </row>
    <row r="105" customFormat="false" ht="15" hidden="false" customHeight="true" outlineLevel="0" collapsed="false">
      <c r="A105" s="81"/>
      <c r="B105" s="80"/>
      <c r="C105" s="147"/>
    </row>
    <row r="106" customFormat="false" ht="15" hidden="false" customHeight="true" outlineLevel="0" collapsed="false">
      <c r="A106" s="81"/>
      <c r="B106" s="80"/>
      <c r="C106" s="147"/>
    </row>
    <row r="107" customFormat="false" ht="15" hidden="false" customHeight="true" outlineLevel="0" collapsed="false">
      <c r="A107" s="81"/>
      <c r="B107" s="80"/>
      <c r="C107" s="147"/>
    </row>
    <row r="108" customFormat="false" ht="15" hidden="false" customHeight="true" outlineLevel="0" collapsed="false">
      <c r="A108" s="81"/>
      <c r="B108" s="80"/>
      <c r="C108" s="147"/>
    </row>
    <row r="109" customFormat="false" ht="15" hidden="false" customHeight="true" outlineLevel="0" collapsed="false">
      <c r="A109" s="81"/>
      <c r="B109" s="80"/>
      <c r="C109" s="147"/>
    </row>
    <row r="110" customFormat="false" ht="15" hidden="false" customHeight="true" outlineLevel="0" collapsed="false">
      <c r="A110" s="81"/>
      <c r="B110" s="80"/>
      <c r="C110" s="147"/>
    </row>
    <row r="111" customFormat="false" ht="15" hidden="false" customHeight="true" outlineLevel="0" collapsed="false">
      <c r="A111" s="81"/>
      <c r="B111" s="80"/>
      <c r="C111" s="147"/>
    </row>
    <row r="112" customFormat="false" ht="15" hidden="false" customHeight="true" outlineLevel="0" collapsed="false">
      <c r="A112" s="81"/>
      <c r="B112" s="80"/>
      <c r="C112" s="147"/>
    </row>
    <row r="113" customFormat="false" ht="15" hidden="false" customHeight="true" outlineLevel="0" collapsed="false">
      <c r="A113" s="81"/>
      <c r="B113" s="80"/>
      <c r="C113" s="147"/>
    </row>
    <row r="114" customFormat="false" ht="15" hidden="false" customHeight="true" outlineLevel="0" collapsed="false">
      <c r="A114" s="81"/>
      <c r="B114" s="80"/>
      <c r="C114" s="147"/>
    </row>
    <row r="115" customFormat="false" ht="15" hidden="false" customHeight="true" outlineLevel="0" collapsed="false">
      <c r="A115" s="81"/>
      <c r="B115" s="80"/>
      <c r="C115" s="147"/>
    </row>
    <row r="116" customFormat="false" ht="15" hidden="false" customHeight="true" outlineLevel="0" collapsed="false">
      <c r="A116" s="81"/>
      <c r="B116" s="80"/>
      <c r="C116" s="147"/>
    </row>
    <row r="117" customFormat="false" ht="15" hidden="false" customHeight="true" outlineLevel="0" collapsed="false">
      <c r="A117" s="81"/>
      <c r="B117" s="80"/>
      <c r="C117" s="147"/>
    </row>
    <row r="118" customFormat="false" ht="15" hidden="false" customHeight="true" outlineLevel="0" collapsed="false">
      <c r="A118" s="81"/>
      <c r="B118" s="80"/>
      <c r="C118" s="147"/>
    </row>
    <row r="119" customFormat="false" ht="15" hidden="false" customHeight="true" outlineLevel="0" collapsed="false">
      <c r="A119" s="81"/>
      <c r="B119" s="80"/>
      <c r="C119" s="147"/>
    </row>
    <row r="120" customFormat="false" ht="15" hidden="false" customHeight="true" outlineLevel="0" collapsed="false">
      <c r="A120" s="81"/>
      <c r="B120" s="80"/>
      <c r="C120" s="147"/>
    </row>
    <row r="121" customFormat="false" ht="15" hidden="false" customHeight="true" outlineLevel="0" collapsed="false">
      <c r="A121" s="81"/>
      <c r="B121" s="80"/>
      <c r="C121" s="147"/>
    </row>
    <row r="122" customFormat="false" ht="15" hidden="false" customHeight="true" outlineLevel="0" collapsed="false">
      <c r="A122" s="81"/>
      <c r="B122" s="80"/>
      <c r="C122" s="147"/>
    </row>
    <row r="123" customFormat="false" ht="15" hidden="false" customHeight="true" outlineLevel="0" collapsed="false">
      <c r="A123" s="81"/>
      <c r="B123" s="80"/>
      <c r="C123" s="147"/>
    </row>
    <row r="124" customFormat="false" ht="15" hidden="false" customHeight="true" outlineLevel="0" collapsed="false">
      <c r="A124" s="81"/>
      <c r="B124" s="80"/>
      <c r="C124" s="147"/>
    </row>
    <row r="125" customFormat="false" ht="15" hidden="false" customHeight="true" outlineLevel="0" collapsed="false">
      <c r="A125" s="81"/>
      <c r="B125" s="80"/>
      <c r="C125" s="147"/>
    </row>
    <row r="126" customFormat="false" ht="15" hidden="false" customHeight="true" outlineLevel="0" collapsed="false">
      <c r="A126" s="81"/>
      <c r="B126" s="80"/>
      <c r="C126" s="147"/>
    </row>
    <row r="127" customFormat="false" ht="15" hidden="false" customHeight="true" outlineLevel="0" collapsed="false">
      <c r="A127" s="81"/>
      <c r="B127" s="80"/>
      <c r="C127" s="147"/>
    </row>
    <row r="128" customFormat="false" ht="15" hidden="false" customHeight="true" outlineLevel="0" collapsed="false">
      <c r="A128" s="81"/>
      <c r="B128" s="80"/>
      <c r="C128" s="147"/>
    </row>
    <row r="129" customFormat="false" ht="15" hidden="false" customHeight="true" outlineLevel="0" collapsed="false">
      <c r="A129" s="81"/>
      <c r="B129" s="80"/>
      <c r="C129" s="147"/>
    </row>
    <row r="130" customFormat="false" ht="15" hidden="false" customHeight="true" outlineLevel="0" collapsed="false">
      <c r="A130" s="81"/>
      <c r="B130" s="80"/>
      <c r="C130" s="147"/>
    </row>
    <row r="131" customFormat="false" ht="15" hidden="false" customHeight="true" outlineLevel="0" collapsed="false">
      <c r="A131" s="81"/>
      <c r="B131" s="80"/>
      <c r="C131" s="147"/>
    </row>
    <row r="132" customFormat="false" ht="15" hidden="false" customHeight="true" outlineLevel="0" collapsed="false">
      <c r="A132" s="81"/>
      <c r="B132" s="80"/>
      <c r="C132" s="147"/>
    </row>
    <row r="133" customFormat="false" ht="15" hidden="false" customHeight="true" outlineLevel="0" collapsed="false">
      <c r="A133" s="81"/>
      <c r="B133" s="80"/>
      <c r="C133" s="147"/>
    </row>
    <row r="134" customFormat="false" ht="15" hidden="false" customHeight="true" outlineLevel="0" collapsed="false">
      <c r="A134" s="81"/>
      <c r="B134" s="80"/>
      <c r="C134" s="147"/>
    </row>
    <row r="135" customFormat="false" ht="15" hidden="false" customHeight="true" outlineLevel="0" collapsed="false">
      <c r="A135" s="81"/>
      <c r="B135" s="80"/>
      <c r="C135" s="147"/>
    </row>
    <row r="136" customFormat="false" ht="15" hidden="false" customHeight="true" outlineLevel="0" collapsed="false">
      <c r="A136" s="81"/>
      <c r="B136" s="80"/>
      <c r="C136" s="147"/>
    </row>
    <row r="137" customFormat="false" ht="15" hidden="false" customHeight="true" outlineLevel="0" collapsed="false">
      <c r="A137" s="81"/>
      <c r="B137" s="80"/>
      <c r="C137" s="147"/>
    </row>
    <row r="138" customFormat="false" ht="15" hidden="false" customHeight="true" outlineLevel="0" collapsed="false">
      <c r="A138" s="81"/>
      <c r="B138" s="80"/>
      <c r="C138" s="147"/>
    </row>
    <row r="139" customFormat="false" ht="15" hidden="false" customHeight="true" outlineLevel="0" collapsed="false">
      <c r="A139" s="81"/>
      <c r="B139" s="80"/>
      <c r="C139" s="147"/>
    </row>
    <row r="140" customFormat="false" ht="15" hidden="false" customHeight="true" outlineLevel="0" collapsed="false">
      <c r="A140" s="81"/>
      <c r="B140" s="80"/>
      <c r="C140" s="147"/>
    </row>
    <row r="141" customFormat="false" ht="15" hidden="false" customHeight="true" outlineLevel="0" collapsed="false">
      <c r="A141" s="81"/>
      <c r="B141" s="80"/>
      <c r="C141" s="147"/>
    </row>
    <row r="142" customFormat="false" ht="15" hidden="false" customHeight="true" outlineLevel="0" collapsed="false">
      <c r="A142" s="81"/>
      <c r="B142" s="80"/>
      <c r="C142" s="147"/>
    </row>
    <row r="143" customFormat="false" ht="15" hidden="false" customHeight="true" outlineLevel="0" collapsed="false">
      <c r="A143" s="81"/>
      <c r="B143" s="80"/>
      <c r="C143" s="147"/>
    </row>
    <row r="144" customFormat="false" ht="15" hidden="false" customHeight="true" outlineLevel="0" collapsed="false">
      <c r="A144" s="81"/>
      <c r="B144" s="80"/>
      <c r="C144" s="147"/>
    </row>
    <row r="145" customFormat="false" ht="15" hidden="false" customHeight="true" outlineLevel="0" collapsed="false">
      <c r="A145" s="81"/>
      <c r="B145" s="80"/>
      <c r="C145" s="147"/>
    </row>
    <row r="146" customFormat="false" ht="15" hidden="false" customHeight="true" outlineLevel="0" collapsed="false">
      <c r="A146" s="81"/>
      <c r="B146" s="80"/>
      <c r="C146" s="147"/>
    </row>
    <row r="147" customFormat="false" ht="15" hidden="false" customHeight="true" outlineLevel="0" collapsed="false">
      <c r="A147" s="81"/>
      <c r="B147" s="80"/>
      <c r="C147" s="147"/>
    </row>
    <row r="148" customFormat="false" ht="15" hidden="false" customHeight="true" outlineLevel="0" collapsed="false">
      <c r="A148" s="81"/>
      <c r="B148" s="80"/>
      <c r="C148" s="147"/>
    </row>
    <row r="149" customFormat="false" ht="15" hidden="false" customHeight="true" outlineLevel="0" collapsed="false">
      <c r="A149" s="81"/>
      <c r="B149" s="80"/>
      <c r="C149" s="147"/>
    </row>
    <row r="150" customFormat="false" ht="15" hidden="false" customHeight="true" outlineLevel="0" collapsed="false">
      <c r="A150" s="81"/>
      <c r="B150" s="80"/>
      <c r="C150" s="147"/>
    </row>
    <row r="151" customFormat="false" ht="15" hidden="false" customHeight="true" outlineLevel="0" collapsed="false">
      <c r="A151" s="81"/>
      <c r="B151" s="80"/>
      <c r="C151" s="147"/>
    </row>
    <row r="152" customFormat="false" ht="15" hidden="false" customHeight="true" outlineLevel="0" collapsed="false">
      <c r="A152" s="81"/>
      <c r="B152" s="80"/>
      <c r="C152" s="147"/>
    </row>
    <row r="153" customFormat="false" ht="15" hidden="false" customHeight="true" outlineLevel="0" collapsed="false">
      <c r="A153" s="81"/>
      <c r="B153" s="80"/>
      <c r="C153" s="147"/>
    </row>
    <row r="154" customFormat="false" ht="15" hidden="false" customHeight="true" outlineLevel="0" collapsed="false">
      <c r="A154" s="81"/>
      <c r="B154" s="80"/>
      <c r="C154" s="147"/>
    </row>
    <row r="155" customFormat="false" ht="15" hidden="false" customHeight="true" outlineLevel="0" collapsed="false">
      <c r="A155" s="81"/>
      <c r="B155" s="80"/>
      <c r="C155" s="147"/>
    </row>
    <row r="156" customFormat="false" ht="15" hidden="false" customHeight="true" outlineLevel="0" collapsed="false">
      <c r="A156" s="81"/>
      <c r="B156" s="80"/>
      <c r="C156" s="147"/>
    </row>
    <row r="157" customFormat="false" ht="15" hidden="false" customHeight="true" outlineLevel="0" collapsed="false">
      <c r="A157" s="81"/>
      <c r="B157" s="80"/>
      <c r="C157" s="147"/>
    </row>
    <row r="158" customFormat="false" ht="15" hidden="false" customHeight="true" outlineLevel="0" collapsed="false">
      <c r="A158" s="81"/>
      <c r="B158" s="80"/>
      <c r="C158" s="147"/>
    </row>
    <row r="159" customFormat="false" ht="15" hidden="false" customHeight="true" outlineLevel="0" collapsed="false">
      <c r="A159" s="81"/>
      <c r="B159" s="80"/>
      <c r="C159" s="147"/>
    </row>
    <row r="160" customFormat="false" ht="15" hidden="false" customHeight="true" outlineLevel="0" collapsed="false">
      <c r="A160" s="81"/>
      <c r="B160" s="80"/>
      <c r="C160" s="147"/>
    </row>
    <row r="161" customFormat="false" ht="15" hidden="false" customHeight="true" outlineLevel="0" collapsed="false">
      <c r="A161" s="81"/>
      <c r="B161" s="80"/>
      <c r="C161" s="147"/>
    </row>
    <row r="162" customFormat="false" ht="15" hidden="false" customHeight="true" outlineLevel="0" collapsed="false">
      <c r="A162" s="81"/>
      <c r="B162" s="80"/>
      <c r="C162" s="147"/>
    </row>
    <row r="163" customFormat="false" ht="15" hidden="false" customHeight="true" outlineLevel="0" collapsed="false">
      <c r="A163" s="81"/>
      <c r="B163" s="80"/>
      <c r="C163" s="147"/>
    </row>
    <row r="164" customFormat="false" ht="15" hidden="false" customHeight="true" outlineLevel="0" collapsed="false">
      <c r="A164" s="81"/>
      <c r="B164" s="80"/>
      <c r="C164" s="147"/>
    </row>
    <row r="165" customFormat="false" ht="15" hidden="false" customHeight="true" outlineLevel="0" collapsed="false">
      <c r="A165" s="81"/>
      <c r="B165" s="80"/>
      <c r="C165" s="147"/>
    </row>
    <row r="166" customFormat="false" ht="15" hidden="false" customHeight="true" outlineLevel="0" collapsed="false">
      <c r="A166" s="81"/>
      <c r="B166" s="80"/>
      <c r="C166" s="147"/>
    </row>
    <row r="167" customFormat="false" ht="15" hidden="false" customHeight="true" outlineLevel="0" collapsed="false">
      <c r="A167" s="81"/>
      <c r="B167" s="80"/>
      <c r="C167" s="147"/>
    </row>
    <row r="168" customFormat="false" ht="15" hidden="false" customHeight="true" outlineLevel="0" collapsed="false">
      <c r="A168" s="81"/>
      <c r="B168" s="80"/>
      <c r="C168" s="147"/>
    </row>
    <row r="169" customFormat="false" ht="15" hidden="false" customHeight="true" outlineLevel="0" collapsed="false">
      <c r="A169" s="81"/>
      <c r="B169" s="80"/>
      <c r="C169" s="147"/>
    </row>
    <row r="170" customFormat="false" ht="15" hidden="false" customHeight="true" outlineLevel="0" collapsed="false">
      <c r="A170" s="81"/>
      <c r="B170" s="80"/>
      <c r="C170" s="147"/>
    </row>
    <row r="171" customFormat="false" ht="15" hidden="false" customHeight="true" outlineLevel="0" collapsed="false">
      <c r="A171" s="81"/>
      <c r="B171" s="80"/>
      <c r="C171" s="147"/>
    </row>
    <row r="172" customFormat="false" ht="15" hidden="false" customHeight="true" outlineLevel="0" collapsed="false">
      <c r="A172" s="81"/>
      <c r="B172" s="80"/>
      <c r="C172" s="147"/>
    </row>
    <row r="173" customFormat="false" ht="15" hidden="false" customHeight="true" outlineLevel="0" collapsed="false">
      <c r="A173" s="81"/>
      <c r="B173" s="80"/>
      <c r="C173" s="147"/>
    </row>
    <row r="174" customFormat="false" ht="15" hidden="false" customHeight="true" outlineLevel="0" collapsed="false">
      <c r="A174" s="81"/>
      <c r="B174" s="80"/>
      <c r="C174" s="147"/>
    </row>
    <row r="175" customFormat="false" ht="15" hidden="false" customHeight="true" outlineLevel="0" collapsed="false">
      <c r="A175" s="81"/>
      <c r="B175" s="80"/>
      <c r="C175" s="147"/>
    </row>
    <row r="176" customFormat="false" ht="15" hidden="false" customHeight="true" outlineLevel="0" collapsed="false">
      <c r="A176" s="81"/>
      <c r="B176" s="80"/>
      <c r="C176" s="147"/>
    </row>
    <row r="177" customFormat="false" ht="15" hidden="false" customHeight="true" outlineLevel="0" collapsed="false">
      <c r="A177" s="81"/>
      <c r="B177" s="80"/>
      <c r="C177" s="147"/>
    </row>
    <row r="178" customFormat="false" ht="15" hidden="false" customHeight="true" outlineLevel="0" collapsed="false">
      <c r="A178" s="81"/>
      <c r="B178" s="80"/>
      <c r="C178" s="147"/>
    </row>
    <row r="179" customFormat="false" ht="15" hidden="false" customHeight="true" outlineLevel="0" collapsed="false">
      <c r="A179" s="81"/>
      <c r="B179" s="80"/>
      <c r="C179" s="147"/>
    </row>
    <row r="180" customFormat="false" ht="15" hidden="false" customHeight="true" outlineLevel="0" collapsed="false">
      <c r="A180" s="81"/>
      <c r="B180" s="80"/>
      <c r="C180" s="147"/>
    </row>
    <row r="181" customFormat="false" ht="15" hidden="false" customHeight="true" outlineLevel="0" collapsed="false">
      <c r="A181" s="81"/>
      <c r="B181" s="80"/>
      <c r="C181" s="147"/>
    </row>
    <row r="182" customFormat="false" ht="15" hidden="false" customHeight="true" outlineLevel="0" collapsed="false">
      <c r="A182" s="81"/>
      <c r="B182" s="80"/>
      <c r="C182" s="147"/>
    </row>
    <row r="183" customFormat="false" ht="15" hidden="false" customHeight="true" outlineLevel="0" collapsed="false">
      <c r="A183" s="81"/>
      <c r="B183" s="80"/>
      <c r="C183" s="147"/>
    </row>
    <row r="184" customFormat="false" ht="15" hidden="false" customHeight="true" outlineLevel="0" collapsed="false">
      <c r="A184" s="81"/>
      <c r="B184" s="80"/>
      <c r="C184" s="147"/>
    </row>
    <row r="185" customFormat="false" ht="15" hidden="false" customHeight="true" outlineLevel="0" collapsed="false">
      <c r="A185" s="81"/>
      <c r="B185" s="80"/>
      <c r="C185" s="147"/>
    </row>
    <row r="186" customFormat="false" ht="15" hidden="false" customHeight="true" outlineLevel="0" collapsed="false">
      <c r="A186" s="81"/>
      <c r="B186" s="80"/>
      <c r="C186" s="147"/>
    </row>
    <row r="187" customFormat="false" ht="15" hidden="false" customHeight="true" outlineLevel="0" collapsed="false">
      <c r="A187" s="81"/>
      <c r="B187" s="80"/>
      <c r="C187" s="147"/>
    </row>
    <row r="188" customFormat="false" ht="15" hidden="false" customHeight="true" outlineLevel="0" collapsed="false">
      <c r="A188" s="81"/>
      <c r="B188" s="80"/>
      <c r="C188" s="147"/>
    </row>
    <row r="189" customFormat="false" ht="15" hidden="false" customHeight="true" outlineLevel="0" collapsed="false">
      <c r="A189" s="81"/>
      <c r="B189" s="80"/>
      <c r="C189" s="147"/>
    </row>
    <row r="190" customFormat="false" ht="15" hidden="false" customHeight="true" outlineLevel="0" collapsed="false">
      <c r="A190" s="81"/>
      <c r="B190" s="80"/>
      <c r="C190" s="147"/>
    </row>
    <row r="191" customFormat="false" ht="15" hidden="false" customHeight="true" outlineLevel="0" collapsed="false">
      <c r="A191" s="81"/>
      <c r="B191" s="80"/>
      <c r="C191" s="147"/>
    </row>
    <row r="192" customFormat="false" ht="15" hidden="false" customHeight="true" outlineLevel="0" collapsed="false">
      <c r="A192" s="81"/>
      <c r="B192" s="80"/>
      <c r="C192" s="147"/>
    </row>
    <row r="193" customFormat="false" ht="15" hidden="false" customHeight="true" outlineLevel="0" collapsed="false">
      <c r="A193" s="81"/>
      <c r="B193" s="80"/>
      <c r="C193" s="147"/>
    </row>
    <row r="194" customFormat="false" ht="15" hidden="false" customHeight="true" outlineLevel="0" collapsed="false">
      <c r="A194" s="81"/>
      <c r="B194" s="80"/>
      <c r="C194" s="147"/>
    </row>
    <row r="195" customFormat="false" ht="15" hidden="false" customHeight="true" outlineLevel="0" collapsed="false">
      <c r="A195" s="81"/>
      <c r="B195" s="80"/>
      <c r="C195" s="147"/>
    </row>
    <row r="196" customFormat="false" ht="15" hidden="false" customHeight="true" outlineLevel="0" collapsed="false">
      <c r="A196" s="81"/>
      <c r="B196" s="80"/>
      <c r="C196" s="147"/>
    </row>
    <row r="197" customFormat="false" ht="15" hidden="false" customHeight="true" outlineLevel="0" collapsed="false">
      <c r="A197" s="81"/>
      <c r="B197" s="80"/>
      <c r="C197" s="147"/>
    </row>
    <row r="198" customFormat="false" ht="15" hidden="false" customHeight="true" outlineLevel="0" collapsed="false">
      <c r="A198" s="81"/>
      <c r="B198" s="80"/>
      <c r="C198" s="147"/>
    </row>
    <row r="199" customFormat="false" ht="15" hidden="false" customHeight="true" outlineLevel="0" collapsed="false">
      <c r="A199" s="81"/>
      <c r="B199" s="80"/>
      <c r="C199" s="147"/>
    </row>
    <row r="200" customFormat="false" ht="15" hidden="false" customHeight="true" outlineLevel="0" collapsed="false">
      <c r="A200" s="81"/>
      <c r="B200" s="80"/>
      <c r="C200" s="147"/>
    </row>
    <row r="201" customFormat="false" ht="15" hidden="false" customHeight="true" outlineLevel="0" collapsed="false">
      <c r="A201" s="81"/>
      <c r="B201" s="80"/>
      <c r="C201" s="147"/>
    </row>
    <row r="202" customFormat="false" ht="15" hidden="false" customHeight="true" outlineLevel="0" collapsed="false">
      <c r="A202" s="81"/>
      <c r="B202" s="80"/>
      <c r="C202" s="147"/>
    </row>
    <row r="203" customFormat="false" ht="15" hidden="false" customHeight="true" outlineLevel="0" collapsed="false">
      <c r="A203" s="81"/>
      <c r="B203" s="80"/>
      <c r="C203" s="147"/>
    </row>
    <row r="204" customFormat="false" ht="15" hidden="false" customHeight="true" outlineLevel="0" collapsed="false">
      <c r="A204" s="81"/>
      <c r="B204" s="80"/>
      <c r="C204" s="147"/>
    </row>
    <row r="205" customFormat="false" ht="15" hidden="false" customHeight="true" outlineLevel="0" collapsed="false">
      <c r="A205" s="81"/>
      <c r="B205" s="80"/>
      <c r="C205" s="147"/>
    </row>
    <row r="206" customFormat="false" ht="15" hidden="false" customHeight="true" outlineLevel="0" collapsed="false">
      <c r="A206" s="81"/>
      <c r="B206" s="80"/>
      <c r="C206" s="147"/>
    </row>
    <row r="207" customFormat="false" ht="15" hidden="false" customHeight="true" outlineLevel="0" collapsed="false">
      <c r="A207" s="81"/>
      <c r="B207" s="80"/>
      <c r="C207" s="147"/>
    </row>
    <row r="208" customFormat="false" ht="15" hidden="false" customHeight="true" outlineLevel="0" collapsed="false">
      <c r="A208" s="81"/>
      <c r="B208" s="80"/>
      <c r="C208" s="147"/>
    </row>
    <row r="209" customFormat="false" ht="15" hidden="false" customHeight="true" outlineLevel="0" collapsed="false">
      <c r="A209" s="81"/>
      <c r="B209" s="80"/>
      <c r="C209" s="147"/>
    </row>
    <row r="210" customFormat="false" ht="15" hidden="false" customHeight="true" outlineLevel="0" collapsed="false">
      <c r="A210" s="81"/>
      <c r="B210" s="80"/>
      <c r="C210" s="147"/>
    </row>
    <row r="211" customFormat="false" ht="15" hidden="false" customHeight="true" outlineLevel="0" collapsed="false">
      <c r="A211" s="81"/>
      <c r="B211" s="80"/>
      <c r="C211" s="147"/>
    </row>
    <row r="212" customFormat="false" ht="15" hidden="false" customHeight="true" outlineLevel="0" collapsed="false">
      <c r="A212" s="81"/>
      <c r="B212" s="80"/>
      <c r="C212" s="147"/>
    </row>
    <row r="213" customFormat="false" ht="15" hidden="false" customHeight="true" outlineLevel="0" collapsed="false">
      <c r="A213" s="81"/>
      <c r="B213" s="80"/>
      <c r="C213" s="147"/>
    </row>
    <row r="214" customFormat="false" ht="15" hidden="false" customHeight="true" outlineLevel="0" collapsed="false">
      <c r="A214" s="81"/>
      <c r="B214" s="80"/>
      <c r="C214" s="147"/>
    </row>
    <row r="215" customFormat="false" ht="15" hidden="false" customHeight="true" outlineLevel="0" collapsed="false">
      <c r="A215" s="81"/>
      <c r="B215" s="80"/>
      <c r="C215" s="147"/>
    </row>
    <row r="216" customFormat="false" ht="15" hidden="false" customHeight="true" outlineLevel="0" collapsed="false">
      <c r="A216" s="81"/>
      <c r="B216" s="80"/>
      <c r="C216" s="147"/>
    </row>
    <row r="217" customFormat="false" ht="15" hidden="false" customHeight="true" outlineLevel="0" collapsed="false">
      <c r="A217" s="81"/>
      <c r="B217" s="80"/>
      <c r="C217" s="147"/>
    </row>
    <row r="218" customFormat="false" ht="15" hidden="false" customHeight="true" outlineLevel="0" collapsed="false">
      <c r="A218" s="81"/>
      <c r="B218" s="80"/>
      <c r="C218" s="147"/>
    </row>
    <row r="219" customFormat="false" ht="15" hidden="false" customHeight="true" outlineLevel="0" collapsed="false">
      <c r="A219" s="81"/>
      <c r="B219" s="80"/>
      <c r="C219" s="147"/>
    </row>
    <row r="220" customFormat="false" ht="15" hidden="false" customHeight="true" outlineLevel="0" collapsed="false">
      <c r="A220" s="81"/>
      <c r="B220" s="80"/>
      <c r="C220" s="147"/>
    </row>
    <row r="221" customFormat="false" ht="15" hidden="false" customHeight="true" outlineLevel="0" collapsed="false">
      <c r="A221" s="81"/>
      <c r="B221" s="80"/>
      <c r="C221" s="147"/>
    </row>
    <row r="222" customFormat="false" ht="15" hidden="false" customHeight="true" outlineLevel="0" collapsed="false">
      <c r="A222" s="81"/>
      <c r="B222" s="80"/>
      <c r="C222" s="147"/>
    </row>
    <row r="223" customFormat="false" ht="15" hidden="false" customHeight="true" outlineLevel="0" collapsed="false">
      <c r="A223" s="81"/>
      <c r="B223" s="80"/>
      <c r="C223" s="147"/>
    </row>
    <row r="224" customFormat="false" ht="15" hidden="false" customHeight="true" outlineLevel="0" collapsed="false">
      <c r="A224" s="81"/>
      <c r="B224" s="80"/>
      <c r="C224" s="147"/>
    </row>
    <row r="225" customFormat="false" ht="15" hidden="false" customHeight="true" outlineLevel="0" collapsed="false">
      <c r="A225" s="81"/>
      <c r="B225" s="80"/>
      <c r="C225" s="147"/>
    </row>
    <row r="226" customFormat="false" ht="15" hidden="false" customHeight="true" outlineLevel="0" collapsed="false">
      <c r="A226" s="81"/>
      <c r="B226" s="80"/>
      <c r="C226" s="147"/>
    </row>
    <row r="227" customFormat="false" ht="15" hidden="false" customHeight="true" outlineLevel="0" collapsed="false">
      <c r="A227" s="81"/>
      <c r="B227" s="80"/>
      <c r="C227" s="147"/>
    </row>
    <row r="228" customFormat="false" ht="15" hidden="false" customHeight="true" outlineLevel="0" collapsed="false">
      <c r="A228" s="81"/>
      <c r="B228" s="80"/>
      <c r="C228" s="147"/>
    </row>
    <row r="229" customFormat="false" ht="15" hidden="false" customHeight="true" outlineLevel="0" collapsed="false">
      <c r="A229" s="81"/>
      <c r="B229" s="80"/>
      <c r="C229" s="147"/>
    </row>
    <row r="230" customFormat="false" ht="15" hidden="false" customHeight="true" outlineLevel="0" collapsed="false">
      <c r="A230" s="81"/>
      <c r="B230" s="80"/>
      <c r="C230" s="147"/>
    </row>
    <row r="231" customFormat="false" ht="15" hidden="false" customHeight="true" outlineLevel="0" collapsed="false">
      <c r="A231" s="81"/>
      <c r="B231" s="80"/>
      <c r="C231" s="147"/>
    </row>
    <row r="232" customFormat="false" ht="15" hidden="false" customHeight="true" outlineLevel="0" collapsed="false">
      <c r="A232" s="81"/>
      <c r="B232" s="80"/>
      <c r="C232" s="147"/>
    </row>
    <row r="233" customFormat="false" ht="15" hidden="false" customHeight="true" outlineLevel="0" collapsed="false">
      <c r="A233" s="81"/>
      <c r="B233" s="80"/>
      <c r="C233" s="147"/>
    </row>
    <row r="234" customFormat="false" ht="15" hidden="false" customHeight="true" outlineLevel="0" collapsed="false">
      <c r="A234" s="81"/>
      <c r="B234" s="80"/>
      <c r="C234" s="147"/>
    </row>
    <row r="235" customFormat="false" ht="15" hidden="false" customHeight="true" outlineLevel="0" collapsed="false">
      <c r="A235" s="81"/>
      <c r="B235" s="80"/>
      <c r="C235" s="147"/>
    </row>
    <row r="236" customFormat="false" ht="15" hidden="false" customHeight="true" outlineLevel="0" collapsed="false">
      <c r="A236" s="81"/>
      <c r="B236" s="80"/>
      <c r="C236" s="147"/>
    </row>
    <row r="237" customFormat="false" ht="15" hidden="false" customHeight="true" outlineLevel="0" collapsed="false">
      <c r="A237" s="81"/>
      <c r="B237" s="80"/>
      <c r="C237" s="147"/>
    </row>
    <row r="238" customFormat="false" ht="15" hidden="false" customHeight="true" outlineLevel="0" collapsed="false">
      <c r="A238" s="81"/>
      <c r="B238" s="80"/>
      <c r="C238" s="147"/>
    </row>
    <row r="239" customFormat="false" ht="15" hidden="false" customHeight="true" outlineLevel="0" collapsed="false">
      <c r="A239" s="81"/>
      <c r="B239" s="80"/>
      <c r="C239" s="147"/>
    </row>
    <row r="240" customFormat="false" ht="15" hidden="false" customHeight="true" outlineLevel="0" collapsed="false">
      <c r="A240" s="81"/>
      <c r="B240" s="80"/>
      <c r="C240" s="147"/>
    </row>
    <row r="241" customFormat="false" ht="15" hidden="false" customHeight="true" outlineLevel="0" collapsed="false">
      <c r="A241" s="81"/>
      <c r="B241" s="80"/>
      <c r="C241" s="147"/>
    </row>
    <row r="242" customFormat="false" ht="15" hidden="false" customHeight="true" outlineLevel="0" collapsed="false">
      <c r="A242" s="81"/>
      <c r="B242" s="80"/>
      <c r="C242" s="147"/>
    </row>
    <row r="243" customFormat="false" ht="15" hidden="false" customHeight="true" outlineLevel="0" collapsed="false">
      <c r="A243" s="81"/>
      <c r="B243" s="80"/>
      <c r="C243" s="147"/>
    </row>
    <row r="244" customFormat="false" ht="15" hidden="false" customHeight="true" outlineLevel="0" collapsed="false">
      <c r="A244" s="81"/>
      <c r="B244" s="80"/>
      <c r="C244" s="147"/>
    </row>
    <row r="245" customFormat="false" ht="15" hidden="false" customHeight="true" outlineLevel="0" collapsed="false">
      <c r="A245" s="81"/>
      <c r="B245" s="80"/>
      <c r="C245" s="147"/>
    </row>
    <row r="246" customFormat="false" ht="15" hidden="false" customHeight="true" outlineLevel="0" collapsed="false">
      <c r="A246" s="81"/>
      <c r="B246" s="80"/>
      <c r="C246" s="147"/>
    </row>
    <row r="247" customFormat="false" ht="15" hidden="false" customHeight="true" outlineLevel="0" collapsed="false">
      <c r="A247" s="81"/>
      <c r="B247" s="80"/>
      <c r="C247" s="147"/>
    </row>
    <row r="248" customFormat="false" ht="15" hidden="false" customHeight="true" outlineLevel="0" collapsed="false">
      <c r="A248" s="81"/>
      <c r="B248" s="80"/>
      <c r="C248" s="147"/>
    </row>
    <row r="249" customFormat="false" ht="15" hidden="false" customHeight="true" outlineLevel="0" collapsed="false">
      <c r="A249" s="81"/>
      <c r="B249" s="80"/>
      <c r="C249" s="147"/>
    </row>
    <row r="250" customFormat="false" ht="15" hidden="false" customHeight="true" outlineLevel="0" collapsed="false">
      <c r="A250" s="81"/>
      <c r="B250" s="80"/>
      <c r="C250" s="147"/>
    </row>
    <row r="251" customFormat="false" ht="15" hidden="false" customHeight="true" outlineLevel="0" collapsed="false">
      <c r="A251" s="81"/>
      <c r="B251" s="80"/>
      <c r="C251" s="147"/>
    </row>
    <row r="252" customFormat="false" ht="15" hidden="false" customHeight="true" outlineLevel="0" collapsed="false">
      <c r="A252" s="81"/>
      <c r="B252" s="80"/>
      <c r="C252" s="147"/>
    </row>
    <row r="253" customFormat="false" ht="15" hidden="false" customHeight="true" outlineLevel="0" collapsed="false">
      <c r="A253" s="81"/>
      <c r="B253" s="80"/>
      <c r="C253" s="147"/>
    </row>
    <row r="254" customFormat="false" ht="15" hidden="false" customHeight="true" outlineLevel="0" collapsed="false">
      <c r="A254" s="81"/>
      <c r="B254" s="80"/>
      <c r="C254" s="147"/>
    </row>
    <row r="255" customFormat="false" ht="15" hidden="false" customHeight="true" outlineLevel="0" collapsed="false">
      <c r="A255" s="81"/>
      <c r="B255" s="80"/>
      <c r="C255" s="147"/>
    </row>
    <row r="256" customFormat="false" ht="15" hidden="false" customHeight="true" outlineLevel="0" collapsed="false">
      <c r="A256" s="81"/>
      <c r="B256" s="80"/>
      <c r="C256" s="147"/>
    </row>
    <row r="257" customFormat="false" ht="15" hidden="false" customHeight="true" outlineLevel="0" collapsed="false">
      <c r="A257" s="81"/>
      <c r="B257" s="80"/>
      <c r="C257" s="147"/>
    </row>
    <row r="258" customFormat="false" ht="15" hidden="false" customHeight="true" outlineLevel="0" collapsed="false">
      <c r="A258" s="81"/>
      <c r="B258" s="80"/>
      <c r="C258" s="147"/>
    </row>
    <row r="259" customFormat="false" ht="15" hidden="false" customHeight="true" outlineLevel="0" collapsed="false">
      <c r="A259" s="81"/>
      <c r="B259" s="80"/>
      <c r="C259" s="147"/>
    </row>
    <row r="260" customFormat="false" ht="15" hidden="false" customHeight="true" outlineLevel="0" collapsed="false">
      <c r="A260" s="81"/>
      <c r="B260" s="80"/>
      <c r="C260" s="147"/>
    </row>
    <row r="261" customFormat="false" ht="15" hidden="false" customHeight="true" outlineLevel="0" collapsed="false">
      <c r="A261" s="81"/>
      <c r="B261" s="80"/>
      <c r="C261" s="147"/>
    </row>
    <row r="262" customFormat="false" ht="15" hidden="false" customHeight="true" outlineLevel="0" collapsed="false">
      <c r="A262" s="81"/>
      <c r="B262" s="80"/>
      <c r="C262" s="147"/>
    </row>
    <row r="263" customFormat="false" ht="15" hidden="false" customHeight="true" outlineLevel="0" collapsed="false">
      <c r="A263" s="81"/>
      <c r="B263" s="80"/>
      <c r="C263" s="147"/>
    </row>
    <row r="264" customFormat="false" ht="15" hidden="false" customHeight="true" outlineLevel="0" collapsed="false">
      <c r="A264" s="81"/>
      <c r="B264" s="80"/>
      <c r="C264" s="147"/>
    </row>
    <row r="265" customFormat="false" ht="15" hidden="false" customHeight="true" outlineLevel="0" collapsed="false">
      <c r="A265" s="81"/>
      <c r="B265" s="80"/>
      <c r="C265" s="147"/>
    </row>
    <row r="266" customFormat="false" ht="15" hidden="false" customHeight="true" outlineLevel="0" collapsed="false">
      <c r="A266" s="81"/>
      <c r="B266" s="80"/>
      <c r="C266" s="147"/>
    </row>
    <row r="267" customFormat="false" ht="15" hidden="false" customHeight="true" outlineLevel="0" collapsed="false">
      <c r="A267" s="81"/>
      <c r="B267" s="80"/>
      <c r="C267" s="147"/>
    </row>
    <row r="268" customFormat="false" ht="15" hidden="false" customHeight="true" outlineLevel="0" collapsed="false">
      <c r="A268" s="81"/>
      <c r="B268" s="80"/>
      <c r="C268" s="147"/>
    </row>
    <row r="269" customFormat="false" ht="15" hidden="false" customHeight="true" outlineLevel="0" collapsed="false">
      <c r="A269" s="81"/>
      <c r="B269" s="80"/>
      <c r="C269" s="147"/>
    </row>
    <row r="270" customFormat="false" ht="15" hidden="false" customHeight="true" outlineLevel="0" collapsed="false">
      <c r="A270" s="81"/>
      <c r="B270" s="80"/>
      <c r="C270" s="147"/>
    </row>
    <row r="271" customFormat="false" ht="15" hidden="false" customHeight="true" outlineLevel="0" collapsed="false">
      <c r="A271" s="81"/>
      <c r="B271" s="80"/>
      <c r="C271" s="147"/>
    </row>
    <row r="272" customFormat="false" ht="15" hidden="false" customHeight="true" outlineLevel="0" collapsed="false">
      <c r="A272" s="81"/>
      <c r="B272" s="80"/>
      <c r="C272" s="147"/>
    </row>
    <row r="273" customFormat="false" ht="15" hidden="false" customHeight="true" outlineLevel="0" collapsed="false">
      <c r="A273" s="81"/>
      <c r="B273" s="80"/>
      <c r="C273" s="147"/>
    </row>
    <row r="274" customFormat="false" ht="15" hidden="false" customHeight="true" outlineLevel="0" collapsed="false">
      <c r="A274" s="81"/>
      <c r="B274" s="80"/>
      <c r="C274" s="147"/>
    </row>
    <row r="275" customFormat="false" ht="15" hidden="false" customHeight="true" outlineLevel="0" collapsed="false">
      <c r="A275" s="81"/>
      <c r="B275" s="80"/>
      <c r="C275" s="147"/>
    </row>
    <row r="276" customFormat="false" ht="15" hidden="false" customHeight="true" outlineLevel="0" collapsed="false">
      <c r="A276" s="81"/>
      <c r="B276" s="80"/>
      <c r="C276" s="147"/>
    </row>
    <row r="277" customFormat="false" ht="15" hidden="false" customHeight="true" outlineLevel="0" collapsed="false">
      <c r="A277" s="81"/>
      <c r="B277" s="80"/>
      <c r="C277" s="147"/>
    </row>
    <row r="278" customFormat="false" ht="15" hidden="false" customHeight="true" outlineLevel="0" collapsed="false">
      <c r="A278" s="81"/>
      <c r="B278" s="80"/>
      <c r="C278" s="147"/>
    </row>
    <row r="279" customFormat="false" ht="15" hidden="false" customHeight="true" outlineLevel="0" collapsed="false">
      <c r="A279" s="81"/>
      <c r="B279" s="80"/>
      <c r="C279" s="147"/>
    </row>
    <row r="280" customFormat="false" ht="15" hidden="false" customHeight="true" outlineLevel="0" collapsed="false">
      <c r="A280" s="81"/>
      <c r="B280" s="80"/>
      <c r="C280" s="147"/>
    </row>
    <row r="281" customFormat="false" ht="15" hidden="false" customHeight="true" outlineLevel="0" collapsed="false">
      <c r="A281" s="81"/>
      <c r="B281" s="80"/>
      <c r="C281" s="147"/>
    </row>
    <row r="282" customFormat="false" ht="15" hidden="false" customHeight="true" outlineLevel="0" collapsed="false">
      <c r="A282" s="81"/>
      <c r="B282" s="80"/>
      <c r="C282" s="147"/>
    </row>
    <row r="283" customFormat="false" ht="15" hidden="false" customHeight="true" outlineLevel="0" collapsed="false">
      <c r="A283" s="81"/>
      <c r="B283" s="80"/>
      <c r="C283" s="147"/>
    </row>
    <row r="284" customFormat="false" ht="15" hidden="false" customHeight="true" outlineLevel="0" collapsed="false">
      <c r="A284" s="81"/>
      <c r="B284" s="80"/>
      <c r="C284" s="147"/>
    </row>
    <row r="285" customFormat="false" ht="15" hidden="false" customHeight="true" outlineLevel="0" collapsed="false">
      <c r="A285" s="81"/>
      <c r="B285" s="80"/>
      <c r="C285" s="147"/>
    </row>
    <row r="286" customFormat="false" ht="15" hidden="false" customHeight="true" outlineLevel="0" collapsed="false">
      <c r="A286" s="81"/>
      <c r="B286" s="80"/>
      <c r="C286" s="147"/>
    </row>
    <row r="287" customFormat="false" ht="15" hidden="false" customHeight="true" outlineLevel="0" collapsed="false">
      <c r="A287" s="81"/>
      <c r="B287" s="80"/>
      <c r="C287" s="147"/>
    </row>
    <row r="288" customFormat="false" ht="15" hidden="false" customHeight="true" outlineLevel="0" collapsed="false">
      <c r="A288" s="81"/>
      <c r="B288" s="80"/>
      <c r="C288" s="147"/>
    </row>
    <row r="289" customFormat="false" ht="15" hidden="false" customHeight="true" outlineLevel="0" collapsed="false">
      <c r="A289" s="81"/>
      <c r="B289" s="80"/>
      <c r="C289" s="147"/>
    </row>
    <row r="290" customFormat="false" ht="15" hidden="false" customHeight="true" outlineLevel="0" collapsed="false">
      <c r="A290" s="81"/>
      <c r="B290" s="80"/>
      <c r="C290" s="147"/>
    </row>
    <row r="291" customFormat="false" ht="15" hidden="false" customHeight="true" outlineLevel="0" collapsed="false">
      <c r="A291" s="81"/>
      <c r="B291" s="80"/>
      <c r="C291" s="147"/>
    </row>
    <row r="292" customFormat="false" ht="15" hidden="false" customHeight="true" outlineLevel="0" collapsed="false">
      <c r="A292" s="81"/>
      <c r="B292" s="80"/>
      <c r="C292" s="147"/>
    </row>
    <row r="293" customFormat="false" ht="15" hidden="false" customHeight="true" outlineLevel="0" collapsed="false">
      <c r="A293" s="81"/>
      <c r="B293" s="80"/>
      <c r="C293" s="147"/>
    </row>
    <row r="294" customFormat="false" ht="15" hidden="false" customHeight="true" outlineLevel="0" collapsed="false">
      <c r="A294" s="81"/>
      <c r="B294" s="80"/>
      <c r="C294" s="147"/>
    </row>
    <row r="295" customFormat="false" ht="15" hidden="false" customHeight="true" outlineLevel="0" collapsed="false">
      <c r="A295" s="81"/>
      <c r="B295" s="80"/>
      <c r="C295" s="147"/>
    </row>
    <row r="296" customFormat="false" ht="15" hidden="false" customHeight="true" outlineLevel="0" collapsed="false">
      <c r="A296" s="81"/>
      <c r="B296" s="80"/>
      <c r="C296" s="147"/>
    </row>
    <row r="297" customFormat="false" ht="15" hidden="false" customHeight="true" outlineLevel="0" collapsed="false">
      <c r="A297" s="81"/>
      <c r="B297" s="80"/>
      <c r="C297" s="147"/>
    </row>
    <row r="298" customFormat="false" ht="15" hidden="false" customHeight="true" outlineLevel="0" collapsed="false">
      <c r="A298" s="81"/>
      <c r="B298" s="80"/>
      <c r="C298" s="147"/>
    </row>
    <row r="299" customFormat="false" ht="15" hidden="false" customHeight="true" outlineLevel="0" collapsed="false">
      <c r="A299" s="81"/>
      <c r="B299" s="80"/>
      <c r="C299" s="147"/>
    </row>
    <row r="300" customFormat="false" ht="15" hidden="false" customHeight="true" outlineLevel="0" collapsed="false">
      <c r="A300" s="81"/>
      <c r="B300" s="80"/>
      <c r="C300" s="147"/>
    </row>
    <row r="301" customFormat="false" ht="15" hidden="false" customHeight="true" outlineLevel="0" collapsed="false">
      <c r="A301" s="81"/>
      <c r="B301" s="80"/>
      <c r="C301" s="147"/>
    </row>
    <row r="302" customFormat="false" ht="15" hidden="false" customHeight="true" outlineLevel="0" collapsed="false">
      <c r="A302" s="81"/>
      <c r="B302" s="80"/>
      <c r="C302" s="147"/>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49" t="s">
        <v>582</v>
      </c>
      <c r="B1" s="149"/>
      <c r="C1" s="149"/>
      <c r="D1" s="149"/>
      <c r="E1" s="149"/>
      <c r="F1" s="149"/>
    </row>
    <row r="2" customFormat="false" ht="15" hidden="false" customHeight="true" outlineLevel="0" collapsed="false">
      <c r="A2" s="27" t="s">
        <v>583</v>
      </c>
      <c r="C2" s="113" t="n">
        <f aca="false">COUNTIF(F5:F500,"OVERDUE")</f>
        <v>0</v>
      </c>
    </row>
    <row r="4" customFormat="false" ht="27.75" hidden="false" customHeight="true" outlineLevel="0" collapsed="false">
      <c r="A4" s="114" t="s">
        <v>584</v>
      </c>
      <c r="B4" s="114" t="s">
        <v>585</v>
      </c>
      <c r="C4" s="114" t="s">
        <v>586</v>
      </c>
      <c r="D4" s="114" t="s">
        <v>587</v>
      </c>
      <c r="E4" s="114" t="s">
        <v>588</v>
      </c>
      <c r="F4" s="114" t="s">
        <v>452</v>
      </c>
    </row>
    <row r="5" customFormat="false" ht="15" hidden="false" customHeight="true" outlineLevel="0" collapsed="false">
      <c r="A5" s="118" t="s">
        <v>542</v>
      </c>
      <c r="B5" s="150" t="s">
        <v>589</v>
      </c>
      <c r="C5" s="118"/>
      <c r="D5" s="118"/>
      <c r="E5" s="151" t="n">
        <f aca="false">IFERROR(INDEX(Journal!$A:$A,MATCH($A5,Journal!$B:$B,0)),"")</f>
        <v>46295</v>
      </c>
      <c r="F5" s="118" t="str">
        <f aca="true">IF(C5="Y","Done",IF(AND(E5&lt;&gt;"",TODAY()&gt;E5),"OVERDUE","Pending"))</f>
        <v>Pending</v>
      </c>
    </row>
    <row r="6" customFormat="false" ht="15" hidden="false" customHeight="true" outlineLevel="0" collapsed="false">
      <c r="A6" s="118" t="s">
        <v>542</v>
      </c>
      <c r="B6" s="150" t="s">
        <v>590</v>
      </c>
      <c r="C6" s="118"/>
      <c r="D6" s="118"/>
      <c r="E6" s="151" t="n">
        <f aca="false">IFERROR(INDEX(Journal!$A:$A,MATCH($A6,Journal!$B:$B,0)),"")</f>
        <v>46295</v>
      </c>
      <c r="F6" s="118" t="str">
        <f aca="true">IF(C6="Y","Done",IF(AND(E6&lt;&gt;"",TODAY()&gt;E6),"OVERDUE","Pending"))</f>
        <v>Pending</v>
      </c>
    </row>
    <row r="7" customFormat="false" ht="15" hidden="false" customHeight="true" outlineLevel="0" collapsed="false">
      <c r="A7" s="118" t="s">
        <v>542</v>
      </c>
      <c r="B7" s="150" t="s">
        <v>591</v>
      </c>
      <c r="C7" s="118"/>
      <c r="D7" s="118"/>
      <c r="E7" s="151" t="n">
        <f aca="false">IFERROR(INDEX(Journal!$A:$A,MATCH($A7,Journal!$B:$B,0)),"")</f>
        <v>46295</v>
      </c>
      <c r="F7" s="118" t="str">
        <f aca="true">IF(C7="Y","Done",IF(AND(E7&lt;&gt;"",TODAY()&gt;E7),"OVERDUE","Pending"))</f>
        <v>Pending</v>
      </c>
    </row>
    <row r="8" customFormat="false" ht="15" hidden="false" customHeight="true" outlineLevel="0" collapsed="false">
      <c r="A8" s="118" t="s">
        <v>542</v>
      </c>
      <c r="B8" s="150" t="s">
        <v>592</v>
      </c>
      <c r="C8" s="118"/>
      <c r="D8" s="118"/>
      <c r="E8" s="151" t="n">
        <f aca="false">IFERROR(INDEX(Journal!$A:$A,MATCH($A8,Journal!$B:$B,0)),"")</f>
        <v>46295</v>
      </c>
      <c r="F8" s="118" t="str">
        <f aca="true">IF(C8="Y","Done",IF(AND(E8&lt;&gt;"",TODAY()&gt;E8),"OVERDUE","Pending"))</f>
        <v>Pending</v>
      </c>
    </row>
    <row r="9" customFormat="false" ht="15" hidden="false" customHeight="true" outlineLevel="0" collapsed="false">
      <c r="A9" s="118" t="s">
        <v>542</v>
      </c>
      <c r="B9" s="150" t="s">
        <v>593</v>
      </c>
      <c r="C9" s="118"/>
      <c r="D9" s="118"/>
      <c r="E9" s="151" t="n">
        <f aca="false">IFERROR(INDEX(Journal!$A:$A,MATCH($A9,Journal!$B:$B,0)),"")</f>
        <v>46295</v>
      </c>
      <c r="F9" s="118" t="str">
        <f aca="true">IF(C9="Y","Done",IF(AND(E9&lt;&gt;"",TODAY()&gt;E9),"OVERDUE","Pending"))</f>
        <v>Pending</v>
      </c>
    </row>
    <row r="10" customFormat="false" ht="15" hidden="false" customHeight="true" outlineLevel="0" collapsed="false">
      <c r="A10" s="118" t="s">
        <v>542</v>
      </c>
      <c r="B10" s="150" t="s">
        <v>594</v>
      </c>
      <c r="C10" s="118"/>
      <c r="D10" s="118"/>
      <c r="E10" s="151" t="n">
        <f aca="false">IFERROR(INDEX(Journal!$A:$A,MATCH($A10,Journal!$B:$B,0)),"")</f>
        <v>46295</v>
      </c>
      <c r="F10" s="118" t="str">
        <f aca="true">IF(C10="Y","Done",IF(AND(E10&lt;&gt;"",TODAY()&gt;E10),"OVERDUE","Pending"))</f>
        <v>Pending</v>
      </c>
    </row>
    <row r="11" customFormat="false" ht="23.25" hidden="false" customHeight="true" outlineLevel="0" collapsed="false">
      <c r="A11" s="118" t="s">
        <v>546</v>
      </c>
      <c r="B11" s="150" t="s">
        <v>595</v>
      </c>
      <c r="C11" s="118"/>
      <c r="D11" s="118"/>
      <c r="E11" s="151" t="n">
        <f aca="false">IFERROR(INDEX(Journal!$A:$A,MATCH($A11,Journal!$B:$B,0)),"")</f>
        <v>46320</v>
      </c>
      <c r="F11" s="118" t="str">
        <f aca="true">IF(C11="Y","Done",IF(AND(E11&lt;&gt;"",TODAY()&gt;E11),"OVERDUE","Pending"))</f>
        <v>Pending</v>
      </c>
    </row>
    <row r="12" customFormat="false" ht="15" hidden="false" customHeight="true" outlineLevel="0" collapsed="false">
      <c r="A12" s="118" t="s">
        <v>546</v>
      </c>
      <c r="B12" s="150" t="s">
        <v>596</v>
      </c>
      <c r="C12" s="118"/>
      <c r="D12" s="118"/>
      <c r="E12" s="151" t="n">
        <f aca="false">IFERROR(INDEX(Journal!$A:$A,MATCH($A12,Journal!$B:$B,0)),"")</f>
        <v>46320</v>
      </c>
      <c r="F12" s="118" t="str">
        <f aca="true">IF(C12="Y","Done",IF(AND(E12&lt;&gt;"",TODAY()&gt;E12),"OVERDUE","Pending"))</f>
        <v>Pending</v>
      </c>
    </row>
    <row r="13" customFormat="false" ht="23.25" hidden="false" customHeight="true" outlineLevel="0" collapsed="false">
      <c r="A13" s="118" t="s">
        <v>546</v>
      </c>
      <c r="B13" s="150" t="s">
        <v>597</v>
      </c>
      <c r="C13" s="118"/>
      <c r="D13" s="118"/>
      <c r="E13" s="151" t="n">
        <f aca="false">IFERROR(INDEX(Journal!$A:$A,MATCH($A13,Journal!$B:$B,0)),"")</f>
        <v>46320</v>
      </c>
      <c r="F13" s="118" t="str">
        <f aca="true">IF(C13="Y","Done",IF(AND(E13&lt;&gt;"",TODAY()&gt;E13),"OVERDUE","Pending"))</f>
        <v>Pending</v>
      </c>
    </row>
    <row r="14" customFormat="false" ht="15" hidden="false" customHeight="true" outlineLevel="0" collapsed="false">
      <c r="A14" s="118" t="s">
        <v>546</v>
      </c>
      <c r="B14" s="150" t="s">
        <v>592</v>
      </c>
      <c r="C14" s="118"/>
      <c r="D14" s="118"/>
      <c r="E14" s="151" t="n">
        <f aca="false">IFERROR(INDEX(Journal!$A:$A,MATCH($A14,Journal!$B:$B,0)),"")</f>
        <v>46320</v>
      </c>
      <c r="F14" s="118" t="str">
        <f aca="true">IF(C14="Y","Done",IF(AND(E14&lt;&gt;"",TODAY()&gt;E14),"OVERDUE","Pending"))</f>
        <v>Pending</v>
      </c>
    </row>
    <row r="15" customFormat="false" ht="15" hidden="false" customHeight="true" outlineLevel="0" collapsed="false">
      <c r="A15" s="118" t="s">
        <v>546</v>
      </c>
      <c r="B15" s="150" t="s">
        <v>593</v>
      </c>
      <c r="C15" s="118"/>
      <c r="D15" s="118"/>
      <c r="E15" s="151" t="n">
        <f aca="false">IFERROR(INDEX(Journal!$A:$A,MATCH($A15,Journal!$B:$B,0)),"")</f>
        <v>46320</v>
      </c>
      <c r="F15" s="118" t="str">
        <f aca="true">IF(C15="Y","Done",IF(AND(E15&lt;&gt;"",TODAY()&gt;E15),"OVERDUE","Pending"))</f>
        <v>Pending</v>
      </c>
    </row>
    <row r="16" customFormat="false" ht="15" hidden="false" customHeight="true" outlineLevel="0" collapsed="false">
      <c r="A16" s="118" t="s">
        <v>546</v>
      </c>
      <c r="B16" s="150" t="s">
        <v>594</v>
      </c>
      <c r="C16" s="118"/>
      <c r="D16" s="118"/>
      <c r="E16" s="151" t="n">
        <f aca="false">IFERROR(INDEX(Journal!$A:$A,MATCH($A16,Journal!$B:$B,0)),"")</f>
        <v>46320</v>
      </c>
      <c r="F16" s="118" t="str">
        <f aca="true">IF(C16="Y","Done",IF(AND(E16&lt;&gt;"",TODAY()&gt;E16),"OVERDUE","Pending"))</f>
        <v>Pending</v>
      </c>
    </row>
    <row r="17" customFormat="false" ht="15" hidden="false" customHeight="true" outlineLevel="0" collapsed="false">
      <c r="A17" s="118" t="s">
        <v>550</v>
      </c>
      <c r="B17" s="150" t="s">
        <v>589</v>
      </c>
      <c r="C17" s="118"/>
      <c r="D17" s="118"/>
      <c r="E17" s="151" t="n">
        <f aca="false">IFERROR(INDEX(Journal!$A:$A,MATCH($A17,Journal!$B:$B,0)),"")</f>
        <v>46387</v>
      </c>
      <c r="F17" s="118" t="str">
        <f aca="true">IF(C17="Y","Done",IF(AND(E17&lt;&gt;"",TODAY()&gt;E17),"OVERDUE","Pending"))</f>
        <v>Pending</v>
      </c>
    </row>
    <row r="18" customFormat="false" ht="15" hidden="false" customHeight="true" outlineLevel="0" collapsed="false">
      <c r="A18" s="118" t="s">
        <v>550</v>
      </c>
      <c r="B18" s="150" t="s">
        <v>590</v>
      </c>
      <c r="C18" s="118"/>
      <c r="D18" s="118"/>
      <c r="E18" s="151" t="n">
        <f aca="false">IFERROR(INDEX(Journal!$A:$A,MATCH($A18,Journal!$B:$B,0)),"")</f>
        <v>46387</v>
      </c>
      <c r="F18" s="118" t="str">
        <f aca="true">IF(C18="Y","Done",IF(AND(E18&lt;&gt;"",TODAY()&gt;E18),"OVERDUE","Pending"))</f>
        <v>Pending</v>
      </c>
    </row>
    <row r="19" customFormat="false" ht="15" hidden="false" customHeight="true" outlineLevel="0" collapsed="false">
      <c r="A19" s="118" t="s">
        <v>550</v>
      </c>
      <c r="B19" s="150" t="s">
        <v>591</v>
      </c>
      <c r="C19" s="118"/>
      <c r="D19" s="118"/>
      <c r="E19" s="151" t="n">
        <f aca="false">IFERROR(INDEX(Journal!$A:$A,MATCH($A19,Journal!$B:$B,0)),"")</f>
        <v>46387</v>
      </c>
      <c r="F19" s="118" t="str">
        <f aca="true">IF(C19="Y","Done",IF(AND(E19&lt;&gt;"",TODAY()&gt;E19),"OVERDUE","Pending"))</f>
        <v>Pending</v>
      </c>
    </row>
    <row r="20" customFormat="false" ht="15" hidden="false" customHeight="true" outlineLevel="0" collapsed="false">
      <c r="A20" s="118" t="s">
        <v>550</v>
      </c>
      <c r="B20" s="150" t="s">
        <v>592</v>
      </c>
      <c r="C20" s="118"/>
      <c r="D20" s="118"/>
      <c r="E20" s="151" t="n">
        <f aca="false">IFERROR(INDEX(Journal!$A:$A,MATCH($A20,Journal!$B:$B,0)),"")</f>
        <v>46387</v>
      </c>
      <c r="F20" s="118" t="str">
        <f aca="true">IF(C20="Y","Done",IF(AND(E20&lt;&gt;"",TODAY()&gt;E20),"OVERDUE","Pending"))</f>
        <v>Pending</v>
      </c>
    </row>
    <row r="21" customFormat="false" ht="15" hidden="false" customHeight="true" outlineLevel="0" collapsed="false">
      <c r="A21" s="118" t="s">
        <v>550</v>
      </c>
      <c r="B21" s="150" t="s">
        <v>593</v>
      </c>
      <c r="C21" s="118"/>
      <c r="D21" s="118"/>
      <c r="E21" s="151" t="n">
        <f aca="false">IFERROR(INDEX(Journal!$A:$A,MATCH($A21,Journal!$B:$B,0)),"")</f>
        <v>46387</v>
      </c>
      <c r="F21" s="118" t="str">
        <f aca="true">IF(C21="Y","Done",IF(AND(E21&lt;&gt;"",TODAY()&gt;E21),"OVERDUE","Pending"))</f>
        <v>Pending</v>
      </c>
    </row>
    <row r="22" customFormat="false" ht="15" hidden="false" customHeight="true" outlineLevel="0" collapsed="false">
      <c r="A22" s="118" t="s">
        <v>550</v>
      </c>
      <c r="B22" s="150" t="s">
        <v>594</v>
      </c>
      <c r="C22" s="118"/>
      <c r="D22" s="118"/>
      <c r="E22" s="151" t="n">
        <f aca="false">IFERROR(INDEX(Journal!$A:$A,MATCH($A22,Journal!$B:$B,0)),"")</f>
        <v>46387</v>
      </c>
      <c r="F22" s="118" t="str">
        <f aca="true">IF(C22="Y","Done",IF(AND(E22&lt;&gt;"",TODAY()&gt;E22),"OVERDUE","Pending"))</f>
        <v>Pending</v>
      </c>
    </row>
    <row r="23" customFormat="false" ht="15" hidden="false" customHeight="true" outlineLevel="0" collapsed="false">
      <c r="A23" s="118" t="s">
        <v>552</v>
      </c>
      <c r="B23" s="150" t="s">
        <v>598</v>
      </c>
      <c r="C23" s="118"/>
      <c r="D23" s="118"/>
      <c r="E23" s="151" t="n">
        <f aca="false">IFERROR(INDEX(Journal!$A:$A,MATCH($A23,Journal!$B:$B,0)),"")</f>
        <v>46412</v>
      </c>
      <c r="F23" s="118" t="str">
        <f aca="true">IF(C23="Y","Done",IF(AND(E23&lt;&gt;"",TODAY()&gt;E23),"OVERDUE","Pending"))</f>
        <v>Pending</v>
      </c>
    </row>
    <row r="24" customFormat="false" ht="23.25" hidden="false" customHeight="true" outlineLevel="0" collapsed="false">
      <c r="A24" s="118" t="s">
        <v>552</v>
      </c>
      <c r="B24" s="150" t="s">
        <v>599</v>
      </c>
      <c r="C24" s="118"/>
      <c r="D24" s="118"/>
      <c r="E24" s="151" t="n">
        <f aca="false">IFERROR(INDEX(Journal!$A:$A,MATCH($A24,Journal!$B:$B,0)),"")</f>
        <v>46412</v>
      </c>
      <c r="F24" s="118" t="str">
        <f aca="true">IF(C24="Y","Done",IF(AND(E24&lt;&gt;"",TODAY()&gt;E24),"OVERDUE","Pending"))</f>
        <v>Pending</v>
      </c>
    </row>
    <row r="25" customFormat="false" ht="15" hidden="false" customHeight="true" outlineLevel="0" collapsed="false">
      <c r="A25" s="118" t="s">
        <v>552</v>
      </c>
      <c r="B25" s="150" t="s">
        <v>592</v>
      </c>
      <c r="C25" s="118"/>
      <c r="D25" s="118"/>
      <c r="E25" s="151" t="n">
        <f aca="false">IFERROR(INDEX(Journal!$A:$A,MATCH($A25,Journal!$B:$B,0)),"")</f>
        <v>46412</v>
      </c>
      <c r="F25" s="118" t="str">
        <f aca="true">IF(C25="Y","Done",IF(AND(E25&lt;&gt;"",TODAY()&gt;E25),"OVERDUE","Pending"))</f>
        <v>Pending</v>
      </c>
    </row>
    <row r="26" customFormat="false" ht="15" hidden="false" customHeight="true" outlineLevel="0" collapsed="false">
      <c r="A26" s="118" t="s">
        <v>552</v>
      </c>
      <c r="B26" s="150" t="s">
        <v>593</v>
      </c>
      <c r="C26" s="118"/>
      <c r="D26" s="118"/>
      <c r="E26" s="151" t="n">
        <f aca="false">IFERROR(INDEX(Journal!$A:$A,MATCH($A26,Journal!$B:$B,0)),"")</f>
        <v>46412</v>
      </c>
      <c r="F26" s="118" t="str">
        <f aca="true">IF(C26="Y","Done",IF(AND(E26&lt;&gt;"",TODAY()&gt;E26),"OVERDUE","Pending"))</f>
        <v>Pending</v>
      </c>
    </row>
    <row r="27" customFormat="false" ht="15" hidden="false" customHeight="true" outlineLevel="0" collapsed="false">
      <c r="A27" s="118" t="s">
        <v>552</v>
      </c>
      <c r="B27" s="150" t="s">
        <v>594</v>
      </c>
      <c r="C27" s="118"/>
      <c r="D27" s="118"/>
      <c r="E27" s="151" t="n">
        <f aca="false">IFERROR(INDEX(Journal!$A:$A,MATCH($A27,Journal!$B:$B,0)),"")</f>
        <v>46412</v>
      </c>
      <c r="F27" s="118" t="str">
        <f aca="true">IF(C27="Y","Done",IF(AND(E27&lt;&gt;"",TODAY()&gt;E27),"OVERDUE","Pending"))</f>
        <v>Pending</v>
      </c>
    </row>
    <row r="28" customFormat="false" ht="15" hidden="false" customHeight="true" outlineLevel="0" collapsed="false">
      <c r="A28" s="118" t="s">
        <v>562</v>
      </c>
      <c r="B28" s="150" t="s">
        <v>600</v>
      </c>
      <c r="C28" s="118"/>
      <c r="D28" s="118"/>
      <c r="E28" s="151" t="n">
        <f aca="false">IFERROR(INDEX(Journal!$A:$A,MATCH($A28,Journal!$B:$B,0)),"")</f>
        <v>46302</v>
      </c>
      <c r="F28" s="118" t="str">
        <f aca="true">IF(C28="Y","Done",IF(AND(E28&lt;&gt;"",TODAY()&gt;E28),"OVERDUE","Pending"))</f>
        <v>Pending</v>
      </c>
    </row>
    <row r="29" customFormat="false" ht="15" hidden="false" customHeight="true" outlineLevel="0" collapsed="false">
      <c r="A29" s="118" t="s">
        <v>562</v>
      </c>
      <c r="B29" s="150" t="s">
        <v>601</v>
      </c>
      <c r="C29" s="118"/>
      <c r="D29" s="118"/>
      <c r="E29" s="151" t="n">
        <f aca="false">IFERROR(INDEX(Journal!$A:$A,MATCH($A29,Journal!$B:$B,0)),"")</f>
        <v>46302</v>
      </c>
      <c r="F29" s="118" t="str">
        <f aca="true">IF(C29="Y","Done",IF(AND(E29&lt;&gt;"",TODAY()&gt;E29),"OVERDUE","Pending"))</f>
        <v>Pending</v>
      </c>
    </row>
    <row r="30" customFormat="false" ht="45.75" hidden="false" customHeight="true" outlineLevel="0" collapsed="false">
      <c r="A30" s="118" t="s">
        <v>562</v>
      </c>
      <c r="B30" s="150" t="s">
        <v>602</v>
      </c>
      <c r="C30" s="118"/>
      <c r="D30" s="118"/>
      <c r="E30" s="151" t="n">
        <f aca="false">IFERROR(INDEX(Journal!$A:$A,MATCH($A30,Journal!$B:$B,0)),"")</f>
        <v>46302</v>
      </c>
      <c r="F30" s="118" t="str">
        <f aca="true">IF(C30="Y","Done",IF(AND(E30&lt;&gt;"",TODAY()&gt;E30),"OVERDUE","Pending"))</f>
        <v>Pending</v>
      </c>
    </row>
    <row r="31" customFormat="false" ht="15" hidden="false" customHeight="true" outlineLevel="0" collapsed="false">
      <c r="A31" s="118" t="s">
        <v>562</v>
      </c>
      <c r="B31" s="150" t="s">
        <v>603</v>
      </c>
      <c r="C31" s="118"/>
      <c r="D31" s="118"/>
      <c r="E31" s="151" t="n">
        <f aca="false">IFERROR(INDEX(Journal!$A:$A,MATCH($A31,Journal!$B:$B,0)),"")</f>
        <v>46302</v>
      </c>
      <c r="F31" s="118" t="str">
        <f aca="true">IF(C31="Y","Done",IF(AND(E31&lt;&gt;"",TODAY()&gt;E31),"OVERDUE","Pending"))</f>
        <v>Pending</v>
      </c>
    </row>
    <row r="32" customFormat="false" ht="15" hidden="false" customHeight="true" outlineLevel="0" collapsed="false">
      <c r="A32" s="118" t="s">
        <v>562</v>
      </c>
      <c r="B32" s="150" t="s">
        <v>604</v>
      </c>
      <c r="C32" s="118"/>
      <c r="D32" s="118"/>
      <c r="E32" s="151" t="n">
        <f aca="false">IFERROR(INDEX(Journal!$A:$A,MATCH($A32,Journal!$B:$B,0)),"")</f>
        <v>46302</v>
      </c>
      <c r="F32" s="118" t="str">
        <f aca="true">IF(C32="Y","Done",IF(AND(E32&lt;&gt;"",TODAY()&gt;E32),"OVERDUE","Pending"))</f>
        <v>Pending</v>
      </c>
    </row>
    <row r="33" customFormat="false" ht="15" hidden="false" customHeight="true" outlineLevel="0" collapsed="false">
      <c r="A33" s="118" t="s">
        <v>562</v>
      </c>
      <c r="B33" s="150" t="s">
        <v>605</v>
      </c>
      <c r="C33" s="118"/>
      <c r="D33" s="118"/>
      <c r="E33" s="151" t="n">
        <f aca="false">IFERROR(INDEX(Journal!$A:$A,MATCH($A33,Journal!$B:$B,0)),"")</f>
        <v>46302</v>
      </c>
      <c r="F33" s="118" t="str">
        <f aca="true">IF(C33="Y","Done",IF(AND(E33&lt;&gt;"",TODAY()&gt;E33),"OVERDUE","Pending"))</f>
        <v>Pending</v>
      </c>
    </row>
    <row r="34" customFormat="false" ht="15" hidden="false" customHeight="true" outlineLevel="0" collapsed="false">
      <c r="A34" s="118" t="s">
        <v>562</v>
      </c>
      <c r="B34" s="150" t="s">
        <v>592</v>
      </c>
      <c r="C34" s="118"/>
      <c r="D34" s="118"/>
      <c r="E34" s="151" t="n">
        <f aca="false">IFERROR(INDEX(Journal!$A:$A,MATCH($A34,Journal!$B:$B,0)),"")</f>
        <v>46302</v>
      </c>
      <c r="F34" s="118" t="str">
        <f aca="true">IF(C34="Y","Done",IF(AND(E34&lt;&gt;"",TODAY()&gt;E34),"OVERDUE","Pending"))</f>
        <v>Pending</v>
      </c>
    </row>
    <row r="35" customFormat="false" ht="15" hidden="false" customHeight="true" outlineLevel="0" collapsed="false">
      <c r="A35" s="118" t="s">
        <v>562</v>
      </c>
      <c r="B35" s="150" t="s">
        <v>593</v>
      </c>
      <c r="C35" s="118"/>
      <c r="D35" s="118"/>
      <c r="E35" s="151" t="n">
        <f aca="false">IFERROR(INDEX(Journal!$A:$A,MATCH($A35,Journal!$B:$B,0)),"")</f>
        <v>46302</v>
      </c>
      <c r="F35" s="118" t="str">
        <f aca="true">IF(C35="Y","Done",IF(AND(E35&lt;&gt;"",TODAY()&gt;E35),"OVERDUE","Pending"))</f>
        <v>Pending</v>
      </c>
    </row>
    <row r="36" customFormat="false" ht="15" hidden="false" customHeight="true" outlineLevel="0" collapsed="false">
      <c r="A36" s="118" t="s">
        <v>562</v>
      </c>
      <c r="B36" s="150" t="s">
        <v>594</v>
      </c>
      <c r="C36" s="118"/>
      <c r="D36" s="118"/>
      <c r="E36" s="151" t="n">
        <f aca="false">IFERROR(INDEX(Journal!$A:$A,MATCH($A36,Journal!$B:$B,0)),"")</f>
        <v>46302</v>
      </c>
      <c r="F36" s="118" t="str">
        <f aca="true">IF(C36="Y","Done",IF(AND(E36&lt;&gt;"",TODAY()&gt;E36),"OVERDUE","Pending"))</f>
        <v>Pending</v>
      </c>
    </row>
    <row r="37" customFormat="false" ht="15" hidden="false" customHeight="true" outlineLevel="0" collapsed="false">
      <c r="A37" s="118" t="s">
        <v>564</v>
      </c>
      <c r="B37" s="150" t="s">
        <v>600</v>
      </c>
      <c r="C37" s="118"/>
      <c r="D37" s="118"/>
      <c r="E37" s="151" t="n">
        <f aca="false">IFERROR(INDEX(Journal!$A:$A,MATCH($A37,Journal!$B:$B,0)),"")</f>
        <v>46310</v>
      </c>
      <c r="F37" s="118" t="str">
        <f aca="true">IF(C37="Y","Done",IF(AND(E37&lt;&gt;"",TODAY()&gt;E37),"OVERDUE","Pending"))</f>
        <v>Pending</v>
      </c>
    </row>
    <row r="38" customFormat="false" ht="15" hidden="false" customHeight="true" outlineLevel="0" collapsed="false">
      <c r="A38" s="118" t="s">
        <v>564</v>
      </c>
      <c r="B38" s="150" t="s">
        <v>601</v>
      </c>
      <c r="C38" s="118"/>
      <c r="D38" s="118"/>
      <c r="E38" s="151" t="n">
        <f aca="false">IFERROR(INDEX(Journal!$A:$A,MATCH($A38,Journal!$B:$B,0)),"")</f>
        <v>46310</v>
      </c>
      <c r="F38" s="118" t="str">
        <f aca="true">IF(C38="Y","Done",IF(AND(E38&lt;&gt;"",TODAY()&gt;E38),"OVERDUE","Pending"))</f>
        <v>Pending</v>
      </c>
    </row>
    <row r="39" customFormat="false" ht="45.75" hidden="false" customHeight="true" outlineLevel="0" collapsed="false">
      <c r="A39" s="118" t="s">
        <v>564</v>
      </c>
      <c r="B39" s="150" t="s">
        <v>602</v>
      </c>
      <c r="C39" s="118"/>
      <c r="D39" s="118"/>
      <c r="E39" s="151" t="n">
        <f aca="false">IFERROR(INDEX(Journal!$A:$A,MATCH($A39,Journal!$B:$B,0)),"")</f>
        <v>46310</v>
      </c>
      <c r="F39" s="118" t="str">
        <f aca="true">IF(C39="Y","Done",IF(AND(E39&lt;&gt;"",TODAY()&gt;E39),"OVERDUE","Pending"))</f>
        <v>Pending</v>
      </c>
    </row>
    <row r="40" customFormat="false" ht="15" hidden="false" customHeight="true" outlineLevel="0" collapsed="false">
      <c r="A40" s="118" t="s">
        <v>564</v>
      </c>
      <c r="B40" s="150" t="s">
        <v>603</v>
      </c>
      <c r="C40" s="118"/>
      <c r="D40" s="118"/>
      <c r="E40" s="151" t="n">
        <f aca="false">IFERROR(INDEX(Journal!$A:$A,MATCH($A40,Journal!$B:$B,0)),"")</f>
        <v>46310</v>
      </c>
      <c r="F40" s="118" t="str">
        <f aca="true">IF(C40="Y","Done",IF(AND(E40&lt;&gt;"",TODAY()&gt;E40),"OVERDUE","Pending"))</f>
        <v>Pending</v>
      </c>
    </row>
    <row r="41" customFormat="false" ht="15" hidden="false" customHeight="true" outlineLevel="0" collapsed="false">
      <c r="A41" s="118" t="s">
        <v>564</v>
      </c>
      <c r="B41" s="150" t="s">
        <v>604</v>
      </c>
      <c r="C41" s="118"/>
      <c r="D41" s="118"/>
      <c r="E41" s="151" t="n">
        <f aca="false">IFERROR(INDEX(Journal!$A:$A,MATCH($A41,Journal!$B:$B,0)),"")</f>
        <v>46310</v>
      </c>
      <c r="F41" s="118" t="str">
        <f aca="true">IF(C41="Y","Done",IF(AND(E41&lt;&gt;"",TODAY()&gt;E41),"OVERDUE","Pending"))</f>
        <v>Pending</v>
      </c>
    </row>
    <row r="42" customFormat="false" ht="15" hidden="false" customHeight="true" outlineLevel="0" collapsed="false">
      <c r="A42" s="118" t="s">
        <v>564</v>
      </c>
      <c r="B42" s="150" t="s">
        <v>605</v>
      </c>
      <c r="C42" s="118"/>
      <c r="D42" s="118"/>
      <c r="E42" s="151" t="n">
        <f aca="false">IFERROR(INDEX(Journal!$A:$A,MATCH($A42,Journal!$B:$B,0)),"")</f>
        <v>46310</v>
      </c>
      <c r="F42" s="118" t="str">
        <f aca="true">IF(C42="Y","Done",IF(AND(E42&lt;&gt;"",TODAY()&gt;E42),"OVERDUE","Pending"))</f>
        <v>Pending</v>
      </c>
    </row>
    <row r="43" customFormat="false" ht="15" hidden="false" customHeight="true" outlineLevel="0" collapsed="false">
      <c r="A43" s="118" t="s">
        <v>564</v>
      </c>
      <c r="B43" s="150" t="s">
        <v>592</v>
      </c>
      <c r="C43" s="118"/>
      <c r="D43" s="118"/>
      <c r="E43" s="151" t="n">
        <f aca="false">IFERROR(INDEX(Journal!$A:$A,MATCH($A43,Journal!$B:$B,0)),"")</f>
        <v>46310</v>
      </c>
      <c r="F43" s="118" t="str">
        <f aca="true">IF(C43="Y","Done",IF(AND(E43&lt;&gt;"",TODAY()&gt;E43),"OVERDUE","Pending"))</f>
        <v>Pending</v>
      </c>
    </row>
    <row r="44" customFormat="false" ht="15" hidden="false" customHeight="true" outlineLevel="0" collapsed="false">
      <c r="A44" s="118" t="s">
        <v>564</v>
      </c>
      <c r="B44" s="150" t="s">
        <v>593</v>
      </c>
      <c r="C44" s="118"/>
      <c r="D44" s="118"/>
      <c r="E44" s="151" t="n">
        <f aca="false">IFERROR(INDEX(Journal!$A:$A,MATCH($A44,Journal!$B:$B,0)),"")</f>
        <v>46310</v>
      </c>
      <c r="F44" s="118" t="str">
        <f aca="true">IF(C44="Y","Done",IF(AND(E44&lt;&gt;"",TODAY()&gt;E44),"OVERDUE","Pending"))</f>
        <v>Pending</v>
      </c>
    </row>
    <row r="45" customFormat="false" ht="15" hidden="false" customHeight="true" outlineLevel="0" collapsed="false">
      <c r="A45" s="118" t="s">
        <v>564</v>
      </c>
      <c r="B45" s="150" t="s">
        <v>594</v>
      </c>
      <c r="C45" s="118"/>
      <c r="D45" s="118"/>
      <c r="E45" s="151" t="n">
        <f aca="false">IFERROR(INDEX(Journal!$A:$A,MATCH($A45,Journal!$B:$B,0)),"")</f>
        <v>46310</v>
      </c>
      <c r="F45" s="118" t="str">
        <f aca="true">IF(C45="Y","Done",IF(AND(E45&lt;&gt;"",TODAY()&gt;E45),"OVERDUE","Pending"))</f>
        <v>Pending</v>
      </c>
    </row>
    <row r="46" customFormat="false" ht="15" hidden="false" customHeight="true" outlineLevel="0" collapsed="false">
      <c r="A46" s="118" t="s">
        <v>565</v>
      </c>
      <c r="B46" s="150" t="s">
        <v>600</v>
      </c>
      <c r="C46" s="118"/>
      <c r="D46" s="118"/>
      <c r="E46" s="151" t="n">
        <f aca="false">IFERROR(INDEX(Journal!$A:$A,MATCH($A46,Journal!$B:$B,0)),"")</f>
        <v>46335</v>
      </c>
      <c r="F46" s="118" t="str">
        <f aca="true">IF(C46="Y","Done",IF(AND(E46&lt;&gt;"",TODAY()&gt;E46),"OVERDUE","Pending"))</f>
        <v>Pending</v>
      </c>
    </row>
    <row r="47" customFormat="false" ht="15" hidden="false" customHeight="true" outlineLevel="0" collapsed="false">
      <c r="A47" s="118" t="s">
        <v>565</v>
      </c>
      <c r="B47" s="150" t="s">
        <v>601</v>
      </c>
      <c r="C47" s="118"/>
      <c r="D47" s="118"/>
      <c r="E47" s="151" t="n">
        <f aca="false">IFERROR(INDEX(Journal!$A:$A,MATCH($A47,Journal!$B:$B,0)),"")</f>
        <v>46335</v>
      </c>
      <c r="F47" s="118" t="str">
        <f aca="true">IF(C47="Y","Done",IF(AND(E47&lt;&gt;"",TODAY()&gt;E47),"OVERDUE","Pending"))</f>
        <v>Pending</v>
      </c>
    </row>
    <row r="48" customFormat="false" ht="45.75" hidden="false" customHeight="true" outlineLevel="0" collapsed="false">
      <c r="A48" s="118" t="s">
        <v>565</v>
      </c>
      <c r="B48" s="150" t="s">
        <v>602</v>
      </c>
      <c r="C48" s="118"/>
      <c r="D48" s="118"/>
      <c r="E48" s="151" t="n">
        <f aca="false">IFERROR(INDEX(Journal!$A:$A,MATCH($A48,Journal!$B:$B,0)),"")</f>
        <v>46335</v>
      </c>
      <c r="F48" s="118" t="str">
        <f aca="true">IF(C48="Y","Done",IF(AND(E48&lt;&gt;"",TODAY()&gt;E48),"OVERDUE","Pending"))</f>
        <v>Pending</v>
      </c>
    </row>
    <row r="49" customFormat="false" ht="15" hidden="false" customHeight="true" outlineLevel="0" collapsed="false">
      <c r="A49" s="118" t="s">
        <v>565</v>
      </c>
      <c r="B49" s="150" t="s">
        <v>603</v>
      </c>
      <c r="C49" s="118"/>
      <c r="D49" s="118"/>
      <c r="E49" s="151" t="n">
        <f aca="false">IFERROR(INDEX(Journal!$A:$A,MATCH($A49,Journal!$B:$B,0)),"")</f>
        <v>46335</v>
      </c>
      <c r="F49" s="118" t="str">
        <f aca="true">IF(C49="Y","Done",IF(AND(E49&lt;&gt;"",TODAY()&gt;E49),"OVERDUE","Pending"))</f>
        <v>Pending</v>
      </c>
    </row>
    <row r="50" customFormat="false" ht="15" hidden="false" customHeight="true" outlineLevel="0" collapsed="false">
      <c r="A50" s="118" t="s">
        <v>565</v>
      </c>
      <c r="B50" s="150" t="s">
        <v>604</v>
      </c>
      <c r="C50" s="118"/>
      <c r="D50" s="118"/>
      <c r="E50" s="151" t="n">
        <f aca="false">IFERROR(INDEX(Journal!$A:$A,MATCH($A50,Journal!$B:$B,0)),"")</f>
        <v>46335</v>
      </c>
      <c r="F50" s="118" t="str">
        <f aca="true">IF(C50="Y","Done",IF(AND(E50&lt;&gt;"",TODAY()&gt;E50),"OVERDUE","Pending"))</f>
        <v>Pending</v>
      </c>
    </row>
    <row r="51" customFormat="false" ht="15" hidden="false" customHeight="true" outlineLevel="0" collapsed="false">
      <c r="A51" s="118" t="s">
        <v>565</v>
      </c>
      <c r="B51" s="150" t="s">
        <v>605</v>
      </c>
      <c r="C51" s="118"/>
      <c r="D51" s="118"/>
      <c r="E51" s="151" t="n">
        <f aca="false">IFERROR(INDEX(Journal!$A:$A,MATCH($A51,Journal!$B:$B,0)),"")</f>
        <v>46335</v>
      </c>
      <c r="F51" s="118" t="str">
        <f aca="true">IF(C51="Y","Done",IF(AND(E51&lt;&gt;"",TODAY()&gt;E51),"OVERDUE","Pending"))</f>
        <v>Pending</v>
      </c>
    </row>
    <row r="52" customFormat="false" ht="15" hidden="false" customHeight="true" outlineLevel="0" collapsed="false">
      <c r="A52" s="118" t="s">
        <v>565</v>
      </c>
      <c r="B52" s="150" t="s">
        <v>592</v>
      </c>
      <c r="C52" s="118"/>
      <c r="D52" s="118"/>
      <c r="E52" s="151" t="n">
        <f aca="false">IFERROR(INDEX(Journal!$A:$A,MATCH($A52,Journal!$B:$B,0)),"")</f>
        <v>46335</v>
      </c>
      <c r="F52" s="118" t="str">
        <f aca="true">IF(C52="Y","Done",IF(AND(E52&lt;&gt;"",TODAY()&gt;E52),"OVERDUE","Pending"))</f>
        <v>Pending</v>
      </c>
    </row>
    <row r="53" customFormat="false" ht="15" hidden="false" customHeight="true" outlineLevel="0" collapsed="false">
      <c r="A53" s="118" t="s">
        <v>565</v>
      </c>
      <c r="B53" s="150" t="s">
        <v>593</v>
      </c>
      <c r="C53" s="118"/>
      <c r="D53" s="118"/>
      <c r="E53" s="151" t="n">
        <f aca="false">IFERROR(INDEX(Journal!$A:$A,MATCH($A53,Journal!$B:$B,0)),"")</f>
        <v>46335</v>
      </c>
      <c r="F53" s="118" t="str">
        <f aca="true">IF(C53="Y","Done",IF(AND(E53&lt;&gt;"",TODAY()&gt;E53),"OVERDUE","Pending"))</f>
        <v>Pending</v>
      </c>
    </row>
    <row r="54" customFormat="false" ht="15" hidden="false" customHeight="true" outlineLevel="0" collapsed="false">
      <c r="A54" s="118" t="s">
        <v>565</v>
      </c>
      <c r="B54" s="150" t="s">
        <v>594</v>
      </c>
      <c r="C54" s="118"/>
      <c r="D54" s="118"/>
      <c r="E54" s="151" t="n">
        <f aca="false">IFERROR(INDEX(Journal!$A:$A,MATCH($A54,Journal!$B:$B,0)),"")</f>
        <v>46335</v>
      </c>
      <c r="F54" s="118" t="str">
        <f aca="true">IF(C54="Y","Done",IF(AND(E54&lt;&gt;"",TODAY()&gt;E54),"OVERDUE","Pending"))</f>
        <v>Pending</v>
      </c>
    </row>
    <row r="55" customFormat="false" ht="15" hidden="false" customHeight="true" outlineLevel="0" collapsed="false">
      <c r="A55" s="118" t="s">
        <v>566</v>
      </c>
      <c r="B55" s="150" t="s">
        <v>600</v>
      </c>
      <c r="C55" s="118"/>
      <c r="D55" s="118"/>
      <c r="E55" s="151" t="n">
        <f aca="false">IFERROR(INDEX(Journal!$A:$A,MATCH($A55,Journal!$B:$B,0)),"")</f>
        <v>46342</v>
      </c>
      <c r="F55" s="118" t="str">
        <f aca="true">IF(C55="Y","Done",IF(AND(E55&lt;&gt;"",TODAY()&gt;E55),"OVERDUE","Pending"))</f>
        <v>Pending</v>
      </c>
    </row>
    <row r="56" customFormat="false" ht="15" hidden="false" customHeight="true" outlineLevel="0" collapsed="false">
      <c r="A56" s="118" t="s">
        <v>566</v>
      </c>
      <c r="B56" s="150" t="s">
        <v>601</v>
      </c>
      <c r="C56" s="118"/>
      <c r="D56" s="118"/>
      <c r="E56" s="151" t="n">
        <f aca="false">IFERROR(INDEX(Journal!$A:$A,MATCH($A56,Journal!$B:$B,0)),"")</f>
        <v>46342</v>
      </c>
      <c r="F56" s="118" t="str">
        <f aca="true">IF(C56="Y","Done",IF(AND(E56&lt;&gt;"",TODAY()&gt;E56),"OVERDUE","Pending"))</f>
        <v>Pending</v>
      </c>
    </row>
    <row r="57" customFormat="false" ht="45.75" hidden="false" customHeight="true" outlineLevel="0" collapsed="false">
      <c r="A57" s="118" t="s">
        <v>566</v>
      </c>
      <c r="B57" s="150" t="s">
        <v>602</v>
      </c>
      <c r="C57" s="118"/>
      <c r="D57" s="118"/>
      <c r="E57" s="151" t="n">
        <f aca="false">IFERROR(INDEX(Journal!$A:$A,MATCH($A57,Journal!$B:$B,0)),"")</f>
        <v>46342</v>
      </c>
      <c r="F57" s="118" t="str">
        <f aca="true">IF(C57="Y","Done",IF(AND(E57&lt;&gt;"",TODAY()&gt;E57),"OVERDUE","Pending"))</f>
        <v>Pending</v>
      </c>
    </row>
    <row r="58" customFormat="false" ht="15" hidden="false" customHeight="true" outlineLevel="0" collapsed="false">
      <c r="A58" s="118" t="s">
        <v>566</v>
      </c>
      <c r="B58" s="150" t="s">
        <v>603</v>
      </c>
      <c r="C58" s="118"/>
      <c r="D58" s="118"/>
      <c r="E58" s="151" t="n">
        <f aca="false">IFERROR(INDEX(Journal!$A:$A,MATCH($A58,Journal!$B:$B,0)),"")</f>
        <v>46342</v>
      </c>
      <c r="F58" s="118" t="str">
        <f aca="true">IF(C58="Y","Done",IF(AND(E58&lt;&gt;"",TODAY()&gt;E58),"OVERDUE","Pending"))</f>
        <v>Pending</v>
      </c>
    </row>
    <row r="59" customFormat="false" ht="15" hidden="false" customHeight="true" outlineLevel="0" collapsed="false">
      <c r="A59" s="118" t="s">
        <v>566</v>
      </c>
      <c r="B59" s="150" t="s">
        <v>604</v>
      </c>
      <c r="C59" s="118"/>
      <c r="D59" s="118"/>
      <c r="E59" s="151" t="n">
        <f aca="false">IFERROR(INDEX(Journal!$A:$A,MATCH($A59,Journal!$B:$B,0)),"")</f>
        <v>46342</v>
      </c>
      <c r="F59" s="118" t="str">
        <f aca="true">IF(C59="Y","Done",IF(AND(E59&lt;&gt;"",TODAY()&gt;E59),"OVERDUE","Pending"))</f>
        <v>Pending</v>
      </c>
    </row>
    <row r="60" customFormat="false" ht="15" hidden="false" customHeight="true" outlineLevel="0" collapsed="false">
      <c r="A60" s="118" t="s">
        <v>566</v>
      </c>
      <c r="B60" s="150" t="s">
        <v>605</v>
      </c>
      <c r="C60" s="118"/>
      <c r="D60" s="118"/>
      <c r="E60" s="151" t="n">
        <f aca="false">IFERROR(INDEX(Journal!$A:$A,MATCH($A60,Journal!$B:$B,0)),"")</f>
        <v>46342</v>
      </c>
      <c r="F60" s="118" t="str">
        <f aca="true">IF(C60="Y","Done",IF(AND(E60&lt;&gt;"",TODAY()&gt;E60),"OVERDUE","Pending"))</f>
        <v>Pending</v>
      </c>
    </row>
    <row r="61" customFormat="false" ht="15" hidden="false" customHeight="true" outlineLevel="0" collapsed="false">
      <c r="A61" s="118" t="s">
        <v>566</v>
      </c>
      <c r="B61" s="150" t="s">
        <v>592</v>
      </c>
      <c r="C61" s="118"/>
      <c r="D61" s="118"/>
      <c r="E61" s="151" t="n">
        <f aca="false">IFERROR(INDEX(Journal!$A:$A,MATCH($A61,Journal!$B:$B,0)),"")</f>
        <v>46342</v>
      </c>
      <c r="F61" s="118" t="str">
        <f aca="true">IF(C61="Y","Done",IF(AND(E61&lt;&gt;"",TODAY()&gt;E61),"OVERDUE","Pending"))</f>
        <v>Pending</v>
      </c>
    </row>
    <row r="62" customFormat="false" ht="15" hidden="false" customHeight="true" outlineLevel="0" collapsed="false">
      <c r="A62" s="118" t="s">
        <v>566</v>
      </c>
      <c r="B62" s="150" t="s">
        <v>593</v>
      </c>
      <c r="C62" s="118"/>
      <c r="D62" s="118"/>
      <c r="E62" s="151" t="n">
        <f aca="false">IFERROR(INDEX(Journal!$A:$A,MATCH($A62,Journal!$B:$B,0)),"")</f>
        <v>46342</v>
      </c>
      <c r="F62" s="118" t="str">
        <f aca="true">IF(C62="Y","Done",IF(AND(E62&lt;&gt;"",TODAY()&gt;E62),"OVERDUE","Pending"))</f>
        <v>Pending</v>
      </c>
    </row>
    <row r="63" customFormat="false" ht="15" hidden="false" customHeight="true" outlineLevel="0" collapsed="false">
      <c r="A63" s="118" t="s">
        <v>566</v>
      </c>
      <c r="B63" s="150" t="s">
        <v>594</v>
      </c>
      <c r="C63" s="118"/>
      <c r="D63" s="118"/>
      <c r="E63" s="151" t="n">
        <f aca="false">IFERROR(INDEX(Journal!$A:$A,MATCH($A63,Journal!$B:$B,0)),"")</f>
        <v>46342</v>
      </c>
      <c r="F63" s="118" t="str">
        <f aca="true">IF(C63="Y","Done",IF(AND(E63&lt;&gt;"",TODAY()&gt;E63),"OVERDUE","Pending"))</f>
        <v>Pending</v>
      </c>
    </row>
    <row r="64" customFormat="false" ht="15" hidden="false" customHeight="true" outlineLevel="0" collapsed="false">
      <c r="A64" s="118" t="s">
        <v>567</v>
      </c>
      <c r="B64" s="150" t="s">
        <v>600</v>
      </c>
      <c r="C64" s="118"/>
      <c r="D64" s="118"/>
      <c r="E64" s="151" t="n">
        <f aca="false">IFERROR(INDEX(Journal!$A:$A,MATCH($A64,Journal!$B:$B,0)),"")</f>
        <v>46363</v>
      </c>
      <c r="F64" s="118" t="str">
        <f aca="true">IF(C64="Y","Done",IF(AND(E64&lt;&gt;"",TODAY()&gt;E64),"OVERDUE","Pending"))</f>
        <v>Pending</v>
      </c>
    </row>
    <row r="65" customFormat="false" ht="15" hidden="false" customHeight="true" outlineLevel="0" collapsed="false">
      <c r="A65" s="118" t="s">
        <v>567</v>
      </c>
      <c r="B65" s="150" t="s">
        <v>601</v>
      </c>
      <c r="C65" s="118"/>
      <c r="D65" s="118"/>
      <c r="E65" s="151" t="n">
        <f aca="false">IFERROR(INDEX(Journal!$A:$A,MATCH($A65,Journal!$B:$B,0)),"")</f>
        <v>46363</v>
      </c>
      <c r="F65" s="118" t="str">
        <f aca="true">IF(C65="Y","Done",IF(AND(E65&lt;&gt;"",TODAY()&gt;E65),"OVERDUE","Pending"))</f>
        <v>Pending</v>
      </c>
    </row>
    <row r="66" customFormat="false" ht="45.75" hidden="false" customHeight="true" outlineLevel="0" collapsed="false">
      <c r="A66" s="118" t="s">
        <v>567</v>
      </c>
      <c r="B66" s="150" t="s">
        <v>602</v>
      </c>
      <c r="C66" s="118"/>
      <c r="D66" s="118"/>
      <c r="E66" s="151" t="n">
        <f aca="false">IFERROR(INDEX(Journal!$A:$A,MATCH($A66,Journal!$B:$B,0)),"")</f>
        <v>46363</v>
      </c>
      <c r="F66" s="118" t="str">
        <f aca="true">IF(C66="Y","Done",IF(AND(E66&lt;&gt;"",TODAY()&gt;E66),"OVERDUE","Pending"))</f>
        <v>Pending</v>
      </c>
    </row>
    <row r="67" customFormat="false" ht="15" hidden="false" customHeight="true" outlineLevel="0" collapsed="false">
      <c r="A67" s="118" t="s">
        <v>567</v>
      </c>
      <c r="B67" s="150" t="s">
        <v>603</v>
      </c>
      <c r="C67" s="118"/>
      <c r="D67" s="118"/>
      <c r="E67" s="151" t="n">
        <f aca="false">IFERROR(INDEX(Journal!$A:$A,MATCH($A67,Journal!$B:$B,0)),"")</f>
        <v>46363</v>
      </c>
      <c r="F67" s="118" t="str">
        <f aca="true">IF(C67="Y","Done",IF(AND(E67&lt;&gt;"",TODAY()&gt;E67),"OVERDUE","Pending"))</f>
        <v>Pending</v>
      </c>
    </row>
    <row r="68" customFormat="false" ht="15" hidden="false" customHeight="true" outlineLevel="0" collapsed="false">
      <c r="A68" s="118" t="s">
        <v>567</v>
      </c>
      <c r="B68" s="150" t="s">
        <v>604</v>
      </c>
      <c r="C68" s="118"/>
      <c r="D68" s="118"/>
      <c r="E68" s="151" t="n">
        <f aca="false">IFERROR(INDEX(Journal!$A:$A,MATCH($A68,Journal!$B:$B,0)),"")</f>
        <v>46363</v>
      </c>
      <c r="F68" s="118" t="str">
        <f aca="true">IF(C68="Y","Done",IF(AND(E68&lt;&gt;"",TODAY()&gt;E68),"OVERDUE","Pending"))</f>
        <v>Pending</v>
      </c>
    </row>
    <row r="69" customFormat="false" ht="15" hidden="false" customHeight="true" outlineLevel="0" collapsed="false">
      <c r="A69" s="118" t="s">
        <v>567</v>
      </c>
      <c r="B69" s="150" t="s">
        <v>605</v>
      </c>
      <c r="C69" s="118"/>
      <c r="D69" s="118"/>
      <c r="E69" s="151" t="n">
        <f aca="false">IFERROR(INDEX(Journal!$A:$A,MATCH($A69,Journal!$B:$B,0)),"")</f>
        <v>46363</v>
      </c>
      <c r="F69" s="118" t="str">
        <f aca="true">IF(C69="Y","Done",IF(AND(E69&lt;&gt;"",TODAY()&gt;E69),"OVERDUE","Pending"))</f>
        <v>Pending</v>
      </c>
    </row>
    <row r="70" customFormat="false" ht="15" hidden="false" customHeight="true" outlineLevel="0" collapsed="false">
      <c r="A70" s="118" t="s">
        <v>567</v>
      </c>
      <c r="B70" s="150" t="s">
        <v>592</v>
      </c>
      <c r="C70" s="118"/>
      <c r="D70" s="118"/>
      <c r="E70" s="151" t="n">
        <f aca="false">IFERROR(INDEX(Journal!$A:$A,MATCH($A70,Journal!$B:$B,0)),"")</f>
        <v>46363</v>
      </c>
      <c r="F70" s="118" t="str">
        <f aca="true">IF(C70="Y","Done",IF(AND(E70&lt;&gt;"",TODAY()&gt;E70),"OVERDUE","Pending"))</f>
        <v>Pending</v>
      </c>
    </row>
    <row r="71" customFormat="false" ht="15" hidden="false" customHeight="true" outlineLevel="0" collapsed="false">
      <c r="A71" s="118" t="s">
        <v>567</v>
      </c>
      <c r="B71" s="150" t="s">
        <v>593</v>
      </c>
      <c r="C71" s="118"/>
      <c r="D71" s="118"/>
      <c r="E71" s="151" t="n">
        <f aca="false">IFERROR(INDEX(Journal!$A:$A,MATCH($A71,Journal!$B:$B,0)),"")</f>
        <v>46363</v>
      </c>
      <c r="F71" s="118" t="str">
        <f aca="true">IF(C71="Y","Done",IF(AND(E71&lt;&gt;"",TODAY()&gt;E71),"OVERDUE","Pending"))</f>
        <v>Pending</v>
      </c>
    </row>
    <row r="72" customFormat="false" ht="15" hidden="false" customHeight="true" outlineLevel="0" collapsed="false">
      <c r="A72" s="118" t="s">
        <v>567</v>
      </c>
      <c r="B72" s="150" t="s">
        <v>594</v>
      </c>
      <c r="C72" s="118"/>
      <c r="D72" s="118"/>
      <c r="E72" s="151" t="n">
        <f aca="false">IFERROR(INDEX(Journal!$A:$A,MATCH($A72,Journal!$B:$B,0)),"")</f>
        <v>46363</v>
      </c>
      <c r="F72" s="118" t="str">
        <f aca="true">IF(C72="Y","Done",IF(AND(E72&lt;&gt;"",TODAY()&gt;E72),"OVERDUE","Pending"))</f>
        <v>Pending</v>
      </c>
    </row>
    <row r="73" customFormat="false" ht="15" hidden="false" customHeight="true" outlineLevel="0" collapsed="false">
      <c r="A73" s="118" t="s">
        <v>568</v>
      </c>
      <c r="B73" s="150" t="s">
        <v>600</v>
      </c>
      <c r="C73" s="118"/>
      <c r="D73" s="118"/>
      <c r="E73" s="151" t="n">
        <f aca="false">IFERROR(INDEX(Journal!$A:$A,MATCH($A73,Journal!$B:$B,0)),"")</f>
        <v>46371</v>
      </c>
      <c r="F73" s="118" t="str">
        <f aca="true">IF(C73="Y","Done",IF(AND(E73&lt;&gt;"",TODAY()&gt;E73),"OVERDUE","Pending"))</f>
        <v>Pending</v>
      </c>
    </row>
    <row r="74" customFormat="false" ht="15" hidden="false" customHeight="true" outlineLevel="0" collapsed="false">
      <c r="A74" s="118" t="s">
        <v>568</v>
      </c>
      <c r="B74" s="150" t="s">
        <v>601</v>
      </c>
      <c r="C74" s="118"/>
      <c r="D74" s="118"/>
      <c r="E74" s="151" t="n">
        <f aca="false">IFERROR(INDEX(Journal!$A:$A,MATCH($A74,Journal!$B:$B,0)),"")</f>
        <v>46371</v>
      </c>
      <c r="F74" s="118" t="str">
        <f aca="true">IF(C74="Y","Done",IF(AND(E74&lt;&gt;"",TODAY()&gt;E74),"OVERDUE","Pending"))</f>
        <v>Pending</v>
      </c>
    </row>
    <row r="75" customFormat="false" ht="45.75" hidden="false" customHeight="true" outlineLevel="0" collapsed="false">
      <c r="A75" s="118" t="s">
        <v>568</v>
      </c>
      <c r="B75" s="150" t="s">
        <v>602</v>
      </c>
      <c r="C75" s="118"/>
      <c r="D75" s="118"/>
      <c r="E75" s="151" t="n">
        <f aca="false">IFERROR(INDEX(Journal!$A:$A,MATCH($A75,Journal!$B:$B,0)),"")</f>
        <v>46371</v>
      </c>
      <c r="F75" s="118" t="str">
        <f aca="true">IF(C75="Y","Done",IF(AND(E75&lt;&gt;"",TODAY()&gt;E75),"OVERDUE","Pending"))</f>
        <v>Pending</v>
      </c>
    </row>
    <row r="76" customFormat="false" ht="15" hidden="false" customHeight="true" outlineLevel="0" collapsed="false">
      <c r="A76" s="118" t="s">
        <v>568</v>
      </c>
      <c r="B76" s="150" t="s">
        <v>603</v>
      </c>
      <c r="C76" s="118"/>
      <c r="D76" s="118"/>
      <c r="E76" s="151" t="n">
        <f aca="false">IFERROR(INDEX(Journal!$A:$A,MATCH($A76,Journal!$B:$B,0)),"")</f>
        <v>46371</v>
      </c>
      <c r="F76" s="118" t="str">
        <f aca="true">IF(C76="Y","Done",IF(AND(E76&lt;&gt;"",TODAY()&gt;E76),"OVERDUE","Pending"))</f>
        <v>Pending</v>
      </c>
    </row>
    <row r="77" customFormat="false" ht="15" hidden="false" customHeight="true" outlineLevel="0" collapsed="false">
      <c r="A77" s="118" t="s">
        <v>568</v>
      </c>
      <c r="B77" s="150" t="s">
        <v>604</v>
      </c>
      <c r="C77" s="118"/>
      <c r="D77" s="118"/>
      <c r="E77" s="151" t="n">
        <f aca="false">IFERROR(INDEX(Journal!$A:$A,MATCH($A77,Journal!$B:$B,0)),"")</f>
        <v>46371</v>
      </c>
      <c r="F77" s="118" t="str">
        <f aca="true">IF(C77="Y","Done",IF(AND(E77&lt;&gt;"",TODAY()&gt;E77),"OVERDUE","Pending"))</f>
        <v>Pending</v>
      </c>
    </row>
    <row r="78" customFormat="false" ht="15" hidden="false" customHeight="true" outlineLevel="0" collapsed="false">
      <c r="A78" s="118" t="s">
        <v>568</v>
      </c>
      <c r="B78" s="150" t="s">
        <v>605</v>
      </c>
      <c r="C78" s="118"/>
      <c r="D78" s="118"/>
      <c r="E78" s="151" t="n">
        <f aca="false">IFERROR(INDEX(Journal!$A:$A,MATCH($A78,Journal!$B:$B,0)),"")</f>
        <v>46371</v>
      </c>
      <c r="F78" s="118" t="str">
        <f aca="true">IF(C78="Y","Done",IF(AND(E78&lt;&gt;"",TODAY()&gt;E78),"OVERDUE","Pending"))</f>
        <v>Pending</v>
      </c>
    </row>
    <row r="79" customFormat="false" ht="15" hidden="false" customHeight="true" outlineLevel="0" collapsed="false">
      <c r="A79" s="118" t="s">
        <v>568</v>
      </c>
      <c r="B79" s="150" t="s">
        <v>592</v>
      </c>
      <c r="C79" s="118"/>
      <c r="D79" s="118"/>
      <c r="E79" s="151" t="n">
        <f aca="false">IFERROR(INDEX(Journal!$A:$A,MATCH($A79,Journal!$B:$B,0)),"")</f>
        <v>46371</v>
      </c>
      <c r="F79" s="118" t="str">
        <f aca="true">IF(C79="Y","Done",IF(AND(E79&lt;&gt;"",TODAY()&gt;E79),"OVERDUE","Pending"))</f>
        <v>Pending</v>
      </c>
    </row>
    <row r="80" customFormat="false" ht="15" hidden="false" customHeight="true" outlineLevel="0" collapsed="false">
      <c r="A80" s="118" t="s">
        <v>568</v>
      </c>
      <c r="B80" s="150" t="s">
        <v>593</v>
      </c>
      <c r="C80" s="118"/>
      <c r="D80" s="118"/>
      <c r="E80" s="151" t="n">
        <f aca="false">IFERROR(INDEX(Journal!$A:$A,MATCH($A80,Journal!$B:$B,0)),"")</f>
        <v>46371</v>
      </c>
      <c r="F80" s="118" t="str">
        <f aca="true">IF(C80="Y","Done",IF(AND(E80&lt;&gt;"",TODAY()&gt;E80),"OVERDUE","Pending"))</f>
        <v>Pending</v>
      </c>
    </row>
    <row r="81" customFormat="false" ht="15" hidden="false" customHeight="true" outlineLevel="0" collapsed="false">
      <c r="A81" s="118" t="s">
        <v>568</v>
      </c>
      <c r="B81" s="150" t="s">
        <v>594</v>
      </c>
      <c r="C81" s="118"/>
      <c r="D81" s="118"/>
      <c r="E81" s="151" t="n">
        <f aca="false">IFERROR(INDEX(Journal!$A:$A,MATCH($A81,Journal!$B:$B,0)),"")</f>
        <v>46371</v>
      </c>
      <c r="F81" s="118" t="str">
        <f aca="true">IF(C81="Y","Done",IF(AND(E81&lt;&gt;"",TODAY()&gt;E81),"OVERDUE","Pending"))</f>
        <v>Pending</v>
      </c>
    </row>
    <row r="82" customFormat="false" ht="15" hidden="false" customHeight="true" outlineLevel="0" collapsed="false">
      <c r="A82" s="118" t="s">
        <v>569</v>
      </c>
      <c r="B82" s="150" t="s">
        <v>600</v>
      </c>
      <c r="C82" s="118"/>
      <c r="D82" s="118"/>
      <c r="E82" s="151" t="n">
        <f aca="false">IFERROR(INDEX(Journal!$A:$A,MATCH($A82,Journal!$B:$B,0)),"")</f>
        <v>46394</v>
      </c>
      <c r="F82" s="118" t="str">
        <f aca="true">IF(C82="Y","Done",IF(AND(E82&lt;&gt;"",TODAY()&gt;E82),"OVERDUE","Pending"))</f>
        <v>Pending</v>
      </c>
    </row>
    <row r="83" customFormat="false" ht="15" hidden="false" customHeight="true" outlineLevel="0" collapsed="false">
      <c r="A83" s="118" t="s">
        <v>569</v>
      </c>
      <c r="B83" s="150" t="s">
        <v>601</v>
      </c>
      <c r="C83" s="118"/>
      <c r="D83" s="118"/>
      <c r="E83" s="151" t="n">
        <f aca="false">IFERROR(INDEX(Journal!$A:$A,MATCH($A83,Journal!$B:$B,0)),"")</f>
        <v>46394</v>
      </c>
      <c r="F83" s="118" t="str">
        <f aca="true">IF(C83="Y","Done",IF(AND(E83&lt;&gt;"",TODAY()&gt;E83),"OVERDUE","Pending"))</f>
        <v>Pending</v>
      </c>
    </row>
    <row r="84" customFormat="false" ht="45.75" hidden="false" customHeight="true" outlineLevel="0" collapsed="false">
      <c r="A84" s="118" t="s">
        <v>569</v>
      </c>
      <c r="B84" s="150" t="s">
        <v>602</v>
      </c>
      <c r="C84" s="118"/>
      <c r="D84" s="118"/>
      <c r="E84" s="151" t="n">
        <f aca="false">IFERROR(INDEX(Journal!$A:$A,MATCH($A84,Journal!$B:$B,0)),"")</f>
        <v>46394</v>
      </c>
      <c r="F84" s="118" t="str">
        <f aca="true">IF(C84="Y","Done",IF(AND(E84&lt;&gt;"",TODAY()&gt;E84),"OVERDUE","Pending"))</f>
        <v>Pending</v>
      </c>
    </row>
    <row r="85" customFormat="false" ht="15" hidden="false" customHeight="true" outlineLevel="0" collapsed="false">
      <c r="A85" s="118" t="s">
        <v>569</v>
      </c>
      <c r="B85" s="150" t="s">
        <v>603</v>
      </c>
      <c r="C85" s="118"/>
      <c r="D85" s="118"/>
      <c r="E85" s="151" t="n">
        <f aca="false">IFERROR(INDEX(Journal!$A:$A,MATCH($A85,Journal!$B:$B,0)),"")</f>
        <v>46394</v>
      </c>
      <c r="F85" s="118" t="str">
        <f aca="true">IF(C85="Y","Done",IF(AND(E85&lt;&gt;"",TODAY()&gt;E85),"OVERDUE","Pending"))</f>
        <v>Pending</v>
      </c>
    </row>
    <row r="86" customFormat="false" ht="15" hidden="false" customHeight="true" outlineLevel="0" collapsed="false">
      <c r="A86" s="118" t="s">
        <v>569</v>
      </c>
      <c r="B86" s="150" t="s">
        <v>604</v>
      </c>
      <c r="C86" s="118"/>
      <c r="D86" s="118"/>
      <c r="E86" s="151" t="n">
        <f aca="false">IFERROR(INDEX(Journal!$A:$A,MATCH($A86,Journal!$B:$B,0)),"")</f>
        <v>46394</v>
      </c>
      <c r="F86" s="118" t="str">
        <f aca="true">IF(C86="Y","Done",IF(AND(E86&lt;&gt;"",TODAY()&gt;E86),"OVERDUE","Pending"))</f>
        <v>Pending</v>
      </c>
    </row>
    <row r="87" customFormat="false" ht="15" hidden="false" customHeight="true" outlineLevel="0" collapsed="false">
      <c r="A87" s="118" t="s">
        <v>569</v>
      </c>
      <c r="B87" s="150" t="s">
        <v>605</v>
      </c>
      <c r="C87" s="118"/>
      <c r="D87" s="118"/>
      <c r="E87" s="151" t="n">
        <f aca="false">IFERROR(INDEX(Journal!$A:$A,MATCH($A87,Journal!$B:$B,0)),"")</f>
        <v>46394</v>
      </c>
      <c r="F87" s="118" t="str">
        <f aca="true">IF(C87="Y","Done",IF(AND(E87&lt;&gt;"",TODAY()&gt;E87),"OVERDUE","Pending"))</f>
        <v>Pending</v>
      </c>
    </row>
    <row r="88" customFormat="false" ht="15" hidden="false" customHeight="true" outlineLevel="0" collapsed="false">
      <c r="A88" s="118" t="s">
        <v>569</v>
      </c>
      <c r="B88" s="150" t="s">
        <v>592</v>
      </c>
      <c r="C88" s="118"/>
      <c r="D88" s="118"/>
      <c r="E88" s="151" t="n">
        <f aca="false">IFERROR(INDEX(Journal!$A:$A,MATCH($A88,Journal!$B:$B,0)),"")</f>
        <v>46394</v>
      </c>
      <c r="F88" s="118" t="str">
        <f aca="true">IF(C88="Y","Done",IF(AND(E88&lt;&gt;"",TODAY()&gt;E88),"OVERDUE","Pending"))</f>
        <v>Pending</v>
      </c>
    </row>
    <row r="89" customFormat="false" ht="15" hidden="false" customHeight="true" outlineLevel="0" collapsed="false">
      <c r="A89" s="118" t="s">
        <v>569</v>
      </c>
      <c r="B89" s="150" t="s">
        <v>593</v>
      </c>
      <c r="C89" s="118"/>
      <c r="D89" s="118"/>
      <c r="E89" s="151" t="n">
        <f aca="false">IFERROR(INDEX(Journal!$A:$A,MATCH($A89,Journal!$B:$B,0)),"")</f>
        <v>46394</v>
      </c>
      <c r="F89" s="118" t="str">
        <f aca="true">IF(C89="Y","Done",IF(AND(E89&lt;&gt;"",TODAY()&gt;E89),"OVERDUE","Pending"))</f>
        <v>Pending</v>
      </c>
    </row>
    <row r="90" customFormat="false" ht="15" hidden="false" customHeight="true" outlineLevel="0" collapsed="false">
      <c r="A90" s="118" t="s">
        <v>569</v>
      </c>
      <c r="B90" s="150" t="s">
        <v>594</v>
      </c>
      <c r="C90" s="118"/>
      <c r="D90" s="118"/>
      <c r="E90" s="151" t="n">
        <f aca="false">IFERROR(INDEX(Journal!$A:$A,MATCH($A90,Journal!$B:$B,0)),"")</f>
        <v>46394</v>
      </c>
      <c r="F90" s="118" t="str">
        <f aca="true">IF(C90="Y","Done",IF(AND(E90&lt;&gt;"",TODAY()&gt;E90),"OVERDUE","Pending"))</f>
        <v>Pending</v>
      </c>
    </row>
    <row r="91" customFormat="false" ht="15" hidden="false" customHeight="true" outlineLevel="0" collapsed="false">
      <c r="A91" s="118" t="s">
        <v>570</v>
      </c>
      <c r="B91" s="150" t="s">
        <v>600</v>
      </c>
      <c r="C91" s="118"/>
      <c r="D91" s="118"/>
      <c r="E91" s="151" t="n">
        <f aca="false">IFERROR(INDEX(Journal!$A:$A,MATCH($A91,Journal!$B:$B,0)),"")</f>
        <v>46402</v>
      </c>
      <c r="F91" s="118" t="str">
        <f aca="true">IF(C91="Y","Done",IF(AND(E91&lt;&gt;"",TODAY()&gt;E91),"OVERDUE","Pending"))</f>
        <v>Pending</v>
      </c>
    </row>
    <row r="92" customFormat="false" ht="15" hidden="false" customHeight="true" outlineLevel="0" collapsed="false">
      <c r="A92" s="118" t="s">
        <v>570</v>
      </c>
      <c r="B92" s="150" t="s">
        <v>601</v>
      </c>
      <c r="C92" s="118"/>
      <c r="D92" s="118"/>
      <c r="E92" s="151" t="n">
        <f aca="false">IFERROR(INDEX(Journal!$A:$A,MATCH($A92,Journal!$B:$B,0)),"")</f>
        <v>46402</v>
      </c>
      <c r="F92" s="118" t="str">
        <f aca="true">IF(C92="Y","Done",IF(AND(E92&lt;&gt;"",TODAY()&gt;E92),"OVERDUE","Pending"))</f>
        <v>Pending</v>
      </c>
    </row>
    <row r="93" customFormat="false" ht="45.75" hidden="false" customHeight="true" outlineLevel="0" collapsed="false">
      <c r="A93" s="118" t="s">
        <v>570</v>
      </c>
      <c r="B93" s="150" t="s">
        <v>602</v>
      </c>
      <c r="C93" s="118"/>
      <c r="D93" s="118"/>
      <c r="E93" s="151" t="n">
        <f aca="false">IFERROR(INDEX(Journal!$A:$A,MATCH($A93,Journal!$B:$B,0)),"")</f>
        <v>46402</v>
      </c>
      <c r="F93" s="118" t="str">
        <f aca="true">IF(C93="Y","Done",IF(AND(E93&lt;&gt;"",TODAY()&gt;E93),"OVERDUE","Pending"))</f>
        <v>Pending</v>
      </c>
    </row>
    <row r="94" customFormat="false" ht="15" hidden="false" customHeight="true" outlineLevel="0" collapsed="false">
      <c r="A94" s="118" t="s">
        <v>570</v>
      </c>
      <c r="B94" s="150" t="s">
        <v>603</v>
      </c>
      <c r="C94" s="118"/>
      <c r="D94" s="118"/>
      <c r="E94" s="151" t="n">
        <f aca="false">IFERROR(INDEX(Journal!$A:$A,MATCH($A94,Journal!$B:$B,0)),"")</f>
        <v>46402</v>
      </c>
      <c r="F94" s="118" t="str">
        <f aca="true">IF(C94="Y","Done",IF(AND(E94&lt;&gt;"",TODAY()&gt;E94),"OVERDUE","Pending"))</f>
        <v>Pending</v>
      </c>
    </row>
    <row r="95" customFormat="false" ht="15" hidden="false" customHeight="true" outlineLevel="0" collapsed="false">
      <c r="A95" s="118" t="s">
        <v>570</v>
      </c>
      <c r="B95" s="150" t="s">
        <v>604</v>
      </c>
      <c r="C95" s="118"/>
      <c r="D95" s="118"/>
      <c r="E95" s="151" t="n">
        <f aca="false">IFERROR(INDEX(Journal!$A:$A,MATCH($A95,Journal!$B:$B,0)),"")</f>
        <v>46402</v>
      </c>
      <c r="F95" s="118" t="str">
        <f aca="true">IF(C95="Y","Done",IF(AND(E95&lt;&gt;"",TODAY()&gt;E95),"OVERDUE","Pending"))</f>
        <v>Pending</v>
      </c>
    </row>
    <row r="96" customFormat="false" ht="15" hidden="false" customHeight="true" outlineLevel="0" collapsed="false">
      <c r="A96" s="118" t="s">
        <v>570</v>
      </c>
      <c r="B96" s="150" t="s">
        <v>605</v>
      </c>
      <c r="C96" s="118"/>
      <c r="D96" s="118"/>
      <c r="E96" s="151" t="n">
        <f aca="false">IFERROR(INDEX(Journal!$A:$A,MATCH($A96,Journal!$B:$B,0)),"")</f>
        <v>46402</v>
      </c>
      <c r="F96" s="118" t="str">
        <f aca="true">IF(C96="Y","Done",IF(AND(E96&lt;&gt;"",TODAY()&gt;E96),"OVERDUE","Pending"))</f>
        <v>Pending</v>
      </c>
    </row>
    <row r="97" customFormat="false" ht="15" hidden="false" customHeight="true" outlineLevel="0" collapsed="false">
      <c r="A97" s="118" t="s">
        <v>570</v>
      </c>
      <c r="B97" s="150" t="s">
        <v>592</v>
      </c>
      <c r="C97" s="118"/>
      <c r="D97" s="118"/>
      <c r="E97" s="151" t="n">
        <f aca="false">IFERROR(INDEX(Journal!$A:$A,MATCH($A97,Journal!$B:$B,0)),"")</f>
        <v>46402</v>
      </c>
      <c r="F97" s="118" t="str">
        <f aca="true">IF(C97="Y","Done",IF(AND(E97&lt;&gt;"",TODAY()&gt;E97),"OVERDUE","Pending"))</f>
        <v>Pending</v>
      </c>
    </row>
    <row r="98" customFormat="false" ht="15" hidden="false" customHeight="true" outlineLevel="0" collapsed="false">
      <c r="A98" s="118" t="s">
        <v>570</v>
      </c>
      <c r="B98" s="150" t="s">
        <v>593</v>
      </c>
      <c r="C98" s="118"/>
      <c r="D98" s="118"/>
      <c r="E98" s="151" t="n">
        <f aca="false">IFERROR(INDEX(Journal!$A:$A,MATCH($A98,Journal!$B:$B,0)),"")</f>
        <v>46402</v>
      </c>
      <c r="F98" s="118" t="str">
        <f aca="true">IF(C98="Y","Done",IF(AND(E98&lt;&gt;"",TODAY()&gt;E98),"OVERDUE","Pending"))</f>
        <v>Pending</v>
      </c>
    </row>
    <row r="99" customFormat="false" ht="15" hidden="false" customHeight="true" outlineLevel="0" collapsed="false">
      <c r="A99" s="118" t="s">
        <v>570</v>
      </c>
      <c r="B99" s="150" t="s">
        <v>594</v>
      </c>
      <c r="C99" s="118"/>
      <c r="D99" s="118"/>
      <c r="E99" s="151" t="n">
        <f aca="false">IFERROR(INDEX(Journal!$A:$A,MATCH($A99,Journal!$B:$B,0)),"")</f>
        <v>46402</v>
      </c>
      <c r="F99" s="118" t="str">
        <f aca="true">IF(C99="Y","Done",IF(AND(E99&lt;&gt;"",TODAY()&gt;E99),"OVERDUE","Pending"))</f>
        <v>Pending</v>
      </c>
    </row>
    <row r="100" customFormat="false" ht="15" hidden="false" customHeight="true" outlineLevel="0" collapsed="false">
      <c r="A100" s="118" t="s">
        <v>571</v>
      </c>
      <c r="B100" s="150" t="s">
        <v>600</v>
      </c>
      <c r="C100" s="118"/>
      <c r="D100" s="118"/>
      <c r="E100" s="151" t="n">
        <f aca="false">IFERROR(INDEX(Journal!$A:$A,MATCH($A100,Journal!$B:$B,0)),"")</f>
        <v>46426</v>
      </c>
      <c r="F100" s="118" t="str">
        <f aca="true">IF(C100="Y","Done",IF(AND(E100&lt;&gt;"",TODAY()&gt;E100),"OVERDUE","Pending"))</f>
        <v>Pending</v>
      </c>
    </row>
    <row r="101" customFormat="false" ht="15" hidden="false" customHeight="true" outlineLevel="0" collapsed="false">
      <c r="A101" s="118" t="s">
        <v>571</v>
      </c>
      <c r="B101" s="150" t="s">
        <v>601</v>
      </c>
      <c r="C101" s="118"/>
      <c r="D101" s="118"/>
      <c r="E101" s="151" t="n">
        <f aca="false">IFERROR(INDEX(Journal!$A:$A,MATCH($A101,Journal!$B:$B,0)),"")</f>
        <v>46426</v>
      </c>
      <c r="F101" s="118" t="str">
        <f aca="true">IF(C101="Y","Done",IF(AND(E101&lt;&gt;"",TODAY()&gt;E101),"OVERDUE","Pending"))</f>
        <v>Pending</v>
      </c>
    </row>
    <row r="102" customFormat="false" ht="45.75" hidden="false" customHeight="true" outlineLevel="0" collapsed="false">
      <c r="A102" s="118" t="s">
        <v>571</v>
      </c>
      <c r="B102" s="150" t="s">
        <v>602</v>
      </c>
      <c r="C102" s="118"/>
      <c r="D102" s="118"/>
      <c r="E102" s="151" t="n">
        <f aca="false">IFERROR(INDEX(Journal!$A:$A,MATCH($A102,Journal!$B:$B,0)),"")</f>
        <v>46426</v>
      </c>
      <c r="F102" s="118" t="str">
        <f aca="true">IF(C102="Y","Done",IF(AND(E102&lt;&gt;"",TODAY()&gt;E102),"OVERDUE","Pending"))</f>
        <v>Pending</v>
      </c>
    </row>
    <row r="103" customFormat="false" ht="15" hidden="false" customHeight="true" outlineLevel="0" collapsed="false">
      <c r="A103" s="118" t="s">
        <v>571</v>
      </c>
      <c r="B103" s="150" t="s">
        <v>603</v>
      </c>
      <c r="C103" s="118"/>
      <c r="D103" s="118"/>
      <c r="E103" s="151" t="n">
        <f aca="false">IFERROR(INDEX(Journal!$A:$A,MATCH($A103,Journal!$B:$B,0)),"")</f>
        <v>46426</v>
      </c>
      <c r="F103" s="118" t="str">
        <f aca="true">IF(C103="Y","Done",IF(AND(E103&lt;&gt;"",TODAY()&gt;E103),"OVERDUE","Pending"))</f>
        <v>Pending</v>
      </c>
    </row>
    <row r="104" customFormat="false" ht="15" hidden="false" customHeight="true" outlineLevel="0" collapsed="false">
      <c r="A104" s="118" t="s">
        <v>571</v>
      </c>
      <c r="B104" s="150" t="s">
        <v>604</v>
      </c>
      <c r="C104" s="118"/>
      <c r="D104" s="118"/>
      <c r="E104" s="151" t="n">
        <f aca="false">IFERROR(INDEX(Journal!$A:$A,MATCH($A104,Journal!$B:$B,0)),"")</f>
        <v>46426</v>
      </c>
      <c r="F104" s="118" t="str">
        <f aca="true">IF(C104="Y","Done",IF(AND(E104&lt;&gt;"",TODAY()&gt;E104),"OVERDUE","Pending"))</f>
        <v>Pending</v>
      </c>
    </row>
    <row r="105" customFormat="false" ht="15" hidden="false" customHeight="true" outlineLevel="0" collapsed="false">
      <c r="A105" s="118" t="s">
        <v>571</v>
      </c>
      <c r="B105" s="150" t="s">
        <v>605</v>
      </c>
      <c r="C105" s="118"/>
      <c r="D105" s="118"/>
      <c r="E105" s="151" t="n">
        <f aca="false">IFERROR(INDEX(Journal!$A:$A,MATCH($A105,Journal!$B:$B,0)),"")</f>
        <v>46426</v>
      </c>
      <c r="F105" s="118" t="str">
        <f aca="true">IF(C105="Y","Done",IF(AND(E105&lt;&gt;"",TODAY()&gt;E105),"OVERDUE","Pending"))</f>
        <v>Pending</v>
      </c>
    </row>
    <row r="106" customFormat="false" ht="15" hidden="false" customHeight="true" outlineLevel="0" collapsed="false">
      <c r="A106" s="118" t="s">
        <v>571</v>
      </c>
      <c r="B106" s="150" t="s">
        <v>592</v>
      </c>
      <c r="C106" s="118"/>
      <c r="D106" s="118"/>
      <c r="E106" s="151" t="n">
        <f aca="false">IFERROR(INDEX(Journal!$A:$A,MATCH($A106,Journal!$B:$B,0)),"")</f>
        <v>46426</v>
      </c>
      <c r="F106" s="118" t="str">
        <f aca="true">IF(C106="Y","Done",IF(AND(E106&lt;&gt;"",TODAY()&gt;E106),"OVERDUE","Pending"))</f>
        <v>Pending</v>
      </c>
    </row>
    <row r="107" customFormat="false" ht="15" hidden="false" customHeight="true" outlineLevel="0" collapsed="false">
      <c r="A107" s="118" t="s">
        <v>571</v>
      </c>
      <c r="B107" s="150" t="s">
        <v>593</v>
      </c>
      <c r="C107" s="118"/>
      <c r="D107" s="118"/>
      <c r="E107" s="151" t="n">
        <f aca="false">IFERROR(INDEX(Journal!$A:$A,MATCH($A107,Journal!$B:$B,0)),"")</f>
        <v>46426</v>
      </c>
      <c r="F107" s="118" t="str">
        <f aca="true">IF(C107="Y","Done",IF(AND(E107&lt;&gt;"",TODAY()&gt;E107),"OVERDUE","Pending"))</f>
        <v>Pending</v>
      </c>
    </row>
    <row r="108" customFormat="false" ht="15" hidden="false" customHeight="true" outlineLevel="0" collapsed="false">
      <c r="A108" s="118" t="s">
        <v>571</v>
      </c>
      <c r="B108" s="150" t="s">
        <v>594</v>
      </c>
      <c r="C108" s="118"/>
      <c r="D108" s="118"/>
      <c r="E108" s="151" t="n">
        <f aca="false">IFERROR(INDEX(Journal!$A:$A,MATCH($A108,Journal!$B:$B,0)),"")</f>
        <v>46426</v>
      </c>
      <c r="F108" s="118" t="str">
        <f aca="true">IF(C108="Y","Done",IF(AND(E108&lt;&gt;"",TODAY()&gt;E108),"OVERDUE","Pending"))</f>
        <v>Pending</v>
      </c>
    </row>
    <row r="109" customFormat="false" ht="15" hidden="false" customHeight="true" outlineLevel="0" collapsed="false">
      <c r="A109" s="118" t="s">
        <v>572</v>
      </c>
      <c r="B109" s="150" t="s">
        <v>600</v>
      </c>
      <c r="C109" s="118"/>
      <c r="D109" s="118"/>
      <c r="E109" s="151" t="n">
        <f aca="false">IFERROR(INDEX(Journal!$A:$A,MATCH($A109,Journal!$B:$B,0)),"")</f>
        <v>46434</v>
      </c>
      <c r="F109" s="118" t="str">
        <f aca="true">IF(C109="Y","Done",IF(AND(E109&lt;&gt;"",TODAY()&gt;E109),"OVERDUE","Pending"))</f>
        <v>Pending</v>
      </c>
    </row>
    <row r="110" customFormat="false" ht="15" hidden="false" customHeight="true" outlineLevel="0" collapsed="false">
      <c r="A110" s="118" t="s">
        <v>572</v>
      </c>
      <c r="B110" s="150" t="s">
        <v>601</v>
      </c>
      <c r="C110" s="118"/>
      <c r="D110" s="118"/>
      <c r="E110" s="151" t="n">
        <f aca="false">IFERROR(INDEX(Journal!$A:$A,MATCH($A110,Journal!$B:$B,0)),"")</f>
        <v>46434</v>
      </c>
      <c r="F110" s="118" t="str">
        <f aca="true">IF(C110="Y","Done",IF(AND(E110&lt;&gt;"",TODAY()&gt;E110),"OVERDUE","Pending"))</f>
        <v>Pending</v>
      </c>
    </row>
    <row r="111" customFormat="false" ht="45.75" hidden="false" customHeight="true" outlineLevel="0" collapsed="false">
      <c r="A111" s="118" t="s">
        <v>572</v>
      </c>
      <c r="B111" s="150" t="s">
        <v>602</v>
      </c>
      <c r="C111" s="118"/>
      <c r="D111" s="118"/>
      <c r="E111" s="151" t="n">
        <f aca="false">IFERROR(INDEX(Journal!$A:$A,MATCH($A111,Journal!$B:$B,0)),"")</f>
        <v>46434</v>
      </c>
      <c r="F111" s="118" t="str">
        <f aca="true">IF(C111="Y","Done",IF(AND(E111&lt;&gt;"",TODAY()&gt;E111),"OVERDUE","Pending"))</f>
        <v>Pending</v>
      </c>
    </row>
    <row r="112" customFormat="false" ht="15" hidden="false" customHeight="true" outlineLevel="0" collapsed="false">
      <c r="A112" s="118" t="s">
        <v>572</v>
      </c>
      <c r="B112" s="150" t="s">
        <v>603</v>
      </c>
      <c r="C112" s="118"/>
      <c r="D112" s="118"/>
      <c r="E112" s="151" t="n">
        <f aca="false">IFERROR(INDEX(Journal!$A:$A,MATCH($A112,Journal!$B:$B,0)),"")</f>
        <v>46434</v>
      </c>
      <c r="F112" s="118" t="str">
        <f aca="true">IF(C112="Y","Done",IF(AND(E112&lt;&gt;"",TODAY()&gt;E112),"OVERDUE","Pending"))</f>
        <v>Pending</v>
      </c>
    </row>
    <row r="113" customFormat="false" ht="15" hidden="false" customHeight="true" outlineLevel="0" collapsed="false">
      <c r="A113" s="118" t="s">
        <v>572</v>
      </c>
      <c r="B113" s="150" t="s">
        <v>604</v>
      </c>
      <c r="C113" s="118"/>
      <c r="D113" s="118"/>
      <c r="E113" s="151" t="n">
        <f aca="false">IFERROR(INDEX(Journal!$A:$A,MATCH($A113,Journal!$B:$B,0)),"")</f>
        <v>46434</v>
      </c>
      <c r="F113" s="118" t="str">
        <f aca="true">IF(C113="Y","Done",IF(AND(E113&lt;&gt;"",TODAY()&gt;E113),"OVERDUE","Pending"))</f>
        <v>Pending</v>
      </c>
    </row>
    <row r="114" customFormat="false" ht="15" hidden="false" customHeight="true" outlineLevel="0" collapsed="false">
      <c r="A114" s="118" t="s">
        <v>572</v>
      </c>
      <c r="B114" s="150" t="s">
        <v>605</v>
      </c>
      <c r="C114" s="118"/>
      <c r="D114" s="118"/>
      <c r="E114" s="151" t="n">
        <f aca="false">IFERROR(INDEX(Journal!$A:$A,MATCH($A114,Journal!$B:$B,0)),"")</f>
        <v>46434</v>
      </c>
      <c r="F114" s="118" t="str">
        <f aca="true">IF(C114="Y","Done",IF(AND(E114&lt;&gt;"",TODAY()&gt;E114),"OVERDUE","Pending"))</f>
        <v>Pending</v>
      </c>
    </row>
    <row r="115" customFormat="false" ht="15" hidden="false" customHeight="true" outlineLevel="0" collapsed="false">
      <c r="A115" s="118" t="s">
        <v>572</v>
      </c>
      <c r="B115" s="150" t="s">
        <v>592</v>
      </c>
      <c r="C115" s="118"/>
      <c r="D115" s="118"/>
      <c r="E115" s="151" t="n">
        <f aca="false">IFERROR(INDEX(Journal!$A:$A,MATCH($A115,Journal!$B:$B,0)),"")</f>
        <v>46434</v>
      </c>
      <c r="F115" s="118" t="str">
        <f aca="true">IF(C115="Y","Done",IF(AND(E115&lt;&gt;"",TODAY()&gt;E115),"OVERDUE","Pending"))</f>
        <v>Pending</v>
      </c>
    </row>
    <row r="116" customFormat="false" ht="15" hidden="false" customHeight="true" outlineLevel="0" collapsed="false">
      <c r="A116" s="118" t="s">
        <v>572</v>
      </c>
      <c r="B116" s="150" t="s">
        <v>593</v>
      </c>
      <c r="C116" s="118"/>
      <c r="D116" s="118"/>
      <c r="E116" s="151" t="n">
        <f aca="false">IFERROR(INDEX(Journal!$A:$A,MATCH($A116,Journal!$B:$B,0)),"")</f>
        <v>46434</v>
      </c>
      <c r="F116" s="118" t="str">
        <f aca="true">IF(C116="Y","Done",IF(AND(E116&lt;&gt;"",TODAY()&gt;E116),"OVERDUE","Pending"))</f>
        <v>Pending</v>
      </c>
    </row>
    <row r="117" customFormat="false" ht="15" hidden="false" customHeight="true" outlineLevel="0" collapsed="false">
      <c r="A117" s="118" t="s">
        <v>572</v>
      </c>
      <c r="B117" s="150" t="s">
        <v>594</v>
      </c>
      <c r="C117" s="118"/>
      <c r="D117" s="118"/>
      <c r="E117" s="151" t="n">
        <f aca="false">IFERROR(INDEX(Journal!$A:$A,MATCH($A117,Journal!$B:$B,0)),"")</f>
        <v>46434</v>
      </c>
      <c r="F117" s="118" t="str">
        <f aca="true">IF(C117="Y","Done",IF(AND(E117&lt;&gt;"",TODAY()&gt;E117),"OVERDUE","Pending"))</f>
        <v>Pending</v>
      </c>
    </row>
    <row r="118" customFormat="false" ht="15" hidden="false" customHeight="true" outlineLevel="0" collapsed="false">
      <c r="A118" s="118" t="s">
        <v>573</v>
      </c>
      <c r="B118" s="150" t="s">
        <v>600</v>
      </c>
      <c r="C118" s="118"/>
      <c r="D118" s="118"/>
      <c r="E118" s="151" t="n">
        <f aca="false">IFERROR(INDEX(Journal!$A:$A,MATCH($A118,Journal!$B:$B,0)),"")</f>
        <v>46454</v>
      </c>
      <c r="F118" s="118" t="str">
        <f aca="true">IF(C118="Y","Done",IF(AND(E118&lt;&gt;"",TODAY()&gt;E118),"OVERDUE","Pending"))</f>
        <v>Pending</v>
      </c>
    </row>
    <row r="119" customFormat="false" ht="15" hidden="false" customHeight="true" outlineLevel="0" collapsed="false">
      <c r="A119" s="118" t="s">
        <v>573</v>
      </c>
      <c r="B119" s="150" t="s">
        <v>601</v>
      </c>
      <c r="C119" s="118"/>
      <c r="D119" s="118"/>
      <c r="E119" s="151" t="n">
        <f aca="false">IFERROR(INDEX(Journal!$A:$A,MATCH($A119,Journal!$B:$B,0)),"")</f>
        <v>46454</v>
      </c>
      <c r="F119" s="118" t="str">
        <f aca="true">IF(C119="Y","Done",IF(AND(E119&lt;&gt;"",TODAY()&gt;E119),"OVERDUE","Pending"))</f>
        <v>Pending</v>
      </c>
    </row>
    <row r="120" customFormat="false" ht="45.75" hidden="false" customHeight="true" outlineLevel="0" collapsed="false">
      <c r="A120" s="118" t="s">
        <v>573</v>
      </c>
      <c r="B120" s="150" t="s">
        <v>602</v>
      </c>
      <c r="C120" s="118"/>
      <c r="D120" s="118"/>
      <c r="E120" s="151" t="n">
        <f aca="false">IFERROR(INDEX(Journal!$A:$A,MATCH($A120,Journal!$B:$B,0)),"")</f>
        <v>46454</v>
      </c>
      <c r="F120" s="118" t="str">
        <f aca="true">IF(C120="Y","Done",IF(AND(E120&lt;&gt;"",TODAY()&gt;E120),"OVERDUE","Pending"))</f>
        <v>Pending</v>
      </c>
    </row>
    <row r="121" customFormat="false" ht="15" hidden="false" customHeight="true" outlineLevel="0" collapsed="false">
      <c r="A121" s="118" t="s">
        <v>573</v>
      </c>
      <c r="B121" s="150" t="s">
        <v>603</v>
      </c>
      <c r="C121" s="118"/>
      <c r="D121" s="118"/>
      <c r="E121" s="151" t="n">
        <f aca="false">IFERROR(INDEX(Journal!$A:$A,MATCH($A121,Journal!$B:$B,0)),"")</f>
        <v>46454</v>
      </c>
      <c r="F121" s="118" t="str">
        <f aca="true">IF(C121="Y","Done",IF(AND(E121&lt;&gt;"",TODAY()&gt;E121),"OVERDUE","Pending"))</f>
        <v>Pending</v>
      </c>
    </row>
    <row r="122" customFormat="false" ht="15" hidden="false" customHeight="true" outlineLevel="0" collapsed="false">
      <c r="A122" s="118" t="s">
        <v>573</v>
      </c>
      <c r="B122" s="150" t="s">
        <v>604</v>
      </c>
      <c r="C122" s="118"/>
      <c r="D122" s="118"/>
      <c r="E122" s="151" t="n">
        <f aca="false">IFERROR(INDEX(Journal!$A:$A,MATCH($A122,Journal!$B:$B,0)),"")</f>
        <v>46454</v>
      </c>
      <c r="F122" s="118" t="str">
        <f aca="true">IF(C122="Y","Done",IF(AND(E122&lt;&gt;"",TODAY()&gt;E122),"OVERDUE","Pending"))</f>
        <v>Pending</v>
      </c>
    </row>
    <row r="123" customFormat="false" ht="15" hidden="false" customHeight="true" outlineLevel="0" collapsed="false">
      <c r="A123" s="118" t="s">
        <v>573</v>
      </c>
      <c r="B123" s="150" t="s">
        <v>605</v>
      </c>
      <c r="C123" s="118"/>
      <c r="D123" s="118"/>
      <c r="E123" s="151" t="n">
        <f aca="false">IFERROR(INDEX(Journal!$A:$A,MATCH($A123,Journal!$B:$B,0)),"")</f>
        <v>46454</v>
      </c>
      <c r="F123" s="118" t="str">
        <f aca="true">IF(C123="Y","Done",IF(AND(E123&lt;&gt;"",TODAY()&gt;E123),"OVERDUE","Pending"))</f>
        <v>Pending</v>
      </c>
    </row>
    <row r="124" customFormat="false" ht="15" hidden="false" customHeight="true" outlineLevel="0" collapsed="false">
      <c r="A124" s="118" t="s">
        <v>573</v>
      </c>
      <c r="B124" s="150" t="s">
        <v>592</v>
      </c>
      <c r="C124" s="118"/>
      <c r="D124" s="118"/>
      <c r="E124" s="151" t="n">
        <f aca="false">IFERROR(INDEX(Journal!$A:$A,MATCH($A124,Journal!$B:$B,0)),"")</f>
        <v>46454</v>
      </c>
      <c r="F124" s="118" t="str">
        <f aca="true">IF(C124="Y","Done",IF(AND(E124&lt;&gt;"",TODAY()&gt;E124),"OVERDUE","Pending"))</f>
        <v>Pending</v>
      </c>
    </row>
    <row r="125" customFormat="false" ht="15" hidden="false" customHeight="true" outlineLevel="0" collapsed="false">
      <c r="A125" s="118" t="s">
        <v>573</v>
      </c>
      <c r="B125" s="150" t="s">
        <v>593</v>
      </c>
      <c r="C125" s="118"/>
      <c r="D125" s="118"/>
      <c r="E125" s="151" t="n">
        <f aca="false">IFERROR(INDEX(Journal!$A:$A,MATCH($A125,Journal!$B:$B,0)),"")</f>
        <v>46454</v>
      </c>
      <c r="F125" s="118" t="str">
        <f aca="true">IF(C125="Y","Done",IF(AND(E125&lt;&gt;"",TODAY()&gt;E125),"OVERDUE","Pending"))</f>
        <v>Pending</v>
      </c>
    </row>
    <row r="126" customFormat="false" ht="15" hidden="false" customHeight="true" outlineLevel="0" collapsed="false">
      <c r="A126" s="118" t="s">
        <v>573</v>
      </c>
      <c r="B126" s="150" t="s">
        <v>594</v>
      </c>
      <c r="C126" s="118"/>
      <c r="D126" s="118"/>
      <c r="E126" s="151" t="n">
        <f aca="false">IFERROR(INDEX(Journal!$A:$A,MATCH($A126,Journal!$B:$B,0)),"")</f>
        <v>46454</v>
      </c>
      <c r="F126" s="118" t="str">
        <f aca="true">IF(C126="Y","Done",IF(AND(E126&lt;&gt;"",TODAY()&gt;E126),"OVERDUE","Pending"))</f>
        <v>Pending</v>
      </c>
    </row>
    <row r="127" customFormat="false" ht="15" hidden="false" customHeight="true" outlineLevel="0" collapsed="false">
      <c r="A127" s="118" t="s">
        <v>574</v>
      </c>
      <c r="B127" s="150" t="s">
        <v>600</v>
      </c>
      <c r="C127" s="118"/>
      <c r="D127" s="118"/>
      <c r="E127" s="151" t="n">
        <f aca="false">IFERROR(INDEX(Journal!$A:$A,MATCH($A127,Journal!$B:$B,0)),"")</f>
        <v>46461</v>
      </c>
      <c r="F127" s="118" t="str">
        <f aca="true">IF(C127="Y","Done",IF(AND(E127&lt;&gt;"",TODAY()&gt;E127),"OVERDUE","Pending"))</f>
        <v>Pending</v>
      </c>
    </row>
    <row r="128" customFormat="false" ht="15" hidden="false" customHeight="true" outlineLevel="0" collapsed="false">
      <c r="A128" s="118" t="s">
        <v>574</v>
      </c>
      <c r="B128" s="150" t="s">
        <v>601</v>
      </c>
      <c r="C128" s="118"/>
      <c r="D128" s="118"/>
      <c r="E128" s="151" t="n">
        <f aca="false">IFERROR(INDEX(Journal!$A:$A,MATCH($A128,Journal!$B:$B,0)),"")</f>
        <v>46461</v>
      </c>
      <c r="F128" s="118" t="str">
        <f aca="true">IF(C128="Y","Done",IF(AND(E128&lt;&gt;"",TODAY()&gt;E128),"OVERDUE","Pending"))</f>
        <v>Pending</v>
      </c>
    </row>
    <row r="129" customFormat="false" ht="45.75" hidden="false" customHeight="true" outlineLevel="0" collapsed="false">
      <c r="A129" s="118" t="s">
        <v>574</v>
      </c>
      <c r="B129" s="150" t="s">
        <v>602</v>
      </c>
      <c r="C129" s="118"/>
      <c r="D129" s="118"/>
      <c r="E129" s="151" t="n">
        <f aca="false">IFERROR(INDEX(Journal!$A:$A,MATCH($A129,Journal!$B:$B,0)),"")</f>
        <v>46461</v>
      </c>
      <c r="F129" s="118" t="str">
        <f aca="true">IF(C129="Y","Done",IF(AND(E129&lt;&gt;"",TODAY()&gt;E129),"OVERDUE","Pending"))</f>
        <v>Pending</v>
      </c>
    </row>
    <row r="130" customFormat="false" ht="15" hidden="false" customHeight="true" outlineLevel="0" collapsed="false">
      <c r="A130" s="118" t="s">
        <v>574</v>
      </c>
      <c r="B130" s="150" t="s">
        <v>603</v>
      </c>
      <c r="C130" s="118"/>
      <c r="D130" s="118"/>
      <c r="E130" s="151" t="n">
        <f aca="false">IFERROR(INDEX(Journal!$A:$A,MATCH($A130,Journal!$B:$B,0)),"")</f>
        <v>46461</v>
      </c>
      <c r="F130" s="118" t="str">
        <f aca="true">IF(C130="Y","Done",IF(AND(E130&lt;&gt;"",TODAY()&gt;E130),"OVERDUE","Pending"))</f>
        <v>Pending</v>
      </c>
    </row>
    <row r="131" customFormat="false" ht="15" hidden="false" customHeight="true" outlineLevel="0" collapsed="false">
      <c r="A131" s="118" t="s">
        <v>574</v>
      </c>
      <c r="B131" s="150" t="s">
        <v>604</v>
      </c>
      <c r="C131" s="118"/>
      <c r="D131" s="118"/>
      <c r="E131" s="151" t="n">
        <f aca="false">IFERROR(INDEX(Journal!$A:$A,MATCH($A131,Journal!$B:$B,0)),"")</f>
        <v>46461</v>
      </c>
      <c r="F131" s="118" t="str">
        <f aca="true">IF(C131="Y","Done",IF(AND(E131&lt;&gt;"",TODAY()&gt;E131),"OVERDUE","Pending"))</f>
        <v>Pending</v>
      </c>
    </row>
    <row r="132" customFormat="false" ht="15" hidden="false" customHeight="true" outlineLevel="0" collapsed="false">
      <c r="A132" s="118" t="s">
        <v>574</v>
      </c>
      <c r="B132" s="150" t="s">
        <v>605</v>
      </c>
      <c r="C132" s="118"/>
      <c r="D132" s="118"/>
      <c r="E132" s="151" t="n">
        <f aca="false">IFERROR(INDEX(Journal!$A:$A,MATCH($A132,Journal!$B:$B,0)),"")</f>
        <v>46461</v>
      </c>
      <c r="F132" s="118" t="str">
        <f aca="true">IF(C132="Y","Done",IF(AND(E132&lt;&gt;"",TODAY()&gt;E132),"OVERDUE","Pending"))</f>
        <v>Pending</v>
      </c>
    </row>
    <row r="133" customFormat="false" ht="15" hidden="false" customHeight="true" outlineLevel="0" collapsed="false">
      <c r="A133" s="118" t="s">
        <v>574</v>
      </c>
      <c r="B133" s="150" t="s">
        <v>592</v>
      </c>
      <c r="C133" s="118"/>
      <c r="D133" s="118"/>
      <c r="E133" s="151" t="n">
        <f aca="false">IFERROR(INDEX(Journal!$A:$A,MATCH($A133,Journal!$B:$B,0)),"")</f>
        <v>46461</v>
      </c>
      <c r="F133" s="118" t="str">
        <f aca="true">IF(C133="Y","Done",IF(AND(E133&lt;&gt;"",TODAY()&gt;E133),"OVERDUE","Pending"))</f>
        <v>Pending</v>
      </c>
    </row>
    <row r="134" customFormat="false" ht="15" hidden="false" customHeight="true" outlineLevel="0" collapsed="false">
      <c r="A134" s="118" t="s">
        <v>574</v>
      </c>
      <c r="B134" s="150" t="s">
        <v>593</v>
      </c>
      <c r="C134" s="118"/>
      <c r="D134" s="118"/>
      <c r="E134" s="151" t="n">
        <f aca="false">IFERROR(INDEX(Journal!$A:$A,MATCH($A134,Journal!$B:$B,0)),"")</f>
        <v>46461</v>
      </c>
      <c r="F134" s="118" t="str">
        <f aca="true">IF(C134="Y","Done",IF(AND(E134&lt;&gt;"",TODAY()&gt;E134),"OVERDUE","Pending"))</f>
        <v>Pending</v>
      </c>
    </row>
    <row r="135" customFormat="false" ht="15" hidden="false" customHeight="true" outlineLevel="0" collapsed="false">
      <c r="A135" s="118" t="s">
        <v>574</v>
      </c>
      <c r="B135" s="150" t="s">
        <v>594</v>
      </c>
      <c r="C135" s="118"/>
      <c r="D135" s="118"/>
      <c r="E135" s="151" t="n">
        <f aca="false">IFERROR(INDEX(Journal!$A:$A,MATCH($A135,Journal!$B:$B,0)),"")</f>
        <v>46461</v>
      </c>
      <c r="F135" s="118" t="str">
        <f aca="true">IF(C135="Y","Done",IF(AND(E135&lt;&gt;"",TODAY()&gt;E135),"OVERDUE","Pending"))</f>
        <v>Pending</v>
      </c>
    </row>
  </sheetData>
  <mergeCells count="1">
    <mergeCell ref="A1:F1"/>
  </mergeCells>
  <conditionalFormatting sqref="F5:F135">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606</v>
      </c>
      <c r="B1" s="8"/>
      <c r="C1" s="8"/>
      <c r="D1" s="8"/>
      <c r="E1" s="8"/>
      <c r="F1" s="8"/>
    </row>
    <row r="2" customFormat="false" ht="15" hidden="false" customHeight="true" outlineLevel="0" collapsed="false">
      <c r="A2" s="152" t="s">
        <v>607</v>
      </c>
      <c r="B2" s="152"/>
      <c r="C2" s="152"/>
      <c r="D2" s="152"/>
      <c r="E2" s="152"/>
      <c r="F2" s="152"/>
    </row>
    <row r="4" customFormat="false" ht="15" hidden="false" customHeight="true" outlineLevel="0" collapsed="false">
      <c r="A4" s="153" t="s">
        <v>608</v>
      </c>
      <c r="B4" s="153"/>
      <c r="C4" s="153"/>
      <c r="D4" s="153"/>
      <c r="E4" s="153"/>
      <c r="F4" s="153"/>
    </row>
    <row r="5" customFormat="false" ht="15" hidden="false" customHeight="true" outlineLevel="0" collapsed="false">
      <c r="A5" s="154" t="s">
        <v>609</v>
      </c>
      <c r="B5" s="154" t="s">
        <v>610</v>
      </c>
      <c r="C5" s="154" t="s">
        <v>611</v>
      </c>
      <c r="D5" s="154" t="s">
        <v>612</v>
      </c>
    </row>
    <row r="6" customFormat="false" ht="15" hidden="false" customHeight="true" outlineLevel="0" collapsed="false">
      <c r="A6" s="155" t="s">
        <v>613</v>
      </c>
      <c r="B6" s="155" t="s">
        <v>614</v>
      </c>
      <c r="C6" s="155" t="s">
        <v>614</v>
      </c>
      <c r="D6" s="156" t="s">
        <v>615</v>
      </c>
      <c r="E6" s="156"/>
      <c r="F6" s="156"/>
    </row>
    <row r="8" customFormat="false" ht="15" hidden="false" customHeight="true" outlineLevel="0" collapsed="false">
      <c r="A8" s="153" t="s">
        <v>616</v>
      </c>
      <c r="B8" s="153"/>
      <c r="C8" s="153"/>
      <c r="D8" s="153"/>
      <c r="E8" s="153"/>
      <c r="F8" s="153"/>
    </row>
    <row r="9" customFormat="false" ht="15" hidden="false" customHeight="true" outlineLevel="0" collapsed="false">
      <c r="A9" s="154" t="s">
        <v>609</v>
      </c>
      <c r="B9" s="154" t="s">
        <v>610</v>
      </c>
      <c r="C9" s="154" t="s">
        <v>611</v>
      </c>
      <c r="D9" s="154" t="s">
        <v>612</v>
      </c>
    </row>
    <row r="10" customFormat="false" ht="27.75" hidden="false" customHeight="true" outlineLevel="0" collapsed="false">
      <c r="A10" s="155" t="s">
        <v>617</v>
      </c>
      <c r="B10" s="155" t="s">
        <v>614</v>
      </c>
      <c r="C10" s="155" t="s">
        <v>618</v>
      </c>
      <c r="D10" s="156" t="s">
        <v>619</v>
      </c>
      <c r="E10" s="156"/>
      <c r="F10" s="156"/>
    </row>
    <row r="12" customFormat="false" ht="15" hidden="false" customHeight="true" outlineLevel="0" collapsed="false">
      <c r="A12" s="153" t="s">
        <v>620</v>
      </c>
      <c r="B12" s="153"/>
      <c r="C12" s="153"/>
      <c r="D12" s="153"/>
      <c r="E12" s="153"/>
      <c r="F12" s="153"/>
    </row>
    <row r="13" customFormat="false" ht="15" hidden="false" customHeight="true" outlineLevel="0" collapsed="false">
      <c r="A13" s="154" t="s">
        <v>609</v>
      </c>
      <c r="B13" s="154" t="s">
        <v>610</v>
      </c>
      <c r="C13" s="154" t="s">
        <v>611</v>
      </c>
      <c r="D13" s="154" t="s">
        <v>612</v>
      </c>
    </row>
    <row r="14" customFormat="false" ht="369" hidden="false" customHeight="true" outlineLevel="0" collapsed="false">
      <c r="A14" s="155" t="s">
        <v>621</v>
      </c>
      <c r="B14" s="155" t="s">
        <v>622</v>
      </c>
      <c r="C14" s="155" t="s">
        <v>623</v>
      </c>
      <c r="D14" s="156" t="s">
        <v>624</v>
      </c>
      <c r="E14" s="156"/>
      <c r="F14" s="156"/>
    </row>
    <row r="16" customFormat="false" ht="15" hidden="false" customHeight="true" outlineLevel="0" collapsed="false">
      <c r="A16" s="153" t="s">
        <v>625</v>
      </c>
      <c r="B16" s="153"/>
      <c r="C16" s="153"/>
      <c r="D16" s="153"/>
      <c r="E16" s="153"/>
      <c r="F16" s="153"/>
    </row>
    <row r="17" customFormat="false" ht="15" hidden="false" customHeight="true" outlineLevel="0" collapsed="false">
      <c r="A17" s="154" t="s">
        <v>609</v>
      </c>
      <c r="B17" s="154" t="s">
        <v>610</v>
      </c>
      <c r="C17" s="154" t="s">
        <v>611</v>
      </c>
      <c r="D17" s="154" t="s">
        <v>612</v>
      </c>
    </row>
    <row r="18" customFormat="false" ht="45.75" hidden="false" customHeight="true" outlineLevel="0" collapsed="false">
      <c r="A18" s="155" t="s">
        <v>621</v>
      </c>
      <c r="B18" s="155" t="s">
        <v>626</v>
      </c>
      <c r="C18" s="155" t="s">
        <v>627</v>
      </c>
      <c r="D18" s="156" t="s">
        <v>628</v>
      </c>
      <c r="E18" s="156"/>
      <c r="F18" s="156"/>
    </row>
    <row r="20" customFormat="false" ht="15" hidden="false" customHeight="true" outlineLevel="0" collapsed="false">
      <c r="A20" s="153" t="s">
        <v>629</v>
      </c>
      <c r="B20" s="153"/>
      <c r="C20" s="153"/>
      <c r="D20" s="153"/>
      <c r="E20" s="153"/>
      <c r="F20" s="153"/>
    </row>
    <row r="21" customFormat="false" ht="15" hidden="false" customHeight="true" outlineLevel="0" collapsed="false">
      <c r="A21" s="154" t="s">
        <v>609</v>
      </c>
      <c r="B21" s="154" t="s">
        <v>610</v>
      </c>
      <c r="C21" s="154" t="s">
        <v>611</v>
      </c>
      <c r="D21" s="154" t="s">
        <v>612</v>
      </c>
    </row>
    <row r="22" customFormat="false" ht="351" hidden="false" customHeight="true" outlineLevel="0" collapsed="false">
      <c r="A22" s="155" t="s">
        <v>630</v>
      </c>
      <c r="B22" s="155" t="s">
        <v>614</v>
      </c>
      <c r="C22" s="155" t="s">
        <v>631</v>
      </c>
      <c r="D22" s="156" t="s">
        <v>632</v>
      </c>
      <c r="E22" s="156"/>
      <c r="F22" s="156"/>
    </row>
    <row r="24" customFormat="false" ht="15" hidden="false" customHeight="true" outlineLevel="0" collapsed="false">
      <c r="A24" s="153" t="s">
        <v>633</v>
      </c>
      <c r="B24" s="153"/>
      <c r="C24" s="153"/>
      <c r="D24" s="153"/>
      <c r="E24" s="153"/>
      <c r="F24" s="153"/>
    </row>
    <row r="25" customFormat="false" ht="15" hidden="false" customHeight="true" outlineLevel="0" collapsed="false">
      <c r="A25" s="154" t="s">
        <v>609</v>
      </c>
      <c r="B25" s="154" t="s">
        <v>610</v>
      </c>
      <c r="C25" s="154" t="s">
        <v>611</v>
      </c>
      <c r="D25" s="154" t="s">
        <v>612</v>
      </c>
    </row>
    <row r="26" customFormat="false" ht="54.75" hidden="false" customHeight="true" outlineLevel="0" collapsed="false">
      <c r="A26" s="155" t="s">
        <v>621</v>
      </c>
      <c r="B26" s="155" t="s">
        <v>634</v>
      </c>
      <c r="C26" s="155" t="s">
        <v>635</v>
      </c>
      <c r="D26" s="156" t="s">
        <v>636</v>
      </c>
      <c r="E26" s="156"/>
      <c r="F26" s="156"/>
    </row>
    <row r="28" customFormat="false" ht="15" hidden="false" customHeight="true" outlineLevel="0" collapsed="false">
      <c r="A28" s="153" t="s">
        <v>637</v>
      </c>
      <c r="B28" s="153"/>
      <c r="C28" s="153"/>
      <c r="D28" s="153"/>
      <c r="E28" s="153"/>
      <c r="F28" s="153"/>
    </row>
    <row r="29" customFormat="false" ht="15" hidden="false" customHeight="true" outlineLevel="0" collapsed="false">
      <c r="A29" s="154" t="s">
        <v>609</v>
      </c>
      <c r="B29" s="154" t="s">
        <v>610</v>
      </c>
      <c r="C29" s="154" t="s">
        <v>611</v>
      </c>
      <c r="D29" s="154" t="s">
        <v>612</v>
      </c>
    </row>
    <row r="30" customFormat="false" ht="144.75" hidden="false" customHeight="true" outlineLevel="0" collapsed="false">
      <c r="A30" s="155" t="s">
        <v>638</v>
      </c>
      <c r="B30" s="155" t="s">
        <v>639</v>
      </c>
      <c r="C30" s="155" t="s">
        <v>640</v>
      </c>
      <c r="D30" s="156" t="s">
        <v>641</v>
      </c>
      <c r="E30" s="156"/>
      <c r="F30" s="156"/>
    </row>
    <row r="32" customFormat="false" ht="15" hidden="false" customHeight="true" outlineLevel="0" collapsed="false">
      <c r="A32" s="153" t="s">
        <v>642</v>
      </c>
      <c r="B32" s="153"/>
      <c r="C32" s="153"/>
      <c r="D32" s="153"/>
      <c r="E32" s="153"/>
      <c r="F32" s="153"/>
    </row>
    <row r="33" customFormat="false" ht="15" hidden="false" customHeight="true" outlineLevel="0" collapsed="false">
      <c r="A33" s="154" t="s">
        <v>609</v>
      </c>
      <c r="B33" s="154" t="s">
        <v>610</v>
      </c>
      <c r="C33" s="154" t="s">
        <v>611</v>
      </c>
      <c r="D33" s="154" t="s">
        <v>612</v>
      </c>
    </row>
    <row r="34" customFormat="false" ht="99.75" hidden="false" customHeight="true" outlineLevel="0" collapsed="false">
      <c r="A34" s="155" t="s">
        <v>621</v>
      </c>
      <c r="B34" s="155" t="s">
        <v>643</v>
      </c>
      <c r="C34" s="155" t="s">
        <v>644</v>
      </c>
      <c r="D34" s="156" t="s">
        <v>645</v>
      </c>
      <c r="E34" s="156"/>
      <c r="F34" s="156"/>
    </row>
    <row r="36" customFormat="false" ht="15" hidden="false" customHeight="true" outlineLevel="0" collapsed="false">
      <c r="A36" s="153" t="s">
        <v>646</v>
      </c>
      <c r="B36" s="153"/>
      <c r="C36" s="153"/>
      <c r="D36" s="153"/>
      <c r="E36" s="153"/>
      <c r="F36" s="153"/>
    </row>
    <row r="37" customFormat="false" ht="15" hidden="false" customHeight="true" outlineLevel="0" collapsed="false">
      <c r="A37" s="154" t="s">
        <v>609</v>
      </c>
      <c r="B37" s="154" t="s">
        <v>610</v>
      </c>
      <c r="C37" s="154" t="s">
        <v>611</v>
      </c>
      <c r="D37" s="154" t="s">
        <v>612</v>
      </c>
    </row>
    <row r="38" customFormat="false" ht="162" hidden="false" customHeight="true" outlineLevel="0" collapsed="false">
      <c r="A38" s="155" t="s">
        <v>630</v>
      </c>
      <c r="B38" s="155" t="s">
        <v>614</v>
      </c>
      <c r="C38" s="155" t="s">
        <v>647</v>
      </c>
      <c r="D38" s="156" t="s">
        <v>648</v>
      </c>
      <c r="E38" s="156"/>
      <c r="F38" s="156"/>
    </row>
    <row r="40" customFormat="false" ht="15" hidden="false" customHeight="true" outlineLevel="0" collapsed="false">
      <c r="A40" s="153" t="s">
        <v>649</v>
      </c>
      <c r="B40" s="153"/>
      <c r="C40" s="153"/>
      <c r="D40" s="153"/>
      <c r="E40" s="153"/>
      <c r="F40" s="153"/>
    </row>
    <row r="41" customFormat="false" ht="15" hidden="false" customHeight="true" outlineLevel="0" collapsed="false">
      <c r="A41" s="154" t="s">
        <v>609</v>
      </c>
      <c r="B41" s="154" t="s">
        <v>610</v>
      </c>
      <c r="C41" s="154" t="s">
        <v>611</v>
      </c>
      <c r="D41" s="154" t="s">
        <v>612</v>
      </c>
    </row>
    <row r="42" customFormat="false" ht="90.75" hidden="false" customHeight="true" outlineLevel="0" collapsed="false">
      <c r="A42" s="155" t="s">
        <v>650</v>
      </c>
      <c r="B42" s="155" t="s">
        <v>614</v>
      </c>
      <c r="C42" s="155" t="s">
        <v>651</v>
      </c>
      <c r="D42" s="156" t="s">
        <v>652</v>
      </c>
      <c r="E42" s="156"/>
      <c r="F42" s="156"/>
    </row>
    <row r="44" customFormat="false" ht="15" hidden="false" customHeight="true" outlineLevel="0" collapsed="false">
      <c r="A44" s="153" t="s">
        <v>653</v>
      </c>
      <c r="B44" s="153"/>
      <c r="C44" s="153"/>
      <c r="D44" s="153"/>
      <c r="E44" s="153"/>
      <c r="F44" s="153"/>
    </row>
    <row r="45" customFormat="false" ht="15" hidden="false" customHeight="true" outlineLevel="0" collapsed="false">
      <c r="A45" s="154" t="s">
        <v>609</v>
      </c>
      <c r="B45" s="154" t="s">
        <v>610</v>
      </c>
      <c r="C45" s="154" t="s">
        <v>611</v>
      </c>
      <c r="D45" s="154" t="s">
        <v>612</v>
      </c>
    </row>
    <row r="46" customFormat="false" ht="90.75" hidden="false" customHeight="true" outlineLevel="0" collapsed="false">
      <c r="A46" s="155" t="s">
        <v>654</v>
      </c>
      <c r="B46" s="155" t="s">
        <v>614</v>
      </c>
      <c r="C46" s="155" t="s">
        <v>655</v>
      </c>
      <c r="D46" s="156" t="s">
        <v>656</v>
      </c>
      <c r="E46" s="156"/>
      <c r="F46" s="156"/>
    </row>
    <row r="48" customFormat="false" ht="15" hidden="false" customHeight="true" outlineLevel="0" collapsed="false">
      <c r="A48" s="153" t="s">
        <v>657</v>
      </c>
      <c r="B48" s="153"/>
      <c r="C48" s="153"/>
      <c r="D48" s="153"/>
      <c r="E48" s="153"/>
      <c r="F48" s="153"/>
    </row>
    <row r="49" customFormat="false" ht="15" hidden="false" customHeight="true" outlineLevel="0" collapsed="false">
      <c r="A49" s="154" t="s">
        <v>609</v>
      </c>
      <c r="B49" s="154" t="s">
        <v>610</v>
      </c>
      <c r="C49" s="154" t="s">
        <v>611</v>
      </c>
      <c r="D49" s="154" t="s">
        <v>612</v>
      </c>
    </row>
    <row r="50" customFormat="false" ht="81.75" hidden="false" customHeight="true" outlineLevel="0" collapsed="false">
      <c r="A50" s="155" t="s">
        <v>621</v>
      </c>
      <c r="B50" s="155" t="s">
        <v>658</v>
      </c>
      <c r="C50" s="155" t="s">
        <v>659</v>
      </c>
      <c r="D50" s="156" t="s">
        <v>660</v>
      </c>
      <c r="E50" s="156"/>
      <c r="F50" s="156"/>
    </row>
    <row r="52" customFormat="false" ht="15" hidden="false" customHeight="true" outlineLevel="0" collapsed="false">
      <c r="A52" s="153" t="s">
        <v>661</v>
      </c>
      <c r="B52" s="153"/>
      <c r="C52" s="153"/>
      <c r="D52" s="153"/>
      <c r="E52" s="153"/>
      <c r="F52" s="153"/>
    </row>
    <row r="53" customFormat="false" ht="15" hidden="false" customHeight="true" outlineLevel="0" collapsed="false">
      <c r="A53" s="154" t="s">
        <v>609</v>
      </c>
      <c r="B53" s="154" t="s">
        <v>610</v>
      </c>
      <c r="C53" s="154" t="s">
        <v>611</v>
      </c>
      <c r="D53" s="154" t="s">
        <v>612</v>
      </c>
    </row>
    <row r="54" customFormat="false" ht="27.75" hidden="false" customHeight="true" outlineLevel="0" collapsed="false">
      <c r="A54" s="155" t="s">
        <v>621</v>
      </c>
      <c r="B54" s="155" t="s">
        <v>662</v>
      </c>
      <c r="C54" s="155" t="s">
        <v>663</v>
      </c>
      <c r="D54" s="156" t="s">
        <v>664</v>
      </c>
      <c r="E54" s="156"/>
      <c r="F54" s="156"/>
    </row>
    <row r="56" customFormat="false" ht="15" hidden="false" customHeight="true" outlineLevel="0" collapsed="false">
      <c r="A56" s="153" t="s">
        <v>665</v>
      </c>
      <c r="B56" s="153"/>
      <c r="C56" s="153"/>
      <c r="D56" s="153"/>
      <c r="E56" s="153"/>
      <c r="F56" s="153"/>
    </row>
    <row r="57" customFormat="false" ht="15" hidden="false" customHeight="true" outlineLevel="0" collapsed="false">
      <c r="A57" s="154" t="s">
        <v>609</v>
      </c>
      <c r="B57" s="154" t="s">
        <v>610</v>
      </c>
      <c r="C57" s="154" t="s">
        <v>611</v>
      </c>
      <c r="D57" s="154" t="s">
        <v>612</v>
      </c>
    </row>
    <row r="58" customFormat="false" ht="333" hidden="false" customHeight="true" outlineLevel="0" collapsed="false">
      <c r="A58" s="155" t="s">
        <v>638</v>
      </c>
      <c r="B58" s="155" t="s">
        <v>666</v>
      </c>
      <c r="C58" s="155" t="s">
        <v>667</v>
      </c>
      <c r="D58" s="156" t="s">
        <v>668</v>
      </c>
      <c r="E58" s="156"/>
      <c r="F58" s="156"/>
    </row>
    <row r="60" customFormat="false" ht="15" hidden="false" customHeight="true" outlineLevel="0" collapsed="false">
      <c r="A60" s="153" t="s">
        <v>669</v>
      </c>
      <c r="B60" s="153"/>
      <c r="C60" s="153"/>
      <c r="D60" s="153"/>
      <c r="E60" s="153"/>
      <c r="F60" s="153"/>
    </row>
    <row r="61" customFormat="false" ht="15" hidden="false" customHeight="true" outlineLevel="0" collapsed="false">
      <c r="A61" s="154" t="s">
        <v>609</v>
      </c>
      <c r="B61" s="154" t="s">
        <v>610</v>
      </c>
      <c r="C61" s="154" t="s">
        <v>611</v>
      </c>
      <c r="D61" s="154" t="s">
        <v>612</v>
      </c>
    </row>
    <row r="62" customFormat="false" ht="619.5" hidden="false" customHeight="true" outlineLevel="0" collapsed="false">
      <c r="A62" s="155" t="s">
        <v>638</v>
      </c>
      <c r="B62" s="155" t="s">
        <v>670</v>
      </c>
      <c r="C62" s="155" t="s">
        <v>671</v>
      </c>
      <c r="D62" s="156" t="s">
        <v>672</v>
      </c>
      <c r="E62" s="156"/>
      <c r="F62" s="156"/>
    </row>
    <row r="64" customFormat="false" ht="15" hidden="false" customHeight="true" outlineLevel="0" collapsed="false">
      <c r="A64" s="153" t="s">
        <v>673</v>
      </c>
      <c r="B64" s="153"/>
      <c r="C64" s="153"/>
      <c r="D64" s="153"/>
      <c r="E64" s="153"/>
      <c r="F64" s="153"/>
    </row>
    <row r="65" customFormat="false" ht="15" hidden="false" customHeight="true" outlineLevel="0" collapsed="false">
      <c r="A65" s="154" t="s">
        <v>609</v>
      </c>
      <c r="B65" s="154" t="s">
        <v>610</v>
      </c>
      <c r="C65" s="154" t="s">
        <v>611</v>
      </c>
      <c r="D65" s="154" t="s">
        <v>612</v>
      </c>
    </row>
    <row r="66" customFormat="false" ht="45.75" hidden="false" customHeight="true" outlineLevel="0" collapsed="false">
      <c r="A66" s="155" t="s">
        <v>621</v>
      </c>
      <c r="B66" s="155" t="s">
        <v>674</v>
      </c>
      <c r="C66" s="155" t="s">
        <v>675</v>
      </c>
      <c r="D66" s="156" t="s">
        <v>676</v>
      </c>
      <c r="E66" s="156"/>
      <c r="F66" s="156"/>
    </row>
    <row r="68" customFormat="false" ht="15" hidden="false" customHeight="true" outlineLevel="0" collapsed="false">
      <c r="A68" s="153" t="s">
        <v>677</v>
      </c>
      <c r="B68" s="153"/>
      <c r="C68" s="153"/>
      <c r="D68" s="153"/>
      <c r="E68" s="153"/>
      <c r="F68" s="153"/>
    </row>
    <row r="69" customFormat="false" ht="15" hidden="false" customHeight="true" outlineLevel="0" collapsed="false">
      <c r="A69" s="154" t="s">
        <v>609</v>
      </c>
      <c r="B69" s="154" t="s">
        <v>610</v>
      </c>
      <c r="C69" s="154" t="s">
        <v>611</v>
      </c>
      <c r="D69" s="154" t="s">
        <v>612</v>
      </c>
    </row>
    <row r="70" customFormat="false" ht="15" hidden="false" customHeight="true" outlineLevel="0" collapsed="false">
      <c r="A70" s="155" t="s">
        <v>621</v>
      </c>
      <c r="B70" s="155" t="s">
        <v>678</v>
      </c>
      <c r="C70" s="155" t="s">
        <v>679</v>
      </c>
      <c r="D70" s="156" t="s">
        <v>680</v>
      </c>
      <c r="E70" s="156"/>
      <c r="F70" s="156"/>
    </row>
    <row r="72" customFormat="false" ht="15" hidden="false" customHeight="true" outlineLevel="0" collapsed="false">
      <c r="A72" s="153" t="s">
        <v>681</v>
      </c>
      <c r="B72" s="153"/>
      <c r="C72" s="153"/>
      <c r="D72" s="153"/>
      <c r="E72" s="153"/>
      <c r="F72" s="153"/>
    </row>
    <row r="73" customFormat="false" ht="15" hidden="false" customHeight="true" outlineLevel="0" collapsed="false">
      <c r="A73" s="154" t="s">
        <v>609</v>
      </c>
      <c r="B73" s="154" t="s">
        <v>610</v>
      </c>
      <c r="C73" s="154" t="s">
        <v>611</v>
      </c>
      <c r="D73" s="154" t="s">
        <v>612</v>
      </c>
    </row>
    <row r="74" customFormat="false" ht="117.75" hidden="false" customHeight="true" outlineLevel="0" collapsed="false">
      <c r="A74" s="155" t="s">
        <v>621</v>
      </c>
      <c r="B74" s="155" t="s">
        <v>682</v>
      </c>
      <c r="C74" s="155" t="s">
        <v>683</v>
      </c>
      <c r="D74" s="156" t="s">
        <v>684</v>
      </c>
      <c r="E74" s="156"/>
      <c r="F74" s="156"/>
    </row>
  </sheetData>
  <mergeCells count="38">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2026-09-11T12:49:11Z</dcterms:modified>
  <cp:revision>98</cp:revision>
  <dc:subject/>
  <dc:title/>
</cp:coreProperties>
</file>

<file path=docProps/custom.xml><?xml version="1.0" encoding="utf-8"?>
<Properties xmlns="http://schemas.openxmlformats.org/officeDocument/2006/custom-properties" xmlns:vt="http://schemas.openxmlformats.org/officeDocument/2006/docPropsVTypes"/>
</file>