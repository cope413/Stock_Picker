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ables/table10.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8.xml" ContentType="application/vnd.openxmlformats-officedocument.spreadsheetml.comments+xml"/>
  <Override PartName="/xl/comments11.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theme/theme1.xml" ContentType="application/vnd.openxmlformats-officedocument.them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20"/>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Open Items" sheetId="19" state="visible" r:id="rId21"/>
    <sheet name="Schema Reference" sheetId="20" state="visible" r:id="rId22"/>
    <sheet name="Scratchpad (disregard)" sheetId="21" state="visible" r:id="rId23"/>
  </sheets>
  <definedNames>
    <definedName function="false" hidden="false" localSheetId="16" name="_xlnm.Print_Area" vbProcedure="false">Journal!$A$1:$C$302</definedName>
    <definedName function="false" hidden="true" localSheetId="8" name="_xlnm._FilterDatabase" vbProcedure="false">'Market Data'!$A$2:$I$44</definedName>
    <definedName function="false" hidden="true" localSheetId="6" name="_xlnm._FilterDatabase" vbProcedure="false">Scoring!$A$2:$AS$62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comments19.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Priority order, not a stable ticket ID -- fine to renumber when priorities change or a new item gets inserted partway down the list.</t>
        </r>
      </text>
    </comment>
  </commentList>
</comments>
</file>

<file path=xl/sharedStrings.xml><?xml version="1.0" encoding="utf-8"?>
<sst xmlns="http://schemas.openxmlformats.org/spreadsheetml/2006/main" count="2117" uniqueCount="832">
  <si>
    <t xml:space="preserve">THE LANDRY FAMILY EQUITY INVESTMENT OPERATING SYSTEM — 
STOCK SCORING &amp; PORTFOLIO RISK WORKBOOK</t>
  </si>
  <si>
    <t xml:space="preserve">Companion workbook to Landry System v1.03. Aligned to: Version 1.03 (50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</si>
  <si>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</si>
  <si>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</si>
  <si>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</si>
  <si>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</si>
  <si>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</si>
  <si>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</si>
  <si>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</si>
  <si>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</si>
  <si>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</si>
  <si>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weekly closing prices for current</t>
  </si>
  <si>
    <t xml:space="preserve">holdings (ex-cash-sweep); pairwise correlation and the Rule 38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</si>
  <si>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</si>
  <si>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</si>
  <si>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v1.03)</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</si>
  <si>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</si>
  <si>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</si>
  <si>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</si>
  <si>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38 (Part 7) — Correlation Cap: no position may carry pairwise correlation above 0.70 with more</t>
  </si>
  <si>
    <t xml:space="preserve">than one other holding at the same time.</t>
  </si>
  <si>
    <t xml:space="preserve">Rule 39 (Part 7) — Portfolio drawdown response levels apply automatically; only a documented Tier 1</t>
  </si>
  <si>
    <t xml:space="preserve">re-score restores normal sizing for an affected security.</t>
  </si>
  <si>
    <t xml:space="preserve">Rule 34 (Part 6, added 2026-09-13) — Early Partial Trim: a holding in Probationary Hold (50–64) whose</t>
  </si>
  <si>
    <t xml:space="preserve">triggering indicator(s) are reconfirmed unimproved before the 90-day re-score is trimmed by one-third; may recur up to 3x.</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</si>
  <si>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</si>
  <si>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</si>
  <si>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</si>
  <si>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</si>
  <si>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</si>
  <si>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</si>
  <si>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</si>
  <si>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</si>
  <si>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</si>
  <si>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</si>
  <si>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</si>
  <si>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</si>
  <si>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</si>
  <si>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</si>
  <si>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</si>
  <si>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</si>
  <si>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 not a duplicate of what the Scoring/Correlation/Drawdown tabs already record as data.</t>
  </si>
  <si>
    <t xml:space="preserve">Market Data: Claude-populated via yfinance (landry.data_auto.market_snapshot), refreshed periodically, not a live formula -- corrected 2026-08-26; the STOCKHISTORY/Stocks-data-type approach previously documented here was never actually implemented (the tab sat empty). Scope: current holdings (excluding cash-sweep vehicles FZDXX/FZFXX/VMFXX/QACDS) plus any 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</si>
  <si>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</si>
  <si>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</si>
  <si>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</si>
  <si>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</si>
  <si>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</si>
  <si>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</si>
  <si>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</si>
  <si>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</si>
  <si>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</si>
  <si>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</si>
  <si>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32-36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</si>
  <si>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</si>
  <si>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</si>
  <si>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</si>
  <si>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22-31 (see Holding Monitor tab for detail)</t>
  </si>
  <si>
    <t xml:space="preserve">Holdings with action required within 30 days:</t>
  </si>
  <si>
    <t xml:space="preserve">Holdings under Hold Through (monitor only, no action):</t>
  </si>
  <si>
    <t xml:space="preserve">3. CORRELATION CAP — Rule 38 (see Correlation Matrix tab for detail)</t>
  </si>
  <si>
    <t xml:space="preserve">Rule 38 status:</t>
  </si>
  <si>
    <t xml:space="preserve">Positions exceeding cap:</t>
  </si>
  <si>
    <t xml:space="preserve">4. PORTFOLIO DRAWDOWN STATUS — Rule 39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</si>
  <si>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</si>
  <si>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</si>
  <si>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</si>
  <si>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</si>
  <si>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</si>
  <si>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</si>
  <si>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</si>
  <si>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</si>
  <si>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</si>
  <si>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</si>
  <si>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</si>
  <si>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RETIRED 9/11/26. Tested on an 8-ticker diagnostic batch, dropped as redundant for how this system is actually used (see Journal row 42-43). Historical data left in place at Scoring cols AN-AS as a record of the experiment; no longer live-tallied here.</t>
  </si>
  <si>
    <t xml:space="preserve">Candidates flagged LOW CONF on Accruals (CFO does not exceed Net Income):</t>
  </si>
  <si>
    <t xml:space="preserve">Candidates with Debt/FCF trending up year-over-year:</t>
  </si>
  <si>
    <t xml:space="preserve">Combined current positions, both accounts, as of the 9/30/2026 statements (GE/NFLX bought 9/30, settled 10/1; prices refresh in Excel)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</si>
  <si>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</si>
  <si>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</si>
  <si>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</si>
  <si>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</si>
  <si>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</si>
  <si>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</si>
  <si>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</si>
  <si>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</si>
  <si>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</si>
  <si>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</si>
  <si>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</si>
  <si>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</si>
  <si>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</si>
  <si>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</si>
  <si>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</si>
  <si>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</si>
  <si>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</si>
  <si>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</si>
  <si>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</si>
  <si>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</si>
  <si>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</si>
  <si>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</si>
  <si>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</si>
  <si>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</si>
  <si>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</si>
  <si>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</si>
  <si>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</si>
  <si>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</si>
  <si>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</si>
  <si>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</si>
  <si>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</si>
  <si>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</si>
  <si>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</si>
  <si>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</si>
  <si>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</si>
  <si>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</si>
  <si>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</si>
  <si>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</si>
  <si>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</si>
  <si>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</si>
  <si>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</si>
  <si>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</si>
  <si>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</si>
  <si>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</si>
  <si>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</si>
  <si>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</si>
  <si>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</si>
  <si>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</si>
  <si>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</si>
  <si>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</si>
  <si>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</si>
  <si>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</si>
  <si>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</si>
  <si>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</si>
  <si>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</si>
  <si>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</si>
  <si>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</si>
  <si>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</si>
  <si>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</si>
  <si>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</si>
  <si>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</si>
  <si>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GE</t>
  </si>
  <si>
    <t xml:space="preserve">GE Aerospace</t>
  </si>
  <si>
    <t xml:space="preserve">NEW position 9/30/26 -- DCA-CATCHUP-1, opened per Composite 84.2 STRONG BUY (rescored 9/13/26, reconfirmed fresh 9/29/26, zero Tier 1 drift). 75sh @ $314.71.</t>
  </si>
  <si>
    <t xml:space="preserve">NFLX</t>
  </si>
  <si>
    <t xml:space="preserve">Netflix, Inc.</t>
  </si>
  <si>
    <t xml:space="preserve">NEW position 9/30/26 -- DCA-CATCHUP-1, opened per Composite 83.8 STRONG BUY (rescored 9/13/26, reconfirmed fresh 9/29/26, zero Tier 1 drift). 300sh @ $69.795.</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</si>
  <si>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</si>
  <si>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</si>
  <si>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</si>
  <si>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</si>
  <si>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</si>
  <si>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</si>
  <si>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</si>
  <si>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</si>
  <si>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</si>
  <si>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</si>
  <si>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</si>
  <si>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</si>
  <si>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</si>
  <si>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</si>
  <si>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</si>
  <si>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</si>
  <si>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</si>
  <si>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</si>
  <si>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</si>
  <si>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</si>
  <si>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</si>
  <si>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</si>
  <si>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</si>
  <si>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</si>
  <si>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</si>
  <si>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</si>
  <si>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</si>
  <si>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</si>
  <si>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</si>
  <si>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</si>
  <si>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</si>
  <si>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</si>
  <si>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</si>
  <si>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</si>
  <si>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</si>
  <si>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</si>
  <si>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</si>
  <si>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</si>
  <si>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</si>
  <si>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</si>
  <si>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</si>
  <si>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</si>
  <si>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</si>
  <si>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</si>
  <si>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</si>
  <si>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</si>
  <si>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</si>
  <si>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
10/4/26: tied to the 9/30/26 statements (Fidelity X64-063711 $406,372.50; Chase 735-43693 $315,412.66). Every share count and cost basis already matched. Cash corrected: FZDXX 92,777.34 -&gt; 38,154.18 (statement 82,695.93 less the $44,541.75 GE/NFLX buy that settled 10/1), FZFXX 0 -&gt; 1,174.01, QACDS 1,853.89 -&gt; 10,849.71; cash cost basis set equal to value (cash has no gain/loss -- this also clears the understated combined unrealized G/L). The old FZDXX figure had ignored September's outflows ($36,519.99 withdrawn, $18,448.63 of Visa buys). Prices are still the workbook's own (refresh in Excel), which is why the combined total here still reads about $10.4K above the statements. See Journal row 81.</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</si>
  <si>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</si>
  <si>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</si>
  <si>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</si>
  <si>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</si>
  <si>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</si>
  <si>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</si>
  <si>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</si>
  <si>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</si>
  <si>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</si>
  <si>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</si>
  <si>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</si>
  <si>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</si>
  <si>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</si>
  <si>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</si>
  <si>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</si>
  <si>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</si>
  <si>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</si>
  <si>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</si>
  <si>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</si>
  <si>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N</t>
  </si>
  <si>
    <t xml:space="preserve">Y</t>
  </si>
  <si>
    <t xml:space="preserve">2026-09-03: Breithaupt Chantelle Yvette (Senior Vice President, CFO) sold $119,811, 1% of holding (+55 more in last 30d)</t>
  </si>
  <si>
    <t xml:space="preserve">BUY</t>
  </si>
  <si>
    <t xml:space="preserve">2026-09-04: Kurtz George (PRESIDENT AND CEO) sold $472,759, 0% of holding (+126 more in last 30d)</t>
  </si>
  <si>
    <t xml:space="preserve">2026-08-14: Lorig Brian (EVP, KLA Global Services) sold $12,401,634, 43% of holding (+7 more in last 30d)</t>
  </si>
  <si>
    <t xml:space="preserve">2026-08-25: MEHROTRA SANJAY (President and CEO) sold $138,116, 0% of holding (+26 more in last 30d)</t>
  </si>
  <si>
    <t xml:space="preserve">2026-09-02: STEVENS MARK A (Director) sold $98,470,906, 9% of holding (+9 more in last 30d)</t>
  </si>
  <si>
    <t xml:space="preserve">2026-09-03: Stat Lauren Elaina Friedman (Director) sold $244,915, 2% of holding (+20 more in last 30d)</t>
  </si>
  <si>
    <t xml:space="preserve">2026-09-04: Fang Shu-Hua (SVP and GC) bought $77,090, 16% of holding (+11 more in last 30d)</t>
  </si>
  <si>
    <t xml:space="preserve">2026-09-02: MONSER EDWARD L (Director) sold $219,497, 3% of holding (+7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</si>
  <si>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</si>
  <si>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</si>
  <si>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</si>
  <si>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</si>
  <si>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</si>
  <si>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</si>
  <si>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</si>
  <si>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</si>
  <si>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</si>
  <si>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</si>
  <si>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</si>
  <si>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</si>
  <si>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</si>
  <si>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</si>
  <si>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</si>
  <si>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</si>
  <si>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</si>
  <si>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</si>
  <si>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</si>
  <si>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</si>
  <si>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</si>
  <si>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</si>
  <si>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</si>
  <si>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</si>
  <si>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</si>
  <si>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</si>
  <si>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</si>
  <si>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</si>
  <si>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</si>
  <si>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</si>
  <si>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</si>
  <si>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</si>
  <si>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</si>
  <si>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</si>
  <si>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</si>
  <si>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</si>
  <si>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</si>
  <si>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</si>
  <si>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</si>
  <si>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</si>
  <si>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</si>
  <si>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</si>
  <si>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</si>
  <si>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</si>
  <si>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</si>
  <si>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</si>
  <si>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2026-09-02: MCINERNEY RYAN (Chief Executive Officer) sold $2,230,444, 28%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</si>
  <si>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</si>
  <si>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</si>
  <si>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</si>
  <si>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</si>
  <si>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KGS</t>
  </si>
  <si>
    <t xml:space="preserve">Diversification candidate (Energy -- gas compression services, contract-based revenue, not upstream E&amp;P). Fresh Tier 1 quant screen 9/11/26; Moat/Rev Visibility not yet assessed (Part 12).</t>
  </si>
  <si>
    <t xml:space="preserve">Weekly closing price ($), week-ending Friday (Rule 38: weekly total returns, 24-month target, 12-month minimum, 36-month max). 20 slots: 13 stocks + 7 held ETFs + headroom.</t>
  </si>
  <si>
    <t xml:space="preserve">Week Ending</t>
  </si>
  <si>
    <t xml:space="preserve">Weeks</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</si>
  <si>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</si>
  <si>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</si>
  <si>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</si>
  <si>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</si>
  <si>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</si>
  <si>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</si>
  <si>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</si>
  <si>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</si>
  <si>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</si>
  <si>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</si>
  <si>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</si>
  <si>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</si>
  <si>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</si>
  <si>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</si>
  <si>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</si>
  <si>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</si>
  <si>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</si>
  <si>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</si>
  <si>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</si>
  <si>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</si>
  <si>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</si>
  <si>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</si>
  <si>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</si>
  <si>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</si>
  <si>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</si>
  <si>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</si>
  <si>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</si>
  <si>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</si>
  <si>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</si>
  <si>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</si>
  <si>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</si>
  <si>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</si>
  <si>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</si>
  <si>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</si>
  <si>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</si>
  <si>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</si>
  <si>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</si>
  <si>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</si>
  <si>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</si>
  <si>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
Avoid</t>
  </si>
  <si>
    <t xml:space="preserve">Rule 4
2+Low=
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</si>
  <si>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</si>
  <si>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</si>
  <si>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</si>
  <si>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</si>
  <si>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</si>
  <si>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</si>
  <si>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</si>
  <si>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</si>
  <si>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</si>
  <si>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</si>
  <si>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</si>
  <si>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</si>
  <si>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</si>
  <si>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</si>
  <si>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</si>
  <si>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</si>
  <si>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</si>
  <si>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</si>
  <si>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</si>
  <si>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</si>
  <si>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</si>
  <si>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</si>
  <si>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</si>
  <si>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</si>
  <si>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</si>
  <si>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</si>
  <si>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</si>
  <si>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</si>
  <si>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</si>
  <si>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</si>
  <si>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</si>
  <si>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</si>
  <si>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</si>
  <si>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</si>
  <si>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</si>
  <si>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</si>
  <si>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</si>
  <si>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</si>
  <si>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</si>
  <si>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</si>
  <si>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</si>
  <si>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</si>
  <si>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</si>
  <si>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</si>
  <si>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</si>
  <si>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</si>
  <si>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</si>
  <si>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</si>
  <si>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</si>
  <si>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</si>
  <si>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</si>
  <si>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</si>
  <si>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</si>
  <si>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</si>
  <si>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</si>
  <si>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</si>
  <si>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</si>
  <si>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</si>
  <si>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</si>
  <si>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</si>
  <si>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</si>
  <si>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</si>
  <si>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</si>
  <si>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</si>
  <si>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</si>
  <si>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</si>
  <si>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</si>
  <si>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</si>
  <si>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</si>
  <si>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</si>
  <si>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</si>
  <si>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</si>
  <si>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</si>
  <si>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</si>
  <si>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</si>
  <si>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</si>
  <si>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</si>
  <si>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</si>
  <si>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</si>
  <si>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</si>
  <si>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Kodiak Gas Services, Inc.</t>
  </si>
  <si>
    <t xml:space="preserve">ABT</t>
  </si>
  <si>
    <t xml:space="preserve">Abbott Laboratories</t>
  </si>
  <si>
    <t xml:space="preserve">Medical Devices</t>
  </si>
  <si>
    <t xml:space="preserve">SLB</t>
  </si>
  <si>
    <t xml:space="preserve">SLB N.V.</t>
  </si>
  <si>
    <t xml:space="preserve">VEEV</t>
  </si>
  <si>
    <t xml:space="preserve">Veeva Systems Inc.</t>
  </si>
  <si>
    <t xml:space="preserve">Health Information Services</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</si>
  <si>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</si>
  <si>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6
Composite
≥65?</t>
  </si>
  <si>
    <t xml:space="preserve">Rule 7
Tier1
≥3.0?</t>
  </si>
  <si>
    <t xml:space="preserve">Rule 8
No Tier1
=1?</t>
  </si>
  <si>
    <t xml:space="preserve">Rule 9
Above / reclaimed
200-wk MA?
(Y/N)</t>
  </si>
  <si>
    <t xml:space="preserve">Rule 10
Monthly MACD
positive / turning?
(Y/N)</t>
  </si>
  <si>
    <t xml:space="preserve">Staging
Result
(Rules 8-9)</t>
  </si>
  <si>
    <t xml:space="preserve">Rule 11
Binary event
risk present?
(Y/N)</t>
  </si>
  <si>
    <t xml:space="preserve">Risk included
in thesis?
(Y/N)</t>
  </si>
  <si>
    <t xml:space="preserve">Rule 11
Result</t>
  </si>
  <si>
    <t xml:space="preserve">Base Case
&gt;10%?</t>
  </si>
  <si>
    <t xml:space="preserve">Rule 12
Bear Case
≥0%?</t>
  </si>
  <si>
    <t xml:space="preserve">Rule 13
Scenario tags
OK?</t>
  </si>
  <si>
    <t xml:space="preserve">P/FCF
(current)</t>
  </si>
  <si>
    <t xml:space="preserve">Consensus FCF
growth, 2-yr
annualized</t>
  </si>
  <si>
    <t xml:space="preserve">Rule 14
Valuation
Ceiling</t>
  </si>
  <si>
    <t xml:space="preserve">ENTRY
AUTHORIZED?</t>
  </si>
  <si>
    <t xml:space="preserve">Recommended Action</t>
  </si>
  <si>
    <t xml:space="preserve">Market Data -- Claude-populated via yfinance (landry.data_auto.market_snapshot), refreshed periodically,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</si>
  <si>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</si>
  <si>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</si>
  <si>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</si>
  <si>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</si>
  <si>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</si>
  <si>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</si>
  <si>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</si>
  <si>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</si>
  <si>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</si>
  <si>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</si>
  <si>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</si>
  <si>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</si>
  <si>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</si>
  <si>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</si>
  <si>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</si>
  <si>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</si>
  <si>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</si>
  <si>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</si>
  <si>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</si>
  <si>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</si>
  <si>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</si>
  <si>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</si>
  <si>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</si>
  <si>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</si>
  <si>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</si>
  <si>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</si>
  <si>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</si>
  <si>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38, Part 7). Covers stocks and held ETFs together. Recalculate quarterly.</t>
  </si>
  <si>
    <t xml:space="preserve">Positions exceeding cap (correlated &gt;0.70 with 2+ other holdings):</t>
  </si>
  <si>
    <t xml:space="preserve">Rule 38 status (no position may exceed 0.70 with more than one other holding):</t>
  </si>
  <si>
    <t xml:space="preserve">Positions &gt;0.70 with</t>
  </si>
  <si>
    <t xml:space="preserve">Portfolio-level drawdown tracking (Part 7, Rules 38-39).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</si>
  <si>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</si>
  <si>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</si>
  <si>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</si>
  <si>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</si>
  <si>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</si>
  <si>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</si>
  <si>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</si>
  <si>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</si>
  <si>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Corrected 10/4/26 to the 9/30 statements, net of $20,019.99 external withdrawals (Part 7); was 776,662.72 -- see Journal row 81.</t>
  </si>
  <si>
    <t xml:space="preserve">Tracks every holding in Probationary Hold (50-64) or Exit Review (35-49) per Part 6. The 90-day deadline and its consequence are calculated automatically — this tab is what makes Rules 32-36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</si>
  <si>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</si>
  <si>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</si>
  <si>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</si>
  <si>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</si>
  <si>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</si>
  <si>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</si>
  <si>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</si>
  <si>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</si>
  <si>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</si>
  <si>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</si>
  <si>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Trims Taken
(0-3, Rule 34)</t>
  </si>
  <si>
    <t xml:space="preserve">Probationary Hold</t>
  </si>
  <si>
    <t xml:space="preserve">Rule 34 (Early Partial Trim) now applies -- next reconfirmation of FCF Margin Trend/ROIC (via a new filing or scheduled re-score) before 12/12/26 with no improvement triggers a 1/3 trim. Not yet triggered; entry itself does not count. Alan: market already pricing this in (CRWD down 10-15% over prior 2 weeks) -- deserves watching, not an immediate action. Credible Remediation Plan not yet assessed.</t>
  </si>
  <si>
    <t xml:space="preserve">Standardized Implied-Return Methodology (Rule 12, Part 4): Expected annualized return = [(Year-5 equity value + cumulative distributions) ÷ current equity value]^(1/5) − 1. Run Base, Bear, and Bull cases together (Rule 13)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</si>
  <si>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</si>
  <si>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</si>
  <si>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</si>
  <si>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</si>
  <si>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</si>
  <si>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</si>
  <si>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</si>
  <si>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</si>
  <si>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</si>
  <si>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</si>
  <si>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</si>
  <si>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</si>
  <si>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</si>
  <si>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</si>
  <si>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</si>
  <si>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</si>
  <si>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22-31). Enter this-period and prior-period Tier 1 sub-scores to auto-detect the 'two consecutive periods' fundamental triggers; enter current valuation/position metrics for the rest. Any trigger firing without a Hold Through condition applying requires action within 30 days. </t>
  </si>
  <si>
    <t xml:space="preserve">FUNDAMENTAL TRIGGERS (Rules 22-26) — flags if declined 2 consecutive periods</t>
  </si>
  <si>
    <t xml:space="preserve">VALUATION / SIZING TRIGGERS (Rules 27-31)</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</si>
  <si>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</si>
  <si>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</si>
  <si>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</si>
  <si>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</si>
  <si>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</si>
  <si>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</si>
  <si>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</si>
  <si>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</si>
  <si>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</si>
  <si>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</si>
  <si>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</si>
  <si>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</si>
  <si>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</si>
  <si>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
trigger)</t>
  </si>
  <si>
    <t xml:space="preserve">P/FCF
(&gt;50x+gr
&lt;15%)</t>
  </si>
  <si>
    <t xml:space="preserve">FCF Growth
%</t>
  </si>
  <si>
    <t xml:space="preserve">Implied Return
(&lt;7%=
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</si>
  <si>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</si>
  <si>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</si>
  <si>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</si>
  <si>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</si>
  <si>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</si>
  <si>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</si>
  <si>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</si>
  <si>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</si>
  <si>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</si>
  <si>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</si>
  <si>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</si>
  <si>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</si>
  <si>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</si>
  <si>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</si>
  <si>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</si>
  <si>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</si>
  <si>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</si>
  <si>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</si>
  <si>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</si>
  <si>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</si>
  <si>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</si>
  <si>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</si>
  <si>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</si>
  <si>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</si>
  <si>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</si>
  <si>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</si>
  <si>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</si>
  <si>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</si>
  <si>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</si>
  <si>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</si>
  <si>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</si>
  <si>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</si>
  <si>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</si>
  <si>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</si>
  <si>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</si>
  <si>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</si>
  <si>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</si>
  <si>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</si>
  <si>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</si>
  <si>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</si>
  <si>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</si>
  <si>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</si>
  <si>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</si>
  <si>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</si>
  <si>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</si>
  <si>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</si>
  <si>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</si>
  <si>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</si>
  <si>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</si>
  <si>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</si>
  <si>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</si>
  <si>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</si>
  <si>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</si>
  <si>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</si>
  <si>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</si>
  <si>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</si>
  <si>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DCA-CATCHUP-PLAN-V1</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</si>
  <si>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 SUPERSEDED 9/11/26 -- see DCA-CATCHUP-PLAN-2 for the revised ~4-month/8-tranche, $40K-$50K/tranche schedule.</t>
  </si>
  <si>
    <t xml:space="preserve">DCA-CATCHUP-1-V1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</si>
  <si>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SUPERSEDED 9/11/26 -- see DCA-CATCHUP-PLAN-2 for the revised ~4-month/8-tranche, $40K-$50K/tranche schedule.</t>
  </si>
  <si>
    <t xml:space="preserve">DCA-CATCHUP-2-V1</t>
  </si>
  <si>
    <t xml:space="preserve">DCA-CATCHUP-3-V1</t>
  </si>
  <si>
    <t xml:space="preserve">DCA-CATCHUP-4-V1</t>
  </si>
  <si>
    <t xml:space="preserve">DCA-CATCHUP-5-V1</t>
  </si>
  <si>
    <t xml:space="preserve">DCA-CATCHUP-6-V1</t>
  </si>
  <si>
    <t xml:space="preserve">DCA-CATCHUP-7-V1</t>
  </si>
  <si>
    <t xml:space="preserve">DCA-CATCHUP-8-V1</t>
  </si>
  <si>
    <t xml:space="preserve">DCA-CATCHUP-9-V1</t>
  </si>
  <si>
    <t xml:space="preserve">DCA-CATCHUP-10-V1</t>
  </si>
  <si>
    <t xml:space="preserve">DCA-CATCHUP-11-V1</t>
  </si>
  <si>
    <t xml:space="preserve">DCA-CATCHUP-12-V1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</si>
  <si>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 SUPERSEDED 9/11/26 -- see DCA-CATCHUP-PLAN-2 for the revised ~4-month/8-tranche, $40K-$50K/tranche schedule.</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</si>
  <si>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</si>
  <si>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</si>
  <si>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</si>
  <si>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</si>
  <si>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</si>
  <si>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</si>
  <si>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WILDCARD-ALLOCATION-TODO</t>
  </si>
  <si>
    <t xml:space="preserve">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</si>
  <si>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 xml:space="preserve">PIOTROSKI-DIAGNOSTIC-BATCH</t>
  </si>
  <si>
    <t xml:space="preserve">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</si>
  <si>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 xml:space="preserve">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</si>
  <si>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 xml:space="preserve">Diagnosed the Piotroski Accruals divergence flagged in the diagnostic batch (FY2025 CFO .63B under Net Income .95B). Traced the full cash-flow reconciliation: every non-cash addback points the normal direction (D&amp;A +.8M, stock comp +.9M, asset impairment +.0M all push CFO above NI, as usual), but a ,199.1M working-capital consumption overwhelms them -- concentrated in inventory (-.2M), prepaid assets (-.0M), and receivables (-.3M). Revenue grew a real 8.9% YoY (.02B-&gt;.00B) over the same period, and this coincides with the Journavx (suzetrigine) launch, VRTX's first non-opioid pain drug -- inventory build ahead of a major launch and receivables growth from ramping sales are the expected pattern, not a red flag on their own. One thing worth actually watching, not alarming: receivables grew about 35% as fast as revenue, somewhat more than stable collection terms alone would suggest -- check whether this normalizes over the next quarter or two. CONCLUSION: reads as growth/launch-driven working capital consumption, not a hidden earnings-quality problem. The Accruals check did its job -- it correctly flagged a real, mechanically-true divergence -- but interpreting it needed a human read, consistent with how the check is designed to work (confidence-tagging only, not an automatic verdict). Status: diagnosed, monitor the receivables trend at the next fundamental refresh, not currently treated as a red flag on VRTX's BUY classification.</t>
  </si>
  <si>
    <t xml:space="preserve">Added KLAC and V specifically to test worsening leverage -- the 5 prior testable cases were all "Decreased" (improving), leaving the more diagnostic scenario (leverage worsening despite an already-good score) untested. Results: KLAC Accruals=LOW CONF (existing FCF-Yield conf=M -- a mild divergence, not yet diagnosed), Leverage=Increased but essentially flat (1.625-&gt;1.633, existing Mgmt Quality=4/H). V Accruals=OK (agrees), Leverage=Increased and real (1.115-&gt;1.167, existing Mgmt Quality=4/M). FINAL TALLY, 8 tickers: Accruals testable for all 8, 2 divergences (VRTX -- diagnosed benign, growth/launch-driven; KLAC -- not yet diagnosed but same profile as a growing semiconductor-equipment maker), 6 agree. Leverage Trajectory testable for 5 of 8, 2 show "Increased" but both against already-imperfect scores (4, not 5) rather than contradicting a high-confidence claim -- neither is the clean "caught something the existing score missed" case the test was designed to find, and one (KLAC) is economically trivial rather than a real deterioration. Assessment: across 8 tickers, the mechanism has correctly detected real mechanical divergences twice, but in the one case fully diagnosed (VRTX) the underlying cause was benign, normal business activity, not something that should have lowered confidence -- meaning the check adds diagnostic overhead without changing the conclusion. Leverage Trajectory has never once produced a result that meaningfully contradicts an existing assessment. Leaning toward DROP as redundant for how this system is actually used, per the original decision rule -- Alan's own expectation going into this last check. Awaiting his final call.</t>
  </si>
  <si>
    <t xml:space="preserve">PIOTROSKI-VERDICT</t>
  </si>
  <si>
    <t xml:space="preserve">FINAL DECISION: DROP. Alan confirmed 9/11/26 ("Yes, proceed - well done") after reviewing the complete 8-ticker diagnostic batch (VRTX, SFM, ONON, TSLA, MU, VRT, KLAC, V). The two Piotroski cross-checks (Accruals Quality, Leverage Trajectory) do not add reliable signal beyond the existing Confidence-tagging process, per the decision rule agreed 9/8/26. Reasoning: Accruals Check correctly detected 2 real mechanical divergences (VRTX, KLAC) across 8 tickers, but the one fully diagnosed (VRTX) turned out to be benign, growth/launch-driven working-capital consumption, not a genuine earnings-quality concern -- the flag creates diagnostic overhead without changing the conclusion. Leverage Trajectory was tested against 5 tickers with an existing Management Quality baseline and never once produced a result that meaningfully contradicted the existing assessment -- both "Increased" results were against already-imperfect (4, not 5) scores, and one (KLAC) was economically trivial (a 0.008 change in the ratio, essentially noise). Also confirmed before finalizing: the Accruals flag (Scoring col AP) was never actually wired into any live formula -- Rule 4's cap only counts the original Tier 1/2 confidence columns (E:M), not AP -- so this decision changes nothing about any ticker's current classification; it was a pure documentation/annotation column this whole time. DISPOSITION: stop populating Scoring cols AN-AS for any further tickers. Historical data for the 8 tested tickers stays in place as a record of the experiment, not scrubbed. Action Items' Piotroski tally section (rows 31-33) retired same day, in place of becoming a permanently-stale, partial-coverage counter in a tab meant to reflect live state. The rubric additions remain documented in Landry System v1.02 as a tested-and-retired enhancement, not erased from the record.</t>
  </si>
  <si>
    <t xml:space="preserve">DCA-CATCHUP-PLAN-2</t>
  </si>
  <si>
    <t xml:space="preserve">Revised catch-up cadence, replacing the 9/7/26 plan (rows 22-34, now superseded). Agreed with Alan after discussing Vanguard's lump-sum-vs-DCA research (lump sum beats DCA ~67-75% of the time) against his stated discomfort with current macro uncertainty (elections, war, politics). Reasoning for leaning accelerated despite that discomfort: (1) this is already-committed capital that's been sitting idle specifically because the original pace was too slow, so the time-in-market argument applies more cleanly than to a fresh lump-sum decision; (2) the system already has reactive protection against bad timing that doesn't depend on slow pacing -- Part 7's Drawdown Response can pause/shrink tranches if things actually deteriorate, and the 9/11/26 S&amp;P-ATH acceleration policy actually leans into weakness rather than avoiding it; (3) DCA's real value is regret minimization, not expected return, so some smoothing still makes sense given Alan's stated discomfort is about comfort, not a market-timing thesis. NEW PLAN: 4 months, 8 tranches (down from 6 months/12), twice monthly on the 7th and 22nd (not 15th/31st -- avoids month-end index/institutional rebalancing noise and stays consistent with the original plan's early-month/mid-month spirit). Target $40,000-$50,000/tranche, deliberately a loose range rather than a precise figure (a precise calc -- excess over Part 5's 15% cash ceiling, less a planned $20,000 personal withdrawal, /8 -- comes out to ~$47,517 as of 9/11/26, comfortably inside the range). Same 5-step-plus prerequisite checklist as before every tranche (now tracked in Process Checklist). Guardrail unchanged: pace never overrides the Composite&gt;=65/Tier-1-qualifying-candidate gate.</t>
  </si>
  <si>
    <t xml:space="preserve">DCA-CATCHUP-1</t>
  </si>
  <si>
    <t xml:space="preserve">Target: $40,000-$50,000 (see DCA-CATCHUP-PLAN-2). Shifted from 9/22 (the plan's regular cadence date) to 9/30 -- Alan traveling abroad last week of September, no market access. Same prerequisite checklist as prior tranches.</t>
  </si>
  <si>
    <t xml:space="preserve">DCA-CATCHUP-2</t>
  </si>
  <si>
    <t xml:space="preserve">Target: $40,000-$50,000 (see DCA-CATCHUP-PLAN-2). Only 7 days after DCA-CATCHUP-1 (which itself shifted to 9/30) -- a shorter-than-usual gap, kept as-is rather than reflowing the whole schedule, same convention as prior holiday/weekend shifts. Same prerequisite checklist as prior tranches.</t>
  </si>
  <si>
    <t xml:space="preserve">DCA-CATCHUP-3</t>
  </si>
  <si>
    <t xml:space="preserve">Target: $40,000-$50,000 (see DCA-CATCHUP-PLAN-2). Same prerequisite checklist as prior tranches.</t>
  </si>
  <si>
    <t xml:space="preserve">DCA-CATCHUP-4</t>
  </si>
  <si>
    <t xml:space="preserve">Target: $40,000-$50,000 (see DCA-CATCHUP-PLAN-2). Rescheduled from 11/7 to 11/9: 11/7/2026 is a Saturday. Same prerequisite checklist as prior tranches.</t>
  </si>
  <si>
    <t xml:space="preserve">DCA-CATCHUP-5</t>
  </si>
  <si>
    <t xml:space="preserve">Target: $40,000-$50,000 (see DCA-CATCHUP-PLAN-2). Rescheduled from 11/22 to 11/23: 11/22/2026 is a Sunday. Same prerequisite checklist as prior tranches.</t>
  </si>
  <si>
    <t xml:space="preserve">DCA-CATCHUP-6</t>
  </si>
  <si>
    <t xml:space="preserve">DCA-CATCHUP-7</t>
  </si>
  <si>
    <t xml:space="preserve">DCA-CATCHUP-8</t>
  </si>
  <si>
    <t xml:space="preserve">Target: $40,000-$50,000 (see DCA-CATCHUP-PLAN-2). Last tranche of the revised catch-up cadence -- after this, downshift to steady-state twice-monthly tranches sized as a % of portfolio, same as originally planned. Same prerequisite checklist as prior tranches.</t>
  </si>
  <si>
    <t xml:space="preserve">LIN,ET,KGS</t>
  </si>
  <si>
    <t xml:space="preserve">Started the Scoring completion queue with LIN (see scoring_completion_queue) -- refreshed Tier 1 via the auto-draft pipeline since the 8/11/26 scores were a month old. Found real deterioration: Tier 1 Wtd Avg fell from 4.5 to 3.07 (Revenue Growth Consistency 4-&gt;2, FCF Margin Trend 5-&gt;2, driven by a genuine ~0.6% 3-year revenue CAGR and FCF margin compression from a heavy CapEx cycle -- verified directly against real revenue/CFO/CapEx figures, not a data glitch). Checked ET (same 8/11 batch) for the same issue on a hunch and found the identical pattern: 4.0 -&gt; 3.07 (Revenue Growth Consistency 4-&gt;1 on a newly-negative CAGR, FCF Margin Trend 4-&gt;2). Both approved and written into Scoring at their rescored values. Alan's call for both: leave them rescored, don't advance further right now -- below the ~4.0 bar he's using for what's worth prioritizing this early. Worth rechecking DPZ, PG, and GE (same 8/11-13 batch, still fully untouched) before trusting their recorded scores -- the auto-draft pipeline matured after 8/11 (confirmed via git history the same day), so this may not be company-specific deterioration so much as the original batch having been scored with something less rigorous than what's available now. Added to Open Items.
Separately, picked 2 diversification candidates and began tracking: ET (already tracked, now rescored) and KGS (Kodiak Gas Services, Energy -- gas compression services, contract-based revenue, not upstream E&amp;P). Energy is the one sector genuinely untouched by both current holdings and the rest of the Scoring queue. KGS screened clean: Tier 1 quant = 4.0 on its 3 known indicators (Moat/Rev Visibility not yet assessed, Part 12), relative strength +78.6% over 12mo, analyst consensus 15/15 buy-equivalent, correlation vs holdings only 0.48 (vs AVUV) -- genuinely diversifying, not just a different label (same check that caught the NRG/VST correlation trap). One caution: ROIC vs WACC is negative (-2.0pp), not currently earning its cost of capital -- may be structural to compression-equipment economics, worth watching not ignoring. Added to Scoring (row 48) and Monitor &amp; Recheck Triggers (Watch List, row 48); Candidates pipeline status updated to "Ready for Tier 1".
Real bug found and fixed in passing: Scoring's Tier 1 Wtd Avg formula only handled "all 5 indicators populated" or "none" correctly -- KGS's partial state (3 of 5) exposed that missing indicators were silently treated as zero rather than excluded, which would have shown KGS failing Tier 1 at 2.57 instead of its honest 4.0. Fixed across all 45 rows, verified zero regressions on every already-complete ticker. Also fixed: extending Monitor &amp; Recheck Triggers to row 48 (for KGS) left all 35 of Current Positions' live-price lookup formulas one row short of the new boundary -- extended, verified no held position's resolved price changed.</t>
  </si>
  <si>
    <t xml:space="preserve">DPZ,PG,GE</t>
  </si>
  <si>
    <t xml:space="preserve">Rescored DPZ and PG through the current auto-draft pipeline (same treatment as LIN/ET, 9/11/26) -- both show real divergence from their 8/11/26 scores, in the same direction as LIN/ET (weaker Rev Growth Consistency and FCF Margin Trend on fresh data). DPZ Tier 1 Wtd Avg 4.86-&gt;3.93 (Rev Growth 5-&gt;2 on CAGR 2.9%/CV 1.02, FCF Margin 5-&gt;3). PG Tier 1 Wtd Avg 4.21-&gt;4.00 (Rev Growth 4-&gt;3 on CAGR 2.0%/CV 0.63; FCF Yield/Margin held). Both approved into landry_scores.json and written into Scoring at the rescored values; Alan's call: leave both parked, same as LIN/ET, below/at the ~4.0 bar. GE rescored the same way but diverged the OTHER direction -- Tier 1 Wtd Avg 3.86-&gt;4.14 (FCF Yield 3-&gt;4 on an expanding trend despite a modest 2.2% yield; Rev Growth/FCF Margin held) -- the first name in this whole batch (LIN/ET/DPZ/PG) to improve rather than deteriorate on rereview, evidence the pipeline isn't just systematically pessimistic. Given GE cleared the 4.0 bar, advanced it through full Tier 2/3: all 9 quant indicators (ROIC vs WACC, Relative Strength, Valuation Multiples, Technical Trend, Analyst Consensus, Volume &amp; Accumulation, plus the 3 Tier 1 quant ones) auto-drafted and approved. Management Quality &amp; Capital Allocation (Part 12 -- qualitative, not auto-drafted) researched via web search and approved by Alan: score 5/H, based on GE Aerospace's capital return framework (70-75% of available funds targeted via dividends+buybacks, ~90% of FCF actually returned in 2025; $4.2B buybacks + $873M dividends in H1 2026 alone under a new $20B authorization; dividend +30.6% Feb 2026; 2026 FCF guidance raised, not cut) and Larry Culp's track record (&gt;$100B debt reduction, executed the 3-way GEHC/GEV/GE-Aerospace breakup, committed through 2027). Noted but not weighted against the score: 500+ suppliers straining under backlog demand -- read as an industry-wide constraint being proactively managed, not a governance or capital-allocation flag. Result: GE Composite 84.2, STRONG BUY -- first-ever completion out of the original 5-name queue (LIN, NFLX, DPZ, PG, GE) besides the two now-parked names. NFLX remains the one name in that original 5 never touched this round.
Two real bugs found and fixed in the process, both in landry/export.py, both the same root cause as the recurring "hardcoded row bound never updated as a tab grew" class (see CLAUDE.md): (1) the Composite Score gate (Scoring!AF) considered a tier "ready" once its contribution cell was merely non-blank, but that cell goes non-blank as soon as ANY ONE of its 3-4 inputs is filled -- would have silently computed GE's Composite using 0 for Management Quality if that indicator had been written before the others. Fixed the gate to require full population of all 5/4/3 indicators per tier, tab-wide (safe/backward-compatible: only changes behavior for a genuinely-partial row, which had never existed before GE). (2) export --scores's ticker-to-row lookup (and the identical pattern for Market Data) only scanned rows 3-27, a stale bound from when the tab was smaller -- DPZ/PG/GE (rows 32/34/43) were silently skipped entirely on the first export attempt, no data written, no error. Fixed to scan the sheet's actual extent. Side effect caught and corrected: because that first (broken) export still processed the WHOLE approved-score store, not just today's changes, it re-stamped V and ET's Date Scored to today even though neither was touched -- reverted both back to their correct dates (V: 8/11/26, ET: 9/11/26) after each export run. This will recur on any future export --scores run since the CLI always passes today's date for every approved ticker in the store, not just newly-changed ones -- a real but lower-priority follow-up, logged in CLAUDE.md rather than fixed now.</t>
  </si>
  <si>
    <t xml:space="preserve">NFLX,YUM</t>
  </si>
  <si>
    <t xml:space="preserve">Closed out the original 5-name scoring completion queue (LIN, NFLX, DPZ, PG, GE) and checked one more. NFLX rechecked through the current auto-draft pipeline: Tier 1 Wtd Avg held exactly at 4.21 -- the first name in this whole exercise (LIN/ET/DPZ/PG/GE) where the fresh reread produced IDENTICAL scores to the 8/24/26 original, no deterioration and no surprise improvement. Notably, NFLX also shows a very large relative-strength gap vs SPY (-43.6% blended, -52.4% 12mo) despite stable-not-deteriorating fundamentals -- a clean real example of the divergence-direction idea discussed with Alan the same day (weak RS + stable fundamentals is the 'market hasn't caught up' case, unlike DPZ/PG where RS weakness tracked genuine fundamental decline). Since Tier 1 cleared the bar cleanly, advanced NFLX through full Tier 2/3: all 9 quant indicators approved, and Management Quality &amp; Capital Allocation (Part 12, researched via web search, approved by Alan at the same 5/H tier as GE) based on a disciplined reinvest-then-return capital framework (new $25B buyback authorization Apr 2026 on top of a Dec 2024 one; record $4.7B single-quarter repurchase in Q2 2026 alongside 12% FX-neutral revenue growth) and a stable co-CEO structure (Sarandos/content, Peters/ops) since Jan 2023 with an actual succession precedent already demonstrated (Reed Hastings's smooth transition to non-exec Chairman). Caveat noted, not weighted against the score: content spend rising ~10% in 2026, worth watching for discipline slippage but not a current issue. Result: NFLX Composite 83.8, STRONG BUY.
Also rechecked YUM (one of the 6 PENDING tickers originally excluded from this round) at Alan's direction -- 'only YUM worth a revisit at this point' among CMG/YUM/ETSY/PH/ETN. Same weakening pattern as DPZ/PG/LIN/ET: Tier 1 Wtd Avg 4.29-&gt;3.79 (FCF Yield 5-&gt;4, Revenue Growth Consistency 4-&gt;3, both losing H confidence -&gt; M on fresh data). Approved into the audit trail and written into Scoring at the rescored value; parked below the ~4.0 bar, not advanced, same treatment as the others. CMG, ETSY, PH, and ETN remain untouched -- Alan's explicit call, not an oversight; logged as Open Items #12 so it reads as a decision, not a gap.
Current state, this queue: GE and NFLX fully completed (STRONG BUY, 84.2 and 83.8). LIN, ET, DPZ, PG, and now YUM all parked below/at the ~4.0 bar on rescore. CMG, ETSY, PH, ETN deliberately not rechecked.</t>
  </si>
  <si>
    <t xml:space="preserve">V,SCORING-VERIFICATION-AUDIT</t>
  </si>
  <si>
    <t xml:space="preserve">Alan noticed YUM/LIN/DPZ all failed on verified rescore and asked whether other Darryl-list names were missed. Traced provenance via Screen_Candidates' Source column: LIN, NFLX, CMG, DPZ, ETSY, YUM, PG, ET, and V are all Darryl-sourced (PH and ETN are not, despite being in the same 'other 6 PENDING' group). Of those rechecked, 4 of 6 clearly failed (LIN, ET, DPZ, YUM), one sits exactly at the bar (PG), one held steady (NFLX) -- and GE, the sole improvement, is NOT Darryl-sourced. V (Visa, a live $18K+ STRONG BUY position bought 9/8/26) is also Darryl-sourced, also dated 8/11/26, and had never been rechecked -- rechecked it: Tier 1 Wtd Avg 4.57-&gt;3.64 (FCF Margin Trend 5-&gt;2, the 51.7% margin itself is excellent but the trend is contracting; Revenue Growth Consistency 5-&gt;4; FCF Yield 4-&gt;3). Recomputed Composite 86.4-&gt;73.4: STRONG BUY -&gt; BUY. Approved into the audit trail and written into Scoring at Alan's direction.
Root-caused how this happened, not just that it did. Checked landry_scores.json's git history: it wasn't tracked until 2026-08-18, and at that point LIN/ET/DPZ/PG/YUM/V/NFLX/GE/CMG/ETSY were ALL absent -- none of their original Tier 1 scores were ever produced by landry draft. Found the actual source: the 8/11/26 commit that added these Scoring rows also added Darryl_List_Analysis_v1.docx, a saved transcript of a conversational chat-based analysis, ticker by ticker. Read it -- it's genuinely careful work (real citations, real sector-vs-business differentiation reasoning, e.g. why ET passed and CRK/LBRT/NOV in the same GICS sector didn't), not sloppy. But it predates roic_vs_wacc even existing as a capability (added 8/17), predates the ScoreStore audit trail (added 8/18), and predates the whole propose-then-approve discipline CLAUDE.md now documents. Best read: not an error being corrected, but a fresh quarter of real data (Q2 2026 earnings, reported after 8/11 for most of these names) now baked into the rescore that simply didn't exist originally -- genuine drift, not a mistake.
V has a second wrinkle on top: its Tier 2/3 scores were never independently re-verified either. Found all 9 of its non-Tier-1-quant indicators (competitive_moat, revenue_visibility, management_quality, roic_vs_wacc, relative_strength, valuation_multiples, technical_trend, analyst_consensus, volume_accumulation) share the IDENTICAL approved_at timestamp to the second (2026-09-09T00:13:54) -- the fingerprint of a mechanical import_scores() backfill (copying whatever was already in the workbook), not real one-at-a-time review. This is the exact incident CLAUDE.md already flagged ('V, Sept 2026') but as a bookkeeping gap -- it wasn't previously understood that the underlying numbers were never actually re-derived, only notarized into the audit trail nine days after the position was bought.
Built the fix Alan asked for: a new landry audit check, scoring_verification, with two signals -- (1) any Scoring ticker with a real Tier 1 Wtd Avg but zero approved landry_scores.json entries at all (one consolidated finding, currently ~38 tickers -- most of the workbook predates this discipline, expected to shrink over time, not a one-sitting fix), and (2) 3+ indicators approved with source=manual sharing one identical timestamp (the bulk-import fingerprint). Had to restrict signal (2) to source=manual specifically after it first flagged today's own legitimate scripted approve-loops (GE/NFLX/YUM all landed multiple real quant_draft approvals in the same wall-clock second, which is fast review, not a copy) -- verified against the actual pytest suite afterward (4 pre-existing, unrelated failures found -- a stale KGS partial-Tier1 edge case, a stale equity-weight threshold, a stale performance-tab-emptiness assertion, and a data-hygiene caching test -- none caused by today's changes, logged for whenever someone works through test staleness separately). Full detail in CLAUDE.md's new 'Standing gap' section.</t>
  </si>
  <si>
    <t xml:space="preserve">NVDA,SPMO-SEQUENCING</t>
  </si>
  <si>
    <t xml:space="preserve">Started working through the held-position verification queue (largest first): NVDA rechecked. Tier 1 Wtd Avg 4.57-&gt;4.29 (FCF Yield 4-&gt;3, yield still ~1.7% but confidence eased; Revenue Growth and FCF Margin held their scores exactly with confidence easing H-&gt;M) -- much milder than the DPZ/PG/YUM/V pattern, Composite 93.2-&gt;89.2, stays STRONG BUY comfortably. Approved and written in.
The auto-draft's Rule 36 correlation check also flagged NVDA at 0.75 vs SPMO (&gt;0.70 cap) -- a portfolio-construction finding, separate from NVDA's own quality. Pulled SPMO's full row from Correlation Matrix: it's not just NVDA -- JEPQ (0.88), NVDA (0.74), and AVGO (0.73) all exceed the 0.70 cap, with TSM (0.69), KLAC (0.67), MU (0.66), VRT (0.66), ANET (0.64), and ASML (0.61) close behind. SPMO (S&amp;P 500 Momentum) is effectively a concentrated re-expression of the same AI/semiconductor momentum trade that already dominates the real stock book, not a diversifying use of dry powder.
DECISION (Alan, 9/13/26): given SPMO is already treated as temporary dry powder (see ETF-CASH-BUCKET-TODO, 8/24/26) and can be liquidated as needed, sequence it FIRST among the 10 dry-powder ETF positions when funding upcoming DCA-CATCHUP tranches -- it's the least diversifying of the group, so drawing it down first gives up the least. This is a funding-source sequencing decision, not a change to which NEW positions get bought or to Rule 36 itself. Added to Process Checklist's diversifier-headroom step across all 8 DCA-CATCHUP-N events so it's visible at the point of actually executing a tranche, not just here.</t>
  </si>
  <si>
    <t xml:space="preserve">VRTX,ANET,KLAC,CRWD,ADBE,PLD,PLTR,AVGO,ASML,TSM,VRT,MU</t>
  </si>
  <si>
    <t xml:space="preserve">Closed out the held-position verification queue (see [[held_position_verification]]) -- rechecked the remaining 12 of 14 real stock holdings (V and NVDA done earlier same day), largest-to-smallest per Alan's instruction. Refreshed only the 3 Tier 1 quant indicators per ticker (fcf_yield_trend, revenue_growth_consistency, fcf_margin_trend); Tier 2/3 left as recorded, same policy as V/NVDA.
Results (Tier 1 Wtd Avg / Composite / Decision, before -&gt; after): VRTX 3.79-&gt;3.14 / 75.6-&gt;66.6 / BUY (weaker, close to Watch List). ANET 4.57-&gt;4.29 / 85-&gt;81 / STRONG BUY holds. KLAC 3.43-&gt;3.71 / 68.6-&gt;72.6 / BUY improves. CRWD 4.00-&gt;3.50 / 70.4-&gt;63.4 / BUY -&gt; WATCH LIST (see below). ADBE unchanged on all 3 quant indicators -- zero drift, same as NFLX earlier. PLD 4.36-&gt;3.93 / 82-&gt;76 / STRONG BUY -&gt; BUY, but only Revenue Growth Consistency could be refreshed (PLD is a REIT with no standard CapEx line item -- FCF Yield and FCF Margin Trend can't be auto-drafted this way, stay at recorded values pending a real REIT-adapted reassessment). PLTR 4.00-&gt;4.07 / 75.2-&gt;76.2 / BUY holds. AVGO 4.07-&gt;3.14 / 80.8-&gt;67.8 / STRONG BUY -&gt; BUY. ASML 3.57-&gt;3.86 / 73.2-&gt;77.2 / BUY improves. TSM 4.00-&gt;4.21 / 81-&gt;84 / STRONG BUY improves despite Revenue Growth Consistency cratering (5-&gt;2) -- CAGR is fine (18.9%) but erratic quarter to quarter (CV 0.87), and FCF Yield/Margin gains more than offset it. VRT 4.36-&gt;3.93 / 82.8-&gt;76.8 / STRONG BUY -&gt; BUY. MU 3.64-&gt;3.36 / 71.8-&gt;67.8 / BUY holds. All approved into landry_scores.json and written into Scoring.
CRWD is the one that matters most: FCF Margin Trend collapsed to a 2 (margin now just 3.0%, contracting, down hard from whatever supported its original 5), and the Tier 2 draft shows ROIC at -323.7% vs WACC -- a real profitability problem, not statistical noise. First position in this whole exercise to actually cross out of BUY into WATCH LIST. Alan's read: the market is already on to this -- CRWD's price has declined significantly over the past two weeks -- so this isn't a surprise divergence to investigate, it's confirmed and deserves watching. Added to Watch List Tracker (previously empty -- first entry ever) per the tab's own Rule 31-34 mechanism: Probationary Hold, entered 9/13/26 at score 63.4, 90-day deadline 12/12/26, currently ON TRACK. Credible Remediation Plan (col H) not yet assessed -- doesn't gate the Action Status formula for Probationary Hold (only matters for Exit Review), but worth a real look before the deadline.
Second real finding, independent of SPMO: KLAC and ASML correlate 0.77 with EACH OTHER (both semiconductor-equipment makers) -- a genuine Rule 36 violation between two actual scored holdings, not a dry-powder ETF. AVGO also reconfirmed 0.73 vs SPMO (already known), and TSM sits exactly at the 0.70 boundary. Not acted on yet -- logged for whenever position-sizing/correlation gets a real look, since unlike SPMO neither KLAC nor ASML is a temporary/liquidatable position.
This closes the held-position verification queue Alan opened after noticing YUM/LIN/DPZ's pattern -- all 14 real stock holdings now have a genuine, dated Tier 1 rescore backing them (V's Tier 2/3 still flagged bulk-imported, not yet re-derived). 25 tickers remain in `landry audit`'s no_audit_trail list, all bench candidates or previously-sold positions, not held.</t>
  </si>
  <si>
    <t xml:space="preserve">RULE-33-EARLY-PARTIAL-TRIM</t>
  </si>
  <si>
    <t xml:space="preserve">New Hard Rule added to the Landry System governing document, prompted directly by CRWD's entry into Probationary Hold the same day (see Journal row 58). Alan's question: the existing Probationary Hold mechanism is all-or-nothing for 90 days -- recover to 65+ or get sold at the deadline -- with nothing in between, even for a position whose fundamentals have reconfirmed-deteriorating and whose price is already falling fast (CRWD down 10-15% over the prior two weeks). Is there a way to reduce exposure earlier without reintroducing the kind of reactive, price-driven selling the system's own Hold Through provision exists to prevent?
Pulled the exact Part 6 text from LANDRY_SYSTEM_v1-02_FINAL.docx before drafting anything, rather than work from the workbook's condensed summary -- confirmed the existing Hold Through list already protects against price alone ('Short-term price decline of 20-30% with no change in Tier 1/2 fundamentals -- this is noise'), so any new rule had to trigger on a fresh FUNDAMENTAL reconfirmation, not on the stock continuing to fall, or it would quietly undercut that existing protection.
Agreed rule (Alan's parameters): Early Partial Trim, scoped to Probationary Hold only (not Exit Review). If, before the 90-day re-score, the same Tier 1/2 indicator(s) that caused Probationary Hold entry are reconfirmed unimproved or worse by a later filing, scheduled re-score, or equivalent documented evidence, trim one-third of the share count held at entry. May recur up to twice more in the same window on further reconfirmation -- up to 3 trims total, full liquidation in the worst case, avoiding a full 90-day ride to the bottom on a name with confirmed, ongoing deterioration while still preserving the position (and any profit) if it genuinely recovers first. Alan's own framing, explicitly: this is a first pass, not a final calibration -- trim size/scope may get tightened once more positions have gone through Probationary Hold and a real pattern (not one case) suggests which metric combinations actually predict non-recovery, consistent with Part 9's existing caution against reactive rule changes after a single case.
Implemented as Rule 33 (Part 6, Hard Rules: Sell Triggers -- Valuation) -- inserted directly into the numbered, bordered Hard Rules list in LANDRY_SYSTEM_v1-02_FINAL.docx (both the Part 6 body and its restatement in the Master Rule Register), which correctly auto-renumbered the old Rule 33 ('Composite Score falls below 35...') to Rule 34 and everything auto-recalculates from there -- confirmed by rendering to PDF and inspecting the actual page, not just trusting the XML edit; first attempt used a plain paragraph and silently broke out of both the numbered list and the bordered box, caught by that same render check. Version bumped v1.02-&gt;v1.03, Hard Rule count 49-&gt;50, with a full Revision History entry following the exact precedent format of the 2026-08-25 Piotroski entry -- unlike that one, this DOES cross Part 9's Change Control threshold for a Hard Rule revision, which is why this one gets a version bump and that one didn't.
Cascaded into the workbook: Instructions tab's version/count line and RULE REFERENCE section updated (new Rule 33 quick-reference callout added). Watch List Tracker gets a new 'Trims Taken (0-3, Rule 33)' column (table extended to A2:M22) so this is tracked the same auditable way everything else on that tab is -- not a formula-driven auto-check like the 90-day deadline (a 'did the fundamentals reconfirm' judgment can't be a spreadsheet formula the way date arithmetic can), but a visible, standing record. CRWD's row: Trims Taken=0 (today's Probationary Hold entry does not itself count as a trim event -- only a LATER reconfirmation does), Remediation Plan Notes updated to flag that Rule 33 now applies pending the next real data point.</t>
  </si>
  <si>
    <t xml:space="preserve">PYPL,XRAY,GXO</t>
  </si>
  <si>
    <t xml:space="preserve">Screened 3 more Darryl-list candidates, one from each of the three sectors that had never been touched at all (Financial Services, Healthcare, Industrials) -- confirmed via the Darryl_List_Candidates ranking tab that none of the three had even a coarse prior verdict. PYPL is the only other Financial Services name on the list besides V (already held); flagged the payments-on-payments overlap before screening, but correlation came back clean (max 0.39 vs any current holding, so vs V specifically is even lower) -- different business models (card network vs. digital wallet) apparently don't move together much.
Initial quant screen: PYPL clears the Tier 1 floor comfortably on the 3 quant indicators alone (FCF Yield 5, Rev Growth 3, FCF Margin 3, quant-only ~3.89) -- strong FCF yield (9.9%, expanding), solid ROIC (25.2% vs 9.8% WACC), reasonable valuation (PEG 0.95). XRAY fails decisively (quant-only ~1.67: revenue actually shrinking at -2.1% CAGR, FCF margin just 1.9% and contracting, ROIC negative). GXO fails too (quant-only ~2.67: FCF margin near-zero at 0.5% and contracting, weak ROIC 2.3% vs 6.3% WACC -- no sector adaptation exists for asset-light 3PL margin structure, so it's scored on the same terms as everything else). Both rejected per Part 1.4 (Tier 1 below 3.0, stop and reject), same treatment as CRK/LBRT/NOV in the original Darryl forays -- no further research warranted.
PYPL's own picture was more complicated than the quant numbers alone suggested. Researched why analyst consensus was so weak (16% buy-equivalent) and relative strength so negative (-36% over 12mo) before doing Moat/Revenue Visibility research -- found PayPal is an ACTIVE ACQUISITION TARGET: Stripe and Advent International made a joint $60.50/share offer (~$53B, a 28% premium to pre-offer price) in July 2026, following an earlier approach in April, confirmed across Reuters/CNBC/WSJ. As of the most recent reporting, PayPal hasn't responded and talks are ongoing.
DECISION (Alan, 9/13/26): drop PYPL for now, not scored further. Rationale: an active M&amp;A target is out of scope for this system regardless of how the fundamentals look -- Part 1.3 explicitly excludes sub-12-month time horizons, and a stock trading on deal speculation has its near-term price driven by deal probability and terms, not the Tier 1-3 business-quality signals this framework measures. Current valuation/technical/relative-strength readings are likely deal-distorted rather than clean fundamental signals -- the moat-erosion narrative that likely contributed to PayPal becoming a target in the first place (Stripe growing TPV 3-4x faster, Apple Pay/Google Pay checkout pressure) may be real, but it can't be cleanly separated from deal dynamics right now. Revisit as a fresh candidate only after the situation resolves (deal completes, falls through, or goes stale) -- not before.
All 3 tickers' pending drafts formally rejected in landry_scores.json with documented reasons (not left in limbo). None of the 3 ever touched the Scoring tab -- pure screening exercise, no workbook cleanup needed. Sector coverage note: Financial Services (2 names total, both now resolved: V held, PYPL dropped for M&amp;A), Healthcare and Industrials both have several untouched names left if either sector gets revisited (Healthcare: ABT, AZN, BAX, BSX, ICLR, NTRA, PFE, UNH, VEEV; Industrials: BE, MIR, QXO, SMR, SUNB, SWK, UPS -- note BE and SMR were already flagged in the original Darryl analysis as secretly AI-datacenter-power plays despite the Industrials label, worth deprioritizing if Industrials comes up again).</t>
  </si>
  <si>
    <t xml:space="preserve">ABT,SLB,CCI,SCORING-EXPORT-BUGS</t>
  </si>
  <si>
    <t xml:space="preserve">Continued the Darryl-list screening round (2nd batch of 3 after PYPL/XRAY/GXO): one from each of the most underrepresented sectors -- Real Estate (CCI), Healthcare (ABT), Energy (SLB). SLB and ABT both cleared the Tier 1 floor and went through full research to Composite. CCI's headline Revenue Growth Consistency (-15.2% CAGR) turned out to be a mix of a deliberate fiber/small-cell divestiture (closed May 2026, $8.4B to Zayo/Arium) AND genuine unresolved litigation -- DISH allegedly defaulted on tower lease payments, Crown Castle terminated and is suing for over $3.5B, DISH counters with a force majeure claim already through an appeals court. A tower REIT's whole thesis depends on durable, visible lease revenue; this is live, unresolved uncertainty on exactly that, not an artifact more research would resolve. Rejected rather than scored further.
SLB: Moat=4 (undisputed #1 in oilfield services, $35.9B revenue ~$14B ahead of Halliburton; Delfi/Lumi digital platforms, ~30% share in drilling equipment; Digital segment ARR &gt;$1B, +15% YoY, 21% margin -- highest-margin segment in the company). Revenue Visibility=3 (capex-cycle-driven core, partially offset by growing Digital ARR and offshore backlogs). Management Quality=4 (3.5% dividend increase for 2026, &gt;$4B targeted shareholder returns, stable CEO tenure since 2019). Result: Composite 72.4, BUY. Scoring row 50.
ABT: Moat=5 (FreeStyle Libre ~40% global CGM share, $5.3B+ annual sales, 6M+ users -- genuine recurring consumables model with real switching costs; June 2026 Dexcom cross-licensing settlement removed a real patent-litigation overhang for a decade; diversified across 4 segments, 60% international revenue). Revenue Visibility=4 (recurring consumables plus diversification). Management Quality=5 (Dividend King, 54 consecutive years of increases, ~60% FCF payout ratio leaving real room, clearly articulated capital priorities). Note: raw Rev Growth Consistency score (2) is mechanically correct but driven by a 2023 COVID-testing-revenue rolloff inside the 3-year CAGR/CV window -- recent quarters (2025-2026) show clean, steady growth ($10.36B-&gt;$11.14B-&gt;$11.37B-&gt;$11.46B-&gt;$11.16B); left the raw score as computed rather than override it, flagged for context. Result: Composite 70.8, BUY. Scoring row 49.
Alan asked to validate/verify everything into and out of the Scoring tab while placing these two new tickers -- turned up four real, previously-unknown or unfixed bugs, not just the two new scores:
(1) landry/export.py's new-ticker placement logic treated the Scoring tab's SUBTOTAL ticker-count footer as if it were a real ticker (its column-A value is a bare number under data_only=True, but the formula TEXT ITSELF -- still a string -- under data_only=False, which export_workbook must use to avoid wiping every other formula in the workbook on save). This corrupted where ABT got placed (row 63, past the footer, no Company name) and silently dropped SLB entirely -- a second, independent bug in the same block only ever allowed exactly one new ticker to be appended per export call. Both fixed: excluded non-string AND formula-text values from the row-detection scan, and let the free-row counter increment per new ticker instead of capping at one.
(2) A genuine openpyxl gotcha cost real time diagnosing this: ws.cell(row=r, column=c, value=None) does NOT clear an existing cell -- the constructor only assigns a value when one is truthy/not-None, so this call is a silent no-op on a cell that already has content. Every 'clear' attempt using this pattern did nothing; the fix is explicit attribute assignment (cell = ws.cell(row, column); cell.value = None).
(3) landry/xlsx_io.py's read_scoring_tab (used by both `landry pending`/scoring and export.py's own import_scores) had NO max_row bound at all on main and only checked bare truthiness of column A -- meaning it was ALSO silently reading the SUBTOTAL footer as a real 49th ticker (literally named after whatever the current visible count was) on every single call, this whole session and presumably long before it. This is the third occurrence of the unbounded-reader-treats-a-footer-as-data bug class in this codebase's history -- CLAUDE.md already documented a max_row=60 fix for this exact function, but it was made on the abandoned db-migration-prep branch and never ported to main. Fixed properly this time with a content-based guard (exclude non-string values) rather than a hardcoded row bound, so it can't go stale as the tab grows the way a magic-number bound already has three times.
(4) Dashboard's row-by-row mirror formulas (=IF(Scoring!A47="","",Scoring!A47) pattern) only extended through Scoring row 47 (NFLX) -- KGS (added 9/11, row 48) was ALREADY invisible on Dashboard before today, and ABT/SLB would have been too. Extended Dashboard's mirror rows through Scoring row 50, moved its note and SUBTOTAL footer down to match, extended DashboardTable's Table ref (A1:J46-&gt;A1:J49, caught by `landry audit`'s table_ref check), and corrected Schema Reference's now-stale Dashboard row-range entry (also caught by audit). Verified rows 47-49 aren't accidentally row-hidden (unlike the 19 Rule-3-Avoid rows that are deliberately hidden elsewhere on that tab).
Full pytest suite run twice during this process: same 4 pre-existing, unrelated stale-test failures throughout, plus one NEW expected failure (test_import_seeds_store_and_reproduces_composite hardcodes NVDA's Composite as 93.2, its value before today's legitimate rescore to 89.2 -- test drift from real work, not a bug). None of the four fixes above caused any new failure. `landry audit` clean at the usual 2-pre-existing-plus-scoring-verification-baseline throughout, confirming CANDIDATES LIST.xlsx and the workbook itself both correctly reflect ABT/SLB/CCI's outcomes.</t>
  </si>
  <si>
    <t xml:space="preserve">DCA-CATCHUP-1-PREP</t>
  </si>
  <si>
    <t xml:space="preserve">Alan back from travel, ran the DCA-CATCHUP-1 prerequisite checklist a day early (due 9/30, he wanted to get ahead of it). Environment note: system Python was blocked by an unaccepted Xcode license (likely an OS/Xcode update during his travel-prep device refresh) -- fixed with a dedicated venv (/Users/Alan/.venvs/stock_picker), no action needed from Alan. See CLAUDE.md.
REAL CORRECTION: the '$1.55M portfolio, ETF sleeve = 21.7%' figures quoted to Alan on 9/13 (during the still-paused ETF-sleeve design conversation) were wrong -- an ad hoc inline script summed Current Positions market values without excluding zero-quantity legacy rows, landing at exactly double the real figure. Confirmed via the actual landry.xlsx_io.total_portfolio_value() library function: true total is $776,662.72, consistent with $751,223 on 9/7 plus Tranche 2's ~$26K and normal drift. The 10-ETF sleeve ($337,606) is therefore ~43.5% of the portfolio, not 21.7% -- a materially different starting point whenever the ETF-sleeve conversation resumes. Also found: Current Positions' own Price column can't be refreshed by this tooling at all (depends on an Excel-only STOCKHISTORY formula) -- Market Data (yfinance-refreshed) is the reliable source going forward. Both logged in CLAUDE.md.
Prerequisite checklist results: portfolio at a new high (~$777K vs $751K prior peak) -&gt; Drawdown regime Normal, full tranche proceeds. S&amp;P 500 -1.64% from ATH -&gt; baseline tier, no acceleration multiplier. Target stays $40,000-$50,000 per DCA-CATCHUP-PLAN-2.
NEW finding: landry refresh's Rule 36 cluster check flagged AVUV/DVY/SCHD/VFLO/VYM (5 of the 10 ETFs) at 20.76% aggregate exposure, over the docx's own 20% cluster cap (pairwise correlations 0.73-0.89 -- DVY/SCHD/VYM are the tightest at 0.86-0.89, essentially redundant large-cap dividend funds; AVUV/VFLO are more loosely tied at 0.73-0.79). Per the rule's own text this is a risk-review trigger requiring documentation of the shared risk driver (a common Value-factor tilt) and written approval to continue above 20%, not an automatic forced sale. Not yet resolved -- tied to the still-paused ETF-sleeve conversation. Logged as Open Items #13.
Diversifier headroom check: Alan's own read is that VRTX, PLD, AND ADBE (all three of the usual diversifier trio) have shown significant weakness over the past few weeks. Confirmed for VRTX via a fresh (unapproved) draft peek: FCF Yield and FCF Margin both now drafting lower (contracting on both), a real change from the 9/13 recheck -- PLD and ADBE not independently re-verified today, only Alan's observation. Given this, pulled the full field of qualified (Composite&gt;=65), not-yet-held candidates instead: GE (84.2, STRONG BUY) and NFLX (83.8, STRONG BUY) both re-verified fresh today with ZERO Tier 1 drift since 9/13 (genuinely stable), clean correlation (max 0.61 and 0.41 respectively, both vs SPMO), and zero current sector exposure (Industrials, Communication Services) -- COST (77.4) was available but its 8/11 score predates the pipeline maturity that caused ~70% of that same batch to fail on recheck, so not trusted without a fresh look; SLB/ABT (72.4, 70.8) are solid but lower-tier than GE/NFLX.
DECISION: split the tranche half-and-half between GE (~60-75sh at $334.91) and NFLX (~260-325sh at $76.77), roughly $20-25K each. Funding: SPMO first per the standing 9/13 sequencing decision (covers roughly half-to-two-thirds on its own, $26,491 combined); for the remainder, suggested drawing from DVY/SCHD/VYM specifically (the most redundant sub-cluster) as a way to also chip into the 20.76% cluster-cap breach above -- not yet confirmed by Alan, his call when he executes. Alan will execute at the broker 9/30 and report back actual fills for recording.
Not yet done, flagged for follow-up: a formal (approved, not just drafted) recheck of PLD and ADBE to match VRTX's fresh data point; VRTX/PLD/ADBE weren't touched beyond the one VRTX peek. See Open Items.</t>
  </si>
  <si>
    <t xml:space="preserve">PROCESS-CHECKLIST-FRESH-CHECK-STEP</t>
  </si>
  <si>
    <t xml:space="preserve">Agreed with Alan: starting with DCA-CATCHUP-2 (10/7, not retroactive to -1 which is already past prep), add a standing prep step -- before finalizing a tranche's buy target(s), run a fresh landry draft Tier 1 reread for every candidate under consideration, not just the usual diversifier names, and deprioritize anything showing new price-trend weakness or a stale (30+ day, or pre-8/18/26) Date Scored. Directly prompted by today's DCA-CATCHUP-1 prep (see row 62): VRTX/PLD/ADBE, the default trio, had all weakened since 9/13 with nothing flagging it, while GE/NFLX turned out stronger on a fresh check. Alan's own note: this kind of staleness tracking is exactly the sort of thing a real database would do more systematically -- not a request to resume DB migration work (still paused per Alan's standing instruction), just an observation for whenever that resumes.
Rebuilt Process Checklist to add this as a new step on DCA-CATCHUP-2 through -8 (each now 10 steps, was 9) -- DCA-CATCHUP-1 unchanged at 9. No Done=Y rows existed anywhere in the tab, so a full rebuild was safe (no completion data at risk). Schema Reference's row-range note updated to match (A4:F106, was A4:F99).</t>
  </si>
  <si>
    <t xml:space="preserve">DCA-CATCHUP-1 executed. GE (GE Aerospace) opened new, 75sh @ $314.71 ($23,603.25, JT ULTRA/Fidelity). NFLX (Netflix) opened new, 300sh @ $69.795 ($20,938.50, JT ULTRA/Fidelity). Total tranche $44,541.75, within the $40,000-$50,000 target (see DCA-CATCHUP-PLAN-2, 9/11/26) -- both names entered per the 9/29/26 prep decision (Composite 84.2 and 83.8, both STRONG BUY, both reconfirmed with zero Tier 1 drift on fresh data after VRTX/PLD/ADBE -- the usual diversifier trio -- all showed unflagged weakness). Both fill prices came in below the 9/29 estimate (GE $334.91-&gt;$314.71, NFLX $76.77-&gt;$69.795), a real ~6-9% overnight/next-day decline in both names, not a data error -- more shares bought for the same dollar target as a result. Recorded in Current Positions (rows 22-23, JT ULTRA block extended from 19 to 21 positions -- required inserting 2 rows and fixing every dependent subtotal/percentage formula across both the JT ULTRA and Chase blocks, since the block boundaries shifted; verified with a full self-reference scan after, one narrow collision caught and fixed where a row's old position number happened to equal the Chase block's own start boundary), Performance Tracking (new rows 7-8), and Monitor &amp; Recheck Triggers (Category Watch List -&gt; Owned for both). Funding: drawn from Fidelity cash, not an ETF sale -- FZFXX fully drained ($23, a residual balance) plus $44,518.75 from FZDXX ($137,296.09 -&gt; $92,777.34), covering the $44,541.75 tranche exactly. Portfolio total unchanged at $776,662.72 (a pure cash-to-equity reallocation) -- logged in Portfolio Drawdown Log row 5, still a new high vs. the $751,223 prior peak, regime Normal.</t>
  </si>
  <si>
    <t xml:space="preserve">VRTX,PLD,ADBE</t>
  </si>
  <si>
    <t xml:space="preserve">Fresh Tier 1 reconfirmation on VRTX/PLD/ADBE, following Alan's 9/29 observation that all three showed recent price-trend weakness. Result: zero drift on any of the three since the 9/13 recheck -- VRTX stays 3.14/66.6 BUY, PLD stays 3.93/76 BUY (still only revenue_growth_consistency auto-draftable, REIT limitation), ADBE stays 4.57/85.8 STRONG BUY. All reconfirmed and re-dated 9/30/26.
The actual picture is more specific than uniform weakness: ADBE is the real divergence case -- fundamentals unchanged across two checks now, but relative strength vs SPY has gotten worse (-30.1% on 9/13 -&gt; -35.6% now) and technicals are bearish. VRTX and PLD don't show much weakness on this fresh look at all -- VRTX's relative strength actually improved (+9.1%, bullish technicals), PLD is only mildly negative (-7.9%) with bullish technicals. Both are sitting at the lower BUY tier they already dropped to on 9/13, not declining further.</t>
  </si>
  <si>
    <t xml:space="preserve">Deep dive into ADBE's Moat Quality (currently 4/M) at Alan's request, prompted by the 9/30 reconfirmation finding zero Tier 1 drift alongside worsening relative strength (-35.6% vs SPY) -- "everything looks good, but it continues deteriorating; something we're not picking up." Research found a genuine leading-vs-trailing divergence: trailing financials (FCF Yield, Revenue Growth, Margin -- all Tier 1) still strong, but net-new-ARR is decelerating and RPO has declined sequentially, both leading indicators Tier 1's trailing-statement metrics can't see. Underlying narrative: competitive share pressure from Canva/Figma's freemium tier. Walked the system's own Moat Quality rubric (Part 2/3 -- 2-of-4 evidence gate for a 4/5 score: pricing power above CPI w/o volume loss, gross margin vs. industry median [confidence-tag only, doesn't count toward the gate], customer retention/switching-cost evidence, 3yr+ market share trend) together with Alan: only 1 of 3 substantive tests held up clearly, suggesting a possible drop to 3.
Alan's countervailing read: "nothing firsthand -- more a Wall Street narrative getting ahead of the real-world usage picture," and asked for a live chart read (Fidelity, authenticated, via Claude in Chrome) as a second data point. Chart (6-month daily) showed: price rolled over hard from ~$280-290 highs to an intraday low of $231.95 today before bouncing +3.11% to $240.34; Performance Index vs. SPY has run persistently negative for nearly the entire 6-month window (only a brief green patch near the highs that faded before the breakdown) -- a sustained-underperformance signature more consistent with a real repricing than a single-headline overreaction; MACD confirms a clean bearish crossover as price peaked in late August, bottoming most negative ~9/8-9/14 (Alan's own read, confirmed on zoom), now curling back up alongside today's bounce -- real dive, genuine but very early turn.
Decision (Alan's call): HOLD Moat Quality at 4/M -- no change. One day's bounce and an early MACD curl aren't evidence the system should act on absent something more concrete, and technicals can't independently adjudicate whether the ARR/RPO concern is real deterioration or overdone narrative -- they only confirm the market has genuinely committed to the move, not why. Flagged as an open watch item (Open Items #14) tied specifically to ADBE's next earnings report -- the first point real ARR/RPO data (not price action) would confirm or reverse the leading-indicator concern. Alan: stick with the time-tested rules/process absent genuine new evidence, "in spite of a little heartburn now and then."</t>
  </si>
  <si>
    <t xml:space="preserve">New standing practice: Fidelity info-tab scan added to Process Checklist, prompted by the ADBE Moat Quality deep-dive (row 66) and Open Items #14. For held positions under quarterly review or fundamental refresh (QTR-REVIEW-1/2, FUND-REFRESH-1/2), and for buy candidates during DCA tranche prep (DCA-CATCHUP-2 through -8, paired with the existing fresh-Tier-1-reread step), scan Fidelity's Overview, Dividends &amp; Earnings, Analyst Ratings, and Statistics/Comparisons tabs (via Claude in Chrome, Alan's authenticated session) -- confirmed earnings date, valuation-vs-industry (P/E, EPS growth), analyst sentiment split, multi-period price performance. This surfaces real context the yfinance-backed Tier 1 pipeline doesn't: on ADBE specifically it showed a P/E at roughly 1/4 the software industry average, EPS growth meaningfully lagging peers, a genuinely split (not uniformly bearish) analyst panel, and a multi-year price decline (-53% 2yr, -58% 5yr) -- none of which the existing pipeline would have caught.
DCA-CATCHUP-1 deliberately excluded (already executed/closed 9/30/26, same precedent as the 9/29 fresh-check-step addition skipping -1). Alan's explicit call: scope of application (which events, which tickers) is still being proven out over the next use or two -- default inclusive rather than narrow in the meantime, on the assumption the scan only adds/verifies signal rather than costing more than it's worth. Revisit the exact trigger list (e.g. whether to extend to Watch List Tracker entries specifically, or narrow back down) once there's a real pattern from 2-3 more uses.</t>
  </si>
  <si>
    <t xml:space="preserve">Built a dedicated Fidelity chart template, 'Landry_System_v1', set as the account default and favorited -- complements the info-tab scan practice logged above (row 67). Contains exactly 5 indicators: Volume, Supertrend (7,3), Time Fcst (14,C), Perf Idx (120,SPY), and MACD (12,26,9) -- built from Fidelity's own 'KEY INDICATORS_1' default plus MACD/Time Forecast (Alan's own regular picks) and Perf Idx vs SPY (proved genuinely useful in the ADBE Moat Quality read, row 66), with the more obscure/lower-value ones (W Acc Dist, Acc Swing, HHV, Darvas, PSY) dropped. Now loads automatically whenever a chart is pulled up in Fidelity, rather than the prior undifferentiated 'whatever Fidelity defaults to.'
Tried to automate the indicator cleanup via Claude in Chrome and hit real, repeated UI instability on this specific chart widget -- coordinate- and even element-reference-based clicks intermittently landed on the wrong target or triggered stray navigation (harmless -- menu opens, no trades/submissions -- but a real risk on a live account), most likely tied to the page's live/streaming quote re-rendering between actions. Stopped rather than keep guessing at a live account, and Alan completed the actual toggle-off + delete (two-step: toggle off, then the X becomes live) himself. Verified the final state directly afterward: exactly the 5 target indicators present and on, all 5 unwanted ones fully removed, template confirmed as both default (loads on fresh navigation) and favorited (starred in the saved-templates list).</t>
  </si>
  <si>
    <t xml:space="preserve">UNH,ACN</t>
  </si>
  <si>
    <t xml:space="preserve">Screened UNH and ACN off Darryl's list (2 this round, not the usual 3 -- explicitly to exercise the new Fidelity info-tab scan practice, added earlier today, on live cases). Both diverged sharply from their quant screen in opposite directions -- a good test of exactly what the new practice is for.
UNH: quant screen ~3.33 (no severe outlier, clears the floor). Fidelity scan surfaced a genuinely Bearish Equity Summary Score (1.5/10) and active litigation -- a judge denied in part UnitedHealth's motion to dismiss a CalPERS suit the same day. TTM EPS -32.67% vs industry +8.94% (real trailing decline), though the most recent single quarter beat and grew faster than industry (+61.5% vs +51.1%) -- a possible stabilization signal. None of the litigation or sentiment context would have shown up in the quant draft. Alan's call: flag to score further only after the situation settles -- not a floor-failure rejection like XRAY/GXO/CCI, just paused pending a clearer CalPERS resolution or the 10/13/26 Q3 print. Logged as Open Items #15.
ACN: quant screen ~2.875 (marginal, dragged down almost entirely by relative_strength=1, -34.7% blended vs SPY; otherwise fine -- fcf_yield 4, valuation 4 discount). Fidelity scan shows the opposite sentiment: Very Bullish Equity Summary Score (9.4/10), positive news flow, P/E ~40% of the IT-services industry average. GAAP EPS (TTM) and P/E both show '--', likely a large one-time charge distorting GAAP net income (adjusted quarterly EPS looks normal, consistent beats). Reports Q4 earnings 10/1/26 -- the very next trading day. Alan's call: hold open, no score or further screening until after that print. Logged as Open Items #16.
CANDIDATES LIST.xlsx Screen_Candidates tab updated for both (Status: 'Watch - Pending Litigation' for UNH, 'Watch - Pending Earnings' for ACN, both new status values -- no data validation on that column, confirmed before using them).</t>
  </si>
  <si>
    <t xml:space="preserve">SPOT,PFE,UPS</t>
  </si>
  <si>
    <t xml:space="preserve">Screened SPOT, PFE, and UPS off Darryl's list (last 3 before wrapping up for the day). Mixed outcome:
SPOT: quant screen ~3.67, strong across the board (FCF margin expanding, ROIC 44.6% vs WACC 11.1%, cheap valuation) with one severe outlier -- relative_strength=1, -29.7% blended vs SPY -- the same fundamentals-vs-price-action divergence pattern as ACN/ADBE/UNH this session. Ran the Fidelity scan on it specifically given that pattern. Unlike the other three, it reinforced the quant read rather than undercutting it: Bullish 7.2/10 consensus, zero Sell ratings across 6 firms, Evercore ISI raised its target to $700 on 9/29, short interest declining. The price weakness reads as giving back part of a large multi-year run (+32% 2yr, +121% 5yr) after a Q2 EPS miss, not a structural problem -- a genuinely different shape than ADBE's multi-year decline. Cleared to Ready for Tier 1 (full Tier 1-3 scoring is a separate pass).
PFE and UPS: both decisive floor failures, same territory as GXO. PFE has two indicators at the literal floor -- negative revenue CAGR (-14.8%) and ROIC actually below its own cost of capital (value-destroying, not just low). UPS also has two at the floor -- negative revenue CAGR (-4.0%) and broadly negative technicals across the board. Both rejected; neither warranted a Fidelity scan given how concrete and fundamental (not data-quality-artifact) the problems are.
CANDIDATES LIST.xlsx Screen_Candidates tab updated for all three. 17 Darryl names remain unscreened (20 before this round, minus these 3), plus UNH and ACN still sitting at Watch status from earlier today.</t>
  </si>
  <si>
    <t xml:space="preserve">NFLX deep-dive (prompted by Alan noticing a substantial decline the day after purchase, 9/30-&gt;10/1) and the new Hard Rule it produced.
Verified nothing was actually missed: relative_strength was explicitly scored 1 (the literal floor) and approved by Alan on 9/13, rationale on record as 'blended vs SPY -43.6% (6mo -34.8%, 12mo -52.4%)'. The Fidelity chart (Landry_System_v1 template) confirmed it -- Supertrend bearish for most of the past 6 months, MACD rolling into a fresh bearish crossover right at the purchase window. Today's specific move has a real catalyst too: Netflix's own CEO said on record that growth is 'not good enough' (same morning Guggenheim reaffirmed Buy, raised target to $80). Equity Summary Score Neutral (6/10), not bearish. Position down $409.50 (-1.96%) so far -- real but modest.
The actual gap: Rules 1-4 (Part 3) only ever scan the five Tier 1 columns. Relative Strength is Tier 2 (3% composite weight) -- a literal 1 there cannot trigger any existing hard rule and cannot meaningfully move an 83.8 Composite built on five Tier 1 scores of 4-5. Checked the actual docx text (not just the implementation-plan summary): Rules 1-4 are explicitly, deliberately Tier-1-scoped by their own wording, not a bug -- so this needed a genuinely new Hard Rule, not a formula tweak to an existing one, per Part 9's Change Control process.
Added Rule 5 (Part 3), Technical/Momentum Floor Review: any Relative Strength or Technical Trend indicator scored at 1 requires mandatory qualitative review before relying on a Buy/Strong Buy classification, new entry or existing holding alike. Scoped to just these two indicators (not all Tier 2/3) -- Valuation Multiples also showed literal-1 scores in the same dry-run (MU, ANET, CRWD, COST) but that's already governed by the existing Implied-Return Bear Case &gt;=0% gate, so including it would duplicate an existing safeguard rather than close a real gap. Dry-run also flagged ADBE (STRONG BUY, held) and ABT (BUY) for the same reason as NFLX.
Docx version bump: LANDRY_SYSTEM_v1-02_FINAL.docx -&gt; LANDRY_SYSTEM_v1-04_FINAL.docx (v1.04, 51 Hard Rules; v1.03 had been the current content version since 9/13 but the filename itself was never updated off v1-02 -- fixed in the same pass, per Alan noticing the drift). Rendered to PDF and verified visually, not just via the XML validator.
Significant side effect, found only by rendering: Hard Rule numbering is a single global auto-incrementing field spanning the whole docx. Inserting the new rule into Part 3 auto-numbered it as Rule 5, cascading every later rule's number by +1 -- Early Partial Trim 33-&gt;34, Correlation Cap 36-&gt;38, Portfolio Drawdown Response 37-&gt;39, Entry Checklist's Rules 5-13-&gt;6-14. Also surfaced that this exact problem already existed, unfixed, since Rule 33's own insertion on 9/13 -- the workbook's Instructions/Action Items quick-reference cheat sheet had been silently citing stale Rule 36/37 for weeks. Full sweep done this pass: the docx itself (Index + RULE REFERENCE section), and ~30 live workbook cells across Instructions, Action Items, Price History, Watch List Tracker, Entry Checklist (9 column headers), Correlation Matrix, Implied-Return Calculator, Process Checklist (8 rows), Open Items, and Schema Reference. Old historical Journal entries citing a rule by the number it had at the time they were written were deliberately left alone, same aging principle as everything else in this tab. Also fixed three long-stale LANDRY_SYSTEM_v1-01_final.docx filename references (README.md, LANDRY_IMPLEMENTATION_PLAN.md, landry/__init__.py) that predated even the v1-02 rename and had never been caught.
Alan raised, not yet decided: recalibrating to a decimal sub-rule scheme (e.g. Rule 2.1, 2.2) for new rules that elaborate an existing one, specifically to avoid this cascade recurring. Tonight's rule stays on plain integer numbering; the scheme question is deferred to its own discussion.</t>
  </si>
  <si>
    <t xml:space="preserve">Resumed the db-migration-prep re-validation (per the 9/30 plan: re-run python -m landry.migrate_to_db against main's current workbook before any other DB design work). Found a real, consequential data bug, not just a migration-script issue.
Price History had two rows both dated 9/4/26 -- row 158 (correct) and row 163. Row 163's ADBE/ANET/ASML matched row 158 exactly (stale carry-forward), but from AVGO onward the values looked column-shifted relative to row 158 (e.g. row 163's AVUV value equaled row 158's CRWD value), not a second legitimate week of data. Alan's read: almost certainly a leftover artifact from the original 3-year historical price migration he did by hand, possibly mis-corrected at some point since -- exact mechanism not reconstructable, not worth chasing further.
This wasn't inert: Returns (Calc) row 162 actively computes off Price History rows 162-&gt;163 (confirmed by reading the live formula), feeding into Correlation Matrix and the Rule 38 compliance check. Fixed expediently per Alan's direction -- cleared row 163's cells entirely rather than trying to reconstruct what it 'should' have been. Zero formula rewrites needed: Returns (Calc)'s formulas already wrap every Price History reference in ISNUMBER checks, so a blank row 163 correctly computes as blank rather than erroring, and the tab's own week-count footer (Price History!A165, =COUNT(A3:A163)) self-corrected from 161 to 160 with no manual fix -- already matching Schema Reference's existing 'Rows 3-162' documentation, which (unusually for this project) was already correct and didn't need updating.
Also fixed the code-level bug this surfaced: landry/xlsx_io.py's read_price_history (db-migration-prep branch) had no row bound at all and choked on the tab's 'NN Weeks' footer row -- the fifth occurrence of the same unbounded-reader-treats-a-footer-as-data class already hit in read_market_data, read_performance_tracking, read_entry_checklist, read_monitor_notes, and read_scoring_tab. Fixed with a content-based guard (real rows have a datetime in col A; the footer has a bare int) rather than a hardcoded max_row, consistent with how the others were fixed for real. Full migration re-run clean afterward: 48 tickers, 3,190 price_history rows, matches expectations.
DB sequencing decision (C-only vs. minimal-B) and Turso provisioning are still open -- this pass was explicitly just the re-validation step, not the cutover conversation.</t>
  </si>
  <si>
    <t xml:space="preserve">AZN,OKE,INTU</t>
  </si>
  <si>
    <t xml:space="preserve">Screened AZN, OKE, and INTU off Darryl's list to close out the day (17 remaining before this round, 14 after).
OKE: clean Rule 3 auto-Avoid -- two Tier 1 indicators at 2.0 (revenue growth consistency, inconsistent despite a decent headline CAGR; FCF margin trend, genuinely contracting). A real, rule-driven floor failure, same territory as GXO/PFE/UPS. No Fidelity scan needed.
AZN and INTU both triggered the new Rule 5 (Technical/Momentum Floor Review, added yesterday) -- the first live candidates to hit it since it was created, not a held position or an existing score like ADBE/NFLX. AZN: relative_strength=1 (-29.0% blended vs SPY) against otherwise solid fundamentals. INTU: relative_strength=1 AND technical_trend=1 simultaneously -- the first candidate to trip both Rule 5 indicators at once -- against genuinely excellent fundamentals (FCF yield 5, FCF margin 5, valuation 5, ROIC 5).
Pulled the Fidelity review for both, but the session logged out partway through (not a caching glitch this time -- a real session expiry) and wasn't re-authenticated, since that's Alan's login, not something to do unprompted. Equity Summary Score and Analyst Ratings weren't available for either as a result; price history, news, and earnings dates still were.
What that did surface: AZN's weakness looks genuinely milder on inspection -- still up +5.48% absolute over 1yr, badly lagging SPY rather than collapsing outright, with the real decline concentrated in the last two quarters (-16.83% 3mo, -20.04% 6mo) alongside a real sector headwind (weight-loss-drug competition heating up) and at least one offsetting positive analyst take (UBS on the Summit Therapeutics deal). INTU is a different order of concern entirely -- not a recent pullback, a sustained multi-year decline (YTD -57.31%, 1yr -58.59%, 2yr -54.46%, 5yr -47.59%), sitting just above its 52-week low against a high nearly 2.5x the current price, with a P/E of only 16.71 despite the pristine quant scores. The most severe fundamentals-vs-price divergence found all engagement -- more alarming than ADBE, NFLX, ACN, or SPOT, and explicitly not cleared the way SPOT was. Both held at Watch pending a fuller review once full Fidelity access is back. CANDIDATES LIST.xlsx Screen_Candidates updated for all three; Open Items #17 (AZN) and #18 (INTU) opened.</t>
  </si>
  <si>
    <t xml:space="preserve">AZN,INTU</t>
  </si>
  <si>
    <t xml:space="preserve">Follow-up to row 73: Alan logged back in (Fidelity's own 15-min post-close idle logout, not a bug) -- completed the AZN/INTU reviews that were partial.
AZN: confirmed it simply has no Equity Summary Score / analyst coverage on Fidelity at all -- not a gap from the earlier logout, a real absence of coverage for this ticker. Nothing changes from the partial read; held at Watch.
INTU: Equity Summary Score is a decisive Bearish 1.6/10, not neutral -- individual firms split 2 Sell/3 Neutral/3 Buy but the aggregate is clearly bearish. This confirms rather than just leaves unexplained the severe multi-year price divergence already found -- professional sentiment agreeing with the price action is materially stronger signal than price action alone. Still held at Watch, not escalated to anything firmer -- per Rule 5's own text this is a review requirement, not an automatic reclassification, so whether this should move beyond Watch is explicitly a call for Alan, not decided here. CANDIDATES LIST.xlsx updated for both.</t>
  </si>
  <si>
    <t xml:space="preserve">CANDIDATE-SCREENING-PRIORITY</t>
  </si>
  <si>
    <t xml:space="preserve">Standing policy for OPEN candidate screening (Alan, 10/2/26), replacing a simple sequence down the candidates list.
(1) Fill open spots first: choose the sector to screen next by how well it fills gaps in the portfolio -- sectors with little or no overlap with current holdings -- using the Sector Cap Headroom column already on CANDIDATES LIST.xlsx's Screen_Candidates tab (25% cap minus the sector's current weight), not list order.
(2) Sector search priority: before an open screen, first examine which sectors have delivered greater gains than the S&amp;P 500 (SPX) over roughly the last 30 years, and weight search effort toward them -- spend less time on sectors that are less inclined to beat the S&amp;P.
Exception: Darryl-list candidates are not subject to this and continue to be worked as before.
Not yet built: the 30-year sector-vs-SPX ranking (Open Items #19). Treat that ranking as a search-priority weighting only, not a sector verdict -- the Tier 1 gates and Hard Rules still decide every individual name.</t>
  </si>
  <si>
    <t xml:space="preserve">Observation (Alan, 10/2/26): NFLX bounced back up and turned positive just before the 10/1 close, after the post-purchase dip that prompted the Rule 5 work (row 71). The position (300 shares, bought 9/30) was held throughout: Rule 5 is a review requirement, not an exit trigger, and a price decline alone stays governed by Hold Through. Alan's read: the rules keep working as designed. First live Rule 5 case, so one data point only -- calibrate any change to the rule from a multi-case pattern, not from this one.</t>
  </si>
  <si>
    <t xml:space="preserve">DB-PHASE-C-SWITCH-ON</t>
  </si>
  <si>
    <t xml:space="preserve">Switched on (Alan, 10/2/26): the Journal and the Portfolio Drawdown Log are now generated from landry.db (LANDRY_DATABASE_DESIGN.md, Phase C steps 1-3). Entries for these two tabs are written ONLY with `python -m landry journal add|edit` and `drawdown add|edit` -- never by editing the tab. Each write refuses if Excel has the workbook open or if the database and the tab disagree (`python -m landry db status`; resolve with `db pull` when the workbook is right, `db regenerate` when the database is). Until Turso the committed workbook stays the source of truth and landry.db is a local, rebuildable cache.
This entry was the first write. Regenerating normalized the existing Journal rows: column-B wrap is on for every row and row heights are re-fit, so the compact one-line view on rows 54-74 is gone. The Drawdown Log's formulas, including the Part 7 band thresholds, now live in landry/generate.py -- change them there, not in the sheet. Every other tab is unchanged and is still edited directly.
Validated before switching on: a dry run on a scratch copy of the live workbook changed exactly the cells written (19 of 21 sheets identical, print setup identical on all 21) and the audit baseline did not move.</t>
  </si>
  <si>
    <t xml:space="preserve">BSX,MIR,SUNB</t>
  </si>
  <si>
    <t xml:space="preserve">Screened BSX, MIR, and SUNB off Darryl's list (14 remaining before this round, 11 after). Quant drafts first (pending in landry_scores.json, none approved), then the Fidelity info-tab scan on all three and a web check on why BSX and MIR fell. Dispositions were Claude's recommendation; Alan, shown the findings, asked for the write to go ahead and changed none of them.
BSX (Healthcare): quant-only Tier 1 ~4.33 (revenue CAGR 16.5%, FCF margin 15.5% and expanding, FCF yield 5.0%; max correlation +0.33 vs NFLX) but relative_strength=1 (-59.6% vs SPY) AND technical_trend=1 -- the second candidate after INTU to trip both Rule 5 indicators, and the first where the review found a concrete fundamental cause, not sentiment alone: U.S. electrophysiology stalled (+3% in Q2 vs +23% intl; Medtronic Sphere-9 taking share), Watchman stand-alone procedures fell low-teens after new clinical evidence, FY26 organic growth guide cut to 5-6% ('limited adjusted EPS growth in 2027'), and an 8/25/26 cyber incident disrupted manufacturing and shipping, after which Q3/FY26 guidance was reportedly pulled (hit unquantified). Secondary sources only (Yahoo Finance, TIKR, Motley Fool); Fidelity lists 8-Ks dated 8/26, 9/8 and 9/23, none read yet. Offsetting: Equity Summary Score Bullish 7.5/10 (mixed panel, not INTU's decisive 1.6), P/E 17.5 vs industry 39.8 (own 5-yr avg 64.9), TTM EPS +47% vs +10.5%, short interest 3.2%. Disposition: Watch - Pending Earnings -- Revenue Visibility can't be scored while guidance is withdrawn, so no judgment-indicator work until the 10/28/26 print (confirmed). Open Items #21.
MIR: quant-only ~3.44 (thin) with relative_strength=1 (-47.0% vs SPY, Rule 5) and roic_vs_wacc=1 (2.5% vs 9.7%). Fidelity confirms the weak price: independent-firm Equity Summary Score Bearish 1.4-1.6/10 against a 91% buy-equivalent sell-side; TTM EPS $0.10, last-quarter EPS growth 0.00% vs industry +86.5%; 1-yr -38% vs industry +63%; short interest 16.9% and rising. Growth is acquisition-led, ~$20M net insider selling. Rejected. SUNB: quant-only ~3.11, marginal (revenue flat $10.86B -&gt; $10.79B -&gt; $11.15B over FY24-26); Rule 5 couldn't be evaluated (NYSE-listed only since 3/2/26, ~150 price rows); Fidelity shows no sell-side coverage, a fair valuation (P/E 22.6 vs 23.5) and in-line EPS growth. Rejected; re-screen only if wanted after ~52 weeks of U.S. history (~Mar 2027) or via the AHT.L UK listing (GBP -- FX distorts relative strength).
CANDIDATES LIST.xlsx Screen_Candidates updated for all three; tab 2 rank/colors left for Alan. The quant drafts stay pending in landry_scores.json -- nothing approved or added to the Scoring tab.</t>
  </si>
  <si>
    <t xml:space="preserve">BAX,SWK,QXO,COLD,BE,SMR,CBRS,UBER,NTRA,VEEV,ICLR</t>
  </si>
  <si>
    <t xml:space="preserve">Finished the Darryl list: screened the last 11 names (BAX, SWK, QXO, COLD, BE, SMR, CBRS, UBER, NTRA, VEEV, ICLR) in one session. Quant drafts first (pending in landry_scores.json); Fidelity scan only for names clearing the floor. Dispositions approved by Alan 10/2 -- he downgraded ICLR from Ready to Rejected and decided UBER's sector. No Darryl names remain 'Needs Initial Screen'.
Tool bug found and fixed on the way: VEEV's draft silently lacked FCF yield, FCF margin and valuation (its yfinance cash-flow statement has a reported Free Cash Flow row but no Capital Expenditure row, and nothing warned). Now derives capex as CFO minus reported FCF, warns when no FCF series exists, and `landry draft` prints the warnings; 3 tests. Only PLD (a REIT) had the same gap among 46 scored tickers.
Rejected (8): BAX (Rule 3, three Tier 1 at 2, ~2.00); SWK (Rules 2+3, revenue CAGR -3.7%, ~2.56); QXO (Rule 3, revenue base reset by an acquisition, RS and trend both 1, ~2.44); COLD (three Tier 1 at 1, ~1.00; REIT with no AFFO adaptation, but revenue shrinking regardless); BE (~2.78, below the floor, FCF negative, RS +140% is momentum not fundamentals); SMR (pre-revenue, Rule 3, ~1.56); CBRS (~3.11 marginal, FCF margin -87%, no price history so Rule 5 untestable); ICLR (~3.89 only on a 6.1% FCF yield: revenue CAGR 2.1%, ROIC 3.3% vs 9.5% WACC, GAAP EPS -94%, a 60% Jan-Feb 2026 drop two-thirds retraced -- Alan: too weak).
Watch - Pending Earnings (2): UBER (~4.33, but relative_strength=1 at -33.9% vs SPY triggers Rule 5; Fidelity score Neutral, not bearish; robotaxi and driver-wage-litigation narrative; Q3 11/2). Alan ruled it counts as Industrials, not the Technology yfinance assigns, so headroom is +23.8% instead of -0.9%; if ever scored, set the Scoring tab's sector by hand. Open Items #22. NTRA (~3.44, +154% in a year, but independent-firm score Bearish 1.5, normalized FCF -$278M after SBC, no valuation anchor -- the INTU pattern; Q3 11/4). Open Items #23.
Ready for Tier 1 (1): VEEV (~4.22, no Rule 5 trigger, Fidelity score Bullish 8.2 with no bears, EPS growth ahead of industry; +0.51 correlation with ADBE despite the Healthcare bucket). Alan OK'd full Part 12 research. CANDIDATES LIST.xlsx updated for all 11, UBER's Sector/Industry corrected; tab 2 is Alan's. Darryl list totals: 33 Rejected, 15 Ready for Tier 1, 6 Watch - Pending Earnings, 1 Watch - Pending Litigation.</t>
  </si>
  <si>
    <t xml:space="preserve">VEEV fully scored (Part 12), the last Darryl name cleared for it: Composite 81.6, STRONG BUY, all hard rules OK. Judgment scores approved by Alan 10/2: Moat 4/M, Revenue Visibility 5/M, Management 4/M, plus the nine quant drafts (the three FCF-based ones carry an adaptation note: capex derived, since VEEV's statement has no capex row). Rationales with sources are in landry_scores.json.
Evidence in brief: subscription is 82.6% of Q2 FY27 revenue and 84.0% of FY26 (over the 80% line for a 5, narrowly); 12 of the top-20 biopharmas committed to Vault CRM, gross margin 75.5% and rising, top-10 customers a steady 28% of revenue; against that, Salesforce's competing life-sciences CRM has signed Novartis, AstraZeneca, Takeda, Pfizer and Chiesi, and management's own CRM share claim is 'over 70%'. Management: founder-CEO, no cash bonus, dual-class collapsed, independent chair, first buybacks ($170M FY26, $473M in H1 FY27), no named successor.
Alan leans conservative on Moat (3 -&gt; 78.6, BUY) and approved 4 on the explicit basis that it is re-evaluated at the purchase decision. The cross-check rule (2 of 4 evidenced) is only met if gross margin counts, which the rubric labels support-only; retention and pricing power aren't disclosed. STRONG BUY is knife-edge: it needs both Moat 4 and Visibility 5, and any single downgrade makes it BUY (all variants still clear the 65 entry floor). Open Items #24.
Mechanics: Scoring row 51 (pre-built formulas; company/sector/industry filled by hand, sector Healthcare per the candidates sheet), Dashboard mirror row 50, DashboardTable A1:J50, and the Dashboard colour rules carried from row 46 to row 50 (they had stopped at 46, so KGS/NFLX/ABT/SLB were uncoloured). Written with a VEEV-only call to export_workbook rather than `landry export --scores`, which would have re-stamped every approved ticker's Date Scored, rewritten other rows from the store, and overwritten Market Data from the 9/29 snapshot. The audit's bulk_import check was tightened to also require an empty or duplicated rationale (VEEV's three same-second manual approvals each have their own text and tripped the timestamp-only version; V's identical 'BACKFILLED' notes still flag). CANDIDATES LIST.xlsx updated.</t>
  </si>
  <si>
    <t xml:space="preserve">QTR-REVIEW-1,STATEMENTS</t>
  </si>
  <si>
    <t xml:space="preserve">Q3 month-end statements (9/30/26) reconciled against the workbook -- QTR-REVIEW-1 step 1. Fidelity X64-063711 $406,372.50 + Chase 735-43693 $315,412.66 = $721,785.16; the workbook and the 9/30 Drawdown Log entry said $776,662.72 (+$54,877.56).
Positions and cost basis: every share count and every cost basis matched the statements exactly (fractional-share rounding aside) -- no missing trades. The whole gap was cash and prices. Fidelity cash was never reduced for September's outflows ($36,519.99 of withdrawals, $18,448.63 of Visa buys, less income): the workbook carried $92.8K of FZDXX against $83.9K on the statement, which itself still held the $44,541.75 that paid for GE/NFLX (bought 9/30, settled 10/1, so not on the statement). Chase's sweep was $8,995.82 low (the 9/8 $16,500 deposit net of the VRTX buy). Prices were $10.4K stale against the 9/30 closes.
Why it mattered: the wrong 9/30 value had become the running peak in the Drawdown Log and would have overstated every later drawdown.
Decision (Alan, 10/4): Drawdown Log 9/30 = $741,557.65 = statements $721,785.16 - $247.50 (GE/NFLX closed 9/30 below their fills, unsettled) + $20,019.99 net external withdrawals added back, because Part 7 measures drawdown net of external deposits and withdrawals. External: $36,500 EFT'd from Fidelity to Chase bank ****7447 (9/9 $16,500, 9/14 $20,000) plus $19.99 PayPal; the $16,500 that came into Chase brokerage on 9/8 (ACH from the same bank) nets against them. Alan confirmed 7447 is outside the System. Result: -1.3% from the 9/4 peak of $751,223.12, regime Normal (the raw statement basis would have been -3.9%, also Normal). Whether the 8/11 and 9/4 entries handled flows the same way cannot be told from these two statements -- the August ones would be needed.
Current Positions: FZDXX 92,777.34 -&gt; 38,154.18, FZFXX 0 -&gt; 1,174.01, QACDS 1,853.89 -&gt; 10,849.71, cash cost basis set equal to value (also clears the understated combined unrealized G/L noted 10/2: now $59,880). Prices left as the workbook's own, so the combined total reads $732,209.39, about $10.4K above the statements until Excel refreshes them. QTR-REVIEW-1 step 1 ticked; steps 2-4 still wait on the Price History week-close update.</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</si>
  <si>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</si>
  <si>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</si>
  <si>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</si>
  <si>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</si>
  <si>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</si>
  <si>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</si>
  <si>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</si>
  <si>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</si>
  <si>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full refresh with latest Price History data, confirm Rule 38 status</t>
  </si>
  <si>
    <t xml:space="preserve">Watch List Tracker -- check all 90-day deadlines (Rule 34), flag any DEADLINE PASSED / APPROACHING</t>
  </si>
  <si>
    <t xml:space="preserve">Scan Fidelity's info tabs (Overview, Dividends &amp; Earnings, Analyst Ratings, Statistics/Comparisons) for each held position -- confirmed earnings date, valuation-vs-industry, analyst sentiment split, multi-period price performance. Context the yfinance-backed Tier 1 pipeline doesn't capture. Scope still being proven out (added 9/30/26, see ADBE Moat Quality case, Journal row 66) -- err inclusive rather than narrow for now.</t>
  </si>
  <si>
    <t xml:space="preserve">Log any conversational (non-CLI-draft) scoring to landry_scores.json (source=manual, approved_by=Alan)</t>
  </si>
  <si>
    <t xml:space="preserve">Run `python -m landry audit`, confirm clean or explain any failures</t>
  </si>
  <si>
    <t xml:space="preserve">Run `python -m landry.xlsx_recalc` after any workbook edit</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</si>
  <si>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</si>
  <si>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</si>
  <si>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</si>
  <si>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</si>
  <si>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</si>
  <si>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</si>
  <si>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</si>
  <si>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</si>
  <si>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</si>
  <si>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 When liquidating dry-powder ETFs to fund this tranche, draw from SPMO first -- it correlates 0.74-0.88 with NVDA/AVGO/JEPQ (2 exceed Rule 38's 0.70 cap), the least diversifying of the 10 ETF positions. See Journal 9/13/26.</t>
  </si>
  <si>
    <t xml:space="preserve">Confirm Correlation Matrix status hasn't moved unfavorably before buying</t>
  </si>
  <si>
    <t xml:space="preserve">Before finalizing this tranche's buy target(s), run a fresh Tier 1 quant reread (`landry draft &lt;TICKER&gt;`) for every candidate under consideration -- not just the usual diversifier names -- and deprioritize any showing new price-trend weakness or a stale (30+ days, or pre-8/18/26) Date Scored. See Journal 9/29/26 -- VRTX/PLD/ADBE all showed unflagged weakness that week; GE/NFLX proved stronger on a fresh check.</t>
  </si>
  <si>
    <t xml:space="preserve">Before finalizing this tranche's buy target(s), scan Fidelity's info tabs (Overview, Dividends &amp; Earnings, Analyst Ratings, Statistics/Comparisons) for the leading candidate(s) -- confirmed earnings date, valuation-vs-industry, analyst sentiment split, multi-period price performance -- alongside the fresh Tier 1 reread above. Scope still being proven out (added 9/30/26) -- err inclusive rather than narrow for now.</t>
  </si>
  <si>
    <t xml:space="preserve">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</si>
  <si>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 xml:space="preserve">Open (unresolved) items:</t>
  </si>
  <si>
    <t xml:space="preserve">#</t>
  </si>
  <si>
    <t xml:space="preserve">Item</t>
  </si>
  <si>
    <t xml:space="preserve">Date Raised</t>
  </si>
  <si>
    <t xml:space="preserve">Date Resolved</t>
  </si>
  <si>
    <t xml:space="preserve">Piotroski: add 1-2 currently-held, Management-Quality-scored tickers to the diagnostic batch, specifically to make the Leverage Trajectory check testable (0 of the first 4 tickers had a Mgmt Quality score on record to compare against).</t>
  </si>
  <si>
    <t xml:space="preserve">Added MU and VRT -- both now testable, both agree with existing Mgmt Quality (no divergence). See Journal row 40.</t>
  </si>
  <si>
    <t xml:space="preserve">Piotroski: diagnose why VRTX's FY2025 CFO ($3.63B) came in under Net Income ($3.95B) -- one-time item vs. a genuine earnings-quality concern -- before treating that divergence as conclusive on its own.</t>
  </si>
  <si>
    <t xml:space="preserve">Growth/launch-driven working-capital build (Journavx launch), not an earnings-quality concern. See Journal row 41.</t>
  </si>
  <si>
    <t xml:space="preserve">Scoring completion queue: LIN, NFLX, DPZ, PG, GE cleared Tier 1 months ago. GE and NFLX fully completed (STRONG BUY); LIN, ET(added), DPZ, and PG all rechecked and parked below/at the 4.0 bar.</t>
  </si>
  <si>
    <t xml:space="preserve">See Journal rows 53-55.</t>
  </si>
  <si>
    <t xml:space="preserve">Implied-Return backfill: 16 pre-existing holdings (13 held, 3 sold) entered the portfolio before the Rules 11-13 gate existed and have never been run through it.</t>
  </si>
  <si>
    <t xml:space="preserve">Action Items E25/E26: same truncated-range bug already fixed in E28/E29 (Entry Authorization tallies) also exists here (Rule 2/4 candidate-flag tallies against Scoring, still capped at row 27).</t>
  </si>
  <si>
    <t xml:space="preserve">Holding Monitor's template caps at 20 tickers; Implied-Return Calculator extends to the full 45-ticker universe. Not urgent today (14 non-ETF holdings), but a real ceiling if holdings keep growing.</t>
  </si>
  <si>
    <t xml:space="preserve">Formalize how ETFs should be treated as portfolio positions. Current holdings are being treated as dry powder for now (a tactical decision), but the general policy question is still genuinely undecided.</t>
  </si>
  <si>
    <t xml:space="preserve">DPZ and PG both showed real deterioration (parked, same as LIN/ET); GE improved and was advanced to full Tier 2/3 (Composite 84.2, STRONG BUY). See Journal row 54.</t>
  </si>
  <si>
    <t xml:space="preserve">Database migration: Phase A shipped 8/18/26; Phases B/C (cutting the CLI/webapp over to the DB, generated-report export) were paused pending Tranche 2. That gate cleared 9/8/26 but resuming hasn't been asked for.</t>
  </si>
  <si>
    <t xml:space="preserve">Consider a 5-10% "wild card" portfolio allocation -- rule-disregarding, or governed by a new/separate rule set -- for exceptional opportunities outside the current Landry Strategy's normal gates. Genuinely undefined, discussion-only for now.</t>
  </si>
  <si>
    <t xml:space="preserve">See Journal row 38.</t>
  </si>
  <si>
    <t xml:space="preserve">Reconcile the Instructions tab's print layout with Alan's separately reformatted _copy version (one page wide). Recommended Alan do this directly on the live file to avoid cross-contamination from a _copy file.</t>
  </si>
  <si>
    <t xml:space="preserve">Recheck DPZ, PG, and GE (same 8/11-13 Scoring batch as LIN/ET) before trusting their recorded Tier 1 scores. LIN and ET both showed real deterioration on rescore (Tier 1 Wtd Avg ~4.5/4.0 -&gt; 3.07 for both) once run through the current, more rigorous auto-draft pipeline -- which matured after 8/11/26. May not be company-specific weakening so much as the whole batch having been scored with something less rigorous than what's available now.</t>
  </si>
  <si>
    <t xml:space="preserve">See Journal row 53.</t>
  </si>
  <si>
    <t xml:space="preserve">CMG, ETSY, PH, and ETN are the remaining names from the same stale 8/11-13 PENDING batch as the scoring completion queue (LIN/ET/DPZ/PG/GE/YUM). Deliberately not rechecked -- Alan's call, 9/13/26: 'only YUM worth a revisit at this point.' Not an oversight; revisit only if Alan raises it.</t>
  </si>
  <si>
    <t xml:space="preserve">Traced provenance: CMG and ETSY ARE Darryl-sourced and still unverified; PH/ETN are not Darryl-sourced. V (held position) also Darryl-sourced -- rechecked, fell to BUY from STRONG BUY. See Journal row 56.</t>
  </si>
  <si>
    <t xml:space="preserve">Rule 38 cluster-exposure cap breach: AVUV/DVY/SCHD/VFLO/VYM (5 of the 10 ETF sleeve positions) correlate 0.73-0.89 with each other and sum to 20.76% of the portfolio, over the docx's 20% cluster cap. Per the rule itself this needs a documented shared-risk-driver writeup (looks like a common Value-factor tilt) and written approval to continue above 20%, or a trim. Tied to the still-paused ETF-sleeve design conversation -- don't resolve unilaterally.</t>
  </si>
  <si>
    <t xml:space="preserve">ADBE Moat Quality: holding at 4, flagged for revisit at next earnings (not before).</t>
  </si>
  <si>
    <t xml:space="preserve">ADBE Moat Quality (currently 4/M, Scoring row 12) -- holding pending next earnings. Deep-dive research found decelerating net-new-ARR and declining RPO (leading indicators, Canva/Figma competitive pressure) plus a chart-based signal (sustained underperformance vs. SPY, confirmed MACD bearish dive) suggesting possible real erosion; Alan's read is this leans more Wall Street narrative than confirmed real-world usage loss. Don't move the score on price action/technicals alone -- revisit specifically when ADBE's next earnings report gives real ARR/RPO data. See Journal row 66. Confirmed earnings date (Fidelity, checked 9/30/26): Dec-09-2026 Q4 earnings.</t>
  </si>
  <si>
    <t xml:space="preserve">UNH: quant screen clears (~3.33) but Fidelity scan found active CalPERS litigation (motion to dismiss denied in part 9/30/26) and a genuinely Bearish 1.5/10 analyst consensus -- flagged to score further only after the situation settles, not scored now.</t>
  </si>
  <si>
    <t xml:space="preserve">See Journal row 69. Revisit on a clearer CalPERS resolution or after Q3 earnings (10/13/26).</t>
  </si>
  <si>
    <t xml:space="preserve">ACN: quant screen marginal (~2.875, driven almost entirely by severe relative-strength weakness) but Fidelity scan found a Very Bullish 9.4/10 analyst consensus and a cheap relative valuation -- held open, no score until after Q4 earnings.</t>
  </si>
  <si>
    <t xml:space="preserve">See Journal row 69. Revisit after the 10/1/26 earnings print.</t>
  </si>
  <si>
    <t xml:space="preserve">AZN: quant screen solid (~3.44) but relative_strength=1 triggers the new Rule 5 review. Fidelity check (partial -- session logged out mid-review) found milder weakness than feared: still up +5.48% absolute over 1yr, real decline concentrated in the last 2 quarters, a real sector headwind (weight-loss-drug competition) plus one offsetting positive analyst take. Held at Watch, not scored.</t>
  </si>
  <si>
    <t xml:space="preserve">See Journal row 73. Revisit with full Fidelity access (Equity Summary Score/Analyst Ratings weren't available this pass) or at the ~10/30/26 earnings print. UPDATE 10/1: full review done -- AZN has no ESS/analyst coverage at all on Fidelity, confirmed. No change to the Watch read. See Journal row 74.</t>
  </si>
  <si>
    <t xml:space="preserve">INTU: quant screen strong (~3.56, excellent fundamentals across the board) but relative_strength=1 AND technical_trend=1 BOTH hit the floor simultaneously -- the first candidate to trip both Rule 5 indicators at once. Fidelity check (partial, same session-logout limitation) found the most severe fundamentals-vs-price divergence seen all engagement: a sustained multi-year decline (-57% YTD, -59% 1yr, -54% 2yr, -48% 5yr), not a recent pullback. Held at Watch, explicitly not cleared the way SPOT was -- needs the full sentiment picture before any further consideration.</t>
  </si>
  <si>
    <t xml:space="preserve">See Journal row 73. Revisit with full Fidelity access first (Equity Summary Score/Analyst Ratings critical here given the severity), or at the ~11/18/26 earnings print. UPDATE 10/1: full review done -- ESS is a decisive Bearish 1.6/10, confirming (not just leaving unexplained) the severe divergence. Still held at Watch pending Alan's call on whether this warrants more than that. See Journal row 74.</t>
  </si>
  <si>
    <t xml:space="preserve">Candidate-screening sector priority: before the next OPEN (non-Darryl) screen, rank sectors by gains vs the S&amp;P 500 (SPX) over roughly the last 30 years, then combine that with the portfolio-overlap view (Sector Cap Headroom on CANDIDATES LIST.xlsx) to choose which sector to screen next. Not built yet.</t>
  </si>
  <si>
    <t xml:space="preserve">Policy recorded 10/2/26 (Journal row 75, CLAUDE.md). Darryl-list names are the exception and keep their own order. Approach and data source still to decide -- e.g. the SPDR sector ETFs only go back to Dec 1998 (~27 years), so a true 30+ year view needs S&amp;P sector index history or industry-portfolio data (Fama-French). Use as a search-priority weighting only, not a sector verdict; the Tier 1 gates still decide every name. Refresh periodically.</t>
  </si>
  <si>
    <t xml:space="preserve">Portfolio Performance snapshot (simple): track in detail ONLY the System-selected equities in the portfolio over time -- excluding cash and cash equivalents.</t>
  </si>
  <si>
    <t xml:space="preserve">Raised 10/2/26 (Alan); keep it simple. Settle when building: (a) what 'System-selected' covers -- positions initiated through the System (what Performance Tracking already tracks: entry-dated, scored) vs. also the legacy stocks retained because they conform (that tab deliberately does not backfill those); the dry-powder ETFs and the cash-sweep funds (FZDXX/FZFXX/VMFXX/QACDS) are presumably out -- confirm. Current Positions' Asset Class column will not isolate the set (the ETFs are tagged Equity), so key off the Scoring tab / Performance Tracking. (b) Cadence -- e.g. month-end/tranche dates alongside the Drawdown Log. (c) What 'in detail' means (per-position value, cost basis, gain/loss, weight, return vs SPY?). Check the existing Performance Tracking tab first (entry-to-date return vs SPY per position, feeds the cohort review) and extend it rather than duplicate. Guardrails: aggregate with landry.xlsx_io.total_portfolio_value(read_positions(wb)), never by hand (CLAUDE.md, 9/29 incident); take prices from Market Data (yfinance), not Current Positions' stale Price column.</t>
  </si>
  <si>
    <t xml:space="preserve">BSX: quant screen strong (~4.33) but relative_strength=1 AND technical_trend=1 both sit at the floor, triggering Rule 5. Fidelity scan + web check found a concrete fundamental cause (U.S. electrophysiology and Watchman growth stall; 8/25/26 cyber incident with Q3/FY26 guidance reportedly pulled), not sentiment alone. Held at Watch - Pending Earnings; Revenue Visibility can't be scored while guidance is withdrawn.</t>
  </si>
  <si>
    <t xml:space="preserve">See Journal row 78. Revisit after Q3 earnings 10/28/26 (confirmed): read the 8-Ks first (Fidelity lists 8/26, 9/8, 9/23) for primary-source confirmation of the guidance status and cyber impact, run a fresh `landry draft BSX`, then score the judgment indicators with --evidence only if guidance is restored. Healthcare headroom 21.6%; max correlation +0.33 (NFLX).</t>
  </si>
  <si>
    <t xml:space="preserve">UBER: quant screen strong (~4.33) but relative_strength=1 (-33.9% vs SPY) triggers Rule 5. Fidelity scan: Equity Summary Score Neutral (not decisively bearish); weakness is narrative-driven (robotaxi disruption, driver-wage litigation) rather than a fundamental break so far. Alan ruled 10/2/26 that UBER counts as Industrials, not Technology. Held at Watch - Pending Earnings.</t>
  </si>
  <si>
    <t xml:space="preserve">See Journal row 79. Revisit after Q3 earnings 11/2/26 (unconfirmed): fresh `landry draft UBER`, then the judgment indicators (Moat vs AV disintermediation, Revenue Visibility) with --evidence if the print holds. When scored, set the Scoring tab's Sector to Industrials by hand (yfinance labels it Technology).</t>
  </si>
  <si>
    <t xml:space="preserve">NTRA: quant screen clears the floor (~3.44) with no Rule 5 trigger, but Fidelity shows the INTU pattern: independent-firm Equity Summary Score Bearish 1.5 vs a 91% buy sell-side, +154% in a year, normalized FCF negative after SBC, no valuation anchor. Held at Watch - Pending Earnings.</t>
  </si>
  <si>
    <t xml:space="preserve">See Journal row 79. Revisit after Q3 earnings 11/4/26 (unconfirmed): look for normalized FCF (CFO - capex - SBC) turning positive and whether the bearish score eases before any Part 12 spend.</t>
  </si>
  <si>
    <t xml:space="preserve">VEEV: fully scored 10/2/26 -- Composite 81.6, STRONG BUY (Moat 4/M, Revenue Visibility 5/M, Management 4/M). Alan leans conservative on Moat (3 -&gt; 78.6, BUY) and approved 4 only on the basis of re-evaluating at the purchase decision. Before any buy: re-check the Moat evidence, whether subscription share is still over the 80% Visibility line, the Implied-Return entry gates (Rules 11-13), and the +0.51 correlation with ADBE (Rule 38 cap is 0.70).</t>
  </si>
  <si>
    <t xml:space="preserve">See Journal row 80. Moat 3 would give 78.6 (BUY); Moat 4 with Visibility 4 gives 79.6 (BUY) -- STRONG BUY needs both. Natural checkpoint: Q3 earnings 11/18/26 (unconfirmed) -- subscription share, Vault CRM top-20 commitments (12 at Q2), further Salesforce Life Sciences Cloud wins, any retention/pricing disclosure. Scoring row 51; Dashboard row 50.</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</si>
  <si>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</si>
  <si>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</si>
  <si>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</si>
  <si>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</si>
  <si>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</si>
  <si>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</si>
  <si>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</si>
  <si>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</si>
  <si>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</si>
  <si>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</si>
  <si>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</si>
  <si>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</si>
  <si>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</si>
  <si>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</si>
  <si>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</si>
  <si>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</si>
  <si>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</si>
  <si>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A2:M51 as of 2026-09-30. JT ULTRA rows 3-23 (21 positions, incl. GE/NFLX added 9/30/26), subtotal row 24, 'Excluding Cash' % in J25. Self-Directed/Chase rows 27-46 (20 positions), subtotal row 47. No separate Combined-Total or Cash-Equivalents row currently exists within the table (an earlier version of this note described rows 48-49 that way -- stale by the time this was corrected, predating 9/30/26; the combined total is JT ULTRA G24 + Chase G47, not a dedicated row). Rows 48-51 blank padding. These row numbers shift every time a position is added/removed -- re-verify against the live Table ref before relying on them, don't hardcode downstream references to specific rows.</t>
  </si>
  <si>
    <t xml:space="preserve">A=Account,B=Ticker,C=Description,D=AssetClass,E=Quantity,F=Price,G=MarketValue,H=CostBasis,I=UnrealizedGL$,J=UnrealizedGL%,K=%ofAccount,L=%ofCombined,M=Classification.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</si>
  <si>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</si>
  <si>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</si>
  <si>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A2:Q48 (col N=Analyst Shift Note, mirrors K/L; RecheckStatus now P, Notes now Q; row 48 added 2026-09-11 for KGS, a tracked non-owned candidate)</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</si>
  <si>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t>
  </si>
  <si>
    <t xml:space="preserve">Price History</t>
  </si>
  <si>
    <t xml:space="preserve">Fixed range, single header</t>
  </si>
  <si>
    <t xml:space="preserve">Rows 3-162, cols A + B-V (21 ticker-column slots). 19 tickers currently populated (14 stocks, 5 ETFs); 2 slots free at cols P and U. Weekly closes, week-ending Friday (Rule 38). 24-month target ~104 rows, 12-month minimum ~52 rows, 36-month max ~156 rows. Manual entry. V added 2026-09-08 (Tranche 2) at col V, appended past the original 20-slot range rather than reusing a freed slot -- the 2 free slots (P, U) predate V and are still open.</t>
  </si>
  <si>
    <t xml:space="preserve">A=Week Ending, B onward=one column per tracked ticker (order matches Returns (Calc) and Correlation Matrix).</t>
  </si>
  <si>
    <t xml:space="preserve">Dashboard</t>
  </si>
  <si>
    <t xml:space="preserve">DashboardTable</t>
  </si>
  <si>
    <t xml:space="preserve">A1:J50 (header is row 1 here, not row 2 like most other tabs)</t>
  </si>
  <si>
    <t xml:space="preserve">A=Ticker,B=Company,C=DateScored,D=Tier1WtdAvg,E=Composite,F=Decision,G=Rule1,H=Rule2,I=Rule3,J=Rule4. Formula-mirrors Scoring row-for-row (=IF(Scoring!A3="","",Scoring!A3) pattern) -- read-only, do not edit directly. 19 Rule-3-Avoid rows manually hidden; the ticker-count footnote uses SUBTOTAL(103,...) so it only counts visible (non-hidden) rows.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</si>
  <si>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</si>
  <si>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</si>
  <si>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</si>
  <si>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</si>
  <si>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</si>
  <si>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</si>
  <si>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</si>
  <si>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A2:S47</t>
  </si>
  <si>
    <t xml:space="preserve">A=Ticker,B=Company (both formula-mirror Scoring, same =IF(Scoring!A3="","",Scoring!A3) pattern as Dashboard). C=Rule6(Composite&gt;=65),D=Rule7(Tier1&gt;=3.0),E=Rule8(NoTier1=1),F=Rule9(200wkMA Y/N),G=Rule10(MonthlyMACD Y/N),H=StagingResult(Rules9-10). I=Rule11(BinaryEventRiskPresent Y/N),J=RiskIncludedInThesis(Y/N),K=Rule11Result. L=BaseCase&gt;10%check (added 2026-09-08; mirrors 'Implied-Return Calculator'!S with a +1 row offset -- Entry Checklist row 3 = that tab's row 4, same ticker). M=Rule12-BearCase&gt;=0%check (mirrors ...!T, same +1 offset), N=Rule13-ScenarioTagsOK (mirrors ...!U, same +1 offset). O=P/FCF(current),P=ConsensusFCFgrowth(2-yr annualized),Q=Rule14-ValuationCeiling. R=ENTRYAUTHORIZED (aggregates C,D,E,K,L,M,N,Q -- YES only if all pass), S=RecommendedAction (reads R).</t>
  </si>
  <si>
    <t xml:space="preserve">Market Data</t>
  </si>
  <si>
    <t xml:space="preserve">Rows 3-38 (36 tickers: held equities/ETFs ex-cash + Tier-1-passed bench candidates), cols A-I. Manual entry, refreshed periodically via landry.data_auto.market_snapshot() -- not a live formula.</t>
  </si>
  <si>
    <t xml:space="preserve">A=Ticker,B=Company,C=Price,D=Volume,E=MarketCap,F=P/E,G=52wkLow,H=52wkHigh,I=DivYield.</t>
  </si>
  <si>
    <t xml:space="preserve">Returns (Calc)</t>
  </si>
  <si>
    <t xml:space="preserve">Fixed range, formula-derived</t>
  </si>
  <si>
    <t xml:space="preserve">Rows 3-161, cols A-V and W-AO</t>
  </si>
  <si>
    <t xml:space="preserve">Cols A-V mirror Price History's layout (same column order, same 2 blank gap columns) -- every cell there is a formula computing week-over-week %% return off Price History; do not edit directly. Cols W-AO (23-41) are a SEPARATE block: one 'trend' column per real ticker (19, packed contiguously, skipping Price History's 2 blank gaps), each an IFERROR(...+INDEX/MATCH(9.99E+307,...)...) formula that finds Price History's actual last row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</si>
  <si>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</si>
  <si>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</si>
  <si>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</si>
  <si>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38 status (OK/REVIEW REQUIRED, conditionally formatted red/green). Row4=blank spacer. Row5=header: A='Ticker', B-V=21 ticker columns (mirrors Price History/Returns (Calc) column order, including their 2 blank gaps). Rows6-26=21 ticker rows (same tickers, same order, as Price History). Cols W-AF (23-32)=10 blank buffer columns, reserved so new tickers don't force the count column to keep moving -- see the cell comment on AG5 before using up the last one. Col AG(33)='Positions &gt;0.70 with' -- per-row COUNTIF of that ticker's pairwise correlations &gt;0.7, conditionally formatted red if &gt;1 (that's the actual Rule 38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</si>
  <si>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</si>
  <si>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</si>
  <si>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</si>
  <si>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38-39 drawdown-response tiers).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</si>
  <si>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</si>
  <si>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</si>
  <si>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</si>
  <si>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</si>
  <si>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</si>
  <si>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</si>
  <si>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Template exists for the full 45-ticker universe, rows 4-48 (same row as Entry Checklist +1 -- Entry Checklist row 3 = this tab's row 4, same ticker, all the way through row 47/48). Only rows 20-21 (COST, V) currently have real data; the rest are genuinely empty (no data AND no stray formulas) -- populated on demand when a candidate moves toward actual entry (Rules 11-13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</si>
  <si>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</si>
  <si>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</si>
  <si>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</si>
  <si>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</si>
  <si>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</si>
  <si>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</si>
  <si>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</si>
  <si>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A2:Q33</t>
  </si>
  <si>
    <t xml:space="preserve">A=Ticker,B=Company,C=EntryDate,D=EntryPrice,E=EntryScore,F=EntryConfidence,G=EntryBand,H=SPYatEntry,I=Status,J=ExitDate,K=ExitPrice,L=ExitReason,M=CurrentOrExitPrice,N=SPYcurrentOrExit,O=TotalReturn,P=SPYReturnSamePeriod,Q=ExcessReturn. Only tickers that went through a real formal entry get a row (Part 9) -- legacy pre-System holdings and sold Rule-3-Avoid names are deliberately excluded, never backfilled with a fabricated entry score.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</si>
  <si>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</si>
  <si>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</si>
  <si>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</si>
  <si>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</si>
  <si>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</si>
  <si>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</si>
  <si>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A4:F117 as of 2026-09-30 (12 events x their own step count; QTR-REVIEW-1/2, FUND-REFRESH-1/2, and DCA-CATCHUP-2..8 all gained a new Fidelity info-tab scan step -- DCA-CATCHUP-1 stayed as-is since it was already past prep, same reasoning as the 9/29 fresh-check-step addition, see Journal row 67) -- grows or shrinks whenever a recurring event is added/removed from the Journal calendar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</si>
  <si>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</si>
  <si>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 xml:space="preserve">Open Items</t>
  </si>
  <si>
    <t xml:space="preserve">OpenItemsTable</t>
  </si>
  <si>
    <t xml:space="preserve">A4:F28 as of 2026-10-02 (24 items) -- grows as new open items get added, shrinks only if a row is deliberately removed (resolved items stay, marked Done, not deleted)</t>
  </si>
  <si>
    <t xml:space="preserve">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</si>
</sst>
</file>

<file path=xl/styles.xml><?xml version="1.0" encoding="utf-8"?>
<styleSheet xmlns="http://schemas.openxmlformats.org/spreadsheetml/2006/main">
  <numFmts count="16">
    <numFmt numFmtId="164" formatCode="General"/>
    <numFmt numFmtId="165" formatCode="0.00"/>
    <numFmt numFmtId="166" formatCode="0"/>
    <numFmt numFmtId="167" formatCode="0.0%"/>
    <numFmt numFmtId="168" formatCode="_(* #,##0.00_);_(* \(#,##0.00\);_(* \-??_);_(@_)"/>
    <numFmt numFmtId="169" formatCode="\$#,##0.00"/>
    <numFmt numFmtId="170" formatCode="#,##0.00"/>
    <numFmt numFmtId="171" formatCode="yyyy\-mm\-dd"/>
    <numFmt numFmtId="172" formatCode="mm/dd/yyyy"/>
    <numFmt numFmtId="173" formatCode="0.0"/>
    <numFmt numFmtId="174" formatCode="0.000"/>
    <numFmt numFmtId="175" formatCode="#,##0"/>
    <numFmt numFmtId="176" formatCode="\$#,##0"/>
    <numFmt numFmtId="177" formatCode="0%"/>
    <numFmt numFmtId="178" formatCode="0.0\x"/>
    <numFmt numFmtId="179" formatCode="yyyy\-mm\-dd\ h:mm:ss"/>
  </numFmts>
  <fonts count="69">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4"/>
      <color rgb="FF1F3864"/>
      <name val="Arial"/>
      <family val="2"/>
      <charset val="1"/>
    </font>
    <font>
      <sz val="14"/>
      <color theme="1"/>
      <name val="Calibri"/>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sz val="10"/>
      <name val="Arial Narrow"/>
      <family val="2"/>
      <charset val="1"/>
    </font>
    <font>
      <b val="true"/>
      <sz val="10"/>
      <color rgb="FF000000"/>
      <name val="Arial Narrow"/>
      <family val="2"/>
      <charset val="1"/>
    </font>
    <font>
      <sz val="10"/>
      <color rgb="FF000000"/>
      <name val="Arial Narrow"/>
      <family val="2"/>
      <charset val="1"/>
    </font>
    <font>
      <sz val="9"/>
      <color rgb="FF002060"/>
      <name val="Arial Narrow"/>
      <family val="2"/>
      <charset val="1"/>
    </font>
    <font>
      <sz val="10"/>
      <name val="Arial Narrow"/>
      <family val="0"/>
      <charset val="1"/>
    </font>
    <font>
      <i val="true"/>
      <sz val="10"/>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sz val="10"/>
      <color theme="1"/>
      <name val="Arial Narrow"/>
      <family val="2"/>
      <charset val="1"/>
    </font>
    <font>
      <i val="true"/>
      <sz val="12"/>
      <color rgb="FF000000"/>
      <name val="Arial Narrow"/>
      <family val="2"/>
      <charset val="1"/>
    </font>
    <font>
      <b val="true"/>
      <sz val="12"/>
      <color theme="1"/>
      <name val="Arial Narrow"/>
      <family val="2"/>
      <charset val="1"/>
    </font>
    <font>
      <b val="true"/>
      <sz val="12"/>
      <color rgb="FFFFFFFF"/>
      <name val="Arial Narrow"/>
      <family val="2"/>
      <charset val="1"/>
    </font>
    <font>
      <b val="true"/>
      <sz val="11"/>
      <color rgb="FF000000"/>
      <name val="Arial Narrow"/>
      <family val="2"/>
      <charset val="1"/>
    </font>
    <font>
      <b val="true"/>
      <sz val="16"/>
      <color rgb="FFFFFFFF"/>
      <name val="Arial Narrow"/>
      <family val="2"/>
      <charset val="1"/>
    </font>
    <font>
      <b val="true"/>
      <sz val="11"/>
      <color theme="1"/>
      <name val="Arial Narrow"/>
      <family val="2"/>
      <charset val="1"/>
    </font>
    <font>
      <b val="true"/>
      <sz val="10"/>
      <color rgb="FFFFFFFF"/>
      <name val="Arial Narrow"/>
      <family val="2"/>
      <charset val="1"/>
    </font>
    <font>
      <b val="true"/>
      <sz val="9"/>
      <color rgb="FFFFFFFF"/>
      <name val="Arial Narrow"/>
      <family val="2"/>
      <charset val="1"/>
    </font>
    <font>
      <sz val="11"/>
      <color rgb="FF002060"/>
      <name val="Arial Narrow"/>
      <family val="2"/>
      <charset val="1"/>
    </font>
    <font>
      <b val="true"/>
      <sz val="8"/>
      <color rgb="FF000000"/>
      <name val="Arial Narrow"/>
      <family val="2"/>
      <charset val="1"/>
    </font>
    <font>
      <b val="true"/>
      <sz val="9"/>
      <color rgb="FF000000"/>
      <name val="Arial Narrow"/>
      <family val="2"/>
      <charset val="1"/>
    </font>
    <font>
      <sz val="9"/>
      <color theme="1"/>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0"/>
      <charset val="1"/>
    </font>
    <font>
      <b val="true"/>
      <sz val="12"/>
      <color rgb="FF1F3864"/>
      <name val="Arial Narrow"/>
      <family val="2"/>
      <charset val="1"/>
    </font>
    <font>
      <sz val="11"/>
      <color rgb="FF002060"/>
      <name val="Arial Narrow"/>
      <family val="0"/>
      <charset val="1"/>
    </font>
    <font>
      <sz val="11"/>
      <color rgb="FF000000"/>
      <name val="Arial Narrow"/>
      <family val="0"/>
      <charset val="1"/>
    </font>
    <font>
      <b val="true"/>
      <sz val="11"/>
      <color rgb="FF000000"/>
      <name val="Arial Narrow"/>
      <family val="0"/>
      <charset val="1"/>
    </font>
    <font>
      <b val="true"/>
      <i val="true"/>
      <sz val="11"/>
      <color rgb="FF000000"/>
      <name val="Arial Narrow"/>
      <family val="2"/>
      <charset val="1"/>
    </font>
    <font>
      <b val="true"/>
      <sz val="8"/>
      <color rgb="FF002060"/>
      <name val="Arial"/>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i val="true"/>
      <sz val="11"/>
      <color rgb="FF808080"/>
      <name val="Arial Narrow"/>
      <family val="2"/>
      <charset val="1"/>
    </font>
    <font>
      <sz val="10"/>
      <color rgb="FF002060"/>
      <name val="Arial Narrow"/>
      <family val="0"/>
      <charset val="1"/>
    </font>
    <font>
      <b val="true"/>
      <sz val="12"/>
      <color rgb="FF1F3864"/>
      <name val="Arial"/>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12">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theme="6" tint="0.7999"/>
        <bgColor rgb="FFE2EFDA"/>
      </patternFill>
    </fill>
    <fill>
      <patternFill patternType="solid">
        <fgColor rgb="FFDDEBF7"/>
        <bgColor rgb="FFDCE6F1"/>
      </patternFill>
    </fill>
    <fill>
      <patternFill patternType="solid">
        <fgColor theme="2" tint="-0.1"/>
        <bgColor rgb="FFD9D9D9"/>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
      <patternFill patternType="solid">
        <fgColor rgb="FFECF4FA"/>
        <bgColor rgb="FFEBF1DE"/>
      </patternFill>
    </fill>
  </fills>
  <borders count="8">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style="medium"/>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 diagonalUp="false" diagonalDown="false">
      <left/>
      <right/>
      <top/>
      <bottom style="thin">
        <color rgb="FF999999"/>
      </bottom>
      <diagonal/>
    </border>
    <border diagonalUp="false" diagonalDown="false">
      <left/>
      <right/>
      <top style="dashed"/>
      <bottom style="dashed"/>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tru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true" applyAlignment="true" applyProtection="true">
      <alignment horizontal="general" vertical="bottom" textRotation="0" wrapText="false" indent="0" shrinkToFit="false"/>
      <protection locked="true" hidden="false"/>
    </xf>
    <xf numFmtId="164" fontId="12" fillId="2" borderId="0" xfId="0" applyFont="true" applyBorder="true" applyAlignment="true" applyProtection="true">
      <alignment horizontal="general" vertical="bottom" textRotation="0" wrapText="false" indent="0" shrinkToFit="false"/>
      <protection locked="true" hidden="false"/>
    </xf>
    <xf numFmtId="164" fontId="13" fillId="0" borderId="0" xfId="0" applyFont="true" applyBorder="true" applyAlignment="true" applyProtection="true">
      <alignment horizontal="right" vertical="center" textRotation="0" wrapText="false" indent="0" shrinkToFit="false"/>
      <protection locked="true" hidden="false"/>
    </xf>
    <xf numFmtId="164" fontId="14" fillId="0" borderId="1" xfId="0" applyFont="true" applyBorder="true" applyAlignment="true" applyProtection="true">
      <alignment horizontal="center" vertical="center"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5" fontId="14" fillId="0" borderId="1" xfId="0" applyFont="true" applyBorder="true" applyAlignment="true" applyProtection="true">
      <alignment horizontal="center" vertical="center" textRotation="0" wrapText="false" indent="0" shrinkToFit="false"/>
      <protection locked="true" hidden="false"/>
    </xf>
    <xf numFmtId="166" fontId="14" fillId="0" borderId="1" xfId="0" applyFont="true" applyBorder="true" applyAlignment="true" applyProtection="true">
      <alignment horizontal="center" vertical="center" textRotation="0" wrapText="false" indent="0" shrinkToFit="false"/>
      <protection locked="true" hidden="false"/>
    </xf>
    <xf numFmtId="167" fontId="14" fillId="0" borderId="1" xfId="0" applyFont="true" applyBorder="true" applyAlignment="true" applyProtection="true">
      <alignment horizontal="center" vertical="center" textRotation="0" wrapText="false" indent="0" shrinkToFit="false"/>
      <protection locked="true" hidden="false"/>
    </xf>
    <xf numFmtId="164" fontId="13" fillId="0" borderId="0" xfId="0" applyFont="true" applyBorder="true" applyAlignment="true" applyProtection="true">
      <alignment horizontal="left" vertical="center" textRotation="0" wrapText="false" indent="0" shrinkToFit="false"/>
      <protection locked="true" hidden="false"/>
    </xf>
    <xf numFmtId="164" fontId="12" fillId="2" borderId="0" xfId="0" applyFont="true" applyBorder="true" applyAlignment="true" applyProtection="true">
      <alignment horizontal="general" vertical="bottom" textRotation="0" wrapText="true" indent="0" shrinkToFit="false"/>
      <protection locked="true" hidden="false"/>
    </xf>
    <xf numFmtId="164" fontId="13" fillId="0" borderId="0" xfId="0" applyFont="true" applyBorder="true" applyAlignment="true" applyProtection="true">
      <alignment horizontal="right" vertical="center" textRotation="0" wrapText="tru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true" applyAlignment="true" applyProtection="true">
      <alignment horizontal="left" vertical="center" textRotation="0" wrapText="tru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18" fillId="3" borderId="0" xfId="0" applyFont="true" applyBorder="false" applyAlignment="true" applyProtection="true">
      <alignment horizontal="center" vertical="top" textRotation="0" wrapText="tru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20" fillId="0" borderId="0" xfId="0" applyFont="true" applyBorder="false" applyAlignment="true" applyProtection="true">
      <alignment horizontal="center" vertical="bottom" textRotation="0" wrapText="fals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1" fillId="0" borderId="0" xfId="0" applyFont="true" applyBorder="false" applyAlignment="true" applyProtection="true">
      <alignment horizontal="center" vertical="bottom" textRotation="0" wrapText="false" indent="0" shrinkToFit="false"/>
      <protection locked="true" hidden="false"/>
    </xf>
    <xf numFmtId="168" fontId="22" fillId="0" borderId="0" xfId="0" applyFont="true" applyBorder="false" applyAlignment="true" applyProtection="true">
      <alignment horizontal="general" vertical="bottom" textRotation="0" wrapText="false" indent="0" shrinkToFit="false"/>
      <protection locked="true" hidden="false"/>
    </xf>
    <xf numFmtId="169" fontId="23" fillId="0" borderId="0" xfId="0" applyFont="true" applyBorder="false" applyAlignment="true" applyProtection="true">
      <alignment horizontal="general" vertical="bottom" textRotation="0" wrapText="false" indent="0" shrinkToFit="false"/>
      <protection locked="true" hidden="false"/>
    </xf>
    <xf numFmtId="170" fontId="21" fillId="0" borderId="0" xfId="0" applyFont="true" applyBorder="false" applyAlignment="true" applyProtection="true">
      <alignment horizontal="general" vertical="bottom" textRotation="0" wrapText="false" indent="0" shrinkToFit="false"/>
      <protection locked="true" hidden="false"/>
    </xf>
    <xf numFmtId="169" fontId="21" fillId="0" borderId="0" xfId="0" applyFont="true" applyBorder="false" applyAlignment="true" applyProtection="true">
      <alignment horizontal="general" vertical="bottom" textRotation="0" wrapText="false" indent="0" shrinkToFit="false"/>
      <protection locked="true" hidden="false"/>
    </xf>
    <xf numFmtId="167" fontId="24" fillId="0" borderId="0" xfId="0" applyFont="true" applyBorder="false" applyAlignment="true" applyProtection="true">
      <alignment horizontal="center" vertical="bottom" textRotation="0" wrapText="false" indent="0" shrinkToFit="false"/>
      <protection locked="true" hidden="false"/>
    </xf>
    <xf numFmtId="164" fontId="20" fillId="4" borderId="0" xfId="0" applyFont="true" applyBorder="false" applyAlignment="true" applyProtection="true">
      <alignment horizontal="center" vertical="bottom" textRotation="0" wrapText="fals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7" fontId="24" fillId="0" borderId="0" xfId="0" applyFont="true" applyBorder="false" applyAlignment="true" applyProtection="true">
      <alignment horizontal="general" vertical="bottom" textRotation="0" wrapText="false" indent="0" shrinkToFit="false"/>
      <protection locked="true" hidden="false"/>
    </xf>
    <xf numFmtId="164" fontId="25" fillId="0" borderId="2" xfId="0" applyFont="true" applyBorder="true" applyAlignment="true" applyProtection="true">
      <alignment horizontal="right" vertical="bottom" textRotation="0" wrapText="false" indent="0" shrinkToFit="false"/>
      <protection locked="true" hidden="false"/>
    </xf>
    <xf numFmtId="164" fontId="20" fillId="0" borderId="2" xfId="0" applyFont="true" applyBorder="true" applyAlignment="true" applyProtection="true">
      <alignment horizontal="center" vertical="bottom" textRotation="0" wrapText="false" indent="0" shrinkToFit="false"/>
      <protection locked="true" hidden="false"/>
    </xf>
    <xf numFmtId="164" fontId="20" fillId="0" borderId="2" xfId="0" applyFont="true" applyBorder="true" applyAlignment="true" applyProtection="true">
      <alignment horizontal="right" vertical="bottom" textRotation="0" wrapText="false" indent="0" shrinkToFit="false"/>
      <protection locked="true" hidden="false"/>
    </xf>
    <xf numFmtId="164" fontId="21" fillId="0" borderId="2" xfId="0" applyFont="true" applyBorder="true" applyAlignment="true" applyProtection="true">
      <alignment horizontal="center" vertical="bottom" textRotation="0" wrapText="false" indent="0" shrinkToFit="false"/>
      <protection locked="true" hidden="false"/>
    </xf>
    <xf numFmtId="164" fontId="21" fillId="0" borderId="2" xfId="0" applyFont="true" applyBorder="true" applyAlignment="true" applyProtection="true">
      <alignment horizontal="general" vertical="bottom" textRotation="0" wrapText="false" indent="0" shrinkToFit="false"/>
      <protection locked="true" hidden="false"/>
    </xf>
    <xf numFmtId="168" fontId="22" fillId="0" borderId="2" xfId="0" applyFont="true" applyBorder="true" applyAlignment="true" applyProtection="true">
      <alignment horizontal="general" vertical="bottom" textRotation="0" wrapText="false" indent="0" shrinkToFit="false"/>
      <protection locked="true" hidden="false"/>
    </xf>
    <xf numFmtId="169" fontId="23" fillId="0" borderId="2" xfId="0" applyFont="true" applyBorder="true" applyAlignment="true" applyProtection="true">
      <alignment horizontal="general" vertical="bottom" textRotation="0" wrapText="false" indent="0" shrinkToFit="false"/>
      <protection locked="true" hidden="false"/>
    </xf>
    <xf numFmtId="170" fontId="20" fillId="0" borderId="2" xfId="0" applyFont="true" applyBorder="true" applyAlignment="true" applyProtection="true">
      <alignment horizontal="general" vertical="bottom" textRotation="0" wrapText="false" indent="0" shrinkToFit="false"/>
      <protection locked="true" hidden="false"/>
    </xf>
    <xf numFmtId="169" fontId="20" fillId="0" borderId="2" xfId="0" applyFont="true" applyBorder="true" applyAlignment="true" applyProtection="true">
      <alignment horizontal="general" vertical="bottom" textRotation="0" wrapText="false" indent="0" shrinkToFit="false"/>
      <protection locked="true" hidden="false"/>
    </xf>
    <xf numFmtId="167" fontId="23" fillId="0" borderId="2" xfId="0" applyFont="true" applyBorder="true" applyAlignment="true" applyProtection="true">
      <alignment horizontal="center" vertical="bottom" textRotation="0" wrapText="false" indent="0" shrinkToFit="false"/>
      <protection locked="true" hidden="false"/>
    </xf>
    <xf numFmtId="164" fontId="19" fillId="0" borderId="2" xfId="0" applyFont="true" applyBorder="true" applyAlignment="true" applyProtection="true">
      <alignment horizontal="general"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26" fillId="0" borderId="0" xfId="0" applyFont="true" applyBorder="false" applyAlignment="true" applyProtection="true">
      <alignment horizontal="right" vertical="bottom" textRotation="0" wrapText="false" indent="0" shrinkToFit="false"/>
      <protection locked="true" hidden="false"/>
    </xf>
    <xf numFmtId="167" fontId="26" fillId="0" borderId="0" xfId="0" applyFont="true" applyBorder="false" applyAlignment="true" applyProtection="true">
      <alignment horizontal="center" vertical="bottom" textRotation="0" wrapText="false" indent="0" shrinkToFit="false"/>
      <protection locked="true" hidden="false"/>
    </xf>
    <xf numFmtId="164" fontId="27" fillId="0" borderId="0" xfId="0" applyFont="true" applyBorder="true" applyAlignment="true" applyProtection="true">
      <alignment horizontal="left" vertical="center" textRotation="0" wrapText="true" indent="0" shrinkToFit="false"/>
      <protection locked="true" hidden="false"/>
    </xf>
    <xf numFmtId="164" fontId="29" fillId="0" borderId="0" xfId="0" applyFont="true" applyBorder="false" applyAlignment="true" applyProtection="true">
      <alignment horizontal="center" vertical="bottom" textRotation="0" wrapText="false" indent="0" shrinkToFit="false"/>
      <protection locked="true" hidden="false"/>
    </xf>
    <xf numFmtId="170" fontId="0" fillId="0" borderId="0" xfId="0" applyFont="false" applyBorder="false" applyAlignment="true" applyProtection="true">
      <alignment horizontal="general" vertical="bottom" textRotation="0" wrapText="false" indent="0" shrinkToFit="false"/>
      <protection locked="true" hidden="false"/>
    </xf>
    <xf numFmtId="164" fontId="30" fillId="0" borderId="0" xfId="0" applyFont="true" applyBorder="true" applyAlignment="true" applyProtection="true">
      <alignment horizontal="general" vertical="center" textRotation="0" wrapText="true" indent="0" shrinkToFit="false"/>
      <protection locked="true" hidden="false"/>
    </xf>
    <xf numFmtId="164" fontId="18" fillId="3" borderId="1" xfId="0" applyFont="true" applyBorder="true" applyAlignment="true" applyProtection="true">
      <alignment horizontal="center" vertical="top" textRotation="0" wrapText="true" indent="0" shrinkToFit="false"/>
      <protection locked="true" hidden="false"/>
    </xf>
    <xf numFmtId="170" fontId="18" fillId="3" borderId="1" xfId="0" applyFont="true" applyBorder="true" applyAlignment="true" applyProtection="true">
      <alignment horizontal="center"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31" fillId="5" borderId="1" xfId="0" applyFont="true" applyBorder="true" applyAlignment="true" applyProtection="true">
      <alignment horizontal="center" vertical="center" textRotation="0" wrapText="false" indent="0" shrinkToFit="false"/>
      <protection locked="true" hidden="false"/>
    </xf>
    <xf numFmtId="164" fontId="21" fillId="5" borderId="1" xfId="0" applyFont="true" applyBorder="true" applyAlignment="true" applyProtection="true">
      <alignment horizontal="center" vertical="center" textRotation="0" wrapText="false" indent="0" shrinkToFit="false"/>
      <protection locked="true" hidden="false"/>
    </xf>
    <xf numFmtId="171" fontId="21" fillId="5" borderId="1" xfId="0" applyFont="true" applyBorder="true" applyAlignment="true" applyProtection="true">
      <alignment horizontal="center" vertical="center" textRotation="0" wrapText="false" indent="0" shrinkToFit="false"/>
      <protection locked="true" hidden="false"/>
    </xf>
    <xf numFmtId="164" fontId="32" fillId="0" borderId="1" xfId="0" applyFont="true" applyBorder="true" applyAlignment="true" applyProtection="true">
      <alignment horizontal="center" vertical="center" textRotation="0" wrapText="false" indent="0" shrinkToFit="false"/>
      <protection locked="true" hidden="false"/>
    </xf>
    <xf numFmtId="170" fontId="21" fillId="5" borderId="1" xfId="0" applyFont="true" applyBorder="true" applyAlignment="true" applyProtection="true">
      <alignment horizontal="center" vertical="center" textRotation="0" wrapText="false" indent="0" shrinkToFit="false"/>
      <protection locked="true" hidden="false"/>
    </xf>
    <xf numFmtId="169" fontId="21" fillId="5" borderId="1" xfId="0" applyFont="true" applyBorder="true" applyAlignment="true" applyProtection="true">
      <alignment horizontal="center" vertical="center" textRotation="0" wrapText="false" indent="0" shrinkToFit="false"/>
      <protection locked="true" hidden="false"/>
    </xf>
    <xf numFmtId="167" fontId="23" fillId="0" borderId="1" xfId="0" applyFont="true" applyBorder="true" applyAlignment="true" applyProtection="true">
      <alignment horizontal="center" vertical="center" textRotation="0" wrapText="false" indent="0" shrinkToFit="false"/>
      <protection locked="true" hidden="false"/>
    </xf>
    <xf numFmtId="172" fontId="21" fillId="5" borderId="1" xfId="0" applyFont="true" applyBorder="true" applyAlignment="true" applyProtection="true">
      <alignment horizontal="center" vertical="center" textRotation="0" wrapText="false" indent="0" shrinkToFit="false"/>
      <protection locked="true" hidden="false"/>
    </xf>
    <xf numFmtId="164" fontId="21" fillId="5" borderId="1" xfId="0" applyFont="true" applyBorder="true" applyAlignment="true" applyProtection="true">
      <alignment horizontal="left" vertical="center" textRotation="0" wrapText="false" indent="0" shrinkToFit="false"/>
      <protection locked="true" hidden="false"/>
    </xf>
    <xf numFmtId="166" fontId="24" fillId="0" borderId="1" xfId="0" applyFont="true" applyBorder="true" applyAlignment="true" applyProtection="true">
      <alignment horizontal="center" vertical="center" textRotation="0" wrapText="false" indent="0" shrinkToFit="false"/>
      <protection locked="true" hidden="false"/>
    </xf>
    <xf numFmtId="164" fontId="23" fillId="0" borderId="1" xfId="0" applyFont="true" applyBorder="true" applyAlignment="true" applyProtection="true">
      <alignment horizontal="center" vertical="center" textRotation="0" wrapText="false" indent="0" shrinkToFit="false"/>
      <protection locked="true" hidden="false"/>
    </xf>
    <xf numFmtId="164" fontId="21" fillId="6" borderId="1" xfId="0" applyFont="true" applyBorder="true" applyAlignment="true" applyProtection="true">
      <alignment horizontal="center" vertical="center" textRotation="0" wrapText="false" indent="0" shrinkToFit="false"/>
      <protection locked="true" hidden="false"/>
    </xf>
    <xf numFmtId="164" fontId="21" fillId="6" borderId="1" xfId="0" applyFont="true" applyBorder="true" applyAlignment="true" applyProtection="true">
      <alignment horizontal="left" vertical="center" textRotation="0" wrapText="false" indent="0" shrinkToFit="false"/>
      <protection locked="true" hidden="false"/>
    </xf>
    <xf numFmtId="164" fontId="33" fillId="5" borderId="1" xfId="0" applyFont="true" applyBorder="true" applyAlignment="true" applyProtection="true">
      <alignment horizontal="center" vertical="center" textRotation="0" wrapText="false" indent="0" shrinkToFit="false"/>
      <protection locked="true" hidden="false"/>
    </xf>
    <xf numFmtId="164" fontId="34" fillId="5" borderId="1" xfId="0" applyFont="true" applyBorder="true" applyAlignment="true" applyProtection="true">
      <alignment horizontal="left" vertical="center" textRotation="0" wrapText="false" indent="0" shrinkToFit="false"/>
      <protection locked="true" hidden="false"/>
    </xf>
    <xf numFmtId="171" fontId="34" fillId="5" borderId="1" xfId="0" applyFont="true" applyBorder="true" applyAlignment="true" applyProtection="true">
      <alignment horizontal="center" vertical="center" textRotation="0" wrapText="false" indent="0" shrinkToFit="false"/>
      <protection locked="true" hidden="false"/>
    </xf>
    <xf numFmtId="164" fontId="34" fillId="5" borderId="1" xfId="0" applyFont="true" applyBorder="true" applyAlignment="true" applyProtection="true">
      <alignment horizontal="center" vertical="center" textRotation="0" wrapText="false" indent="0" shrinkToFit="false"/>
      <protection locked="true" hidden="false"/>
    </xf>
    <xf numFmtId="170" fontId="34" fillId="5" borderId="1" xfId="0" applyFont="true" applyBorder="true" applyAlignment="true" applyProtection="true">
      <alignment horizontal="center" vertical="center" textRotation="0" wrapText="false" indent="0" shrinkToFit="false"/>
      <protection locked="true" hidden="false"/>
    </xf>
    <xf numFmtId="169" fontId="34" fillId="5" borderId="1" xfId="0" applyFont="true" applyBorder="true" applyAlignment="true" applyProtection="true">
      <alignment horizontal="center" vertical="center" textRotation="0" wrapText="false" indent="0" shrinkToFit="false"/>
      <protection locked="true" hidden="false"/>
    </xf>
    <xf numFmtId="172" fontId="34" fillId="5" borderId="1" xfId="0" applyFont="true" applyBorder="true" applyAlignment="true" applyProtection="true">
      <alignment horizontal="center" vertical="center" textRotation="0" wrapText="false" indent="0" shrinkToFit="false"/>
      <protection locked="true" hidden="false"/>
    </xf>
    <xf numFmtId="166" fontId="13" fillId="0" borderId="1" xfId="0" applyFont="true" applyBorder="true" applyAlignment="true" applyProtection="true">
      <alignment horizontal="center" vertical="center" textRotation="0" wrapText="false" indent="0" shrinkToFit="false"/>
      <protection locked="true" hidden="false"/>
    </xf>
    <xf numFmtId="164" fontId="35" fillId="0" borderId="0" xfId="0" applyFont="true" applyBorder="false" applyAlignment="true" applyProtection="true">
      <alignment horizontal="general" vertical="bottom" textRotation="0" wrapText="false" indent="0" shrinkToFit="false"/>
      <protection locked="true" hidden="false"/>
    </xf>
    <xf numFmtId="164" fontId="36" fillId="0" borderId="0" xfId="0" applyFont="true" applyBorder="false" applyAlignment="true" applyProtection="true">
      <alignment horizontal="general" vertical="center" textRotation="0" wrapText="false" indent="0" shrinkToFit="false"/>
      <protection locked="true" hidden="false"/>
    </xf>
    <xf numFmtId="164" fontId="17" fillId="0" borderId="0" xfId="0" applyFont="true" applyBorder="false" applyAlignment="true" applyProtection="true">
      <alignment horizontal="general" vertical="center" textRotation="0" wrapText="false" indent="0" shrinkToFit="false"/>
      <protection locked="true" hidden="false"/>
    </xf>
    <xf numFmtId="164" fontId="20" fillId="5" borderId="3" xfId="0" applyFont="true" applyBorder="true" applyAlignment="true" applyProtection="true">
      <alignment horizontal="center" vertical="center" textRotation="0" wrapText="true" indent="0" shrinkToFit="false"/>
      <protection locked="true" hidden="false"/>
    </xf>
    <xf numFmtId="172" fontId="21" fillId="5" borderId="4" xfId="0" applyFont="true" applyBorder="true" applyAlignment="true" applyProtection="true">
      <alignment horizontal="center" vertical="center" textRotation="0" wrapText="false" indent="0" shrinkToFit="false"/>
      <protection locked="true" hidden="false"/>
    </xf>
    <xf numFmtId="170" fontId="21" fillId="5" borderId="4" xfId="0" applyFont="true" applyBorder="true" applyAlignment="true" applyProtection="true">
      <alignment horizontal="center" vertical="center" textRotation="0" wrapText="false" indent="0" shrinkToFit="false"/>
      <protection locked="true" hidden="false"/>
    </xf>
    <xf numFmtId="165" fontId="21" fillId="5" borderId="1" xfId="0" applyFont="true" applyBorder="true" applyAlignment="true" applyProtection="true">
      <alignment horizontal="center" vertical="center" textRotation="0" wrapText="false" indent="0" shrinkToFit="false"/>
      <protection locked="true" hidden="false"/>
    </xf>
    <xf numFmtId="164" fontId="37" fillId="0" borderId="2" xfId="0" applyFont="true" applyBorder="true" applyAlignment="true" applyProtection="true">
      <alignment horizontal="center" vertical="bottom" textRotation="0" wrapText="false" indent="0" shrinkToFit="false"/>
      <protection locked="true" hidden="false"/>
    </xf>
    <xf numFmtId="164" fontId="38" fillId="3" borderId="1" xfId="0" applyFont="true" applyBorder="true" applyAlignment="true" applyProtection="true">
      <alignment horizontal="center" vertical="top" textRotation="0" wrapText="true" indent="0" shrinkToFit="false"/>
      <protection locked="true" hidden="false"/>
    </xf>
    <xf numFmtId="164" fontId="38" fillId="3" borderId="1" xfId="0" applyFont="true" applyBorder="true" applyAlignment="true" applyProtection="true">
      <alignment horizontal="center" vertical="center" textRotation="0" wrapText="true" indent="0" shrinkToFit="false"/>
      <protection locked="true" hidden="false"/>
    </xf>
    <xf numFmtId="164" fontId="39" fillId="0" borderId="1" xfId="0" applyFont="true" applyBorder="true" applyAlignment="true" applyProtection="true">
      <alignment horizontal="center" vertical="center" textRotation="0" wrapText="false" indent="0" shrinkToFit="false"/>
      <protection locked="true" hidden="false"/>
    </xf>
    <xf numFmtId="164" fontId="32" fillId="0" borderId="1" xfId="0" applyFont="true" applyBorder="true" applyAlignment="true" applyProtection="true">
      <alignment horizontal="left" vertical="center" textRotation="0" wrapText="false" indent="0" shrinkToFit="false"/>
      <protection locked="true" hidden="false"/>
    </xf>
    <xf numFmtId="172" fontId="32" fillId="0" borderId="1" xfId="0" applyFont="true" applyBorder="true" applyAlignment="true" applyProtection="true">
      <alignment horizontal="center" vertical="center" textRotation="0" wrapText="false" indent="0" shrinkToFit="false"/>
      <protection locked="true" hidden="false"/>
    </xf>
    <xf numFmtId="165" fontId="32" fillId="0" borderId="1" xfId="0" applyFont="true" applyBorder="true" applyAlignment="true" applyProtection="true">
      <alignment horizontal="center" vertical="center" textRotation="0" wrapText="false" indent="0" shrinkToFit="false"/>
      <protection locked="true" hidden="false"/>
    </xf>
    <xf numFmtId="173" fontId="39" fillId="0" borderId="1" xfId="0" applyFont="true" applyBorder="true" applyAlignment="true" applyProtection="true">
      <alignment horizontal="center" vertical="center" textRotation="0" wrapText="false" indent="0" shrinkToFit="false"/>
      <protection locked="true" hidden="false"/>
    </xf>
    <xf numFmtId="164" fontId="39" fillId="0" borderId="0" xfId="0" applyFont="true" applyBorder="false" applyAlignment="true" applyProtection="true">
      <alignment horizontal="general" vertical="bottom" textRotation="0" wrapText="false" indent="0" shrinkToFit="false"/>
      <protection locked="true" hidden="false"/>
    </xf>
    <xf numFmtId="172" fontId="39" fillId="0" borderId="0" xfId="0" applyFont="true" applyBorder="false" applyAlignment="true" applyProtection="true">
      <alignment horizontal="general" vertical="bottom" textRotation="0" wrapText="false" indent="0" shrinkToFit="false"/>
      <protection locked="true" hidden="false"/>
    </xf>
    <xf numFmtId="174" fontId="39" fillId="0" borderId="0" xfId="0" applyFont="true" applyBorder="false" applyAlignment="true" applyProtection="true">
      <alignment horizontal="general" vertical="bottom" textRotation="0" wrapText="false" indent="0" shrinkToFit="false"/>
      <protection locked="true" hidden="false"/>
    </xf>
    <xf numFmtId="171" fontId="39" fillId="0" borderId="0" xfId="0" applyFont="true" applyBorder="false" applyAlignment="true" applyProtection="true">
      <alignment horizontal="general" vertical="bottom" textRotation="0" wrapText="false" indent="0" shrinkToFit="false"/>
      <protection locked="true" hidden="false"/>
    </xf>
    <xf numFmtId="164" fontId="39" fillId="0" borderId="2" xfId="0" applyFont="true" applyBorder="true" applyAlignment="true" applyProtection="true">
      <alignment horizontal="center" vertical="bottom" textRotation="0" wrapText="false" indent="0" shrinkToFit="false"/>
      <protection locked="true" hidden="false"/>
    </xf>
    <xf numFmtId="164" fontId="39" fillId="0" borderId="2" xfId="0" applyFont="true" applyBorder="true" applyAlignment="true" applyProtection="true">
      <alignment horizontal="left" vertical="bottom" textRotation="0" wrapText="false" indent="0" shrinkToFit="false"/>
      <protection locked="true" hidden="false"/>
    </xf>
    <xf numFmtId="164" fontId="37" fillId="0" borderId="0" xfId="0" applyFont="true" applyBorder="false" applyAlignment="true" applyProtection="true">
      <alignment horizontal="general" vertical="bottom" textRotation="0" wrapText="false" indent="0" shrinkToFit="false"/>
      <protection locked="true" hidden="false"/>
    </xf>
    <xf numFmtId="164" fontId="18" fillId="2" borderId="1" xfId="0" applyFont="true" applyBorder="true" applyAlignment="true" applyProtection="true">
      <alignment horizontal="center" vertical="center" textRotation="0" wrapText="true" indent="0" shrinkToFit="false"/>
      <protection locked="true" hidden="false"/>
    </xf>
    <xf numFmtId="164" fontId="40" fillId="2" borderId="1" xfId="0" applyFont="true" applyBorder="true" applyAlignment="true" applyProtection="true">
      <alignment horizontal="center" vertical="center" textRotation="0" wrapText="true" indent="0" shrinkToFit="false"/>
      <protection locked="true" hidden="false"/>
    </xf>
    <xf numFmtId="164" fontId="38" fillId="7" borderId="1" xfId="0" applyFont="true" applyBorder="true" applyAlignment="true" applyProtection="true">
      <alignment horizontal="center" vertical="center" textRotation="0" wrapText="true" indent="0" shrinkToFit="false"/>
      <protection locked="true" hidden="false"/>
    </xf>
    <xf numFmtId="164" fontId="41" fillId="0" borderId="5" xfId="0" applyFont="true" applyBorder="true" applyAlignment="true" applyProtection="true">
      <alignment horizontal="general" vertical="center" textRotation="0" wrapText="true" indent="0" shrinkToFit="false"/>
      <protection locked="true" hidden="false"/>
    </xf>
    <xf numFmtId="164" fontId="42" fillId="3" borderId="1" xfId="0" applyFont="true" applyBorder="true" applyAlignment="true" applyProtection="true">
      <alignment horizontal="center" vertical="top" textRotation="0" wrapText="true" indent="0" shrinkToFit="false"/>
      <protection locked="true" hidden="false"/>
    </xf>
    <xf numFmtId="164" fontId="18" fillId="7" borderId="1" xfId="0" applyFont="true" applyBorder="true" applyAlignment="true" applyProtection="true">
      <alignment horizontal="center" vertical="top" textRotation="0" wrapText="true" indent="0" shrinkToFit="false"/>
      <protection locked="true" hidden="false"/>
    </xf>
    <xf numFmtId="164" fontId="18" fillId="3" borderId="1" xfId="0" applyFont="true" applyBorder="true" applyAlignment="true" applyProtection="true">
      <alignment horizontal="center" vertical="center" textRotation="0" wrapText="true" indent="0" shrinkToFit="false"/>
      <protection locked="true" hidden="false"/>
    </xf>
    <xf numFmtId="164" fontId="43" fillId="7" borderId="1" xfId="0" applyFont="true" applyBorder="true" applyAlignment="true" applyProtection="true">
      <alignment horizontal="center" vertical="center" textRotation="0" wrapText="true" indent="0" shrinkToFit="false"/>
      <protection locked="true" hidden="false"/>
    </xf>
    <xf numFmtId="164" fontId="44" fillId="5" borderId="1" xfId="0" applyFont="true" applyBorder="true" applyAlignment="true" applyProtection="true">
      <alignment horizontal="left" vertical="center" textRotation="0" wrapText="false" indent="0" shrinkToFit="false"/>
      <protection locked="true" hidden="false"/>
    </xf>
    <xf numFmtId="172" fontId="44" fillId="5" borderId="1" xfId="0" applyFont="true" applyBorder="true" applyAlignment="true" applyProtection="true">
      <alignment horizontal="center" vertical="center" textRotation="0" wrapText="false" indent="0" shrinkToFit="false"/>
      <protection locked="true" hidden="false"/>
    </xf>
    <xf numFmtId="164" fontId="44" fillId="5" borderId="1" xfId="0" applyFont="true" applyBorder="true" applyAlignment="true" applyProtection="true">
      <alignment horizontal="center" vertical="center" textRotation="0" wrapText="false" indent="0" shrinkToFit="false"/>
      <protection locked="true" hidden="false"/>
    </xf>
    <xf numFmtId="174" fontId="32" fillId="0" borderId="1" xfId="0" applyFont="true" applyBorder="true" applyAlignment="true" applyProtection="true">
      <alignment horizontal="center" vertical="center" textRotation="0" wrapText="false" indent="0" shrinkToFit="false"/>
      <protection locked="true" hidden="false"/>
    </xf>
    <xf numFmtId="165" fontId="39" fillId="0" borderId="1" xfId="0" applyFont="true" applyBorder="true" applyAlignment="true" applyProtection="true">
      <alignment horizontal="center" vertical="center" textRotation="0" wrapText="false" indent="0" shrinkToFit="false"/>
      <protection locked="true" hidden="false"/>
    </xf>
    <xf numFmtId="164" fontId="19" fillId="5" borderId="1" xfId="0" applyFont="true" applyBorder="true" applyAlignment="true" applyProtection="true">
      <alignment horizontal="center" vertical="center" textRotation="0" wrapText="false" indent="0" shrinkToFit="false"/>
      <protection locked="true" hidden="false"/>
    </xf>
    <xf numFmtId="164" fontId="25" fillId="5" borderId="1" xfId="0" applyFont="true" applyBorder="true" applyAlignment="true" applyProtection="true">
      <alignment horizontal="center" vertical="center" textRotation="0" wrapText="false" indent="0" shrinkToFit="false"/>
      <protection locked="true" hidden="false"/>
    </xf>
    <xf numFmtId="175" fontId="44" fillId="5" borderId="1" xfId="0" applyFont="true" applyBorder="true" applyAlignment="true" applyProtection="true">
      <alignment horizontal="center" vertical="center" textRotation="0" wrapText="false" indent="0" shrinkToFit="false"/>
      <protection locked="true" hidden="false"/>
    </xf>
    <xf numFmtId="175" fontId="39" fillId="0" borderId="1" xfId="0" applyFont="true" applyBorder="true" applyAlignment="true" applyProtection="true">
      <alignment horizontal="center" vertical="center" textRotation="0" wrapText="false" indent="0" shrinkToFit="false"/>
      <protection locked="true" hidden="false"/>
    </xf>
    <xf numFmtId="165" fontId="44" fillId="5" borderId="1" xfId="0" applyFont="true" applyBorder="true" applyAlignment="true" applyProtection="true">
      <alignment horizontal="center" vertical="center" textRotation="0" wrapText="false" indent="0" shrinkToFit="false"/>
      <protection locked="true" hidden="false"/>
    </xf>
    <xf numFmtId="164" fontId="45" fillId="0" borderId="1" xfId="0" applyFont="true" applyBorder="true" applyAlignment="true" applyProtection="true">
      <alignment horizontal="center" vertical="center" textRotation="0" wrapText="false" indent="0" shrinkToFit="false"/>
      <protection locked="true" hidden="false"/>
    </xf>
    <xf numFmtId="171" fontId="44" fillId="5" borderId="1" xfId="0" applyFont="true" applyBorder="true" applyAlignment="true" applyProtection="true">
      <alignment horizontal="center" vertical="center" textRotation="0" wrapText="false" indent="0" shrinkToFit="false"/>
      <protection locked="true" hidden="false"/>
    </xf>
    <xf numFmtId="164" fontId="46" fillId="0" borderId="1" xfId="0" applyFont="true" applyBorder="true" applyAlignment="true" applyProtection="true">
      <alignment horizontal="center" vertical="center" textRotation="0" wrapText="false" indent="0" shrinkToFit="false"/>
      <protection locked="true" hidden="false"/>
    </xf>
    <xf numFmtId="164" fontId="47" fillId="0" borderId="0" xfId="0" applyFont="true" applyBorder="false" applyAlignment="true" applyProtection="true">
      <alignment horizontal="general" vertical="bottom" textRotation="0" wrapText="false" indent="0" shrinkToFit="false"/>
      <protection locked="true" hidden="false"/>
    </xf>
    <xf numFmtId="164" fontId="37" fillId="0" borderId="0" xfId="0" applyFont="true" applyBorder="false" applyAlignment="true" applyProtection="true">
      <alignment horizontal="center" vertical="bottom" textRotation="0" wrapText="false" indent="0" shrinkToFit="false"/>
      <protection locked="true" hidden="false"/>
    </xf>
    <xf numFmtId="171" fontId="0" fillId="0" borderId="0" xfId="0" applyFont="fals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center" vertical="bottom" textRotation="0" wrapText="false" indent="0" shrinkToFit="false"/>
      <protection locked="true" hidden="false"/>
    </xf>
    <xf numFmtId="164" fontId="42" fillId="3" borderId="0" xfId="0" applyFont="true" applyBorder="false" applyAlignment="true" applyProtection="true">
      <alignment horizontal="center" vertical="top" textRotation="0" wrapText="tru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23"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30" fillId="0" borderId="0" xfId="0" applyFont="true" applyBorder="true" applyAlignment="true" applyProtection="true">
      <alignment horizontal="general" vertical="bottom" textRotation="0" wrapText="false" indent="0" shrinkToFit="false"/>
      <protection locked="true" hidden="false"/>
    </xf>
    <xf numFmtId="169" fontId="44" fillId="5" borderId="1" xfId="0" applyFont="true" applyBorder="true" applyAlignment="true" applyProtection="true">
      <alignment horizontal="center" vertical="center" textRotation="0" wrapText="false" indent="0" shrinkToFit="false"/>
      <protection locked="true" hidden="false"/>
    </xf>
    <xf numFmtId="176" fontId="44" fillId="5" borderId="1" xfId="0" applyFont="true" applyBorder="true" applyAlignment="true" applyProtection="true">
      <alignment horizontal="center" vertical="center" textRotation="0" wrapText="false" indent="0" shrinkToFit="false"/>
      <protection locked="true" hidden="false"/>
    </xf>
    <xf numFmtId="173" fontId="44" fillId="5" borderId="1" xfId="0" applyFont="true" applyBorder="true" applyAlignment="true" applyProtection="true">
      <alignment horizontal="center" vertical="center" textRotation="0" wrapText="false" indent="0" shrinkToFit="false"/>
      <protection locked="true" hidden="false"/>
    </xf>
    <xf numFmtId="164" fontId="30" fillId="0" borderId="0" xfId="0" applyFont="true" applyBorder="true" applyAlignment="true" applyProtection="true">
      <alignment horizontal="general" vertical="center"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8" fillId="3" borderId="1" xfId="0" applyFont="true" applyBorder="true" applyAlignment="true" applyProtection="true">
      <alignment horizontal="center" vertical="center" textRotation="0" wrapText="false" indent="0" shrinkToFit="false"/>
      <protection locked="true" hidden="false"/>
    </xf>
    <xf numFmtId="172" fontId="48" fillId="0" borderId="1" xfId="0" applyFont="true" applyBorder="true" applyAlignment="true" applyProtection="true">
      <alignment horizontal="center" vertical="center" textRotation="0" wrapText="false" indent="0" shrinkToFit="false"/>
      <protection locked="true" hidden="false"/>
    </xf>
    <xf numFmtId="167" fontId="48" fillId="0" borderId="1" xfId="0" applyFont="true" applyBorder="true" applyAlignment="true" applyProtection="true">
      <alignment horizontal="center" vertical="center" textRotation="0" wrapText="false" indent="0" shrinkToFit="false"/>
      <protection locked="true" hidden="false"/>
    </xf>
    <xf numFmtId="167" fontId="48" fillId="0" borderId="0" xfId="0" applyFont="true" applyBorder="false" applyAlignment="true" applyProtection="true">
      <alignment horizontal="general" vertical="bottom" textRotation="0" wrapText="false" indent="0" shrinkToFit="false"/>
      <protection locked="true" hidden="false"/>
    </xf>
    <xf numFmtId="170" fontId="49" fillId="0" borderId="1" xfId="0" applyFont="true" applyBorder="true" applyAlignment="true" applyProtection="true">
      <alignment horizontal="center" vertical="center" textRotation="0" wrapText="false" indent="0" shrinkToFit="false"/>
      <protection locked="true" hidden="false"/>
    </xf>
    <xf numFmtId="170" fontId="49"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true" applyAlignment="true" applyProtection="true">
      <alignment horizontal="general" vertical="bottom" textRotation="0" wrapText="false" indent="0"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53" fillId="0" borderId="0" xfId="0" applyFont="true" applyBorder="false" applyAlignment="true" applyProtection="true">
      <alignment horizontal="center" vertical="bottom" textRotation="0" wrapText="false" indent="0" shrinkToFit="false"/>
      <protection locked="true" hidden="false"/>
    </xf>
    <xf numFmtId="164" fontId="38" fillId="3" borderId="0" xfId="0" applyFont="true" applyBorder="false" applyAlignment="true" applyProtection="true">
      <alignment horizontal="center" vertical="center" textRotation="0" wrapText="tru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54" fillId="8" borderId="0" xfId="0" applyFont="true" applyBorder="false" applyAlignment="true" applyProtection="true">
      <alignment horizontal="general" vertical="bottom" textRotation="0" wrapText="false" indent="0" shrinkToFit="false"/>
      <protection locked="true" hidden="false"/>
    </xf>
    <xf numFmtId="165" fontId="24" fillId="0" borderId="0" xfId="0" applyFont="true" applyBorder="false" applyAlignment="true" applyProtection="true">
      <alignment horizontal="center" vertical="bottom" textRotation="0" wrapText="false" indent="0" shrinkToFit="false"/>
      <protection locked="true" hidden="false"/>
    </xf>
    <xf numFmtId="164" fontId="24" fillId="0" borderId="0" xfId="0" applyFont="true" applyBorder="false" applyAlignment="true" applyProtection="true">
      <alignment horizontal="general" vertical="bottom" textRotation="0" wrapText="false" indent="0" shrinkToFit="false"/>
      <protection locked="true" hidden="false"/>
    </xf>
    <xf numFmtId="164" fontId="36" fillId="0" borderId="0" xfId="0" applyFont="true" applyBorder="true" applyAlignment="true" applyProtection="true">
      <alignment horizontal="general" vertical="center" textRotation="0" wrapText="false" indent="0" shrinkToFit="false"/>
      <protection locked="true" hidden="false"/>
    </xf>
    <xf numFmtId="172" fontId="55" fillId="5" borderId="1" xfId="0" applyFont="true" applyBorder="true" applyAlignment="true" applyProtection="true">
      <alignment horizontal="center" vertical="center" textRotation="0" wrapText="false" indent="0" shrinkToFit="false"/>
      <protection locked="true" hidden="false"/>
    </xf>
    <xf numFmtId="176" fontId="55" fillId="5" borderId="1" xfId="0" applyFont="true" applyBorder="true" applyAlignment="true" applyProtection="true">
      <alignment horizontal="center" vertical="center" textRotation="0" wrapText="false" indent="0" shrinkToFit="false"/>
      <protection locked="true" hidden="false"/>
    </xf>
    <xf numFmtId="176" fontId="56" fillId="0" borderId="1" xfId="0" applyFont="true" applyBorder="true" applyAlignment="true" applyProtection="true">
      <alignment horizontal="center" vertical="center" textRotation="0" wrapText="false" indent="0" shrinkToFit="false"/>
      <protection locked="true" hidden="false"/>
    </xf>
    <xf numFmtId="167" fontId="57" fillId="0" borderId="1" xfId="0" applyFont="true" applyBorder="true" applyAlignment="true" applyProtection="true">
      <alignment horizontal="center" vertical="center" textRotation="0" wrapText="false" indent="0" shrinkToFit="false"/>
      <protection locked="true" hidden="false"/>
    </xf>
    <xf numFmtId="164" fontId="57" fillId="0" borderId="1" xfId="0" applyFont="true" applyBorder="true" applyAlignment="true" applyProtection="true">
      <alignment horizontal="center" vertical="center" textRotation="0" wrapText="false" indent="0" shrinkToFit="false"/>
      <protection locked="true" hidden="false"/>
    </xf>
    <xf numFmtId="164" fontId="56" fillId="0" borderId="1" xfId="0" applyFont="true" applyBorder="true" applyAlignment="true" applyProtection="true">
      <alignment horizontal="center" vertical="center" textRotation="0" wrapText="false" indent="0" shrinkToFit="false"/>
      <protection locked="true" hidden="false"/>
    </xf>
    <xf numFmtId="164" fontId="55" fillId="5" borderId="1" xfId="0" applyFont="true" applyBorder="true" applyAlignment="true" applyProtection="true">
      <alignment horizontal="left" vertical="center" textRotation="0" wrapText="false" indent="0" shrinkToFit="false"/>
      <protection locked="true" hidden="false"/>
    </xf>
    <xf numFmtId="164" fontId="30" fillId="0" borderId="0" xfId="0" applyFont="true" applyBorder="false" applyAlignment="true" applyProtection="true">
      <alignment horizontal="general" vertical="center" textRotation="0" wrapText="false" indent="0" shrinkToFit="false"/>
      <protection locked="true" hidden="false"/>
    </xf>
    <xf numFmtId="172" fontId="25" fillId="5" borderId="1" xfId="0" applyFont="true" applyBorder="true" applyAlignment="true" applyProtection="true">
      <alignment horizontal="center" vertical="center" textRotation="0" wrapText="false" indent="0" shrinkToFit="false"/>
      <protection locked="true" hidden="false"/>
    </xf>
    <xf numFmtId="166" fontId="48" fillId="0" borderId="1" xfId="0" applyFont="true" applyBorder="true" applyAlignment="true" applyProtection="true">
      <alignment horizontal="center" vertical="center" textRotation="0" wrapText="false" indent="0" shrinkToFit="false"/>
      <protection locked="true" hidden="false"/>
    </xf>
    <xf numFmtId="164" fontId="25" fillId="0" borderId="0" xfId="0" applyFont="true" applyBorder="false" applyAlignment="true" applyProtection="true">
      <alignment horizontal="general" vertical="bottom" textRotation="0" wrapText="false" indent="0" shrinkToFit="false"/>
      <protection locked="true" hidden="false"/>
    </xf>
    <xf numFmtId="164" fontId="29" fillId="0" borderId="0" xfId="0" applyFont="true" applyBorder="false" applyAlignment="true" applyProtection="true">
      <alignment horizontal="general" vertical="bottom" textRotation="0" wrapText="false" indent="0" shrinkToFit="false"/>
      <protection locked="true" hidden="false"/>
    </xf>
    <xf numFmtId="164" fontId="58" fillId="0" borderId="0" xfId="0" applyFont="true" applyBorder="false" applyAlignment="true" applyProtection="true">
      <alignment horizontal="general" vertical="center" textRotation="0" wrapText="false" indent="0" shrinkToFit="false"/>
      <protection locked="true" hidden="false"/>
    </xf>
    <xf numFmtId="164" fontId="42" fillId="2" borderId="1" xfId="0" applyFont="true" applyBorder="true" applyAlignment="true" applyProtection="true">
      <alignment horizontal="center" vertical="center" textRotation="0" wrapText="true" indent="0" shrinkToFit="false"/>
      <protection locked="true" hidden="false"/>
    </xf>
    <xf numFmtId="164" fontId="42" fillId="7" borderId="1" xfId="0" applyFont="true" applyBorder="true" applyAlignment="true" applyProtection="true">
      <alignment horizontal="center" vertical="center" textRotation="0" wrapText="true" indent="0" shrinkToFit="false"/>
      <protection locked="true" hidden="false"/>
    </xf>
    <xf numFmtId="164" fontId="42" fillId="9" borderId="1" xfId="0" applyFont="true" applyBorder="true" applyAlignment="true" applyProtection="true">
      <alignment horizontal="center" vertical="center" textRotation="0" wrapText="true" indent="0" shrinkToFit="false"/>
      <protection locked="true" hidden="false"/>
    </xf>
    <xf numFmtId="164" fontId="42" fillId="10" borderId="1" xfId="0" applyFont="true" applyBorder="true" applyAlignment="true" applyProtection="true">
      <alignment horizontal="center" vertical="center" textRotation="0" wrapText="true" indent="0" shrinkToFit="false"/>
      <protection locked="true" hidden="false"/>
    </xf>
    <xf numFmtId="178" fontId="21" fillId="5" borderId="1" xfId="0" applyFont="true" applyBorder="true" applyAlignment="true" applyProtection="true">
      <alignment horizontal="center" vertical="center" textRotation="0" wrapText="false" indent="0" shrinkToFit="false"/>
      <protection locked="true" hidden="false"/>
    </xf>
    <xf numFmtId="164" fontId="59" fillId="5" borderId="1" xfId="0" applyFont="true" applyBorder="true" applyAlignment="true" applyProtection="true">
      <alignment horizontal="center" vertical="center" textRotation="0" wrapText="false" indent="0" shrinkToFit="false"/>
      <protection locked="true" hidden="false"/>
    </xf>
    <xf numFmtId="164" fontId="60" fillId="5" borderId="1" xfId="0" applyFont="true" applyBorder="true" applyAlignment="true" applyProtection="true">
      <alignment horizontal="left" vertical="center" textRotation="0" wrapText="false" indent="0" shrinkToFit="false"/>
      <protection locked="true" hidden="false"/>
    </xf>
    <xf numFmtId="169" fontId="60" fillId="5" borderId="1" xfId="0" applyFont="true" applyBorder="true" applyAlignment="true" applyProtection="true">
      <alignment horizontal="center" vertical="center" textRotation="0" wrapText="false" indent="0" shrinkToFit="false"/>
      <protection locked="true" hidden="false"/>
    </xf>
    <xf numFmtId="178" fontId="60" fillId="5" borderId="1" xfId="0" applyFont="true" applyBorder="true" applyAlignment="true" applyProtection="true">
      <alignment horizontal="center" vertical="center" textRotation="0" wrapText="false" indent="0" shrinkToFit="false"/>
      <protection locked="true" hidden="false"/>
    </xf>
    <xf numFmtId="167" fontId="61" fillId="0" borderId="1" xfId="0" applyFont="true" applyBorder="true" applyAlignment="true" applyProtection="true">
      <alignment horizontal="center" vertical="center" textRotation="0" wrapText="false" indent="0" shrinkToFit="false"/>
      <protection locked="true" hidden="false"/>
    </xf>
    <xf numFmtId="164" fontId="60" fillId="5" borderId="1" xfId="0" applyFont="true" applyBorder="true" applyAlignment="true" applyProtection="true">
      <alignment horizontal="center" vertical="center" textRotation="0" wrapText="false" indent="0" shrinkToFit="false"/>
      <protection locked="true" hidden="false"/>
    </xf>
    <xf numFmtId="164" fontId="30" fillId="0" borderId="0" xfId="0" applyFont="true" applyBorder="true" applyAlignment="true" applyProtection="true">
      <alignment horizontal="left" vertical="center" textRotation="0" wrapText="true" indent="0" shrinkToFit="false"/>
      <protection locked="true" hidden="false"/>
    </xf>
    <xf numFmtId="164" fontId="30" fillId="0" borderId="0" xfId="0" applyFont="true" applyBorder="false" applyAlignment="true" applyProtection="true">
      <alignment horizontal="general" vertical="center" textRotation="0" wrapText="true" indent="0" shrinkToFit="false"/>
      <protection locked="true" hidden="false"/>
    </xf>
    <xf numFmtId="164" fontId="38" fillId="10" borderId="1" xfId="0" applyFont="true" applyBorder="true" applyAlignment="true" applyProtection="true">
      <alignment horizontal="center" vertical="center" textRotation="0" wrapText="true" indent="0" shrinkToFit="false"/>
      <protection locked="true" hidden="false"/>
    </xf>
    <xf numFmtId="164" fontId="62" fillId="5" borderId="1" xfId="0" applyFont="true" applyBorder="true" applyAlignment="true" applyProtection="true">
      <alignment horizontal="center" vertical="center" textRotation="0" wrapText="false" indent="0" shrinkToFit="false"/>
      <protection locked="true" hidden="false"/>
    </xf>
    <xf numFmtId="167" fontId="19" fillId="5" borderId="1" xfId="0" applyFont="true" applyBorder="true" applyAlignment="true" applyProtection="true">
      <alignment horizontal="center" vertical="center" textRotation="0" wrapText="false" indent="0" shrinkToFit="false"/>
      <protection locked="true" hidden="false"/>
    </xf>
    <xf numFmtId="164" fontId="49" fillId="0" borderId="1" xfId="0" applyFont="true" applyBorder="true" applyAlignment="true" applyProtection="true">
      <alignment horizontal="center" vertical="center" textRotation="0" wrapText="false" indent="0" shrinkToFit="false"/>
      <protection locked="true" hidden="false"/>
    </xf>
    <xf numFmtId="178" fontId="19" fillId="5" borderId="1" xfId="0" applyFont="true" applyBorder="true" applyAlignment="true" applyProtection="true">
      <alignment horizontal="center" vertical="center" textRotation="0" wrapText="false" indent="0" shrinkToFit="false"/>
      <protection locked="true" hidden="false"/>
    </xf>
    <xf numFmtId="164" fontId="30" fillId="0" borderId="6" xfId="0" applyFont="true" applyBorder="true" applyAlignment="true" applyProtection="true">
      <alignment horizontal="left" vertical="center" textRotation="0" wrapText="true" indent="0" shrinkToFit="false"/>
      <protection locked="true" hidden="false"/>
    </xf>
    <xf numFmtId="172" fontId="19" fillId="5" borderId="1" xfId="0" applyFont="true" applyBorder="true" applyAlignment="true" applyProtection="true">
      <alignment horizontal="center" vertical="center" textRotation="0" wrapText="false" indent="0" shrinkToFit="false"/>
      <protection locked="true" hidden="false"/>
    </xf>
    <xf numFmtId="169" fontId="19" fillId="5" borderId="1" xfId="0" applyFont="true" applyBorder="true" applyAlignment="true" applyProtection="true">
      <alignment horizontal="center" vertical="center" textRotation="0" wrapText="false" indent="0" shrinkToFit="false"/>
      <protection locked="true" hidden="false"/>
    </xf>
    <xf numFmtId="167" fontId="45" fillId="0" borderId="1" xfId="0" applyFont="true" applyBorder="true" applyAlignment="true" applyProtection="true">
      <alignment horizontal="center" vertical="center" textRotation="0" wrapText="false" indent="0" shrinkToFit="false"/>
      <protection locked="true" hidden="false"/>
    </xf>
    <xf numFmtId="167" fontId="49" fillId="0" borderId="1" xfId="0" applyFont="true" applyBorder="true" applyAlignment="true" applyProtection="true">
      <alignment horizontal="center" vertical="center" textRotation="0" wrapText="false" indent="0" shrinkToFit="false"/>
      <protection locked="true" hidden="false"/>
    </xf>
    <xf numFmtId="164" fontId="63" fillId="0" borderId="0" xfId="0" applyFont="true" applyBorder="true" applyAlignment="true" applyProtection="true">
      <alignment horizontal="left"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30" fillId="0" borderId="0" xfId="0" applyFont="true" applyBorder="true" applyAlignment="true" applyProtection="true">
      <alignment horizontal="general" vertical="bottom" textRotation="0" wrapText="true" indent="0" shrinkToFit="false"/>
      <protection locked="true" hidden="false"/>
    </xf>
    <xf numFmtId="172" fontId="64" fillId="11" borderId="1" xfId="0" applyFont="true" applyBorder="true" applyAlignment="true" applyProtection="true">
      <alignment horizontal="center" vertical="center" textRotation="0" wrapText="false" indent="0" shrinkToFit="false"/>
      <protection locked="true" hidden="false"/>
    </xf>
    <xf numFmtId="164" fontId="55" fillId="11" borderId="1" xfId="0" applyFont="true" applyBorder="true" applyAlignment="true" applyProtection="true">
      <alignment horizontal="center" vertical="center" textRotation="0" wrapText="true" indent="0" shrinkToFit="false"/>
      <protection locked="true" hidden="false"/>
    </xf>
    <xf numFmtId="164" fontId="64" fillId="11" borderId="1" xfId="0" applyFont="true" applyBorder="true" applyAlignment="true" applyProtection="true">
      <alignment horizontal="left" vertical="top" textRotation="0" wrapText="true" indent="0" shrinkToFit="false"/>
      <protection locked="true" hidden="false"/>
    </xf>
    <xf numFmtId="164" fontId="17" fillId="0" borderId="0" xfId="0" applyFont="true" applyBorder="true" applyAlignment="true" applyProtection="true">
      <alignment horizontal="general" vertical="top" textRotation="0" wrapText="true" indent="0" shrinkToFit="false"/>
      <protection locked="true" hidden="false"/>
    </xf>
    <xf numFmtId="164" fontId="53" fillId="0" borderId="0" xfId="0" applyFont="true" applyBorder="false" applyAlignment="true" applyProtection="true">
      <alignment horizontal="general" vertical="bottom" textRotation="0" wrapText="false" indent="0" shrinkToFit="false"/>
      <protection locked="true" hidden="false"/>
    </xf>
    <xf numFmtId="164" fontId="24" fillId="0" borderId="0" xfId="0" applyFont="true" applyBorder="false" applyAlignment="true" applyProtection="true">
      <alignment horizontal="general" vertical="top" textRotation="0" wrapText="true" indent="0" shrinkToFit="false"/>
      <protection locked="true" hidden="false"/>
    </xf>
    <xf numFmtId="179" fontId="24" fillId="0" borderId="0" xfId="0" applyFont="true" applyBorder="false" applyAlignment="true" applyProtection="true">
      <alignment horizontal="general" vertical="bottom" textRotation="0" wrapText="false" indent="0" shrinkToFit="false"/>
      <protection locked="true" hidden="false"/>
    </xf>
    <xf numFmtId="172" fontId="24" fillId="0" borderId="0" xfId="0" applyFont="true" applyBorder="false" applyAlignment="true" applyProtection="true">
      <alignment horizontal="general" vertical="bottom" textRotation="0" wrapText="false" indent="0" shrinkToFit="false"/>
      <protection locked="true" hidden="false"/>
    </xf>
    <xf numFmtId="164" fontId="24" fillId="0" borderId="7" xfId="0" applyFont="true" applyBorder="true" applyAlignment="true" applyProtection="true">
      <alignment horizontal="center" vertical="center" textRotation="0" wrapText="false" indent="0" shrinkToFit="false"/>
      <protection locked="true" hidden="false"/>
    </xf>
    <xf numFmtId="164" fontId="24" fillId="0" borderId="7" xfId="0" applyFont="true" applyBorder="true" applyAlignment="true" applyProtection="true">
      <alignment horizontal="general" vertical="center" textRotation="0" wrapText="true" indent="0" shrinkToFit="false"/>
      <protection locked="true" hidden="false"/>
    </xf>
    <xf numFmtId="172" fontId="24" fillId="0" borderId="7" xfId="0" applyFont="true" applyBorder="true" applyAlignment="true" applyProtection="true">
      <alignment horizontal="center" vertical="center" textRotation="0" wrapText="false" indent="0" shrinkToFit="false"/>
      <protection locked="true" hidden="false"/>
    </xf>
    <xf numFmtId="164" fontId="24" fillId="0" borderId="7" xfId="0" applyFont="true" applyBorder="true" applyAlignment="true" applyProtection="true">
      <alignment horizontal="general" vertical="center" textRotation="0" wrapText="false" indent="0" shrinkToFit="false"/>
      <protection locked="true" hidden="false"/>
    </xf>
    <xf numFmtId="164" fontId="0" fillId="0" borderId="7" xfId="0" applyFont="true" applyBorder="true" applyAlignment="true" applyProtection="true">
      <alignment horizontal="general" vertical="center" textRotation="0" wrapText="false" indent="0" shrinkToFit="false"/>
      <protection locked="true" hidden="false"/>
    </xf>
    <xf numFmtId="172" fontId="24" fillId="0" borderId="7" xfId="0" applyFont="true" applyBorder="true" applyAlignment="true" applyProtection="true">
      <alignment horizontal="general" vertical="center" textRotation="0" wrapText="false" indent="0" shrinkToFit="false"/>
      <protection locked="true" hidden="false"/>
    </xf>
    <xf numFmtId="179" fontId="0" fillId="0" borderId="7" xfId="0" applyFont="false" applyBorder="true" applyAlignment="true" applyProtection="true">
      <alignment horizontal="center" vertical="center" textRotation="0" wrapText="false" indent="0" shrinkToFit="false"/>
      <protection locked="true" hidden="false"/>
    </xf>
    <xf numFmtId="164" fontId="0" fillId="0" borderId="7" xfId="0" applyFont="false" applyBorder="true" applyAlignment="true" applyProtection="true">
      <alignment horizontal="center" vertical="center" textRotation="0" wrapText="false" indent="0" shrinkToFit="false"/>
      <protection locked="true" hidden="false"/>
    </xf>
    <xf numFmtId="164" fontId="65" fillId="0" borderId="0"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66" fillId="2" borderId="0" xfId="0" applyFont="true" applyBorder="true" applyAlignment="true" applyProtection="true">
      <alignment horizontal="general" vertical="bottom" textRotation="0" wrapText="false" indent="0" shrinkToFit="false"/>
      <protection locked="true" hidden="false"/>
    </xf>
    <xf numFmtId="164" fontId="67" fillId="3" borderId="0" xfId="0" applyFont="true" applyBorder="false" applyAlignment="true" applyProtection="true">
      <alignment horizontal="center" vertical="center" textRotation="0" wrapText="true" indent="0" shrinkToFit="false"/>
      <protection locked="true" hidden="false"/>
    </xf>
    <xf numFmtId="164" fontId="68" fillId="0" borderId="0" xfId="0" applyFont="true" applyBorder="false" applyAlignment="true" applyProtection="true">
      <alignment horizontal="left" vertical="top" textRotation="0" wrapText="true" indent="0" shrinkToFit="false"/>
      <protection locked="true" hidden="false"/>
    </xf>
    <xf numFmtId="164" fontId="68" fillId="0" borderId="0" xfId="0" applyFont="true" applyBorder="true" applyAlignment="true" applyProtection="tru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9">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EBF1DE"/>
          <bgColor rgb="FF000000"/>
        </patternFill>
      </fill>
    </dxf>
    <dxf>
      <fill>
        <patternFill patternType="solid">
          <fgColor rgb="FF9C0006"/>
          <bgColor rgb="FF000000"/>
        </patternFill>
      </fill>
    </dxf>
    <dxf>
      <font>
        <color rgb="FF9C0006"/>
      </font>
    </dxf>
    <dxf>
      <fill>
        <patternFill patternType="solid">
          <fgColor rgb="FFDDEBF7"/>
          <bgColor rgb="FF000000"/>
        </patternFill>
      </fill>
    </dxf>
    <dxf>
      <fill>
        <patternFill patternType="solid">
          <fgColor rgb="FFDDD9C3"/>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EB9C"/>
          <bgColor rgb="FF000000"/>
        </patternFill>
      </fill>
    </dxf>
    <dxf>
      <fill>
        <patternFill patternType="solid">
          <fgColor rgb="FF9C6500"/>
          <bgColor rgb="FF000000"/>
        </patternFill>
      </fill>
    </dxf>
    <dxf>
      <fill>
        <patternFill patternType="solid">
          <fgColor rgb="FFFFC7CE"/>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
      <fill>
        <patternFill patternType="solid">
          <fgColor rgb="FFECF4FA"/>
          <bgColor rgb="FF000000"/>
        </patternFill>
      </fill>
    </dxf>
  </dxfs>
  <colors>
    <indexedColors>
      <rgbColor rgb="FF000000"/>
      <rgbColor rgb="FFFFFFFF"/>
      <rgbColor rgb="FFFF0000"/>
      <rgbColor rgb="FF00FF00"/>
      <rgbColor rgb="FF0000FF"/>
      <rgbColor rgb="FFE2EFDA"/>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EBF1DE"/>
      <rgbColor rgb="FF00FFFF"/>
      <rgbColor rgb="FF800080"/>
      <rgbColor rgb="FF632423"/>
      <rgbColor rgb="FF008080"/>
      <rgbColor rgb="FF0000FF"/>
      <rgbColor rgb="FF00CCFF"/>
      <rgbColor rgb="FFECF4FA"/>
      <rgbColor rgb="FFC6EFCE"/>
      <rgbColor rgb="FFFFEB9C"/>
      <rgbColor rgb="FFDCE6F1"/>
      <rgbColor rgb="FFDDD9C3"/>
      <rgbColor rgb="FFFCE4D6"/>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(Calc)'!$B$3:$B$500</c:f>
              <c:numCache>
                <c:formatCode>0.0%</c:formatCode>
                <c:ptCount val="498"/>
                <c:pt idx="0">
                  <c:v>-0.0302331297623325</c:v>
                </c:pt>
                <c:pt idx="1">
                  <c:v>-0.00584909339052442</c:v>
                </c:pt>
                <c:pt idx="2">
                  <c:v>0.0329084134143949</c:v>
                </c:pt>
                <c:pt idx="3">
                  <c:v>0.0419229892914104</c:v>
                </c:pt>
                <c:pt idx="4">
                  <c:v>-0.0142138639842553</c:v>
                </c:pt>
                <c:pt idx="5">
                  <c:v>-0.0607068914522331</c:v>
                </c:pt>
                <c:pt idx="6">
                  <c:v>0.10930488860899</c:v>
                </c:pt>
                <c:pt idx="7">
                  <c:v>0.0595394386687012</c:v>
                </c:pt>
                <c:pt idx="8">
                  <c:v>0.00910887110277603</c:v>
                </c:pt>
                <c:pt idx="9">
                  <c:v>0.02782663525039</c:v>
                </c:pt>
                <c:pt idx="10">
                  <c:v>-0.0112361364480247</c:v>
                </c:pt>
                <c:pt idx="11">
                  <c:v>-0.00401652325828206</c:v>
                </c:pt>
                <c:pt idx="12">
                  <c:v>-0.0415239094441076</c:v>
                </c:pt>
                <c:pt idx="13">
                  <c:v>0.0240644455086545</c:v>
                </c:pt>
                <c:pt idx="14">
                  <c:v>-0.00359081419624219</c:v>
                </c:pt>
                <c:pt idx="15">
                  <c:v>-0.0536372779081462</c:v>
                </c:pt>
                <c:pt idx="16">
                  <c:v>0.0565710237336166</c:v>
                </c:pt>
                <c:pt idx="17">
                  <c:v>0.0251617661850001</c:v>
                </c:pt>
                <c:pt idx="18">
                  <c:v>0.00389175047011681</c:v>
                </c:pt>
                <c:pt idx="19">
                  <c:v>0.0339289495545096</c:v>
                </c:pt>
                <c:pt idx="20">
                  <c:v>-0.0118942592475896</c:v>
                </c:pt>
                <c:pt idx="21">
                  <c:v>-0.128425886066868</c:v>
                </c:pt>
                <c:pt idx="22">
                  <c:v>0.0124025902754914</c:v>
                </c:pt>
                <c:pt idx="23">
                  <c:v>0.0316023417172591</c:v>
                </c:pt>
                <c:pt idx="24">
                  <c:v>-0.0336994027288807</c:v>
                </c:pt>
                <c:pt idx="25">
                  <c:v>-0.107361017962987</c:v>
                </c:pt>
                <c:pt idx="26">
                  <c:v>0.0143361897412988</c:v>
                </c:pt>
                <c:pt idx="27">
                  <c:v>0.0101697629724535</c:v>
                </c:pt>
                <c:pt idx="28">
                  <c:v>-0.0386048355132779</c:v>
                </c:pt>
                <c:pt idx="29">
                  <c:v>-0.0227366424802111</c:v>
                </c:pt>
                <c:pt idx="30">
                  <c:v>-0.0191313885549157</c:v>
                </c:pt>
                <c:pt idx="31">
                  <c:v>0.0269665820824911</c:v>
                </c:pt>
                <c:pt idx="32">
                  <c:v>0.0180500879470642</c:v>
                </c:pt>
                <c:pt idx="33">
                  <c:v>-0.00800115183676819</c:v>
                </c:pt>
                <c:pt idx="34">
                  <c:v>0.00236372307118127</c:v>
                </c:pt>
                <c:pt idx="35">
                  <c:v>-0.0165484144550401</c:v>
                </c:pt>
                <c:pt idx="36">
                  <c:v>-0.0645100225059421</c:v>
                </c:pt>
                <c:pt idx="37">
                  <c:v>0.0464745031027971</c:v>
                </c:pt>
                <c:pt idx="38">
                  <c:v>0.128655222052725</c:v>
                </c:pt>
                <c:pt idx="39">
                  <c:v>0.0154765757362321</c:v>
                </c:pt>
                <c:pt idx="40">
                  <c:v>0.0414292141571684</c:v>
                </c:pt>
                <c:pt idx="41">
                  <c:v>0.0410411491521765</c:v>
                </c:pt>
                <c:pt idx="42">
                  <c:v>-0.0333540823736903</c:v>
                </c:pt>
                <c:pt idx="43">
                  <c:v>-0.0143994276003935</c:v>
                </c:pt>
                <c:pt idx="44">
                  <c:v>-0.0155353901996369</c:v>
                </c:pt>
                <c:pt idx="45">
                  <c:v>-0.0299941007300348</c:v>
                </c:pt>
                <c:pt idx="46">
                  <c:v>0.0192523328962122</c:v>
                </c:pt>
                <c:pt idx="47">
                  <c:v>0.0319970165951895</c:v>
                </c:pt>
                <c:pt idx="48">
                  <c:v>0.00874498608752194</c:v>
                </c:pt>
                <c:pt idx="49">
                  <c:v>0.0288554540569586</c:v>
                </c:pt>
                <c:pt idx="50">
                  <c:v>-0.0191500844344632</c:v>
                </c:pt>
                <c:pt idx="51">
                  <c:v>-0.0471060151577004</c:v>
                </c:pt>
                <c:pt idx="52">
                  <c:v>-0.0271387859258294</c:v>
                </c:pt>
                <c:pt idx="53">
                  <c:v>-0.0130576297147232</c:v>
                </c:pt>
                <c:pt idx="54">
                  <c:v>-0.0160239000543183</c:v>
                </c:pt>
                <c:pt idx="55">
                  <c:v>-0.0232640668743346</c:v>
                </c:pt>
                <c:pt idx="56">
                  <c:v>-0.0010496144685318</c:v>
                </c:pt>
                <c:pt idx="57">
                  <c:v>-0.0225904223075368</c:v>
                </c:pt>
                <c:pt idx="58">
                  <c:v>-0.00190192673447454</c:v>
                </c:pt>
                <c:pt idx="59">
                  <c:v>0.0246064623032312</c:v>
                </c:pt>
                <c:pt idx="60">
                  <c:v>0.0175669119430744</c:v>
                </c:pt>
                <c:pt idx="61">
                  <c:v>0.0174424379680951</c:v>
                </c:pt>
                <c:pt idx="62">
                  <c:v>0.00738065020013656</c:v>
                </c:pt>
                <c:pt idx="63">
                  <c:v>0.0717733025798075</c:v>
                </c:pt>
                <c:pt idx="64">
                  <c:v>-0.157823350694445</c:v>
                </c:pt>
                <c:pt idx="65">
                  <c:v>-0.0397689450063347</c:v>
                </c:pt>
                <c:pt idx="66">
                  <c:v>-0.00154303732361294</c:v>
                </c:pt>
                <c:pt idx="67">
                  <c:v>-0.0356342949292242</c:v>
                </c:pt>
                <c:pt idx="68">
                  <c:v>-0.0572496922683884</c:v>
                </c:pt>
                <c:pt idx="69">
                  <c:v>0.0592973985021679</c:v>
                </c:pt>
                <c:pt idx="70">
                  <c:v>0.0125351752366334</c:v>
                </c:pt>
                <c:pt idx="71">
                  <c:v>0.00475446736184471</c:v>
                </c:pt>
                <c:pt idx="72">
                  <c:v>-0.0100125728654703</c:v>
                </c:pt>
                <c:pt idx="73">
                  <c:v>0.0625533978340684</c:v>
                </c:pt>
                <c:pt idx="74">
                  <c:v>-0.03442280945758</c:v>
                </c:pt>
                <c:pt idx="75">
                  <c:v>-0.0129636298163486</c:v>
                </c:pt>
                <c:pt idx="76">
                  <c:v>0.0247172564757387</c:v>
                </c:pt>
                <c:pt idx="77">
                  <c:v>-0.121628838451268</c:v>
                </c:pt>
                <c:pt idx="78">
                  <c:v>-0.0189491817398795</c:v>
                </c:pt>
                <c:pt idx="79">
                  <c:v>-0.00400247895470751</c:v>
                </c:pt>
                <c:pt idx="80">
                  <c:v>-0.0949936480775712</c:v>
                </c:pt>
                <c:pt idx="81">
                  <c:v>0.00974016672873646</c:v>
                </c:pt>
                <c:pt idx="82">
                  <c:v>-0.0104122336652765</c:v>
                </c:pt>
                <c:pt idx="83">
                  <c:v>0.0542431192660551</c:v>
                </c:pt>
                <c:pt idx="84">
                  <c:v>0.0357609050364407</c:v>
                </c:pt>
                <c:pt idx="85">
                  <c:v>0.00632761834746765</c:v>
                </c:pt>
                <c:pt idx="86">
                  <c:v>0.088316635357963</c:v>
                </c:pt>
                <c:pt idx="87">
                  <c:v>-0.0226308345120226</c:v>
                </c:pt>
                <c:pt idx="88">
                  <c:v>0.018151046137997</c:v>
                </c:pt>
                <c:pt idx="89">
                  <c:v>0.00440868245440762</c:v>
                </c:pt>
                <c:pt idx="90">
                  <c:v>-0.06053919217116</c:v>
                </c:pt>
                <c:pt idx="91">
                  <c:v>-0.0376838235294117</c:v>
                </c:pt>
                <c:pt idx="92">
                  <c:v>0.0236389684813754</c:v>
                </c:pt>
                <c:pt idx="93">
                  <c:v>-0.0168986341134696</c:v>
                </c:pt>
                <c:pt idx="94">
                  <c:v>-0.0420764018876381</c:v>
                </c:pt>
                <c:pt idx="95">
                  <c:v>0.00671528828952805</c:v>
                </c:pt>
                <c:pt idx="96">
                  <c:v>0.0135323546297055</c:v>
                </c:pt>
                <c:pt idx="97">
                  <c:v>-0.06187624750499</c:v>
                </c:pt>
                <c:pt idx="98">
                  <c:v>-0.0194077055779184</c:v>
                </c:pt>
                <c:pt idx="99">
                  <c:v>0.0404632751795924</c:v>
                </c:pt>
                <c:pt idx="100">
                  <c:v>0.0204029871776805</c:v>
                </c:pt>
                <c:pt idx="101">
                  <c:v>-0.0148858018724626</c:v>
                </c:pt>
                <c:pt idx="102">
                  <c:v>-0.0216708718811325</c:v>
                </c:pt>
                <c:pt idx="103">
                  <c:v>0.00111757457661121</c:v>
                </c:pt>
                <c:pt idx="104">
                  <c:v>0.0473437142202884</c:v>
                </c:pt>
                <c:pt idx="105">
                  <c:v>-0.0151134189669307</c:v>
                </c:pt>
                <c:pt idx="106">
                  <c:v>-0.0378222382551267</c:v>
                </c:pt>
                <c:pt idx="107">
                  <c:v>-0.026619368979639</c:v>
                </c:pt>
                <c:pt idx="108">
                  <c:v>-0.0125922194897929</c:v>
                </c:pt>
                <c:pt idx="109">
                  <c:v>0.0607933745423992</c:v>
                </c:pt>
                <c:pt idx="110">
                  <c:v>-0.037367051369088</c:v>
                </c:pt>
                <c:pt idx="111">
                  <c:v>-0.0392583232934678</c:v>
                </c:pt>
                <c:pt idx="112">
                  <c:v>0.0127236580516898</c:v>
                </c:pt>
                <c:pt idx="113">
                  <c:v>-0.0208993989912718</c:v>
                </c:pt>
                <c:pt idx="114">
                  <c:v>-0.0125235201579321</c:v>
                </c:pt>
                <c:pt idx="115">
                  <c:v>0.0816230906194357</c:v>
                </c:pt>
                <c:pt idx="116">
                  <c:v>0.0293709928955122</c:v>
                </c:pt>
                <c:pt idx="117">
                  <c:v>-0.00159919198720648</c:v>
                </c:pt>
                <c:pt idx="118">
                  <c:v>-0.00578879334569771</c:v>
                </c:pt>
                <c:pt idx="119">
                  <c:v>-0.0579423403052572</c:v>
                </c:pt>
                <c:pt idx="120">
                  <c:v>0.00195019501950178</c:v>
                </c:pt>
                <c:pt idx="121">
                  <c:v>-0.113280431202276</c:v>
                </c:pt>
                <c:pt idx="122">
                  <c:v>0.0167161961367013</c:v>
                </c:pt>
                <c:pt idx="123">
                  <c:v>-0.025974025974026</c:v>
                </c:pt>
                <c:pt idx="124">
                  <c:v>-0.0848081841432226</c:v>
                </c:pt>
                <c:pt idx="125">
                  <c:v>-0.016431924882629</c:v>
                </c:pt>
                <c:pt idx="126">
                  <c:v>-0.0203053377277721</c:v>
                </c:pt>
                <c:pt idx="127">
                  <c:v>0.0146939406828817</c:v>
                </c:pt>
                <c:pt idx="128">
                  <c:v>0.0808277123585228</c:v>
                </c:pt>
                <c:pt idx="129">
                  <c:v>-0.120936464283196</c:v>
                </c:pt>
                <c:pt idx="130">
                  <c:v>-0.0046927643189475</c:v>
                </c:pt>
                <c:pt idx="131">
                  <c:v>-0.0536369131573645</c:v>
                </c:pt>
                <c:pt idx="132">
                  <c:v>0.0344064043604155</c:v>
                </c:pt>
                <c:pt idx="133">
                  <c:v>-0.07232833854767</c:v>
                </c:pt>
                <c:pt idx="134">
                  <c:v>0.0847570445972932</c:v>
                </c:pt>
                <c:pt idx="135">
                  <c:v>0.0040499079566374</c:v>
                </c:pt>
                <c:pt idx="136">
                  <c:v>0.0214716427640156</c:v>
                </c:pt>
                <c:pt idx="137">
                  <c:v>0.00929360615850983</c:v>
                </c:pt>
                <c:pt idx="138">
                  <c:v>-0.0214985773000316</c:v>
                </c:pt>
                <c:pt idx="139">
                  <c:v>-0.011470113085622</c:v>
                </c:pt>
                <c:pt idx="140">
                  <c:v>0.0590374244157541</c:v>
                </c:pt>
                <c:pt idx="141">
                  <c:v>-0.0299756953821225</c:v>
                </c:pt>
                <c:pt idx="142">
                  <c:v>-0.188593700286351</c:v>
                </c:pt>
                <c:pt idx="143">
                  <c:v>-0.0434271149887266</c:v>
                </c:pt>
                <c:pt idx="144">
                  <c:v>0.0387886862061897</c:v>
                </c:pt>
                <c:pt idx="145">
                  <c:v>0.0838060474522764</c:v>
                </c:pt>
                <c:pt idx="146">
                  <c:v>0.0178408884034225</c:v>
                </c:pt>
                <c:pt idx="147">
                  <c:v>0.0608567340368449</c:v>
                </c:pt>
                <c:pt idx="148">
                  <c:v>-0.0511696522655426</c:v>
                </c:pt>
                <c:pt idx="149">
                  <c:v>0.112389498467416</c:v>
                </c:pt>
                <c:pt idx="150">
                  <c:v>0.0591030709636196</c:v>
                </c:pt>
                <c:pt idx="151">
                  <c:v>-0.00448701029372944</c:v>
                </c:pt>
                <c:pt idx="152">
                  <c:v>0.0427240360578745</c:v>
                </c:pt>
                <c:pt idx="153">
                  <c:v>0.0589175444969123</c:v>
                </c:pt>
                <c:pt idx="154">
                  <c:v>-0.0857917124039517</c:v>
                </c:pt>
                <c:pt idx="155">
                  <c:v>-0.0535814791189824</c:v>
                </c:pt>
                <c:pt idx="156">
                  <c:v>-0.0131229433453594</c:v>
                </c:pt>
                <c:pt idx="157">
                  <c:v>-0.0540334243933793</c:v>
                </c:pt>
                <c:pt idx="158">
                  <c:v>-0.0189408417208137</c:v>
                </c:pt>
              </c:numCache>
            </c:numRef>
          </c:val>
        </c:ser>
        <c:gapWidth val="150"/>
        <c:overlap val="0"/>
        <c:axId val="9696923"/>
        <c:axId val="69859545"/>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(Calc)'!$W$3:$W$500</c:f>
              <c:numCache>
                <c:formatCode>General</c:formatCode>
                <c:ptCount val="498"/>
              </c:numCache>
            </c:numRef>
          </c:val>
          <c:smooth val="0"/>
        </c:ser>
        <c:hiLowLines>
          <c:spPr>
            <a:ln w="0">
              <a:noFill/>
            </a:ln>
          </c:spPr>
        </c:hiLowLines>
        <c:marker val="0"/>
        <c:axId val="19211110"/>
        <c:axId val="64154853"/>
      </c:lineChart>
      <c:dateAx>
        <c:axId val="969692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9859545"/>
        <c:auto val="1"/>
        <c:lblOffset val="100"/>
        <c:baseTimeUnit val="days"/>
      </c:dateAx>
      <c:valAx>
        <c:axId val="6985954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96923"/>
        <c:crosses val="autoZero"/>
        <c:crossBetween val="between"/>
      </c:valAx>
      <c:dateAx>
        <c:axId val="1921111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154853"/>
        <c:auto val="1"/>
        <c:lblOffset val="100"/>
        <c:baseTimeUnit val="days"/>
      </c:dateAx>
      <c:valAx>
        <c:axId val="6415485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21111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(Calc)'!$C$3:$C$500</c:f>
              <c:numCache>
                <c:formatCode>0.0%</c:formatCode>
                <c:ptCount val="498"/>
                <c:pt idx="0">
                  <c:v>-0.0238198354265916</c:v>
                </c:pt>
                <c:pt idx="1">
                  <c:v>0.0199645075421473</c:v>
                </c:pt>
                <c:pt idx="2">
                  <c:v>0.0550239234449761</c:v>
                </c:pt>
                <c:pt idx="3">
                  <c:v>-0.0216450216450216</c:v>
                </c:pt>
                <c:pt idx="4">
                  <c:v>-0.0195954487989887</c:v>
                </c:pt>
                <c:pt idx="5">
                  <c:v>-0.0532989469159683</c:v>
                </c:pt>
                <c:pt idx="6">
                  <c:v>0.205902383654938</c:v>
                </c:pt>
                <c:pt idx="7">
                  <c:v>-0.0265436746987952</c:v>
                </c:pt>
                <c:pt idx="8">
                  <c:v>0.0377103074840455</c:v>
                </c:pt>
                <c:pt idx="9">
                  <c:v>0.0175177040626167</c:v>
                </c:pt>
                <c:pt idx="10">
                  <c:v>-0.00805860805860814</c:v>
                </c:pt>
                <c:pt idx="11">
                  <c:v>0.0341580502215657</c:v>
                </c:pt>
                <c:pt idx="12">
                  <c:v>0.0515979289412605</c:v>
                </c:pt>
                <c:pt idx="13">
                  <c:v>0.0112054329371818</c:v>
                </c:pt>
                <c:pt idx="14">
                  <c:v>-0.0114170584284755</c:v>
                </c:pt>
                <c:pt idx="15">
                  <c:v>-0.0195312500000001</c:v>
                </c:pt>
                <c:pt idx="16">
                  <c:v>0.0914602459726313</c:v>
                </c:pt>
                <c:pt idx="17">
                  <c:v>0.0455483256625933</c:v>
                </c:pt>
                <c:pt idx="18">
                  <c:v>0.00333940497874918</c:v>
                </c:pt>
                <c:pt idx="19">
                  <c:v>0.032980332829047</c:v>
                </c:pt>
                <c:pt idx="20">
                  <c:v>0.0341241944932631</c:v>
                </c:pt>
                <c:pt idx="21">
                  <c:v>-0.0732190907803427</c:v>
                </c:pt>
                <c:pt idx="22">
                  <c:v>0.0226161369193154</c:v>
                </c:pt>
                <c:pt idx="23">
                  <c:v>0.0748655110579797</c:v>
                </c:pt>
                <c:pt idx="24">
                  <c:v>-0.0507437786737106</c:v>
                </c:pt>
                <c:pt idx="25">
                  <c:v>0.0168424135910956</c:v>
                </c:pt>
                <c:pt idx="26">
                  <c:v>0.103413510010082</c:v>
                </c:pt>
                <c:pt idx="27">
                  <c:v>-0.0536483487795327</c:v>
                </c:pt>
                <c:pt idx="28">
                  <c:v>0.0262068965517241</c:v>
                </c:pt>
                <c:pt idx="29">
                  <c:v>-0.0885752688172043</c:v>
                </c:pt>
                <c:pt idx="30">
                  <c:v>-0.0927591800619377</c:v>
                </c:pt>
                <c:pt idx="31">
                  <c:v>0.0757477243172953</c:v>
                </c:pt>
                <c:pt idx="32">
                  <c:v>0.0365669386521605</c:v>
                </c:pt>
                <c:pt idx="33">
                  <c:v>0.144460641399417</c:v>
                </c:pt>
                <c:pt idx="34">
                  <c:v>0.0185963571519552</c:v>
                </c:pt>
                <c:pt idx="35">
                  <c:v>-0.0416406152307115</c:v>
                </c:pt>
                <c:pt idx="36">
                  <c:v>-0.0290970772442589</c:v>
                </c:pt>
                <c:pt idx="37">
                  <c:v>-0.00282220131702715</c:v>
                </c:pt>
                <c:pt idx="38">
                  <c:v>0.106738544474394</c:v>
                </c:pt>
                <c:pt idx="39">
                  <c:v>0.0270336093521675</c:v>
                </c:pt>
                <c:pt idx="40">
                  <c:v>0.0388902063078018</c:v>
                </c:pt>
                <c:pt idx="41">
                  <c:v>0.0447386441451723</c:v>
                </c:pt>
                <c:pt idx="42">
                  <c:v>-0.0116888791785013</c:v>
                </c:pt>
                <c:pt idx="43">
                  <c:v>-0.0865480269702664</c:v>
                </c:pt>
                <c:pt idx="44">
                  <c:v>-0.0343659244917716</c:v>
                </c:pt>
                <c:pt idx="45">
                  <c:v>0.000375939849624141</c:v>
                </c:pt>
                <c:pt idx="46">
                  <c:v>0.0516096705499187</c:v>
                </c:pt>
                <c:pt idx="47">
                  <c:v>0.0538415723645027</c:v>
                </c:pt>
                <c:pt idx="48">
                  <c:v>0.00350401265965861</c:v>
                </c:pt>
                <c:pt idx="49">
                  <c:v>-0.00484343320567704</c:v>
                </c:pt>
                <c:pt idx="50">
                  <c:v>-0.110582908885116</c:v>
                </c:pt>
                <c:pt idx="51">
                  <c:v>0.14456604734029</c:v>
                </c:pt>
                <c:pt idx="52">
                  <c:v>0.0686012897487214</c:v>
                </c:pt>
                <c:pt idx="53">
                  <c:v>-0.0108209343460619</c:v>
                </c:pt>
                <c:pt idx="54">
                  <c:v>0.0412327758493742</c:v>
                </c:pt>
                <c:pt idx="55">
                  <c:v>0.0529346398626125</c:v>
                </c:pt>
                <c:pt idx="56">
                  <c:v>-0.0357862419648853</c:v>
                </c:pt>
                <c:pt idx="57">
                  <c:v>-0.0197014925373135</c:v>
                </c:pt>
                <c:pt idx="58">
                  <c:v>0.000203004466098333</c:v>
                </c:pt>
                <c:pt idx="59">
                  <c:v>0.0159326161964684</c:v>
                </c:pt>
                <c:pt idx="60">
                  <c:v>-0.0650284686844471</c:v>
                </c:pt>
                <c:pt idx="61">
                  <c:v>0.0856837606837608</c:v>
                </c:pt>
                <c:pt idx="62">
                  <c:v>-0.00157449320999814</c:v>
                </c:pt>
                <c:pt idx="63">
                  <c:v>0.0669229252907551</c:v>
                </c:pt>
                <c:pt idx="64">
                  <c:v>0.0380600461893765</c:v>
                </c:pt>
                <c:pt idx="65">
                  <c:v>0.00391563584586629</c:v>
                </c:pt>
                <c:pt idx="66">
                  <c:v>0.00195018172147865</c:v>
                </c:pt>
                <c:pt idx="67">
                  <c:v>0.0191984428912679</c:v>
                </c:pt>
                <c:pt idx="68">
                  <c:v>-0.00746527777777772</c:v>
                </c:pt>
                <c:pt idx="69">
                  <c:v>0.0490641945076089</c:v>
                </c:pt>
                <c:pt idx="70">
                  <c:v>0.0768653605669027</c:v>
                </c:pt>
                <c:pt idx="71">
                  <c:v>-0.107919795618177</c:v>
                </c:pt>
                <c:pt idx="72">
                  <c:v>0.028117677688102</c:v>
                </c:pt>
                <c:pt idx="73">
                  <c:v>-0.0979150839875074</c:v>
                </c:pt>
                <c:pt idx="74">
                  <c:v>-0.0801908861233275</c:v>
                </c:pt>
                <c:pt idx="75">
                  <c:v>-0.0534079348931842</c:v>
                </c:pt>
                <c:pt idx="76">
                  <c:v>-0.10413756045137</c:v>
                </c:pt>
                <c:pt idx="77">
                  <c:v>0.00179942418426116</c:v>
                </c:pt>
                <c:pt idx="78">
                  <c:v>-0.00455035325110775</c:v>
                </c:pt>
                <c:pt idx="79">
                  <c:v>-0.0624323348971491</c:v>
                </c:pt>
                <c:pt idx="80">
                  <c:v>-0.174108288426995</c:v>
                </c:pt>
                <c:pt idx="81">
                  <c:v>0.128942053751748</c:v>
                </c:pt>
                <c:pt idx="82">
                  <c:v>-0.0202284298885372</c:v>
                </c:pt>
                <c:pt idx="83">
                  <c:v>0.0942415730337078</c:v>
                </c:pt>
                <c:pt idx="84">
                  <c:v>0.168271082017713</c:v>
                </c:pt>
                <c:pt idx="85">
                  <c:v>-0.049439683586025</c:v>
                </c:pt>
                <c:pt idx="86">
                  <c:v>0.114424410540916</c:v>
                </c:pt>
                <c:pt idx="87">
                  <c:v>-0.0541381456129434</c:v>
                </c:pt>
                <c:pt idx="88">
                  <c:v>-0.05</c:v>
                </c:pt>
                <c:pt idx="89">
                  <c:v>0.122460757156048</c:v>
                </c:pt>
                <c:pt idx="90">
                  <c:v>-0.0503856041131106</c:v>
                </c:pt>
                <c:pt idx="91">
                  <c:v>-0.0660530590146182</c:v>
                </c:pt>
                <c:pt idx="92">
                  <c:v>0.152347826086957</c:v>
                </c:pt>
                <c:pt idx="93">
                  <c:v>0.0314921018211087</c:v>
                </c:pt>
                <c:pt idx="94">
                  <c:v>0.0590128755364807</c:v>
                </c:pt>
                <c:pt idx="95">
                  <c:v>0.0295661785023489</c:v>
                </c:pt>
                <c:pt idx="96">
                  <c:v>0.0223653605296117</c:v>
                </c:pt>
                <c:pt idx="97">
                  <c:v>0.0287889394469723</c:v>
                </c:pt>
                <c:pt idx="98">
                  <c:v>0.183805392532109</c:v>
                </c:pt>
                <c:pt idx="99">
                  <c:v>-0.0135076878861905</c:v>
                </c:pt>
                <c:pt idx="100">
                  <c:v>-0.029497450837582</c:v>
                </c:pt>
                <c:pt idx="101">
                  <c:v>0.024765478424015</c:v>
                </c:pt>
                <c:pt idx="102">
                  <c:v>0.0461369461735626</c:v>
                </c:pt>
                <c:pt idx="103">
                  <c:v>-0.0242212110605531</c:v>
                </c:pt>
                <c:pt idx="104">
                  <c:v>0.0733194633761392</c:v>
                </c:pt>
                <c:pt idx="105">
                  <c:v>-0.0475235612592742</c:v>
                </c:pt>
                <c:pt idx="106">
                  <c:v>0.0210526315789474</c:v>
                </c:pt>
                <c:pt idx="107">
                  <c:v>0.059106529209622</c:v>
                </c:pt>
                <c:pt idx="108">
                  <c:v>-0.0713822193380922</c:v>
                </c:pt>
                <c:pt idx="109">
                  <c:v>0.0749126484975542</c:v>
                </c:pt>
                <c:pt idx="110">
                  <c:v>0.0251592770771032</c:v>
                </c:pt>
                <c:pt idx="111">
                  <c:v>-0.146109455260321</c:v>
                </c:pt>
                <c:pt idx="112">
                  <c:v>-0.024359450427033</c:v>
                </c:pt>
                <c:pt idx="113">
                  <c:v>-0.106112506660577</c:v>
                </c:pt>
                <c:pt idx="114">
                  <c:v>0.112833177211956</c:v>
                </c:pt>
                <c:pt idx="115">
                  <c:v>-0.015993265993266</c:v>
                </c:pt>
                <c:pt idx="116">
                  <c:v>-0.0297845866708142</c:v>
                </c:pt>
                <c:pt idx="117">
                  <c:v>0.0509778775248477</c:v>
                </c:pt>
                <c:pt idx="118">
                  <c:v>0.00549115314215976</c:v>
                </c:pt>
                <c:pt idx="119">
                  <c:v>0.0133495145631066</c:v>
                </c:pt>
                <c:pt idx="120">
                  <c:v>-0.0801646706586826</c:v>
                </c:pt>
                <c:pt idx="121">
                  <c:v>0.0564732687769551</c:v>
                </c:pt>
                <c:pt idx="122">
                  <c:v>0.0501424940306554</c:v>
                </c:pt>
                <c:pt idx="123">
                  <c:v>0.0396068651899664</c:v>
                </c:pt>
                <c:pt idx="124">
                  <c:v>-0.0299844786228305</c:v>
                </c:pt>
                <c:pt idx="125">
                  <c:v>0.0298203505709507</c:v>
                </c:pt>
                <c:pt idx="126">
                  <c:v>-0.0621512818701887</c:v>
                </c:pt>
                <c:pt idx="127">
                  <c:v>0.00534678816175926</c:v>
                </c:pt>
                <c:pt idx="128">
                  <c:v>-0.0045692883895132</c:v>
                </c:pt>
                <c:pt idx="129">
                  <c:v>0.00511701407178866</c:v>
                </c:pt>
                <c:pt idx="130">
                  <c:v>-0.0175937710563749</c:v>
                </c:pt>
                <c:pt idx="131">
                  <c:v>-0.0796372504191435</c:v>
                </c:pt>
                <c:pt idx="132">
                  <c:v>0.0489359940382546</c:v>
                </c:pt>
                <c:pt idx="133">
                  <c:v>0.163167035048942</c:v>
                </c:pt>
                <c:pt idx="134">
                  <c:v>0.114557176789956</c:v>
                </c:pt>
                <c:pt idx="135">
                  <c:v>0.0772087925470377</c:v>
                </c:pt>
                <c:pt idx="136">
                  <c:v>-0.0237974111129954</c:v>
                </c:pt>
                <c:pt idx="137">
                  <c:v>-0.179096699478865</c:v>
                </c:pt>
                <c:pt idx="138">
                  <c:v>0.00141073569866679</c:v>
                </c:pt>
                <c:pt idx="139">
                  <c:v>0.0849475241248152</c:v>
                </c:pt>
                <c:pt idx="140">
                  <c:v>0.0353177952346946</c:v>
                </c:pt>
                <c:pt idx="141">
                  <c:v>-0.032608014046529</c:v>
                </c:pt>
                <c:pt idx="142">
                  <c:v>0.0581448110455693</c:v>
                </c:pt>
                <c:pt idx="143">
                  <c:v>0.0393898554275911</c:v>
                </c:pt>
                <c:pt idx="144">
                  <c:v>-0.0711380915895562</c:v>
                </c:pt>
                <c:pt idx="145">
                  <c:v>0.0151649746192895</c:v>
                </c:pt>
                <c:pt idx="146">
                  <c:v>0.168573035814738</c:v>
                </c:pt>
                <c:pt idx="147">
                  <c:v>-0.0981493367565254</c:v>
                </c:pt>
                <c:pt idx="148">
                  <c:v>0.0319079532649309</c:v>
                </c:pt>
                <c:pt idx="149">
                  <c:v>0.0365538249324673</c:v>
                </c:pt>
                <c:pt idx="150">
                  <c:v>0.046132520099806</c:v>
                </c:pt>
                <c:pt idx="151">
                  <c:v>0.0537976360841681</c:v>
                </c:pt>
                <c:pt idx="152">
                  <c:v>-0.0511517955940045</c:v>
                </c:pt>
                <c:pt idx="153">
                  <c:v>0.0356745295520806</c:v>
                </c:pt>
                <c:pt idx="154">
                  <c:v>-0.00818916982290918</c:v>
                </c:pt>
                <c:pt idx="155">
                  <c:v>0.0299824543296523</c:v>
                </c:pt>
                <c:pt idx="156">
                  <c:v>-0.00100205421113286</c:v>
                </c:pt>
                <c:pt idx="157">
                  <c:v>0.0359095240483476</c:v>
                </c:pt>
                <c:pt idx="158">
                  <c:v>-0.00789155168240152</c:v>
                </c:pt>
              </c:numCache>
            </c:numRef>
          </c:val>
        </c:ser>
        <c:gapWidth val="150"/>
        <c:overlap val="0"/>
        <c:axId val="77977538"/>
        <c:axId val="66361085"/>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(Calc)'!$X$3:$X$500</c:f>
              <c:numCache>
                <c:formatCode>#,##0.00</c:formatCode>
                <c:ptCount val="498"/>
                <c:pt idx="0">
                  <c:v>46.18</c:v>
                </c:pt>
                <c:pt idx="1">
                  <c:v>45.8877215189873</c:v>
                </c:pt>
                <c:pt idx="2">
                  <c:v>45.5954430379747</c:v>
                </c:pt>
                <c:pt idx="3">
                  <c:v>45.303164556962</c:v>
                </c:pt>
                <c:pt idx="4">
                  <c:v>45.0108860759494</c:v>
                </c:pt>
                <c:pt idx="5">
                  <c:v>44.7186075949367</c:v>
                </c:pt>
                <c:pt idx="6">
                  <c:v>44.4263291139241</c:v>
                </c:pt>
                <c:pt idx="7">
                  <c:v>44.1340506329114</c:v>
                </c:pt>
                <c:pt idx="8">
                  <c:v>43.8417721518987</c:v>
                </c:pt>
                <c:pt idx="9">
                  <c:v>43.5494936708861</c:v>
                </c:pt>
                <c:pt idx="10">
                  <c:v>43.2572151898734</c:v>
                </c:pt>
                <c:pt idx="11">
                  <c:v>42.9649367088608</c:v>
                </c:pt>
                <c:pt idx="12">
                  <c:v>42.6726582278481</c:v>
                </c:pt>
                <c:pt idx="13">
                  <c:v>42.3803797468354</c:v>
                </c:pt>
                <c:pt idx="14">
                  <c:v>42.0881012658228</c:v>
                </c:pt>
                <c:pt idx="15">
                  <c:v>41.7958227848101</c:v>
                </c:pt>
                <c:pt idx="16">
                  <c:v>41.5035443037975</c:v>
                </c:pt>
                <c:pt idx="17">
                  <c:v>41.2112658227848</c:v>
                </c:pt>
                <c:pt idx="18">
                  <c:v>40.9189873417722</c:v>
                </c:pt>
                <c:pt idx="19">
                  <c:v>40.6267088607595</c:v>
                </c:pt>
                <c:pt idx="20">
                  <c:v>40.3344303797468</c:v>
                </c:pt>
                <c:pt idx="21">
                  <c:v>40.0421518987342</c:v>
                </c:pt>
                <c:pt idx="22">
                  <c:v>39.7498734177215</c:v>
                </c:pt>
                <c:pt idx="23">
                  <c:v>39.4575949367089</c:v>
                </c:pt>
                <c:pt idx="24">
                  <c:v>39.1653164556962</c:v>
                </c:pt>
                <c:pt idx="25">
                  <c:v>38.8730379746835</c:v>
                </c:pt>
                <c:pt idx="26">
                  <c:v>38.5807594936709</c:v>
                </c:pt>
                <c:pt idx="27">
                  <c:v>38.2884810126582</c:v>
                </c:pt>
                <c:pt idx="28">
                  <c:v>37.9962025316456</c:v>
                </c:pt>
                <c:pt idx="29">
                  <c:v>37.7039240506329</c:v>
                </c:pt>
                <c:pt idx="30">
                  <c:v>37.4116455696203</c:v>
                </c:pt>
                <c:pt idx="31">
                  <c:v>37.1193670886076</c:v>
                </c:pt>
                <c:pt idx="32">
                  <c:v>36.8270886075949</c:v>
                </c:pt>
                <c:pt idx="33">
                  <c:v>36.5348101265823</c:v>
                </c:pt>
                <c:pt idx="34">
                  <c:v>36.2425316455696</c:v>
                </c:pt>
                <c:pt idx="35">
                  <c:v>35.950253164557</c:v>
                </c:pt>
                <c:pt idx="36">
                  <c:v>35.6579746835443</c:v>
                </c:pt>
                <c:pt idx="37">
                  <c:v>35.3656962025316</c:v>
                </c:pt>
                <c:pt idx="38">
                  <c:v>35.073417721519</c:v>
                </c:pt>
                <c:pt idx="39">
                  <c:v>34.7811392405063</c:v>
                </c:pt>
                <c:pt idx="40">
                  <c:v>34.4888607594937</c:v>
                </c:pt>
                <c:pt idx="41">
                  <c:v>34.196582278481</c:v>
                </c:pt>
                <c:pt idx="42">
                  <c:v>33.9043037974684</c:v>
                </c:pt>
                <c:pt idx="43">
                  <c:v>33.6120253164557</c:v>
                </c:pt>
                <c:pt idx="44">
                  <c:v>33.319746835443</c:v>
                </c:pt>
                <c:pt idx="45">
                  <c:v>33.0274683544304</c:v>
                </c:pt>
                <c:pt idx="46">
                  <c:v>32.7351898734177</c:v>
                </c:pt>
                <c:pt idx="47">
                  <c:v>32.4429113924051</c:v>
                </c:pt>
                <c:pt idx="48">
                  <c:v>32.1506329113924</c:v>
                </c:pt>
                <c:pt idx="49">
                  <c:v>31.8583544303797</c:v>
                </c:pt>
                <c:pt idx="50">
                  <c:v>31.5660759493671</c:v>
                </c:pt>
                <c:pt idx="51">
                  <c:v>31.2737974683544</c:v>
                </c:pt>
                <c:pt idx="52">
                  <c:v>30.9815189873418</c:v>
                </c:pt>
                <c:pt idx="53">
                  <c:v>30.6892405063291</c:v>
                </c:pt>
                <c:pt idx="54">
                  <c:v>30.3969620253165</c:v>
                </c:pt>
                <c:pt idx="55">
                  <c:v>30.1046835443038</c:v>
                </c:pt>
                <c:pt idx="56">
                  <c:v>29.8124050632911</c:v>
                </c:pt>
                <c:pt idx="57">
                  <c:v>29.5201265822785</c:v>
                </c:pt>
                <c:pt idx="58">
                  <c:v>29.2278481012658</c:v>
                </c:pt>
                <c:pt idx="59">
                  <c:v>28.9355696202532</c:v>
                </c:pt>
                <c:pt idx="60">
                  <c:v>28.6432911392405</c:v>
                </c:pt>
                <c:pt idx="61">
                  <c:v>28.3510126582278</c:v>
                </c:pt>
                <c:pt idx="62">
                  <c:v>28.0587341772152</c:v>
                </c:pt>
                <c:pt idx="63">
                  <c:v>27.7664556962025</c:v>
                </c:pt>
                <c:pt idx="64">
                  <c:v>27.4741772151899</c:v>
                </c:pt>
                <c:pt idx="65">
                  <c:v>27.1818987341772</c:v>
                </c:pt>
                <c:pt idx="66">
                  <c:v>26.8896202531646</c:v>
                </c:pt>
                <c:pt idx="67">
                  <c:v>26.5973417721519</c:v>
                </c:pt>
                <c:pt idx="68">
                  <c:v>26.3050632911392</c:v>
                </c:pt>
                <c:pt idx="69">
                  <c:v>26.0127848101266</c:v>
                </c:pt>
                <c:pt idx="70">
                  <c:v>25.7205063291139</c:v>
                </c:pt>
                <c:pt idx="71">
                  <c:v>25.4282278481013</c:v>
                </c:pt>
                <c:pt idx="72">
                  <c:v>25.1359493670886</c:v>
                </c:pt>
                <c:pt idx="73">
                  <c:v>24.843670886076</c:v>
                </c:pt>
                <c:pt idx="74">
                  <c:v>24.5513924050633</c:v>
                </c:pt>
                <c:pt idx="75">
                  <c:v>24.2591139240506</c:v>
                </c:pt>
                <c:pt idx="76">
                  <c:v>23.966835443038</c:v>
                </c:pt>
                <c:pt idx="77">
                  <c:v>23.6745569620253</c:v>
                </c:pt>
                <c:pt idx="78">
                  <c:v>23.3822784810127</c:v>
                </c:pt>
                <c:pt idx="79">
                  <c:v>23.09</c:v>
                </c:pt>
                <c:pt idx="80">
                  <c:v>22.7977215189873</c:v>
                </c:pt>
                <c:pt idx="81">
                  <c:v>22.5054430379747</c:v>
                </c:pt>
                <c:pt idx="82">
                  <c:v>22.213164556962</c:v>
                </c:pt>
                <c:pt idx="83">
                  <c:v>21.9208860759494</c:v>
                </c:pt>
                <c:pt idx="84">
                  <c:v>21.6286075949367</c:v>
                </c:pt>
                <c:pt idx="85">
                  <c:v>21.336329113924</c:v>
                </c:pt>
                <c:pt idx="86">
                  <c:v>21.0440506329114</c:v>
                </c:pt>
                <c:pt idx="87">
                  <c:v>20.7517721518987</c:v>
                </c:pt>
                <c:pt idx="88">
                  <c:v>20.4594936708861</c:v>
                </c:pt>
                <c:pt idx="89">
                  <c:v>20.1672151898734</c:v>
                </c:pt>
                <c:pt idx="90">
                  <c:v>19.8749367088608</c:v>
                </c:pt>
                <c:pt idx="91">
                  <c:v>19.5826582278481</c:v>
                </c:pt>
                <c:pt idx="92">
                  <c:v>19.2903797468354</c:v>
                </c:pt>
                <c:pt idx="93">
                  <c:v>18.9981012658228</c:v>
                </c:pt>
                <c:pt idx="94">
                  <c:v>18.7058227848101</c:v>
                </c:pt>
                <c:pt idx="95">
                  <c:v>18.4135443037975</c:v>
                </c:pt>
                <c:pt idx="96">
                  <c:v>18.1212658227848</c:v>
                </c:pt>
                <c:pt idx="97">
                  <c:v>17.8289873417722</c:v>
                </c:pt>
                <c:pt idx="98">
                  <c:v>17.5367088607595</c:v>
                </c:pt>
                <c:pt idx="99">
                  <c:v>17.2444303797468</c:v>
                </c:pt>
                <c:pt idx="100">
                  <c:v>16.9521518987342</c:v>
                </c:pt>
                <c:pt idx="101">
                  <c:v>16.6598734177215</c:v>
                </c:pt>
                <c:pt idx="102">
                  <c:v>16.3675949367089</c:v>
                </c:pt>
                <c:pt idx="103">
                  <c:v>16.0753164556962</c:v>
                </c:pt>
                <c:pt idx="104">
                  <c:v>15.7830379746835</c:v>
                </c:pt>
                <c:pt idx="105">
                  <c:v>15.4907594936709</c:v>
                </c:pt>
                <c:pt idx="106">
                  <c:v>15.1984810126582</c:v>
                </c:pt>
                <c:pt idx="107">
                  <c:v>14.9062025316456</c:v>
                </c:pt>
                <c:pt idx="108">
                  <c:v>14.6139240506329</c:v>
                </c:pt>
                <c:pt idx="109">
                  <c:v>14.3216455696203</c:v>
                </c:pt>
                <c:pt idx="110">
                  <c:v>14.0293670886076</c:v>
                </c:pt>
                <c:pt idx="111">
                  <c:v>13.7370886075949</c:v>
                </c:pt>
                <c:pt idx="112">
                  <c:v>13.4448101265823</c:v>
                </c:pt>
                <c:pt idx="113">
                  <c:v>13.1525316455696</c:v>
                </c:pt>
                <c:pt idx="114">
                  <c:v>12.860253164557</c:v>
                </c:pt>
                <c:pt idx="115">
                  <c:v>12.5679746835443</c:v>
                </c:pt>
                <c:pt idx="116">
                  <c:v>12.2756962025316</c:v>
                </c:pt>
                <c:pt idx="117">
                  <c:v>11.983417721519</c:v>
                </c:pt>
                <c:pt idx="118">
                  <c:v>11.6911392405063</c:v>
                </c:pt>
                <c:pt idx="119">
                  <c:v>11.3988607594937</c:v>
                </c:pt>
                <c:pt idx="120">
                  <c:v>11.106582278481</c:v>
                </c:pt>
                <c:pt idx="121">
                  <c:v>10.8143037974684</c:v>
                </c:pt>
                <c:pt idx="122">
                  <c:v>10.5220253164557</c:v>
                </c:pt>
                <c:pt idx="123">
                  <c:v>10.229746835443</c:v>
                </c:pt>
                <c:pt idx="124">
                  <c:v>9.93746835443038</c:v>
                </c:pt>
                <c:pt idx="125">
                  <c:v>9.64518987341772</c:v>
                </c:pt>
                <c:pt idx="126">
                  <c:v>9.35291139240506</c:v>
                </c:pt>
                <c:pt idx="127">
                  <c:v>9.0606329113924</c:v>
                </c:pt>
                <c:pt idx="128">
                  <c:v>8.76835443037975</c:v>
                </c:pt>
                <c:pt idx="129">
                  <c:v>8.47607594936709</c:v>
                </c:pt>
                <c:pt idx="130">
                  <c:v>8.18379746835444</c:v>
                </c:pt>
                <c:pt idx="131">
                  <c:v>7.89151898734177</c:v>
                </c:pt>
                <c:pt idx="132">
                  <c:v>7.59924050632911</c:v>
                </c:pt>
                <c:pt idx="133">
                  <c:v>7.30696202531646</c:v>
                </c:pt>
                <c:pt idx="134">
                  <c:v>7.0146835443038</c:v>
                </c:pt>
                <c:pt idx="135">
                  <c:v>6.72240506329113</c:v>
                </c:pt>
                <c:pt idx="136">
                  <c:v>6.43012658227848</c:v>
                </c:pt>
                <c:pt idx="137">
                  <c:v>6.13784810126582</c:v>
                </c:pt>
                <c:pt idx="138">
                  <c:v>5.84556962025317</c:v>
                </c:pt>
                <c:pt idx="139">
                  <c:v>5.55329113924051</c:v>
                </c:pt>
                <c:pt idx="140">
                  <c:v>5.26101265822785</c:v>
                </c:pt>
                <c:pt idx="141">
                  <c:v>4.96873417721519</c:v>
                </c:pt>
                <c:pt idx="142">
                  <c:v>4.67645569620253</c:v>
                </c:pt>
                <c:pt idx="143">
                  <c:v>4.38417721518987</c:v>
                </c:pt>
                <c:pt idx="144">
                  <c:v>4.09189873417721</c:v>
                </c:pt>
                <c:pt idx="145">
                  <c:v>3.79962025316456</c:v>
                </c:pt>
                <c:pt idx="146">
                  <c:v>3.5073417721519</c:v>
                </c:pt>
                <c:pt idx="147">
                  <c:v>3.21506329113924</c:v>
                </c:pt>
                <c:pt idx="148">
                  <c:v>2.92278481012658</c:v>
                </c:pt>
                <c:pt idx="149">
                  <c:v>2.63050632911393</c:v>
                </c:pt>
                <c:pt idx="150">
                  <c:v>2.33822784810127</c:v>
                </c:pt>
                <c:pt idx="151">
                  <c:v>2.0459493670886</c:v>
                </c:pt>
                <c:pt idx="152">
                  <c:v>1.75367088607595</c:v>
                </c:pt>
                <c:pt idx="153">
                  <c:v>1.46139240506329</c:v>
                </c:pt>
                <c:pt idx="154">
                  <c:v>1.16911392405063</c:v>
                </c:pt>
                <c:pt idx="155">
                  <c:v>0.876835443037976</c:v>
                </c:pt>
                <c:pt idx="156">
                  <c:v>0.584556962025317</c:v>
                </c:pt>
                <c:pt idx="157">
                  <c:v>0.292278481012659</c:v>
                </c:pt>
                <c:pt idx="158">
                  <c:v>0</c:v>
                </c:pt>
                <c:pt idx="159">
                  <c:v>-0.292278481012659</c:v>
                </c:pt>
              </c:numCache>
            </c:numRef>
          </c:val>
          <c:smooth val="0"/>
        </c:ser>
        <c:hiLowLines>
          <c:spPr>
            <a:ln w="0">
              <a:noFill/>
            </a:ln>
          </c:spPr>
        </c:hiLowLines>
        <c:marker val="0"/>
        <c:axId val="77550525"/>
        <c:axId val="13223232"/>
      </c:lineChart>
      <c:dateAx>
        <c:axId val="7797753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6361085"/>
        <c:auto val="1"/>
        <c:lblOffset val="100"/>
        <c:baseTimeUnit val="days"/>
      </c:dateAx>
      <c:valAx>
        <c:axId val="6636108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977538"/>
        <c:crosses val="autoZero"/>
        <c:crossBetween val="between"/>
      </c:valAx>
      <c:dateAx>
        <c:axId val="7755052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223232"/>
        <c:auto val="1"/>
        <c:lblOffset val="100"/>
        <c:baseTimeUnit val="days"/>
      </c:dateAx>
      <c:valAx>
        <c:axId val="1322323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55052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(Calc)'!$D$3:$D$500</c:f>
              <c:numCache>
                <c:formatCode>0.0%</c:formatCode>
                <c:ptCount val="498"/>
                <c:pt idx="0">
                  <c:v>-0.016013470558925</c:v>
                </c:pt>
                <c:pt idx="1">
                  <c:v>0.00265414098377836</c:v>
                </c:pt>
                <c:pt idx="2">
                  <c:v>0.0147681161944238</c:v>
                </c:pt>
                <c:pt idx="3">
                  <c:v>0.00401585748854427</c:v>
                </c:pt>
                <c:pt idx="4">
                  <c:v>-0.0327675503820316</c:v>
                </c:pt>
                <c:pt idx="5">
                  <c:v>0.0170713604071677</c:v>
                </c:pt>
                <c:pt idx="6">
                  <c:v>0.0916041145398945</c:v>
                </c:pt>
                <c:pt idx="7">
                  <c:v>0.0293836750286516</c:v>
                </c:pt>
                <c:pt idx="8">
                  <c:v>0.0375135302304004</c:v>
                </c:pt>
                <c:pt idx="9">
                  <c:v>0.00742220102539637</c:v>
                </c:pt>
                <c:pt idx="10">
                  <c:v>0.00147942125040679</c:v>
                </c:pt>
                <c:pt idx="11">
                  <c:v>0.00610098383904045</c:v>
                </c:pt>
                <c:pt idx="12">
                  <c:v>0.0811810827080917</c:v>
                </c:pt>
                <c:pt idx="13">
                  <c:v>-0.000570373187028017</c:v>
                </c:pt>
                <c:pt idx="14">
                  <c:v>0.00582927956083368</c:v>
                </c:pt>
                <c:pt idx="15">
                  <c:v>-0.0707888088837253</c:v>
                </c:pt>
                <c:pt idx="16">
                  <c:v>0.0140441678903216</c:v>
                </c:pt>
                <c:pt idx="17">
                  <c:v>0.0625528681414787</c:v>
                </c:pt>
                <c:pt idx="18">
                  <c:v>0.145037240932643</c:v>
                </c:pt>
                <c:pt idx="19">
                  <c:v>0.0264078905504295</c:v>
                </c:pt>
                <c:pt idx="20">
                  <c:v>0.0680351771486303</c:v>
                </c:pt>
                <c:pt idx="21">
                  <c:v>-0.0217461409468117</c:v>
                </c:pt>
                <c:pt idx="22">
                  <c:v>0.00463710785121707</c:v>
                </c:pt>
                <c:pt idx="23">
                  <c:v>0.0618088748400363</c:v>
                </c:pt>
                <c:pt idx="24">
                  <c:v>0.00343023136034937</c:v>
                </c:pt>
                <c:pt idx="25">
                  <c:v>-0.054429171243494</c:v>
                </c:pt>
                <c:pt idx="26">
                  <c:v>0.042275999088037</c:v>
                </c:pt>
                <c:pt idx="27">
                  <c:v>-0.00968719727508516</c:v>
                </c:pt>
                <c:pt idx="28">
                  <c:v>0.00936122768819736</c:v>
                </c:pt>
                <c:pt idx="29">
                  <c:v>-0.01807988495566</c:v>
                </c:pt>
                <c:pt idx="30">
                  <c:v>-0.106359044020886</c:v>
                </c:pt>
                <c:pt idx="31">
                  <c:v>0.0713607106381968</c:v>
                </c:pt>
                <c:pt idx="32">
                  <c:v>-0.0188660422324447</c:v>
                </c:pt>
                <c:pt idx="33">
                  <c:v>0.031780642391513</c:v>
                </c:pt>
                <c:pt idx="34">
                  <c:v>-0.00571578739898826</c:v>
                </c:pt>
                <c:pt idx="35">
                  <c:v>0.0337870578388617</c:v>
                </c:pt>
                <c:pt idx="36">
                  <c:v>0.00431438554627572</c:v>
                </c:pt>
                <c:pt idx="37">
                  <c:v>0.0708868546941461</c:v>
                </c:pt>
                <c:pt idx="38">
                  <c:v>-0.000505150554675149</c:v>
                </c:pt>
                <c:pt idx="39">
                  <c:v>0.00846307068745111</c:v>
                </c:pt>
                <c:pt idx="40">
                  <c:v>-0.0133840393856314</c:v>
                </c:pt>
                <c:pt idx="41">
                  <c:v>0.0505971056065178</c:v>
                </c:pt>
                <c:pt idx="42">
                  <c:v>0.0100397227936786</c:v>
                </c:pt>
                <c:pt idx="43">
                  <c:v>-0.174976534634879</c:v>
                </c:pt>
                <c:pt idx="44">
                  <c:v>-0.00779312384809672</c:v>
                </c:pt>
                <c:pt idx="45">
                  <c:v>-0.0872805659706695</c:v>
                </c:pt>
                <c:pt idx="46">
                  <c:v>0.0632529742088668</c:v>
                </c:pt>
                <c:pt idx="47">
                  <c:v>0.0675362729807647</c:v>
                </c:pt>
                <c:pt idx="48">
                  <c:v>-0.0124180981051887</c:v>
                </c:pt>
                <c:pt idx="49">
                  <c:v>-0.00373192872352335</c:v>
                </c:pt>
                <c:pt idx="50">
                  <c:v>-0.167148497699585</c:v>
                </c:pt>
                <c:pt idx="51">
                  <c:v>0.0844431238012913</c:v>
                </c:pt>
                <c:pt idx="52">
                  <c:v>-0.0258189064640678</c:v>
                </c:pt>
                <c:pt idx="53">
                  <c:v>0.0581714972448444</c:v>
                </c:pt>
                <c:pt idx="54">
                  <c:v>-0.0101489724165428</c:v>
                </c:pt>
                <c:pt idx="55">
                  <c:v>0.00922772712292663</c:v>
                </c:pt>
                <c:pt idx="56">
                  <c:v>-0.139678047482554</c:v>
                </c:pt>
                <c:pt idx="57">
                  <c:v>-0.0159839176764979</c:v>
                </c:pt>
                <c:pt idx="58">
                  <c:v>-0.0497449890709603</c:v>
                </c:pt>
                <c:pt idx="59">
                  <c:v>-0.00780275125911445</c:v>
                </c:pt>
                <c:pt idx="60">
                  <c:v>-0.0161827989575126</c:v>
                </c:pt>
                <c:pt idx="61">
                  <c:v>0.0216239526860524</c:v>
                </c:pt>
                <c:pt idx="62">
                  <c:v>0.020412470602424</c:v>
                </c:pt>
                <c:pt idx="63">
                  <c:v>0.0325768992110629</c:v>
                </c:pt>
                <c:pt idx="64">
                  <c:v>0.0135496702007412</c:v>
                </c:pt>
                <c:pt idx="65">
                  <c:v>-0.0179564640447218</c:v>
                </c:pt>
                <c:pt idx="66">
                  <c:v>0.0112123738607941</c:v>
                </c:pt>
                <c:pt idx="67">
                  <c:v>0.0010803741506269</c:v>
                </c:pt>
                <c:pt idx="68">
                  <c:v>0.0345062622475931</c:v>
                </c:pt>
                <c:pt idx="69">
                  <c:v>0.0234310657222863</c:v>
                </c:pt>
                <c:pt idx="70">
                  <c:v>-0.0318405558014459</c:v>
                </c:pt>
                <c:pt idx="71">
                  <c:v>0.00964189235990842</c:v>
                </c:pt>
                <c:pt idx="72">
                  <c:v>-0.015696820844939</c:v>
                </c:pt>
                <c:pt idx="73">
                  <c:v>0.0349470984289837</c:v>
                </c:pt>
                <c:pt idx="74">
                  <c:v>-0.019072248262486</c:v>
                </c:pt>
                <c:pt idx="75">
                  <c:v>-0.038158400615148</c:v>
                </c:pt>
                <c:pt idx="76">
                  <c:v>0.0326342988479493</c:v>
                </c:pt>
                <c:pt idx="77">
                  <c:v>-0.0248842192576207</c:v>
                </c:pt>
                <c:pt idx="78">
                  <c:v>0.00310484156801572</c:v>
                </c:pt>
                <c:pt idx="79">
                  <c:v>-0.0581309890606891</c:v>
                </c:pt>
                <c:pt idx="80">
                  <c:v>-0.102339400669258</c:v>
                </c:pt>
                <c:pt idx="81">
                  <c:v>0.104478360441985</c:v>
                </c:pt>
                <c:pt idx="82">
                  <c:v>-0.0428478454995385</c:v>
                </c:pt>
                <c:pt idx="83">
                  <c:v>0.0579696394686906</c:v>
                </c:pt>
                <c:pt idx="84">
                  <c:v>0.0224494066301977</c:v>
                </c:pt>
                <c:pt idx="85">
                  <c:v>0.0229943866214477</c:v>
                </c:pt>
                <c:pt idx="86">
                  <c:v>0.0593161000843088</c:v>
                </c:pt>
                <c:pt idx="87">
                  <c:v>-0.0208546916311445</c:v>
                </c:pt>
                <c:pt idx="88">
                  <c:v>0.00584134681619042</c:v>
                </c:pt>
                <c:pt idx="89">
                  <c:v>0.0220517737296262</c:v>
                </c:pt>
                <c:pt idx="90">
                  <c:v>0.0106003752345216</c:v>
                </c:pt>
                <c:pt idx="91">
                  <c:v>-0.00587447454615386</c:v>
                </c:pt>
                <c:pt idx="92">
                  <c:v>0.0521022302849217</c:v>
                </c:pt>
                <c:pt idx="93">
                  <c:v>-0.00182569668078203</c:v>
                </c:pt>
                <c:pt idx="94">
                  <c:v>0.00936110758287811</c:v>
                </c:pt>
                <c:pt idx="95">
                  <c:v>-0.0839845470446853</c:v>
                </c:pt>
                <c:pt idx="96">
                  <c:v>-0.0317612957289849</c:v>
                </c:pt>
                <c:pt idx="97">
                  <c:v>-0.0276670308310041</c:v>
                </c:pt>
                <c:pt idx="98">
                  <c:v>0.0471027710087406</c:v>
                </c:pt>
                <c:pt idx="99">
                  <c:v>0.0274669379450661</c:v>
                </c:pt>
                <c:pt idx="100">
                  <c:v>0.0171571951715721</c:v>
                </c:pt>
                <c:pt idx="101">
                  <c:v>-0.0162544169611308</c:v>
                </c:pt>
                <c:pt idx="102">
                  <c:v>0.0526187378009109</c:v>
                </c:pt>
                <c:pt idx="103">
                  <c:v>0.0411548069741687</c:v>
                </c:pt>
                <c:pt idx="104">
                  <c:v>0.145336037796522</c:v>
                </c:pt>
                <c:pt idx="105">
                  <c:v>0.0207764159602613</c:v>
                </c:pt>
                <c:pt idx="106">
                  <c:v>0.0848205312655377</c:v>
                </c:pt>
                <c:pt idx="107">
                  <c:v>-0.0930402644640995</c:v>
                </c:pt>
                <c:pt idx="108">
                  <c:v>0.0994236930950692</c:v>
                </c:pt>
                <c:pt idx="109">
                  <c:v>0.00372605204737253</c:v>
                </c:pt>
                <c:pt idx="110">
                  <c:v>0.0271157706023346</c:v>
                </c:pt>
                <c:pt idx="111">
                  <c:v>-0.0399081742034018</c:v>
                </c:pt>
                <c:pt idx="112">
                  <c:v>-0.00981128347001292</c:v>
                </c:pt>
                <c:pt idx="113">
                  <c:v>-0.0401329115818673</c:v>
                </c:pt>
                <c:pt idx="114">
                  <c:v>0.0966578304485681</c:v>
                </c:pt>
                <c:pt idx="115">
                  <c:v>0.0372346980368365</c:v>
                </c:pt>
                <c:pt idx="116">
                  <c:v>-0.0169345920801308</c:v>
                </c:pt>
                <c:pt idx="117">
                  <c:v>-0.0229715156923993</c:v>
                </c:pt>
                <c:pt idx="118">
                  <c:v>0.0158425073979276</c:v>
                </c:pt>
                <c:pt idx="119">
                  <c:v>0.0848616548959369</c:v>
                </c:pt>
                <c:pt idx="120">
                  <c:v>0.0946020617844623</c:v>
                </c:pt>
                <c:pt idx="121">
                  <c:v>0.0664778867162543</c:v>
                </c:pt>
                <c:pt idx="122">
                  <c:v>0.0224322705185385</c:v>
                </c:pt>
                <c:pt idx="123">
                  <c:v>0.0244502314814814</c:v>
                </c:pt>
                <c:pt idx="124">
                  <c:v>-0.00702584380737192</c:v>
                </c:pt>
                <c:pt idx="125">
                  <c:v>-0.00321422222222223</c:v>
                </c:pt>
                <c:pt idx="126">
                  <c:v>0.0447732444907365</c:v>
                </c:pt>
                <c:pt idx="127">
                  <c:v>-0.0129464864901775</c:v>
                </c:pt>
                <c:pt idx="128">
                  <c:v>-0.108755958022317</c:v>
                </c:pt>
                <c:pt idx="129">
                  <c:v>0.0409059860904124</c:v>
                </c:pt>
                <c:pt idx="130">
                  <c:v>-0.0211331672905698</c:v>
                </c:pt>
                <c:pt idx="131">
                  <c:v>-0.0112213182192157</c:v>
                </c:pt>
                <c:pt idx="132">
                  <c:v>0.0113332562887631</c:v>
                </c:pt>
                <c:pt idx="133">
                  <c:v>0.122263190772934</c:v>
                </c:pt>
                <c:pt idx="134">
                  <c:v>-0.012497030173438</c:v>
                </c:pt>
                <c:pt idx="135">
                  <c:v>-0.00144355692426135</c:v>
                </c:pt>
                <c:pt idx="136">
                  <c:v>-0.0189035136028197</c:v>
                </c:pt>
                <c:pt idx="137">
                  <c:v>0.115620483026705</c:v>
                </c:pt>
                <c:pt idx="138">
                  <c:v>-0.0566618028126494</c:v>
                </c:pt>
                <c:pt idx="139">
                  <c:v>0.0872875649222933</c:v>
                </c:pt>
                <c:pt idx="140">
                  <c:v>-0.0123314467221407</c:v>
                </c:pt>
                <c:pt idx="141">
                  <c:v>0.0179675664936547</c:v>
                </c:pt>
                <c:pt idx="142">
                  <c:v>0.135104475427233</c:v>
                </c:pt>
                <c:pt idx="143">
                  <c:v>0.0354890013647549</c:v>
                </c:pt>
                <c:pt idx="144">
                  <c:v>-0.0699930987603714</c:v>
                </c:pt>
                <c:pt idx="145">
                  <c:v>-0.0140992021424985</c:v>
                </c:pt>
                <c:pt idx="146">
                  <c:v>0.015828820110581</c:v>
                </c:pt>
                <c:pt idx="147">
                  <c:v>-0.0276768802228413</c:v>
                </c:pt>
                <c:pt idx="148">
                  <c:v>0.00544312790777624</c:v>
                </c:pt>
                <c:pt idx="149">
                  <c:v>-0.071699661503744</c:v>
                </c:pt>
                <c:pt idx="150">
                  <c:v>0.0687476979742174</c:v>
                </c:pt>
                <c:pt idx="151">
                  <c:v>0.059213436033521</c:v>
                </c:pt>
                <c:pt idx="152">
                  <c:v>-0.0435555941173919</c:v>
                </c:pt>
                <c:pt idx="153">
                  <c:v>-0.0383272100512541</c:v>
                </c:pt>
                <c:pt idx="154">
                  <c:v>0.011036694651448</c:v>
                </c:pt>
                <c:pt idx="155">
                  <c:v>-0.00966831498413889</c:v>
                </c:pt>
                <c:pt idx="156">
                  <c:v>-0.0108225872931754</c:v>
                </c:pt>
                <c:pt idx="157">
                  <c:v>0.038108957569408</c:v>
                </c:pt>
                <c:pt idx="158">
                  <c:v>0.0157516887048867</c:v>
                </c:pt>
              </c:numCache>
            </c:numRef>
          </c:val>
        </c:ser>
        <c:gapWidth val="150"/>
        <c:overlap val="0"/>
        <c:axId val="16294542"/>
        <c:axId val="90034659"/>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(Calc)'!$Y$3:$Y$500</c:f>
              <c:numCache>
                <c:formatCode>#,##0.00</c:formatCode>
                <c:ptCount val="498"/>
                <c:pt idx="0">
                  <c:v>582.01</c:v>
                </c:pt>
                <c:pt idx="1">
                  <c:v>578.326392405063</c:v>
                </c:pt>
                <c:pt idx="2">
                  <c:v>574.642784810127</c:v>
                </c:pt>
                <c:pt idx="3">
                  <c:v>570.95917721519</c:v>
                </c:pt>
                <c:pt idx="4">
                  <c:v>567.275569620253</c:v>
                </c:pt>
                <c:pt idx="5">
                  <c:v>563.591962025316</c:v>
                </c:pt>
                <c:pt idx="6">
                  <c:v>559.90835443038</c:v>
                </c:pt>
                <c:pt idx="7">
                  <c:v>556.224746835443</c:v>
                </c:pt>
                <c:pt idx="8">
                  <c:v>552.541139240506</c:v>
                </c:pt>
                <c:pt idx="9">
                  <c:v>548.85753164557</c:v>
                </c:pt>
                <c:pt idx="10">
                  <c:v>545.173924050633</c:v>
                </c:pt>
                <c:pt idx="11">
                  <c:v>541.490316455696</c:v>
                </c:pt>
                <c:pt idx="12">
                  <c:v>537.80670886076</c:v>
                </c:pt>
                <c:pt idx="13">
                  <c:v>534.123101265823</c:v>
                </c:pt>
                <c:pt idx="14">
                  <c:v>530.439493670886</c:v>
                </c:pt>
                <c:pt idx="15">
                  <c:v>526.755886075949</c:v>
                </c:pt>
                <c:pt idx="16">
                  <c:v>523.072278481013</c:v>
                </c:pt>
                <c:pt idx="17">
                  <c:v>519.388670886076</c:v>
                </c:pt>
                <c:pt idx="18">
                  <c:v>515.705063291139</c:v>
                </c:pt>
                <c:pt idx="19">
                  <c:v>512.021455696203</c:v>
                </c:pt>
                <c:pt idx="20">
                  <c:v>508.337848101266</c:v>
                </c:pt>
                <c:pt idx="21">
                  <c:v>504.654240506329</c:v>
                </c:pt>
                <c:pt idx="22">
                  <c:v>500.970632911392</c:v>
                </c:pt>
                <c:pt idx="23">
                  <c:v>497.287025316456</c:v>
                </c:pt>
                <c:pt idx="24">
                  <c:v>493.603417721519</c:v>
                </c:pt>
                <c:pt idx="25">
                  <c:v>489.919810126582</c:v>
                </c:pt>
                <c:pt idx="26">
                  <c:v>486.236202531646</c:v>
                </c:pt>
                <c:pt idx="27">
                  <c:v>482.552594936709</c:v>
                </c:pt>
                <c:pt idx="28">
                  <c:v>478.868987341772</c:v>
                </c:pt>
                <c:pt idx="29">
                  <c:v>475.185379746835</c:v>
                </c:pt>
                <c:pt idx="30">
                  <c:v>471.501772151899</c:v>
                </c:pt>
                <c:pt idx="31">
                  <c:v>467.818164556962</c:v>
                </c:pt>
                <c:pt idx="32">
                  <c:v>464.134556962025</c:v>
                </c:pt>
                <c:pt idx="33">
                  <c:v>460.450949367089</c:v>
                </c:pt>
                <c:pt idx="34">
                  <c:v>456.767341772152</c:v>
                </c:pt>
                <c:pt idx="35">
                  <c:v>453.083734177215</c:v>
                </c:pt>
                <c:pt idx="36">
                  <c:v>449.400126582278</c:v>
                </c:pt>
                <c:pt idx="37">
                  <c:v>445.716518987342</c:v>
                </c:pt>
                <c:pt idx="38">
                  <c:v>442.032911392405</c:v>
                </c:pt>
                <c:pt idx="39">
                  <c:v>438.349303797468</c:v>
                </c:pt>
                <c:pt idx="40">
                  <c:v>434.665696202532</c:v>
                </c:pt>
                <c:pt idx="41">
                  <c:v>430.982088607595</c:v>
                </c:pt>
                <c:pt idx="42">
                  <c:v>427.298481012658</c:v>
                </c:pt>
                <c:pt idx="43">
                  <c:v>423.614873417721</c:v>
                </c:pt>
                <c:pt idx="44">
                  <c:v>419.931265822785</c:v>
                </c:pt>
                <c:pt idx="45">
                  <c:v>416.247658227848</c:v>
                </c:pt>
                <c:pt idx="46">
                  <c:v>412.564050632911</c:v>
                </c:pt>
                <c:pt idx="47">
                  <c:v>408.880443037975</c:v>
                </c:pt>
                <c:pt idx="48">
                  <c:v>405.196835443038</c:v>
                </c:pt>
                <c:pt idx="49">
                  <c:v>401.513227848101</c:v>
                </c:pt>
                <c:pt idx="50">
                  <c:v>397.829620253165</c:v>
                </c:pt>
                <c:pt idx="51">
                  <c:v>394.146012658228</c:v>
                </c:pt>
                <c:pt idx="52">
                  <c:v>390.462405063291</c:v>
                </c:pt>
                <c:pt idx="53">
                  <c:v>386.778797468354</c:v>
                </c:pt>
                <c:pt idx="54">
                  <c:v>383.095189873418</c:v>
                </c:pt>
                <c:pt idx="55">
                  <c:v>379.411582278481</c:v>
                </c:pt>
                <c:pt idx="56">
                  <c:v>375.727974683544</c:v>
                </c:pt>
                <c:pt idx="57">
                  <c:v>372.044367088608</c:v>
                </c:pt>
                <c:pt idx="58">
                  <c:v>368.360759493671</c:v>
                </c:pt>
                <c:pt idx="59">
                  <c:v>364.677151898734</c:v>
                </c:pt>
                <c:pt idx="60">
                  <c:v>360.993544303798</c:v>
                </c:pt>
                <c:pt idx="61">
                  <c:v>357.309936708861</c:v>
                </c:pt>
                <c:pt idx="62">
                  <c:v>353.626329113924</c:v>
                </c:pt>
                <c:pt idx="63">
                  <c:v>349.942721518987</c:v>
                </c:pt>
                <c:pt idx="64">
                  <c:v>346.259113924051</c:v>
                </c:pt>
                <c:pt idx="65">
                  <c:v>342.575506329114</c:v>
                </c:pt>
                <c:pt idx="66">
                  <c:v>338.891898734177</c:v>
                </c:pt>
                <c:pt idx="67">
                  <c:v>335.208291139241</c:v>
                </c:pt>
                <c:pt idx="68">
                  <c:v>331.524683544304</c:v>
                </c:pt>
                <c:pt idx="69">
                  <c:v>327.841075949367</c:v>
                </c:pt>
                <c:pt idx="70">
                  <c:v>324.15746835443</c:v>
                </c:pt>
                <c:pt idx="71">
                  <c:v>320.473860759494</c:v>
                </c:pt>
                <c:pt idx="72">
                  <c:v>316.790253164557</c:v>
                </c:pt>
                <c:pt idx="73">
                  <c:v>313.10664556962</c:v>
                </c:pt>
                <c:pt idx="74">
                  <c:v>309.423037974684</c:v>
                </c:pt>
                <c:pt idx="75">
                  <c:v>305.739430379747</c:v>
                </c:pt>
                <c:pt idx="76">
                  <c:v>302.05582278481</c:v>
                </c:pt>
                <c:pt idx="77">
                  <c:v>298.372215189873</c:v>
                </c:pt>
                <c:pt idx="78">
                  <c:v>294.688607594937</c:v>
                </c:pt>
                <c:pt idx="79">
                  <c:v>291.005</c:v>
                </c:pt>
                <c:pt idx="80">
                  <c:v>287.321392405063</c:v>
                </c:pt>
                <c:pt idx="81">
                  <c:v>283.637784810127</c:v>
                </c:pt>
                <c:pt idx="82">
                  <c:v>279.95417721519</c:v>
                </c:pt>
                <c:pt idx="83">
                  <c:v>276.270569620253</c:v>
                </c:pt>
                <c:pt idx="84">
                  <c:v>272.586962025317</c:v>
                </c:pt>
                <c:pt idx="85">
                  <c:v>268.90335443038</c:v>
                </c:pt>
                <c:pt idx="86">
                  <c:v>265.219746835443</c:v>
                </c:pt>
                <c:pt idx="87">
                  <c:v>261.536139240506</c:v>
                </c:pt>
                <c:pt idx="88">
                  <c:v>257.85253164557</c:v>
                </c:pt>
                <c:pt idx="89">
                  <c:v>254.168924050633</c:v>
                </c:pt>
                <c:pt idx="90">
                  <c:v>250.485316455696</c:v>
                </c:pt>
                <c:pt idx="91">
                  <c:v>246.80170886076</c:v>
                </c:pt>
                <c:pt idx="92">
                  <c:v>243.118101265823</c:v>
                </c:pt>
                <c:pt idx="93">
                  <c:v>239.434493670886</c:v>
                </c:pt>
                <c:pt idx="94">
                  <c:v>235.750886075949</c:v>
                </c:pt>
                <c:pt idx="95">
                  <c:v>232.067278481013</c:v>
                </c:pt>
                <c:pt idx="96">
                  <c:v>228.383670886076</c:v>
                </c:pt>
                <c:pt idx="97">
                  <c:v>224.700063291139</c:v>
                </c:pt>
                <c:pt idx="98">
                  <c:v>221.016455696203</c:v>
                </c:pt>
                <c:pt idx="99">
                  <c:v>217.332848101266</c:v>
                </c:pt>
                <c:pt idx="100">
                  <c:v>213.649240506329</c:v>
                </c:pt>
                <c:pt idx="101">
                  <c:v>209.965632911392</c:v>
                </c:pt>
                <c:pt idx="102">
                  <c:v>206.282025316456</c:v>
                </c:pt>
                <c:pt idx="103">
                  <c:v>202.598417721519</c:v>
                </c:pt>
                <c:pt idx="104">
                  <c:v>198.914810126582</c:v>
                </c:pt>
                <c:pt idx="105">
                  <c:v>195.231202531646</c:v>
                </c:pt>
                <c:pt idx="106">
                  <c:v>191.547594936709</c:v>
                </c:pt>
                <c:pt idx="107">
                  <c:v>187.863987341772</c:v>
                </c:pt>
                <c:pt idx="108">
                  <c:v>184.180379746835</c:v>
                </c:pt>
                <c:pt idx="109">
                  <c:v>180.496772151899</c:v>
                </c:pt>
                <c:pt idx="110">
                  <c:v>176.813164556962</c:v>
                </c:pt>
                <c:pt idx="111">
                  <c:v>173.129556962025</c:v>
                </c:pt>
                <c:pt idx="112">
                  <c:v>169.445949367089</c:v>
                </c:pt>
                <c:pt idx="113">
                  <c:v>165.762341772152</c:v>
                </c:pt>
                <c:pt idx="114">
                  <c:v>162.078734177215</c:v>
                </c:pt>
                <c:pt idx="115">
                  <c:v>158.395126582279</c:v>
                </c:pt>
                <c:pt idx="116">
                  <c:v>154.711518987342</c:v>
                </c:pt>
                <c:pt idx="117">
                  <c:v>151.027911392405</c:v>
                </c:pt>
                <c:pt idx="118">
                  <c:v>147.344303797468</c:v>
                </c:pt>
                <c:pt idx="119">
                  <c:v>143.660696202532</c:v>
                </c:pt>
                <c:pt idx="120">
                  <c:v>139.977088607595</c:v>
                </c:pt>
                <c:pt idx="121">
                  <c:v>136.293481012658</c:v>
                </c:pt>
                <c:pt idx="122">
                  <c:v>132.609873417722</c:v>
                </c:pt>
                <c:pt idx="123">
                  <c:v>128.926265822785</c:v>
                </c:pt>
                <c:pt idx="124">
                  <c:v>125.242658227848</c:v>
                </c:pt>
                <c:pt idx="125">
                  <c:v>121.559050632911</c:v>
                </c:pt>
                <c:pt idx="126">
                  <c:v>117.875443037975</c:v>
                </c:pt>
                <c:pt idx="127">
                  <c:v>114.191835443038</c:v>
                </c:pt>
                <c:pt idx="128">
                  <c:v>110.508227848101</c:v>
                </c:pt>
                <c:pt idx="129">
                  <c:v>106.824620253165</c:v>
                </c:pt>
                <c:pt idx="130">
                  <c:v>103.141012658228</c:v>
                </c:pt>
                <c:pt idx="131">
                  <c:v>99.4574050632912</c:v>
                </c:pt>
                <c:pt idx="132">
                  <c:v>95.7737974683545</c:v>
                </c:pt>
                <c:pt idx="133">
                  <c:v>92.0901898734177</c:v>
                </c:pt>
                <c:pt idx="134">
                  <c:v>88.406582278481</c:v>
                </c:pt>
                <c:pt idx="135">
                  <c:v>84.7229746835442</c:v>
                </c:pt>
                <c:pt idx="136">
                  <c:v>81.0393670886076</c:v>
                </c:pt>
                <c:pt idx="137">
                  <c:v>77.3557594936709</c:v>
                </c:pt>
                <c:pt idx="138">
                  <c:v>73.6721518987341</c:v>
                </c:pt>
                <c:pt idx="139">
                  <c:v>69.9885443037974</c:v>
                </c:pt>
                <c:pt idx="140">
                  <c:v>66.3049367088607</c:v>
                </c:pt>
                <c:pt idx="141">
                  <c:v>62.6213291139241</c:v>
                </c:pt>
                <c:pt idx="142">
                  <c:v>58.9377215189874</c:v>
                </c:pt>
                <c:pt idx="143">
                  <c:v>55.2541139240507</c:v>
                </c:pt>
                <c:pt idx="144">
                  <c:v>51.5705063291139</c:v>
                </c:pt>
                <c:pt idx="145">
                  <c:v>47.8868987341772</c:v>
                </c:pt>
                <c:pt idx="146">
                  <c:v>44.2032911392406</c:v>
                </c:pt>
                <c:pt idx="147">
                  <c:v>40.5196835443038</c:v>
                </c:pt>
                <c:pt idx="148">
                  <c:v>36.8360759493671</c:v>
                </c:pt>
                <c:pt idx="149">
                  <c:v>33.1524683544303</c:v>
                </c:pt>
                <c:pt idx="150">
                  <c:v>29.4688607594936</c:v>
                </c:pt>
                <c:pt idx="151">
                  <c:v>25.7852531645569</c:v>
                </c:pt>
                <c:pt idx="152">
                  <c:v>22.1016455696202</c:v>
                </c:pt>
                <c:pt idx="153">
                  <c:v>18.4180379746836</c:v>
                </c:pt>
                <c:pt idx="154">
                  <c:v>14.7344303797469</c:v>
                </c:pt>
                <c:pt idx="155">
                  <c:v>11.0508227848101</c:v>
                </c:pt>
                <c:pt idx="156">
                  <c:v>7.36721518987338</c:v>
                </c:pt>
                <c:pt idx="157">
                  <c:v>3.6836075949368</c:v>
                </c:pt>
                <c:pt idx="158">
                  <c:v>0</c:v>
                </c:pt>
                <c:pt idx="159">
                  <c:v>-3.68360759493669</c:v>
                </c:pt>
              </c:numCache>
            </c:numRef>
          </c:val>
          <c:smooth val="0"/>
        </c:ser>
        <c:hiLowLines>
          <c:spPr>
            <a:ln w="0">
              <a:noFill/>
            </a:ln>
          </c:spPr>
        </c:hiLowLines>
        <c:marker val="0"/>
        <c:axId val="18854566"/>
        <c:axId val="32443356"/>
      </c:lineChart>
      <c:dateAx>
        <c:axId val="1629454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034659"/>
        <c:auto val="1"/>
        <c:lblOffset val="100"/>
        <c:baseTimeUnit val="days"/>
      </c:dateAx>
      <c:valAx>
        <c:axId val="9003465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294542"/>
        <c:crosses val="autoZero"/>
        <c:crossBetween val="between"/>
      </c:valAx>
      <c:dateAx>
        <c:axId val="1885456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443356"/>
        <c:auto val="1"/>
        <c:lblOffset val="100"/>
        <c:baseTimeUnit val="days"/>
      </c:dateAx>
      <c:valAx>
        <c:axId val="3244335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85456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(Calc)'!$E$3:$E$500</c:f>
              <c:numCache>
                <c:formatCode>0.0%</c:formatCode>
                <c:ptCount val="498"/>
                <c:pt idx="0">
                  <c:v>-0.0212195121951219</c:v>
                </c:pt>
                <c:pt idx="1">
                  <c:v>0.00186892599053068</c:v>
                </c:pt>
                <c:pt idx="2">
                  <c:v>0.0176594950876756</c:v>
                </c:pt>
                <c:pt idx="3">
                  <c:v>0.044849077355493</c:v>
                </c:pt>
                <c:pt idx="4">
                  <c:v>-0.0334502923976608</c:v>
                </c:pt>
                <c:pt idx="5">
                  <c:v>-0.0179090029041626</c:v>
                </c:pt>
                <c:pt idx="6">
                  <c:v>0.0528585510103501</c:v>
                </c:pt>
                <c:pt idx="7">
                  <c:v>0.0847279110590988</c:v>
                </c:pt>
                <c:pt idx="8">
                  <c:v>0.0211457546660914</c:v>
                </c:pt>
                <c:pt idx="9">
                  <c:v>0.001162176439514</c:v>
                </c:pt>
                <c:pt idx="10">
                  <c:v>-0.0499155761924863</c:v>
                </c:pt>
                <c:pt idx="11">
                  <c:v>0.0153282239253583</c:v>
                </c:pt>
                <c:pt idx="12">
                  <c:v>0.1964774094738</c:v>
                </c:pt>
                <c:pt idx="13">
                  <c:v>-0.00237725153149859</c:v>
                </c:pt>
                <c:pt idx="14">
                  <c:v>-0.00504078452937395</c:v>
                </c:pt>
                <c:pt idx="15">
                  <c:v>-0.0600589535740604</c:v>
                </c:pt>
                <c:pt idx="16">
                  <c:v>0.0556644453155624</c:v>
                </c:pt>
                <c:pt idx="17">
                  <c:v>0.0934831043445972</c:v>
                </c:pt>
                <c:pt idx="18">
                  <c:v>-0.00517870786993802</c:v>
                </c:pt>
                <c:pt idx="19">
                  <c:v>0.0161290322580645</c:v>
                </c:pt>
                <c:pt idx="20">
                  <c:v>0.0482909213067944</c:v>
                </c:pt>
                <c:pt idx="21">
                  <c:v>-0.0296426854670725</c:v>
                </c:pt>
                <c:pt idx="22">
                  <c:v>0.0408685601056802</c:v>
                </c:pt>
                <c:pt idx="23">
                  <c:v>0.0793210121361148</c:v>
                </c:pt>
                <c:pt idx="24">
                  <c:v>-0.0646725949878739</c:v>
                </c:pt>
                <c:pt idx="25">
                  <c:v>-0.0559440559440558</c:v>
                </c:pt>
                <c:pt idx="26">
                  <c:v>0.100208073241781</c:v>
                </c:pt>
                <c:pt idx="27">
                  <c:v>-0.0207277403737046</c:v>
                </c:pt>
                <c:pt idx="28">
                  <c:v>0.010583236770954</c:v>
                </c:pt>
                <c:pt idx="29">
                  <c:v>0.00343984100290484</c:v>
                </c:pt>
                <c:pt idx="30">
                  <c:v>-0.103679439323532</c:v>
                </c:pt>
                <c:pt idx="31">
                  <c:v>0.115672276049635</c:v>
                </c:pt>
                <c:pt idx="32">
                  <c:v>-0.0490591909804221</c:v>
                </c:pt>
                <c:pt idx="33">
                  <c:v>0.0427781783225185</c:v>
                </c:pt>
                <c:pt idx="34">
                  <c:v>0.0468617961127757</c:v>
                </c:pt>
                <c:pt idx="35">
                  <c:v>0.00902619798928583</c:v>
                </c:pt>
                <c:pt idx="36">
                  <c:v>-0.0563636363636364</c:v>
                </c:pt>
                <c:pt idx="37">
                  <c:v>0.058805394990366</c:v>
                </c:pt>
                <c:pt idx="38">
                  <c:v>0.233440093172223</c:v>
                </c:pt>
                <c:pt idx="39">
                  <c:v>-0.0440247860725876</c:v>
                </c:pt>
                <c:pt idx="40">
                  <c:v>-0.0289524044694117</c:v>
                </c:pt>
                <c:pt idx="41">
                  <c:v>0.0609027336300063</c:v>
                </c:pt>
                <c:pt idx="42">
                  <c:v>-0.00155800575263654</c:v>
                </c:pt>
                <c:pt idx="43">
                  <c:v>-0.0747809386628257</c:v>
                </c:pt>
                <c:pt idx="44">
                  <c:v>-0.0363258951738453</c:v>
                </c:pt>
                <c:pt idx="45">
                  <c:v>-0.0514943457189015</c:v>
                </c:pt>
                <c:pt idx="46">
                  <c:v>0.0308707685756866</c:v>
                </c:pt>
                <c:pt idx="47">
                  <c:v>0.117788792509982</c:v>
                </c:pt>
                <c:pt idx="48">
                  <c:v>0.00381843936687809</c:v>
                </c:pt>
                <c:pt idx="49">
                  <c:v>-0.0212896496717589</c:v>
                </c:pt>
                <c:pt idx="50">
                  <c:v>-0.158538114343029</c:v>
                </c:pt>
                <c:pt idx="51">
                  <c:v>0.224018475750578</c:v>
                </c:pt>
                <c:pt idx="52">
                  <c:v>0.0236762020693853</c:v>
                </c:pt>
                <c:pt idx="53">
                  <c:v>0.00927522444854034</c:v>
                </c:pt>
                <c:pt idx="54">
                  <c:v>0.0228571428571429</c:v>
                </c:pt>
                <c:pt idx="55">
                  <c:v>0.0274146172896388</c:v>
                </c:pt>
                <c:pt idx="56">
                  <c:v>-0.00874488480295965</c:v>
                </c:pt>
                <c:pt idx="57">
                  <c:v>-0.0382853588192049</c:v>
                </c:pt>
                <c:pt idx="58">
                  <c:v>-0.0236387157473833</c:v>
                </c:pt>
                <c:pt idx="59">
                  <c:v>0.0871476752589737</c:v>
                </c:pt>
                <c:pt idx="60">
                  <c:v>-0.102376599634369</c:v>
                </c:pt>
                <c:pt idx="61">
                  <c:v>-0.00370301795963712</c:v>
                </c:pt>
                <c:pt idx="62">
                  <c:v>-0.0130706807904356</c:v>
                </c:pt>
                <c:pt idx="63">
                  <c:v>0.107644991212654</c:v>
                </c:pt>
                <c:pt idx="64">
                  <c:v>0.252167507225024</c:v>
                </c:pt>
                <c:pt idx="65">
                  <c:v>-0.0178304747250758</c:v>
                </c:pt>
                <c:pt idx="66">
                  <c:v>0.097866654379579</c:v>
                </c:pt>
                <c:pt idx="67">
                  <c:v>-0.038066059512318</c:v>
                </c:pt>
                <c:pt idx="68">
                  <c:v>-0.0354275741710296</c:v>
                </c:pt>
                <c:pt idx="69">
                  <c:v>0.0585308485616067</c:v>
                </c:pt>
                <c:pt idx="70">
                  <c:v>0.0305956755832835</c:v>
                </c:pt>
                <c:pt idx="71">
                  <c:v>-0.0957376233518534</c:v>
                </c:pt>
                <c:pt idx="72">
                  <c:v>0.0162318308955018</c:v>
                </c:pt>
                <c:pt idx="73">
                  <c:v>0.0363669178360331</c:v>
                </c:pt>
                <c:pt idx="74">
                  <c:v>-0.0617353824720276</c:v>
                </c:pt>
                <c:pt idx="75">
                  <c:v>-0.0879309544800705</c:v>
                </c:pt>
                <c:pt idx="76">
                  <c:v>-0.0223850223850224</c:v>
                </c:pt>
                <c:pt idx="77">
                  <c:v>0.00296627810158201</c:v>
                </c:pt>
                <c:pt idx="78">
                  <c:v>-0.0169148549784672</c:v>
                </c:pt>
                <c:pt idx="79">
                  <c:v>-0.117591175383966</c:v>
                </c:pt>
                <c:pt idx="80">
                  <c:v>-0.134996112207668</c:v>
                </c:pt>
                <c:pt idx="81">
                  <c:v>0.243673074263587</c:v>
                </c:pt>
                <c:pt idx="82">
                  <c:v>-0.0601579005893473</c:v>
                </c:pt>
                <c:pt idx="83">
                  <c:v>0.124704212020823</c:v>
                </c:pt>
                <c:pt idx="84">
                  <c:v>0.0589101620029455</c:v>
                </c:pt>
                <c:pt idx="85">
                  <c:v>0.0224021458374728</c:v>
                </c:pt>
                <c:pt idx="86">
                  <c:v>0.0979934897731136</c:v>
                </c:pt>
                <c:pt idx="87">
                  <c:v>0.00048672566371688</c:v>
                </c:pt>
                <c:pt idx="88">
                  <c:v>0.0583786652514262</c:v>
                </c:pt>
                <c:pt idx="89">
                  <c:v>0.0200576657891438</c:v>
                </c:pt>
                <c:pt idx="90">
                  <c:v>0.00716889926672404</c:v>
                </c:pt>
                <c:pt idx="91">
                  <c:v>0.00756528105425836</c:v>
                </c:pt>
                <c:pt idx="92">
                  <c:v>0.077426126271597</c:v>
                </c:pt>
                <c:pt idx="93">
                  <c:v>0.0216560509554142</c:v>
                </c:pt>
                <c:pt idx="94">
                  <c:v>-0.0028971688425995</c:v>
                </c:pt>
                <c:pt idx="95">
                  <c:v>0.0326602670197507</c:v>
                </c:pt>
                <c:pt idx="96">
                  <c:v>0.0241478790469067</c:v>
                </c:pt>
                <c:pt idx="97">
                  <c:v>-0.00532081377151805</c:v>
                </c:pt>
                <c:pt idx="98">
                  <c:v>0.0565694706663871</c:v>
                </c:pt>
                <c:pt idx="99">
                  <c:v>0.00450033090668445</c:v>
                </c:pt>
                <c:pt idx="100">
                  <c:v>-0.0402885755699038</c:v>
                </c:pt>
                <c:pt idx="101">
                  <c:v>0.0115333127381321</c:v>
                </c:pt>
                <c:pt idx="102">
                  <c:v>0.126098612100852</c:v>
                </c:pt>
                <c:pt idx="103">
                  <c:v>0.0745818894078649</c:v>
                </c:pt>
                <c:pt idx="104">
                  <c:v>-0.0414750420639373</c:v>
                </c:pt>
                <c:pt idx="105">
                  <c:v>-0.028524618940347</c:v>
                </c:pt>
                <c:pt idx="106">
                  <c:v>0.0114738300307173</c:v>
                </c:pt>
                <c:pt idx="107">
                  <c:v>-0.040610950665436</c:v>
                </c:pt>
                <c:pt idx="108">
                  <c:v>0.0760947149551563</c:v>
                </c:pt>
                <c:pt idx="109">
                  <c:v>0.0137563085796684</c:v>
                </c:pt>
                <c:pt idx="110">
                  <c:v>0.0437528447883477</c:v>
                </c:pt>
                <c:pt idx="111">
                  <c:v>-0.0546470427909511</c:v>
                </c:pt>
                <c:pt idx="112">
                  <c:v>-0.0199509874585556</c:v>
                </c:pt>
                <c:pt idx="113">
                  <c:v>-0.00658959197481834</c:v>
                </c:pt>
                <c:pt idx="114">
                  <c:v>0.184488732269241</c:v>
                </c:pt>
                <c:pt idx="115">
                  <c:v>-0.0315757893947348</c:v>
                </c:pt>
                <c:pt idx="116">
                  <c:v>-0.0776796778190831</c:v>
                </c:pt>
                <c:pt idx="117">
                  <c:v>-0.0543566490329441</c:v>
                </c:pt>
                <c:pt idx="118">
                  <c:v>0.0365546840313749</c:v>
                </c:pt>
                <c:pt idx="119">
                  <c:v>-0.0128212450028555</c:v>
                </c:pt>
                <c:pt idx="120">
                  <c:v>-0.00760753232478084</c:v>
                </c:pt>
                <c:pt idx="121">
                  <c:v>0.0195289728343244</c:v>
                </c:pt>
                <c:pt idx="122">
                  <c:v>-0.0899994282120189</c:v>
                </c:pt>
                <c:pt idx="123">
                  <c:v>0.0351240967640591</c:v>
                </c:pt>
                <c:pt idx="124">
                  <c:v>0.00491683865485015</c:v>
                </c:pt>
                <c:pt idx="125">
                  <c:v>-0.0232860163092722</c:v>
                </c:pt>
                <c:pt idx="126">
                  <c:v>0.0230062772503787</c:v>
                </c:pt>
                <c:pt idx="127">
                  <c:v>-0.0393857872623401</c:v>
                </c:pt>
                <c:pt idx="128">
                  <c:v>0.0342039018250473</c:v>
                </c:pt>
                <c:pt idx="129">
                  <c:v>-0.0251924422673199</c:v>
                </c:pt>
                <c:pt idx="130">
                  <c:v>-0.0361434501701051</c:v>
                </c:pt>
                <c:pt idx="131">
                  <c:v>-0.0296298694990447</c:v>
                </c:pt>
                <c:pt idx="132">
                  <c:v>0.0461189347927651</c:v>
                </c:pt>
                <c:pt idx="133">
                  <c:v>0.181223682531581</c:v>
                </c:pt>
                <c:pt idx="134">
                  <c:v>0.0941694347673445</c:v>
                </c:pt>
                <c:pt idx="135">
                  <c:v>0.0398854773422845</c:v>
                </c:pt>
                <c:pt idx="136">
                  <c:v>-0.00348903446311588</c:v>
                </c:pt>
                <c:pt idx="137">
                  <c:v>0.0206978682862926</c:v>
                </c:pt>
                <c:pt idx="138">
                  <c:v>-0.011177486348999</c:v>
                </c:pt>
                <c:pt idx="139">
                  <c:v>-0.0260058997050147</c:v>
                </c:pt>
                <c:pt idx="140">
                  <c:v>0.0787924308870205</c:v>
                </c:pt>
                <c:pt idx="141">
                  <c:v>-0.136619876473891</c:v>
                </c:pt>
                <c:pt idx="142">
                  <c:v>-0.00949482337027219</c:v>
                </c:pt>
                <c:pt idx="143">
                  <c:v>0.0766341886178008</c:v>
                </c:pt>
                <c:pt idx="144">
                  <c:v>-0.111208683985852</c:v>
                </c:pt>
                <c:pt idx="145">
                  <c:v>-0.012542540344714</c:v>
                </c:pt>
                <c:pt idx="146">
                  <c:v>0.109647294254982</c:v>
                </c:pt>
                <c:pt idx="147">
                  <c:v>-0.0728383929465984</c:v>
                </c:pt>
                <c:pt idx="148">
                  <c:v>0.029905986600389</c:v>
                </c:pt>
                <c:pt idx="149">
                  <c:v>0.019253469034441</c:v>
                </c:pt>
                <c:pt idx="150">
                  <c:v>0.0988496281236329</c:v>
                </c:pt>
                <c:pt idx="151">
                  <c:v>-0.0812684434868145</c:v>
                </c:pt>
                <c:pt idx="152">
                  <c:v>-0.0624553890078515</c:v>
                </c:pt>
                <c:pt idx="153">
                  <c:v>0.000924465713198153</c:v>
                </c:pt>
                <c:pt idx="154">
                  <c:v>-0.0295284146473976</c:v>
                </c:pt>
                <c:pt idx="155">
                  <c:v>0.0114205738278517</c:v>
                </c:pt>
                <c:pt idx="156">
                  <c:v>-0.0120942075111394</c:v>
                </c:pt>
                <c:pt idx="157">
                  <c:v>-0.0116259524876736</c:v>
                </c:pt>
                <c:pt idx="158">
                  <c:v>-0.00918341316856097</c:v>
                </c:pt>
              </c:numCache>
            </c:numRef>
          </c:val>
        </c:ser>
        <c:gapWidth val="150"/>
        <c:overlap val="0"/>
        <c:axId val="309225"/>
        <c:axId val="22350819"/>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(Calc)'!$Z$3:$Z$500</c:f>
              <c:numCache>
                <c:formatCode>#,##0.00</c:formatCode>
                <c:ptCount val="498"/>
                <c:pt idx="0">
                  <c:v>82</c:v>
                </c:pt>
                <c:pt idx="1">
                  <c:v>81.4810126582279</c:v>
                </c:pt>
                <c:pt idx="2">
                  <c:v>80.9620253164557</c:v>
                </c:pt>
                <c:pt idx="3">
                  <c:v>80.4430379746836</c:v>
                </c:pt>
                <c:pt idx="4">
                  <c:v>79.9240506329114</c:v>
                </c:pt>
                <c:pt idx="5">
                  <c:v>79.4050632911392</c:v>
                </c:pt>
                <c:pt idx="6">
                  <c:v>78.8860759493671</c:v>
                </c:pt>
                <c:pt idx="7">
                  <c:v>78.3670886075949</c:v>
                </c:pt>
                <c:pt idx="8">
                  <c:v>77.8481012658228</c:v>
                </c:pt>
                <c:pt idx="9">
                  <c:v>77.3291139240506</c:v>
                </c:pt>
                <c:pt idx="10">
                  <c:v>76.8101265822785</c:v>
                </c:pt>
                <c:pt idx="11">
                  <c:v>76.2911392405063</c:v>
                </c:pt>
                <c:pt idx="12">
                  <c:v>75.7721518987342</c:v>
                </c:pt>
                <c:pt idx="13">
                  <c:v>75.253164556962</c:v>
                </c:pt>
                <c:pt idx="14">
                  <c:v>74.7341772151899</c:v>
                </c:pt>
                <c:pt idx="15">
                  <c:v>74.2151898734177</c:v>
                </c:pt>
                <c:pt idx="16">
                  <c:v>73.6962025316456</c:v>
                </c:pt>
                <c:pt idx="17">
                  <c:v>73.1772151898734</c:v>
                </c:pt>
                <c:pt idx="18">
                  <c:v>72.6582278481013</c:v>
                </c:pt>
                <c:pt idx="19">
                  <c:v>72.1392405063291</c:v>
                </c:pt>
                <c:pt idx="20">
                  <c:v>71.620253164557</c:v>
                </c:pt>
                <c:pt idx="21">
                  <c:v>71.1012658227848</c:v>
                </c:pt>
                <c:pt idx="22">
                  <c:v>70.5822784810127</c:v>
                </c:pt>
                <c:pt idx="23">
                  <c:v>70.0632911392405</c:v>
                </c:pt>
                <c:pt idx="24">
                  <c:v>69.5443037974684</c:v>
                </c:pt>
                <c:pt idx="25">
                  <c:v>69.0253164556962</c:v>
                </c:pt>
                <c:pt idx="26">
                  <c:v>68.5063291139241</c:v>
                </c:pt>
                <c:pt idx="27">
                  <c:v>67.9873417721519</c:v>
                </c:pt>
                <c:pt idx="28">
                  <c:v>67.4683544303798</c:v>
                </c:pt>
                <c:pt idx="29">
                  <c:v>66.9493670886076</c:v>
                </c:pt>
                <c:pt idx="30">
                  <c:v>66.4303797468354</c:v>
                </c:pt>
                <c:pt idx="31">
                  <c:v>65.9113924050633</c:v>
                </c:pt>
                <c:pt idx="32">
                  <c:v>65.3924050632911</c:v>
                </c:pt>
                <c:pt idx="33">
                  <c:v>64.873417721519</c:v>
                </c:pt>
                <c:pt idx="34">
                  <c:v>64.3544303797468</c:v>
                </c:pt>
                <c:pt idx="35">
                  <c:v>63.8354430379747</c:v>
                </c:pt>
                <c:pt idx="36">
                  <c:v>63.3164556962025</c:v>
                </c:pt>
                <c:pt idx="37">
                  <c:v>62.7974683544304</c:v>
                </c:pt>
                <c:pt idx="38">
                  <c:v>62.2784810126582</c:v>
                </c:pt>
                <c:pt idx="39">
                  <c:v>61.7594936708861</c:v>
                </c:pt>
                <c:pt idx="40">
                  <c:v>61.2405063291139</c:v>
                </c:pt>
                <c:pt idx="41">
                  <c:v>60.7215189873418</c:v>
                </c:pt>
                <c:pt idx="42">
                  <c:v>60.2025316455696</c:v>
                </c:pt>
                <c:pt idx="43">
                  <c:v>59.6835443037975</c:v>
                </c:pt>
                <c:pt idx="44">
                  <c:v>59.1645569620253</c:v>
                </c:pt>
                <c:pt idx="45">
                  <c:v>58.6455696202532</c:v>
                </c:pt>
                <c:pt idx="46">
                  <c:v>58.126582278481</c:v>
                </c:pt>
                <c:pt idx="47">
                  <c:v>57.6075949367089</c:v>
                </c:pt>
                <c:pt idx="48">
                  <c:v>57.0886075949367</c:v>
                </c:pt>
                <c:pt idx="49">
                  <c:v>56.5696202531646</c:v>
                </c:pt>
                <c:pt idx="50">
                  <c:v>56.0506329113924</c:v>
                </c:pt>
                <c:pt idx="51">
                  <c:v>55.5316455696203</c:v>
                </c:pt>
                <c:pt idx="52">
                  <c:v>55.0126582278481</c:v>
                </c:pt>
                <c:pt idx="53">
                  <c:v>54.493670886076</c:v>
                </c:pt>
                <c:pt idx="54">
                  <c:v>53.9746835443038</c:v>
                </c:pt>
                <c:pt idx="55">
                  <c:v>53.4556962025316</c:v>
                </c:pt>
                <c:pt idx="56">
                  <c:v>52.9367088607595</c:v>
                </c:pt>
                <c:pt idx="57">
                  <c:v>52.4177215189873</c:v>
                </c:pt>
                <c:pt idx="58">
                  <c:v>51.8987341772152</c:v>
                </c:pt>
                <c:pt idx="59">
                  <c:v>51.379746835443</c:v>
                </c:pt>
                <c:pt idx="60">
                  <c:v>50.8607594936709</c:v>
                </c:pt>
                <c:pt idx="61">
                  <c:v>50.3417721518987</c:v>
                </c:pt>
                <c:pt idx="62">
                  <c:v>49.8227848101266</c:v>
                </c:pt>
                <c:pt idx="63">
                  <c:v>49.3037974683544</c:v>
                </c:pt>
                <c:pt idx="64">
                  <c:v>48.7848101265823</c:v>
                </c:pt>
                <c:pt idx="65">
                  <c:v>48.2658227848101</c:v>
                </c:pt>
                <c:pt idx="66">
                  <c:v>47.746835443038</c:v>
                </c:pt>
                <c:pt idx="67">
                  <c:v>47.2278481012658</c:v>
                </c:pt>
                <c:pt idx="68">
                  <c:v>46.7088607594937</c:v>
                </c:pt>
                <c:pt idx="69">
                  <c:v>46.1898734177215</c:v>
                </c:pt>
                <c:pt idx="70">
                  <c:v>45.6708860759494</c:v>
                </c:pt>
                <c:pt idx="71">
                  <c:v>45.1518987341772</c:v>
                </c:pt>
                <c:pt idx="72">
                  <c:v>44.6329113924051</c:v>
                </c:pt>
                <c:pt idx="73">
                  <c:v>44.1139240506329</c:v>
                </c:pt>
                <c:pt idx="74">
                  <c:v>43.5949367088608</c:v>
                </c:pt>
                <c:pt idx="75">
                  <c:v>43.0759493670886</c:v>
                </c:pt>
                <c:pt idx="76">
                  <c:v>42.5569620253165</c:v>
                </c:pt>
                <c:pt idx="77">
                  <c:v>42.0379746835443</c:v>
                </c:pt>
                <c:pt idx="78">
                  <c:v>41.5189873417722</c:v>
                </c:pt>
                <c:pt idx="79">
                  <c:v>41</c:v>
                </c:pt>
                <c:pt idx="80">
                  <c:v>40.4810126582279</c:v>
                </c:pt>
                <c:pt idx="81">
                  <c:v>39.9620253164557</c:v>
                </c:pt>
                <c:pt idx="82">
                  <c:v>39.4430379746835</c:v>
                </c:pt>
                <c:pt idx="83">
                  <c:v>38.9240506329114</c:v>
                </c:pt>
                <c:pt idx="84">
                  <c:v>38.4050632911392</c:v>
                </c:pt>
                <c:pt idx="85">
                  <c:v>37.8860759493671</c:v>
                </c:pt>
                <c:pt idx="86">
                  <c:v>37.3670886075949</c:v>
                </c:pt>
                <c:pt idx="87">
                  <c:v>36.8481012658228</c:v>
                </c:pt>
                <c:pt idx="88">
                  <c:v>36.3291139240506</c:v>
                </c:pt>
                <c:pt idx="89">
                  <c:v>35.8101265822785</c:v>
                </c:pt>
                <c:pt idx="90">
                  <c:v>35.2911392405063</c:v>
                </c:pt>
                <c:pt idx="91">
                  <c:v>34.7721518987342</c:v>
                </c:pt>
                <c:pt idx="92">
                  <c:v>34.253164556962</c:v>
                </c:pt>
                <c:pt idx="93">
                  <c:v>33.7341772151899</c:v>
                </c:pt>
                <c:pt idx="94">
                  <c:v>33.2151898734177</c:v>
                </c:pt>
                <c:pt idx="95">
                  <c:v>32.6962025316456</c:v>
                </c:pt>
                <c:pt idx="96">
                  <c:v>32.1772151898734</c:v>
                </c:pt>
                <c:pt idx="97">
                  <c:v>31.6582278481013</c:v>
                </c:pt>
                <c:pt idx="98">
                  <c:v>31.1392405063291</c:v>
                </c:pt>
                <c:pt idx="99">
                  <c:v>30.620253164557</c:v>
                </c:pt>
                <c:pt idx="100">
                  <c:v>30.1012658227848</c:v>
                </c:pt>
                <c:pt idx="101">
                  <c:v>29.5822784810127</c:v>
                </c:pt>
                <c:pt idx="102">
                  <c:v>29.0632911392405</c:v>
                </c:pt>
                <c:pt idx="103">
                  <c:v>28.5443037974684</c:v>
                </c:pt>
                <c:pt idx="104">
                  <c:v>28.0253164556962</c:v>
                </c:pt>
                <c:pt idx="105">
                  <c:v>27.5063291139241</c:v>
                </c:pt>
                <c:pt idx="106">
                  <c:v>26.9873417721519</c:v>
                </c:pt>
                <c:pt idx="107">
                  <c:v>26.4683544303797</c:v>
                </c:pt>
                <c:pt idx="108">
                  <c:v>25.9493670886076</c:v>
                </c:pt>
                <c:pt idx="109">
                  <c:v>25.4303797468354</c:v>
                </c:pt>
                <c:pt idx="110">
                  <c:v>24.9113924050633</c:v>
                </c:pt>
                <c:pt idx="111">
                  <c:v>24.3924050632911</c:v>
                </c:pt>
                <c:pt idx="112">
                  <c:v>23.873417721519</c:v>
                </c:pt>
                <c:pt idx="113">
                  <c:v>23.3544303797468</c:v>
                </c:pt>
                <c:pt idx="114">
                  <c:v>22.8354430379747</c:v>
                </c:pt>
                <c:pt idx="115">
                  <c:v>22.3164556962025</c:v>
                </c:pt>
                <c:pt idx="116">
                  <c:v>21.7974683544304</c:v>
                </c:pt>
                <c:pt idx="117">
                  <c:v>21.2784810126582</c:v>
                </c:pt>
                <c:pt idx="118">
                  <c:v>20.7594936708861</c:v>
                </c:pt>
                <c:pt idx="119">
                  <c:v>20.2405063291139</c:v>
                </c:pt>
                <c:pt idx="120">
                  <c:v>19.7215189873418</c:v>
                </c:pt>
                <c:pt idx="121">
                  <c:v>19.2025316455696</c:v>
                </c:pt>
                <c:pt idx="122">
                  <c:v>18.6835443037975</c:v>
                </c:pt>
                <c:pt idx="123">
                  <c:v>18.1645569620253</c:v>
                </c:pt>
                <c:pt idx="124">
                  <c:v>17.6455696202532</c:v>
                </c:pt>
                <c:pt idx="125">
                  <c:v>17.126582278481</c:v>
                </c:pt>
                <c:pt idx="126">
                  <c:v>16.6075949367089</c:v>
                </c:pt>
                <c:pt idx="127">
                  <c:v>16.0886075949367</c:v>
                </c:pt>
                <c:pt idx="128">
                  <c:v>15.5696202531646</c:v>
                </c:pt>
                <c:pt idx="129">
                  <c:v>15.0506329113924</c:v>
                </c:pt>
                <c:pt idx="130">
                  <c:v>14.5316455696203</c:v>
                </c:pt>
                <c:pt idx="131">
                  <c:v>14.0126582278481</c:v>
                </c:pt>
                <c:pt idx="132">
                  <c:v>13.4936708860759</c:v>
                </c:pt>
                <c:pt idx="133">
                  <c:v>12.9746835443038</c:v>
                </c:pt>
                <c:pt idx="134">
                  <c:v>12.4556962025316</c:v>
                </c:pt>
                <c:pt idx="135">
                  <c:v>11.9367088607595</c:v>
                </c:pt>
                <c:pt idx="136">
                  <c:v>11.4177215189873</c:v>
                </c:pt>
                <c:pt idx="137">
                  <c:v>10.8987341772152</c:v>
                </c:pt>
                <c:pt idx="138">
                  <c:v>10.379746835443</c:v>
                </c:pt>
                <c:pt idx="139">
                  <c:v>9.86075949367088</c:v>
                </c:pt>
                <c:pt idx="140">
                  <c:v>9.34177215189874</c:v>
                </c:pt>
                <c:pt idx="141">
                  <c:v>8.82278481012658</c:v>
                </c:pt>
                <c:pt idx="142">
                  <c:v>8.30379746835443</c:v>
                </c:pt>
                <c:pt idx="143">
                  <c:v>7.78481012658227</c:v>
                </c:pt>
                <c:pt idx="144">
                  <c:v>7.26582278481013</c:v>
                </c:pt>
                <c:pt idx="145">
                  <c:v>6.74683544303798</c:v>
                </c:pt>
                <c:pt idx="146">
                  <c:v>6.22784810126582</c:v>
                </c:pt>
                <c:pt idx="147">
                  <c:v>5.70886075949368</c:v>
                </c:pt>
                <c:pt idx="148">
                  <c:v>5.18987341772152</c:v>
                </c:pt>
                <c:pt idx="149">
                  <c:v>4.67088607594937</c:v>
                </c:pt>
                <c:pt idx="150">
                  <c:v>4.15189873417721</c:v>
                </c:pt>
                <c:pt idx="151">
                  <c:v>3.63291139240506</c:v>
                </c:pt>
                <c:pt idx="152">
                  <c:v>3.11392405063292</c:v>
                </c:pt>
                <c:pt idx="153">
                  <c:v>2.59493670886076</c:v>
                </c:pt>
                <c:pt idx="154">
                  <c:v>2.07594936708861</c:v>
                </c:pt>
                <c:pt idx="155">
                  <c:v>1.55696202531645</c:v>
                </c:pt>
                <c:pt idx="156">
                  <c:v>1.03797468354431</c:v>
                </c:pt>
                <c:pt idx="157">
                  <c:v>0.518987341772146</c:v>
                </c:pt>
                <c:pt idx="158">
                  <c:v>0</c:v>
                </c:pt>
                <c:pt idx="159">
                  <c:v>-0.518987341772146</c:v>
                </c:pt>
              </c:numCache>
            </c:numRef>
          </c:val>
          <c:smooth val="0"/>
        </c:ser>
        <c:hiLowLines>
          <c:spPr>
            <a:ln w="0">
              <a:noFill/>
            </a:ln>
          </c:spPr>
        </c:hiLowLines>
        <c:marker val="0"/>
        <c:axId val="72829931"/>
        <c:axId val="47849090"/>
      </c:lineChart>
      <c:dateAx>
        <c:axId val="30922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350819"/>
        <c:auto val="1"/>
        <c:lblOffset val="100"/>
        <c:baseTimeUnit val="days"/>
      </c:dateAx>
      <c:valAx>
        <c:axId val="2235081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9225"/>
        <c:crosses val="autoZero"/>
        <c:crossBetween val="between"/>
      </c:valAx>
      <c:dateAx>
        <c:axId val="7282993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849090"/>
        <c:auto val="1"/>
        <c:lblOffset val="100"/>
        <c:baseTimeUnit val="days"/>
      </c:dateAx>
      <c:valAx>
        <c:axId val="4784909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82993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(Calc)'!$F$3:$F$500</c:f>
              <c:numCache>
                <c:formatCode>0.0%</c:formatCode>
                <c:ptCount val="498"/>
                <c:pt idx="0">
                  <c:v>-0.0292125879697251</c:v>
                </c:pt>
                <c:pt idx="1">
                  <c:v>0.0164136233073451</c:v>
                </c:pt>
                <c:pt idx="2">
                  <c:v>-0.0301439913874312</c:v>
                </c:pt>
                <c:pt idx="3">
                  <c:v>0.00263632579436668</c:v>
                </c:pt>
                <c:pt idx="4">
                  <c:v>-0.0167450871851648</c:v>
                </c:pt>
                <c:pt idx="5">
                  <c:v>-0.0154820548909218</c:v>
                </c:pt>
                <c:pt idx="6">
                  <c:v>0.0716225875625445</c:v>
                </c:pt>
                <c:pt idx="7">
                  <c:v>-0.0341515474919956</c:v>
                </c:pt>
                <c:pt idx="8">
                  <c:v>0.055524861878453</c:v>
                </c:pt>
                <c:pt idx="9">
                  <c:v>0.000130855796911966</c:v>
                </c:pt>
                <c:pt idx="10">
                  <c:v>0.0334947010336253</c:v>
                </c:pt>
                <c:pt idx="11">
                  <c:v>0.00835548803646047</c:v>
                </c:pt>
                <c:pt idx="12">
                  <c:v>0.0548650345260513</c:v>
                </c:pt>
                <c:pt idx="13">
                  <c:v>0.0277314925017853</c:v>
                </c:pt>
                <c:pt idx="14">
                  <c:v>-0.00370584829183551</c:v>
                </c:pt>
                <c:pt idx="15">
                  <c:v>-0.0259211902824597</c:v>
                </c:pt>
                <c:pt idx="16">
                  <c:v>-0.0113365155131265</c:v>
                </c:pt>
                <c:pt idx="17">
                  <c:v>0.0030175015087508</c:v>
                </c:pt>
                <c:pt idx="18">
                  <c:v>0.023586040914561</c:v>
                </c:pt>
                <c:pt idx="19">
                  <c:v>-0.0186926875146956</c:v>
                </c:pt>
                <c:pt idx="20">
                  <c:v>0.00898526416676648</c:v>
                </c:pt>
                <c:pt idx="21">
                  <c:v>0.00712419852766555</c:v>
                </c:pt>
                <c:pt idx="22">
                  <c:v>-0.00330110822919105</c:v>
                </c:pt>
                <c:pt idx="23">
                  <c:v>0.0157321977762006</c:v>
                </c:pt>
                <c:pt idx="24">
                  <c:v>0.00116455106556423</c:v>
                </c:pt>
                <c:pt idx="25">
                  <c:v>-0.00849133418634407</c:v>
                </c:pt>
                <c:pt idx="26">
                  <c:v>0.0273345847020179</c:v>
                </c:pt>
                <c:pt idx="27">
                  <c:v>0.0286627840584677</c:v>
                </c:pt>
                <c:pt idx="28">
                  <c:v>-0.0215364120781527</c:v>
                </c:pt>
                <c:pt idx="29">
                  <c:v>-0.0308599954617653</c:v>
                </c:pt>
                <c:pt idx="30">
                  <c:v>-0.00901428236946844</c:v>
                </c:pt>
                <c:pt idx="31">
                  <c:v>0.0248080330773774</c:v>
                </c:pt>
                <c:pt idx="32">
                  <c:v>0.00680115273775228</c:v>
                </c:pt>
                <c:pt idx="33">
                  <c:v>0.0172887565834667</c:v>
                </c:pt>
                <c:pt idx="34">
                  <c:v>0.0110298255486776</c:v>
                </c:pt>
                <c:pt idx="35">
                  <c:v>-0.0148057441834576</c:v>
                </c:pt>
                <c:pt idx="36">
                  <c:v>0.0107344632768362</c:v>
                </c:pt>
                <c:pt idx="37">
                  <c:v>-0.0340972610396869</c:v>
                </c:pt>
                <c:pt idx="38">
                  <c:v>-0.0238425925925926</c:v>
                </c:pt>
                <c:pt idx="39">
                  <c:v>0.0107896608963718</c:v>
                </c:pt>
                <c:pt idx="40">
                  <c:v>0.0166568914956011</c:v>
                </c:pt>
                <c:pt idx="41">
                  <c:v>-0.0164993654090229</c:v>
                </c:pt>
                <c:pt idx="42">
                  <c:v>0.0557250117315815</c:v>
                </c:pt>
                <c:pt idx="43">
                  <c:v>0.0264473830425604</c:v>
                </c:pt>
                <c:pt idx="44">
                  <c:v>0.0362671863159034</c:v>
                </c:pt>
                <c:pt idx="45">
                  <c:v>-0.0714584203928124</c:v>
                </c:pt>
                <c:pt idx="46">
                  <c:v>-0.0176642664266425</c:v>
                </c:pt>
                <c:pt idx="47">
                  <c:v>0.0286336043981217</c:v>
                </c:pt>
                <c:pt idx="48">
                  <c:v>0.0310655828972275</c:v>
                </c:pt>
                <c:pt idx="49">
                  <c:v>0.000539956803455866</c:v>
                </c:pt>
                <c:pt idx="50">
                  <c:v>-0.0566648677819752</c:v>
                </c:pt>
                <c:pt idx="51">
                  <c:v>0.0288329519450801</c:v>
                </c:pt>
                <c:pt idx="52">
                  <c:v>0.0302491103202847</c:v>
                </c:pt>
                <c:pt idx="53">
                  <c:v>0.000431778929188331</c:v>
                </c:pt>
                <c:pt idx="54">
                  <c:v>0.00280535174794982</c:v>
                </c:pt>
                <c:pt idx="55">
                  <c:v>0.0119431891542932</c:v>
                </c:pt>
                <c:pt idx="56">
                  <c:v>0.0125465178096758</c:v>
                </c:pt>
                <c:pt idx="57">
                  <c:v>-0.0332878294655046</c:v>
                </c:pt>
                <c:pt idx="58">
                  <c:v>-0.00238974581794482</c:v>
                </c:pt>
                <c:pt idx="59">
                  <c:v>0.0886324041811846</c:v>
                </c:pt>
                <c:pt idx="60">
                  <c:v>-0.0194038807761552</c:v>
                </c:pt>
                <c:pt idx="61">
                  <c:v>0.036515707874337</c:v>
                </c:pt>
                <c:pt idx="62">
                  <c:v>0.00679000196811641</c:v>
                </c:pt>
                <c:pt idx="63">
                  <c:v>-0.0208190792688886</c:v>
                </c:pt>
                <c:pt idx="64">
                  <c:v>-0.0123777201038132</c:v>
                </c:pt>
                <c:pt idx="65">
                  <c:v>-0.0538710329492622</c:v>
                </c:pt>
                <c:pt idx="66">
                  <c:v>0.00395256916996045</c:v>
                </c:pt>
                <c:pt idx="67">
                  <c:v>0.00787401574803148</c:v>
                </c:pt>
                <c:pt idx="68">
                  <c:v>-0.0262880067567567</c:v>
                </c:pt>
                <c:pt idx="69">
                  <c:v>0.0488994904044235</c:v>
                </c:pt>
                <c:pt idx="70">
                  <c:v>0.0050651230101304</c:v>
                </c:pt>
                <c:pt idx="71">
                  <c:v>-0.0151187904967602</c:v>
                </c:pt>
                <c:pt idx="72">
                  <c:v>-0.0115914786967418</c:v>
                </c:pt>
                <c:pt idx="73">
                  <c:v>0.00306391970417308</c:v>
                </c:pt>
                <c:pt idx="74">
                  <c:v>-0.0365493996208132</c:v>
                </c:pt>
                <c:pt idx="75">
                  <c:v>-0.0112605225757079</c:v>
                </c:pt>
                <c:pt idx="76">
                  <c:v>-0.0448916408668731</c:v>
                </c:pt>
                <c:pt idx="77">
                  <c:v>-0.0187543412827043</c:v>
                </c:pt>
                <c:pt idx="78">
                  <c:v>0.00967437470504939</c:v>
                </c:pt>
                <c:pt idx="79">
                  <c:v>-0.00467398924982465</c:v>
                </c:pt>
                <c:pt idx="80">
                  <c:v>-0.104719417703686</c:v>
                </c:pt>
                <c:pt idx="81">
                  <c:v>0.0125885129819039</c:v>
                </c:pt>
                <c:pt idx="82">
                  <c:v>0.0186480186480187</c:v>
                </c:pt>
                <c:pt idx="83">
                  <c:v>0.0280956013221461</c:v>
                </c:pt>
                <c:pt idx="84">
                  <c:v>0.0338815382712996</c:v>
                </c:pt>
                <c:pt idx="85">
                  <c:v>0.011601483076187</c:v>
                </c:pt>
                <c:pt idx="86">
                  <c:v>0.0489477417829274</c:v>
                </c:pt>
                <c:pt idx="87">
                  <c:v>-0.0400135256988278</c:v>
                </c:pt>
                <c:pt idx="88">
                  <c:v>0.0117412234354819</c:v>
                </c:pt>
                <c:pt idx="89">
                  <c:v>0.0184518974120924</c:v>
                </c:pt>
                <c:pt idx="90">
                  <c:v>-0.00603919781221518</c:v>
                </c:pt>
                <c:pt idx="91">
                  <c:v>0.00171959188352622</c:v>
                </c:pt>
                <c:pt idx="92">
                  <c:v>0.0255207141222249</c:v>
                </c:pt>
                <c:pt idx="93">
                  <c:v>0.0416248186586319</c:v>
                </c:pt>
                <c:pt idx="94">
                  <c:v>-0.00128562245553898</c:v>
                </c:pt>
                <c:pt idx="95">
                  <c:v>-0.0118000429092469</c:v>
                </c:pt>
                <c:pt idx="96">
                  <c:v>0.0147633521493704</c:v>
                </c:pt>
                <c:pt idx="97">
                  <c:v>-0.0502781343602911</c:v>
                </c:pt>
                <c:pt idx="98">
                  <c:v>0.0233160621761657</c:v>
                </c:pt>
                <c:pt idx="99">
                  <c:v>0.0298293891029169</c:v>
                </c:pt>
                <c:pt idx="100">
                  <c:v>0.0397605814450619</c:v>
                </c:pt>
                <c:pt idx="101">
                  <c:v>0.00842927631578938</c:v>
                </c:pt>
                <c:pt idx="102">
                  <c:v>0.0109072375127421</c:v>
                </c:pt>
                <c:pt idx="103">
                  <c:v>-0.00796611878592324</c:v>
                </c:pt>
                <c:pt idx="104">
                  <c:v>0.00569221386460672</c:v>
                </c:pt>
                <c:pt idx="105">
                  <c:v>0.00303214069132807</c:v>
                </c:pt>
                <c:pt idx="106">
                  <c:v>0.00110842402257161</c:v>
                </c:pt>
                <c:pt idx="107">
                  <c:v>-0.054353296426774</c:v>
                </c:pt>
                <c:pt idx="108">
                  <c:v>0.0195848855774348</c:v>
                </c:pt>
                <c:pt idx="109">
                  <c:v>0.0294393986846226</c:v>
                </c:pt>
                <c:pt idx="110">
                  <c:v>-0.021194605009634</c:v>
                </c:pt>
                <c:pt idx="111">
                  <c:v>-0.000621632822213059</c:v>
                </c:pt>
                <c:pt idx="112">
                  <c:v>-0.00145137880986934</c:v>
                </c:pt>
                <c:pt idx="113">
                  <c:v>-0.00778654485049835</c:v>
                </c:pt>
                <c:pt idx="114">
                  <c:v>0.0443653866276028</c:v>
                </c:pt>
                <c:pt idx="115">
                  <c:v>0.0175333132952611</c:v>
                </c:pt>
                <c:pt idx="116">
                  <c:v>0.0214651437573847</c:v>
                </c:pt>
                <c:pt idx="117">
                  <c:v>-0.00906111432427215</c:v>
                </c:pt>
                <c:pt idx="118">
                  <c:v>-0.000875486381322954</c:v>
                </c:pt>
                <c:pt idx="119">
                  <c:v>-0.00554960568591167</c:v>
                </c:pt>
                <c:pt idx="120">
                  <c:v>0.0408263168200509</c:v>
                </c:pt>
                <c:pt idx="121">
                  <c:v>0.0110055498071677</c:v>
                </c:pt>
                <c:pt idx="122">
                  <c:v>-0.000186081131373417</c:v>
                </c:pt>
                <c:pt idx="123">
                  <c:v>0.00725851479620321</c:v>
                </c:pt>
                <c:pt idx="124">
                  <c:v>0.054138950480414</c:v>
                </c:pt>
                <c:pt idx="125">
                  <c:v>-0.002541630148992</c:v>
                </c:pt>
                <c:pt idx="126">
                  <c:v>0.00562340743344181</c:v>
                </c:pt>
                <c:pt idx="127">
                  <c:v>-0.0221930974224552</c:v>
                </c:pt>
                <c:pt idx="128">
                  <c:v>-0.0383343758377267</c:v>
                </c:pt>
                <c:pt idx="129">
                  <c:v>-0.0191414235272255</c:v>
                </c:pt>
                <c:pt idx="130">
                  <c:v>-0.00198938992042452</c:v>
                </c:pt>
                <c:pt idx="131">
                  <c:v>0.0296155671570955</c:v>
                </c:pt>
                <c:pt idx="132">
                  <c:v>0.0200977228726837</c:v>
                </c:pt>
                <c:pt idx="133">
                  <c:v>0.029733393583371</c:v>
                </c:pt>
                <c:pt idx="134">
                  <c:v>0.0243110408987186</c:v>
                </c:pt>
                <c:pt idx="135">
                  <c:v>0.0122525918944392</c:v>
                </c:pt>
                <c:pt idx="136">
                  <c:v>0.00837988826815628</c:v>
                </c:pt>
                <c:pt idx="137">
                  <c:v>-0.00100730294636109</c:v>
                </c:pt>
                <c:pt idx="138">
                  <c:v>-0.0215948239643728</c:v>
                </c:pt>
                <c:pt idx="139">
                  <c:v>0.0237031947784268</c:v>
                </c:pt>
                <c:pt idx="140">
                  <c:v>0.000167785234899354</c:v>
                </c:pt>
                <c:pt idx="141">
                  <c:v>-0.00293574903539673</c:v>
                </c:pt>
                <c:pt idx="142">
                  <c:v>0.0429040127870783</c:v>
                </c:pt>
                <c:pt idx="143">
                  <c:v>-0.0191175284342987</c:v>
                </c:pt>
                <c:pt idx="144">
                  <c:v>0.0240953947368421</c:v>
                </c:pt>
                <c:pt idx="145">
                  <c:v>-0.0114028748092829</c:v>
                </c:pt>
                <c:pt idx="146">
                  <c:v>0.00357403947689061</c:v>
                </c:pt>
                <c:pt idx="147">
                  <c:v>0.0112505058680696</c:v>
                </c:pt>
                <c:pt idx="148">
                  <c:v>-0.000560268929085894</c:v>
                </c:pt>
                <c:pt idx="149">
                  <c:v>0</c:v>
                </c:pt>
                <c:pt idx="150">
                  <c:v>0.0128133258588932</c:v>
                </c:pt>
                <c:pt idx="151">
                  <c:v>0.0145489048786274</c:v>
                </c:pt>
                <c:pt idx="152">
                  <c:v>-0.0176915283298261</c:v>
                </c:pt>
                <c:pt idx="153">
                  <c:v>-0.00698191050460184</c:v>
                </c:pt>
                <c:pt idx="154">
                  <c:v>0.0108660914030041</c:v>
                </c:pt>
                <c:pt idx="155">
                  <c:v>-0.0159658552007588</c:v>
                </c:pt>
                <c:pt idx="156">
                  <c:v>-0.0204016064257029</c:v>
                </c:pt>
                <c:pt idx="157">
                  <c:v>-0.0127090849458839</c:v>
                </c:pt>
                <c:pt idx="158">
                  <c:v>-0.00714226393156714</c:v>
                </c:pt>
              </c:numCache>
            </c:numRef>
          </c:val>
        </c:ser>
        <c:gapWidth val="150"/>
        <c:overlap val="0"/>
        <c:axId val="13455632"/>
        <c:axId val="27592688"/>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(Calc)'!$AA$3:$AA$500</c:f>
              <c:numCache>
                <c:formatCode>#,##0.00</c:formatCode>
                <c:ptCount val="498"/>
                <c:pt idx="0">
                  <c:v>75.31</c:v>
                </c:pt>
                <c:pt idx="1">
                  <c:v>74.8333544303797</c:v>
                </c:pt>
                <c:pt idx="2">
                  <c:v>74.3567088607595</c:v>
                </c:pt>
                <c:pt idx="3">
                  <c:v>73.8800632911392</c:v>
                </c:pt>
                <c:pt idx="4">
                  <c:v>73.403417721519</c:v>
                </c:pt>
                <c:pt idx="5">
                  <c:v>72.9267721518987</c:v>
                </c:pt>
                <c:pt idx="6">
                  <c:v>72.4501265822785</c:v>
                </c:pt>
                <c:pt idx="7">
                  <c:v>71.9734810126582</c:v>
                </c:pt>
                <c:pt idx="8">
                  <c:v>71.496835443038</c:v>
                </c:pt>
                <c:pt idx="9">
                  <c:v>71.0201898734177</c:v>
                </c:pt>
                <c:pt idx="10">
                  <c:v>70.5435443037975</c:v>
                </c:pt>
                <c:pt idx="11">
                  <c:v>70.0668987341772</c:v>
                </c:pt>
                <c:pt idx="12">
                  <c:v>69.590253164557</c:v>
                </c:pt>
                <c:pt idx="13">
                  <c:v>69.1136075949367</c:v>
                </c:pt>
                <c:pt idx="14">
                  <c:v>68.6369620253165</c:v>
                </c:pt>
                <c:pt idx="15">
                  <c:v>68.1603164556962</c:v>
                </c:pt>
                <c:pt idx="16">
                  <c:v>67.683670886076</c:v>
                </c:pt>
                <c:pt idx="17">
                  <c:v>67.2070253164557</c:v>
                </c:pt>
                <c:pt idx="18">
                  <c:v>66.7303797468354</c:v>
                </c:pt>
                <c:pt idx="19">
                  <c:v>66.2537341772152</c:v>
                </c:pt>
                <c:pt idx="20">
                  <c:v>65.7770886075949</c:v>
                </c:pt>
                <c:pt idx="21">
                  <c:v>65.3004430379747</c:v>
                </c:pt>
                <c:pt idx="22">
                  <c:v>64.8237974683544</c:v>
                </c:pt>
                <c:pt idx="23">
                  <c:v>64.3471518987342</c:v>
                </c:pt>
                <c:pt idx="24">
                  <c:v>63.8705063291139</c:v>
                </c:pt>
                <c:pt idx="25">
                  <c:v>63.3938607594937</c:v>
                </c:pt>
                <c:pt idx="26">
                  <c:v>62.9172151898734</c:v>
                </c:pt>
                <c:pt idx="27">
                  <c:v>62.4405696202532</c:v>
                </c:pt>
                <c:pt idx="28">
                  <c:v>61.9639240506329</c:v>
                </c:pt>
                <c:pt idx="29">
                  <c:v>61.4872784810127</c:v>
                </c:pt>
                <c:pt idx="30">
                  <c:v>61.0106329113924</c:v>
                </c:pt>
                <c:pt idx="31">
                  <c:v>60.5339873417722</c:v>
                </c:pt>
                <c:pt idx="32">
                  <c:v>60.0573417721519</c:v>
                </c:pt>
                <c:pt idx="33">
                  <c:v>59.5806962025317</c:v>
                </c:pt>
                <c:pt idx="34">
                  <c:v>59.1040506329114</c:v>
                </c:pt>
                <c:pt idx="35">
                  <c:v>58.6274050632911</c:v>
                </c:pt>
                <c:pt idx="36">
                  <c:v>58.1507594936709</c:v>
                </c:pt>
                <c:pt idx="37">
                  <c:v>57.6741139240506</c:v>
                </c:pt>
                <c:pt idx="38">
                  <c:v>57.1974683544304</c:v>
                </c:pt>
                <c:pt idx="39">
                  <c:v>56.7208227848101</c:v>
                </c:pt>
                <c:pt idx="40">
                  <c:v>56.2441772151899</c:v>
                </c:pt>
                <c:pt idx="41">
                  <c:v>55.7675316455696</c:v>
                </c:pt>
                <c:pt idx="42">
                  <c:v>55.2908860759494</c:v>
                </c:pt>
                <c:pt idx="43">
                  <c:v>54.8142405063291</c:v>
                </c:pt>
                <c:pt idx="44">
                  <c:v>54.3375949367089</c:v>
                </c:pt>
                <c:pt idx="45">
                  <c:v>53.8609493670886</c:v>
                </c:pt>
                <c:pt idx="46">
                  <c:v>53.3843037974684</c:v>
                </c:pt>
                <c:pt idx="47">
                  <c:v>52.9076582278481</c:v>
                </c:pt>
                <c:pt idx="48">
                  <c:v>52.4310126582279</c:v>
                </c:pt>
                <c:pt idx="49">
                  <c:v>51.9543670886076</c:v>
                </c:pt>
                <c:pt idx="50">
                  <c:v>51.4777215189873</c:v>
                </c:pt>
                <c:pt idx="51">
                  <c:v>51.0010759493671</c:v>
                </c:pt>
                <c:pt idx="52">
                  <c:v>50.5244303797468</c:v>
                </c:pt>
                <c:pt idx="53">
                  <c:v>50.0477848101266</c:v>
                </c:pt>
                <c:pt idx="54">
                  <c:v>49.5711392405063</c:v>
                </c:pt>
                <c:pt idx="55">
                  <c:v>49.0944936708861</c:v>
                </c:pt>
                <c:pt idx="56">
                  <c:v>48.6178481012658</c:v>
                </c:pt>
                <c:pt idx="57">
                  <c:v>48.1412025316456</c:v>
                </c:pt>
                <c:pt idx="58">
                  <c:v>47.6645569620253</c:v>
                </c:pt>
                <c:pt idx="59">
                  <c:v>47.1879113924051</c:v>
                </c:pt>
                <c:pt idx="60">
                  <c:v>46.7112658227848</c:v>
                </c:pt>
                <c:pt idx="61">
                  <c:v>46.2346202531646</c:v>
                </c:pt>
                <c:pt idx="62">
                  <c:v>45.7579746835443</c:v>
                </c:pt>
                <c:pt idx="63">
                  <c:v>45.2813291139241</c:v>
                </c:pt>
                <c:pt idx="64">
                  <c:v>44.8046835443038</c:v>
                </c:pt>
                <c:pt idx="65">
                  <c:v>44.3280379746835</c:v>
                </c:pt>
                <c:pt idx="66">
                  <c:v>43.8513924050633</c:v>
                </c:pt>
                <c:pt idx="67">
                  <c:v>43.374746835443</c:v>
                </c:pt>
                <c:pt idx="68">
                  <c:v>42.8981012658228</c:v>
                </c:pt>
                <c:pt idx="69">
                  <c:v>42.4214556962025</c:v>
                </c:pt>
                <c:pt idx="70">
                  <c:v>41.9448101265823</c:v>
                </c:pt>
                <c:pt idx="71">
                  <c:v>41.468164556962</c:v>
                </c:pt>
                <c:pt idx="72">
                  <c:v>40.9915189873418</c:v>
                </c:pt>
                <c:pt idx="73">
                  <c:v>40.5148734177215</c:v>
                </c:pt>
                <c:pt idx="74">
                  <c:v>40.0382278481013</c:v>
                </c:pt>
                <c:pt idx="75">
                  <c:v>39.561582278481</c:v>
                </c:pt>
                <c:pt idx="76">
                  <c:v>39.0849367088608</c:v>
                </c:pt>
                <c:pt idx="77">
                  <c:v>38.6082911392405</c:v>
                </c:pt>
                <c:pt idx="78">
                  <c:v>38.1316455696203</c:v>
                </c:pt>
                <c:pt idx="79">
                  <c:v>37.655</c:v>
                </c:pt>
                <c:pt idx="80">
                  <c:v>37.1783544303798</c:v>
                </c:pt>
                <c:pt idx="81">
                  <c:v>36.7017088607595</c:v>
                </c:pt>
                <c:pt idx="82">
                  <c:v>36.2250632911392</c:v>
                </c:pt>
                <c:pt idx="83">
                  <c:v>35.748417721519</c:v>
                </c:pt>
                <c:pt idx="84">
                  <c:v>35.2717721518987</c:v>
                </c:pt>
                <c:pt idx="85">
                  <c:v>34.7951265822785</c:v>
                </c:pt>
                <c:pt idx="86">
                  <c:v>34.3184810126582</c:v>
                </c:pt>
                <c:pt idx="87">
                  <c:v>33.841835443038</c:v>
                </c:pt>
                <c:pt idx="88">
                  <c:v>33.3651898734177</c:v>
                </c:pt>
                <c:pt idx="89">
                  <c:v>32.8885443037975</c:v>
                </c:pt>
                <c:pt idx="90">
                  <c:v>32.4118987341772</c:v>
                </c:pt>
                <c:pt idx="91">
                  <c:v>31.935253164557</c:v>
                </c:pt>
                <c:pt idx="92">
                  <c:v>31.4586075949367</c:v>
                </c:pt>
                <c:pt idx="93">
                  <c:v>30.9819620253165</c:v>
                </c:pt>
                <c:pt idx="94">
                  <c:v>30.5053164556962</c:v>
                </c:pt>
                <c:pt idx="95">
                  <c:v>30.028670886076</c:v>
                </c:pt>
                <c:pt idx="96">
                  <c:v>29.5520253164557</c:v>
                </c:pt>
                <c:pt idx="97">
                  <c:v>29.0753797468354</c:v>
                </c:pt>
                <c:pt idx="98">
                  <c:v>28.5987341772152</c:v>
                </c:pt>
                <c:pt idx="99">
                  <c:v>28.1220886075949</c:v>
                </c:pt>
                <c:pt idx="100">
                  <c:v>27.6454430379747</c:v>
                </c:pt>
                <c:pt idx="101">
                  <c:v>27.1687974683544</c:v>
                </c:pt>
                <c:pt idx="102">
                  <c:v>26.6921518987342</c:v>
                </c:pt>
                <c:pt idx="103">
                  <c:v>26.2155063291139</c:v>
                </c:pt>
                <c:pt idx="104">
                  <c:v>25.7388607594937</c:v>
                </c:pt>
                <c:pt idx="105">
                  <c:v>25.2622151898734</c:v>
                </c:pt>
                <c:pt idx="106">
                  <c:v>24.7855696202532</c:v>
                </c:pt>
                <c:pt idx="107">
                  <c:v>24.3089240506329</c:v>
                </c:pt>
                <c:pt idx="108">
                  <c:v>23.8322784810127</c:v>
                </c:pt>
                <c:pt idx="109">
                  <c:v>23.3556329113924</c:v>
                </c:pt>
                <c:pt idx="110">
                  <c:v>22.8789873417722</c:v>
                </c:pt>
                <c:pt idx="111">
                  <c:v>22.4023417721519</c:v>
                </c:pt>
                <c:pt idx="112">
                  <c:v>21.9256962025316</c:v>
                </c:pt>
                <c:pt idx="113">
                  <c:v>21.4490506329114</c:v>
                </c:pt>
                <c:pt idx="114">
                  <c:v>20.9724050632911</c:v>
                </c:pt>
                <c:pt idx="115">
                  <c:v>20.4957594936709</c:v>
                </c:pt>
                <c:pt idx="116">
                  <c:v>20.0191139240506</c:v>
                </c:pt>
                <c:pt idx="117">
                  <c:v>19.5424683544304</c:v>
                </c:pt>
                <c:pt idx="118">
                  <c:v>19.0658227848101</c:v>
                </c:pt>
                <c:pt idx="119">
                  <c:v>18.5891772151899</c:v>
                </c:pt>
                <c:pt idx="120">
                  <c:v>18.1125316455696</c:v>
                </c:pt>
                <c:pt idx="121">
                  <c:v>17.6358860759494</c:v>
                </c:pt>
                <c:pt idx="122">
                  <c:v>17.1592405063291</c:v>
                </c:pt>
                <c:pt idx="123">
                  <c:v>16.6825949367089</c:v>
                </c:pt>
                <c:pt idx="124">
                  <c:v>16.2059493670886</c:v>
                </c:pt>
                <c:pt idx="125">
                  <c:v>15.7293037974684</c:v>
                </c:pt>
                <c:pt idx="126">
                  <c:v>15.2526582278481</c:v>
                </c:pt>
                <c:pt idx="127">
                  <c:v>14.7760126582278</c:v>
                </c:pt>
                <c:pt idx="128">
                  <c:v>14.2993670886076</c:v>
                </c:pt>
                <c:pt idx="129">
                  <c:v>13.8227215189873</c:v>
                </c:pt>
                <c:pt idx="130">
                  <c:v>13.3460759493671</c:v>
                </c:pt>
                <c:pt idx="131">
                  <c:v>12.8694303797468</c:v>
                </c:pt>
                <c:pt idx="132">
                  <c:v>12.3927848101266</c:v>
                </c:pt>
                <c:pt idx="133">
                  <c:v>11.9161392405063</c:v>
                </c:pt>
                <c:pt idx="134">
                  <c:v>11.4394936708861</c:v>
                </c:pt>
                <c:pt idx="135">
                  <c:v>10.9628481012658</c:v>
                </c:pt>
                <c:pt idx="136">
                  <c:v>10.4862025316456</c:v>
                </c:pt>
                <c:pt idx="137">
                  <c:v>10.0095569620253</c:v>
                </c:pt>
                <c:pt idx="138">
                  <c:v>9.53291139240506</c:v>
                </c:pt>
                <c:pt idx="139">
                  <c:v>9.05626582278481</c:v>
                </c:pt>
                <c:pt idx="140">
                  <c:v>8.57962025316456</c:v>
                </c:pt>
                <c:pt idx="141">
                  <c:v>8.1029746835443</c:v>
                </c:pt>
                <c:pt idx="142">
                  <c:v>7.62632911392404</c:v>
                </c:pt>
                <c:pt idx="143">
                  <c:v>7.1496835443038</c:v>
                </c:pt>
                <c:pt idx="144">
                  <c:v>6.67303797468355</c:v>
                </c:pt>
                <c:pt idx="145">
                  <c:v>6.19639240506329</c:v>
                </c:pt>
                <c:pt idx="146">
                  <c:v>5.71974683544303</c:v>
                </c:pt>
                <c:pt idx="147">
                  <c:v>5.24310126582279</c:v>
                </c:pt>
                <c:pt idx="148">
                  <c:v>4.76645569620253</c:v>
                </c:pt>
                <c:pt idx="149">
                  <c:v>4.28981012658228</c:v>
                </c:pt>
                <c:pt idx="150">
                  <c:v>3.81316455696202</c:v>
                </c:pt>
                <c:pt idx="151">
                  <c:v>3.33651898734178</c:v>
                </c:pt>
                <c:pt idx="152">
                  <c:v>2.85987341772152</c:v>
                </c:pt>
                <c:pt idx="153">
                  <c:v>2.38322784810127</c:v>
                </c:pt>
                <c:pt idx="154">
                  <c:v>1.90658227848101</c:v>
                </c:pt>
                <c:pt idx="155">
                  <c:v>1.42993670886075</c:v>
                </c:pt>
                <c:pt idx="156">
                  <c:v>0.953291139240506</c:v>
                </c:pt>
                <c:pt idx="157">
                  <c:v>0.47664556962026</c:v>
                </c:pt>
                <c:pt idx="158">
                  <c:v>0</c:v>
                </c:pt>
                <c:pt idx="159">
                  <c:v>-0.47664556962026</c:v>
                </c:pt>
              </c:numCache>
            </c:numRef>
          </c:val>
          <c:smooth val="0"/>
        </c:ser>
        <c:hiLowLines>
          <c:spPr>
            <a:ln w="0">
              <a:noFill/>
            </a:ln>
          </c:spPr>
        </c:hiLowLines>
        <c:marker val="0"/>
        <c:axId val="44599895"/>
        <c:axId val="29884306"/>
      </c:lineChart>
      <c:dateAx>
        <c:axId val="1345563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592688"/>
        <c:auto val="1"/>
        <c:lblOffset val="100"/>
        <c:baseTimeUnit val="days"/>
      </c:dateAx>
      <c:valAx>
        <c:axId val="2759268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455632"/>
        <c:crosses val="autoZero"/>
        <c:crossBetween val="between"/>
      </c:valAx>
      <c:dateAx>
        <c:axId val="4459989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884306"/>
        <c:auto val="1"/>
        <c:lblOffset val="100"/>
        <c:baseTimeUnit val="days"/>
      </c:dateAx>
      <c:valAx>
        <c:axId val="2988430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59989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(Calc)'!$G$3:$G$500</c:f>
              <c:numCache>
                <c:formatCode>0.0%</c:formatCode>
                <c:ptCount val="498"/>
                <c:pt idx="0">
                  <c:v>-0.0174081237911025</c:v>
                </c:pt>
                <c:pt idx="1">
                  <c:v>0.0297736220472442</c:v>
                </c:pt>
                <c:pt idx="2">
                  <c:v>0.055436081242533</c:v>
                </c:pt>
                <c:pt idx="3">
                  <c:v>0.0511659497396422</c:v>
                </c:pt>
                <c:pt idx="4">
                  <c:v>-0.0374757699763084</c:v>
                </c:pt>
                <c:pt idx="5">
                  <c:v>-0.0331170284179906</c:v>
                </c:pt>
                <c:pt idx="6">
                  <c:v>0.0890997454292988</c:v>
                </c:pt>
                <c:pt idx="7">
                  <c:v>0.0429239269018273</c:v>
                </c:pt>
                <c:pt idx="8">
                  <c:v>0.0548084759576204</c:v>
                </c:pt>
                <c:pt idx="9">
                  <c:v>0.0173845856673749</c:v>
                </c:pt>
                <c:pt idx="10">
                  <c:v>0.115625593316879</c:v>
                </c:pt>
                <c:pt idx="11">
                  <c:v>0.0319945541184479</c:v>
                </c:pt>
                <c:pt idx="12">
                  <c:v>0.0722295514511873</c:v>
                </c:pt>
                <c:pt idx="13">
                  <c:v>-0.0170716702553061</c:v>
                </c:pt>
                <c:pt idx="14">
                  <c:v>-0.00125176028790486</c:v>
                </c:pt>
                <c:pt idx="15">
                  <c:v>-0.0307065643114524</c:v>
                </c:pt>
                <c:pt idx="16">
                  <c:v>0.144981412639405</c:v>
                </c:pt>
                <c:pt idx="17">
                  <c:v>0.0254093732354601</c:v>
                </c:pt>
                <c:pt idx="18">
                  <c:v>-0.000825991189427389</c:v>
                </c:pt>
                <c:pt idx="19">
                  <c:v>0.0456048498208874</c:v>
                </c:pt>
                <c:pt idx="20">
                  <c:v>0.0848596653050469</c:v>
                </c:pt>
                <c:pt idx="21">
                  <c:v>-0.000242924814769729</c:v>
                </c:pt>
                <c:pt idx="22">
                  <c:v>-0.0539424128295468</c:v>
                </c:pt>
                <c:pt idx="23">
                  <c:v>0.010016694490818</c:v>
                </c:pt>
                <c:pt idx="24">
                  <c:v>0.0261919898283534</c:v>
                </c:pt>
                <c:pt idx="25">
                  <c:v>-0.0223020691364143</c:v>
                </c:pt>
                <c:pt idx="26">
                  <c:v>0.037764541883158</c:v>
                </c:pt>
                <c:pt idx="27">
                  <c:v>-0.0212480156307241</c:v>
                </c:pt>
                <c:pt idx="28">
                  <c:v>-0.015845290081098</c:v>
                </c:pt>
                <c:pt idx="29">
                  <c:v>-0.0205375253549694</c:v>
                </c:pt>
                <c:pt idx="30">
                  <c:v>-0.0854258348433861</c:v>
                </c:pt>
                <c:pt idx="31">
                  <c:v>0.0758562128502689</c:v>
                </c:pt>
                <c:pt idx="32">
                  <c:v>0.0201262825572217</c:v>
                </c:pt>
                <c:pt idx="33">
                  <c:v>0.0340425531914894</c:v>
                </c:pt>
                <c:pt idx="34">
                  <c:v>0.0784387080683378</c:v>
                </c:pt>
                <c:pt idx="35">
                  <c:v>0.0160730804810361</c:v>
                </c:pt>
                <c:pt idx="36">
                  <c:v>-0.107545237282349</c:v>
                </c:pt>
                <c:pt idx="37">
                  <c:v>0.112981382300434</c:v>
                </c:pt>
                <c:pt idx="38">
                  <c:v>0.104032997250229</c:v>
                </c:pt>
                <c:pt idx="39">
                  <c:v>-0.0124533001245331</c:v>
                </c:pt>
                <c:pt idx="40">
                  <c:v>0.00672551492223628</c:v>
                </c:pt>
                <c:pt idx="41">
                  <c:v>0.016910229645094</c:v>
                </c:pt>
                <c:pt idx="42">
                  <c:v>-0.0471155820160132</c:v>
                </c:pt>
                <c:pt idx="43">
                  <c:v>-0.178713777873532</c:v>
                </c:pt>
                <c:pt idx="44">
                  <c:v>-0.160020986358867</c:v>
                </c:pt>
                <c:pt idx="45">
                  <c:v>-0.149437851342911</c:v>
                </c:pt>
                <c:pt idx="46">
                  <c:v>0.105562695061502</c:v>
                </c:pt>
                <c:pt idx="47">
                  <c:v>0.0900033211557623</c:v>
                </c:pt>
                <c:pt idx="48">
                  <c:v>0.0342778793418648</c:v>
                </c:pt>
                <c:pt idx="49">
                  <c:v>0.0210634850493445</c:v>
                </c:pt>
                <c:pt idx="50">
                  <c:v>-0.11136757068667</c:v>
                </c:pt>
                <c:pt idx="51">
                  <c:v>0.0516233766233767</c:v>
                </c:pt>
                <c:pt idx="52">
                  <c:v>0.157147267675208</c:v>
                </c:pt>
                <c:pt idx="53">
                  <c:v>-0.0466915688367129</c:v>
                </c:pt>
                <c:pt idx="54">
                  <c:v>0.0223901483347329</c:v>
                </c:pt>
                <c:pt idx="55">
                  <c:v>0.0956747878456064</c:v>
                </c:pt>
                <c:pt idx="56">
                  <c:v>-0.0313554028732042</c:v>
                </c:pt>
                <c:pt idx="57">
                  <c:v>-0.0308228011348981</c:v>
                </c:pt>
                <c:pt idx="58">
                  <c:v>0.00838323353293413</c:v>
                </c:pt>
                <c:pt idx="59">
                  <c:v>0.0888097123251519</c:v>
                </c:pt>
                <c:pt idx="60">
                  <c:v>0.020361168343231</c:v>
                </c:pt>
                <c:pt idx="61">
                  <c:v>0.10547570970424</c:v>
                </c:pt>
                <c:pt idx="62">
                  <c:v>-0.070699473514559</c:v>
                </c:pt>
                <c:pt idx="63">
                  <c:v>0.0568851890391953</c:v>
                </c:pt>
                <c:pt idx="64">
                  <c:v>0.00645443605732421</c:v>
                </c:pt>
                <c:pt idx="65">
                  <c:v>-0.0155434782608697</c:v>
                </c:pt>
                <c:pt idx="66">
                  <c:v>-0.0200949541790879</c:v>
                </c:pt>
                <c:pt idx="67">
                  <c:v>0.0112676056338028</c:v>
                </c:pt>
                <c:pt idx="68">
                  <c:v>-0.0283008356545962</c:v>
                </c:pt>
                <c:pt idx="69">
                  <c:v>0.0233918128654971</c:v>
                </c:pt>
                <c:pt idx="70">
                  <c:v>0.0501960784313726</c:v>
                </c:pt>
                <c:pt idx="71">
                  <c:v>0.0617731782780326</c:v>
                </c:pt>
                <c:pt idx="72">
                  <c:v>0.0590836012861737</c:v>
                </c:pt>
                <c:pt idx="73">
                  <c:v>0.0714421252371917</c:v>
                </c:pt>
                <c:pt idx="74">
                  <c:v>-0.0997077835827505</c:v>
                </c:pt>
                <c:pt idx="75">
                  <c:v>-0.0418019081341595</c:v>
                </c:pt>
                <c:pt idx="76">
                  <c:v>-0.144118250872511</c:v>
                </c:pt>
                <c:pt idx="77">
                  <c:v>0.0605660829935237</c:v>
                </c:pt>
                <c:pt idx="78">
                  <c:v>0.0240868483546308</c:v>
                </c:pt>
                <c:pt idx="79">
                  <c:v>-0.0141342756183745</c:v>
                </c:pt>
                <c:pt idx="80">
                  <c:v>-0.0993503584229392</c:v>
                </c:pt>
                <c:pt idx="81">
                  <c:v>0.174853873896282</c:v>
                </c:pt>
                <c:pt idx="82">
                  <c:v>-0.00603366147983475</c:v>
                </c:pt>
                <c:pt idx="83">
                  <c:v>0.131203407880724</c:v>
                </c:pt>
                <c:pt idx="84">
                  <c:v>0.0369045377518358</c:v>
                </c:pt>
                <c:pt idx="85">
                  <c:v>-0.0680951516252043</c:v>
                </c:pt>
                <c:pt idx="86">
                  <c:v>0.0699532346063911</c:v>
                </c:pt>
                <c:pt idx="87">
                  <c:v>0.0371517027863779</c:v>
                </c:pt>
                <c:pt idx="88">
                  <c:v>0.0345917471466197</c:v>
                </c:pt>
                <c:pt idx="89">
                  <c:v>-0.00627970128988464</c:v>
                </c:pt>
                <c:pt idx="90">
                  <c:v>0.0260461144321094</c:v>
                </c:pt>
                <c:pt idx="91">
                  <c:v>-0.00898876404494398</c:v>
                </c:pt>
                <c:pt idx="92">
                  <c:v>0.0483749055177627</c:v>
                </c:pt>
                <c:pt idx="93">
                  <c:v>0.0295602018745496</c:v>
                </c:pt>
                <c:pt idx="94">
                  <c:v>-0.0693277310924371</c:v>
                </c:pt>
                <c:pt idx="95">
                  <c:v>-0.00518351308419029</c:v>
                </c:pt>
                <c:pt idx="96">
                  <c:v>-0.0168921758130934</c:v>
                </c:pt>
                <c:pt idx="97">
                  <c:v>-0.0453923747649171</c:v>
                </c:pt>
                <c:pt idx="98">
                  <c:v>-0.0497000089549565</c:v>
                </c:pt>
                <c:pt idx="99">
                  <c:v>0.00800980022615905</c:v>
                </c:pt>
                <c:pt idx="100">
                  <c:v>-0.0171076002617556</c:v>
                </c:pt>
                <c:pt idx="101">
                  <c:v>0.00751379113562867</c:v>
                </c:pt>
                <c:pt idx="102">
                  <c:v>-0.0143490984612481</c:v>
                </c:pt>
                <c:pt idx="103">
                  <c:v>0.0442486351882003</c:v>
                </c:pt>
                <c:pt idx="104">
                  <c:v>0.152343391727048</c:v>
                </c:pt>
                <c:pt idx="105">
                  <c:v>-0.0420248328557784</c:v>
                </c:pt>
                <c:pt idx="106">
                  <c:v>0.0175307411100034</c:v>
                </c:pt>
                <c:pt idx="107">
                  <c:v>0.00775700171470573</c:v>
                </c:pt>
                <c:pt idx="108">
                  <c:v>-0.0183114568141306</c:v>
                </c:pt>
                <c:pt idx="109">
                  <c:v>0.0880653681082868</c:v>
                </c:pt>
                <c:pt idx="110">
                  <c:v>0.029735265114162</c:v>
                </c:pt>
                <c:pt idx="111">
                  <c:v>-0.00589318600368327</c:v>
                </c:pt>
                <c:pt idx="112">
                  <c:v>-0.00414968506854396</c:v>
                </c:pt>
                <c:pt idx="113">
                  <c:v>-0.0872088697075675</c:v>
                </c:pt>
                <c:pt idx="114">
                  <c:v>0.0376620200538029</c:v>
                </c:pt>
                <c:pt idx="115">
                  <c:v>0.00565637520622198</c:v>
                </c:pt>
                <c:pt idx="116">
                  <c:v>-0.0142176392469338</c:v>
                </c:pt>
                <c:pt idx="117">
                  <c:v>-0.0465171566685158</c:v>
                </c:pt>
                <c:pt idx="118">
                  <c:v>-0.000166223404255317</c:v>
                </c:pt>
                <c:pt idx="119">
                  <c:v>-0.0574397339983375</c:v>
                </c:pt>
                <c:pt idx="120">
                  <c:v>0.0375694505688333</c:v>
                </c:pt>
                <c:pt idx="121">
                  <c:v>-0.0355291117722057</c:v>
                </c:pt>
                <c:pt idx="122">
                  <c:v>-0.00308451573103019</c:v>
                </c:pt>
                <c:pt idx="123">
                  <c:v>-0.0244872701555871</c:v>
                </c:pt>
                <c:pt idx="124">
                  <c:v>-0.103942002718623</c:v>
                </c:pt>
                <c:pt idx="125">
                  <c:v>0.0862661812297736</c:v>
                </c:pt>
                <c:pt idx="126">
                  <c:v>-0.0955218322316357</c:v>
                </c:pt>
                <c:pt idx="127">
                  <c:v>-0.042717447246526</c:v>
                </c:pt>
                <c:pt idx="128">
                  <c:v>0.153225806451613</c:v>
                </c:pt>
                <c:pt idx="129">
                  <c:v>0.0297435897435898</c:v>
                </c:pt>
                <c:pt idx="130">
                  <c:v>-0.074157913799348</c:v>
                </c:pt>
                <c:pt idx="131">
                  <c:v>-0.0964303178484107</c:v>
                </c:pt>
                <c:pt idx="132">
                  <c:v>0.0799870115813399</c:v>
                </c:pt>
                <c:pt idx="133">
                  <c:v>-0.0504109039887753</c:v>
                </c:pt>
                <c:pt idx="134">
                  <c:v>0.118627968337731</c:v>
                </c:pt>
                <c:pt idx="135">
                  <c:v>0.0569865081611474</c:v>
                </c:pt>
                <c:pt idx="136">
                  <c:v>0.0167812193162544</c:v>
                </c:pt>
                <c:pt idx="137">
                  <c:v>0.158282854885436</c:v>
                </c:pt>
                <c:pt idx="138">
                  <c:v>0.12566318023344</c:v>
                </c:pt>
                <c:pt idx="139">
                  <c:v>0.116819283598169</c:v>
                </c:pt>
                <c:pt idx="140">
                  <c:v>0.10176644360041</c:v>
                </c:pt>
                <c:pt idx="141">
                  <c:v>-0.0820246238030097</c:v>
                </c:pt>
                <c:pt idx="142">
                  <c:v>0.0175250357653791</c:v>
                </c:pt>
                <c:pt idx="143">
                  <c:v>0.00298769771529006</c:v>
                </c:pt>
                <c:pt idx="144">
                  <c:v>0.0237135681327025</c:v>
                </c:pt>
                <c:pt idx="145">
                  <c:v>0.106749586352485</c:v>
                </c:pt>
                <c:pt idx="146">
                  <c:v>-0.0350551603258067</c:v>
                </c:pt>
                <c:pt idx="147">
                  <c:v>0.0849449727534994</c:v>
                </c:pt>
                <c:pt idx="148">
                  <c:v>-0.0974985227496553</c:v>
                </c:pt>
                <c:pt idx="149">
                  <c:v>0.0413574858140551</c:v>
                </c:pt>
                <c:pt idx="150">
                  <c:v>0.123441265849314</c:v>
                </c:pt>
                <c:pt idx="151">
                  <c:v>0.0117992724559277</c:v>
                </c:pt>
                <c:pt idx="152">
                  <c:v>-0.115233924867481</c:v>
                </c:pt>
                <c:pt idx="153">
                  <c:v>0.137796301120083</c:v>
                </c:pt>
                <c:pt idx="154">
                  <c:v>-0.0242673992673993</c:v>
                </c:pt>
                <c:pt idx="155">
                  <c:v>-0.0298451431252932</c:v>
                </c:pt>
                <c:pt idx="156">
                  <c:v>0.14951146367418</c:v>
                </c:pt>
                <c:pt idx="157">
                  <c:v>0.0609299389859035</c:v>
                </c:pt>
                <c:pt idx="158">
                  <c:v>0.0282394003093642</c:v>
                </c:pt>
              </c:numCache>
            </c:numRef>
          </c:val>
        </c:ser>
        <c:gapWidth val="150"/>
        <c:overlap val="0"/>
        <c:axId val="57750831"/>
        <c:axId val="23813682"/>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(Calc)'!$AB$3:$AB$500</c:f>
              <c:numCache>
                <c:formatCode>#,##0.00</c:formatCode>
                <c:ptCount val="498"/>
                <c:pt idx="0">
                  <c:v>41.36</c:v>
                </c:pt>
                <c:pt idx="1">
                  <c:v>41.0982278481013</c:v>
                </c:pt>
                <c:pt idx="2">
                  <c:v>40.8364556962025</c:v>
                </c:pt>
                <c:pt idx="3">
                  <c:v>40.5746835443038</c:v>
                </c:pt>
                <c:pt idx="4">
                  <c:v>40.3129113924051</c:v>
                </c:pt>
                <c:pt idx="5">
                  <c:v>40.0511392405063</c:v>
                </c:pt>
                <c:pt idx="6">
                  <c:v>39.7893670886076</c:v>
                </c:pt>
                <c:pt idx="7">
                  <c:v>39.5275949367089</c:v>
                </c:pt>
                <c:pt idx="8">
                  <c:v>39.2658227848101</c:v>
                </c:pt>
                <c:pt idx="9">
                  <c:v>39.0040506329114</c:v>
                </c:pt>
                <c:pt idx="10">
                  <c:v>38.7422784810127</c:v>
                </c:pt>
                <c:pt idx="11">
                  <c:v>38.4805063291139</c:v>
                </c:pt>
                <c:pt idx="12">
                  <c:v>38.2187341772152</c:v>
                </c:pt>
                <c:pt idx="13">
                  <c:v>37.9569620253165</c:v>
                </c:pt>
                <c:pt idx="14">
                  <c:v>37.6951898734177</c:v>
                </c:pt>
                <c:pt idx="15">
                  <c:v>37.433417721519</c:v>
                </c:pt>
                <c:pt idx="16">
                  <c:v>37.1716455696203</c:v>
                </c:pt>
                <c:pt idx="17">
                  <c:v>36.9098734177215</c:v>
                </c:pt>
                <c:pt idx="18">
                  <c:v>36.6481012658228</c:v>
                </c:pt>
                <c:pt idx="19">
                  <c:v>36.3863291139241</c:v>
                </c:pt>
                <c:pt idx="20">
                  <c:v>36.1245569620253</c:v>
                </c:pt>
                <c:pt idx="21">
                  <c:v>35.8627848101266</c:v>
                </c:pt>
                <c:pt idx="22">
                  <c:v>35.6010126582278</c:v>
                </c:pt>
                <c:pt idx="23">
                  <c:v>35.3392405063291</c:v>
                </c:pt>
                <c:pt idx="24">
                  <c:v>35.0774683544304</c:v>
                </c:pt>
                <c:pt idx="25">
                  <c:v>34.8156962025317</c:v>
                </c:pt>
                <c:pt idx="26">
                  <c:v>34.5539240506329</c:v>
                </c:pt>
                <c:pt idx="27">
                  <c:v>34.2921518987342</c:v>
                </c:pt>
                <c:pt idx="28">
                  <c:v>34.0303797468354</c:v>
                </c:pt>
                <c:pt idx="29">
                  <c:v>33.7686075949367</c:v>
                </c:pt>
                <c:pt idx="30">
                  <c:v>33.506835443038</c:v>
                </c:pt>
                <c:pt idx="31">
                  <c:v>33.2450632911392</c:v>
                </c:pt>
                <c:pt idx="32">
                  <c:v>32.9832911392405</c:v>
                </c:pt>
                <c:pt idx="33">
                  <c:v>32.7215189873418</c:v>
                </c:pt>
                <c:pt idx="34">
                  <c:v>32.459746835443</c:v>
                </c:pt>
                <c:pt idx="35">
                  <c:v>32.1979746835443</c:v>
                </c:pt>
                <c:pt idx="36">
                  <c:v>31.9362025316456</c:v>
                </c:pt>
                <c:pt idx="37">
                  <c:v>31.6744303797468</c:v>
                </c:pt>
                <c:pt idx="38">
                  <c:v>31.4126582278481</c:v>
                </c:pt>
                <c:pt idx="39">
                  <c:v>31.1508860759494</c:v>
                </c:pt>
                <c:pt idx="40">
                  <c:v>30.8891139240506</c:v>
                </c:pt>
                <c:pt idx="41">
                  <c:v>30.6273417721519</c:v>
                </c:pt>
                <c:pt idx="42">
                  <c:v>30.3655696202532</c:v>
                </c:pt>
                <c:pt idx="43">
                  <c:v>30.1037974683544</c:v>
                </c:pt>
                <c:pt idx="44">
                  <c:v>29.8420253164557</c:v>
                </c:pt>
                <c:pt idx="45">
                  <c:v>29.580253164557</c:v>
                </c:pt>
                <c:pt idx="46">
                  <c:v>29.3184810126582</c:v>
                </c:pt>
                <c:pt idx="47">
                  <c:v>29.0567088607595</c:v>
                </c:pt>
                <c:pt idx="48">
                  <c:v>28.7949367088608</c:v>
                </c:pt>
                <c:pt idx="49">
                  <c:v>28.533164556962</c:v>
                </c:pt>
                <c:pt idx="50">
                  <c:v>28.2713924050633</c:v>
                </c:pt>
                <c:pt idx="51">
                  <c:v>28.0096202531646</c:v>
                </c:pt>
                <c:pt idx="52">
                  <c:v>27.7478481012658</c:v>
                </c:pt>
                <c:pt idx="53">
                  <c:v>27.4860759493671</c:v>
                </c:pt>
                <c:pt idx="54">
                  <c:v>27.2243037974684</c:v>
                </c:pt>
                <c:pt idx="55">
                  <c:v>26.9625316455696</c:v>
                </c:pt>
                <c:pt idx="56">
                  <c:v>26.7007594936709</c:v>
                </c:pt>
                <c:pt idx="57">
                  <c:v>26.4389873417722</c:v>
                </c:pt>
                <c:pt idx="58">
                  <c:v>26.1772151898734</c:v>
                </c:pt>
                <c:pt idx="59">
                  <c:v>25.9154430379747</c:v>
                </c:pt>
                <c:pt idx="60">
                  <c:v>25.653670886076</c:v>
                </c:pt>
                <c:pt idx="61">
                  <c:v>25.3918987341772</c:v>
                </c:pt>
                <c:pt idx="62">
                  <c:v>25.1301265822785</c:v>
                </c:pt>
                <c:pt idx="63">
                  <c:v>24.8683544303797</c:v>
                </c:pt>
                <c:pt idx="64">
                  <c:v>24.606582278481</c:v>
                </c:pt>
                <c:pt idx="65">
                  <c:v>24.3448101265823</c:v>
                </c:pt>
                <c:pt idx="66">
                  <c:v>24.0830379746835</c:v>
                </c:pt>
                <c:pt idx="67">
                  <c:v>23.8212658227848</c:v>
                </c:pt>
                <c:pt idx="68">
                  <c:v>23.5594936708861</c:v>
                </c:pt>
                <c:pt idx="69">
                  <c:v>23.2977215189873</c:v>
                </c:pt>
                <c:pt idx="70">
                  <c:v>23.0359493670886</c:v>
                </c:pt>
                <c:pt idx="71">
                  <c:v>22.7741772151899</c:v>
                </c:pt>
                <c:pt idx="72">
                  <c:v>22.5124050632911</c:v>
                </c:pt>
                <c:pt idx="73">
                  <c:v>22.2506329113924</c:v>
                </c:pt>
                <c:pt idx="74">
                  <c:v>21.9888607594937</c:v>
                </c:pt>
                <c:pt idx="75">
                  <c:v>21.7270886075949</c:v>
                </c:pt>
                <c:pt idx="76">
                  <c:v>21.4653164556962</c:v>
                </c:pt>
                <c:pt idx="77">
                  <c:v>21.2035443037975</c:v>
                </c:pt>
                <c:pt idx="78">
                  <c:v>20.9417721518987</c:v>
                </c:pt>
                <c:pt idx="79">
                  <c:v>20.68</c:v>
                </c:pt>
                <c:pt idx="80">
                  <c:v>20.4182278481013</c:v>
                </c:pt>
                <c:pt idx="81">
                  <c:v>20.1564556962025</c:v>
                </c:pt>
                <c:pt idx="82">
                  <c:v>19.8946835443038</c:v>
                </c:pt>
                <c:pt idx="83">
                  <c:v>19.6329113924051</c:v>
                </c:pt>
                <c:pt idx="84">
                  <c:v>19.3711392405063</c:v>
                </c:pt>
                <c:pt idx="85">
                  <c:v>19.1093670886076</c:v>
                </c:pt>
                <c:pt idx="86">
                  <c:v>18.8475949367089</c:v>
                </c:pt>
                <c:pt idx="87">
                  <c:v>18.5858227848101</c:v>
                </c:pt>
                <c:pt idx="88">
                  <c:v>18.3240506329114</c:v>
                </c:pt>
                <c:pt idx="89">
                  <c:v>18.0622784810127</c:v>
                </c:pt>
                <c:pt idx="90">
                  <c:v>17.8005063291139</c:v>
                </c:pt>
                <c:pt idx="91">
                  <c:v>17.5387341772152</c:v>
                </c:pt>
                <c:pt idx="92">
                  <c:v>17.2769620253165</c:v>
                </c:pt>
                <c:pt idx="93">
                  <c:v>17.0151898734177</c:v>
                </c:pt>
                <c:pt idx="94">
                  <c:v>16.753417721519</c:v>
                </c:pt>
                <c:pt idx="95">
                  <c:v>16.4916455696203</c:v>
                </c:pt>
                <c:pt idx="96">
                  <c:v>16.2298734177215</c:v>
                </c:pt>
                <c:pt idx="97">
                  <c:v>15.9681012658228</c:v>
                </c:pt>
                <c:pt idx="98">
                  <c:v>15.7063291139241</c:v>
                </c:pt>
                <c:pt idx="99">
                  <c:v>15.4445569620253</c:v>
                </c:pt>
                <c:pt idx="100">
                  <c:v>15.1827848101266</c:v>
                </c:pt>
                <c:pt idx="101">
                  <c:v>14.9210126582278</c:v>
                </c:pt>
                <c:pt idx="102">
                  <c:v>14.6592405063291</c:v>
                </c:pt>
                <c:pt idx="103">
                  <c:v>14.3974683544304</c:v>
                </c:pt>
                <c:pt idx="104">
                  <c:v>14.1356962025316</c:v>
                </c:pt>
                <c:pt idx="105">
                  <c:v>13.8739240506329</c:v>
                </c:pt>
                <c:pt idx="106">
                  <c:v>13.6121518987342</c:v>
                </c:pt>
                <c:pt idx="107">
                  <c:v>13.3503797468354</c:v>
                </c:pt>
                <c:pt idx="108">
                  <c:v>13.0886075949367</c:v>
                </c:pt>
                <c:pt idx="109">
                  <c:v>12.826835443038</c:v>
                </c:pt>
                <c:pt idx="110">
                  <c:v>12.5650632911392</c:v>
                </c:pt>
                <c:pt idx="111">
                  <c:v>12.3032911392405</c:v>
                </c:pt>
                <c:pt idx="112">
                  <c:v>12.0415189873418</c:v>
                </c:pt>
                <c:pt idx="113">
                  <c:v>11.779746835443</c:v>
                </c:pt>
                <c:pt idx="114">
                  <c:v>11.5179746835443</c:v>
                </c:pt>
                <c:pt idx="115">
                  <c:v>11.2562025316456</c:v>
                </c:pt>
                <c:pt idx="116">
                  <c:v>10.9944303797468</c:v>
                </c:pt>
                <c:pt idx="117">
                  <c:v>10.7326582278481</c:v>
                </c:pt>
                <c:pt idx="118">
                  <c:v>10.4708860759494</c:v>
                </c:pt>
                <c:pt idx="119">
                  <c:v>10.2091139240506</c:v>
                </c:pt>
                <c:pt idx="120">
                  <c:v>9.9473417721519</c:v>
                </c:pt>
                <c:pt idx="121">
                  <c:v>9.68556962025317</c:v>
                </c:pt>
                <c:pt idx="122">
                  <c:v>9.42379746835443</c:v>
                </c:pt>
                <c:pt idx="123">
                  <c:v>9.1620253164557</c:v>
                </c:pt>
                <c:pt idx="124">
                  <c:v>8.90025316455696</c:v>
                </c:pt>
                <c:pt idx="125">
                  <c:v>8.63848101265823</c:v>
                </c:pt>
                <c:pt idx="126">
                  <c:v>8.37670886075949</c:v>
                </c:pt>
                <c:pt idx="127">
                  <c:v>8.11493670886076</c:v>
                </c:pt>
                <c:pt idx="128">
                  <c:v>7.85316455696203</c:v>
                </c:pt>
                <c:pt idx="129">
                  <c:v>7.5913924050633</c:v>
                </c:pt>
                <c:pt idx="130">
                  <c:v>7.32962025316456</c:v>
                </c:pt>
                <c:pt idx="131">
                  <c:v>7.06784810126582</c:v>
                </c:pt>
                <c:pt idx="132">
                  <c:v>6.80607594936709</c:v>
                </c:pt>
                <c:pt idx="133">
                  <c:v>6.54430379746835</c:v>
                </c:pt>
                <c:pt idx="134">
                  <c:v>6.28253164556962</c:v>
                </c:pt>
                <c:pt idx="135">
                  <c:v>6.02075949367088</c:v>
                </c:pt>
                <c:pt idx="136">
                  <c:v>5.75898734177215</c:v>
                </c:pt>
                <c:pt idx="137">
                  <c:v>5.49721518987342</c:v>
                </c:pt>
                <c:pt idx="138">
                  <c:v>5.23544303797468</c:v>
                </c:pt>
                <c:pt idx="139">
                  <c:v>4.97367088607595</c:v>
                </c:pt>
                <c:pt idx="140">
                  <c:v>4.71189873417722</c:v>
                </c:pt>
                <c:pt idx="141">
                  <c:v>4.45012658227848</c:v>
                </c:pt>
                <c:pt idx="142">
                  <c:v>4.18835443037975</c:v>
                </c:pt>
                <c:pt idx="143">
                  <c:v>3.92658227848101</c:v>
                </c:pt>
                <c:pt idx="144">
                  <c:v>3.66481012658227</c:v>
                </c:pt>
                <c:pt idx="145">
                  <c:v>3.40303797468354</c:v>
                </c:pt>
                <c:pt idx="146">
                  <c:v>3.14126582278481</c:v>
                </c:pt>
                <c:pt idx="147">
                  <c:v>2.87949367088608</c:v>
                </c:pt>
                <c:pt idx="148">
                  <c:v>2.61772151898735</c:v>
                </c:pt>
                <c:pt idx="149">
                  <c:v>2.35594936708861</c:v>
                </c:pt>
                <c:pt idx="150">
                  <c:v>2.09417721518987</c:v>
                </c:pt>
                <c:pt idx="151">
                  <c:v>1.83240506329114</c:v>
                </c:pt>
                <c:pt idx="152">
                  <c:v>1.5706329113924</c:v>
                </c:pt>
                <c:pt idx="153">
                  <c:v>1.30886075949367</c:v>
                </c:pt>
                <c:pt idx="154">
                  <c:v>1.04708860759494</c:v>
                </c:pt>
                <c:pt idx="155">
                  <c:v>0.785316455696204</c:v>
                </c:pt>
                <c:pt idx="156">
                  <c:v>0.523544303797472</c:v>
                </c:pt>
                <c:pt idx="157">
                  <c:v>0.26177215189874</c:v>
                </c:pt>
                <c:pt idx="158">
                  <c:v>0</c:v>
                </c:pt>
                <c:pt idx="159">
                  <c:v>-0.261772151898732</c:v>
                </c:pt>
              </c:numCache>
            </c:numRef>
          </c:val>
          <c:smooth val="0"/>
        </c:ser>
        <c:hiLowLines>
          <c:spPr>
            <a:ln w="0">
              <a:noFill/>
            </a:ln>
          </c:spPr>
        </c:hiLowLines>
        <c:marker val="0"/>
        <c:axId val="89067632"/>
        <c:axId val="93897003"/>
      </c:lineChart>
      <c:dateAx>
        <c:axId val="5775083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813682"/>
        <c:auto val="1"/>
        <c:lblOffset val="100"/>
        <c:baseTimeUnit val="days"/>
      </c:dateAx>
      <c:valAx>
        <c:axId val="2381368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750831"/>
        <c:crosses val="autoZero"/>
        <c:crossBetween val="between"/>
      </c:valAx>
      <c:dateAx>
        <c:axId val="8906763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897003"/>
        <c:auto val="1"/>
        <c:lblOffset val="100"/>
        <c:baseTimeUnit val="days"/>
      </c:dateAx>
      <c:valAx>
        <c:axId val="9389700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06763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DVY</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(Calc)'!$H$3:$H$500</c:f>
              <c:numCache>
                <c:formatCode>0.0%</c:formatCode>
                <c:ptCount val="498"/>
                <c:pt idx="0">
                  <c:v>-0.021373894025251</c:v>
                </c:pt>
                <c:pt idx="1">
                  <c:v>-0.0187931735067045</c:v>
                </c:pt>
                <c:pt idx="2">
                  <c:v>-0.0222590330261933</c:v>
                </c:pt>
                <c:pt idx="3">
                  <c:v>0.0136594663278273</c:v>
                </c:pt>
                <c:pt idx="4">
                  <c:v>-0.019011804032174</c:v>
                </c:pt>
                <c:pt idx="5">
                  <c:v>-0.0160792247896921</c:v>
                </c:pt>
                <c:pt idx="6">
                  <c:v>0.0586580086580084</c:v>
                </c:pt>
                <c:pt idx="7">
                  <c:v>-0.0225925168677161</c:v>
                </c:pt>
                <c:pt idx="8">
                  <c:v>0.0354565422026985</c:v>
                </c:pt>
                <c:pt idx="9">
                  <c:v>0.0035353535353535</c:v>
                </c:pt>
                <c:pt idx="10">
                  <c:v>0.0292903875188728</c:v>
                </c:pt>
                <c:pt idx="11">
                  <c:v>0.00215137883825545</c:v>
                </c:pt>
                <c:pt idx="12">
                  <c:v>0.0298594847775175</c:v>
                </c:pt>
                <c:pt idx="13">
                  <c:v>0.00265302255069155</c:v>
                </c:pt>
                <c:pt idx="14">
                  <c:v>0.0040635040635042</c:v>
                </c:pt>
                <c:pt idx="15">
                  <c:v>0.00705882352941178</c:v>
                </c:pt>
                <c:pt idx="16">
                  <c:v>-0.0138317757009346</c:v>
                </c:pt>
                <c:pt idx="17">
                  <c:v>-0.0131728582259287</c:v>
                </c:pt>
                <c:pt idx="18">
                  <c:v>0.0157495438394315</c:v>
                </c:pt>
                <c:pt idx="19">
                  <c:v>-0.0128580883048123</c:v>
                </c:pt>
                <c:pt idx="20">
                  <c:v>-0.00890719279762464</c:v>
                </c:pt>
                <c:pt idx="21">
                  <c:v>0.011693080788558</c:v>
                </c:pt>
                <c:pt idx="22">
                  <c:v>0.0084057694144617</c:v>
                </c:pt>
                <c:pt idx="23">
                  <c:v>0.000189447759780359</c:v>
                </c:pt>
                <c:pt idx="24">
                  <c:v>0.0267070745335731</c:v>
                </c:pt>
                <c:pt idx="25">
                  <c:v>-0.0032284844571534</c:v>
                </c:pt>
                <c:pt idx="26">
                  <c:v>0.0161947066444568</c:v>
                </c:pt>
                <c:pt idx="27">
                  <c:v>0.0252253893088061</c:v>
                </c:pt>
                <c:pt idx="28">
                  <c:v>-0.0177651447859301</c:v>
                </c:pt>
                <c:pt idx="29">
                  <c:v>-0.0285765961294989</c:v>
                </c:pt>
                <c:pt idx="30">
                  <c:v>0.00986780860175007</c:v>
                </c:pt>
                <c:pt idx="31">
                  <c:v>0.00912610619469012</c:v>
                </c:pt>
                <c:pt idx="32">
                  <c:v>0.0122407965652691</c:v>
                </c:pt>
                <c:pt idx="33">
                  <c:v>0.0247270101976356</c:v>
                </c:pt>
                <c:pt idx="34">
                  <c:v>0.0121532364597094</c:v>
                </c:pt>
                <c:pt idx="35">
                  <c:v>-0.0204472287479336</c:v>
                </c:pt>
                <c:pt idx="36">
                  <c:v>0.0104814354236988</c:v>
                </c:pt>
                <c:pt idx="37">
                  <c:v>-0.0202180028129396</c:v>
                </c:pt>
                <c:pt idx="38">
                  <c:v>-0.0168670375022429</c:v>
                </c:pt>
                <c:pt idx="39">
                  <c:v>0.0137798868406644</c:v>
                </c:pt>
                <c:pt idx="40">
                  <c:v>0.00297056440723731</c:v>
                </c:pt>
                <c:pt idx="41">
                  <c:v>-0.00816729492012203</c:v>
                </c:pt>
                <c:pt idx="42">
                  <c:v>0.0420776400325762</c:v>
                </c:pt>
                <c:pt idx="43">
                  <c:v>0.0141542202153526</c:v>
                </c:pt>
                <c:pt idx="44">
                  <c:v>0.0211490709821047</c:v>
                </c:pt>
                <c:pt idx="45">
                  <c:v>-0.0144222706691263</c:v>
                </c:pt>
                <c:pt idx="46">
                  <c:v>-0.0101242130338609</c:v>
                </c:pt>
                <c:pt idx="47">
                  <c:v>0.0256123764503653</c:v>
                </c:pt>
                <c:pt idx="48">
                  <c:v>0.0207827034274701</c:v>
                </c:pt>
                <c:pt idx="49">
                  <c:v>0.0137098760364502</c:v>
                </c:pt>
                <c:pt idx="50">
                  <c:v>-0.0213799805636541</c:v>
                </c:pt>
                <c:pt idx="51">
                  <c:v>0.0185369083085072</c:v>
                </c:pt>
                <c:pt idx="52">
                  <c:v>0.0121059473513161</c:v>
                </c:pt>
                <c:pt idx="53">
                  <c:v>0.00770651039576142</c:v>
                </c:pt>
                <c:pt idx="54">
                  <c:v>-0.00398311160678722</c:v>
                </c:pt>
                <c:pt idx="55">
                  <c:v>0.000559865632248302</c:v>
                </c:pt>
                <c:pt idx="56">
                  <c:v>0.0193445243804957</c:v>
                </c:pt>
                <c:pt idx="57">
                  <c:v>-0.0236041405269761</c:v>
                </c:pt>
                <c:pt idx="58">
                  <c:v>-0.000963778009798411</c:v>
                </c:pt>
                <c:pt idx="59">
                  <c:v>0.0347294798617253</c:v>
                </c:pt>
                <c:pt idx="60">
                  <c:v>0.00124310465387301</c:v>
                </c:pt>
                <c:pt idx="61">
                  <c:v>0.0271591526344379</c:v>
                </c:pt>
                <c:pt idx="62">
                  <c:v>0.00936768149882905</c:v>
                </c:pt>
                <c:pt idx="63">
                  <c:v>-0.0252975076715817</c:v>
                </c:pt>
                <c:pt idx="64">
                  <c:v>-0.0201950395454196</c:v>
                </c:pt>
                <c:pt idx="65">
                  <c:v>-0.0315830721003135</c:v>
                </c:pt>
                <c:pt idx="66">
                  <c:v>0.00453184429877807</c:v>
                </c:pt>
                <c:pt idx="67">
                  <c:v>-0.000563924917425185</c:v>
                </c:pt>
                <c:pt idx="68">
                  <c:v>-0.0249879090762535</c:v>
                </c:pt>
                <c:pt idx="69">
                  <c:v>0.0483630952380953</c:v>
                </c:pt>
                <c:pt idx="70">
                  <c:v>0.00220802775806317</c:v>
                </c:pt>
                <c:pt idx="71">
                  <c:v>-0.0025965850971752</c:v>
                </c:pt>
                <c:pt idx="72">
                  <c:v>-0.00481224360997157</c:v>
                </c:pt>
                <c:pt idx="73">
                  <c:v>0.0119698771304002</c:v>
                </c:pt>
                <c:pt idx="74">
                  <c:v>0.00728497571674769</c:v>
                </c:pt>
                <c:pt idx="75">
                  <c:v>0.0102651839178785</c:v>
                </c:pt>
                <c:pt idx="76">
                  <c:v>-0.0274805634670156</c:v>
                </c:pt>
                <c:pt idx="77">
                  <c:v>-0.00839005857210706</c:v>
                </c:pt>
                <c:pt idx="78">
                  <c:v>0.00478927203065127</c:v>
                </c:pt>
                <c:pt idx="79">
                  <c:v>-0.000238322211630115</c:v>
                </c:pt>
                <c:pt idx="80">
                  <c:v>-0.0803337306317045</c:v>
                </c:pt>
                <c:pt idx="81">
                  <c:v>0.0160705028512183</c:v>
                </c:pt>
                <c:pt idx="82">
                  <c:v>0.0147108843537416</c:v>
                </c:pt>
                <c:pt idx="83">
                  <c:v>0.0143300092181347</c:v>
                </c:pt>
                <c:pt idx="84">
                  <c:v>0.016606080634501</c:v>
                </c:pt>
                <c:pt idx="85">
                  <c:v>-0.00121901665989432</c:v>
                </c:pt>
                <c:pt idx="86">
                  <c:v>0.0320585842148087</c:v>
                </c:pt>
                <c:pt idx="87">
                  <c:v>-0.0258593503626616</c:v>
                </c:pt>
                <c:pt idx="88">
                  <c:v>0.00647458724506311</c:v>
                </c:pt>
                <c:pt idx="89">
                  <c:v>0.00369893856545511</c:v>
                </c:pt>
                <c:pt idx="90">
                  <c:v>-0.00352507610959785</c:v>
                </c:pt>
                <c:pt idx="91">
                  <c:v>0.00297475478372733</c:v>
                </c:pt>
                <c:pt idx="92">
                  <c:v>0.0137875751503005</c:v>
                </c:pt>
                <c:pt idx="93">
                  <c:v>0.0341582984106903</c:v>
                </c:pt>
                <c:pt idx="94">
                  <c:v>-0.00336417157275015</c:v>
                </c:pt>
                <c:pt idx="95">
                  <c:v>-0.00421940928270026</c:v>
                </c:pt>
                <c:pt idx="96">
                  <c:v>0.0181818181818181</c:v>
                </c:pt>
                <c:pt idx="97">
                  <c:v>-0.0300393462469734</c:v>
                </c:pt>
                <c:pt idx="98">
                  <c:v>0.0161479054528433</c:v>
                </c:pt>
                <c:pt idx="99">
                  <c:v>0.0153539075694764</c:v>
                </c:pt>
                <c:pt idx="100">
                  <c:v>0.0288825041584759</c:v>
                </c:pt>
                <c:pt idx="101">
                  <c:v>-0.00220458553791891</c:v>
                </c:pt>
                <c:pt idx="102">
                  <c:v>-0.000883782589483073</c:v>
                </c:pt>
                <c:pt idx="103">
                  <c:v>0.0013268465280849</c:v>
                </c:pt>
                <c:pt idx="104">
                  <c:v>-0.00279740871613665</c:v>
                </c:pt>
                <c:pt idx="105">
                  <c:v>0.00767754318618041</c:v>
                </c:pt>
                <c:pt idx="106">
                  <c:v>0.0123809523809524</c:v>
                </c:pt>
                <c:pt idx="107">
                  <c:v>-0.0345900571676677</c:v>
                </c:pt>
                <c:pt idx="108">
                  <c:v>0.0146915523573945</c:v>
                </c:pt>
                <c:pt idx="109">
                  <c:v>0.0169904705621629</c:v>
                </c:pt>
                <c:pt idx="110">
                  <c:v>-0.0238250889808963</c:v>
                </c:pt>
                <c:pt idx="111">
                  <c:v>0.00744102983852968</c:v>
                </c:pt>
                <c:pt idx="112">
                  <c:v>0.00310214934633302</c:v>
                </c:pt>
                <c:pt idx="113">
                  <c:v>-0.00493336278624557</c:v>
                </c:pt>
                <c:pt idx="114">
                  <c:v>0.0257510729613735</c:v>
                </c:pt>
                <c:pt idx="115">
                  <c:v>-0.0119030442937528</c:v>
                </c:pt>
                <c:pt idx="116">
                  <c:v>0.0162079287435204</c:v>
                </c:pt>
                <c:pt idx="117">
                  <c:v>-0.00459803146777771</c:v>
                </c:pt>
                <c:pt idx="118">
                  <c:v>0.00526885600866112</c:v>
                </c:pt>
                <c:pt idx="119">
                  <c:v>7.17978173463418E-005</c:v>
                </c:pt>
                <c:pt idx="120">
                  <c:v>0.02096345753464</c:v>
                </c:pt>
                <c:pt idx="121">
                  <c:v>0.013008930454961</c:v>
                </c:pt>
                <c:pt idx="122">
                  <c:v>0.0024989587671802</c:v>
                </c:pt>
                <c:pt idx="123">
                  <c:v>0.0173798642847252</c:v>
                </c:pt>
                <c:pt idx="124">
                  <c:v>0.0330769754304769</c:v>
                </c:pt>
                <c:pt idx="125">
                  <c:v>0.016074840239805</c:v>
                </c:pt>
                <c:pt idx="126">
                  <c:v>-0.00713220514815527</c:v>
                </c:pt>
                <c:pt idx="127">
                  <c:v>-0.0033305034937634</c:v>
                </c:pt>
                <c:pt idx="128">
                  <c:v>-0.0247018739352641</c:v>
                </c:pt>
                <c:pt idx="129">
                  <c:v>-0.0121598925092375</c:v>
                </c:pt>
                <c:pt idx="130">
                  <c:v>-0.0233949945593036</c:v>
                </c:pt>
                <c:pt idx="131">
                  <c:v>0.0244428969359334</c:v>
                </c:pt>
                <c:pt idx="132">
                  <c:v>0.0144789613214602</c:v>
                </c:pt>
                <c:pt idx="133">
                  <c:v>0.00515947467166966</c:v>
                </c:pt>
                <c:pt idx="134">
                  <c:v>0.00459969335377641</c:v>
                </c:pt>
                <c:pt idx="135">
                  <c:v>-0.00809555408095553</c:v>
                </c:pt>
                <c:pt idx="136">
                  <c:v>0.017928819909018</c:v>
                </c:pt>
                <c:pt idx="137">
                  <c:v>-0.0151813880126183</c:v>
                </c:pt>
                <c:pt idx="138">
                  <c:v>-0.00867534200867526</c:v>
                </c:pt>
                <c:pt idx="139">
                  <c:v>0.0317738135307977</c:v>
                </c:pt>
                <c:pt idx="140">
                  <c:v>-0.00508905852417307</c:v>
                </c:pt>
                <c:pt idx="141">
                  <c:v>0.0028198570398057</c:v>
                </c:pt>
                <c:pt idx="142">
                  <c:v>0.0221030604237511</c:v>
                </c:pt>
                <c:pt idx="143">
                  <c:v>-0.027191298784389</c:v>
                </c:pt>
                <c:pt idx="144">
                  <c:v>0.0317000986517593</c:v>
                </c:pt>
                <c:pt idx="145">
                  <c:v>0.00580098170459609</c:v>
                </c:pt>
                <c:pt idx="146">
                  <c:v>0.00234503739383962</c:v>
                </c:pt>
                <c:pt idx="147">
                  <c:v>0.01492254189061</c:v>
                </c:pt>
                <c:pt idx="148">
                  <c:v>0.00716466263784188</c:v>
                </c:pt>
                <c:pt idx="149">
                  <c:v>-0.0109489051094891</c:v>
                </c:pt>
                <c:pt idx="150">
                  <c:v>0.00431546688348261</c:v>
                </c:pt>
                <c:pt idx="151">
                  <c:v>0.0222319093286836</c:v>
                </c:pt>
                <c:pt idx="152">
                  <c:v>-0.00852878464818763</c:v>
                </c:pt>
                <c:pt idx="153">
                  <c:v>-0.00178187403993846</c:v>
                </c:pt>
                <c:pt idx="154">
                  <c:v>0.00276991259386916</c:v>
                </c:pt>
                <c:pt idx="155">
                  <c:v>-0.01154011417347</c:v>
                </c:pt>
                <c:pt idx="156">
                  <c:v>-0.0173259641060671</c:v>
                </c:pt>
                <c:pt idx="157">
                  <c:v>-0.0221814964610719</c:v>
                </c:pt>
                <c:pt idx="158">
                  <c:v>-0.00697990047178942</c:v>
                </c:pt>
              </c:numCache>
            </c:numRef>
          </c:val>
        </c:ser>
        <c:gapWidth val="150"/>
        <c:overlap val="0"/>
        <c:axId val="45516712"/>
        <c:axId val="52279122"/>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(Calc)'!$AC$3:$AC$500</c:f>
              <c:numCache>
                <c:formatCode>#,##0.00</c:formatCode>
                <c:ptCount val="498"/>
                <c:pt idx="0">
                  <c:v>100.59</c:v>
                </c:pt>
                <c:pt idx="1">
                  <c:v>99.9533544303798</c:v>
                </c:pt>
                <c:pt idx="2">
                  <c:v>99.3167088607595</c:v>
                </c:pt>
                <c:pt idx="3">
                  <c:v>98.6800632911393</c:v>
                </c:pt>
                <c:pt idx="4">
                  <c:v>98.043417721519</c:v>
                </c:pt>
                <c:pt idx="5">
                  <c:v>97.4067721518987</c:v>
                </c:pt>
                <c:pt idx="6">
                  <c:v>96.7701265822785</c:v>
                </c:pt>
                <c:pt idx="7">
                  <c:v>96.1334810126582</c:v>
                </c:pt>
                <c:pt idx="8">
                  <c:v>95.496835443038</c:v>
                </c:pt>
                <c:pt idx="9">
                  <c:v>94.8601898734177</c:v>
                </c:pt>
                <c:pt idx="10">
                  <c:v>94.2235443037975</c:v>
                </c:pt>
                <c:pt idx="11">
                  <c:v>93.5868987341772</c:v>
                </c:pt>
                <c:pt idx="12">
                  <c:v>92.950253164557</c:v>
                </c:pt>
                <c:pt idx="13">
                  <c:v>92.3136075949367</c:v>
                </c:pt>
                <c:pt idx="14">
                  <c:v>91.6769620253165</c:v>
                </c:pt>
                <c:pt idx="15">
                  <c:v>91.0403164556962</c:v>
                </c:pt>
                <c:pt idx="16">
                  <c:v>90.403670886076</c:v>
                </c:pt>
                <c:pt idx="17">
                  <c:v>89.7670253164557</c:v>
                </c:pt>
                <c:pt idx="18">
                  <c:v>89.1303797468354</c:v>
                </c:pt>
                <c:pt idx="19">
                  <c:v>88.4937341772152</c:v>
                </c:pt>
                <c:pt idx="20">
                  <c:v>87.8570886075949</c:v>
                </c:pt>
                <c:pt idx="21">
                  <c:v>87.2204430379747</c:v>
                </c:pt>
                <c:pt idx="22">
                  <c:v>86.5837974683544</c:v>
                </c:pt>
                <c:pt idx="23">
                  <c:v>85.9471518987342</c:v>
                </c:pt>
                <c:pt idx="24">
                  <c:v>85.3105063291139</c:v>
                </c:pt>
                <c:pt idx="25">
                  <c:v>84.6738607594937</c:v>
                </c:pt>
                <c:pt idx="26">
                  <c:v>84.0372151898734</c:v>
                </c:pt>
                <c:pt idx="27">
                  <c:v>83.4005696202532</c:v>
                </c:pt>
                <c:pt idx="28">
                  <c:v>82.7639240506329</c:v>
                </c:pt>
                <c:pt idx="29">
                  <c:v>82.1272784810127</c:v>
                </c:pt>
                <c:pt idx="30">
                  <c:v>81.4906329113924</c:v>
                </c:pt>
                <c:pt idx="31">
                  <c:v>80.8539873417722</c:v>
                </c:pt>
                <c:pt idx="32">
                  <c:v>80.2173417721519</c:v>
                </c:pt>
                <c:pt idx="33">
                  <c:v>79.5806962025316</c:v>
                </c:pt>
                <c:pt idx="34">
                  <c:v>78.9440506329114</c:v>
                </c:pt>
                <c:pt idx="35">
                  <c:v>78.3074050632911</c:v>
                </c:pt>
                <c:pt idx="36">
                  <c:v>77.6707594936709</c:v>
                </c:pt>
                <c:pt idx="37">
                  <c:v>77.0341139240506</c:v>
                </c:pt>
                <c:pt idx="38">
                  <c:v>76.3974683544304</c:v>
                </c:pt>
                <c:pt idx="39">
                  <c:v>75.7608227848101</c:v>
                </c:pt>
                <c:pt idx="40">
                  <c:v>75.1241772151899</c:v>
                </c:pt>
                <c:pt idx="41">
                  <c:v>74.4875316455696</c:v>
                </c:pt>
                <c:pt idx="42">
                  <c:v>73.8508860759494</c:v>
                </c:pt>
                <c:pt idx="43">
                  <c:v>73.2142405063291</c:v>
                </c:pt>
                <c:pt idx="44">
                  <c:v>72.5775949367089</c:v>
                </c:pt>
                <c:pt idx="45">
                  <c:v>71.9409493670886</c:v>
                </c:pt>
                <c:pt idx="46">
                  <c:v>71.3043037974684</c:v>
                </c:pt>
                <c:pt idx="47">
                  <c:v>70.6676582278481</c:v>
                </c:pt>
                <c:pt idx="48">
                  <c:v>70.0310126582279</c:v>
                </c:pt>
                <c:pt idx="49">
                  <c:v>69.3943670886076</c:v>
                </c:pt>
                <c:pt idx="50">
                  <c:v>68.7577215189874</c:v>
                </c:pt>
                <c:pt idx="51">
                  <c:v>68.1210759493671</c:v>
                </c:pt>
                <c:pt idx="52">
                  <c:v>67.4844303797468</c:v>
                </c:pt>
                <c:pt idx="53">
                  <c:v>66.8477848101266</c:v>
                </c:pt>
                <c:pt idx="54">
                  <c:v>66.2111392405063</c:v>
                </c:pt>
                <c:pt idx="55">
                  <c:v>65.5744936708861</c:v>
                </c:pt>
                <c:pt idx="56">
                  <c:v>64.9378481012658</c:v>
                </c:pt>
                <c:pt idx="57">
                  <c:v>64.3012025316456</c:v>
                </c:pt>
                <c:pt idx="58">
                  <c:v>63.6645569620253</c:v>
                </c:pt>
                <c:pt idx="59">
                  <c:v>63.0279113924051</c:v>
                </c:pt>
                <c:pt idx="60">
                  <c:v>62.3912658227848</c:v>
                </c:pt>
                <c:pt idx="61">
                  <c:v>61.7546202531646</c:v>
                </c:pt>
                <c:pt idx="62">
                  <c:v>61.1179746835443</c:v>
                </c:pt>
                <c:pt idx="63">
                  <c:v>60.4813291139241</c:v>
                </c:pt>
                <c:pt idx="64">
                  <c:v>59.8446835443038</c:v>
                </c:pt>
                <c:pt idx="65">
                  <c:v>59.2080379746835</c:v>
                </c:pt>
                <c:pt idx="66">
                  <c:v>58.5713924050633</c:v>
                </c:pt>
                <c:pt idx="67">
                  <c:v>57.934746835443</c:v>
                </c:pt>
                <c:pt idx="68">
                  <c:v>57.2981012658228</c:v>
                </c:pt>
                <c:pt idx="69">
                  <c:v>56.6614556962025</c:v>
                </c:pt>
                <c:pt idx="70">
                  <c:v>56.0248101265823</c:v>
                </c:pt>
                <c:pt idx="71">
                  <c:v>55.388164556962</c:v>
                </c:pt>
                <c:pt idx="72">
                  <c:v>54.7515189873418</c:v>
                </c:pt>
                <c:pt idx="73">
                  <c:v>54.1148734177215</c:v>
                </c:pt>
                <c:pt idx="74">
                  <c:v>53.4782278481013</c:v>
                </c:pt>
                <c:pt idx="75">
                  <c:v>52.841582278481</c:v>
                </c:pt>
                <c:pt idx="76">
                  <c:v>52.2049367088608</c:v>
                </c:pt>
                <c:pt idx="77">
                  <c:v>51.5682911392405</c:v>
                </c:pt>
                <c:pt idx="78">
                  <c:v>50.9316455696203</c:v>
                </c:pt>
                <c:pt idx="79">
                  <c:v>50.295</c:v>
                </c:pt>
                <c:pt idx="80">
                  <c:v>49.6583544303797</c:v>
                </c:pt>
                <c:pt idx="81">
                  <c:v>49.0217088607595</c:v>
                </c:pt>
                <c:pt idx="82">
                  <c:v>48.3850632911392</c:v>
                </c:pt>
                <c:pt idx="83">
                  <c:v>47.748417721519</c:v>
                </c:pt>
                <c:pt idx="84">
                  <c:v>47.1117721518987</c:v>
                </c:pt>
                <c:pt idx="85">
                  <c:v>46.4751265822785</c:v>
                </c:pt>
                <c:pt idx="86">
                  <c:v>45.8384810126582</c:v>
                </c:pt>
                <c:pt idx="87">
                  <c:v>45.201835443038</c:v>
                </c:pt>
                <c:pt idx="88">
                  <c:v>44.5651898734177</c:v>
                </c:pt>
                <c:pt idx="89">
                  <c:v>43.9285443037975</c:v>
                </c:pt>
                <c:pt idx="90">
                  <c:v>43.2918987341772</c:v>
                </c:pt>
                <c:pt idx="91">
                  <c:v>42.655253164557</c:v>
                </c:pt>
                <c:pt idx="92">
                  <c:v>42.0186075949367</c:v>
                </c:pt>
                <c:pt idx="93">
                  <c:v>41.3819620253165</c:v>
                </c:pt>
                <c:pt idx="94">
                  <c:v>40.7453164556962</c:v>
                </c:pt>
                <c:pt idx="95">
                  <c:v>40.108670886076</c:v>
                </c:pt>
                <c:pt idx="96">
                  <c:v>39.4720253164557</c:v>
                </c:pt>
                <c:pt idx="97">
                  <c:v>38.8353797468355</c:v>
                </c:pt>
                <c:pt idx="98">
                  <c:v>38.1987341772152</c:v>
                </c:pt>
                <c:pt idx="99">
                  <c:v>37.5620886075949</c:v>
                </c:pt>
                <c:pt idx="100">
                  <c:v>36.9254430379747</c:v>
                </c:pt>
                <c:pt idx="101">
                  <c:v>36.2887974683544</c:v>
                </c:pt>
                <c:pt idx="102">
                  <c:v>35.6521518987342</c:v>
                </c:pt>
                <c:pt idx="103">
                  <c:v>35.0155063291139</c:v>
                </c:pt>
                <c:pt idx="104">
                  <c:v>34.3788607594937</c:v>
                </c:pt>
                <c:pt idx="105">
                  <c:v>33.7422151898734</c:v>
                </c:pt>
                <c:pt idx="106">
                  <c:v>33.1055696202532</c:v>
                </c:pt>
                <c:pt idx="107">
                  <c:v>32.4689240506329</c:v>
                </c:pt>
                <c:pt idx="108">
                  <c:v>31.8322784810127</c:v>
                </c:pt>
                <c:pt idx="109">
                  <c:v>31.1956329113924</c:v>
                </c:pt>
                <c:pt idx="110">
                  <c:v>30.5589873417722</c:v>
                </c:pt>
                <c:pt idx="111">
                  <c:v>29.9223417721519</c:v>
                </c:pt>
                <c:pt idx="112">
                  <c:v>29.2856962025317</c:v>
                </c:pt>
                <c:pt idx="113">
                  <c:v>28.6490506329114</c:v>
                </c:pt>
                <c:pt idx="114">
                  <c:v>28.0124050632911</c:v>
                </c:pt>
                <c:pt idx="115">
                  <c:v>27.3757594936709</c:v>
                </c:pt>
                <c:pt idx="116">
                  <c:v>26.7391139240506</c:v>
                </c:pt>
                <c:pt idx="117">
                  <c:v>26.1024683544304</c:v>
                </c:pt>
                <c:pt idx="118">
                  <c:v>25.4658227848101</c:v>
                </c:pt>
                <c:pt idx="119">
                  <c:v>24.8291772151899</c:v>
                </c:pt>
                <c:pt idx="120">
                  <c:v>24.1925316455696</c:v>
                </c:pt>
                <c:pt idx="121">
                  <c:v>23.5558860759494</c:v>
                </c:pt>
                <c:pt idx="122">
                  <c:v>22.9192405063291</c:v>
                </c:pt>
                <c:pt idx="123">
                  <c:v>22.2825949367089</c:v>
                </c:pt>
                <c:pt idx="124">
                  <c:v>21.6459493670886</c:v>
                </c:pt>
                <c:pt idx="125">
                  <c:v>21.0093037974684</c:v>
                </c:pt>
                <c:pt idx="126">
                  <c:v>20.3726582278481</c:v>
                </c:pt>
                <c:pt idx="127">
                  <c:v>19.7360126582279</c:v>
                </c:pt>
                <c:pt idx="128">
                  <c:v>19.0993670886076</c:v>
                </c:pt>
                <c:pt idx="129">
                  <c:v>18.4627215189873</c:v>
                </c:pt>
                <c:pt idx="130">
                  <c:v>17.8260759493671</c:v>
                </c:pt>
                <c:pt idx="131">
                  <c:v>17.1894303797468</c:v>
                </c:pt>
                <c:pt idx="132">
                  <c:v>16.5527848101266</c:v>
                </c:pt>
                <c:pt idx="133">
                  <c:v>15.9161392405063</c:v>
                </c:pt>
                <c:pt idx="134">
                  <c:v>15.2794936708861</c:v>
                </c:pt>
                <c:pt idx="135">
                  <c:v>14.6428481012658</c:v>
                </c:pt>
                <c:pt idx="136">
                  <c:v>14.0062025316456</c:v>
                </c:pt>
                <c:pt idx="137">
                  <c:v>13.3695569620253</c:v>
                </c:pt>
                <c:pt idx="138">
                  <c:v>12.7329113924051</c:v>
                </c:pt>
                <c:pt idx="139">
                  <c:v>12.0962658227848</c:v>
                </c:pt>
                <c:pt idx="140">
                  <c:v>11.4596202531646</c:v>
                </c:pt>
                <c:pt idx="141">
                  <c:v>10.8229746835443</c:v>
                </c:pt>
                <c:pt idx="142">
                  <c:v>10.186329113924</c:v>
                </c:pt>
                <c:pt idx="143">
                  <c:v>9.54968354430379</c:v>
                </c:pt>
                <c:pt idx="144">
                  <c:v>8.91303797468355</c:v>
                </c:pt>
                <c:pt idx="145">
                  <c:v>8.27639240506329</c:v>
                </c:pt>
                <c:pt idx="146">
                  <c:v>7.63974683544303</c:v>
                </c:pt>
                <c:pt idx="147">
                  <c:v>7.00310126582278</c:v>
                </c:pt>
                <c:pt idx="148">
                  <c:v>6.36645569620254</c:v>
                </c:pt>
                <c:pt idx="149">
                  <c:v>5.72981012658228</c:v>
                </c:pt>
                <c:pt idx="150">
                  <c:v>5.09316455696202</c:v>
                </c:pt>
                <c:pt idx="151">
                  <c:v>4.45651898734178</c:v>
                </c:pt>
                <c:pt idx="152">
                  <c:v>3.81987341772152</c:v>
                </c:pt>
                <c:pt idx="153">
                  <c:v>3.18322784810127</c:v>
                </c:pt>
                <c:pt idx="154">
                  <c:v>2.54658227848101</c:v>
                </c:pt>
                <c:pt idx="155">
                  <c:v>1.90993670886076</c:v>
                </c:pt>
                <c:pt idx="156">
                  <c:v>1.2732911392405</c:v>
                </c:pt>
                <c:pt idx="157">
                  <c:v>0.636645569620256</c:v>
                </c:pt>
                <c:pt idx="158">
                  <c:v>0</c:v>
                </c:pt>
                <c:pt idx="159">
                  <c:v>-0.636645569620256</c:v>
                </c:pt>
              </c:numCache>
            </c:numRef>
          </c:val>
          <c:smooth val="0"/>
        </c:ser>
        <c:hiLowLines>
          <c:spPr>
            <a:ln w="0">
              <a:noFill/>
            </a:ln>
          </c:spPr>
        </c:hiLowLines>
        <c:marker val="0"/>
        <c:axId val="57031910"/>
        <c:axId val="20860578"/>
      </c:lineChart>
      <c:dateAx>
        <c:axId val="4551671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279122"/>
        <c:auto val="1"/>
        <c:lblOffset val="100"/>
        <c:baseTimeUnit val="days"/>
      </c:dateAx>
      <c:valAx>
        <c:axId val="5227912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516712"/>
        <c:crosses val="autoZero"/>
        <c:crossBetween val="between"/>
      </c:valAx>
      <c:dateAx>
        <c:axId val="5703191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860578"/>
        <c:auto val="1"/>
        <c:lblOffset val="100"/>
        <c:baseTimeUnit val="days"/>
      </c:dateAx>
      <c:valAx>
        <c:axId val="2086057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03191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(Calc)'!$I$3:$I$500</c:f>
              <c:numCache>
                <c:formatCode>0.0%</c:formatCode>
                <c:ptCount val="498"/>
                <c:pt idx="0">
                  <c:v>-0.00518602029312298</c:v>
                </c:pt>
                <c:pt idx="1">
                  <c:v>0.0151858567543064</c:v>
                </c:pt>
                <c:pt idx="2">
                  <c:v>0.0203170350524671</c:v>
                </c:pt>
                <c:pt idx="3">
                  <c:v>0.0402625820568927</c:v>
                </c:pt>
                <c:pt idx="4">
                  <c:v>-0.0500631047538915</c:v>
                </c:pt>
                <c:pt idx="5">
                  <c:v>-0.00974313551815764</c:v>
                </c:pt>
                <c:pt idx="6">
                  <c:v>0.091010733452594</c:v>
                </c:pt>
                <c:pt idx="7">
                  <c:v>0.0692764910842387</c:v>
                </c:pt>
                <c:pt idx="8">
                  <c:v>0.0220433199156602</c:v>
                </c:pt>
                <c:pt idx="9">
                  <c:v>0.0204426106526632</c:v>
                </c:pt>
                <c:pt idx="10">
                  <c:v>-0.0119463333945966</c:v>
                </c:pt>
                <c:pt idx="11">
                  <c:v>-0.0265997023809523</c:v>
                </c:pt>
                <c:pt idx="12">
                  <c:v>0.0947831072042806</c:v>
                </c:pt>
                <c:pt idx="13">
                  <c:v>-0.00418921277709905</c:v>
                </c:pt>
                <c:pt idx="14">
                  <c:v>-0.00227870289219978</c:v>
                </c:pt>
                <c:pt idx="15">
                  <c:v>-0.0635980323260718</c:v>
                </c:pt>
                <c:pt idx="16">
                  <c:v>0.0298311444652908</c:v>
                </c:pt>
                <c:pt idx="17">
                  <c:v>0.093459646565859</c:v>
                </c:pt>
                <c:pt idx="18">
                  <c:v>-0.0221592802399201</c:v>
                </c:pt>
                <c:pt idx="19">
                  <c:v>0.0081785653433295</c:v>
                </c:pt>
                <c:pt idx="20">
                  <c:v>0.0753760351529491</c:v>
                </c:pt>
                <c:pt idx="21">
                  <c:v>0.0199591387710201</c:v>
                </c:pt>
                <c:pt idx="22">
                  <c:v>0.0112480739599381</c:v>
                </c:pt>
                <c:pt idx="23">
                  <c:v>0.0729849154350146</c:v>
                </c:pt>
                <c:pt idx="24">
                  <c:v>-0.0255609201931269</c:v>
                </c:pt>
                <c:pt idx="25">
                  <c:v>-0.0220052462838823</c:v>
                </c:pt>
                <c:pt idx="26">
                  <c:v>0.0390403814632694</c:v>
                </c:pt>
                <c:pt idx="27">
                  <c:v>-0.0169224150293992</c:v>
                </c:pt>
                <c:pt idx="28">
                  <c:v>-0.022465353756382</c:v>
                </c:pt>
                <c:pt idx="29">
                  <c:v>-0.00298462915982689</c:v>
                </c:pt>
                <c:pt idx="30">
                  <c:v>-0.0773836252058076</c:v>
                </c:pt>
                <c:pt idx="31">
                  <c:v>0.124432186891629</c:v>
                </c:pt>
                <c:pt idx="32">
                  <c:v>-0.0137065358534122</c:v>
                </c:pt>
                <c:pt idx="33">
                  <c:v>0.031158572264482</c:v>
                </c:pt>
                <c:pt idx="34">
                  <c:v>0.0429848205419208</c:v>
                </c:pt>
                <c:pt idx="35">
                  <c:v>0.0420293797606095</c:v>
                </c:pt>
                <c:pt idx="36">
                  <c:v>-0.0250620023495628</c:v>
                </c:pt>
                <c:pt idx="37">
                  <c:v>0.0123175793278887</c:v>
                </c:pt>
                <c:pt idx="38">
                  <c:v>0.0727417008332232</c:v>
                </c:pt>
                <c:pt idx="39">
                  <c:v>-0.010109727530514</c:v>
                </c:pt>
                <c:pt idx="40">
                  <c:v>0.00983933241997748</c:v>
                </c:pt>
                <c:pt idx="41">
                  <c:v>0.0372471632955105</c:v>
                </c:pt>
                <c:pt idx="42">
                  <c:v>0.00285374554102269</c:v>
                </c:pt>
                <c:pt idx="43">
                  <c:v>-0.110979369219825</c:v>
                </c:pt>
                <c:pt idx="44">
                  <c:v>0.0326753801013604</c:v>
                </c:pt>
                <c:pt idx="45">
                  <c:v>-0.115846571096474</c:v>
                </c:pt>
                <c:pt idx="46">
                  <c:v>0.072597137014315</c:v>
                </c:pt>
                <c:pt idx="47">
                  <c:v>0.0995505924009259</c:v>
                </c:pt>
                <c:pt idx="48">
                  <c:v>-0.00210552390388907</c:v>
                </c:pt>
                <c:pt idx="49">
                  <c:v>0.00186173513714794</c:v>
                </c:pt>
                <c:pt idx="50">
                  <c:v>-0.142343904856293</c:v>
                </c:pt>
                <c:pt idx="51">
                  <c:v>0.0693341037122635</c:v>
                </c:pt>
                <c:pt idx="52">
                  <c:v>0.00986086721599366</c:v>
                </c:pt>
                <c:pt idx="53">
                  <c:v>0.0310326377742107</c:v>
                </c:pt>
                <c:pt idx="54">
                  <c:v>0.0063570316554229</c:v>
                </c:pt>
                <c:pt idx="55">
                  <c:v>0.0207554466933095</c:v>
                </c:pt>
                <c:pt idx="56">
                  <c:v>-0.155847436221268</c:v>
                </c:pt>
                <c:pt idx="57">
                  <c:v>-0.00792938360263318</c:v>
                </c:pt>
                <c:pt idx="58">
                  <c:v>-0.00557985220931989</c:v>
                </c:pt>
                <c:pt idx="59">
                  <c:v>0.02699423718532</c:v>
                </c:pt>
                <c:pt idx="60">
                  <c:v>-0.106172474896633</c:v>
                </c:pt>
                <c:pt idx="61">
                  <c:v>0.0437799438295059</c:v>
                </c:pt>
                <c:pt idx="62">
                  <c:v>0.0117125672681229</c:v>
                </c:pt>
                <c:pt idx="63">
                  <c:v>0.0020337922403002</c:v>
                </c:pt>
                <c:pt idx="64">
                  <c:v>0.00827478532396575</c:v>
                </c:pt>
                <c:pt idx="65">
                  <c:v>-0.0373180551254257</c:v>
                </c:pt>
                <c:pt idx="66">
                  <c:v>0.0246099404857649</c:v>
                </c:pt>
                <c:pt idx="67">
                  <c:v>0.0188383045525904</c:v>
                </c:pt>
                <c:pt idx="68">
                  <c:v>0.0397534668721109</c:v>
                </c:pt>
                <c:pt idx="69">
                  <c:v>0.108921161825726</c:v>
                </c:pt>
                <c:pt idx="70">
                  <c:v>-0.0101563544033142</c:v>
                </c:pt>
                <c:pt idx="71">
                  <c:v>-0.0153908464965571</c:v>
                </c:pt>
                <c:pt idx="72">
                  <c:v>0.0127519539284244</c:v>
                </c:pt>
                <c:pt idx="73">
                  <c:v>0.00406173842404556</c:v>
                </c:pt>
                <c:pt idx="74">
                  <c:v>0.00471952535059339</c:v>
                </c:pt>
                <c:pt idx="75">
                  <c:v>-0.0581130049657764</c:v>
                </c:pt>
                <c:pt idx="76">
                  <c:v>0.00341977771444846</c:v>
                </c:pt>
                <c:pt idx="77">
                  <c:v>0.00241408690712874</c:v>
                </c:pt>
                <c:pt idx="78">
                  <c:v>-0.00906644000566659</c:v>
                </c:pt>
                <c:pt idx="79">
                  <c:v>-0.0466047176554683</c:v>
                </c:pt>
                <c:pt idx="80">
                  <c:v>-0.144099565152197</c:v>
                </c:pt>
                <c:pt idx="81">
                  <c:v>0.162578836720392</c:v>
                </c:pt>
                <c:pt idx="82">
                  <c:v>-0.0534960819770945</c:v>
                </c:pt>
                <c:pt idx="83">
                  <c:v>0.0948893488298042</c:v>
                </c:pt>
                <c:pt idx="84">
                  <c:v>0.00508942852988237</c:v>
                </c:pt>
                <c:pt idx="85">
                  <c:v>0.00448495370370372</c:v>
                </c:pt>
                <c:pt idx="86">
                  <c:v>0.128186662825868</c:v>
                </c:pt>
                <c:pt idx="87">
                  <c:v>-0.0405974722328609</c:v>
                </c:pt>
                <c:pt idx="88">
                  <c:v>-0.000399201596806398</c:v>
                </c:pt>
                <c:pt idx="89">
                  <c:v>0.0674920127795526</c:v>
                </c:pt>
                <c:pt idx="90">
                  <c:v>0.073824666417259</c:v>
                </c:pt>
                <c:pt idx="91">
                  <c:v>-0.020322842875392</c:v>
                </c:pt>
                <c:pt idx="92">
                  <c:v>0.0469416785206258</c:v>
                </c:pt>
                <c:pt idx="93">
                  <c:v>0.0389492753623191</c:v>
                </c:pt>
                <c:pt idx="94">
                  <c:v>0</c:v>
                </c:pt>
                <c:pt idx="95">
                  <c:v>0.00708369659982555</c:v>
                </c:pt>
                <c:pt idx="96">
                  <c:v>-0.0311654582837355</c:v>
                </c:pt>
                <c:pt idx="97">
                  <c:v>-0.0170892438288842</c:v>
                </c:pt>
                <c:pt idx="98">
                  <c:v>0.0317045454545455</c:v>
                </c:pt>
                <c:pt idx="99">
                  <c:v>-0.0435069941623527</c:v>
                </c:pt>
                <c:pt idx="100">
                  <c:v>-0.0032243205895901</c:v>
                </c:pt>
                <c:pt idx="101">
                  <c:v>0.00196395563770801</c:v>
                </c:pt>
                <c:pt idx="102">
                  <c:v>0.0379338175948345</c:v>
                </c:pt>
                <c:pt idx="103">
                  <c:v>0.0650966451899577</c:v>
                </c:pt>
                <c:pt idx="104">
                  <c:v>0.083854818523154</c:v>
                </c:pt>
                <c:pt idx="105">
                  <c:v>0.0186682063125481</c:v>
                </c:pt>
                <c:pt idx="106">
                  <c:v>0.0349518231626678</c:v>
                </c:pt>
                <c:pt idx="107">
                  <c:v>-0.107794815626141</c:v>
                </c:pt>
                <c:pt idx="108">
                  <c:v>0.126035805626598</c:v>
                </c:pt>
                <c:pt idx="109">
                  <c:v>0.0688652675570094</c:v>
                </c:pt>
                <c:pt idx="110">
                  <c:v>0.0219294517637059</c:v>
                </c:pt>
                <c:pt idx="111">
                  <c:v>-0.0127256092489395</c:v>
                </c:pt>
                <c:pt idx="112">
                  <c:v>-0.0495366470092672</c:v>
                </c:pt>
                <c:pt idx="113">
                  <c:v>-0.0311115050522957</c:v>
                </c:pt>
                <c:pt idx="114">
                  <c:v>0.0713566919769462</c:v>
                </c:pt>
                <c:pt idx="115">
                  <c:v>0.0332166339339084</c:v>
                </c:pt>
                <c:pt idx="116">
                  <c:v>-0.0169421487603305</c:v>
                </c:pt>
                <c:pt idx="117">
                  <c:v>0.0433795712484237</c:v>
                </c:pt>
                <c:pt idx="118">
                  <c:v>0.0272339054064943</c:v>
                </c:pt>
                <c:pt idx="119">
                  <c:v>-0.00400031375009802</c:v>
                </c:pt>
                <c:pt idx="120">
                  <c:v>0.0984406993227278</c:v>
                </c:pt>
                <c:pt idx="121">
                  <c:v>0.1198738170347</c:v>
                </c:pt>
                <c:pt idx="122">
                  <c:v>-0.0350832266325224</c:v>
                </c:pt>
                <c:pt idx="123">
                  <c:v>-0.0560642250530785</c:v>
                </c:pt>
                <c:pt idx="124">
                  <c:v>0.01047304421171</c:v>
                </c:pt>
                <c:pt idx="125">
                  <c:v>0.0146772398441848</c:v>
                </c:pt>
                <c:pt idx="126">
                  <c:v>0.0231027627339413</c:v>
                </c:pt>
                <c:pt idx="127">
                  <c:v>0.0190967569016349</c:v>
                </c:pt>
                <c:pt idx="128">
                  <c:v>-0.118087974225787</c:v>
                </c:pt>
                <c:pt idx="129">
                  <c:v>0.0550958025795871</c:v>
                </c:pt>
                <c:pt idx="130">
                  <c:v>0.0564584511023176</c:v>
                </c:pt>
                <c:pt idx="131">
                  <c:v>-0.0370543776336031</c:v>
                </c:pt>
                <c:pt idx="132">
                  <c:v>0.0510523025630338</c:v>
                </c:pt>
                <c:pt idx="133">
                  <c:v>0.145321173671689</c:v>
                </c:pt>
                <c:pt idx="134">
                  <c:v>0.0311580405054528</c:v>
                </c:pt>
                <c:pt idx="135">
                  <c:v>0.0801857758379496</c:v>
                </c:pt>
                <c:pt idx="136">
                  <c:v>-0.107905097389142</c:v>
                </c:pt>
                <c:pt idx="137">
                  <c:v>0.0828058765460775</c:v>
                </c:pt>
                <c:pt idx="138">
                  <c:v>-0.0346972703383922</c:v>
                </c:pt>
                <c:pt idx="139">
                  <c:v>0.0478888888888889</c:v>
                </c:pt>
                <c:pt idx="140">
                  <c:v>0.0176545435266673</c:v>
                </c:pt>
                <c:pt idx="141">
                  <c:v>0.00390726751758264</c:v>
                </c:pt>
                <c:pt idx="142">
                  <c:v>0.319408406850026</c:v>
                </c:pt>
                <c:pt idx="143">
                  <c:v>0.0197443461160274</c:v>
                </c:pt>
                <c:pt idx="144">
                  <c:v>-0.0420796852701816</c:v>
                </c:pt>
                <c:pt idx="145">
                  <c:v>-0.0526654855854405</c:v>
                </c:pt>
                <c:pt idx="146">
                  <c:v>-0.0170860251615097</c:v>
                </c:pt>
                <c:pt idx="147">
                  <c:v>-0.0810775750237828</c:v>
                </c:pt>
                <c:pt idx="148">
                  <c:v>-0.0104936238294668</c:v>
                </c:pt>
                <c:pt idx="149">
                  <c:v>-0.1315864561537</c:v>
                </c:pt>
                <c:pt idx="150">
                  <c:v>0.0836755927933846</c:v>
                </c:pt>
                <c:pt idx="151">
                  <c:v>0.028298549699328</c:v>
                </c:pt>
                <c:pt idx="152">
                  <c:v>-0.095827804806133</c:v>
                </c:pt>
                <c:pt idx="153">
                  <c:v>-0.0459264090439698</c:v>
                </c:pt>
                <c:pt idx="154">
                  <c:v>0.0573088754699784</c:v>
                </c:pt>
                <c:pt idx="155">
                  <c:v>-0.0267241379310346</c:v>
                </c:pt>
                <c:pt idx="156">
                  <c:v>-0.0202059344552701</c:v>
                </c:pt>
                <c:pt idx="157">
                  <c:v>0.061754901406859</c:v>
                </c:pt>
                <c:pt idx="158">
                  <c:v>0.00665176670923806</c:v>
                </c:pt>
              </c:numCache>
            </c:numRef>
          </c:val>
        </c:ser>
        <c:gapWidth val="150"/>
        <c:overlap val="0"/>
        <c:axId val="86876221"/>
        <c:axId val="33106710"/>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(Calc)'!$AD$3:$AD$500</c:f>
              <c:numCache>
                <c:formatCode>#,##0.00</c:formatCode>
                <c:ptCount val="498"/>
                <c:pt idx="0">
                  <c:v>44.35</c:v>
                </c:pt>
                <c:pt idx="1">
                  <c:v>44.0693037974684</c:v>
                </c:pt>
                <c:pt idx="2">
                  <c:v>43.7886075949367</c:v>
                </c:pt>
                <c:pt idx="3">
                  <c:v>43.5079113924051</c:v>
                </c:pt>
                <c:pt idx="4">
                  <c:v>43.2272151898734</c:v>
                </c:pt>
                <c:pt idx="5">
                  <c:v>42.9465189873418</c:v>
                </c:pt>
                <c:pt idx="6">
                  <c:v>42.6658227848101</c:v>
                </c:pt>
                <c:pt idx="7">
                  <c:v>42.3851265822785</c:v>
                </c:pt>
                <c:pt idx="8">
                  <c:v>42.1044303797468</c:v>
                </c:pt>
                <c:pt idx="9">
                  <c:v>41.8237341772152</c:v>
                </c:pt>
                <c:pt idx="10">
                  <c:v>41.5430379746835</c:v>
                </c:pt>
                <c:pt idx="11">
                  <c:v>41.2623417721519</c:v>
                </c:pt>
                <c:pt idx="12">
                  <c:v>40.9816455696203</c:v>
                </c:pt>
                <c:pt idx="13">
                  <c:v>40.7009493670886</c:v>
                </c:pt>
                <c:pt idx="14">
                  <c:v>40.420253164557</c:v>
                </c:pt>
                <c:pt idx="15">
                  <c:v>40.1395569620253</c:v>
                </c:pt>
                <c:pt idx="16">
                  <c:v>39.8588607594937</c:v>
                </c:pt>
                <c:pt idx="17">
                  <c:v>39.578164556962</c:v>
                </c:pt>
                <c:pt idx="18">
                  <c:v>39.2974683544304</c:v>
                </c:pt>
                <c:pt idx="19">
                  <c:v>39.0167721518987</c:v>
                </c:pt>
                <c:pt idx="20">
                  <c:v>38.7360759493671</c:v>
                </c:pt>
                <c:pt idx="21">
                  <c:v>38.4553797468355</c:v>
                </c:pt>
                <c:pt idx="22">
                  <c:v>38.1746835443038</c:v>
                </c:pt>
                <c:pt idx="23">
                  <c:v>37.8939873417722</c:v>
                </c:pt>
                <c:pt idx="24">
                  <c:v>37.6132911392405</c:v>
                </c:pt>
                <c:pt idx="25">
                  <c:v>37.3325949367089</c:v>
                </c:pt>
                <c:pt idx="26">
                  <c:v>37.0518987341772</c:v>
                </c:pt>
                <c:pt idx="27">
                  <c:v>36.7712025316456</c:v>
                </c:pt>
                <c:pt idx="28">
                  <c:v>36.4905063291139</c:v>
                </c:pt>
                <c:pt idx="29">
                  <c:v>36.2098101265823</c:v>
                </c:pt>
                <c:pt idx="30">
                  <c:v>35.9291139240506</c:v>
                </c:pt>
                <c:pt idx="31">
                  <c:v>35.648417721519</c:v>
                </c:pt>
                <c:pt idx="32">
                  <c:v>35.3677215189873</c:v>
                </c:pt>
                <c:pt idx="33">
                  <c:v>35.0870253164557</c:v>
                </c:pt>
                <c:pt idx="34">
                  <c:v>34.8063291139241</c:v>
                </c:pt>
                <c:pt idx="35">
                  <c:v>34.5256329113924</c:v>
                </c:pt>
                <c:pt idx="36">
                  <c:v>34.2449367088608</c:v>
                </c:pt>
                <c:pt idx="37">
                  <c:v>33.9642405063291</c:v>
                </c:pt>
                <c:pt idx="38">
                  <c:v>33.6835443037975</c:v>
                </c:pt>
                <c:pt idx="39">
                  <c:v>33.4028481012658</c:v>
                </c:pt>
                <c:pt idx="40">
                  <c:v>33.1221518987342</c:v>
                </c:pt>
                <c:pt idx="41">
                  <c:v>32.8414556962025</c:v>
                </c:pt>
                <c:pt idx="42">
                  <c:v>32.5607594936709</c:v>
                </c:pt>
                <c:pt idx="43">
                  <c:v>32.2800632911392</c:v>
                </c:pt>
                <c:pt idx="44">
                  <c:v>31.9993670886076</c:v>
                </c:pt>
                <c:pt idx="45">
                  <c:v>31.718670886076</c:v>
                </c:pt>
                <c:pt idx="46">
                  <c:v>31.4379746835443</c:v>
                </c:pt>
                <c:pt idx="47">
                  <c:v>31.1572784810127</c:v>
                </c:pt>
                <c:pt idx="48">
                  <c:v>30.876582278481</c:v>
                </c:pt>
                <c:pt idx="49">
                  <c:v>30.5958860759494</c:v>
                </c:pt>
                <c:pt idx="50">
                  <c:v>30.3151898734177</c:v>
                </c:pt>
                <c:pt idx="51">
                  <c:v>30.0344936708861</c:v>
                </c:pt>
                <c:pt idx="52">
                  <c:v>29.7537974683544</c:v>
                </c:pt>
                <c:pt idx="53">
                  <c:v>29.4731012658228</c:v>
                </c:pt>
                <c:pt idx="54">
                  <c:v>29.1924050632911</c:v>
                </c:pt>
                <c:pt idx="55">
                  <c:v>28.9117088607595</c:v>
                </c:pt>
                <c:pt idx="56">
                  <c:v>28.6310126582279</c:v>
                </c:pt>
                <c:pt idx="57">
                  <c:v>28.3503164556962</c:v>
                </c:pt>
                <c:pt idx="58">
                  <c:v>28.0696202531646</c:v>
                </c:pt>
                <c:pt idx="59">
                  <c:v>27.7889240506329</c:v>
                </c:pt>
                <c:pt idx="60">
                  <c:v>27.5082278481013</c:v>
                </c:pt>
                <c:pt idx="61">
                  <c:v>27.2275316455696</c:v>
                </c:pt>
                <c:pt idx="62">
                  <c:v>26.946835443038</c:v>
                </c:pt>
                <c:pt idx="63">
                  <c:v>26.6661392405063</c:v>
                </c:pt>
                <c:pt idx="64">
                  <c:v>26.3854430379747</c:v>
                </c:pt>
                <c:pt idx="65">
                  <c:v>26.104746835443</c:v>
                </c:pt>
                <c:pt idx="66">
                  <c:v>25.8240506329114</c:v>
                </c:pt>
                <c:pt idx="67">
                  <c:v>25.5433544303797</c:v>
                </c:pt>
                <c:pt idx="68">
                  <c:v>25.2626582278481</c:v>
                </c:pt>
                <c:pt idx="69">
                  <c:v>24.9819620253165</c:v>
                </c:pt>
                <c:pt idx="70">
                  <c:v>24.7012658227848</c:v>
                </c:pt>
                <c:pt idx="71">
                  <c:v>24.4205696202532</c:v>
                </c:pt>
                <c:pt idx="72">
                  <c:v>24.1398734177215</c:v>
                </c:pt>
                <c:pt idx="73">
                  <c:v>23.8591772151899</c:v>
                </c:pt>
                <c:pt idx="74">
                  <c:v>23.5784810126582</c:v>
                </c:pt>
                <c:pt idx="75">
                  <c:v>23.2977848101266</c:v>
                </c:pt>
                <c:pt idx="76">
                  <c:v>23.0170886075949</c:v>
                </c:pt>
                <c:pt idx="77">
                  <c:v>22.7363924050633</c:v>
                </c:pt>
                <c:pt idx="78">
                  <c:v>22.4556962025316</c:v>
                </c:pt>
                <c:pt idx="79">
                  <c:v>22.175</c:v>
                </c:pt>
                <c:pt idx="80">
                  <c:v>21.8943037974684</c:v>
                </c:pt>
                <c:pt idx="81">
                  <c:v>21.6136075949367</c:v>
                </c:pt>
                <c:pt idx="82">
                  <c:v>21.3329113924051</c:v>
                </c:pt>
                <c:pt idx="83">
                  <c:v>21.0522151898734</c:v>
                </c:pt>
                <c:pt idx="84">
                  <c:v>20.7715189873418</c:v>
                </c:pt>
                <c:pt idx="85">
                  <c:v>20.4908227848101</c:v>
                </c:pt>
                <c:pt idx="86">
                  <c:v>20.2101265822785</c:v>
                </c:pt>
                <c:pt idx="87">
                  <c:v>19.9294303797468</c:v>
                </c:pt>
                <c:pt idx="88">
                  <c:v>19.6487341772152</c:v>
                </c:pt>
                <c:pt idx="89">
                  <c:v>19.3680379746835</c:v>
                </c:pt>
                <c:pt idx="90">
                  <c:v>19.0873417721519</c:v>
                </c:pt>
                <c:pt idx="91">
                  <c:v>18.8066455696203</c:v>
                </c:pt>
                <c:pt idx="92">
                  <c:v>18.5259493670886</c:v>
                </c:pt>
                <c:pt idx="93">
                  <c:v>18.245253164557</c:v>
                </c:pt>
                <c:pt idx="94">
                  <c:v>17.9645569620253</c:v>
                </c:pt>
                <c:pt idx="95">
                  <c:v>17.6838607594937</c:v>
                </c:pt>
                <c:pt idx="96">
                  <c:v>17.403164556962</c:v>
                </c:pt>
                <c:pt idx="97">
                  <c:v>17.1224683544304</c:v>
                </c:pt>
                <c:pt idx="98">
                  <c:v>16.8417721518987</c:v>
                </c:pt>
                <c:pt idx="99">
                  <c:v>16.5610759493671</c:v>
                </c:pt>
                <c:pt idx="100">
                  <c:v>16.2803797468354</c:v>
                </c:pt>
                <c:pt idx="101">
                  <c:v>15.9996835443038</c:v>
                </c:pt>
                <c:pt idx="102">
                  <c:v>15.7189873417722</c:v>
                </c:pt>
                <c:pt idx="103">
                  <c:v>15.4382911392405</c:v>
                </c:pt>
                <c:pt idx="104">
                  <c:v>15.1575949367089</c:v>
                </c:pt>
                <c:pt idx="105">
                  <c:v>14.8768987341772</c:v>
                </c:pt>
                <c:pt idx="106">
                  <c:v>14.5962025316456</c:v>
                </c:pt>
                <c:pt idx="107">
                  <c:v>14.3155063291139</c:v>
                </c:pt>
                <c:pt idx="108">
                  <c:v>14.0348101265823</c:v>
                </c:pt>
                <c:pt idx="109">
                  <c:v>13.7541139240506</c:v>
                </c:pt>
                <c:pt idx="110">
                  <c:v>13.473417721519</c:v>
                </c:pt>
                <c:pt idx="111">
                  <c:v>13.1927215189873</c:v>
                </c:pt>
                <c:pt idx="112">
                  <c:v>12.9120253164557</c:v>
                </c:pt>
                <c:pt idx="113">
                  <c:v>12.6313291139241</c:v>
                </c:pt>
                <c:pt idx="114">
                  <c:v>12.3506329113924</c:v>
                </c:pt>
                <c:pt idx="115">
                  <c:v>12.0699367088608</c:v>
                </c:pt>
                <c:pt idx="116">
                  <c:v>11.7892405063291</c:v>
                </c:pt>
                <c:pt idx="117">
                  <c:v>11.5085443037975</c:v>
                </c:pt>
                <c:pt idx="118">
                  <c:v>11.2278481012658</c:v>
                </c:pt>
                <c:pt idx="119">
                  <c:v>10.9471518987342</c:v>
                </c:pt>
                <c:pt idx="120">
                  <c:v>10.6664556962025</c:v>
                </c:pt>
                <c:pt idx="121">
                  <c:v>10.3857594936709</c:v>
                </c:pt>
                <c:pt idx="122">
                  <c:v>10.1050632911392</c:v>
                </c:pt>
                <c:pt idx="123">
                  <c:v>9.8243670886076</c:v>
                </c:pt>
                <c:pt idx="124">
                  <c:v>9.54367088607594</c:v>
                </c:pt>
                <c:pt idx="125">
                  <c:v>9.26297468354431</c:v>
                </c:pt>
                <c:pt idx="126">
                  <c:v>8.98227848101266</c:v>
                </c:pt>
                <c:pt idx="127">
                  <c:v>8.70158227848101</c:v>
                </c:pt>
                <c:pt idx="128">
                  <c:v>8.42088607594937</c:v>
                </c:pt>
                <c:pt idx="129">
                  <c:v>8.14018987341772</c:v>
                </c:pt>
                <c:pt idx="130">
                  <c:v>7.85949367088607</c:v>
                </c:pt>
                <c:pt idx="131">
                  <c:v>7.57879746835443</c:v>
                </c:pt>
                <c:pt idx="132">
                  <c:v>7.29810126582279</c:v>
                </c:pt>
                <c:pt idx="133">
                  <c:v>7.01740506329114</c:v>
                </c:pt>
                <c:pt idx="134">
                  <c:v>6.73670886075949</c:v>
                </c:pt>
                <c:pt idx="135">
                  <c:v>6.45601265822785</c:v>
                </c:pt>
                <c:pt idx="136">
                  <c:v>6.17531645569621</c:v>
                </c:pt>
                <c:pt idx="137">
                  <c:v>5.89462025316456</c:v>
                </c:pt>
                <c:pt idx="138">
                  <c:v>5.61392405063291</c:v>
                </c:pt>
                <c:pt idx="139">
                  <c:v>5.33322784810127</c:v>
                </c:pt>
                <c:pt idx="140">
                  <c:v>5.05253164556962</c:v>
                </c:pt>
                <c:pt idx="141">
                  <c:v>4.77183544303797</c:v>
                </c:pt>
                <c:pt idx="142">
                  <c:v>4.49113924050633</c:v>
                </c:pt>
                <c:pt idx="143">
                  <c:v>4.21044303797468</c:v>
                </c:pt>
                <c:pt idx="144">
                  <c:v>3.92974683544303</c:v>
                </c:pt>
                <c:pt idx="145">
                  <c:v>3.6490506329114</c:v>
                </c:pt>
                <c:pt idx="146">
                  <c:v>3.36835443037975</c:v>
                </c:pt>
                <c:pt idx="147">
                  <c:v>3.0876582278481</c:v>
                </c:pt>
                <c:pt idx="148">
                  <c:v>2.80696202531646</c:v>
                </c:pt>
                <c:pt idx="149">
                  <c:v>2.52626582278481</c:v>
                </c:pt>
                <c:pt idx="150">
                  <c:v>2.24556962025316</c:v>
                </c:pt>
                <c:pt idx="151">
                  <c:v>1.96487341772152</c:v>
                </c:pt>
                <c:pt idx="152">
                  <c:v>1.68417721518988</c:v>
                </c:pt>
                <c:pt idx="153">
                  <c:v>1.40348101265823</c:v>
                </c:pt>
                <c:pt idx="154">
                  <c:v>1.12278481012658</c:v>
                </c:pt>
                <c:pt idx="155">
                  <c:v>0.842088607594938</c:v>
                </c:pt>
                <c:pt idx="156">
                  <c:v>0.561392405063288</c:v>
                </c:pt>
                <c:pt idx="157">
                  <c:v>0.280696202531651</c:v>
                </c:pt>
                <c:pt idx="158">
                  <c:v>0</c:v>
                </c:pt>
                <c:pt idx="159">
                  <c:v>-0.280696202531651</c:v>
                </c:pt>
              </c:numCache>
            </c:numRef>
          </c:val>
          <c:smooth val="0"/>
        </c:ser>
        <c:hiLowLines>
          <c:spPr>
            <a:ln w="0">
              <a:noFill/>
            </a:ln>
          </c:spPr>
        </c:hiLowLines>
        <c:marker val="0"/>
        <c:axId val="92614479"/>
        <c:axId val="80976042"/>
      </c:lineChart>
      <c:dateAx>
        <c:axId val="8687622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106710"/>
        <c:auto val="1"/>
        <c:lblOffset val="100"/>
        <c:baseTimeUnit val="days"/>
      </c:dateAx>
      <c:valAx>
        <c:axId val="3310671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876221"/>
        <c:crosses val="autoZero"/>
        <c:crossBetween val="between"/>
      </c:valAx>
      <c:dateAx>
        <c:axId val="9261447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976042"/>
        <c:auto val="1"/>
        <c:lblOffset val="100"/>
        <c:baseTimeUnit val="days"/>
      </c:dateAx>
      <c:valAx>
        <c:axId val="8097604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61447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(Calc)'!$J$3:$J$500</c:f>
              <c:numCache>
                <c:formatCode>0.0%</c:formatCode>
                <c:ptCount val="498"/>
                <c:pt idx="0">
                  <c:v>-0.0143249891477354</c:v>
                </c:pt>
                <c:pt idx="1">
                  <c:v>-0.0123311802701116</c:v>
                </c:pt>
                <c:pt idx="2">
                  <c:v>0.0300237812128419</c:v>
                </c:pt>
                <c:pt idx="3">
                  <c:v>-0.0106782106782106</c:v>
                </c:pt>
                <c:pt idx="4">
                  <c:v>-0.0287339556592765</c:v>
                </c:pt>
                <c:pt idx="5">
                  <c:v>-0.0234269409821295</c:v>
                </c:pt>
                <c:pt idx="6">
                  <c:v>0.10564354913117</c:v>
                </c:pt>
                <c:pt idx="7">
                  <c:v>0.0382475660639778</c:v>
                </c:pt>
                <c:pt idx="8">
                  <c:v>0.029202947086403</c:v>
                </c:pt>
                <c:pt idx="9">
                  <c:v>-0.00885070935832344</c:v>
                </c:pt>
                <c:pt idx="10">
                  <c:v>-0.0122127380170717</c:v>
                </c:pt>
                <c:pt idx="11">
                  <c:v>-0.0127625631480989</c:v>
                </c:pt>
                <c:pt idx="12">
                  <c:v>0.0859143549690278</c:v>
                </c:pt>
                <c:pt idx="13">
                  <c:v>0.0625</c:v>
                </c:pt>
                <c:pt idx="14">
                  <c:v>-0.0120214752567693</c:v>
                </c:pt>
                <c:pt idx="15">
                  <c:v>-0.0220909627879504</c:v>
                </c:pt>
                <c:pt idx="16">
                  <c:v>-0.0128050253684465</c:v>
                </c:pt>
                <c:pt idx="17">
                  <c:v>0.062163485070974</c:v>
                </c:pt>
                <c:pt idx="18">
                  <c:v>0.00622119815668221</c:v>
                </c:pt>
                <c:pt idx="19">
                  <c:v>-0.0178612319670255</c:v>
                </c:pt>
                <c:pt idx="20">
                  <c:v>-0.0106085334576824</c:v>
                </c:pt>
                <c:pt idx="21">
                  <c:v>-0.0708141864027336</c:v>
                </c:pt>
                <c:pt idx="22">
                  <c:v>0.0817905148364191</c:v>
                </c:pt>
                <c:pt idx="23">
                  <c:v>0.106318133864729</c:v>
                </c:pt>
                <c:pt idx="24">
                  <c:v>0.0259588895952532</c:v>
                </c:pt>
                <c:pt idx="25">
                  <c:v>-0.044717546215016</c:v>
                </c:pt>
                <c:pt idx="26">
                  <c:v>0.181837837837838</c:v>
                </c:pt>
                <c:pt idx="27">
                  <c:v>0.0707098426637396</c:v>
                </c:pt>
                <c:pt idx="28">
                  <c:v>0.0482699700982487</c:v>
                </c:pt>
                <c:pt idx="29">
                  <c:v>-0.00855745721271395</c:v>
                </c:pt>
                <c:pt idx="30">
                  <c:v>-0.128565556925606</c:v>
                </c:pt>
                <c:pt idx="31">
                  <c:v>0.0755589095368361</c:v>
                </c:pt>
                <c:pt idx="32">
                  <c:v>-0.00122785476232246</c:v>
                </c:pt>
                <c:pt idx="33">
                  <c:v>0.0570776255707763</c:v>
                </c:pt>
                <c:pt idx="34">
                  <c:v>0.0333942515368002</c:v>
                </c:pt>
                <c:pt idx="35">
                  <c:v>0.0335209003215433</c:v>
                </c:pt>
                <c:pt idx="36">
                  <c:v>-0.0346892743252703</c:v>
                </c:pt>
                <c:pt idx="37">
                  <c:v>0.0475384739344129</c:v>
                </c:pt>
                <c:pt idx="38">
                  <c:v>0.0795323436658719</c:v>
                </c:pt>
                <c:pt idx="39">
                  <c:v>-0.0128250801567509</c:v>
                </c:pt>
                <c:pt idx="40">
                  <c:v>-0.0574521833273187</c:v>
                </c:pt>
                <c:pt idx="41">
                  <c:v>0.000536028792403664</c:v>
                </c:pt>
                <c:pt idx="42">
                  <c:v>0.0157661105158426</c:v>
                </c:pt>
                <c:pt idx="43">
                  <c:v>-0.144439421338156</c:v>
                </c:pt>
                <c:pt idx="44">
                  <c:v>-0.0424482606781154</c:v>
                </c:pt>
                <c:pt idx="45">
                  <c:v>-0.152763726662375</c:v>
                </c:pt>
                <c:pt idx="46">
                  <c:v>0.00412505427702992</c:v>
                </c:pt>
                <c:pt idx="47">
                  <c:v>0.160216216216216</c:v>
                </c:pt>
                <c:pt idx="48">
                  <c:v>-0.0476146105106224</c:v>
                </c:pt>
                <c:pt idx="49">
                  <c:v>-0.0642794247138244</c:v>
                </c:pt>
                <c:pt idx="50">
                  <c:v>-0.102467586783772</c:v>
                </c:pt>
                <c:pt idx="51">
                  <c:v>0.0560344827586208</c:v>
                </c:pt>
                <c:pt idx="52">
                  <c:v>-0.00353006067291795</c:v>
                </c:pt>
                <c:pt idx="53">
                  <c:v>0.182663566921289</c:v>
                </c:pt>
                <c:pt idx="54">
                  <c:v>-0.0488626790227464</c:v>
                </c:pt>
                <c:pt idx="55">
                  <c:v>0.0468457828953843</c:v>
                </c:pt>
                <c:pt idx="56">
                  <c:v>0.0395788286170913</c:v>
                </c:pt>
                <c:pt idx="57">
                  <c:v>-0.0291191897268945</c:v>
                </c:pt>
                <c:pt idx="58">
                  <c:v>-0.0758196721311476</c:v>
                </c:pt>
                <c:pt idx="59">
                  <c:v>0.122052005644023</c:v>
                </c:pt>
                <c:pt idx="60">
                  <c:v>-0.139046079223929</c:v>
                </c:pt>
                <c:pt idx="61">
                  <c:v>0.0653103808033386</c:v>
                </c:pt>
                <c:pt idx="62">
                  <c:v>-0.0456370580746254</c:v>
                </c:pt>
                <c:pt idx="63">
                  <c:v>0.0328373524884555</c:v>
                </c:pt>
                <c:pt idx="64">
                  <c:v>0.0131147540983605</c:v>
                </c:pt>
                <c:pt idx="65">
                  <c:v>-0.120721780915956</c:v>
                </c:pt>
                <c:pt idx="66">
                  <c:v>-0.0165068034798125</c:v>
                </c:pt>
                <c:pt idx="67">
                  <c:v>0.0153095940122476</c:v>
                </c:pt>
                <c:pt idx="68">
                  <c:v>0.105327823076064</c:v>
                </c:pt>
                <c:pt idx="69">
                  <c:v>0.0644704931285369</c:v>
                </c:pt>
                <c:pt idx="70">
                  <c:v>-0.0242073286500855</c:v>
                </c:pt>
                <c:pt idx="71">
                  <c:v>-0.115770016538574</c:v>
                </c:pt>
                <c:pt idx="72">
                  <c:v>0.011662449114314</c:v>
                </c:pt>
                <c:pt idx="73">
                  <c:v>0.0781946710168571</c:v>
                </c:pt>
                <c:pt idx="74">
                  <c:v>-0.00685898729070011</c:v>
                </c:pt>
                <c:pt idx="75">
                  <c:v>-0.0527117611212675</c:v>
                </c:pt>
                <c:pt idx="76">
                  <c:v>-0.00718344590972453</c:v>
                </c:pt>
                <c:pt idx="77">
                  <c:v>0.084233261339093</c:v>
                </c:pt>
                <c:pt idx="78">
                  <c:v>-0.0601593625498008</c:v>
                </c:pt>
                <c:pt idx="79">
                  <c:v>-0.066341670199237</c:v>
                </c:pt>
                <c:pt idx="80">
                  <c:v>-0.267196367763905</c:v>
                </c:pt>
                <c:pt idx="81">
                  <c:v>0.0745043370508054</c:v>
                </c:pt>
                <c:pt idx="82">
                  <c:v>-0.0106674354908464</c:v>
                </c:pt>
                <c:pt idx="83">
                  <c:v>0.159551216669095</c:v>
                </c:pt>
                <c:pt idx="84">
                  <c:v>0.0116863533551144</c:v>
                </c:pt>
                <c:pt idx="85">
                  <c:v>0.0637187926965595</c:v>
                </c:pt>
                <c:pt idx="86">
                  <c:v>0.14140588510042</c:v>
                </c:pt>
                <c:pt idx="87">
                  <c:v>-0.0472634271099744</c:v>
                </c:pt>
                <c:pt idx="88">
                  <c:v>0.0117040695801569</c:v>
                </c:pt>
                <c:pt idx="89">
                  <c:v>0.149225217575886</c:v>
                </c:pt>
                <c:pt idx="90">
                  <c:v>0.0649242704100481</c:v>
                </c:pt>
                <c:pt idx="91">
                  <c:v>0.0692047524065562</c:v>
                </c:pt>
                <c:pt idx="92">
                  <c:v>0.00932760158974766</c:v>
                </c:pt>
                <c:pt idx="93">
                  <c:v>-0.01976856316297</c:v>
                </c:pt>
                <c:pt idx="94">
                  <c:v>0.0192654533530086</c:v>
                </c:pt>
                <c:pt idx="95">
                  <c:v>-0.0813962840826832</c:v>
                </c:pt>
                <c:pt idx="96">
                  <c:v>-0.0274056562472638</c:v>
                </c:pt>
                <c:pt idx="97">
                  <c:v>-0.0573460568959309</c:v>
                </c:pt>
                <c:pt idx="98">
                  <c:v>0.133607105338554</c:v>
                </c:pt>
                <c:pt idx="99">
                  <c:v>0.016680707666386</c:v>
                </c:pt>
                <c:pt idx="100">
                  <c:v>-0.0264335432548891</c:v>
                </c:pt>
                <c:pt idx="101">
                  <c:v>0.0113201123499873</c:v>
                </c:pt>
                <c:pt idx="102">
                  <c:v>0.103854569937721</c:v>
                </c:pt>
                <c:pt idx="103">
                  <c:v>0.196858798414151</c:v>
                </c:pt>
                <c:pt idx="104">
                  <c:v>0.0349726079755384</c:v>
                </c:pt>
                <c:pt idx="105">
                  <c:v>-0.0335446543977349</c:v>
                </c:pt>
                <c:pt idx="106">
                  <c:v>0.195070691631639</c:v>
                </c:pt>
                <c:pt idx="107">
                  <c:v>-0.0332001065814016</c:v>
                </c:pt>
                <c:pt idx="108">
                  <c:v>0.114430603020615</c:v>
                </c:pt>
                <c:pt idx="109">
                  <c:v>0.082253437530913</c:v>
                </c:pt>
                <c:pt idx="110">
                  <c:v>0.0216626296787168</c:v>
                </c:pt>
                <c:pt idx="111">
                  <c:v>0.0632520688883917</c:v>
                </c:pt>
                <c:pt idx="112">
                  <c:v>0.0374437292271446</c:v>
                </c:pt>
                <c:pt idx="113">
                  <c:v>-0.159860497181556</c:v>
                </c:pt>
                <c:pt idx="114">
                  <c:v>0.140367813872665</c:v>
                </c:pt>
                <c:pt idx="115">
                  <c:v>0.0031322751322751</c:v>
                </c:pt>
                <c:pt idx="116">
                  <c:v>0.0164985864382463</c:v>
                </c:pt>
                <c:pt idx="117">
                  <c:v>0.102781237027813</c:v>
                </c:pt>
                <c:pt idx="118">
                  <c:v>0.0709553564706766</c:v>
                </c:pt>
                <c:pt idx="119">
                  <c:v>0.108010263259639</c:v>
                </c:pt>
                <c:pt idx="120">
                  <c:v>0.0940553229285623</c:v>
                </c:pt>
                <c:pt idx="121">
                  <c:v>0.0511757371915684</c:v>
                </c:pt>
                <c:pt idx="122">
                  <c:v>0.101726706018646</c:v>
                </c:pt>
                <c:pt idx="123">
                  <c:v>0.0381052526162935</c:v>
                </c:pt>
                <c:pt idx="124">
                  <c:v>-0.0486687246768281</c:v>
                </c:pt>
                <c:pt idx="125">
                  <c:v>0.0429954875019014</c:v>
                </c:pt>
                <c:pt idx="126">
                  <c:v>0.0401050021875455</c:v>
                </c:pt>
                <c:pt idx="127">
                  <c:v>-0.036899420452421</c:v>
                </c:pt>
                <c:pt idx="128">
                  <c:v>-0.102006648387645</c:v>
                </c:pt>
                <c:pt idx="129">
                  <c:v>0.150774136020968</c:v>
                </c:pt>
                <c:pt idx="130">
                  <c:v>-0.00758411796473257</c:v>
                </c:pt>
                <c:pt idx="131">
                  <c:v>-0.155302134103062</c:v>
                </c:pt>
                <c:pt idx="132">
                  <c:v>0.0256568259481262</c:v>
                </c:pt>
                <c:pt idx="133">
                  <c:v>0.14842427221585</c:v>
                </c:pt>
                <c:pt idx="134">
                  <c:v>0.0819679927710271</c:v>
                </c:pt>
                <c:pt idx="135">
                  <c:v>0.0915164835164835</c:v>
                </c:pt>
                <c:pt idx="136">
                  <c:v>0.0915955219072164</c:v>
                </c:pt>
                <c:pt idx="137">
                  <c:v>0.377344917270765</c:v>
                </c:pt>
                <c:pt idx="138">
                  <c:v>-0.0296638542922192</c:v>
                </c:pt>
                <c:pt idx="139">
                  <c:v>0.0363397971154511</c:v>
                </c:pt>
                <c:pt idx="140">
                  <c:v>0.292949605795866</c:v>
                </c:pt>
                <c:pt idx="141">
                  <c:v>-0.110181799454087</c:v>
                </c:pt>
                <c:pt idx="142">
                  <c:v>0.136106866694448</c:v>
                </c:pt>
                <c:pt idx="143">
                  <c:v>0.155238114645528</c:v>
                </c:pt>
                <c:pt idx="144">
                  <c:v>-0.00146407719038277</c:v>
                </c:pt>
                <c:pt idx="145">
                  <c:v>-0.138452162238553</c:v>
                </c:pt>
                <c:pt idx="146">
                  <c:v>0.00398806655662742</c:v>
                </c:pt>
                <c:pt idx="147">
                  <c:v>-0.133105279281119</c:v>
                </c:pt>
                <c:pt idx="148">
                  <c:v>0.0848106484480828</c:v>
                </c:pt>
                <c:pt idx="149">
                  <c:v>-0.106324990498941</c:v>
                </c:pt>
                <c:pt idx="150">
                  <c:v>0.066267329258958</c:v>
                </c:pt>
                <c:pt idx="151">
                  <c:v>0.107216518340417</c:v>
                </c:pt>
                <c:pt idx="152">
                  <c:v>-0.00502233291480558</c:v>
                </c:pt>
                <c:pt idx="153">
                  <c:v>-0.0350855416951116</c:v>
                </c:pt>
                <c:pt idx="154">
                  <c:v>0.0897562335184272</c:v>
                </c:pt>
                <c:pt idx="155">
                  <c:v>-0.0406555248428571</c:v>
                </c:pt>
                <c:pt idx="156">
                  <c:v>0.0415684022722145</c:v>
                </c:pt>
                <c:pt idx="157">
                  <c:v>0.0654459539279386</c:v>
                </c:pt>
                <c:pt idx="158">
                  <c:v>-0.0261485013120449</c:v>
                </c:pt>
              </c:numCache>
            </c:numRef>
          </c:val>
        </c:ser>
        <c:gapWidth val="150"/>
        <c:overlap val="0"/>
        <c:axId val="8163768"/>
        <c:axId val="14898545"/>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(Calc)'!$AE$3:$AE$500</c:f>
              <c:numCache>
                <c:formatCode>#,##0.00</c:formatCode>
                <c:ptCount val="498"/>
                <c:pt idx="0">
                  <c:v>69.11</c:v>
                </c:pt>
                <c:pt idx="1">
                  <c:v>68.6725949367089</c:v>
                </c:pt>
                <c:pt idx="2">
                  <c:v>68.2351898734177</c:v>
                </c:pt>
                <c:pt idx="3">
                  <c:v>67.7977848101266</c:v>
                </c:pt>
                <c:pt idx="4">
                  <c:v>67.3603797468355</c:v>
                </c:pt>
                <c:pt idx="5">
                  <c:v>66.9229746835443</c:v>
                </c:pt>
                <c:pt idx="6">
                  <c:v>66.4855696202532</c:v>
                </c:pt>
                <c:pt idx="7">
                  <c:v>66.048164556962</c:v>
                </c:pt>
                <c:pt idx="8">
                  <c:v>65.6107594936709</c:v>
                </c:pt>
                <c:pt idx="9">
                  <c:v>65.1733544303798</c:v>
                </c:pt>
                <c:pt idx="10">
                  <c:v>64.7359493670886</c:v>
                </c:pt>
                <c:pt idx="11">
                  <c:v>64.2985443037975</c:v>
                </c:pt>
                <c:pt idx="12">
                  <c:v>63.8611392405063</c:v>
                </c:pt>
                <c:pt idx="13">
                  <c:v>63.4237341772152</c:v>
                </c:pt>
                <c:pt idx="14">
                  <c:v>62.9863291139241</c:v>
                </c:pt>
                <c:pt idx="15">
                  <c:v>62.5489240506329</c:v>
                </c:pt>
                <c:pt idx="16">
                  <c:v>62.1115189873418</c:v>
                </c:pt>
                <c:pt idx="17">
                  <c:v>61.6741139240506</c:v>
                </c:pt>
                <c:pt idx="18">
                  <c:v>61.2367088607595</c:v>
                </c:pt>
                <c:pt idx="19">
                  <c:v>60.7993037974684</c:v>
                </c:pt>
                <c:pt idx="20">
                  <c:v>60.3618987341772</c:v>
                </c:pt>
                <c:pt idx="21">
                  <c:v>59.9244936708861</c:v>
                </c:pt>
                <c:pt idx="22">
                  <c:v>59.4870886075949</c:v>
                </c:pt>
                <c:pt idx="23">
                  <c:v>59.0496835443038</c:v>
                </c:pt>
                <c:pt idx="24">
                  <c:v>58.6122784810127</c:v>
                </c:pt>
                <c:pt idx="25">
                  <c:v>58.1748734177215</c:v>
                </c:pt>
                <c:pt idx="26">
                  <c:v>57.7374683544304</c:v>
                </c:pt>
                <c:pt idx="27">
                  <c:v>57.3000632911392</c:v>
                </c:pt>
                <c:pt idx="28">
                  <c:v>56.8626582278481</c:v>
                </c:pt>
                <c:pt idx="29">
                  <c:v>56.425253164557</c:v>
                </c:pt>
                <c:pt idx="30">
                  <c:v>55.9878481012658</c:v>
                </c:pt>
                <c:pt idx="31">
                  <c:v>55.5504430379747</c:v>
                </c:pt>
                <c:pt idx="32">
                  <c:v>55.1130379746835</c:v>
                </c:pt>
                <c:pt idx="33">
                  <c:v>54.6756329113924</c:v>
                </c:pt>
                <c:pt idx="34">
                  <c:v>54.2382278481013</c:v>
                </c:pt>
                <c:pt idx="35">
                  <c:v>53.8008227848101</c:v>
                </c:pt>
                <c:pt idx="36">
                  <c:v>53.363417721519</c:v>
                </c:pt>
                <c:pt idx="37">
                  <c:v>52.9260126582279</c:v>
                </c:pt>
                <c:pt idx="38">
                  <c:v>52.4886075949367</c:v>
                </c:pt>
                <c:pt idx="39">
                  <c:v>52.0512025316456</c:v>
                </c:pt>
                <c:pt idx="40">
                  <c:v>51.6137974683544</c:v>
                </c:pt>
                <c:pt idx="41">
                  <c:v>51.1763924050633</c:v>
                </c:pt>
                <c:pt idx="42">
                  <c:v>50.7389873417722</c:v>
                </c:pt>
                <c:pt idx="43">
                  <c:v>50.301582278481</c:v>
                </c:pt>
                <c:pt idx="44">
                  <c:v>49.8641772151899</c:v>
                </c:pt>
                <c:pt idx="45">
                  <c:v>49.4267721518987</c:v>
                </c:pt>
                <c:pt idx="46">
                  <c:v>48.9893670886076</c:v>
                </c:pt>
                <c:pt idx="47">
                  <c:v>48.5519620253165</c:v>
                </c:pt>
                <c:pt idx="48">
                  <c:v>48.1145569620253</c:v>
                </c:pt>
                <c:pt idx="49">
                  <c:v>47.6771518987342</c:v>
                </c:pt>
                <c:pt idx="50">
                  <c:v>47.239746835443</c:v>
                </c:pt>
                <c:pt idx="51">
                  <c:v>46.8023417721519</c:v>
                </c:pt>
                <c:pt idx="52">
                  <c:v>46.3649367088608</c:v>
                </c:pt>
                <c:pt idx="53">
                  <c:v>45.9275316455696</c:v>
                </c:pt>
                <c:pt idx="54">
                  <c:v>45.4901265822785</c:v>
                </c:pt>
                <c:pt idx="55">
                  <c:v>45.0527215189873</c:v>
                </c:pt>
                <c:pt idx="56">
                  <c:v>44.6153164556962</c:v>
                </c:pt>
                <c:pt idx="57">
                  <c:v>44.1779113924051</c:v>
                </c:pt>
                <c:pt idx="58">
                  <c:v>43.7405063291139</c:v>
                </c:pt>
                <c:pt idx="59">
                  <c:v>43.3031012658228</c:v>
                </c:pt>
                <c:pt idx="60">
                  <c:v>42.8656962025316</c:v>
                </c:pt>
                <c:pt idx="61">
                  <c:v>42.4282911392405</c:v>
                </c:pt>
                <c:pt idx="62">
                  <c:v>41.9908860759494</c:v>
                </c:pt>
                <c:pt idx="63">
                  <c:v>41.5534810126582</c:v>
                </c:pt>
                <c:pt idx="64">
                  <c:v>41.1160759493671</c:v>
                </c:pt>
                <c:pt idx="65">
                  <c:v>40.678670886076</c:v>
                </c:pt>
                <c:pt idx="66">
                  <c:v>40.2412658227848</c:v>
                </c:pt>
                <c:pt idx="67">
                  <c:v>39.8038607594937</c:v>
                </c:pt>
                <c:pt idx="68">
                  <c:v>39.3664556962025</c:v>
                </c:pt>
                <c:pt idx="69">
                  <c:v>38.9290506329114</c:v>
                </c:pt>
                <c:pt idx="70">
                  <c:v>38.4916455696203</c:v>
                </c:pt>
                <c:pt idx="71">
                  <c:v>38.0542405063291</c:v>
                </c:pt>
                <c:pt idx="72">
                  <c:v>37.616835443038</c:v>
                </c:pt>
                <c:pt idx="73">
                  <c:v>37.1794303797468</c:v>
                </c:pt>
                <c:pt idx="74">
                  <c:v>36.7420253164557</c:v>
                </c:pt>
                <c:pt idx="75">
                  <c:v>36.3046202531646</c:v>
                </c:pt>
                <c:pt idx="76">
                  <c:v>35.8672151898734</c:v>
                </c:pt>
                <c:pt idx="77">
                  <c:v>35.4298101265823</c:v>
                </c:pt>
                <c:pt idx="78">
                  <c:v>34.9924050632911</c:v>
                </c:pt>
                <c:pt idx="79">
                  <c:v>34.555</c:v>
                </c:pt>
                <c:pt idx="80">
                  <c:v>34.1175949367089</c:v>
                </c:pt>
                <c:pt idx="81">
                  <c:v>33.6801898734177</c:v>
                </c:pt>
                <c:pt idx="82">
                  <c:v>33.2427848101266</c:v>
                </c:pt>
                <c:pt idx="83">
                  <c:v>32.8053797468354</c:v>
                </c:pt>
                <c:pt idx="84">
                  <c:v>32.3679746835443</c:v>
                </c:pt>
                <c:pt idx="85">
                  <c:v>31.9305696202532</c:v>
                </c:pt>
                <c:pt idx="86">
                  <c:v>31.493164556962</c:v>
                </c:pt>
                <c:pt idx="87">
                  <c:v>31.0557594936709</c:v>
                </c:pt>
                <c:pt idx="88">
                  <c:v>30.6183544303797</c:v>
                </c:pt>
                <c:pt idx="89">
                  <c:v>30.1809493670886</c:v>
                </c:pt>
                <c:pt idx="90">
                  <c:v>29.7435443037975</c:v>
                </c:pt>
                <c:pt idx="91">
                  <c:v>29.3061392405063</c:v>
                </c:pt>
                <c:pt idx="92">
                  <c:v>28.8687341772152</c:v>
                </c:pt>
                <c:pt idx="93">
                  <c:v>28.4313291139241</c:v>
                </c:pt>
                <c:pt idx="94">
                  <c:v>27.9939240506329</c:v>
                </c:pt>
                <c:pt idx="95">
                  <c:v>27.5565189873418</c:v>
                </c:pt>
                <c:pt idx="96">
                  <c:v>27.1191139240506</c:v>
                </c:pt>
                <c:pt idx="97">
                  <c:v>26.6817088607595</c:v>
                </c:pt>
                <c:pt idx="98">
                  <c:v>26.2443037974684</c:v>
                </c:pt>
                <c:pt idx="99">
                  <c:v>25.8068987341772</c:v>
                </c:pt>
                <c:pt idx="100">
                  <c:v>25.3694936708861</c:v>
                </c:pt>
                <c:pt idx="101">
                  <c:v>24.9320886075949</c:v>
                </c:pt>
                <c:pt idx="102">
                  <c:v>24.4946835443038</c:v>
                </c:pt>
                <c:pt idx="103">
                  <c:v>24.0572784810127</c:v>
                </c:pt>
                <c:pt idx="104">
                  <c:v>23.6198734177215</c:v>
                </c:pt>
                <c:pt idx="105">
                  <c:v>23.1824683544304</c:v>
                </c:pt>
                <c:pt idx="106">
                  <c:v>22.7450632911392</c:v>
                </c:pt>
                <c:pt idx="107">
                  <c:v>22.3076582278481</c:v>
                </c:pt>
                <c:pt idx="108">
                  <c:v>21.870253164557</c:v>
                </c:pt>
                <c:pt idx="109">
                  <c:v>21.4328481012658</c:v>
                </c:pt>
                <c:pt idx="110">
                  <c:v>20.9954430379747</c:v>
                </c:pt>
                <c:pt idx="111">
                  <c:v>20.5580379746835</c:v>
                </c:pt>
                <c:pt idx="112">
                  <c:v>20.1206329113924</c:v>
                </c:pt>
                <c:pt idx="113">
                  <c:v>19.6832278481013</c:v>
                </c:pt>
                <c:pt idx="114">
                  <c:v>19.2458227848101</c:v>
                </c:pt>
                <c:pt idx="115">
                  <c:v>18.808417721519</c:v>
                </c:pt>
                <c:pt idx="116">
                  <c:v>18.3710126582278</c:v>
                </c:pt>
                <c:pt idx="117">
                  <c:v>17.9336075949367</c:v>
                </c:pt>
                <c:pt idx="118">
                  <c:v>17.4962025316456</c:v>
                </c:pt>
                <c:pt idx="119">
                  <c:v>17.0587974683544</c:v>
                </c:pt>
                <c:pt idx="120">
                  <c:v>16.6213924050633</c:v>
                </c:pt>
                <c:pt idx="121">
                  <c:v>16.1839873417722</c:v>
                </c:pt>
                <c:pt idx="122">
                  <c:v>15.746582278481</c:v>
                </c:pt>
                <c:pt idx="123">
                  <c:v>15.3091772151899</c:v>
                </c:pt>
                <c:pt idx="124">
                  <c:v>14.8717721518987</c:v>
                </c:pt>
                <c:pt idx="125">
                  <c:v>14.4343670886076</c:v>
                </c:pt>
                <c:pt idx="126">
                  <c:v>13.9969620253165</c:v>
                </c:pt>
                <c:pt idx="127">
                  <c:v>13.5595569620253</c:v>
                </c:pt>
                <c:pt idx="128">
                  <c:v>13.1221518987342</c:v>
                </c:pt>
                <c:pt idx="129">
                  <c:v>12.684746835443</c:v>
                </c:pt>
                <c:pt idx="130">
                  <c:v>12.2473417721519</c:v>
                </c:pt>
                <c:pt idx="131">
                  <c:v>11.8099367088608</c:v>
                </c:pt>
                <c:pt idx="132">
                  <c:v>11.3725316455696</c:v>
                </c:pt>
                <c:pt idx="133">
                  <c:v>10.9351265822785</c:v>
                </c:pt>
                <c:pt idx="134">
                  <c:v>10.4977215189873</c:v>
                </c:pt>
                <c:pt idx="135">
                  <c:v>10.0603164556962</c:v>
                </c:pt>
                <c:pt idx="136">
                  <c:v>9.62291139240507</c:v>
                </c:pt>
                <c:pt idx="137">
                  <c:v>9.18550632911393</c:v>
                </c:pt>
                <c:pt idx="138">
                  <c:v>8.74810126582278</c:v>
                </c:pt>
                <c:pt idx="139">
                  <c:v>8.31069620253165</c:v>
                </c:pt>
                <c:pt idx="140">
                  <c:v>7.87329113924051</c:v>
                </c:pt>
                <c:pt idx="141">
                  <c:v>7.43588607594936</c:v>
                </c:pt>
                <c:pt idx="142">
                  <c:v>6.99848101265823</c:v>
                </c:pt>
                <c:pt idx="143">
                  <c:v>6.56107594936709</c:v>
                </c:pt>
                <c:pt idx="144">
                  <c:v>6.12367088607595</c:v>
                </c:pt>
                <c:pt idx="145">
                  <c:v>5.6862658227848</c:v>
                </c:pt>
                <c:pt idx="146">
                  <c:v>5.24886075949367</c:v>
                </c:pt>
                <c:pt idx="147">
                  <c:v>4.81145569620253</c:v>
                </c:pt>
                <c:pt idx="148">
                  <c:v>4.37405063291139</c:v>
                </c:pt>
                <c:pt idx="149">
                  <c:v>3.93664556962025</c:v>
                </c:pt>
                <c:pt idx="150">
                  <c:v>3.49924050632912</c:v>
                </c:pt>
                <c:pt idx="151">
                  <c:v>3.06183544303796</c:v>
                </c:pt>
                <c:pt idx="152">
                  <c:v>2.62443037974684</c:v>
                </c:pt>
                <c:pt idx="153">
                  <c:v>2.1870253164557</c:v>
                </c:pt>
                <c:pt idx="154">
                  <c:v>1.74962025316455</c:v>
                </c:pt>
                <c:pt idx="155">
                  <c:v>1.31221518987343</c:v>
                </c:pt>
                <c:pt idx="156">
                  <c:v>0.874810126582275</c:v>
                </c:pt>
                <c:pt idx="157">
                  <c:v>0.437405063291138</c:v>
                </c:pt>
                <c:pt idx="158">
                  <c:v>0</c:v>
                </c:pt>
                <c:pt idx="159">
                  <c:v>-0.437405063291138</c:v>
                </c:pt>
              </c:numCache>
            </c:numRef>
          </c:val>
          <c:smooth val="0"/>
        </c:ser>
        <c:hiLowLines>
          <c:spPr>
            <a:ln w="0">
              <a:noFill/>
            </a:ln>
          </c:spPr>
        </c:hiLowLines>
        <c:marker val="0"/>
        <c:axId val="23914702"/>
        <c:axId val="52319263"/>
      </c:lineChart>
      <c:dateAx>
        <c:axId val="816376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898545"/>
        <c:auto val="1"/>
        <c:lblOffset val="100"/>
        <c:baseTimeUnit val="days"/>
      </c:dateAx>
      <c:valAx>
        <c:axId val="1489854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63768"/>
        <c:crosses val="autoZero"/>
        <c:crossBetween val="between"/>
      </c:valAx>
      <c:dateAx>
        <c:axId val="2391470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319263"/>
        <c:auto val="1"/>
        <c:lblOffset val="100"/>
        <c:baseTimeUnit val="days"/>
      </c:dateAx>
      <c:valAx>
        <c:axId val="5231926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91470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(Calc)'!$K$3:$K$500</c:f>
              <c:numCache>
                <c:formatCode>0.0%</c:formatCode>
                <c:ptCount val="498"/>
                <c:pt idx="0">
                  <c:v>-0.0520904729266621</c:v>
                </c:pt>
                <c:pt idx="1">
                  <c:v>0.0453121234032297</c:v>
                </c:pt>
                <c:pt idx="2">
                  <c:v>0.0521097532856816</c:v>
                </c:pt>
                <c:pt idx="3">
                  <c:v>-0.00657462195923741</c:v>
                </c:pt>
                <c:pt idx="4">
                  <c:v>-0.0897860136774763</c:v>
                </c:pt>
                <c:pt idx="5">
                  <c:v>-0.0213281628696073</c:v>
                </c:pt>
                <c:pt idx="6">
                  <c:v>0.111193660227835</c:v>
                </c:pt>
                <c:pt idx="7">
                  <c:v>0.0739915310898149</c:v>
                </c:pt>
                <c:pt idx="8">
                  <c:v>0.0199211454658643</c:v>
                </c:pt>
                <c:pt idx="9">
                  <c:v>-0.0309257375381484</c:v>
                </c:pt>
                <c:pt idx="10">
                  <c:v>-0.0209951711106445</c:v>
                </c:pt>
                <c:pt idx="11">
                  <c:v>0.0158696118378725</c:v>
                </c:pt>
                <c:pt idx="12">
                  <c:v>0.0291323622545916</c:v>
                </c:pt>
                <c:pt idx="13">
                  <c:v>-0.00123076923076926</c:v>
                </c:pt>
                <c:pt idx="14">
                  <c:v>0.0141712877387554</c:v>
                </c:pt>
                <c:pt idx="15">
                  <c:v>-0.00850546780072903</c:v>
                </c:pt>
                <c:pt idx="16">
                  <c:v>0.114174836601307</c:v>
                </c:pt>
                <c:pt idx="17">
                  <c:v>0.0874427131072411</c:v>
                </c:pt>
                <c:pt idx="18">
                  <c:v>0.0257923128792987</c:v>
                </c:pt>
                <c:pt idx="19">
                  <c:v>0.0841413311421528</c:v>
                </c:pt>
                <c:pt idx="20">
                  <c:v>0.0901925117477642</c:v>
                </c:pt>
                <c:pt idx="21">
                  <c:v>0.00667408231368194</c:v>
                </c:pt>
                <c:pt idx="22">
                  <c:v>0.0854972375690608</c:v>
                </c:pt>
                <c:pt idx="23">
                  <c:v>0.0438987148492176</c:v>
                </c:pt>
                <c:pt idx="24">
                  <c:v>0.0638712823013163</c:v>
                </c:pt>
                <c:pt idx="25">
                  <c:v>0.00355178735105421</c:v>
                </c:pt>
                <c:pt idx="26">
                  <c:v>0.0734102066445941</c:v>
                </c:pt>
                <c:pt idx="27">
                  <c:v>-0.0416932567538821</c:v>
                </c:pt>
                <c:pt idx="28">
                  <c:v>-0.0259711431742508</c:v>
                </c:pt>
                <c:pt idx="29">
                  <c:v>0.00205104831358249</c:v>
                </c:pt>
                <c:pt idx="30">
                  <c:v>-0.136001819422333</c:v>
                </c:pt>
                <c:pt idx="31">
                  <c:v>0.151487233482495</c:v>
                </c:pt>
                <c:pt idx="32">
                  <c:v>0.0120013715853242</c:v>
                </c:pt>
                <c:pt idx="33">
                  <c:v>0.0121978766659137</c:v>
                </c:pt>
                <c:pt idx="34">
                  <c:v>0.029011381388083</c:v>
                </c:pt>
                <c:pt idx="35">
                  <c:v>0.151268705270007</c:v>
                </c:pt>
                <c:pt idx="36">
                  <c:v>0.0296693981350664</c:v>
                </c:pt>
                <c:pt idx="37">
                  <c:v>0.102634467618002</c:v>
                </c:pt>
                <c:pt idx="38">
                  <c:v>0.0910900945744151</c:v>
                </c:pt>
                <c:pt idx="39">
                  <c:v>-0.0402980535279807</c:v>
                </c:pt>
                <c:pt idx="40">
                  <c:v>-0.0239264775788306</c:v>
                </c:pt>
                <c:pt idx="41">
                  <c:v>0.0185064935064936</c:v>
                </c:pt>
                <c:pt idx="42">
                  <c:v>0.0270959515460631</c:v>
                </c:pt>
                <c:pt idx="43">
                  <c:v>-0.0875232774674115</c:v>
                </c:pt>
                <c:pt idx="44">
                  <c:v>-0.0412414965986394</c:v>
                </c:pt>
                <c:pt idx="45">
                  <c:v>-0.0512638580931264</c:v>
                </c:pt>
                <c:pt idx="46">
                  <c:v>-0.0234645227633916</c:v>
                </c:pt>
                <c:pt idx="47">
                  <c:v>0.189354776948114</c:v>
                </c:pt>
                <c:pt idx="48">
                  <c:v>0.0383934320669672</c:v>
                </c:pt>
                <c:pt idx="49">
                  <c:v>-0.0772808309433376</c:v>
                </c:pt>
                <c:pt idx="50">
                  <c:v>-0.138524865591398</c:v>
                </c:pt>
                <c:pt idx="51">
                  <c:v>0.158264261335934</c:v>
                </c:pt>
                <c:pt idx="52">
                  <c:v>-0.0260144805522815</c:v>
                </c:pt>
                <c:pt idx="53">
                  <c:v>0.0465900250669893</c:v>
                </c:pt>
                <c:pt idx="54">
                  <c:v>0.0289890981169476</c:v>
                </c:pt>
                <c:pt idx="55">
                  <c:v>0.0790593145517295</c:v>
                </c:pt>
                <c:pt idx="56">
                  <c:v>0.0237280571258554</c:v>
                </c:pt>
                <c:pt idx="57">
                  <c:v>0.0256484778028045</c:v>
                </c:pt>
                <c:pt idx="58">
                  <c:v>-0.0433550580901105</c:v>
                </c:pt>
                <c:pt idx="59">
                  <c:v>0.0902695497630333</c:v>
                </c:pt>
                <c:pt idx="60">
                  <c:v>-0.038239489234531</c:v>
                </c:pt>
                <c:pt idx="61">
                  <c:v>-0.000211864406779672</c:v>
                </c:pt>
                <c:pt idx="62">
                  <c:v>-0.0260648442466624</c:v>
                </c:pt>
                <c:pt idx="63">
                  <c:v>0.0303887438352191</c:v>
                </c:pt>
                <c:pt idx="64">
                  <c:v>-0.0575068628141057</c:v>
                </c:pt>
                <c:pt idx="65">
                  <c:v>0.00336071695294993</c:v>
                </c:pt>
                <c:pt idx="66">
                  <c:v>0.0171194640863417</c:v>
                </c:pt>
                <c:pt idx="67">
                  <c:v>0.0544456641053788</c:v>
                </c:pt>
                <c:pt idx="68">
                  <c:v>-0.0591991116663196</c:v>
                </c:pt>
                <c:pt idx="69">
                  <c:v>0.0132044850988491</c:v>
                </c:pt>
                <c:pt idx="70">
                  <c:v>0.0356752821259556</c:v>
                </c:pt>
                <c:pt idx="71">
                  <c:v>-0.158101933216169</c:v>
                </c:pt>
                <c:pt idx="72">
                  <c:v>0.0813293253173013</c:v>
                </c:pt>
                <c:pt idx="73">
                  <c:v>0.0694208494208495</c:v>
                </c:pt>
                <c:pt idx="74">
                  <c:v>-0.0318434544010398</c:v>
                </c:pt>
                <c:pt idx="75">
                  <c:v>-0.0707786396181385</c:v>
                </c:pt>
                <c:pt idx="76">
                  <c:v>-0.0978409182117345</c:v>
                </c:pt>
                <c:pt idx="77">
                  <c:v>0.079715302491103</c:v>
                </c:pt>
                <c:pt idx="78">
                  <c:v>-0.0326301911667765</c:v>
                </c:pt>
                <c:pt idx="79">
                  <c:v>-0.0682282793867122</c:v>
                </c:pt>
                <c:pt idx="80">
                  <c:v>-0.140049364658561</c:v>
                </c:pt>
                <c:pt idx="81">
                  <c:v>0.176251727437015</c:v>
                </c:pt>
                <c:pt idx="82">
                  <c:v>-0.0851333032083145</c:v>
                </c:pt>
                <c:pt idx="83">
                  <c:v>0.0938456979156377</c:v>
                </c:pt>
                <c:pt idx="84">
                  <c:v>0.0314277973448929</c:v>
                </c:pt>
                <c:pt idx="85">
                  <c:v>0.0188249715436477</c:v>
                </c:pt>
                <c:pt idx="86">
                  <c:v>0.160708147129598</c:v>
                </c:pt>
                <c:pt idx="87">
                  <c:v>-0.0303568784244039</c:v>
                </c:pt>
                <c:pt idx="88">
                  <c:v>0.0292455711667683</c:v>
                </c:pt>
                <c:pt idx="89">
                  <c:v>0.048742488315157</c:v>
                </c:pt>
                <c:pt idx="90">
                  <c:v>0.00183927560837582</c:v>
                </c:pt>
                <c:pt idx="91">
                  <c:v>0.0132749611636773</c:v>
                </c:pt>
                <c:pt idx="92">
                  <c:v>0.0965853658536586</c:v>
                </c:pt>
                <c:pt idx="93">
                  <c:v>0.0101042196237924</c:v>
                </c:pt>
                <c:pt idx="94">
                  <c:v>0.0350424661843349</c:v>
                </c:pt>
                <c:pt idx="95">
                  <c:v>0.0454048140043764</c:v>
                </c:pt>
                <c:pt idx="96">
                  <c:v>0.00633757776614918</c:v>
                </c:pt>
                <c:pt idx="97">
                  <c:v>0.00127108851398194</c:v>
                </c:pt>
                <c:pt idx="98">
                  <c:v>0.0516445470282747</c:v>
                </c:pt>
                <c:pt idx="99">
                  <c:v>-0.0122908093278464</c:v>
                </c:pt>
                <c:pt idx="100">
                  <c:v>-0.0136659074495861</c:v>
                </c:pt>
                <c:pt idx="101">
                  <c:v>-0.0214024218529992</c:v>
                </c:pt>
                <c:pt idx="102">
                  <c:v>-0.041093525179856</c:v>
                </c:pt>
                <c:pt idx="103">
                  <c:v>0.0647620190864893</c:v>
                </c:pt>
                <c:pt idx="104">
                  <c:v>-0.00648252536640359</c:v>
                </c:pt>
                <c:pt idx="105">
                  <c:v>0.00856737588652479</c:v>
                </c:pt>
                <c:pt idx="106">
                  <c:v>0.0529365436543654</c:v>
                </c:pt>
                <c:pt idx="107">
                  <c:v>-0.0237751776459902</c:v>
                </c:pt>
                <c:pt idx="108">
                  <c:v>0.00032837127845875</c:v>
                </c:pt>
                <c:pt idx="109">
                  <c:v>0.0165773060509902</c:v>
                </c:pt>
                <c:pt idx="110">
                  <c:v>0.0871858349927344</c:v>
                </c:pt>
                <c:pt idx="111">
                  <c:v>-0.0708380773229048</c:v>
                </c:pt>
                <c:pt idx="112">
                  <c:v>0.0107618540223762</c:v>
                </c:pt>
                <c:pt idx="113">
                  <c:v>-0.0594033312249631</c:v>
                </c:pt>
                <c:pt idx="114">
                  <c:v>-0.0104791258055477</c:v>
                </c:pt>
                <c:pt idx="115">
                  <c:v>0.0305810397553516</c:v>
                </c:pt>
                <c:pt idx="116">
                  <c:v>-0.0404989559292228</c:v>
                </c:pt>
                <c:pt idx="117">
                  <c:v>0.0341332111562911</c:v>
                </c:pt>
                <c:pt idx="118">
                  <c:v>0.0527219360912665</c:v>
                </c:pt>
                <c:pt idx="119">
                  <c:v>-0.00883791888053032</c:v>
                </c:pt>
                <c:pt idx="120">
                  <c:v>-0.0211241441537073</c:v>
                </c:pt>
                <c:pt idx="121">
                  <c:v>0.00742829257712963</c:v>
                </c:pt>
                <c:pt idx="122">
                  <c:v>0.00769644779332612</c:v>
                </c:pt>
                <c:pt idx="123">
                  <c:v>0.0184265342092613</c:v>
                </c:pt>
                <c:pt idx="124">
                  <c:v>-0.0298930144745123</c:v>
                </c:pt>
                <c:pt idx="125">
                  <c:v>-0.0140555735755217</c:v>
                </c:pt>
                <c:pt idx="126">
                  <c:v>0.0383814014694595</c:v>
                </c:pt>
                <c:pt idx="127">
                  <c:v>-0.066532896821206</c:v>
                </c:pt>
                <c:pt idx="128">
                  <c:v>0.00350718407059625</c:v>
                </c:pt>
                <c:pt idx="129">
                  <c:v>0.0137542277339346</c:v>
                </c:pt>
                <c:pt idx="130">
                  <c:v>-0.0418705516014235</c:v>
                </c:pt>
                <c:pt idx="131">
                  <c:v>-0.0300040624455923</c:v>
                </c:pt>
                <c:pt idx="132">
                  <c:v>0.0589326313270313</c:v>
                </c:pt>
                <c:pt idx="133">
                  <c:v>0.0633369116899258</c:v>
                </c:pt>
                <c:pt idx="134">
                  <c:v>0.069181721572795</c:v>
                </c:pt>
                <c:pt idx="135">
                  <c:v>0.0327005267866019</c:v>
                </c:pt>
                <c:pt idx="136">
                  <c:v>-0.0471607314725698</c:v>
                </c:pt>
                <c:pt idx="137">
                  <c:v>0.0843939393939395</c:v>
                </c:pt>
                <c:pt idx="138">
                  <c:v>0.0470401937497089</c:v>
                </c:pt>
                <c:pt idx="139">
                  <c:v>-0.0443485610070726</c:v>
                </c:pt>
                <c:pt idx="140">
                  <c:v>-0.019456339601564</c:v>
                </c:pt>
                <c:pt idx="141">
                  <c:v>-0.0274850469951581</c:v>
                </c:pt>
                <c:pt idx="142">
                  <c:v>0.000439302972616851</c:v>
                </c:pt>
                <c:pt idx="143">
                  <c:v>0.0267857142857142</c:v>
                </c:pt>
                <c:pt idx="144">
                  <c:v>-0.0861962461392254</c:v>
                </c:pt>
                <c:pt idx="145">
                  <c:v>0.0119598564817223</c:v>
                </c:pt>
                <c:pt idx="146">
                  <c:v>0.0827809465084013</c:v>
                </c:pt>
                <c:pt idx="147">
                  <c:v>-0.0386294608959756</c:v>
                </c:pt>
                <c:pt idx="148">
                  <c:v>0.0198933754566097</c:v>
                </c:pt>
                <c:pt idx="149">
                  <c:v>-0.0294274236484198</c:v>
                </c:pt>
                <c:pt idx="150">
                  <c:v>0.115593676756595</c:v>
                </c:pt>
                <c:pt idx="151">
                  <c:v>0.00536408743462524</c:v>
                </c:pt>
                <c:pt idx="152">
                  <c:v>-0.0463741051976346</c:v>
                </c:pt>
                <c:pt idx="153">
                  <c:v>0.0131947034688549</c:v>
                </c:pt>
                <c:pt idx="154">
                  <c:v>0.0588560121485435</c:v>
                </c:pt>
                <c:pt idx="155">
                  <c:v>-0.0513255106475445</c:v>
                </c:pt>
                <c:pt idx="156">
                  <c:v>0.0182326263227817</c:v>
                </c:pt>
                <c:pt idx="157">
                  <c:v>0.0125972915823098</c:v>
                </c:pt>
                <c:pt idx="158">
                  <c:v>0.0168392055804862</c:v>
                </c:pt>
              </c:numCache>
            </c:numRef>
          </c:val>
        </c:ser>
        <c:gapWidth val="150"/>
        <c:overlap val="0"/>
        <c:axId val="89033103"/>
        <c:axId val="11982971"/>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(Calc)'!$AF$3:$AF$500</c:f>
              <c:numCache>
                <c:formatCode>#,##0.00</c:formatCode>
                <c:ptCount val="498"/>
                <c:pt idx="0">
                  <c:v>43.77</c:v>
                </c:pt>
                <c:pt idx="1">
                  <c:v>43.4929746835443</c:v>
                </c:pt>
                <c:pt idx="2">
                  <c:v>43.2159493670886</c:v>
                </c:pt>
                <c:pt idx="3">
                  <c:v>42.9389240506329</c:v>
                </c:pt>
                <c:pt idx="4">
                  <c:v>42.6618987341772</c:v>
                </c:pt>
                <c:pt idx="5">
                  <c:v>42.3848734177215</c:v>
                </c:pt>
                <c:pt idx="6">
                  <c:v>42.1078481012658</c:v>
                </c:pt>
                <c:pt idx="7">
                  <c:v>41.8308227848101</c:v>
                </c:pt>
                <c:pt idx="8">
                  <c:v>41.5537974683544</c:v>
                </c:pt>
                <c:pt idx="9">
                  <c:v>41.2767721518987</c:v>
                </c:pt>
                <c:pt idx="10">
                  <c:v>40.999746835443</c:v>
                </c:pt>
                <c:pt idx="11">
                  <c:v>40.7227215189873</c:v>
                </c:pt>
                <c:pt idx="12">
                  <c:v>40.4456962025317</c:v>
                </c:pt>
                <c:pt idx="13">
                  <c:v>40.168670886076</c:v>
                </c:pt>
                <c:pt idx="14">
                  <c:v>39.8916455696203</c:v>
                </c:pt>
                <c:pt idx="15">
                  <c:v>39.6146202531646</c:v>
                </c:pt>
                <c:pt idx="16">
                  <c:v>39.3375949367089</c:v>
                </c:pt>
                <c:pt idx="17">
                  <c:v>39.0605696202532</c:v>
                </c:pt>
                <c:pt idx="18">
                  <c:v>38.7835443037975</c:v>
                </c:pt>
                <c:pt idx="19">
                  <c:v>38.5065189873418</c:v>
                </c:pt>
                <c:pt idx="20">
                  <c:v>38.2294936708861</c:v>
                </c:pt>
                <c:pt idx="21">
                  <c:v>37.9524683544304</c:v>
                </c:pt>
                <c:pt idx="22">
                  <c:v>37.6754430379747</c:v>
                </c:pt>
                <c:pt idx="23">
                  <c:v>37.398417721519</c:v>
                </c:pt>
                <c:pt idx="24">
                  <c:v>37.1213924050633</c:v>
                </c:pt>
                <c:pt idx="25">
                  <c:v>36.8443670886076</c:v>
                </c:pt>
                <c:pt idx="26">
                  <c:v>36.5673417721519</c:v>
                </c:pt>
                <c:pt idx="27">
                  <c:v>36.2903164556962</c:v>
                </c:pt>
                <c:pt idx="28">
                  <c:v>36.0132911392405</c:v>
                </c:pt>
                <c:pt idx="29">
                  <c:v>35.7362658227848</c:v>
                </c:pt>
                <c:pt idx="30">
                  <c:v>35.4592405063291</c:v>
                </c:pt>
                <c:pt idx="31">
                  <c:v>35.1822151898734</c:v>
                </c:pt>
                <c:pt idx="32">
                  <c:v>34.9051898734177</c:v>
                </c:pt>
                <c:pt idx="33">
                  <c:v>34.628164556962</c:v>
                </c:pt>
                <c:pt idx="34">
                  <c:v>34.3511392405063</c:v>
                </c:pt>
                <c:pt idx="35">
                  <c:v>34.0741139240506</c:v>
                </c:pt>
                <c:pt idx="36">
                  <c:v>33.7970886075949</c:v>
                </c:pt>
                <c:pt idx="37">
                  <c:v>33.5200632911392</c:v>
                </c:pt>
                <c:pt idx="38">
                  <c:v>33.2430379746835</c:v>
                </c:pt>
                <c:pt idx="39">
                  <c:v>32.9660126582279</c:v>
                </c:pt>
                <c:pt idx="40">
                  <c:v>32.6889873417722</c:v>
                </c:pt>
                <c:pt idx="41">
                  <c:v>32.4119620253165</c:v>
                </c:pt>
                <c:pt idx="42">
                  <c:v>32.1349367088608</c:v>
                </c:pt>
                <c:pt idx="43">
                  <c:v>31.8579113924051</c:v>
                </c:pt>
                <c:pt idx="44">
                  <c:v>31.5808860759494</c:v>
                </c:pt>
                <c:pt idx="45">
                  <c:v>31.3038607594937</c:v>
                </c:pt>
                <c:pt idx="46">
                  <c:v>31.026835443038</c:v>
                </c:pt>
                <c:pt idx="47">
                  <c:v>30.7498101265823</c:v>
                </c:pt>
                <c:pt idx="48">
                  <c:v>30.4727848101266</c:v>
                </c:pt>
                <c:pt idx="49">
                  <c:v>30.1957594936709</c:v>
                </c:pt>
                <c:pt idx="50">
                  <c:v>29.9187341772152</c:v>
                </c:pt>
                <c:pt idx="51">
                  <c:v>29.6417088607595</c:v>
                </c:pt>
                <c:pt idx="52">
                  <c:v>29.3646835443038</c:v>
                </c:pt>
                <c:pt idx="53">
                  <c:v>29.0876582278481</c:v>
                </c:pt>
                <c:pt idx="54">
                  <c:v>28.8106329113924</c:v>
                </c:pt>
                <c:pt idx="55">
                  <c:v>28.5336075949367</c:v>
                </c:pt>
                <c:pt idx="56">
                  <c:v>28.256582278481</c:v>
                </c:pt>
                <c:pt idx="57">
                  <c:v>27.9795569620253</c:v>
                </c:pt>
                <c:pt idx="58">
                  <c:v>27.7025316455696</c:v>
                </c:pt>
                <c:pt idx="59">
                  <c:v>27.4255063291139</c:v>
                </c:pt>
                <c:pt idx="60">
                  <c:v>27.1484810126582</c:v>
                </c:pt>
                <c:pt idx="61">
                  <c:v>26.8714556962025</c:v>
                </c:pt>
                <c:pt idx="62">
                  <c:v>26.5944303797468</c:v>
                </c:pt>
                <c:pt idx="63">
                  <c:v>26.3174050632911</c:v>
                </c:pt>
                <c:pt idx="64">
                  <c:v>26.0403797468354</c:v>
                </c:pt>
                <c:pt idx="65">
                  <c:v>25.7633544303798</c:v>
                </c:pt>
                <c:pt idx="66">
                  <c:v>25.4863291139241</c:v>
                </c:pt>
                <c:pt idx="67">
                  <c:v>25.2093037974684</c:v>
                </c:pt>
                <c:pt idx="68">
                  <c:v>24.9322784810127</c:v>
                </c:pt>
                <c:pt idx="69">
                  <c:v>24.655253164557</c:v>
                </c:pt>
                <c:pt idx="70">
                  <c:v>24.3782278481013</c:v>
                </c:pt>
                <c:pt idx="71">
                  <c:v>24.1012025316456</c:v>
                </c:pt>
                <c:pt idx="72">
                  <c:v>23.8241772151899</c:v>
                </c:pt>
                <c:pt idx="73">
                  <c:v>23.5471518987342</c:v>
                </c:pt>
                <c:pt idx="74">
                  <c:v>23.2701265822785</c:v>
                </c:pt>
                <c:pt idx="75">
                  <c:v>22.9931012658228</c:v>
                </c:pt>
                <c:pt idx="76">
                  <c:v>22.7160759493671</c:v>
                </c:pt>
                <c:pt idx="77">
                  <c:v>22.4390506329114</c:v>
                </c:pt>
                <c:pt idx="78">
                  <c:v>22.1620253164557</c:v>
                </c:pt>
                <c:pt idx="79">
                  <c:v>21.885</c:v>
                </c:pt>
                <c:pt idx="80">
                  <c:v>21.6079746835443</c:v>
                </c:pt>
                <c:pt idx="81">
                  <c:v>21.3309493670886</c:v>
                </c:pt>
                <c:pt idx="82">
                  <c:v>21.0539240506329</c:v>
                </c:pt>
                <c:pt idx="83">
                  <c:v>20.7768987341772</c:v>
                </c:pt>
                <c:pt idx="84">
                  <c:v>20.4998734177215</c:v>
                </c:pt>
                <c:pt idx="85">
                  <c:v>20.2228481012658</c:v>
                </c:pt>
                <c:pt idx="86">
                  <c:v>19.9458227848101</c:v>
                </c:pt>
                <c:pt idx="87">
                  <c:v>19.6687974683544</c:v>
                </c:pt>
                <c:pt idx="88">
                  <c:v>19.3917721518987</c:v>
                </c:pt>
                <c:pt idx="89">
                  <c:v>19.114746835443</c:v>
                </c:pt>
                <c:pt idx="90">
                  <c:v>18.8377215189873</c:v>
                </c:pt>
                <c:pt idx="91">
                  <c:v>18.5606962025317</c:v>
                </c:pt>
                <c:pt idx="92">
                  <c:v>18.283670886076</c:v>
                </c:pt>
                <c:pt idx="93">
                  <c:v>18.0066455696203</c:v>
                </c:pt>
                <c:pt idx="94">
                  <c:v>17.7296202531646</c:v>
                </c:pt>
                <c:pt idx="95">
                  <c:v>17.4525949367089</c:v>
                </c:pt>
                <c:pt idx="96">
                  <c:v>17.1755696202532</c:v>
                </c:pt>
                <c:pt idx="97">
                  <c:v>16.8985443037975</c:v>
                </c:pt>
                <c:pt idx="98">
                  <c:v>16.6215189873418</c:v>
                </c:pt>
                <c:pt idx="99">
                  <c:v>16.3444936708861</c:v>
                </c:pt>
                <c:pt idx="100">
                  <c:v>16.0674683544304</c:v>
                </c:pt>
                <c:pt idx="101">
                  <c:v>15.7904430379747</c:v>
                </c:pt>
                <c:pt idx="102">
                  <c:v>15.513417721519</c:v>
                </c:pt>
                <c:pt idx="103">
                  <c:v>15.2363924050633</c:v>
                </c:pt>
                <c:pt idx="104">
                  <c:v>14.9593670886076</c:v>
                </c:pt>
                <c:pt idx="105">
                  <c:v>14.6823417721519</c:v>
                </c:pt>
                <c:pt idx="106">
                  <c:v>14.4053164556962</c:v>
                </c:pt>
                <c:pt idx="107">
                  <c:v>14.1282911392405</c:v>
                </c:pt>
                <c:pt idx="108">
                  <c:v>13.8512658227848</c:v>
                </c:pt>
                <c:pt idx="109">
                  <c:v>13.5742405063291</c:v>
                </c:pt>
                <c:pt idx="110">
                  <c:v>13.2972151898734</c:v>
                </c:pt>
                <c:pt idx="111">
                  <c:v>13.0201898734177</c:v>
                </c:pt>
                <c:pt idx="112">
                  <c:v>12.743164556962</c:v>
                </c:pt>
                <c:pt idx="113">
                  <c:v>12.4661392405063</c:v>
                </c:pt>
                <c:pt idx="114">
                  <c:v>12.1891139240506</c:v>
                </c:pt>
                <c:pt idx="115">
                  <c:v>11.9120886075949</c:v>
                </c:pt>
                <c:pt idx="116">
                  <c:v>11.6350632911392</c:v>
                </c:pt>
                <c:pt idx="117">
                  <c:v>11.3580379746835</c:v>
                </c:pt>
                <c:pt idx="118">
                  <c:v>11.0810126582278</c:v>
                </c:pt>
                <c:pt idx="119">
                  <c:v>10.8039873417722</c:v>
                </c:pt>
                <c:pt idx="120">
                  <c:v>10.5269620253165</c:v>
                </c:pt>
                <c:pt idx="121">
                  <c:v>10.2499367088608</c:v>
                </c:pt>
                <c:pt idx="122">
                  <c:v>9.97291139240507</c:v>
                </c:pt>
                <c:pt idx="123">
                  <c:v>9.69588607594937</c:v>
                </c:pt>
                <c:pt idx="124">
                  <c:v>9.41886075949367</c:v>
                </c:pt>
                <c:pt idx="125">
                  <c:v>9.14183544303798</c:v>
                </c:pt>
                <c:pt idx="126">
                  <c:v>8.86481012658228</c:v>
                </c:pt>
                <c:pt idx="127">
                  <c:v>8.58778481012659</c:v>
                </c:pt>
                <c:pt idx="128">
                  <c:v>8.31075949367089</c:v>
                </c:pt>
                <c:pt idx="129">
                  <c:v>8.03373417721519</c:v>
                </c:pt>
                <c:pt idx="130">
                  <c:v>7.7567088607595</c:v>
                </c:pt>
                <c:pt idx="131">
                  <c:v>7.4796835443038</c:v>
                </c:pt>
                <c:pt idx="132">
                  <c:v>7.2026582278481</c:v>
                </c:pt>
                <c:pt idx="133">
                  <c:v>6.92563291139241</c:v>
                </c:pt>
                <c:pt idx="134">
                  <c:v>6.64860759493671</c:v>
                </c:pt>
                <c:pt idx="135">
                  <c:v>6.37158227848101</c:v>
                </c:pt>
                <c:pt idx="136">
                  <c:v>6.09455696202532</c:v>
                </c:pt>
                <c:pt idx="137">
                  <c:v>5.81753164556962</c:v>
                </c:pt>
                <c:pt idx="138">
                  <c:v>5.54050632911392</c:v>
                </c:pt>
                <c:pt idx="139">
                  <c:v>5.26348101265823</c:v>
                </c:pt>
                <c:pt idx="140">
                  <c:v>4.98645569620253</c:v>
                </c:pt>
                <c:pt idx="141">
                  <c:v>4.70943037974683</c:v>
                </c:pt>
                <c:pt idx="142">
                  <c:v>4.43240506329114</c:v>
                </c:pt>
                <c:pt idx="143">
                  <c:v>4.15537974683544</c:v>
                </c:pt>
                <c:pt idx="144">
                  <c:v>3.87835443037975</c:v>
                </c:pt>
                <c:pt idx="145">
                  <c:v>3.60132911392405</c:v>
                </c:pt>
                <c:pt idx="146">
                  <c:v>3.32430379746836</c:v>
                </c:pt>
                <c:pt idx="147">
                  <c:v>3.04727848101266</c:v>
                </c:pt>
                <c:pt idx="148">
                  <c:v>2.77025316455696</c:v>
                </c:pt>
                <c:pt idx="149">
                  <c:v>2.49322784810126</c:v>
                </c:pt>
                <c:pt idx="150">
                  <c:v>2.21620253164556</c:v>
                </c:pt>
                <c:pt idx="151">
                  <c:v>1.93917721518987</c:v>
                </c:pt>
                <c:pt idx="152">
                  <c:v>1.66215189873417</c:v>
                </c:pt>
                <c:pt idx="153">
                  <c:v>1.38512658227848</c:v>
                </c:pt>
                <c:pt idx="154">
                  <c:v>1.10810126582278</c:v>
                </c:pt>
                <c:pt idx="155">
                  <c:v>0.83107594936709</c:v>
                </c:pt>
                <c:pt idx="156">
                  <c:v>0.554050632911391</c:v>
                </c:pt>
                <c:pt idx="157">
                  <c:v>0.277025316455699</c:v>
                </c:pt>
                <c:pt idx="158">
                  <c:v>0</c:v>
                </c:pt>
                <c:pt idx="159">
                  <c:v>-0.277025316455692</c:v>
                </c:pt>
              </c:numCache>
            </c:numRef>
          </c:val>
          <c:smooth val="0"/>
        </c:ser>
        <c:hiLowLines>
          <c:spPr>
            <a:ln w="0">
              <a:noFill/>
            </a:ln>
          </c:spPr>
        </c:hiLowLines>
        <c:marker val="0"/>
        <c:axId val="22167341"/>
        <c:axId val="62490667"/>
      </c:lineChart>
      <c:dateAx>
        <c:axId val="8903310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982971"/>
        <c:auto val="1"/>
        <c:lblOffset val="100"/>
        <c:baseTimeUnit val="days"/>
      </c:dateAx>
      <c:valAx>
        <c:axId val="1198297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033103"/>
        <c:crosses val="autoZero"/>
        <c:crossBetween val="between"/>
      </c:valAx>
      <c:dateAx>
        <c:axId val="2216734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490667"/>
        <c:auto val="1"/>
        <c:lblOffset val="100"/>
        <c:baseTimeUnit val="days"/>
      </c:dateAx>
      <c:valAx>
        <c:axId val="6249066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16734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(Calc)'!$L$3:$L$500</c:f>
              <c:numCache>
                <c:formatCode>0.0%</c:formatCode>
                <c:ptCount val="498"/>
                <c:pt idx="0">
                  <c:v>-0.073944921316166</c:v>
                </c:pt>
                <c:pt idx="1">
                  <c:v>-0.0163174664478131</c:v>
                </c:pt>
                <c:pt idx="2">
                  <c:v>-0.0294464075382803</c:v>
                </c:pt>
                <c:pt idx="3">
                  <c:v>0.00687702265372181</c:v>
                </c:pt>
                <c:pt idx="4">
                  <c:v>-0.0658899156287666</c:v>
                </c:pt>
                <c:pt idx="5">
                  <c:v>-0.0498924731182796</c:v>
                </c:pt>
                <c:pt idx="6">
                  <c:v>0.0948392937980986</c:v>
                </c:pt>
                <c:pt idx="7">
                  <c:v>-0.0187099441802769</c:v>
                </c:pt>
                <c:pt idx="8">
                  <c:v>0.0527757294848834</c:v>
                </c:pt>
                <c:pt idx="9">
                  <c:v>0.0175105063037824</c:v>
                </c:pt>
                <c:pt idx="10">
                  <c:v>0.0558560330415971</c:v>
                </c:pt>
                <c:pt idx="11">
                  <c:v>0.0135047033622053</c:v>
                </c:pt>
                <c:pt idx="12">
                  <c:v>0.127366292960853</c:v>
                </c:pt>
                <c:pt idx="13">
                  <c:v>-0.013857189435931</c:v>
                </c:pt>
                <c:pt idx="14">
                  <c:v>0.00677797983137696</c:v>
                </c:pt>
                <c:pt idx="15">
                  <c:v>-0.0205254515599344</c:v>
                </c:pt>
                <c:pt idx="16">
                  <c:v>0.0075440067057837</c:v>
                </c:pt>
                <c:pt idx="17">
                  <c:v>-0.0236272878535774</c:v>
                </c:pt>
                <c:pt idx="18">
                  <c:v>-0.0121847307430129</c:v>
                </c:pt>
                <c:pt idx="19">
                  <c:v>0.0187181920124211</c:v>
                </c:pt>
                <c:pt idx="20">
                  <c:v>0.0249788314987298</c:v>
                </c:pt>
                <c:pt idx="21">
                  <c:v>0.00685667079719132</c:v>
                </c:pt>
                <c:pt idx="22">
                  <c:v>-0.00131276665572688</c:v>
                </c:pt>
                <c:pt idx="23">
                  <c:v>0.0104337824515282</c:v>
                </c:pt>
                <c:pt idx="24">
                  <c:v>0.00349621920481336</c:v>
                </c:pt>
                <c:pt idx="25">
                  <c:v>-0.037757251660995</c:v>
                </c:pt>
                <c:pt idx="26">
                  <c:v>-0.00303132367800607</c:v>
                </c:pt>
                <c:pt idx="27">
                  <c:v>0.0124155405405406</c:v>
                </c:pt>
                <c:pt idx="28">
                  <c:v>-0.0421289730541421</c:v>
                </c:pt>
                <c:pt idx="29">
                  <c:v>-0.0459850200313533</c:v>
                </c:pt>
                <c:pt idx="30">
                  <c:v>-0.130363337593573</c:v>
                </c:pt>
                <c:pt idx="31">
                  <c:v>0.00556372034432084</c:v>
                </c:pt>
                <c:pt idx="32">
                  <c:v>0.0175383651738177</c:v>
                </c:pt>
                <c:pt idx="33">
                  <c:v>0.0151841592284807</c:v>
                </c:pt>
                <c:pt idx="34">
                  <c:v>0.0372915613946438</c:v>
                </c:pt>
                <c:pt idx="35">
                  <c:v>-0.0606001558846454</c:v>
                </c:pt>
                <c:pt idx="36">
                  <c:v>0.0548641360713544</c:v>
                </c:pt>
                <c:pt idx="37">
                  <c:v>-0.00265460623340863</c:v>
                </c:pt>
                <c:pt idx="38">
                  <c:v>0.0189274447949528</c:v>
                </c:pt>
                <c:pt idx="39">
                  <c:v>-0.0173181114551084</c:v>
                </c:pt>
                <c:pt idx="40">
                  <c:v>0.0265826523579797</c:v>
                </c:pt>
                <c:pt idx="41">
                  <c:v>0.0191809724753045</c:v>
                </c:pt>
                <c:pt idx="42">
                  <c:v>0.0496847652206645</c:v>
                </c:pt>
                <c:pt idx="43">
                  <c:v>0.0300313760645452</c:v>
                </c:pt>
                <c:pt idx="44">
                  <c:v>-0.00870322019147085</c:v>
                </c:pt>
                <c:pt idx="45">
                  <c:v>0.0106233538191396</c:v>
                </c:pt>
                <c:pt idx="46">
                  <c:v>-0.0167665711058986</c:v>
                </c:pt>
                <c:pt idx="47">
                  <c:v>0.00777522530482422</c:v>
                </c:pt>
                <c:pt idx="48">
                  <c:v>0.0489216201998948</c:v>
                </c:pt>
                <c:pt idx="49">
                  <c:v>-0.00810765630224009</c:v>
                </c:pt>
                <c:pt idx="50">
                  <c:v>-0.00455043397657373</c:v>
                </c:pt>
                <c:pt idx="51">
                  <c:v>0.0215863878777618</c:v>
                </c:pt>
                <c:pt idx="52">
                  <c:v>-0.0275107722903547</c:v>
                </c:pt>
                <c:pt idx="53">
                  <c:v>0.000937286980231766</c:v>
                </c:pt>
                <c:pt idx="54">
                  <c:v>-0.0251979228739252</c:v>
                </c:pt>
                <c:pt idx="55">
                  <c:v>-0.0178150379879487</c:v>
                </c:pt>
                <c:pt idx="56">
                  <c:v>0.0187605583711212</c:v>
                </c:pt>
                <c:pt idx="57">
                  <c:v>-0.0404957235119567</c:v>
                </c:pt>
                <c:pt idx="58">
                  <c:v>-0.0352010187374933</c:v>
                </c:pt>
                <c:pt idx="59">
                  <c:v>0.0214009616291129</c:v>
                </c:pt>
                <c:pt idx="60">
                  <c:v>-0.0207679527413698</c:v>
                </c:pt>
                <c:pt idx="61">
                  <c:v>0.0209256291827693</c:v>
                </c:pt>
                <c:pt idx="62">
                  <c:v>0.00849413719878123</c:v>
                </c:pt>
                <c:pt idx="63">
                  <c:v>-0.0409228234001647</c:v>
                </c:pt>
                <c:pt idx="64">
                  <c:v>-0.00773195876288657</c:v>
                </c:pt>
                <c:pt idx="65">
                  <c:v>-0.0622414622414622</c:v>
                </c:pt>
                <c:pt idx="66">
                  <c:v>0.0185679113664341</c:v>
                </c:pt>
                <c:pt idx="67">
                  <c:v>0.00372645785074011</c:v>
                </c:pt>
                <c:pt idx="68">
                  <c:v>-0.0192655027092113</c:v>
                </c:pt>
                <c:pt idx="69">
                  <c:v>0.0567833026396563</c:v>
                </c:pt>
                <c:pt idx="70">
                  <c:v>0.0863587956239713</c:v>
                </c:pt>
                <c:pt idx="71">
                  <c:v>0.00267355850637219</c:v>
                </c:pt>
                <c:pt idx="72">
                  <c:v>-0.0159096969158298</c:v>
                </c:pt>
                <c:pt idx="73">
                  <c:v>0.0298049132947977</c:v>
                </c:pt>
                <c:pt idx="74">
                  <c:v>0.00105244693913353</c:v>
                </c:pt>
                <c:pt idx="75">
                  <c:v>0.0243560539688104</c:v>
                </c:pt>
                <c:pt idx="76">
                  <c:v>-0.032329798152583</c:v>
                </c:pt>
                <c:pt idx="77">
                  <c:v>-0.0669082552589713</c:v>
                </c:pt>
                <c:pt idx="78">
                  <c:v>-0.0223548356540684</c:v>
                </c:pt>
                <c:pt idx="79">
                  <c:v>0.0186997383974421</c:v>
                </c:pt>
                <c:pt idx="80">
                  <c:v>-0.110614418870078</c:v>
                </c:pt>
                <c:pt idx="81">
                  <c:v>-0.0204256229280292</c:v>
                </c:pt>
                <c:pt idx="82">
                  <c:v>0.0610262008733624</c:v>
                </c:pt>
                <c:pt idx="83">
                  <c:v>0.00133758617141666</c:v>
                </c:pt>
                <c:pt idx="84">
                  <c:v>0.0310316481709825</c:v>
                </c:pt>
                <c:pt idx="85">
                  <c:v>0.0142515447478573</c:v>
                </c:pt>
                <c:pt idx="86">
                  <c:v>0.033998231305886</c:v>
                </c:pt>
                <c:pt idx="87">
                  <c:v>-0.0588235294117647</c:v>
                </c:pt>
                <c:pt idx="88">
                  <c:v>0.0438206785137316</c:v>
                </c:pt>
                <c:pt idx="89">
                  <c:v>0.0017411491584447</c:v>
                </c:pt>
                <c:pt idx="90">
                  <c:v>-0.0139049826187717</c:v>
                </c:pt>
                <c:pt idx="91">
                  <c:v>-0.00538582060321202</c:v>
                </c:pt>
                <c:pt idx="92">
                  <c:v>-0.000689179875947521</c:v>
                </c:pt>
                <c:pt idx="93">
                  <c:v>0.0227586206896553</c:v>
                </c:pt>
                <c:pt idx="94">
                  <c:v>0.0105962816684326</c:v>
                </c:pt>
                <c:pt idx="95">
                  <c:v>-0.0219235535220665</c:v>
                </c:pt>
                <c:pt idx="96">
                  <c:v>0.0329402592339927</c:v>
                </c:pt>
                <c:pt idx="97">
                  <c:v>-0.0487781866213795</c:v>
                </c:pt>
                <c:pt idx="98">
                  <c:v>0.00733981352906188</c:v>
                </c:pt>
                <c:pt idx="99">
                  <c:v>0.00856636471051608</c:v>
                </c:pt>
                <c:pt idx="100">
                  <c:v>0.0534023235380259</c:v>
                </c:pt>
                <c:pt idx="101">
                  <c:v>0.0133456904541243</c:v>
                </c:pt>
                <c:pt idx="102">
                  <c:v>-0.00109749405524062</c:v>
                </c:pt>
                <c:pt idx="103">
                  <c:v>0.0149240065921992</c:v>
                </c:pt>
                <c:pt idx="104">
                  <c:v>-0.00721695985566073</c:v>
                </c:pt>
                <c:pt idx="105">
                  <c:v>0.00599727396637895</c:v>
                </c:pt>
                <c:pt idx="106">
                  <c:v>0.0252009755216331</c:v>
                </c:pt>
                <c:pt idx="107">
                  <c:v>-0.0498678414096916</c:v>
                </c:pt>
                <c:pt idx="108">
                  <c:v>0.115541543026706</c:v>
                </c:pt>
                <c:pt idx="109">
                  <c:v>0.0189526184538653</c:v>
                </c:pt>
                <c:pt idx="110">
                  <c:v>-0.0185185185185185</c:v>
                </c:pt>
                <c:pt idx="111">
                  <c:v>0.012218435707755</c:v>
                </c:pt>
                <c:pt idx="112">
                  <c:v>-0.0220890129742157</c:v>
                </c:pt>
                <c:pt idx="113">
                  <c:v>0.0240994206062641</c:v>
                </c:pt>
                <c:pt idx="114">
                  <c:v>0.0218104296490653</c:v>
                </c:pt>
                <c:pt idx="115">
                  <c:v>-0.00433317284545021</c:v>
                </c:pt>
                <c:pt idx="116">
                  <c:v>0.0172469374597035</c:v>
                </c:pt>
                <c:pt idx="117">
                  <c:v>-0.0150530819204564</c:v>
                </c:pt>
                <c:pt idx="118">
                  <c:v>0.0115830115830118</c:v>
                </c:pt>
                <c:pt idx="119">
                  <c:v>0.0027035623409668</c:v>
                </c:pt>
                <c:pt idx="120">
                  <c:v>0.00269627279936557</c:v>
                </c:pt>
                <c:pt idx="121">
                  <c:v>0.0294210692818728</c:v>
                </c:pt>
                <c:pt idx="122">
                  <c:v>-0.0454824830977258</c:v>
                </c:pt>
                <c:pt idx="123">
                  <c:v>0.0268029620090149</c:v>
                </c:pt>
                <c:pt idx="124">
                  <c:v>0.0489927098847691</c:v>
                </c:pt>
                <c:pt idx="125">
                  <c:v>0.0147212673740846</c:v>
                </c:pt>
                <c:pt idx="126">
                  <c:v>0.0182634951027323</c:v>
                </c:pt>
                <c:pt idx="127">
                  <c:v>0.00752151587473771</c:v>
                </c:pt>
                <c:pt idx="128">
                  <c:v>-0.0563491493790825</c:v>
                </c:pt>
                <c:pt idx="129">
                  <c:v>-0.0207667731629394</c:v>
                </c:pt>
                <c:pt idx="130">
                  <c:v>-0.0205080400838964</c:v>
                </c:pt>
                <c:pt idx="131">
                  <c:v>0.00689983345229583</c:v>
                </c:pt>
                <c:pt idx="132">
                  <c:v>0.0378071833648392</c:v>
                </c:pt>
                <c:pt idx="133">
                  <c:v>0.0255768063145112</c:v>
                </c:pt>
                <c:pt idx="134">
                  <c:v>0.0576481906312438</c:v>
                </c:pt>
                <c:pt idx="135">
                  <c:v>-0.0207108872096277</c:v>
                </c:pt>
                <c:pt idx="136">
                  <c:v>-0.00478708202343536</c:v>
                </c:pt>
                <c:pt idx="137">
                  <c:v>0.0188814703137339</c:v>
                </c:pt>
                <c:pt idx="138">
                  <c:v>-0.0246617812852311</c:v>
                </c:pt>
                <c:pt idx="139">
                  <c:v>0.0382170206617543</c:v>
                </c:pt>
                <c:pt idx="140">
                  <c:v>-0.0167002992136943</c:v>
                </c:pt>
                <c:pt idx="141">
                  <c:v>0.0075012384120019</c:v>
                </c:pt>
                <c:pt idx="142">
                  <c:v>0.0290791599353795</c:v>
                </c:pt>
                <c:pt idx="143">
                  <c:v>-0.0483243464609924</c:v>
                </c:pt>
                <c:pt idx="144">
                  <c:v>-0.00401635229147246</c:v>
                </c:pt>
                <c:pt idx="145">
                  <c:v>-0.00388852883992219</c:v>
                </c:pt>
                <c:pt idx="146">
                  <c:v>0.0103375984963492</c:v>
                </c:pt>
                <c:pt idx="147">
                  <c:v>0.0633228391528335</c:v>
                </c:pt>
                <c:pt idx="148">
                  <c:v>-0.0144001076643565</c:v>
                </c:pt>
                <c:pt idx="149">
                  <c:v>-0.0204820099679115</c:v>
                </c:pt>
                <c:pt idx="150">
                  <c:v>-0.0307381334076811</c:v>
                </c:pt>
                <c:pt idx="151">
                  <c:v>0.00618438084280149</c:v>
                </c:pt>
                <c:pt idx="152">
                  <c:v>0.00543167524299615</c:v>
                </c:pt>
                <c:pt idx="153">
                  <c:v>-0.00774808075063982</c:v>
                </c:pt>
                <c:pt idx="154">
                  <c:v>-0.0238555770470665</c:v>
                </c:pt>
                <c:pt idx="155">
                  <c:v>-0.011595479230882</c:v>
                </c:pt>
                <c:pt idx="156">
                  <c:v>0.00118800118800122</c:v>
                </c:pt>
                <c:pt idx="157">
                  <c:v>-0.0132749925838029</c:v>
                </c:pt>
                <c:pt idx="158">
                  <c:v>-0.00458474257797825</c:v>
                </c:pt>
              </c:numCache>
            </c:numRef>
          </c:val>
        </c:ser>
        <c:gapWidth val="150"/>
        <c:overlap val="0"/>
        <c:axId val="4733381"/>
        <c:axId val="33436857"/>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(Calc)'!$AG$3:$AG$500</c:f>
              <c:numCache>
                <c:formatCode>#,##0.00</c:formatCode>
                <c:ptCount val="498"/>
                <c:pt idx="0">
                  <c:v>111.84</c:v>
                </c:pt>
                <c:pt idx="1">
                  <c:v>111.132151898734</c:v>
                </c:pt>
                <c:pt idx="2">
                  <c:v>110.424303797468</c:v>
                </c:pt>
                <c:pt idx="3">
                  <c:v>109.716455696203</c:v>
                </c:pt>
                <c:pt idx="4">
                  <c:v>109.008607594937</c:v>
                </c:pt>
                <c:pt idx="5">
                  <c:v>108.300759493671</c:v>
                </c:pt>
                <c:pt idx="6">
                  <c:v>107.592911392405</c:v>
                </c:pt>
                <c:pt idx="7">
                  <c:v>106.885063291139</c:v>
                </c:pt>
                <c:pt idx="8">
                  <c:v>106.177215189873</c:v>
                </c:pt>
                <c:pt idx="9">
                  <c:v>105.469367088608</c:v>
                </c:pt>
                <c:pt idx="10">
                  <c:v>104.761518987342</c:v>
                </c:pt>
                <c:pt idx="11">
                  <c:v>104.053670886076</c:v>
                </c:pt>
                <c:pt idx="12">
                  <c:v>103.34582278481</c:v>
                </c:pt>
                <c:pt idx="13">
                  <c:v>102.637974683544</c:v>
                </c:pt>
                <c:pt idx="14">
                  <c:v>101.930126582278</c:v>
                </c:pt>
                <c:pt idx="15">
                  <c:v>101.222278481013</c:v>
                </c:pt>
                <c:pt idx="16">
                  <c:v>100.514430379747</c:v>
                </c:pt>
                <c:pt idx="17">
                  <c:v>99.806582278481</c:v>
                </c:pt>
                <c:pt idx="18">
                  <c:v>99.0987341772152</c:v>
                </c:pt>
                <c:pt idx="19">
                  <c:v>98.3908860759494</c:v>
                </c:pt>
                <c:pt idx="20">
                  <c:v>97.6830379746835</c:v>
                </c:pt>
                <c:pt idx="21">
                  <c:v>96.9751898734177</c:v>
                </c:pt>
                <c:pt idx="22">
                  <c:v>96.2673417721519</c:v>
                </c:pt>
                <c:pt idx="23">
                  <c:v>95.5594936708861</c:v>
                </c:pt>
                <c:pt idx="24">
                  <c:v>94.8516455696203</c:v>
                </c:pt>
                <c:pt idx="25">
                  <c:v>94.1437974683544</c:v>
                </c:pt>
                <c:pt idx="26">
                  <c:v>93.4359493670886</c:v>
                </c:pt>
                <c:pt idx="27">
                  <c:v>92.7281012658228</c:v>
                </c:pt>
                <c:pt idx="28">
                  <c:v>92.020253164557</c:v>
                </c:pt>
                <c:pt idx="29">
                  <c:v>91.3124050632911</c:v>
                </c:pt>
                <c:pt idx="30">
                  <c:v>90.6045569620253</c:v>
                </c:pt>
                <c:pt idx="31">
                  <c:v>89.8967088607595</c:v>
                </c:pt>
                <c:pt idx="32">
                  <c:v>89.1888607594937</c:v>
                </c:pt>
                <c:pt idx="33">
                  <c:v>88.4810126582279</c:v>
                </c:pt>
                <c:pt idx="34">
                  <c:v>87.773164556962</c:v>
                </c:pt>
                <c:pt idx="35">
                  <c:v>87.0653164556962</c:v>
                </c:pt>
                <c:pt idx="36">
                  <c:v>86.3574683544304</c:v>
                </c:pt>
                <c:pt idx="37">
                  <c:v>85.6496202531646</c:v>
                </c:pt>
                <c:pt idx="38">
                  <c:v>84.9417721518987</c:v>
                </c:pt>
                <c:pt idx="39">
                  <c:v>84.2339240506329</c:v>
                </c:pt>
                <c:pt idx="40">
                  <c:v>83.5260759493671</c:v>
                </c:pt>
                <c:pt idx="41">
                  <c:v>82.8182278481013</c:v>
                </c:pt>
                <c:pt idx="42">
                  <c:v>82.1103797468355</c:v>
                </c:pt>
                <c:pt idx="43">
                  <c:v>81.4025316455696</c:v>
                </c:pt>
                <c:pt idx="44">
                  <c:v>80.6946835443038</c:v>
                </c:pt>
                <c:pt idx="45">
                  <c:v>79.986835443038</c:v>
                </c:pt>
                <c:pt idx="46">
                  <c:v>79.2789873417722</c:v>
                </c:pt>
                <c:pt idx="47">
                  <c:v>78.5711392405063</c:v>
                </c:pt>
                <c:pt idx="48">
                  <c:v>77.8632911392405</c:v>
                </c:pt>
                <c:pt idx="49">
                  <c:v>77.1554430379747</c:v>
                </c:pt>
                <c:pt idx="50">
                  <c:v>76.4475949367089</c:v>
                </c:pt>
                <c:pt idx="51">
                  <c:v>75.739746835443</c:v>
                </c:pt>
                <c:pt idx="52">
                  <c:v>75.0318987341772</c:v>
                </c:pt>
                <c:pt idx="53">
                  <c:v>74.3240506329114</c:v>
                </c:pt>
                <c:pt idx="54">
                  <c:v>73.6162025316456</c:v>
                </c:pt>
                <c:pt idx="55">
                  <c:v>72.9083544303798</c:v>
                </c:pt>
                <c:pt idx="56">
                  <c:v>72.2005063291139</c:v>
                </c:pt>
                <c:pt idx="57">
                  <c:v>71.4926582278481</c:v>
                </c:pt>
                <c:pt idx="58">
                  <c:v>70.7848101265823</c:v>
                </c:pt>
                <c:pt idx="59">
                  <c:v>70.0769620253165</c:v>
                </c:pt>
                <c:pt idx="60">
                  <c:v>69.3691139240506</c:v>
                </c:pt>
                <c:pt idx="61">
                  <c:v>68.6612658227848</c:v>
                </c:pt>
                <c:pt idx="62">
                  <c:v>67.953417721519</c:v>
                </c:pt>
                <c:pt idx="63">
                  <c:v>67.2455696202532</c:v>
                </c:pt>
                <c:pt idx="64">
                  <c:v>66.5377215189874</c:v>
                </c:pt>
                <c:pt idx="65">
                  <c:v>65.8298734177215</c:v>
                </c:pt>
                <c:pt idx="66">
                  <c:v>65.1220253164557</c:v>
                </c:pt>
                <c:pt idx="67">
                  <c:v>64.4141772151899</c:v>
                </c:pt>
                <c:pt idx="68">
                  <c:v>63.7063291139241</c:v>
                </c:pt>
                <c:pt idx="69">
                  <c:v>62.9984810126582</c:v>
                </c:pt>
                <c:pt idx="70">
                  <c:v>62.2906329113924</c:v>
                </c:pt>
                <c:pt idx="71">
                  <c:v>61.5827848101266</c:v>
                </c:pt>
                <c:pt idx="72">
                  <c:v>60.8749367088608</c:v>
                </c:pt>
                <c:pt idx="73">
                  <c:v>60.1670886075949</c:v>
                </c:pt>
                <c:pt idx="74">
                  <c:v>59.4592405063291</c:v>
                </c:pt>
                <c:pt idx="75">
                  <c:v>58.7513924050633</c:v>
                </c:pt>
                <c:pt idx="76">
                  <c:v>58.0435443037975</c:v>
                </c:pt>
                <c:pt idx="77">
                  <c:v>57.3356962025317</c:v>
                </c:pt>
                <c:pt idx="78">
                  <c:v>56.6278481012658</c:v>
                </c:pt>
                <c:pt idx="79">
                  <c:v>55.92</c:v>
                </c:pt>
                <c:pt idx="80">
                  <c:v>55.2121518987342</c:v>
                </c:pt>
                <c:pt idx="81">
                  <c:v>54.5043037974684</c:v>
                </c:pt>
                <c:pt idx="82">
                  <c:v>53.7964556962025</c:v>
                </c:pt>
                <c:pt idx="83">
                  <c:v>53.0886075949367</c:v>
                </c:pt>
                <c:pt idx="84">
                  <c:v>52.3807594936709</c:v>
                </c:pt>
                <c:pt idx="85">
                  <c:v>51.6729113924051</c:v>
                </c:pt>
                <c:pt idx="86">
                  <c:v>50.9650632911392</c:v>
                </c:pt>
                <c:pt idx="87">
                  <c:v>50.2572151898734</c:v>
                </c:pt>
                <c:pt idx="88">
                  <c:v>49.5493670886076</c:v>
                </c:pt>
                <c:pt idx="89">
                  <c:v>48.8415189873418</c:v>
                </c:pt>
                <c:pt idx="90">
                  <c:v>48.133670886076</c:v>
                </c:pt>
                <c:pt idx="91">
                  <c:v>47.4258227848101</c:v>
                </c:pt>
                <c:pt idx="92">
                  <c:v>46.7179746835443</c:v>
                </c:pt>
                <c:pt idx="93">
                  <c:v>46.0101265822785</c:v>
                </c:pt>
                <c:pt idx="94">
                  <c:v>45.3022784810127</c:v>
                </c:pt>
                <c:pt idx="95">
                  <c:v>44.5944303797468</c:v>
                </c:pt>
                <c:pt idx="96">
                  <c:v>43.886582278481</c:v>
                </c:pt>
                <c:pt idx="97">
                  <c:v>43.1787341772152</c:v>
                </c:pt>
                <c:pt idx="98">
                  <c:v>42.4708860759494</c:v>
                </c:pt>
                <c:pt idx="99">
                  <c:v>41.7630379746835</c:v>
                </c:pt>
                <c:pt idx="100">
                  <c:v>41.0551898734177</c:v>
                </c:pt>
                <c:pt idx="101">
                  <c:v>40.3473417721519</c:v>
                </c:pt>
                <c:pt idx="102">
                  <c:v>39.6394936708861</c:v>
                </c:pt>
                <c:pt idx="103">
                  <c:v>38.9316455696203</c:v>
                </c:pt>
                <c:pt idx="104">
                  <c:v>38.2237974683544</c:v>
                </c:pt>
                <c:pt idx="105">
                  <c:v>37.5159493670886</c:v>
                </c:pt>
                <c:pt idx="106">
                  <c:v>36.8081012658228</c:v>
                </c:pt>
                <c:pt idx="107">
                  <c:v>36.100253164557</c:v>
                </c:pt>
                <c:pt idx="108">
                  <c:v>35.3924050632911</c:v>
                </c:pt>
                <c:pt idx="109">
                  <c:v>34.6845569620253</c:v>
                </c:pt>
                <c:pt idx="110">
                  <c:v>33.9767088607595</c:v>
                </c:pt>
                <c:pt idx="111">
                  <c:v>33.2688607594937</c:v>
                </c:pt>
                <c:pt idx="112">
                  <c:v>32.5610126582279</c:v>
                </c:pt>
                <c:pt idx="113">
                  <c:v>31.853164556962</c:v>
                </c:pt>
                <c:pt idx="114">
                  <c:v>31.1453164556962</c:v>
                </c:pt>
                <c:pt idx="115">
                  <c:v>30.4374683544304</c:v>
                </c:pt>
                <c:pt idx="116">
                  <c:v>29.7296202531646</c:v>
                </c:pt>
                <c:pt idx="117">
                  <c:v>29.0217721518987</c:v>
                </c:pt>
                <c:pt idx="118">
                  <c:v>28.3139240506329</c:v>
                </c:pt>
                <c:pt idx="119">
                  <c:v>27.6060759493671</c:v>
                </c:pt>
                <c:pt idx="120">
                  <c:v>26.8982278481013</c:v>
                </c:pt>
                <c:pt idx="121">
                  <c:v>26.1903797468354</c:v>
                </c:pt>
                <c:pt idx="122">
                  <c:v>25.4825316455696</c:v>
                </c:pt>
                <c:pt idx="123">
                  <c:v>24.7746835443038</c:v>
                </c:pt>
                <c:pt idx="124">
                  <c:v>24.066835443038</c:v>
                </c:pt>
                <c:pt idx="125">
                  <c:v>23.3589873417722</c:v>
                </c:pt>
                <c:pt idx="126">
                  <c:v>22.6511392405063</c:v>
                </c:pt>
                <c:pt idx="127">
                  <c:v>21.9432911392405</c:v>
                </c:pt>
                <c:pt idx="128">
                  <c:v>21.2354430379747</c:v>
                </c:pt>
                <c:pt idx="129">
                  <c:v>20.5275949367089</c:v>
                </c:pt>
                <c:pt idx="130">
                  <c:v>19.819746835443</c:v>
                </c:pt>
                <c:pt idx="131">
                  <c:v>19.1118987341772</c:v>
                </c:pt>
                <c:pt idx="132">
                  <c:v>18.4040506329114</c:v>
                </c:pt>
                <c:pt idx="133">
                  <c:v>17.6962025316456</c:v>
                </c:pt>
                <c:pt idx="134">
                  <c:v>16.9883544303797</c:v>
                </c:pt>
                <c:pt idx="135">
                  <c:v>16.2805063291139</c:v>
                </c:pt>
                <c:pt idx="136">
                  <c:v>15.5726582278481</c:v>
                </c:pt>
                <c:pt idx="137">
                  <c:v>14.8648101265823</c:v>
                </c:pt>
                <c:pt idx="138">
                  <c:v>14.1569620253165</c:v>
                </c:pt>
                <c:pt idx="139">
                  <c:v>13.4491139240506</c:v>
                </c:pt>
                <c:pt idx="140">
                  <c:v>12.7412658227848</c:v>
                </c:pt>
                <c:pt idx="141">
                  <c:v>12.033417721519</c:v>
                </c:pt>
                <c:pt idx="142">
                  <c:v>11.3255696202532</c:v>
                </c:pt>
                <c:pt idx="143">
                  <c:v>10.6177215189873</c:v>
                </c:pt>
                <c:pt idx="144">
                  <c:v>9.90987341772151</c:v>
                </c:pt>
                <c:pt idx="145">
                  <c:v>9.20202531645569</c:v>
                </c:pt>
                <c:pt idx="146">
                  <c:v>8.49417721518987</c:v>
                </c:pt>
                <c:pt idx="147">
                  <c:v>7.78632911392405</c:v>
                </c:pt>
                <c:pt idx="148">
                  <c:v>7.07848101265823</c:v>
                </c:pt>
                <c:pt idx="149">
                  <c:v>6.37063291139241</c:v>
                </c:pt>
                <c:pt idx="150">
                  <c:v>5.66278481012658</c:v>
                </c:pt>
                <c:pt idx="151">
                  <c:v>4.95493670886076</c:v>
                </c:pt>
                <c:pt idx="152">
                  <c:v>4.24708860759493</c:v>
                </c:pt>
                <c:pt idx="153">
                  <c:v>3.53924050632911</c:v>
                </c:pt>
                <c:pt idx="154">
                  <c:v>2.8313924050633</c:v>
                </c:pt>
                <c:pt idx="155">
                  <c:v>2.12354430379747</c:v>
                </c:pt>
                <c:pt idx="156">
                  <c:v>1.41569620253165</c:v>
                </c:pt>
                <c:pt idx="157">
                  <c:v>0.707848101265824</c:v>
                </c:pt>
                <c:pt idx="158">
                  <c:v>0</c:v>
                </c:pt>
                <c:pt idx="159">
                  <c:v>-0.707848101265824</c:v>
                </c:pt>
              </c:numCache>
            </c:numRef>
          </c:val>
          <c:smooth val="0"/>
        </c:ser>
        <c:hiLowLines>
          <c:spPr>
            <a:ln w="0">
              <a:noFill/>
            </a:ln>
          </c:spPr>
        </c:hiLowLines>
        <c:marker val="0"/>
        <c:axId val="88604412"/>
        <c:axId val="63853319"/>
      </c:lineChart>
      <c:dateAx>
        <c:axId val="473338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436857"/>
        <c:auto val="1"/>
        <c:lblOffset val="100"/>
        <c:baseTimeUnit val="days"/>
      </c:dateAx>
      <c:valAx>
        <c:axId val="3343685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33381"/>
        <c:crosses val="autoZero"/>
        <c:crossBetween val="between"/>
      </c:valAx>
      <c:dateAx>
        <c:axId val="8860441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853319"/>
        <c:auto val="1"/>
        <c:lblOffset val="100"/>
        <c:baseTimeUnit val="days"/>
      </c:dateAx>
      <c:valAx>
        <c:axId val="6385331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60441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(Calc)'!$M$3:$M$500</c:f>
              <c:numCache>
                <c:formatCode>0.0%</c:formatCode>
                <c:ptCount val="498"/>
                <c:pt idx="0">
                  <c:v>-0.0782778864970646</c:v>
                </c:pt>
                <c:pt idx="1">
                  <c:v>0.132342533616419</c:v>
                </c:pt>
                <c:pt idx="2">
                  <c:v>0.038125</c:v>
                </c:pt>
                <c:pt idx="3">
                  <c:v>0.0451535219747141</c:v>
                </c:pt>
                <c:pt idx="4">
                  <c:v>-0.0720046082949308</c:v>
                </c:pt>
                <c:pt idx="5">
                  <c:v>-0.0645561762880198</c:v>
                </c:pt>
                <c:pt idx="6">
                  <c:v>0.253483742534838</c:v>
                </c:pt>
                <c:pt idx="7">
                  <c:v>0.0412916887241928</c:v>
                </c:pt>
                <c:pt idx="8">
                  <c:v>0.0416878495170308</c:v>
                </c:pt>
                <c:pt idx="9">
                  <c:v>-0.0629575402635432</c:v>
                </c:pt>
                <c:pt idx="10">
                  <c:v>0.0557291666666666</c:v>
                </c:pt>
                <c:pt idx="11">
                  <c:v>-0.123334977799704</c:v>
                </c:pt>
                <c:pt idx="12">
                  <c:v>0.024198086662915</c:v>
                </c:pt>
                <c:pt idx="13">
                  <c:v>-0.0434065934065934</c:v>
                </c:pt>
                <c:pt idx="14">
                  <c:v>-0.0137851809304996</c:v>
                </c:pt>
                <c:pt idx="15">
                  <c:v>-0.0693069306930694</c:v>
                </c:pt>
                <c:pt idx="16">
                  <c:v>0.0488110137672091</c:v>
                </c:pt>
                <c:pt idx="17">
                  <c:v>0.00119331742243434</c:v>
                </c:pt>
                <c:pt idx="18">
                  <c:v>-0.0256257449344458</c:v>
                </c:pt>
                <c:pt idx="19">
                  <c:v>0.0409785932721711</c:v>
                </c:pt>
                <c:pt idx="20">
                  <c:v>0.432432432432432</c:v>
                </c:pt>
                <c:pt idx="21">
                  <c:v>0.00246103363412642</c:v>
                </c:pt>
                <c:pt idx="22">
                  <c:v>-0.0601472995090018</c:v>
                </c:pt>
                <c:pt idx="23">
                  <c:v>0.0853286895951242</c:v>
                </c:pt>
                <c:pt idx="24">
                  <c:v>0.0445246690734056</c:v>
                </c:pt>
                <c:pt idx="25">
                  <c:v>-0.097926267281106</c:v>
                </c:pt>
                <c:pt idx="26">
                  <c:v>0.029374201787995</c:v>
                </c:pt>
                <c:pt idx="27">
                  <c:v>-0.0483870967741935</c:v>
                </c:pt>
                <c:pt idx="28">
                  <c:v>-0.00217296827466318</c:v>
                </c:pt>
                <c:pt idx="29">
                  <c:v>-0.0126306620209059</c:v>
                </c:pt>
                <c:pt idx="30">
                  <c:v>-0.0970445522717248</c:v>
                </c:pt>
                <c:pt idx="31">
                  <c:v>0.100146555935515</c:v>
                </c:pt>
                <c:pt idx="32">
                  <c:v>0.0359680284191828</c:v>
                </c:pt>
                <c:pt idx="33">
                  <c:v>-0.11701671667381</c:v>
                </c:pt>
                <c:pt idx="34">
                  <c:v>0.0563106796116506</c:v>
                </c:pt>
                <c:pt idx="35">
                  <c:v>-0.0344669117647058</c:v>
                </c:pt>
                <c:pt idx="36">
                  <c:v>0.031889576392194</c:v>
                </c:pt>
                <c:pt idx="37">
                  <c:v>0.0751845018450184</c:v>
                </c:pt>
                <c:pt idx="38">
                  <c:v>0.0111540111540112</c:v>
                </c:pt>
                <c:pt idx="39">
                  <c:v>0.0114552397114978</c:v>
                </c:pt>
                <c:pt idx="40">
                  <c:v>0.0625</c:v>
                </c:pt>
                <c:pt idx="41">
                  <c:v>0.0750098697197001</c:v>
                </c:pt>
                <c:pt idx="42">
                  <c:v>0.0308483290488433</c:v>
                </c:pt>
                <c:pt idx="43">
                  <c:v>0.0181688635553972</c:v>
                </c:pt>
                <c:pt idx="44">
                  <c:v>-0.0489853044086773</c:v>
                </c:pt>
                <c:pt idx="45">
                  <c:v>-0.0897718910963945</c:v>
                </c:pt>
                <c:pt idx="46">
                  <c:v>0.21301535974131</c:v>
                </c:pt>
                <c:pt idx="47">
                  <c:v>0.0689770076641119</c:v>
                </c:pt>
                <c:pt idx="48">
                  <c:v>-0.00935162094763087</c:v>
                </c:pt>
                <c:pt idx="49">
                  <c:v>-0.0094398993077407</c:v>
                </c:pt>
                <c:pt idx="50">
                  <c:v>-0.0365311308767472</c:v>
                </c:pt>
                <c:pt idx="51">
                  <c:v>0.173425651170458</c:v>
                </c:pt>
                <c:pt idx="52">
                  <c:v>0.0452374262433268</c:v>
                </c:pt>
                <c:pt idx="53">
                  <c:v>-0.00967741935483868</c:v>
                </c:pt>
                <c:pt idx="54">
                  <c:v>0.0860477741585233</c:v>
                </c:pt>
                <c:pt idx="55">
                  <c:v>0.0874781304673831</c:v>
                </c:pt>
                <c:pt idx="56">
                  <c:v>-0.01241094001379</c:v>
                </c:pt>
                <c:pt idx="57">
                  <c:v>0.0439841750058181</c:v>
                </c:pt>
                <c:pt idx="58">
                  <c:v>-0.0655372269282211</c:v>
                </c:pt>
                <c:pt idx="59">
                  <c:v>0.392891221374046</c:v>
                </c:pt>
                <c:pt idx="60">
                  <c:v>0.126391505394759</c:v>
                </c:pt>
                <c:pt idx="61">
                  <c:v>-0.0215903907556637</c:v>
                </c:pt>
                <c:pt idx="62">
                  <c:v>0.0424242424242425</c:v>
                </c:pt>
                <c:pt idx="63">
                  <c:v>0.13804412641622</c:v>
                </c:pt>
                <c:pt idx="64">
                  <c:v>-0.00353680901231346</c:v>
                </c:pt>
                <c:pt idx="65">
                  <c:v>0.0588931247535165</c:v>
                </c:pt>
                <c:pt idx="66">
                  <c:v>-0.0182495344506518</c:v>
                </c:pt>
                <c:pt idx="67">
                  <c:v>0.0102427921092565</c:v>
                </c:pt>
                <c:pt idx="68">
                  <c:v>-0.1580923770184</c:v>
                </c:pt>
                <c:pt idx="69">
                  <c:v>0.0670532262860539</c:v>
                </c:pt>
                <c:pt idx="70">
                  <c:v>0.100459802145743</c:v>
                </c:pt>
                <c:pt idx="71">
                  <c:v>0.0444416307926057</c:v>
                </c:pt>
                <c:pt idx="72">
                  <c:v>0.343799248393745</c:v>
                </c:pt>
                <c:pt idx="73">
                  <c:v>0.0749661705006766</c:v>
                </c:pt>
                <c:pt idx="74">
                  <c:v>-0.149462907015777</c:v>
                </c:pt>
                <c:pt idx="75">
                  <c:v>-0.162111494819931</c:v>
                </c:pt>
                <c:pt idx="76">
                  <c:v>-0.000117757889778636</c:v>
                </c:pt>
                <c:pt idx="77">
                  <c:v>0.0156636438582027</c:v>
                </c:pt>
                <c:pt idx="78">
                  <c:v>0.0547309833024119</c:v>
                </c:pt>
                <c:pt idx="79">
                  <c:v>-0.0561785400175902</c:v>
                </c:pt>
                <c:pt idx="80">
                  <c:v>-0.137914967967385</c:v>
                </c:pt>
                <c:pt idx="81">
                  <c:v>0.196459937846237</c:v>
                </c:pt>
                <c:pt idx="82">
                  <c:v>0.0590626764539808</c:v>
                </c:pt>
                <c:pt idx="83">
                  <c:v>0.202601834079761</c:v>
                </c:pt>
                <c:pt idx="84">
                  <c:v>0.101968434119525</c:v>
                </c:pt>
                <c:pt idx="85">
                  <c:v>-0.0561635017701964</c:v>
                </c:pt>
                <c:pt idx="86">
                  <c:v>0.104177323103154</c:v>
                </c:pt>
                <c:pt idx="87">
                  <c:v>-0.0479462631253861</c:v>
                </c:pt>
                <c:pt idx="88">
                  <c:v>0.0686886708296164</c:v>
                </c:pt>
                <c:pt idx="89">
                  <c:v>-0.0308089239641828</c:v>
                </c:pt>
                <c:pt idx="90">
                  <c:v>0.0757907923582839</c:v>
                </c:pt>
                <c:pt idx="91">
                  <c:v>-0.000727802037845615</c:v>
                </c:pt>
                <c:pt idx="92">
                  <c:v>-0.0477785870356883</c:v>
                </c:pt>
                <c:pt idx="93">
                  <c:v>0.0276885421447148</c:v>
                </c:pt>
                <c:pt idx="94">
                  <c:v>0.0576064304852633</c:v>
                </c:pt>
                <c:pt idx="95">
                  <c:v>0.08036593947924</c:v>
                </c:pt>
                <c:pt idx="96">
                  <c:v>0.0343929129755081</c:v>
                </c:pt>
                <c:pt idx="97">
                  <c:v>-0.0285264483627204</c:v>
                </c:pt>
                <c:pt idx="98">
                  <c:v>0.211901212160498</c:v>
                </c:pt>
                <c:pt idx="99">
                  <c:v>-0.0523641420624734</c:v>
                </c:pt>
                <c:pt idx="100">
                  <c:v>-0.104024383360614</c:v>
                </c:pt>
                <c:pt idx="101">
                  <c:v>-0.0127882071311579</c:v>
                </c:pt>
                <c:pt idx="102">
                  <c:v>-0.0229723693446493</c:v>
                </c:pt>
                <c:pt idx="103">
                  <c:v>0.119652537391418</c:v>
                </c:pt>
                <c:pt idx="104">
                  <c:v>0.0639328005599953</c:v>
                </c:pt>
                <c:pt idx="105">
                  <c:v>-0.0264268874390043</c:v>
                </c:pt>
                <c:pt idx="106">
                  <c:v>-0.025342118601115</c:v>
                </c:pt>
                <c:pt idx="107">
                  <c:v>0.0136938810885769</c:v>
                </c:pt>
                <c:pt idx="108">
                  <c:v>0.0154468764249887</c:v>
                </c:pt>
                <c:pt idx="109">
                  <c:v>0.0363738422677518</c:v>
                </c:pt>
                <c:pt idx="110">
                  <c:v>0.0857932080376971</c:v>
                </c:pt>
                <c:pt idx="111">
                  <c:v>-0.112435775926573</c:v>
                </c:pt>
                <c:pt idx="112">
                  <c:v>-0.0220311358399371</c:v>
                </c:pt>
                <c:pt idx="113">
                  <c:v>-0.110108614447446</c:v>
                </c:pt>
                <c:pt idx="114">
                  <c:v>0.0878269292864062</c:v>
                </c:pt>
                <c:pt idx="115">
                  <c:v>0.0790145443751855</c:v>
                </c:pt>
                <c:pt idx="116">
                  <c:v>0.00995818661971826</c:v>
                </c:pt>
                <c:pt idx="117">
                  <c:v>0.0534401045922537</c:v>
                </c:pt>
                <c:pt idx="118">
                  <c:v>-0.0241493432619712</c:v>
                </c:pt>
                <c:pt idx="119">
                  <c:v>-0.110486990620529</c:v>
                </c:pt>
                <c:pt idx="120">
                  <c:v>0.0573692362683189</c:v>
                </c:pt>
                <c:pt idx="121">
                  <c:v>-0.0367908051157811</c:v>
                </c:pt>
                <c:pt idx="122">
                  <c:v>-0.0079550772110436</c:v>
                </c:pt>
                <c:pt idx="123">
                  <c:v>-0.135672169811321</c:v>
                </c:pt>
                <c:pt idx="124">
                  <c:v>-0.0729244832526093</c:v>
                </c:pt>
                <c:pt idx="125">
                  <c:v>-0.0330389992641649</c:v>
                </c:pt>
                <c:pt idx="126">
                  <c:v>0.0291454227227761</c:v>
                </c:pt>
                <c:pt idx="127">
                  <c:v>0.014418811002662</c:v>
                </c:pt>
                <c:pt idx="128">
                  <c:v>0.145564545520811</c:v>
                </c:pt>
                <c:pt idx="129">
                  <c:v>-0.0395138712140495</c:v>
                </c:pt>
                <c:pt idx="130">
                  <c:v>-0.00178867174561104</c:v>
                </c:pt>
                <c:pt idx="131">
                  <c:v>-0.0505707459516858</c:v>
                </c:pt>
                <c:pt idx="132">
                  <c:v>0.0377464001118413</c:v>
                </c:pt>
                <c:pt idx="133">
                  <c:v>-0.13741075037047</c:v>
                </c:pt>
                <c:pt idx="134">
                  <c:v>0.143136029985944</c:v>
                </c:pt>
                <c:pt idx="135">
                  <c:v>-0.0225425233964067</c:v>
                </c:pt>
                <c:pt idx="136">
                  <c:v>0.00684883639667344</c:v>
                </c:pt>
                <c:pt idx="137">
                  <c:v>-0.0435205108627749</c:v>
                </c:pt>
                <c:pt idx="138">
                  <c:v>-0.0276487663280116</c:v>
                </c:pt>
                <c:pt idx="139">
                  <c:v>0.0215687737890886</c:v>
                </c:pt>
                <c:pt idx="140">
                  <c:v>0.143629456458211</c:v>
                </c:pt>
                <c:pt idx="141">
                  <c:v>-0.134214897150888</c:v>
                </c:pt>
                <c:pt idx="142">
                  <c:v>-0.0556334390909762</c:v>
                </c:pt>
                <c:pt idx="143">
                  <c:v>0.00375029299163998</c:v>
                </c:pt>
                <c:pt idx="144">
                  <c:v>-0.120962092317273</c:v>
                </c:pt>
                <c:pt idx="145">
                  <c:v>0.144957053041707</c:v>
                </c:pt>
                <c:pt idx="146">
                  <c:v>-0.0194122196442382</c:v>
                </c:pt>
                <c:pt idx="147">
                  <c:v>0.0440886505244893</c:v>
                </c:pt>
                <c:pt idx="148">
                  <c:v>-0.0714609457621996</c:v>
                </c:pt>
                <c:pt idx="149">
                  <c:v>0.00113895216400906</c:v>
                </c:pt>
                <c:pt idx="150">
                  <c:v>0.397773443848529</c:v>
                </c:pt>
                <c:pt idx="151">
                  <c:v>0.0118016394395675</c:v>
                </c:pt>
                <c:pt idx="152">
                  <c:v>0.0339002528154448</c:v>
                </c:pt>
                <c:pt idx="153">
                  <c:v>0.0352895409580971</c:v>
                </c:pt>
                <c:pt idx="154">
                  <c:v>-0.0642009769713886</c:v>
                </c:pt>
                <c:pt idx="155">
                  <c:v>-0.0407273561635979</c:v>
                </c:pt>
                <c:pt idx="156">
                  <c:v>0.0622495963642886</c:v>
                </c:pt>
                <c:pt idx="157">
                  <c:v>0.0677212339563162</c:v>
                </c:pt>
                <c:pt idx="158">
                  <c:v>-0.0115463700110718</c:v>
                </c:pt>
              </c:numCache>
            </c:numRef>
          </c:val>
        </c:ser>
        <c:gapWidth val="150"/>
        <c:overlap val="0"/>
        <c:axId val="78116096"/>
        <c:axId val="76829721"/>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(Calc)'!$AH$3:$AH$500</c:f>
              <c:numCache>
                <c:formatCode>#,##0.00</c:formatCode>
                <c:ptCount val="498"/>
                <c:pt idx="0">
                  <c:v>15.33</c:v>
                </c:pt>
                <c:pt idx="1">
                  <c:v>15.2329746835443</c:v>
                </c:pt>
                <c:pt idx="2">
                  <c:v>15.1359493670886</c:v>
                </c:pt>
                <c:pt idx="3">
                  <c:v>15.0389240506329</c:v>
                </c:pt>
                <c:pt idx="4">
                  <c:v>14.9418987341772</c:v>
                </c:pt>
                <c:pt idx="5">
                  <c:v>14.8448734177215</c:v>
                </c:pt>
                <c:pt idx="6">
                  <c:v>14.7478481012658</c:v>
                </c:pt>
                <c:pt idx="7">
                  <c:v>14.6508227848101</c:v>
                </c:pt>
                <c:pt idx="8">
                  <c:v>14.5537974683544</c:v>
                </c:pt>
                <c:pt idx="9">
                  <c:v>14.4567721518987</c:v>
                </c:pt>
                <c:pt idx="10">
                  <c:v>14.359746835443</c:v>
                </c:pt>
                <c:pt idx="11">
                  <c:v>14.2627215189873</c:v>
                </c:pt>
                <c:pt idx="12">
                  <c:v>14.1656962025316</c:v>
                </c:pt>
                <c:pt idx="13">
                  <c:v>14.068670886076</c:v>
                </c:pt>
                <c:pt idx="14">
                  <c:v>13.9716455696203</c:v>
                </c:pt>
                <c:pt idx="15">
                  <c:v>13.8746202531646</c:v>
                </c:pt>
                <c:pt idx="16">
                  <c:v>13.7775949367089</c:v>
                </c:pt>
                <c:pt idx="17">
                  <c:v>13.6805696202532</c:v>
                </c:pt>
                <c:pt idx="18">
                  <c:v>13.5835443037975</c:v>
                </c:pt>
                <c:pt idx="19">
                  <c:v>13.4865189873418</c:v>
                </c:pt>
                <c:pt idx="20">
                  <c:v>13.3894936708861</c:v>
                </c:pt>
                <c:pt idx="21">
                  <c:v>13.2924683544304</c:v>
                </c:pt>
                <c:pt idx="22">
                  <c:v>13.1954430379747</c:v>
                </c:pt>
                <c:pt idx="23">
                  <c:v>13.098417721519</c:v>
                </c:pt>
                <c:pt idx="24">
                  <c:v>13.0013924050633</c:v>
                </c:pt>
                <c:pt idx="25">
                  <c:v>12.9043670886076</c:v>
                </c:pt>
                <c:pt idx="26">
                  <c:v>12.8073417721519</c:v>
                </c:pt>
                <c:pt idx="27">
                  <c:v>12.7103164556962</c:v>
                </c:pt>
                <c:pt idx="28">
                  <c:v>12.6132911392405</c:v>
                </c:pt>
                <c:pt idx="29">
                  <c:v>12.5162658227848</c:v>
                </c:pt>
                <c:pt idx="30">
                  <c:v>12.4192405063291</c:v>
                </c:pt>
                <c:pt idx="31">
                  <c:v>12.3222151898734</c:v>
                </c:pt>
                <c:pt idx="32">
                  <c:v>12.2251898734177</c:v>
                </c:pt>
                <c:pt idx="33">
                  <c:v>12.128164556962</c:v>
                </c:pt>
                <c:pt idx="34">
                  <c:v>12.0311392405063</c:v>
                </c:pt>
                <c:pt idx="35">
                  <c:v>11.9341139240506</c:v>
                </c:pt>
                <c:pt idx="36">
                  <c:v>11.8370886075949</c:v>
                </c:pt>
                <c:pt idx="37">
                  <c:v>11.7400632911392</c:v>
                </c:pt>
                <c:pt idx="38">
                  <c:v>11.6430379746835</c:v>
                </c:pt>
                <c:pt idx="39">
                  <c:v>11.5460126582278</c:v>
                </c:pt>
                <c:pt idx="40">
                  <c:v>11.4489873417722</c:v>
                </c:pt>
                <c:pt idx="41">
                  <c:v>11.3519620253165</c:v>
                </c:pt>
                <c:pt idx="42">
                  <c:v>11.2549367088608</c:v>
                </c:pt>
                <c:pt idx="43">
                  <c:v>11.1579113924051</c:v>
                </c:pt>
                <c:pt idx="44">
                  <c:v>11.0608860759494</c:v>
                </c:pt>
                <c:pt idx="45">
                  <c:v>10.9638607594937</c:v>
                </c:pt>
                <c:pt idx="46">
                  <c:v>10.866835443038</c:v>
                </c:pt>
                <c:pt idx="47">
                  <c:v>10.7698101265823</c:v>
                </c:pt>
                <c:pt idx="48">
                  <c:v>10.6727848101266</c:v>
                </c:pt>
                <c:pt idx="49">
                  <c:v>10.5757594936709</c:v>
                </c:pt>
                <c:pt idx="50">
                  <c:v>10.4787341772152</c:v>
                </c:pt>
                <c:pt idx="51">
                  <c:v>10.3817088607595</c:v>
                </c:pt>
                <c:pt idx="52">
                  <c:v>10.2846835443038</c:v>
                </c:pt>
                <c:pt idx="53">
                  <c:v>10.1876582278481</c:v>
                </c:pt>
                <c:pt idx="54">
                  <c:v>10.0906329113924</c:v>
                </c:pt>
                <c:pt idx="55">
                  <c:v>9.99360759493671</c:v>
                </c:pt>
                <c:pt idx="56">
                  <c:v>9.89658227848101</c:v>
                </c:pt>
                <c:pt idx="57">
                  <c:v>9.79955696202532</c:v>
                </c:pt>
                <c:pt idx="58">
                  <c:v>9.70253164556962</c:v>
                </c:pt>
                <c:pt idx="59">
                  <c:v>9.60550632911392</c:v>
                </c:pt>
                <c:pt idx="60">
                  <c:v>9.50848101265823</c:v>
                </c:pt>
                <c:pt idx="61">
                  <c:v>9.41145569620253</c:v>
                </c:pt>
                <c:pt idx="62">
                  <c:v>9.31443037974684</c:v>
                </c:pt>
                <c:pt idx="63">
                  <c:v>9.21740506329114</c:v>
                </c:pt>
                <c:pt idx="64">
                  <c:v>9.12037974683544</c:v>
                </c:pt>
                <c:pt idx="65">
                  <c:v>9.02335443037975</c:v>
                </c:pt>
                <c:pt idx="66">
                  <c:v>8.92632911392405</c:v>
                </c:pt>
                <c:pt idx="67">
                  <c:v>8.82930379746836</c:v>
                </c:pt>
                <c:pt idx="68">
                  <c:v>8.73227848101266</c:v>
                </c:pt>
                <c:pt idx="69">
                  <c:v>8.63525316455696</c:v>
                </c:pt>
                <c:pt idx="70">
                  <c:v>8.53822784810127</c:v>
                </c:pt>
                <c:pt idx="71">
                  <c:v>8.44120253164557</c:v>
                </c:pt>
                <c:pt idx="72">
                  <c:v>8.34417721518987</c:v>
                </c:pt>
                <c:pt idx="73">
                  <c:v>8.24715189873418</c:v>
                </c:pt>
                <c:pt idx="74">
                  <c:v>8.15012658227848</c:v>
                </c:pt>
                <c:pt idx="75">
                  <c:v>8.05310126582279</c:v>
                </c:pt>
                <c:pt idx="76">
                  <c:v>7.95607594936709</c:v>
                </c:pt>
                <c:pt idx="77">
                  <c:v>7.85905063291139</c:v>
                </c:pt>
                <c:pt idx="78">
                  <c:v>7.7620253164557</c:v>
                </c:pt>
                <c:pt idx="79">
                  <c:v>7.665</c:v>
                </c:pt>
                <c:pt idx="80">
                  <c:v>7.5679746835443</c:v>
                </c:pt>
                <c:pt idx="81">
                  <c:v>7.47094936708861</c:v>
                </c:pt>
                <c:pt idx="82">
                  <c:v>7.37392405063291</c:v>
                </c:pt>
                <c:pt idx="83">
                  <c:v>7.27689873417721</c:v>
                </c:pt>
                <c:pt idx="84">
                  <c:v>7.17987341772152</c:v>
                </c:pt>
                <c:pt idx="85">
                  <c:v>7.08284810126582</c:v>
                </c:pt>
                <c:pt idx="86">
                  <c:v>6.98582278481013</c:v>
                </c:pt>
                <c:pt idx="87">
                  <c:v>6.88879746835443</c:v>
                </c:pt>
                <c:pt idx="88">
                  <c:v>6.79177215189874</c:v>
                </c:pt>
                <c:pt idx="89">
                  <c:v>6.69474683544304</c:v>
                </c:pt>
                <c:pt idx="90">
                  <c:v>6.59772151898734</c:v>
                </c:pt>
                <c:pt idx="91">
                  <c:v>6.50069620253165</c:v>
                </c:pt>
                <c:pt idx="92">
                  <c:v>6.40367088607595</c:v>
                </c:pt>
                <c:pt idx="93">
                  <c:v>6.30664556962025</c:v>
                </c:pt>
                <c:pt idx="94">
                  <c:v>6.20962025316456</c:v>
                </c:pt>
                <c:pt idx="95">
                  <c:v>6.11259493670886</c:v>
                </c:pt>
                <c:pt idx="96">
                  <c:v>6.01556962025316</c:v>
                </c:pt>
                <c:pt idx="97">
                  <c:v>5.91854430379747</c:v>
                </c:pt>
                <c:pt idx="98">
                  <c:v>5.82151898734177</c:v>
                </c:pt>
                <c:pt idx="99">
                  <c:v>5.72449367088608</c:v>
                </c:pt>
                <c:pt idx="100">
                  <c:v>5.62746835443038</c:v>
                </c:pt>
                <c:pt idx="101">
                  <c:v>5.53044303797469</c:v>
                </c:pt>
                <c:pt idx="102">
                  <c:v>5.43341772151899</c:v>
                </c:pt>
                <c:pt idx="103">
                  <c:v>5.33639240506329</c:v>
                </c:pt>
                <c:pt idx="104">
                  <c:v>5.2393670886076</c:v>
                </c:pt>
                <c:pt idx="105">
                  <c:v>5.1423417721519</c:v>
                </c:pt>
                <c:pt idx="106">
                  <c:v>5.0453164556962</c:v>
                </c:pt>
                <c:pt idx="107">
                  <c:v>4.94829113924051</c:v>
                </c:pt>
                <c:pt idx="108">
                  <c:v>4.85126582278481</c:v>
                </c:pt>
                <c:pt idx="109">
                  <c:v>4.75424050632911</c:v>
                </c:pt>
                <c:pt idx="110">
                  <c:v>4.65721518987342</c:v>
                </c:pt>
                <c:pt idx="111">
                  <c:v>4.56018987341772</c:v>
                </c:pt>
                <c:pt idx="112">
                  <c:v>4.46316455696203</c:v>
                </c:pt>
                <c:pt idx="113">
                  <c:v>4.36613924050633</c:v>
                </c:pt>
                <c:pt idx="114">
                  <c:v>4.26911392405063</c:v>
                </c:pt>
                <c:pt idx="115">
                  <c:v>4.17208860759494</c:v>
                </c:pt>
                <c:pt idx="116">
                  <c:v>4.07506329113924</c:v>
                </c:pt>
                <c:pt idx="117">
                  <c:v>3.97803797468355</c:v>
                </c:pt>
                <c:pt idx="118">
                  <c:v>3.88101265822785</c:v>
                </c:pt>
                <c:pt idx="119">
                  <c:v>3.78398734177215</c:v>
                </c:pt>
                <c:pt idx="120">
                  <c:v>3.68696202531646</c:v>
                </c:pt>
                <c:pt idx="121">
                  <c:v>3.58993670886076</c:v>
                </c:pt>
                <c:pt idx="122">
                  <c:v>3.49291139240506</c:v>
                </c:pt>
                <c:pt idx="123">
                  <c:v>3.39588607594937</c:v>
                </c:pt>
                <c:pt idx="124">
                  <c:v>3.29886075949367</c:v>
                </c:pt>
                <c:pt idx="125">
                  <c:v>3.20183544303798</c:v>
                </c:pt>
                <c:pt idx="126">
                  <c:v>3.10481012658228</c:v>
                </c:pt>
                <c:pt idx="127">
                  <c:v>3.00778481012658</c:v>
                </c:pt>
                <c:pt idx="128">
                  <c:v>2.91075949367089</c:v>
                </c:pt>
                <c:pt idx="129">
                  <c:v>2.81373417721519</c:v>
                </c:pt>
                <c:pt idx="130">
                  <c:v>2.71670886075949</c:v>
                </c:pt>
                <c:pt idx="131">
                  <c:v>2.6196835443038</c:v>
                </c:pt>
                <c:pt idx="132">
                  <c:v>2.5226582278481</c:v>
                </c:pt>
                <c:pt idx="133">
                  <c:v>2.42563291139241</c:v>
                </c:pt>
                <c:pt idx="134">
                  <c:v>2.32860759493671</c:v>
                </c:pt>
                <c:pt idx="135">
                  <c:v>2.23158227848101</c:v>
                </c:pt>
                <c:pt idx="136">
                  <c:v>2.13455696202532</c:v>
                </c:pt>
                <c:pt idx="137">
                  <c:v>2.03753164556962</c:v>
                </c:pt>
                <c:pt idx="138">
                  <c:v>1.94050632911392</c:v>
                </c:pt>
                <c:pt idx="139">
                  <c:v>1.84348101265823</c:v>
                </c:pt>
                <c:pt idx="140">
                  <c:v>1.74645569620253</c:v>
                </c:pt>
                <c:pt idx="141">
                  <c:v>1.64943037974683</c:v>
                </c:pt>
                <c:pt idx="142">
                  <c:v>1.55240506329114</c:v>
                </c:pt>
                <c:pt idx="143">
                  <c:v>1.45537974683544</c:v>
                </c:pt>
                <c:pt idx="144">
                  <c:v>1.35835443037975</c:v>
                </c:pt>
                <c:pt idx="145">
                  <c:v>1.26132911392405</c:v>
                </c:pt>
                <c:pt idx="146">
                  <c:v>1.16430379746835</c:v>
                </c:pt>
                <c:pt idx="147">
                  <c:v>1.06727848101266</c:v>
                </c:pt>
                <c:pt idx="148">
                  <c:v>0.970253164556961</c:v>
                </c:pt>
                <c:pt idx="149">
                  <c:v>0.873227848101266</c:v>
                </c:pt>
                <c:pt idx="150">
                  <c:v>0.77620253164557</c:v>
                </c:pt>
                <c:pt idx="151">
                  <c:v>0.679177215189874</c:v>
                </c:pt>
                <c:pt idx="152">
                  <c:v>0.582151898734178</c:v>
                </c:pt>
                <c:pt idx="153">
                  <c:v>0.485126582278479</c:v>
                </c:pt>
                <c:pt idx="154">
                  <c:v>0.388101265822783</c:v>
                </c:pt>
                <c:pt idx="155">
                  <c:v>0.291075949367087</c:v>
                </c:pt>
                <c:pt idx="156">
                  <c:v>0.194050632911392</c:v>
                </c:pt>
                <c:pt idx="157">
                  <c:v>0.0970253164556958</c:v>
                </c:pt>
                <c:pt idx="158">
                  <c:v>0</c:v>
                </c:pt>
                <c:pt idx="159">
                  <c:v>-0.097025316455694</c:v>
                </c:pt>
              </c:numCache>
            </c:numRef>
          </c:val>
          <c:smooth val="0"/>
        </c:ser>
        <c:hiLowLines>
          <c:spPr>
            <a:ln w="0">
              <a:noFill/>
            </a:ln>
          </c:spPr>
        </c:hiLowLines>
        <c:marker val="0"/>
        <c:axId val="83073886"/>
        <c:axId val="43905157"/>
      </c:lineChart>
      <c:dateAx>
        <c:axId val="7811609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829721"/>
        <c:auto val="1"/>
        <c:lblOffset val="100"/>
        <c:baseTimeUnit val="days"/>
      </c:dateAx>
      <c:valAx>
        <c:axId val="7682972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116096"/>
        <c:crosses val="autoZero"/>
        <c:crossBetween val="between"/>
      </c:valAx>
      <c:dateAx>
        <c:axId val="8307388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905157"/>
        <c:auto val="1"/>
        <c:lblOffset val="100"/>
        <c:baseTimeUnit val="days"/>
      </c:dateAx>
      <c:valAx>
        <c:axId val="4390515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07388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SCHD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(Calc)'!$N$3:$N$500</c:f>
              <c:numCache>
                <c:formatCode>0.0%</c:formatCode>
                <c:ptCount val="498"/>
                <c:pt idx="0">
                  <c:v>-0.0229357798165137</c:v>
                </c:pt>
                <c:pt idx="1">
                  <c:v>-0.00751173708920183</c:v>
                </c:pt>
                <c:pt idx="2">
                  <c:v>-0.0160832544938505</c:v>
                </c:pt>
                <c:pt idx="3">
                  <c:v>0.0100961538461539</c:v>
                </c:pt>
                <c:pt idx="4">
                  <c:v>-0.0147548786292243</c:v>
                </c:pt>
                <c:pt idx="5">
                  <c:v>-0.0342995169082126</c:v>
                </c:pt>
                <c:pt idx="6">
                  <c:v>0.0500250125062531</c:v>
                </c:pt>
                <c:pt idx="7">
                  <c:v>-0.0114340161981895</c:v>
                </c:pt>
                <c:pt idx="8">
                  <c:v>0.0240963855421688</c:v>
                </c:pt>
                <c:pt idx="9">
                  <c:v>0.00941176470588223</c:v>
                </c:pt>
                <c:pt idx="10">
                  <c:v>0.0186480186480187</c:v>
                </c:pt>
                <c:pt idx="11">
                  <c:v>0.0018306636155605</c:v>
                </c:pt>
                <c:pt idx="12">
                  <c:v>0.0402010050251256</c:v>
                </c:pt>
                <c:pt idx="13">
                  <c:v>0.00527009222661401</c:v>
                </c:pt>
                <c:pt idx="14">
                  <c:v>0.00393184796854529</c:v>
                </c:pt>
                <c:pt idx="15">
                  <c:v>0.00304612706701479</c:v>
                </c:pt>
                <c:pt idx="16">
                  <c:v>-0.00130151843817794</c:v>
                </c:pt>
                <c:pt idx="17">
                  <c:v>0.00434404865334503</c:v>
                </c:pt>
                <c:pt idx="18">
                  <c:v>0.00562283737024227</c:v>
                </c:pt>
                <c:pt idx="19">
                  <c:v>-0.000430107526881773</c:v>
                </c:pt>
                <c:pt idx="20">
                  <c:v>-0.00258175559380369</c:v>
                </c:pt>
                <c:pt idx="21">
                  <c:v>0.002588438308887</c:v>
                </c:pt>
                <c:pt idx="22">
                  <c:v>0.0116179001721173</c:v>
                </c:pt>
                <c:pt idx="23">
                  <c:v>0.00340280731603571</c:v>
                </c:pt>
                <c:pt idx="24">
                  <c:v>0.00339126748622309</c:v>
                </c:pt>
                <c:pt idx="25">
                  <c:v>0.00168990283058723</c:v>
                </c:pt>
                <c:pt idx="26">
                  <c:v>0.0185575706452972</c:v>
                </c:pt>
                <c:pt idx="27">
                  <c:v>0.0157349896480332</c:v>
                </c:pt>
                <c:pt idx="28">
                  <c:v>-0.0203832042397065</c:v>
                </c:pt>
                <c:pt idx="29">
                  <c:v>-0.0278818143986684</c:v>
                </c:pt>
                <c:pt idx="30">
                  <c:v>-0.00171232876712324</c:v>
                </c:pt>
                <c:pt idx="31">
                  <c:v>0.010720411663808</c:v>
                </c:pt>
                <c:pt idx="32">
                  <c:v>0.0063640220619432</c:v>
                </c:pt>
                <c:pt idx="33">
                  <c:v>0.0168634064080946</c:v>
                </c:pt>
                <c:pt idx="34">
                  <c:v>0.00995024875621886</c:v>
                </c:pt>
                <c:pt idx="35">
                  <c:v>-0.024630541871921</c:v>
                </c:pt>
                <c:pt idx="36">
                  <c:v>0.00589225589225584</c:v>
                </c:pt>
                <c:pt idx="37">
                  <c:v>-0.00878661087866095</c:v>
                </c:pt>
                <c:pt idx="38">
                  <c:v>-0.0139299282397637</c:v>
                </c:pt>
                <c:pt idx="39">
                  <c:v>0.0171232876712331</c:v>
                </c:pt>
                <c:pt idx="40">
                  <c:v>0.00589225589225584</c:v>
                </c:pt>
                <c:pt idx="41">
                  <c:v>-0.00920502092050202</c:v>
                </c:pt>
                <c:pt idx="42">
                  <c:v>0.0337837837837838</c:v>
                </c:pt>
                <c:pt idx="43">
                  <c:v>0.0183823529411764</c:v>
                </c:pt>
                <c:pt idx="44">
                  <c:v>0.0168471720818293</c:v>
                </c:pt>
                <c:pt idx="45">
                  <c:v>-0.0201183431952663</c:v>
                </c:pt>
                <c:pt idx="46">
                  <c:v>-0.00805152979066015</c:v>
                </c:pt>
                <c:pt idx="47">
                  <c:v>0.0227272727272727</c:v>
                </c:pt>
                <c:pt idx="48">
                  <c:v>0.0186507936507938</c:v>
                </c:pt>
                <c:pt idx="49">
                  <c:v>0.0124659135177247</c:v>
                </c:pt>
                <c:pt idx="50">
                  <c:v>-0.0300115429011157</c:v>
                </c:pt>
                <c:pt idx="51">
                  <c:v>0.0166600555335183</c:v>
                </c:pt>
                <c:pt idx="52">
                  <c:v>0.0132657042528288</c:v>
                </c:pt>
                <c:pt idx="53">
                  <c:v>0.00616095494801705</c:v>
                </c:pt>
                <c:pt idx="54">
                  <c:v>0.00497512437810954</c:v>
                </c:pt>
                <c:pt idx="55">
                  <c:v>0.0114242193450114</c:v>
                </c:pt>
                <c:pt idx="56">
                  <c:v>0.0094126506024097</c:v>
                </c:pt>
                <c:pt idx="57">
                  <c:v>-0.0231256993659081</c:v>
                </c:pt>
                <c:pt idx="58">
                  <c:v>-0.00152730049637273</c:v>
                </c:pt>
                <c:pt idx="59">
                  <c:v>0.0347992351816444</c:v>
                </c:pt>
                <c:pt idx="60">
                  <c:v>-0.0155210643015521</c:v>
                </c:pt>
                <c:pt idx="61">
                  <c:v>0.0251501501501501</c:v>
                </c:pt>
                <c:pt idx="62">
                  <c:v>0.00622482607103625</c:v>
                </c:pt>
                <c:pt idx="63">
                  <c:v>-0.0240174672489083</c:v>
                </c:pt>
                <c:pt idx="64">
                  <c:v>-0.0149142431021625</c:v>
                </c:pt>
                <c:pt idx="65">
                  <c:v>-0.0299015897047692</c:v>
                </c:pt>
                <c:pt idx="66">
                  <c:v>0.00663285212641451</c:v>
                </c:pt>
                <c:pt idx="67">
                  <c:v>-0.00116279069767444</c:v>
                </c:pt>
                <c:pt idx="68">
                  <c:v>-0.0155219247186651</c:v>
                </c:pt>
                <c:pt idx="69">
                  <c:v>0.0362633031139139</c:v>
                </c:pt>
                <c:pt idx="70">
                  <c:v>0.00266260935717</c:v>
                </c:pt>
                <c:pt idx="71">
                  <c:v>-0.00834597875569043</c:v>
                </c:pt>
                <c:pt idx="72">
                  <c:v>-0.009946442234124</c:v>
                </c:pt>
                <c:pt idx="73">
                  <c:v>0.00850077279752703</c:v>
                </c:pt>
                <c:pt idx="74">
                  <c:v>0.0149425287356322</c:v>
                </c:pt>
                <c:pt idx="75">
                  <c:v>0.0117025292563233</c:v>
                </c:pt>
                <c:pt idx="76">
                  <c:v>-0.00261194029850742</c:v>
                </c:pt>
                <c:pt idx="77">
                  <c:v>-0.0288065843621399</c:v>
                </c:pt>
                <c:pt idx="78">
                  <c:v>0.00423728813559321</c:v>
                </c:pt>
                <c:pt idx="79">
                  <c:v>0.00268507863444567</c:v>
                </c:pt>
                <c:pt idx="80">
                  <c:v>-0.0833970925784239</c:v>
                </c:pt>
                <c:pt idx="81">
                  <c:v>0.000834724540901499</c:v>
                </c:pt>
                <c:pt idx="82">
                  <c:v>0.00458715596330284</c:v>
                </c:pt>
                <c:pt idx="83">
                  <c:v>0.00996264009962644</c:v>
                </c:pt>
                <c:pt idx="84">
                  <c:v>0.0152075626798192</c:v>
                </c:pt>
                <c:pt idx="85">
                  <c:v>-0.0129554655870445</c:v>
                </c:pt>
                <c:pt idx="86">
                  <c:v>0.0340442986054144</c:v>
                </c:pt>
                <c:pt idx="87">
                  <c:v>-0.0269734232447442</c:v>
                </c:pt>
                <c:pt idx="88">
                  <c:v>0.0110069302894416</c:v>
                </c:pt>
                <c:pt idx="89">
                  <c:v>0.0141129032258063</c:v>
                </c:pt>
                <c:pt idx="90">
                  <c:v>0.0135188866799205</c:v>
                </c:pt>
                <c:pt idx="91">
                  <c:v>-0.00745390349156527</c:v>
                </c:pt>
                <c:pt idx="92">
                  <c:v>-0.00197628458498023</c:v>
                </c:pt>
                <c:pt idx="93">
                  <c:v>0.0364356435643565</c:v>
                </c:pt>
                <c:pt idx="94">
                  <c:v>-0.000764233855559904</c:v>
                </c:pt>
                <c:pt idx="95">
                  <c:v>-0.0110898661567878</c:v>
                </c:pt>
                <c:pt idx="96">
                  <c:v>0.0108275328692962</c:v>
                </c:pt>
                <c:pt idx="97">
                  <c:v>-0.0344299923488907</c:v>
                </c:pt>
                <c:pt idx="98">
                  <c:v>0.0190174326465928</c:v>
                </c:pt>
                <c:pt idx="99">
                  <c:v>0.0167185069984448</c:v>
                </c:pt>
                <c:pt idx="100">
                  <c:v>0.0229445506692161</c:v>
                </c:pt>
                <c:pt idx="101">
                  <c:v>-0.00112149532710282</c:v>
                </c:pt>
                <c:pt idx="102">
                  <c:v>-0.0101047904191617</c:v>
                </c:pt>
                <c:pt idx="103">
                  <c:v>-0.00567107750472584</c:v>
                </c:pt>
                <c:pt idx="104">
                  <c:v>-0.00570342205323204</c:v>
                </c:pt>
                <c:pt idx="105">
                  <c:v>0.00535372848948379</c:v>
                </c:pt>
                <c:pt idx="106">
                  <c:v>0.00722708254089022</c:v>
                </c:pt>
                <c:pt idx="107">
                  <c:v>-0.0317220543806647</c:v>
                </c:pt>
                <c:pt idx="108">
                  <c:v>0.00936037441497661</c:v>
                </c:pt>
                <c:pt idx="109">
                  <c:v>0.00888717156105101</c:v>
                </c:pt>
                <c:pt idx="110">
                  <c:v>-0.0103408655687476</c:v>
                </c:pt>
                <c:pt idx="111">
                  <c:v>-0.00116099071207432</c:v>
                </c:pt>
                <c:pt idx="112">
                  <c:v>0.0197597830298335</c:v>
                </c:pt>
                <c:pt idx="113">
                  <c:v>-0.00531914893617025</c:v>
                </c:pt>
                <c:pt idx="114">
                  <c:v>0.0183346065699006</c:v>
                </c:pt>
                <c:pt idx="115">
                  <c:v>0.00412603150787705</c:v>
                </c:pt>
                <c:pt idx="116">
                  <c:v>0.00933881210310039</c:v>
                </c:pt>
                <c:pt idx="117">
                  <c:v>-0.00814211695040712</c:v>
                </c:pt>
                <c:pt idx="118">
                  <c:v>0.00671641791044775</c:v>
                </c:pt>
                <c:pt idx="119">
                  <c:v>0.00296515937731656</c:v>
                </c:pt>
                <c:pt idx="120">
                  <c:v>0.0295639320029564</c:v>
                </c:pt>
                <c:pt idx="121">
                  <c:v>0.0125628140703518</c:v>
                </c:pt>
                <c:pt idx="122">
                  <c:v>0.00815313718539534</c:v>
                </c:pt>
                <c:pt idx="123">
                  <c:v>0.0232067510548524</c:v>
                </c:pt>
                <c:pt idx="124">
                  <c:v>0.0553264604810997</c:v>
                </c:pt>
                <c:pt idx="125">
                  <c:v>0.00455877564311291</c:v>
                </c:pt>
                <c:pt idx="126">
                  <c:v>0</c:v>
                </c:pt>
                <c:pt idx="127">
                  <c:v>0.00518638573743924</c:v>
                </c:pt>
                <c:pt idx="128">
                  <c:v>-0.0203160270880361</c:v>
                </c:pt>
                <c:pt idx="129">
                  <c:v>-0.010533245556287</c:v>
                </c:pt>
                <c:pt idx="130">
                  <c:v>-0.0133067198935461</c:v>
                </c:pt>
                <c:pt idx="131">
                  <c:v>0.0101146325016859</c:v>
                </c:pt>
                <c:pt idx="132">
                  <c:v>0.00400534045393841</c:v>
                </c:pt>
                <c:pt idx="133">
                  <c:v>0</c:v>
                </c:pt>
                <c:pt idx="134">
                  <c:v>0.0159574468085106</c:v>
                </c:pt>
                <c:pt idx="135">
                  <c:v>0.00490837696335089</c:v>
                </c:pt>
                <c:pt idx="136">
                  <c:v>0.0211657440573103</c:v>
                </c:pt>
                <c:pt idx="137">
                  <c:v>-0.00765306122448972</c:v>
                </c:pt>
                <c:pt idx="138">
                  <c:v>0.0032133676092545</c:v>
                </c:pt>
                <c:pt idx="139">
                  <c:v>0.0349135169762973</c:v>
                </c:pt>
                <c:pt idx="140">
                  <c:v>-0.0099040544722997</c:v>
                </c:pt>
                <c:pt idx="141">
                  <c:v>-0.00625195373554233</c:v>
                </c:pt>
                <c:pt idx="142">
                  <c:v>0.0160427807486629</c:v>
                </c:pt>
                <c:pt idx="143">
                  <c:v>-0.0291021671826625</c:v>
                </c:pt>
                <c:pt idx="144">
                  <c:v>0.0153061224489797</c:v>
                </c:pt>
                <c:pt idx="145">
                  <c:v>0.00910804020100509</c:v>
                </c:pt>
                <c:pt idx="146">
                  <c:v>0.000311235605353177</c:v>
                </c:pt>
                <c:pt idx="147">
                  <c:v>0.0158680771624145</c:v>
                </c:pt>
                <c:pt idx="148">
                  <c:v>0.0116385911179173</c:v>
                </c:pt>
                <c:pt idx="149">
                  <c:v>0.00544959128065403</c:v>
                </c:pt>
                <c:pt idx="150">
                  <c:v>0.0126467931345982</c:v>
                </c:pt>
                <c:pt idx="151">
                  <c:v>0.0184359203092477</c:v>
                </c:pt>
                <c:pt idx="152">
                  <c:v>0.016934306569343</c:v>
                </c:pt>
                <c:pt idx="153">
                  <c:v>-0.00602928509905254</c:v>
                </c:pt>
                <c:pt idx="154">
                  <c:v>-0.00288850375505467</c:v>
                </c:pt>
                <c:pt idx="155">
                  <c:v>-0.0194090382387022</c:v>
                </c:pt>
                <c:pt idx="156">
                  <c:v>-0.0129985228951257</c:v>
                </c:pt>
                <c:pt idx="157">
                  <c:v>-0.00598623166716539</c:v>
                </c:pt>
                <c:pt idx="158">
                  <c:v>-0.00602228244504677</c:v>
                </c:pt>
              </c:numCache>
            </c:numRef>
          </c:val>
        </c:ser>
        <c:gapWidth val="150"/>
        <c:overlap val="0"/>
        <c:axId val="61178997"/>
        <c:axId val="74007891"/>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(Calc)'!$AI$3:$AI$500</c:f>
              <c:numCache>
                <c:formatCode>#,##0.00</c:formatCode>
                <c:ptCount val="498"/>
                <c:pt idx="0">
                  <c:v>21.8</c:v>
                </c:pt>
                <c:pt idx="1">
                  <c:v>21.6620253164557</c:v>
                </c:pt>
                <c:pt idx="2">
                  <c:v>21.5240506329114</c:v>
                </c:pt>
                <c:pt idx="3">
                  <c:v>21.3860759493671</c:v>
                </c:pt>
                <c:pt idx="4">
                  <c:v>21.2481012658228</c:v>
                </c:pt>
                <c:pt idx="5">
                  <c:v>21.1101265822785</c:v>
                </c:pt>
                <c:pt idx="6">
                  <c:v>20.9721518987342</c:v>
                </c:pt>
                <c:pt idx="7">
                  <c:v>20.8341772151899</c:v>
                </c:pt>
                <c:pt idx="8">
                  <c:v>20.6962025316456</c:v>
                </c:pt>
                <c:pt idx="9">
                  <c:v>20.5582278481013</c:v>
                </c:pt>
                <c:pt idx="10">
                  <c:v>20.420253164557</c:v>
                </c:pt>
                <c:pt idx="11">
                  <c:v>20.2822784810127</c:v>
                </c:pt>
                <c:pt idx="12">
                  <c:v>20.1443037974684</c:v>
                </c:pt>
                <c:pt idx="13">
                  <c:v>20.0063291139241</c:v>
                </c:pt>
                <c:pt idx="14">
                  <c:v>19.8683544303797</c:v>
                </c:pt>
                <c:pt idx="15">
                  <c:v>19.7303797468354</c:v>
                </c:pt>
                <c:pt idx="16">
                  <c:v>19.5924050632911</c:v>
                </c:pt>
                <c:pt idx="17">
                  <c:v>19.4544303797468</c:v>
                </c:pt>
                <c:pt idx="18">
                  <c:v>19.3164556962025</c:v>
                </c:pt>
                <c:pt idx="19">
                  <c:v>19.1784810126582</c:v>
                </c:pt>
                <c:pt idx="20">
                  <c:v>19.0405063291139</c:v>
                </c:pt>
                <c:pt idx="21">
                  <c:v>18.9025316455696</c:v>
                </c:pt>
                <c:pt idx="22">
                  <c:v>18.7645569620253</c:v>
                </c:pt>
                <c:pt idx="23">
                  <c:v>18.626582278481</c:v>
                </c:pt>
                <c:pt idx="24">
                  <c:v>18.4886075949367</c:v>
                </c:pt>
                <c:pt idx="25">
                  <c:v>18.3506329113924</c:v>
                </c:pt>
                <c:pt idx="26">
                  <c:v>18.2126582278481</c:v>
                </c:pt>
                <c:pt idx="27">
                  <c:v>18.0746835443038</c:v>
                </c:pt>
                <c:pt idx="28">
                  <c:v>17.9367088607595</c:v>
                </c:pt>
                <c:pt idx="29">
                  <c:v>17.7987341772152</c:v>
                </c:pt>
                <c:pt idx="30">
                  <c:v>17.6607594936709</c:v>
                </c:pt>
                <c:pt idx="31">
                  <c:v>17.5227848101266</c:v>
                </c:pt>
                <c:pt idx="32">
                  <c:v>17.3848101265823</c:v>
                </c:pt>
                <c:pt idx="33">
                  <c:v>17.246835443038</c:v>
                </c:pt>
                <c:pt idx="34">
                  <c:v>17.1088607594937</c:v>
                </c:pt>
                <c:pt idx="35">
                  <c:v>16.9708860759494</c:v>
                </c:pt>
                <c:pt idx="36">
                  <c:v>16.8329113924051</c:v>
                </c:pt>
                <c:pt idx="37">
                  <c:v>16.6949367088608</c:v>
                </c:pt>
                <c:pt idx="38">
                  <c:v>16.5569620253165</c:v>
                </c:pt>
                <c:pt idx="39">
                  <c:v>16.4189873417722</c:v>
                </c:pt>
                <c:pt idx="40">
                  <c:v>16.2810126582278</c:v>
                </c:pt>
                <c:pt idx="41">
                  <c:v>16.1430379746835</c:v>
                </c:pt>
                <c:pt idx="42">
                  <c:v>16.0050632911392</c:v>
                </c:pt>
                <c:pt idx="43">
                  <c:v>15.8670886075949</c:v>
                </c:pt>
                <c:pt idx="44">
                  <c:v>15.7291139240506</c:v>
                </c:pt>
                <c:pt idx="45">
                  <c:v>15.5911392405063</c:v>
                </c:pt>
                <c:pt idx="46">
                  <c:v>15.453164556962</c:v>
                </c:pt>
                <c:pt idx="47">
                  <c:v>15.3151898734177</c:v>
                </c:pt>
                <c:pt idx="48">
                  <c:v>15.1772151898734</c:v>
                </c:pt>
                <c:pt idx="49">
                  <c:v>15.0392405063291</c:v>
                </c:pt>
                <c:pt idx="50">
                  <c:v>14.9012658227848</c:v>
                </c:pt>
                <c:pt idx="51">
                  <c:v>14.7632911392405</c:v>
                </c:pt>
                <c:pt idx="52">
                  <c:v>14.6253164556962</c:v>
                </c:pt>
                <c:pt idx="53">
                  <c:v>14.4873417721519</c:v>
                </c:pt>
                <c:pt idx="54">
                  <c:v>14.3493670886076</c:v>
                </c:pt>
                <c:pt idx="55">
                  <c:v>14.2113924050633</c:v>
                </c:pt>
                <c:pt idx="56">
                  <c:v>14.073417721519</c:v>
                </c:pt>
                <c:pt idx="57">
                  <c:v>13.9354430379747</c:v>
                </c:pt>
                <c:pt idx="58">
                  <c:v>13.7974683544304</c:v>
                </c:pt>
                <c:pt idx="59">
                  <c:v>13.6594936708861</c:v>
                </c:pt>
                <c:pt idx="60">
                  <c:v>13.5215189873418</c:v>
                </c:pt>
                <c:pt idx="61">
                  <c:v>13.3835443037975</c:v>
                </c:pt>
                <c:pt idx="62">
                  <c:v>13.2455696202532</c:v>
                </c:pt>
                <c:pt idx="63">
                  <c:v>13.1075949367089</c:v>
                </c:pt>
                <c:pt idx="64">
                  <c:v>12.9696202531646</c:v>
                </c:pt>
                <c:pt idx="65">
                  <c:v>12.8316455696203</c:v>
                </c:pt>
                <c:pt idx="66">
                  <c:v>12.693670886076</c:v>
                </c:pt>
                <c:pt idx="67">
                  <c:v>12.5556962025316</c:v>
                </c:pt>
                <c:pt idx="68">
                  <c:v>12.4177215189873</c:v>
                </c:pt>
                <c:pt idx="69">
                  <c:v>12.279746835443</c:v>
                </c:pt>
                <c:pt idx="70">
                  <c:v>12.1417721518987</c:v>
                </c:pt>
                <c:pt idx="71">
                  <c:v>12.0037974683544</c:v>
                </c:pt>
                <c:pt idx="72">
                  <c:v>11.8658227848101</c:v>
                </c:pt>
                <c:pt idx="73">
                  <c:v>11.7278481012658</c:v>
                </c:pt>
                <c:pt idx="74">
                  <c:v>11.5898734177215</c:v>
                </c:pt>
                <c:pt idx="75">
                  <c:v>11.4518987341772</c:v>
                </c:pt>
                <c:pt idx="76">
                  <c:v>11.3139240506329</c:v>
                </c:pt>
                <c:pt idx="77">
                  <c:v>11.1759493670886</c:v>
                </c:pt>
                <c:pt idx="78">
                  <c:v>11.0379746835443</c:v>
                </c:pt>
                <c:pt idx="79">
                  <c:v>10.9</c:v>
                </c:pt>
                <c:pt idx="80">
                  <c:v>10.7620253164557</c:v>
                </c:pt>
                <c:pt idx="81">
                  <c:v>10.6240506329114</c:v>
                </c:pt>
                <c:pt idx="82">
                  <c:v>10.4860759493671</c:v>
                </c:pt>
                <c:pt idx="83">
                  <c:v>10.3481012658228</c:v>
                </c:pt>
                <c:pt idx="84">
                  <c:v>10.2101265822785</c:v>
                </c:pt>
                <c:pt idx="85">
                  <c:v>10.0721518987342</c:v>
                </c:pt>
                <c:pt idx="86">
                  <c:v>9.93417721518988</c:v>
                </c:pt>
                <c:pt idx="87">
                  <c:v>9.79620253164557</c:v>
                </c:pt>
                <c:pt idx="88">
                  <c:v>9.65822784810127</c:v>
                </c:pt>
                <c:pt idx="89">
                  <c:v>9.52025316455696</c:v>
                </c:pt>
                <c:pt idx="90">
                  <c:v>9.38227848101266</c:v>
                </c:pt>
                <c:pt idx="91">
                  <c:v>9.24430379746836</c:v>
                </c:pt>
                <c:pt idx="92">
                  <c:v>9.10632911392405</c:v>
                </c:pt>
                <c:pt idx="93">
                  <c:v>8.96835443037975</c:v>
                </c:pt>
                <c:pt idx="94">
                  <c:v>8.83037974683544</c:v>
                </c:pt>
                <c:pt idx="95">
                  <c:v>8.69240506329114</c:v>
                </c:pt>
                <c:pt idx="96">
                  <c:v>8.55443037974684</c:v>
                </c:pt>
                <c:pt idx="97">
                  <c:v>8.41645569620253</c:v>
                </c:pt>
                <c:pt idx="98">
                  <c:v>8.27848101265823</c:v>
                </c:pt>
                <c:pt idx="99">
                  <c:v>8.14050632911392</c:v>
                </c:pt>
                <c:pt idx="100">
                  <c:v>8.00253164556962</c:v>
                </c:pt>
                <c:pt idx="101">
                  <c:v>7.86455696202532</c:v>
                </c:pt>
                <c:pt idx="102">
                  <c:v>7.72658227848102</c:v>
                </c:pt>
                <c:pt idx="103">
                  <c:v>7.58860759493671</c:v>
                </c:pt>
                <c:pt idx="104">
                  <c:v>7.4506329113924</c:v>
                </c:pt>
                <c:pt idx="105">
                  <c:v>7.3126582278481</c:v>
                </c:pt>
                <c:pt idx="106">
                  <c:v>7.1746835443038</c:v>
                </c:pt>
                <c:pt idx="107">
                  <c:v>7.0367088607595</c:v>
                </c:pt>
                <c:pt idx="108">
                  <c:v>6.89873417721519</c:v>
                </c:pt>
                <c:pt idx="109">
                  <c:v>6.76075949367089</c:v>
                </c:pt>
                <c:pt idx="110">
                  <c:v>6.62278481012658</c:v>
                </c:pt>
                <c:pt idx="111">
                  <c:v>6.48481012658228</c:v>
                </c:pt>
                <c:pt idx="112">
                  <c:v>6.34683544303798</c:v>
                </c:pt>
                <c:pt idx="113">
                  <c:v>6.20886075949367</c:v>
                </c:pt>
                <c:pt idx="114">
                  <c:v>6.07088607594937</c:v>
                </c:pt>
                <c:pt idx="115">
                  <c:v>5.93291139240506</c:v>
                </c:pt>
                <c:pt idx="116">
                  <c:v>5.79493670886076</c:v>
                </c:pt>
                <c:pt idx="117">
                  <c:v>5.65696202531646</c:v>
                </c:pt>
                <c:pt idx="118">
                  <c:v>5.51898734177215</c:v>
                </c:pt>
                <c:pt idx="119">
                  <c:v>5.38101265822785</c:v>
                </c:pt>
                <c:pt idx="120">
                  <c:v>5.24303797468355</c:v>
                </c:pt>
                <c:pt idx="121">
                  <c:v>5.10506329113924</c:v>
                </c:pt>
                <c:pt idx="122">
                  <c:v>4.96708860759494</c:v>
                </c:pt>
                <c:pt idx="123">
                  <c:v>4.82911392405064</c:v>
                </c:pt>
                <c:pt idx="124">
                  <c:v>4.69113924050633</c:v>
                </c:pt>
                <c:pt idx="125">
                  <c:v>4.55316455696203</c:v>
                </c:pt>
                <c:pt idx="126">
                  <c:v>4.41518987341772</c:v>
                </c:pt>
                <c:pt idx="127">
                  <c:v>4.27721518987342</c:v>
                </c:pt>
                <c:pt idx="128">
                  <c:v>4.13924050632911</c:v>
                </c:pt>
                <c:pt idx="129">
                  <c:v>4.00126582278481</c:v>
                </c:pt>
                <c:pt idx="130">
                  <c:v>3.86329113924051</c:v>
                </c:pt>
                <c:pt idx="131">
                  <c:v>3.7253164556962</c:v>
                </c:pt>
                <c:pt idx="132">
                  <c:v>3.5873417721519</c:v>
                </c:pt>
                <c:pt idx="133">
                  <c:v>3.44936708860759</c:v>
                </c:pt>
                <c:pt idx="134">
                  <c:v>3.31139240506329</c:v>
                </c:pt>
                <c:pt idx="135">
                  <c:v>3.17341772151899</c:v>
                </c:pt>
                <c:pt idx="136">
                  <c:v>3.03544303797468</c:v>
                </c:pt>
                <c:pt idx="137">
                  <c:v>2.89746835443038</c:v>
                </c:pt>
                <c:pt idx="138">
                  <c:v>2.75949367088608</c:v>
                </c:pt>
                <c:pt idx="139">
                  <c:v>2.62151898734177</c:v>
                </c:pt>
                <c:pt idx="140">
                  <c:v>2.48354430379747</c:v>
                </c:pt>
                <c:pt idx="141">
                  <c:v>2.34556962025317</c:v>
                </c:pt>
                <c:pt idx="142">
                  <c:v>2.20759493670886</c:v>
                </c:pt>
                <c:pt idx="143">
                  <c:v>2.06962025316456</c:v>
                </c:pt>
                <c:pt idx="144">
                  <c:v>1.93164556962025</c:v>
                </c:pt>
                <c:pt idx="145">
                  <c:v>1.79367088607595</c:v>
                </c:pt>
                <c:pt idx="146">
                  <c:v>1.65569620253164</c:v>
                </c:pt>
                <c:pt idx="147">
                  <c:v>1.51772151898734</c:v>
                </c:pt>
                <c:pt idx="148">
                  <c:v>1.37974683544304</c:v>
                </c:pt>
                <c:pt idx="149">
                  <c:v>1.24177215189873</c:v>
                </c:pt>
                <c:pt idx="150">
                  <c:v>1.10379746835443</c:v>
                </c:pt>
                <c:pt idx="151">
                  <c:v>0.965822784810126</c:v>
                </c:pt>
                <c:pt idx="152">
                  <c:v>0.827848101265825</c:v>
                </c:pt>
                <c:pt idx="153">
                  <c:v>0.689873417721518</c:v>
                </c:pt>
                <c:pt idx="154">
                  <c:v>0.551898734177215</c:v>
                </c:pt>
                <c:pt idx="155">
                  <c:v>0.413924050632911</c:v>
                </c:pt>
                <c:pt idx="156">
                  <c:v>0.275949367088607</c:v>
                </c:pt>
                <c:pt idx="157">
                  <c:v>0.137974683544304</c:v>
                </c:pt>
                <c:pt idx="158">
                  <c:v>0</c:v>
                </c:pt>
                <c:pt idx="159">
                  <c:v>-0.137974683544304</c:v>
                </c:pt>
              </c:numCache>
            </c:numRef>
          </c:val>
          <c:smooth val="0"/>
        </c:ser>
        <c:hiLowLines>
          <c:spPr>
            <a:ln w="0">
              <a:noFill/>
            </a:ln>
          </c:spPr>
        </c:hiLowLines>
        <c:marker val="0"/>
        <c:axId val="49229398"/>
        <c:axId val="24592187"/>
      </c:lineChart>
      <c:dateAx>
        <c:axId val="6117899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007891"/>
        <c:auto val="1"/>
        <c:lblOffset val="100"/>
        <c:baseTimeUnit val="days"/>
      </c:dateAx>
      <c:valAx>
        <c:axId val="7400789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178997"/>
        <c:crosses val="autoZero"/>
        <c:crossBetween val="between"/>
      </c:valAx>
      <c:dateAx>
        <c:axId val="4922939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592187"/>
        <c:auto val="1"/>
        <c:lblOffset val="100"/>
        <c:baseTimeUnit val="days"/>
      </c:dateAx>
      <c:valAx>
        <c:axId val="2459218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22939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(Calc)'!$O$3:$O$500</c:f>
              <c:numCache>
                <c:formatCode>0.0%</c:formatCode>
                <c:ptCount val="498"/>
                <c:pt idx="0">
                  <c:v>-0.0242929030019088</c:v>
                </c:pt>
                <c:pt idx="1">
                  <c:v>-0.00302329717232785</c:v>
                </c:pt>
                <c:pt idx="2">
                  <c:v>0.0110595790224759</c:v>
                </c:pt>
                <c:pt idx="3">
                  <c:v>0.00564573041637262</c:v>
                </c:pt>
                <c:pt idx="4">
                  <c:v>-0.0289473684210526</c:v>
                </c:pt>
                <c:pt idx="5">
                  <c:v>-0.0202348690153569</c:v>
                </c:pt>
                <c:pt idx="6">
                  <c:v>0.0584547298543243</c:v>
                </c:pt>
                <c:pt idx="7">
                  <c:v>0.0294425087108015</c:v>
                </c:pt>
                <c:pt idx="8">
                  <c:v>0.0216618717211032</c:v>
                </c:pt>
                <c:pt idx="9">
                  <c:v>0.00546629120424069</c:v>
                </c:pt>
                <c:pt idx="10">
                  <c:v>-0.0021416803953872</c:v>
                </c:pt>
                <c:pt idx="11">
                  <c:v>0.00363216113587583</c:v>
                </c:pt>
                <c:pt idx="12">
                  <c:v>0.0342161539726928</c:v>
                </c:pt>
                <c:pt idx="13">
                  <c:v>0.014951487195801</c:v>
                </c:pt>
                <c:pt idx="14">
                  <c:v>0.00705218617771508</c:v>
                </c:pt>
                <c:pt idx="15">
                  <c:v>-0.0102707749766574</c:v>
                </c:pt>
                <c:pt idx="16">
                  <c:v>0.0309748427672956</c:v>
                </c:pt>
                <c:pt idx="17">
                  <c:v>0.0211987189263383</c:v>
                </c:pt>
                <c:pt idx="18">
                  <c:v>0.0161290322580647</c:v>
                </c:pt>
                <c:pt idx="19">
                  <c:v>0.0457084068195179</c:v>
                </c:pt>
                <c:pt idx="20">
                  <c:v>0.0238931834153195</c:v>
                </c:pt>
                <c:pt idx="21">
                  <c:v>0.00837336993822913</c:v>
                </c:pt>
                <c:pt idx="22">
                  <c:v>0.022325074870678</c:v>
                </c:pt>
                <c:pt idx="23">
                  <c:v>0.0280958721704394</c:v>
                </c:pt>
                <c:pt idx="24">
                  <c:v>0.00388550705867141</c:v>
                </c:pt>
                <c:pt idx="25">
                  <c:v>-0.00516062443555676</c:v>
                </c:pt>
                <c:pt idx="26">
                  <c:v>0.0300868888600701</c:v>
                </c:pt>
                <c:pt idx="27">
                  <c:v>-0.00755382097444302</c:v>
                </c:pt>
                <c:pt idx="28">
                  <c:v>0.00291767093746032</c:v>
                </c:pt>
                <c:pt idx="29">
                  <c:v>-0.0140399696433089</c:v>
                </c:pt>
                <c:pt idx="30">
                  <c:v>-0.0568313021167416</c:v>
                </c:pt>
                <c:pt idx="31">
                  <c:v>0.0300598476605007</c:v>
                </c:pt>
                <c:pt idx="32">
                  <c:v>0.00977155684669206</c:v>
                </c:pt>
                <c:pt idx="33">
                  <c:v>0.0222309402380019</c:v>
                </c:pt>
                <c:pt idx="34">
                  <c:v>0.0150953051042599</c:v>
                </c:pt>
                <c:pt idx="35">
                  <c:v>0.019533711405167</c:v>
                </c:pt>
                <c:pt idx="36">
                  <c:v>-0.0110012360939431</c:v>
                </c:pt>
                <c:pt idx="37">
                  <c:v>0.03037120359955</c:v>
                </c:pt>
                <c:pt idx="38">
                  <c:v>0.042212518195051</c:v>
                </c:pt>
                <c:pt idx="39">
                  <c:v>-0.000814711359404141</c:v>
                </c:pt>
                <c:pt idx="40">
                  <c:v>0.00186371578334321</c:v>
                </c:pt>
                <c:pt idx="41">
                  <c:v>0.0310429019881409</c:v>
                </c:pt>
                <c:pt idx="42">
                  <c:v>-0.00202976995940463</c:v>
                </c:pt>
                <c:pt idx="43">
                  <c:v>-0.0404519774011299</c:v>
                </c:pt>
                <c:pt idx="44">
                  <c:v>-0.0188412623645785</c:v>
                </c:pt>
                <c:pt idx="45">
                  <c:v>-0.0297647623619778</c:v>
                </c:pt>
                <c:pt idx="46">
                  <c:v>0.0173181593270657</c:v>
                </c:pt>
                <c:pt idx="47">
                  <c:v>0.0570282101167317</c:v>
                </c:pt>
                <c:pt idx="48">
                  <c:v>0.0138042102841365</c:v>
                </c:pt>
                <c:pt idx="49">
                  <c:v>-0.00397140587768063</c:v>
                </c:pt>
                <c:pt idx="50">
                  <c:v>-0.0598086124401914</c:v>
                </c:pt>
                <c:pt idx="51">
                  <c:v>0.0615533745304737</c:v>
                </c:pt>
                <c:pt idx="52">
                  <c:v>0.0162081954114828</c:v>
                </c:pt>
                <c:pt idx="53">
                  <c:v>-0.00134786027181855</c:v>
                </c:pt>
                <c:pt idx="54">
                  <c:v>0.014958947250028</c:v>
                </c:pt>
                <c:pt idx="55">
                  <c:v>0.0216090425531916</c:v>
                </c:pt>
                <c:pt idx="56">
                  <c:v>0.00433886538670136</c:v>
                </c:pt>
                <c:pt idx="57">
                  <c:v>-0.0146884112755157</c:v>
                </c:pt>
                <c:pt idx="58">
                  <c:v>-0.0137016332346815</c:v>
                </c:pt>
                <c:pt idx="59">
                  <c:v>0.0597910646810402</c:v>
                </c:pt>
                <c:pt idx="60">
                  <c:v>-0.0308305369127516</c:v>
                </c:pt>
                <c:pt idx="61">
                  <c:v>0.0178532785111447</c:v>
                </c:pt>
                <c:pt idx="62">
                  <c:v>0.0130753694057617</c:v>
                </c:pt>
                <c:pt idx="63">
                  <c:v>0.0193074501573978</c:v>
                </c:pt>
                <c:pt idx="64">
                  <c:v>-0.00936792258595842</c:v>
                </c:pt>
                <c:pt idx="65">
                  <c:v>-0.0224462225917075</c:v>
                </c:pt>
                <c:pt idx="66">
                  <c:v>0.0126501541405337</c:v>
                </c:pt>
                <c:pt idx="67">
                  <c:v>0.00304429981104337</c:v>
                </c:pt>
                <c:pt idx="68">
                  <c:v>-0.0135007849293562</c:v>
                </c:pt>
                <c:pt idx="69">
                  <c:v>0.0321451304901337</c:v>
                </c:pt>
                <c:pt idx="70">
                  <c:v>0.0271353684859699</c:v>
                </c:pt>
                <c:pt idx="71">
                  <c:v>-0.0127088962273593</c:v>
                </c:pt>
                <c:pt idx="72">
                  <c:v>0.0198662071761606</c:v>
                </c:pt>
                <c:pt idx="73">
                  <c:v>0.0101371496720333</c:v>
                </c:pt>
                <c:pt idx="74">
                  <c:v>-0.0305981896890988</c:v>
                </c:pt>
                <c:pt idx="75">
                  <c:v>-0.00111641124530604</c:v>
                </c:pt>
                <c:pt idx="76">
                  <c:v>-0.0526315789473685</c:v>
                </c:pt>
                <c:pt idx="77">
                  <c:v>-0.0071857571857572</c:v>
                </c:pt>
                <c:pt idx="78">
                  <c:v>0.0037809225451011</c:v>
                </c:pt>
                <c:pt idx="79">
                  <c:v>-0.0196943607404219</c:v>
                </c:pt>
                <c:pt idx="80">
                  <c:v>-0.107036996377209</c:v>
                </c:pt>
                <c:pt idx="81">
                  <c:v>0.0910990902385049</c:v>
                </c:pt>
                <c:pt idx="82">
                  <c:v>-0.0173521126760564</c:v>
                </c:pt>
                <c:pt idx="83">
                  <c:v>0.0652448113748425</c:v>
                </c:pt>
                <c:pt idx="84">
                  <c:v>0.0402583423035521</c:v>
                </c:pt>
                <c:pt idx="85">
                  <c:v>0.00693294701986758</c:v>
                </c:pt>
                <c:pt idx="86">
                  <c:v>0.0682355359161444</c:v>
                </c:pt>
                <c:pt idx="87">
                  <c:v>-0.0223184223184224</c:v>
                </c:pt>
                <c:pt idx="88">
                  <c:v>0.0243038472891863</c:v>
                </c:pt>
                <c:pt idx="89">
                  <c:v>0.0148895292987512</c:v>
                </c:pt>
                <c:pt idx="90">
                  <c:v>-0.00709891150023667</c:v>
                </c:pt>
                <c:pt idx="91">
                  <c:v>0.00705433746425155</c:v>
                </c:pt>
                <c:pt idx="92">
                  <c:v>0.048182506626278</c:v>
                </c:pt>
                <c:pt idx="93">
                  <c:v>0.00596044432403131</c:v>
                </c:pt>
                <c:pt idx="94">
                  <c:v>-0.00305233863003862</c:v>
                </c:pt>
                <c:pt idx="95">
                  <c:v>0.014858171994597</c:v>
                </c:pt>
                <c:pt idx="96">
                  <c:v>0.01055900621118</c:v>
                </c:pt>
                <c:pt idx="97">
                  <c:v>-0.0157169198349285</c:v>
                </c:pt>
                <c:pt idx="98">
                  <c:v>0.0349687778768957</c:v>
                </c:pt>
                <c:pt idx="99">
                  <c:v>0.00103430443027075</c:v>
                </c:pt>
                <c:pt idx="100">
                  <c:v>-0.0068021353538833</c:v>
                </c:pt>
                <c:pt idx="101">
                  <c:v>-0.000260078023406996</c:v>
                </c:pt>
                <c:pt idx="102">
                  <c:v>0.004942767950052</c:v>
                </c:pt>
                <c:pt idx="103">
                  <c:v>0.029251876779705</c:v>
                </c:pt>
                <c:pt idx="104">
                  <c:v>0.012072434607646</c:v>
                </c:pt>
                <c:pt idx="105">
                  <c:v>-0.00952617627567931</c:v>
                </c:pt>
                <c:pt idx="106">
                  <c:v>-0.00409801789746589</c:v>
                </c:pt>
                <c:pt idx="107">
                  <c:v>-0.0131844138394356</c:v>
                </c:pt>
                <c:pt idx="108">
                  <c:v>0.0161688366947492</c:v>
                </c:pt>
                <c:pt idx="109">
                  <c:v>0.0107193702369985</c:v>
                </c:pt>
                <c:pt idx="110">
                  <c:v>-8.28569061230855E-005</c:v>
                </c:pt>
                <c:pt idx="111">
                  <c:v>-0.0260192243950945</c:v>
                </c:pt>
                <c:pt idx="112">
                  <c:v>-0.00595541943168287</c:v>
                </c:pt>
                <c:pt idx="113">
                  <c:v>-0.029955494693598</c:v>
                </c:pt>
                <c:pt idx="114">
                  <c:v>0.0509087700723487</c:v>
                </c:pt>
                <c:pt idx="115">
                  <c:v>0.00612878851481824</c:v>
                </c:pt>
                <c:pt idx="116">
                  <c:v>-0.0145193591455275</c:v>
                </c:pt>
                <c:pt idx="117">
                  <c:v>0.0036409822184591</c:v>
                </c:pt>
                <c:pt idx="118">
                  <c:v>0.0179701341432548</c:v>
                </c:pt>
                <c:pt idx="119">
                  <c:v>-0.01408917619758</c:v>
                </c:pt>
                <c:pt idx="120">
                  <c:v>0.00294216543375936</c:v>
                </c:pt>
                <c:pt idx="121">
                  <c:v>-0.000251445813427176</c:v>
                </c:pt>
                <c:pt idx="122">
                  <c:v>-0.017270288397049</c:v>
                </c:pt>
                <c:pt idx="123">
                  <c:v>0.0164647671045897</c:v>
                </c:pt>
                <c:pt idx="124">
                  <c:v>-0.000251783466219013</c:v>
                </c:pt>
                <c:pt idx="125">
                  <c:v>-0.0132639355271994</c:v>
                </c:pt>
                <c:pt idx="126">
                  <c:v>0.0144631614769439</c:v>
                </c:pt>
                <c:pt idx="127">
                  <c:v>-0.00402549480040249</c:v>
                </c:pt>
                <c:pt idx="128">
                  <c:v>-0.0103570225665207</c:v>
                </c:pt>
                <c:pt idx="129">
                  <c:v>-0.0173572704841317</c:v>
                </c:pt>
                <c:pt idx="130">
                  <c:v>-0.0206944324183912</c:v>
                </c:pt>
                <c:pt idx="131">
                  <c:v>-0.0277630415561451</c:v>
                </c:pt>
                <c:pt idx="132">
                  <c:v>0.0401964350672972</c:v>
                </c:pt>
                <c:pt idx="133">
                  <c:v>0.0749256863087953</c:v>
                </c:pt>
                <c:pt idx="134">
                  <c:v>0.0401789345262302</c:v>
                </c:pt>
                <c:pt idx="135">
                  <c:v>0.0250996950504339</c:v>
                </c:pt>
                <c:pt idx="136">
                  <c:v>0.0221205186880245</c:v>
                </c:pt>
                <c:pt idx="137">
                  <c:v>0.0698507462686568</c:v>
                </c:pt>
                <c:pt idx="138">
                  <c:v>-0.0023018973214286</c:v>
                </c:pt>
                <c:pt idx="139">
                  <c:v>0.0101377333426553</c:v>
                </c:pt>
                <c:pt idx="140">
                  <c:v>0.0389673311184942</c:v>
                </c:pt>
                <c:pt idx="141">
                  <c:v>-0.041902604756512</c:v>
                </c:pt>
                <c:pt idx="142">
                  <c:v>0.0568766513697678</c:v>
                </c:pt>
                <c:pt idx="143">
                  <c:v>0.0486184210526315</c:v>
                </c:pt>
                <c:pt idx="144">
                  <c:v>-0.0341301210866428</c:v>
                </c:pt>
                <c:pt idx="145">
                  <c:v>-0.0218902240987332</c:v>
                </c:pt>
                <c:pt idx="146">
                  <c:v>0.0193916854827998</c:v>
                </c:pt>
                <c:pt idx="147">
                  <c:v>-0.0641042345276873</c:v>
                </c:pt>
                <c:pt idx="148">
                  <c:v>0.0181678964221079</c:v>
                </c:pt>
                <c:pt idx="149">
                  <c:v>-0.0182539139946675</c:v>
                </c:pt>
                <c:pt idx="150">
                  <c:v>0.0407381615598885</c:v>
                </c:pt>
                <c:pt idx="151">
                  <c:v>0.0241552358648378</c:v>
                </c:pt>
                <c:pt idx="152">
                  <c:v>-0.0298575721939108</c:v>
                </c:pt>
                <c:pt idx="153">
                  <c:v>-0.0131321974543741</c:v>
                </c:pt>
                <c:pt idx="154">
                  <c:v>0.0200627814931076</c:v>
                </c:pt>
                <c:pt idx="155">
                  <c:v>-0.00943270002675944</c:v>
                </c:pt>
                <c:pt idx="156">
                  <c:v>0.00607820625379896</c:v>
                </c:pt>
                <c:pt idx="157">
                  <c:v>0.0265154057863999</c:v>
                </c:pt>
                <c:pt idx="158">
                  <c:v>-0.0113784985613391</c:v>
                </c:pt>
              </c:numCache>
            </c:numRef>
          </c:val>
        </c:ser>
        <c:gapWidth val="150"/>
        <c:overlap val="0"/>
        <c:axId val="35659257"/>
        <c:axId val="3783943"/>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(Calc)'!$AJ$3:$AJ$500</c:f>
              <c:numCache>
                <c:formatCode>#,##0.00</c:formatCode>
                <c:ptCount val="498"/>
                <c:pt idx="0">
                  <c:v>57.63</c:v>
                </c:pt>
                <c:pt idx="1">
                  <c:v>57.265253164557</c:v>
                </c:pt>
                <c:pt idx="2">
                  <c:v>56.9005063291139</c:v>
                </c:pt>
                <c:pt idx="3">
                  <c:v>56.5357594936709</c:v>
                </c:pt>
                <c:pt idx="4">
                  <c:v>56.1710126582279</c:v>
                </c:pt>
                <c:pt idx="5">
                  <c:v>55.8062658227848</c:v>
                </c:pt>
                <c:pt idx="6">
                  <c:v>55.4415189873418</c:v>
                </c:pt>
                <c:pt idx="7">
                  <c:v>55.0767721518987</c:v>
                </c:pt>
                <c:pt idx="8">
                  <c:v>54.7120253164557</c:v>
                </c:pt>
                <c:pt idx="9">
                  <c:v>54.3472784810127</c:v>
                </c:pt>
                <c:pt idx="10">
                  <c:v>53.9825316455696</c:v>
                </c:pt>
                <c:pt idx="11">
                  <c:v>53.6177848101266</c:v>
                </c:pt>
                <c:pt idx="12">
                  <c:v>53.2530379746835</c:v>
                </c:pt>
                <c:pt idx="13">
                  <c:v>52.8882911392405</c:v>
                </c:pt>
                <c:pt idx="14">
                  <c:v>52.5235443037975</c:v>
                </c:pt>
                <c:pt idx="15">
                  <c:v>52.1587974683544</c:v>
                </c:pt>
                <c:pt idx="16">
                  <c:v>51.7940506329114</c:v>
                </c:pt>
                <c:pt idx="17">
                  <c:v>51.4293037974684</c:v>
                </c:pt>
                <c:pt idx="18">
                  <c:v>51.0645569620253</c:v>
                </c:pt>
                <c:pt idx="19">
                  <c:v>50.6998101265823</c:v>
                </c:pt>
                <c:pt idx="20">
                  <c:v>50.3350632911392</c:v>
                </c:pt>
                <c:pt idx="21">
                  <c:v>49.9703164556962</c:v>
                </c:pt>
                <c:pt idx="22">
                  <c:v>49.6055696202532</c:v>
                </c:pt>
                <c:pt idx="23">
                  <c:v>49.2408227848101</c:v>
                </c:pt>
                <c:pt idx="24">
                  <c:v>48.8760759493671</c:v>
                </c:pt>
                <c:pt idx="25">
                  <c:v>48.5113291139241</c:v>
                </c:pt>
                <c:pt idx="26">
                  <c:v>48.146582278481</c:v>
                </c:pt>
                <c:pt idx="27">
                  <c:v>47.781835443038</c:v>
                </c:pt>
                <c:pt idx="28">
                  <c:v>47.4170886075949</c:v>
                </c:pt>
                <c:pt idx="29">
                  <c:v>47.0523417721519</c:v>
                </c:pt>
                <c:pt idx="30">
                  <c:v>46.6875949367089</c:v>
                </c:pt>
                <c:pt idx="31">
                  <c:v>46.3228481012658</c:v>
                </c:pt>
                <c:pt idx="32">
                  <c:v>45.9581012658228</c:v>
                </c:pt>
                <c:pt idx="33">
                  <c:v>45.5933544303798</c:v>
                </c:pt>
                <c:pt idx="34">
                  <c:v>45.2286075949367</c:v>
                </c:pt>
                <c:pt idx="35">
                  <c:v>44.8638607594937</c:v>
                </c:pt>
                <c:pt idx="36">
                  <c:v>44.4991139240506</c:v>
                </c:pt>
                <c:pt idx="37">
                  <c:v>44.1343670886076</c:v>
                </c:pt>
                <c:pt idx="38">
                  <c:v>43.7696202531646</c:v>
                </c:pt>
                <c:pt idx="39">
                  <c:v>43.4048734177215</c:v>
                </c:pt>
                <c:pt idx="40">
                  <c:v>43.0401265822785</c:v>
                </c:pt>
                <c:pt idx="41">
                  <c:v>42.6753797468354</c:v>
                </c:pt>
                <c:pt idx="42">
                  <c:v>42.3106329113924</c:v>
                </c:pt>
                <c:pt idx="43">
                  <c:v>41.9458860759494</c:v>
                </c:pt>
                <c:pt idx="44">
                  <c:v>41.5811392405063</c:v>
                </c:pt>
                <c:pt idx="45">
                  <c:v>41.2163924050633</c:v>
                </c:pt>
                <c:pt idx="46">
                  <c:v>40.8516455696203</c:v>
                </c:pt>
                <c:pt idx="47">
                  <c:v>40.4868987341772</c:v>
                </c:pt>
                <c:pt idx="48">
                  <c:v>40.1221518987342</c:v>
                </c:pt>
                <c:pt idx="49">
                  <c:v>39.7574050632911</c:v>
                </c:pt>
                <c:pt idx="50">
                  <c:v>39.3926582278481</c:v>
                </c:pt>
                <c:pt idx="51">
                  <c:v>39.0279113924051</c:v>
                </c:pt>
                <c:pt idx="52">
                  <c:v>38.663164556962</c:v>
                </c:pt>
                <c:pt idx="53">
                  <c:v>38.298417721519</c:v>
                </c:pt>
                <c:pt idx="54">
                  <c:v>37.933670886076</c:v>
                </c:pt>
                <c:pt idx="55">
                  <c:v>37.5689240506329</c:v>
                </c:pt>
                <c:pt idx="56">
                  <c:v>37.2041772151899</c:v>
                </c:pt>
                <c:pt idx="57">
                  <c:v>36.8394303797468</c:v>
                </c:pt>
                <c:pt idx="58">
                  <c:v>36.4746835443038</c:v>
                </c:pt>
                <c:pt idx="59">
                  <c:v>36.1099367088608</c:v>
                </c:pt>
                <c:pt idx="60">
                  <c:v>35.7451898734177</c:v>
                </c:pt>
                <c:pt idx="61">
                  <c:v>35.3804430379747</c:v>
                </c:pt>
                <c:pt idx="62">
                  <c:v>35.0156962025316</c:v>
                </c:pt>
                <c:pt idx="63">
                  <c:v>34.6509493670886</c:v>
                </c:pt>
                <c:pt idx="64">
                  <c:v>34.2862025316456</c:v>
                </c:pt>
                <c:pt idx="65">
                  <c:v>33.9214556962025</c:v>
                </c:pt>
                <c:pt idx="66">
                  <c:v>33.5567088607595</c:v>
                </c:pt>
                <c:pt idx="67">
                  <c:v>33.1919620253165</c:v>
                </c:pt>
                <c:pt idx="68">
                  <c:v>32.8272151898734</c:v>
                </c:pt>
                <c:pt idx="69">
                  <c:v>32.4624683544304</c:v>
                </c:pt>
                <c:pt idx="70">
                  <c:v>32.0977215189873</c:v>
                </c:pt>
                <c:pt idx="71">
                  <c:v>31.7329746835443</c:v>
                </c:pt>
                <c:pt idx="72">
                  <c:v>31.3682278481013</c:v>
                </c:pt>
                <c:pt idx="73">
                  <c:v>31.0034810126582</c:v>
                </c:pt>
                <c:pt idx="74">
                  <c:v>30.6387341772152</c:v>
                </c:pt>
                <c:pt idx="75">
                  <c:v>30.2739873417722</c:v>
                </c:pt>
                <c:pt idx="76">
                  <c:v>29.9092405063291</c:v>
                </c:pt>
                <c:pt idx="77">
                  <c:v>29.5444936708861</c:v>
                </c:pt>
                <c:pt idx="78">
                  <c:v>29.179746835443</c:v>
                </c:pt>
                <c:pt idx="79">
                  <c:v>28.815</c:v>
                </c:pt>
                <c:pt idx="80">
                  <c:v>28.450253164557</c:v>
                </c:pt>
                <c:pt idx="81">
                  <c:v>28.0855063291139</c:v>
                </c:pt>
                <c:pt idx="82">
                  <c:v>27.7207594936709</c:v>
                </c:pt>
                <c:pt idx="83">
                  <c:v>27.3560126582279</c:v>
                </c:pt>
                <c:pt idx="84">
                  <c:v>26.9912658227848</c:v>
                </c:pt>
                <c:pt idx="85">
                  <c:v>26.6265189873418</c:v>
                </c:pt>
                <c:pt idx="86">
                  <c:v>26.2617721518987</c:v>
                </c:pt>
                <c:pt idx="87">
                  <c:v>25.8970253164557</c:v>
                </c:pt>
                <c:pt idx="88">
                  <c:v>25.5322784810127</c:v>
                </c:pt>
                <c:pt idx="89">
                  <c:v>25.1675316455696</c:v>
                </c:pt>
                <c:pt idx="90">
                  <c:v>24.8027848101266</c:v>
                </c:pt>
                <c:pt idx="91">
                  <c:v>24.4380379746835</c:v>
                </c:pt>
                <c:pt idx="92">
                  <c:v>24.0732911392405</c:v>
                </c:pt>
                <c:pt idx="93">
                  <c:v>23.7085443037975</c:v>
                </c:pt>
                <c:pt idx="94">
                  <c:v>23.3437974683544</c:v>
                </c:pt>
                <c:pt idx="95">
                  <c:v>22.9790506329114</c:v>
                </c:pt>
                <c:pt idx="96">
                  <c:v>22.6143037974684</c:v>
                </c:pt>
                <c:pt idx="97">
                  <c:v>22.2495569620253</c:v>
                </c:pt>
                <c:pt idx="98">
                  <c:v>21.8848101265823</c:v>
                </c:pt>
                <c:pt idx="99">
                  <c:v>21.5200632911392</c:v>
                </c:pt>
                <c:pt idx="100">
                  <c:v>21.1553164556962</c:v>
                </c:pt>
                <c:pt idx="101">
                  <c:v>20.7905696202532</c:v>
                </c:pt>
                <c:pt idx="102">
                  <c:v>20.4258227848101</c:v>
                </c:pt>
                <c:pt idx="103">
                  <c:v>20.0610759493671</c:v>
                </c:pt>
                <c:pt idx="104">
                  <c:v>19.6963291139241</c:v>
                </c:pt>
                <c:pt idx="105">
                  <c:v>19.331582278481</c:v>
                </c:pt>
                <c:pt idx="106">
                  <c:v>18.966835443038</c:v>
                </c:pt>
                <c:pt idx="107">
                  <c:v>18.6020886075949</c:v>
                </c:pt>
                <c:pt idx="108">
                  <c:v>18.2373417721519</c:v>
                </c:pt>
                <c:pt idx="109">
                  <c:v>17.8725949367089</c:v>
                </c:pt>
                <c:pt idx="110">
                  <c:v>17.5078481012658</c:v>
                </c:pt>
                <c:pt idx="111">
                  <c:v>17.1431012658228</c:v>
                </c:pt>
                <c:pt idx="112">
                  <c:v>16.7783544303798</c:v>
                </c:pt>
                <c:pt idx="113">
                  <c:v>16.4136075949367</c:v>
                </c:pt>
                <c:pt idx="114">
                  <c:v>16.0488607594937</c:v>
                </c:pt>
                <c:pt idx="115">
                  <c:v>15.6841139240506</c:v>
                </c:pt>
                <c:pt idx="116">
                  <c:v>15.3193670886076</c:v>
                </c:pt>
                <c:pt idx="117">
                  <c:v>14.9546202531646</c:v>
                </c:pt>
                <c:pt idx="118">
                  <c:v>14.5898734177215</c:v>
                </c:pt>
                <c:pt idx="119">
                  <c:v>14.2251265822785</c:v>
                </c:pt>
                <c:pt idx="120">
                  <c:v>13.8603797468354</c:v>
                </c:pt>
                <c:pt idx="121">
                  <c:v>13.4956329113924</c:v>
                </c:pt>
                <c:pt idx="122">
                  <c:v>13.1308860759494</c:v>
                </c:pt>
                <c:pt idx="123">
                  <c:v>12.7661392405063</c:v>
                </c:pt>
                <c:pt idx="124">
                  <c:v>12.4013924050633</c:v>
                </c:pt>
                <c:pt idx="125">
                  <c:v>12.0366455696203</c:v>
                </c:pt>
                <c:pt idx="126">
                  <c:v>11.6718987341772</c:v>
                </c:pt>
                <c:pt idx="127">
                  <c:v>11.3071518987342</c:v>
                </c:pt>
                <c:pt idx="128">
                  <c:v>10.9424050632911</c:v>
                </c:pt>
                <c:pt idx="129">
                  <c:v>10.5776582278481</c:v>
                </c:pt>
                <c:pt idx="130">
                  <c:v>10.2129113924051</c:v>
                </c:pt>
                <c:pt idx="131">
                  <c:v>9.84816455696203</c:v>
                </c:pt>
                <c:pt idx="132">
                  <c:v>9.48341772151898</c:v>
                </c:pt>
                <c:pt idx="133">
                  <c:v>9.11867088607595</c:v>
                </c:pt>
                <c:pt idx="134">
                  <c:v>8.75392405063291</c:v>
                </c:pt>
                <c:pt idx="135">
                  <c:v>8.38917721518988</c:v>
                </c:pt>
                <c:pt idx="136">
                  <c:v>8.02443037974684</c:v>
                </c:pt>
                <c:pt idx="137">
                  <c:v>7.6596835443038</c:v>
                </c:pt>
                <c:pt idx="138">
                  <c:v>7.29493670886076</c:v>
                </c:pt>
                <c:pt idx="139">
                  <c:v>6.93018987341772</c:v>
                </c:pt>
                <c:pt idx="140">
                  <c:v>6.56544303797468</c:v>
                </c:pt>
                <c:pt idx="141">
                  <c:v>6.20069620253165</c:v>
                </c:pt>
                <c:pt idx="142">
                  <c:v>5.83594936708861</c:v>
                </c:pt>
                <c:pt idx="143">
                  <c:v>5.47120253164557</c:v>
                </c:pt>
                <c:pt idx="144">
                  <c:v>5.10645569620252</c:v>
                </c:pt>
                <c:pt idx="145">
                  <c:v>4.7417088607595</c:v>
                </c:pt>
                <c:pt idx="146">
                  <c:v>4.37696202531646</c:v>
                </c:pt>
                <c:pt idx="147">
                  <c:v>4.01221518987342</c:v>
                </c:pt>
                <c:pt idx="148">
                  <c:v>3.64746835443039</c:v>
                </c:pt>
                <c:pt idx="149">
                  <c:v>3.28272151898734</c:v>
                </c:pt>
                <c:pt idx="150">
                  <c:v>2.91797468354431</c:v>
                </c:pt>
                <c:pt idx="151">
                  <c:v>2.55322784810127</c:v>
                </c:pt>
                <c:pt idx="152">
                  <c:v>2.18848101265823</c:v>
                </c:pt>
                <c:pt idx="153">
                  <c:v>1.82373417721519</c:v>
                </c:pt>
                <c:pt idx="154">
                  <c:v>1.45898734177215</c:v>
                </c:pt>
                <c:pt idx="155">
                  <c:v>1.09424050632912</c:v>
                </c:pt>
                <c:pt idx="156">
                  <c:v>0.729493670886072</c:v>
                </c:pt>
                <c:pt idx="157">
                  <c:v>0.364746835443043</c:v>
                </c:pt>
                <c:pt idx="158">
                  <c:v>0</c:v>
                </c:pt>
                <c:pt idx="159">
                  <c:v>-0.364746835443036</c:v>
                </c:pt>
              </c:numCache>
            </c:numRef>
          </c:val>
          <c:smooth val="0"/>
        </c:ser>
        <c:hiLowLines>
          <c:spPr>
            <a:ln w="0">
              <a:noFill/>
            </a:ln>
          </c:spPr>
        </c:hiLowLines>
        <c:marker val="0"/>
        <c:axId val="91036079"/>
        <c:axId val="75828616"/>
      </c:lineChart>
      <c:dateAx>
        <c:axId val="3565925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83943"/>
        <c:auto val="1"/>
        <c:lblOffset val="100"/>
        <c:baseTimeUnit val="days"/>
      </c:dateAx>
      <c:valAx>
        <c:axId val="378394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659257"/>
        <c:crosses val="autoZero"/>
        <c:crossBetween val="between"/>
      </c:valAx>
      <c:dateAx>
        <c:axId val="9103607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828616"/>
        <c:auto val="1"/>
        <c:lblOffset val="100"/>
        <c:baseTimeUnit val="days"/>
      </c:dateAx>
      <c:valAx>
        <c:axId val="7582861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03607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(Calc)'!$Q$3:$Q$500</c:f>
              <c:numCache>
                <c:formatCode>0.0%</c:formatCode>
                <c:ptCount val="498"/>
                <c:pt idx="0">
                  <c:v>-0.0248270593727454</c:v>
                </c:pt>
                <c:pt idx="1">
                  <c:v>-0.0215858647401863</c:v>
                </c:pt>
                <c:pt idx="2">
                  <c:v>0.0218841740058715</c:v>
                </c:pt>
                <c:pt idx="3">
                  <c:v>0.0111865587185513</c:v>
                </c:pt>
                <c:pt idx="4">
                  <c:v>-0.0180362446730662</c:v>
                </c:pt>
                <c:pt idx="5">
                  <c:v>-0.0176223040504998</c:v>
                </c:pt>
                <c:pt idx="6">
                  <c:v>0.062516733601071</c:v>
                </c:pt>
                <c:pt idx="7">
                  <c:v>0.00890344798622467</c:v>
                </c:pt>
                <c:pt idx="8">
                  <c:v>0.0175664987720101</c:v>
                </c:pt>
                <c:pt idx="9">
                  <c:v>0.019022294947842</c:v>
                </c:pt>
                <c:pt idx="10">
                  <c:v>0.00843034925732633</c:v>
                </c:pt>
                <c:pt idx="11">
                  <c:v>-0.00274681528662424</c:v>
                </c:pt>
                <c:pt idx="12">
                  <c:v>0.00894175881202353</c:v>
                </c:pt>
                <c:pt idx="13">
                  <c:v>0.0015430267062313</c:v>
                </c:pt>
                <c:pt idx="14">
                  <c:v>0.00742672039187808</c:v>
                </c:pt>
                <c:pt idx="15">
                  <c:v>-0.0025096070896401</c:v>
                </c:pt>
                <c:pt idx="16">
                  <c:v>0.0172183347747463</c:v>
                </c:pt>
                <c:pt idx="17">
                  <c:v>0.0255062606276086</c:v>
                </c:pt>
                <c:pt idx="18">
                  <c:v>-0.0109285498944831</c:v>
                </c:pt>
                <c:pt idx="19">
                  <c:v>0.0344814447915873</c:v>
                </c:pt>
                <c:pt idx="20">
                  <c:v>-0.000847114286766648</c:v>
                </c:pt>
                <c:pt idx="21">
                  <c:v>0.00770421704511959</c:v>
                </c:pt>
                <c:pt idx="22">
                  <c:v>0.0180707466071623</c:v>
                </c:pt>
                <c:pt idx="23">
                  <c:v>-0.00154503970392728</c:v>
                </c:pt>
                <c:pt idx="24">
                  <c:v>-0.0110119476032819</c:v>
                </c:pt>
                <c:pt idx="25">
                  <c:v>0.0106979113601631</c:v>
                </c:pt>
                <c:pt idx="26">
                  <c:v>0.000792050691244439</c:v>
                </c:pt>
                <c:pt idx="27">
                  <c:v>-0.0147492625368733</c:v>
                </c:pt>
                <c:pt idx="28">
                  <c:v>-0.00697385716372123</c:v>
                </c:pt>
                <c:pt idx="29">
                  <c:v>-0.00422840754494991</c:v>
                </c:pt>
                <c:pt idx="30">
                  <c:v>-0.0224134111217783</c:v>
                </c:pt>
                <c:pt idx="31">
                  <c:v>0.0175637393767705</c:v>
                </c:pt>
                <c:pt idx="32">
                  <c:v>-0.0219376391982181</c:v>
                </c:pt>
                <c:pt idx="33">
                  <c:v>0.045618429541918</c:v>
                </c:pt>
                <c:pt idx="34">
                  <c:v>-0.000435555878189553</c:v>
                </c:pt>
                <c:pt idx="35">
                  <c:v>-0.0200443008097606</c:v>
                </c:pt>
                <c:pt idx="36">
                  <c:v>-0.00737392077667032</c:v>
                </c:pt>
                <c:pt idx="37">
                  <c:v>0.0227713901747051</c:v>
                </c:pt>
                <c:pt idx="38">
                  <c:v>-0.0287247244324403</c:v>
                </c:pt>
                <c:pt idx="39">
                  <c:v>0.0168351433617675</c:v>
                </c:pt>
                <c:pt idx="40">
                  <c:v>-0.0463431760227649</c:v>
                </c:pt>
                <c:pt idx="41">
                  <c:v>0.0300716915326487</c:v>
                </c:pt>
                <c:pt idx="42">
                  <c:v>-0.0170798690794177</c:v>
                </c:pt>
                <c:pt idx="43">
                  <c:v>-0.00107168829180526</c:v>
                </c:pt>
                <c:pt idx="44">
                  <c:v>-0.0226062301237595</c:v>
                </c:pt>
                <c:pt idx="45">
                  <c:v>0.0274804970794622</c:v>
                </c:pt>
                <c:pt idx="46">
                  <c:v>-0.0236550934757727</c:v>
                </c:pt>
                <c:pt idx="47">
                  <c:v>0.0293474013286441</c:v>
                </c:pt>
                <c:pt idx="48">
                  <c:v>0.000227781785050007</c:v>
                </c:pt>
                <c:pt idx="49">
                  <c:v>0.0334003871408508</c:v>
                </c:pt>
                <c:pt idx="50">
                  <c:v>0.0108348330701145</c:v>
                </c:pt>
                <c:pt idx="51">
                  <c:v>0.028558971005014</c:v>
                </c:pt>
                <c:pt idx="52">
                  <c:v>-0.00897272855729814</c:v>
                </c:pt>
                <c:pt idx="53">
                  <c:v>-0.0337206815427391</c:v>
                </c:pt>
                <c:pt idx="54">
                  <c:v>0.010033938320791</c:v>
                </c:pt>
                <c:pt idx="55">
                  <c:v>-0.000328707085463953</c:v>
                </c:pt>
                <c:pt idx="56">
                  <c:v>0.0459975886887583</c:v>
                </c:pt>
                <c:pt idx="57">
                  <c:v>-0.030562347188264</c:v>
                </c:pt>
                <c:pt idx="58">
                  <c:v>0.0319582057286976</c:v>
                </c:pt>
                <c:pt idx="59">
                  <c:v>0.0589344319530758</c:v>
                </c:pt>
                <c:pt idx="60">
                  <c:v>0.00764919221892524</c:v>
                </c:pt>
                <c:pt idx="61">
                  <c:v>0.000916170407695649</c:v>
                </c:pt>
                <c:pt idx="62">
                  <c:v>0.0166394246485782</c:v>
                </c:pt>
                <c:pt idx="63">
                  <c:v>-0.0129264606578989</c:v>
                </c:pt>
                <c:pt idx="64">
                  <c:v>0.0119881421637291</c:v>
                </c:pt>
                <c:pt idx="65">
                  <c:v>0.00946402704007721</c:v>
                </c:pt>
                <c:pt idx="66">
                  <c:v>0.00296565579259545</c:v>
                </c:pt>
                <c:pt idx="67">
                  <c:v>-0.0117639577769298</c:v>
                </c:pt>
                <c:pt idx="68">
                  <c:v>-0.0228428029084357</c:v>
                </c:pt>
                <c:pt idx="69">
                  <c:v>0.0386869485052022</c:v>
                </c:pt>
                <c:pt idx="70">
                  <c:v>0.0330934795701652</c:v>
                </c:pt>
                <c:pt idx="71">
                  <c:v>0.0351323985149274</c:v>
                </c:pt>
                <c:pt idx="72">
                  <c:v>0.0182001422812426</c:v>
                </c:pt>
                <c:pt idx="73">
                  <c:v>0.0183697234352256</c:v>
                </c:pt>
                <c:pt idx="74">
                  <c:v>-0.0149223864383523</c:v>
                </c:pt>
                <c:pt idx="75">
                  <c:v>0.0406570126817378</c:v>
                </c:pt>
                <c:pt idx="76">
                  <c:v>-0.047936419408812</c:v>
                </c:pt>
                <c:pt idx="77">
                  <c:v>-0.039161125918983</c:v>
                </c:pt>
                <c:pt idx="78">
                  <c:v>0.0116449213510548</c:v>
                </c:pt>
                <c:pt idx="79">
                  <c:v>0.0214246971614536</c:v>
                </c:pt>
                <c:pt idx="80">
                  <c:v>-0.0866743369619731</c:v>
                </c:pt>
                <c:pt idx="81">
                  <c:v>0.0647307729577829</c:v>
                </c:pt>
                <c:pt idx="82">
                  <c:v>-0.0113763917119194</c:v>
                </c:pt>
                <c:pt idx="83">
                  <c:v>0.0168773781760156</c:v>
                </c:pt>
                <c:pt idx="84">
                  <c:v>0.0370873317641378</c:v>
                </c:pt>
                <c:pt idx="85">
                  <c:v>0.0141996682864376</c:v>
                </c:pt>
                <c:pt idx="86">
                  <c:v>0.0374121359919666</c:v>
                </c:pt>
                <c:pt idx="87">
                  <c:v>-0.0317210099836831</c:v>
                </c:pt>
                <c:pt idx="88">
                  <c:v>0.0329601279561294</c:v>
                </c:pt>
                <c:pt idx="89">
                  <c:v>0.0137698390753747</c:v>
                </c:pt>
                <c:pt idx="90">
                  <c:v>-0.0469125027274711</c:v>
                </c:pt>
                <c:pt idx="91">
                  <c:v>-0.0404933608058607</c:v>
                </c:pt>
                <c:pt idx="92">
                  <c:v>0.0296758030361777</c:v>
                </c:pt>
                <c:pt idx="93">
                  <c:v>0.0293998377939984</c:v>
                </c:pt>
                <c:pt idx="94">
                  <c:v>-0.0304735642533555</c:v>
                </c:pt>
                <c:pt idx="95">
                  <c:v>0.00322149988390996</c:v>
                </c:pt>
                <c:pt idx="96">
                  <c:v>0.0229120259206757</c:v>
                </c:pt>
                <c:pt idx="97">
                  <c:v>-0.0495489125823694</c:v>
                </c:pt>
                <c:pt idx="98">
                  <c:v>-0.00758770494242278</c:v>
                </c:pt>
                <c:pt idx="99">
                  <c:v>0.0246461981290478</c:v>
                </c:pt>
                <c:pt idx="100">
                  <c:v>0.0161526306548838</c:v>
                </c:pt>
                <c:pt idx="101">
                  <c:v>0.00498185797385253</c:v>
                </c:pt>
                <c:pt idx="102">
                  <c:v>-0.0243273446230551</c:v>
                </c:pt>
                <c:pt idx="103">
                  <c:v>-0.0110425844346549</c:v>
                </c:pt>
                <c:pt idx="104">
                  <c:v>0.00641444437845218</c:v>
                </c:pt>
                <c:pt idx="105">
                  <c:v>-0.0124225435231631</c:v>
                </c:pt>
                <c:pt idx="106">
                  <c:v>0.0369595745316562</c:v>
                </c:pt>
                <c:pt idx="107">
                  <c:v>-0.0176914654526594</c:v>
                </c:pt>
                <c:pt idx="108">
                  <c:v>-0.00510383667722636</c:v>
                </c:pt>
                <c:pt idx="109">
                  <c:v>0.0160386815260334</c:v>
                </c:pt>
                <c:pt idx="110">
                  <c:v>-0.0190934942835587</c:v>
                </c:pt>
                <c:pt idx="111">
                  <c:v>-0.0138740977399124</c:v>
                </c:pt>
                <c:pt idx="112">
                  <c:v>-0.0158992050397481</c:v>
                </c:pt>
                <c:pt idx="113">
                  <c:v>-0.00618808108520053</c:v>
                </c:pt>
                <c:pt idx="114">
                  <c:v>0.0196920434329182</c:v>
                </c:pt>
                <c:pt idx="115">
                  <c:v>-0.00956563590422332</c:v>
                </c:pt>
                <c:pt idx="116">
                  <c:v>0.0500820020652373</c:v>
                </c:pt>
                <c:pt idx="117">
                  <c:v>0.00410701373825018</c:v>
                </c:pt>
                <c:pt idx="118">
                  <c:v>0.0164472736699599</c:v>
                </c:pt>
                <c:pt idx="119">
                  <c:v>-0.0240024937655859</c:v>
                </c:pt>
                <c:pt idx="120">
                  <c:v>0.0094944978368805</c:v>
                </c:pt>
                <c:pt idx="121">
                  <c:v>-0.0613782788771284</c:v>
                </c:pt>
                <c:pt idx="122">
                  <c:v>-0.00646564932279203</c:v>
                </c:pt>
                <c:pt idx="123">
                  <c:v>-0.013323875026987</c:v>
                </c:pt>
                <c:pt idx="124">
                  <c:v>0.0302897689975306</c:v>
                </c:pt>
                <c:pt idx="125">
                  <c:v>-0.0508191747572816</c:v>
                </c:pt>
                <c:pt idx="126">
                  <c:v>0.0218635128655904</c:v>
                </c:pt>
                <c:pt idx="127">
                  <c:v>-0.00250242422346647</c:v>
                </c:pt>
                <c:pt idx="128">
                  <c:v>-0.00868638088369023</c:v>
                </c:pt>
                <c:pt idx="129">
                  <c:v>-0.0322029609009237</c:v>
                </c:pt>
                <c:pt idx="130">
                  <c:v>-0.0179773811858535</c:v>
                </c:pt>
                <c:pt idx="131">
                  <c:v>-0.0202369857542271</c:v>
                </c:pt>
                <c:pt idx="132">
                  <c:v>0.0178692757168093</c:v>
                </c:pt>
                <c:pt idx="133">
                  <c:v>0.0118483412322274</c:v>
                </c:pt>
                <c:pt idx="134">
                  <c:v>0.0415938252465613</c:v>
                </c:pt>
                <c:pt idx="135">
                  <c:v>-0.0239723858382418</c:v>
                </c:pt>
                <c:pt idx="136">
                  <c:v>0.0601213458356316</c:v>
                </c:pt>
                <c:pt idx="137">
                  <c:v>-0.0281569443594295</c:v>
                </c:pt>
                <c:pt idx="138">
                  <c:v>0.0239654846633495</c:v>
                </c:pt>
                <c:pt idx="139">
                  <c:v>0.00959557127479616</c:v>
                </c:pt>
                <c:pt idx="140">
                  <c:v>-0.00767660767051503</c:v>
                </c:pt>
                <c:pt idx="141">
                  <c:v>-0.00853415195702212</c:v>
                </c:pt>
                <c:pt idx="142">
                  <c:v>-0.00365359011672917</c:v>
                </c:pt>
                <c:pt idx="143">
                  <c:v>0.0150408651605083</c:v>
                </c:pt>
                <c:pt idx="144">
                  <c:v>0.0274928818540858</c:v>
                </c:pt>
                <c:pt idx="145">
                  <c:v>0.0770239265814485</c:v>
                </c:pt>
                <c:pt idx="146">
                  <c:v>-0.0363525701322415</c:v>
                </c:pt>
                <c:pt idx="147">
                  <c:v>0.0275034451079468</c:v>
                </c:pt>
                <c:pt idx="148">
                  <c:v>-0.00787929589270742</c:v>
                </c:pt>
                <c:pt idx="149">
                  <c:v>0.0292046862678834</c:v>
                </c:pt>
                <c:pt idx="150">
                  <c:v>-0.00990559584074435</c:v>
                </c:pt>
                <c:pt idx="151">
                  <c:v>0.0064118508691926</c:v>
                </c:pt>
                <c:pt idx="152">
                  <c:v>0.0189207744061515</c:v>
                </c:pt>
                <c:pt idx="153">
                  <c:v>0.0284605433376455</c:v>
                </c:pt>
                <c:pt idx="154">
                  <c:v>-0.0171121593291406</c:v>
                </c:pt>
                <c:pt idx="155">
                  <c:v>-0.0123177006958701</c:v>
                </c:pt>
                <c:pt idx="156">
                  <c:v>-0.00583074638952619</c:v>
                </c:pt>
                <c:pt idx="157">
                  <c:v>-0.00247087892693265</c:v>
                </c:pt>
                <c:pt idx="158">
                  <c:v>0.000979911807937217</c:v>
                </c:pt>
              </c:numCache>
            </c:numRef>
          </c:val>
        </c:ser>
        <c:gapWidth val="150"/>
        <c:overlap val="0"/>
        <c:axId val="46247752"/>
        <c:axId val="3739771"/>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(Calc)'!$AK$3:$AK$500</c:f>
              <c:numCache>
                <c:formatCode>#,##0.00</c:formatCode>
                <c:ptCount val="498"/>
                <c:pt idx="0">
                  <c:v>235.63</c:v>
                </c:pt>
                <c:pt idx="1">
                  <c:v>234.138670886076</c:v>
                </c:pt>
                <c:pt idx="2">
                  <c:v>232.647341772152</c:v>
                </c:pt>
                <c:pt idx="3">
                  <c:v>231.156012658228</c:v>
                </c:pt>
                <c:pt idx="4">
                  <c:v>229.664683544304</c:v>
                </c:pt>
                <c:pt idx="5">
                  <c:v>228.17335443038</c:v>
                </c:pt>
                <c:pt idx="6">
                  <c:v>226.682025316456</c:v>
                </c:pt>
                <c:pt idx="7">
                  <c:v>225.190696202532</c:v>
                </c:pt>
                <c:pt idx="8">
                  <c:v>223.699367088608</c:v>
                </c:pt>
                <c:pt idx="9">
                  <c:v>222.208037974684</c:v>
                </c:pt>
                <c:pt idx="10">
                  <c:v>220.71670886076</c:v>
                </c:pt>
                <c:pt idx="11">
                  <c:v>219.225379746835</c:v>
                </c:pt>
                <c:pt idx="12">
                  <c:v>217.734050632911</c:v>
                </c:pt>
                <c:pt idx="13">
                  <c:v>216.242721518987</c:v>
                </c:pt>
                <c:pt idx="14">
                  <c:v>214.751392405063</c:v>
                </c:pt>
                <c:pt idx="15">
                  <c:v>213.260063291139</c:v>
                </c:pt>
                <c:pt idx="16">
                  <c:v>211.768734177215</c:v>
                </c:pt>
                <c:pt idx="17">
                  <c:v>210.277405063291</c:v>
                </c:pt>
                <c:pt idx="18">
                  <c:v>208.786075949367</c:v>
                </c:pt>
                <c:pt idx="19">
                  <c:v>207.294746835443</c:v>
                </c:pt>
                <c:pt idx="20">
                  <c:v>205.803417721519</c:v>
                </c:pt>
                <c:pt idx="21">
                  <c:v>204.312088607595</c:v>
                </c:pt>
                <c:pt idx="22">
                  <c:v>202.820759493671</c:v>
                </c:pt>
                <c:pt idx="23">
                  <c:v>201.329430379747</c:v>
                </c:pt>
                <c:pt idx="24">
                  <c:v>199.838101265823</c:v>
                </c:pt>
                <c:pt idx="25">
                  <c:v>198.346772151899</c:v>
                </c:pt>
                <c:pt idx="26">
                  <c:v>196.855443037975</c:v>
                </c:pt>
                <c:pt idx="27">
                  <c:v>195.364113924051</c:v>
                </c:pt>
                <c:pt idx="28">
                  <c:v>193.872784810127</c:v>
                </c:pt>
                <c:pt idx="29">
                  <c:v>192.381455696203</c:v>
                </c:pt>
                <c:pt idx="30">
                  <c:v>190.890126582278</c:v>
                </c:pt>
                <c:pt idx="31">
                  <c:v>189.398797468354</c:v>
                </c:pt>
                <c:pt idx="32">
                  <c:v>187.90746835443</c:v>
                </c:pt>
                <c:pt idx="33">
                  <c:v>186.416139240506</c:v>
                </c:pt>
                <c:pt idx="34">
                  <c:v>184.924810126582</c:v>
                </c:pt>
                <c:pt idx="35">
                  <c:v>183.433481012658</c:v>
                </c:pt>
                <c:pt idx="36">
                  <c:v>181.942151898734</c:v>
                </c:pt>
                <c:pt idx="37">
                  <c:v>180.45082278481</c:v>
                </c:pt>
                <c:pt idx="38">
                  <c:v>178.959493670886</c:v>
                </c:pt>
                <c:pt idx="39">
                  <c:v>177.468164556962</c:v>
                </c:pt>
                <c:pt idx="40">
                  <c:v>175.976835443038</c:v>
                </c:pt>
                <c:pt idx="41">
                  <c:v>174.485506329114</c:v>
                </c:pt>
                <c:pt idx="42">
                  <c:v>172.99417721519</c:v>
                </c:pt>
                <c:pt idx="43">
                  <c:v>171.502848101266</c:v>
                </c:pt>
                <c:pt idx="44">
                  <c:v>170.011518987342</c:v>
                </c:pt>
                <c:pt idx="45">
                  <c:v>168.520189873418</c:v>
                </c:pt>
                <c:pt idx="46">
                  <c:v>167.028860759494</c:v>
                </c:pt>
                <c:pt idx="47">
                  <c:v>165.53753164557</c:v>
                </c:pt>
                <c:pt idx="48">
                  <c:v>164.046202531646</c:v>
                </c:pt>
                <c:pt idx="49">
                  <c:v>162.554873417722</c:v>
                </c:pt>
                <c:pt idx="50">
                  <c:v>161.063544303797</c:v>
                </c:pt>
                <c:pt idx="51">
                  <c:v>159.572215189873</c:v>
                </c:pt>
                <c:pt idx="52">
                  <c:v>158.080886075949</c:v>
                </c:pt>
                <c:pt idx="53">
                  <c:v>156.589556962025</c:v>
                </c:pt>
                <c:pt idx="54">
                  <c:v>155.098227848101</c:v>
                </c:pt>
                <c:pt idx="55">
                  <c:v>153.606898734177</c:v>
                </c:pt>
                <c:pt idx="56">
                  <c:v>152.115569620253</c:v>
                </c:pt>
                <c:pt idx="57">
                  <c:v>150.624240506329</c:v>
                </c:pt>
                <c:pt idx="58">
                  <c:v>149.132911392405</c:v>
                </c:pt>
                <c:pt idx="59">
                  <c:v>147.641582278481</c:v>
                </c:pt>
                <c:pt idx="60">
                  <c:v>146.150253164557</c:v>
                </c:pt>
                <c:pt idx="61">
                  <c:v>144.658924050633</c:v>
                </c:pt>
                <c:pt idx="62">
                  <c:v>143.167594936709</c:v>
                </c:pt>
                <c:pt idx="63">
                  <c:v>141.676265822785</c:v>
                </c:pt>
                <c:pt idx="64">
                  <c:v>140.184936708861</c:v>
                </c:pt>
                <c:pt idx="65">
                  <c:v>138.693607594937</c:v>
                </c:pt>
                <c:pt idx="66">
                  <c:v>137.202278481013</c:v>
                </c:pt>
                <c:pt idx="67">
                  <c:v>135.710949367089</c:v>
                </c:pt>
                <c:pt idx="68">
                  <c:v>134.219620253165</c:v>
                </c:pt>
                <c:pt idx="69">
                  <c:v>132.728291139241</c:v>
                </c:pt>
                <c:pt idx="70">
                  <c:v>131.236962025316</c:v>
                </c:pt>
                <c:pt idx="71">
                  <c:v>129.745632911392</c:v>
                </c:pt>
                <c:pt idx="72">
                  <c:v>128.254303797468</c:v>
                </c:pt>
                <c:pt idx="73">
                  <c:v>126.762974683544</c:v>
                </c:pt>
                <c:pt idx="74">
                  <c:v>125.27164556962</c:v>
                </c:pt>
                <c:pt idx="75">
                  <c:v>123.780316455696</c:v>
                </c:pt>
                <c:pt idx="76">
                  <c:v>122.288987341772</c:v>
                </c:pt>
                <c:pt idx="77">
                  <c:v>120.797658227848</c:v>
                </c:pt>
                <c:pt idx="78">
                  <c:v>119.306329113924</c:v>
                </c:pt>
                <c:pt idx="79">
                  <c:v>117.815</c:v>
                </c:pt>
                <c:pt idx="80">
                  <c:v>116.323670886076</c:v>
                </c:pt>
                <c:pt idx="81">
                  <c:v>114.832341772152</c:v>
                </c:pt>
                <c:pt idx="82">
                  <c:v>113.341012658228</c:v>
                </c:pt>
                <c:pt idx="83">
                  <c:v>111.849683544304</c:v>
                </c:pt>
                <c:pt idx="84">
                  <c:v>110.35835443038</c:v>
                </c:pt>
                <c:pt idx="85">
                  <c:v>108.867025316456</c:v>
                </c:pt>
                <c:pt idx="86">
                  <c:v>107.375696202532</c:v>
                </c:pt>
                <c:pt idx="87">
                  <c:v>105.884367088608</c:v>
                </c:pt>
                <c:pt idx="88">
                  <c:v>104.393037974684</c:v>
                </c:pt>
                <c:pt idx="89">
                  <c:v>102.90170886076</c:v>
                </c:pt>
                <c:pt idx="90">
                  <c:v>101.410379746835</c:v>
                </c:pt>
                <c:pt idx="91">
                  <c:v>99.9190506329114</c:v>
                </c:pt>
                <c:pt idx="92">
                  <c:v>98.4277215189873</c:v>
                </c:pt>
                <c:pt idx="93">
                  <c:v>96.9363924050633</c:v>
                </c:pt>
                <c:pt idx="94">
                  <c:v>95.4450632911392</c:v>
                </c:pt>
                <c:pt idx="95">
                  <c:v>93.9537341772152</c:v>
                </c:pt>
                <c:pt idx="96">
                  <c:v>92.4624050632911</c:v>
                </c:pt>
                <c:pt idx="97">
                  <c:v>90.9710759493671</c:v>
                </c:pt>
                <c:pt idx="98">
                  <c:v>89.4797468354431</c:v>
                </c:pt>
                <c:pt idx="99">
                  <c:v>87.988417721519</c:v>
                </c:pt>
                <c:pt idx="100">
                  <c:v>86.4970886075949</c:v>
                </c:pt>
                <c:pt idx="101">
                  <c:v>85.0057594936709</c:v>
                </c:pt>
                <c:pt idx="102">
                  <c:v>83.5144303797468</c:v>
                </c:pt>
                <c:pt idx="103">
                  <c:v>82.0231012658228</c:v>
                </c:pt>
                <c:pt idx="104">
                  <c:v>80.5317721518987</c:v>
                </c:pt>
                <c:pt idx="105">
                  <c:v>79.0404430379747</c:v>
                </c:pt>
                <c:pt idx="106">
                  <c:v>77.5491139240506</c:v>
                </c:pt>
                <c:pt idx="107">
                  <c:v>76.0577848101266</c:v>
                </c:pt>
                <c:pt idx="108">
                  <c:v>74.5664556962025</c:v>
                </c:pt>
                <c:pt idx="109">
                  <c:v>73.0751265822785</c:v>
                </c:pt>
                <c:pt idx="110">
                  <c:v>71.5837974683544</c:v>
                </c:pt>
                <c:pt idx="111">
                  <c:v>70.0924683544304</c:v>
                </c:pt>
                <c:pt idx="112">
                  <c:v>68.6011392405063</c:v>
                </c:pt>
                <c:pt idx="113">
                  <c:v>67.1098101265823</c:v>
                </c:pt>
                <c:pt idx="114">
                  <c:v>65.6184810126582</c:v>
                </c:pt>
                <c:pt idx="115">
                  <c:v>64.1271518987342</c:v>
                </c:pt>
                <c:pt idx="116">
                  <c:v>62.6358227848101</c:v>
                </c:pt>
                <c:pt idx="117">
                  <c:v>61.1444936708861</c:v>
                </c:pt>
                <c:pt idx="118">
                  <c:v>59.653164556962</c:v>
                </c:pt>
                <c:pt idx="119">
                  <c:v>58.161835443038</c:v>
                </c:pt>
                <c:pt idx="120">
                  <c:v>56.6705063291139</c:v>
                </c:pt>
                <c:pt idx="121">
                  <c:v>55.1791772151899</c:v>
                </c:pt>
                <c:pt idx="122">
                  <c:v>53.6878481012658</c:v>
                </c:pt>
                <c:pt idx="123">
                  <c:v>52.1965189873418</c:v>
                </c:pt>
                <c:pt idx="124">
                  <c:v>50.7051898734177</c:v>
                </c:pt>
                <c:pt idx="125">
                  <c:v>49.2138607594937</c:v>
                </c:pt>
                <c:pt idx="126">
                  <c:v>47.7225316455696</c:v>
                </c:pt>
                <c:pt idx="127">
                  <c:v>46.2312025316456</c:v>
                </c:pt>
                <c:pt idx="128">
                  <c:v>44.7398734177215</c:v>
                </c:pt>
                <c:pt idx="129">
                  <c:v>43.2485443037975</c:v>
                </c:pt>
                <c:pt idx="130">
                  <c:v>41.7572151898734</c:v>
                </c:pt>
                <c:pt idx="131">
                  <c:v>40.2658860759494</c:v>
                </c:pt>
                <c:pt idx="132">
                  <c:v>38.7745569620253</c:v>
                </c:pt>
                <c:pt idx="133">
                  <c:v>37.2832278481013</c:v>
                </c:pt>
                <c:pt idx="134">
                  <c:v>35.7918987341772</c:v>
                </c:pt>
                <c:pt idx="135">
                  <c:v>34.3005696202532</c:v>
                </c:pt>
                <c:pt idx="136">
                  <c:v>32.8092405063291</c:v>
                </c:pt>
                <c:pt idx="137">
                  <c:v>31.3179113924051</c:v>
                </c:pt>
                <c:pt idx="138">
                  <c:v>29.826582278481</c:v>
                </c:pt>
                <c:pt idx="139">
                  <c:v>28.3352531645569</c:v>
                </c:pt>
                <c:pt idx="140">
                  <c:v>26.8439240506329</c:v>
                </c:pt>
                <c:pt idx="141">
                  <c:v>25.3525949367088</c:v>
                </c:pt>
                <c:pt idx="142">
                  <c:v>23.8612658227848</c:v>
                </c:pt>
                <c:pt idx="143">
                  <c:v>22.3699367088608</c:v>
                </c:pt>
                <c:pt idx="144">
                  <c:v>20.8786075949367</c:v>
                </c:pt>
                <c:pt idx="145">
                  <c:v>19.3872784810127</c:v>
                </c:pt>
                <c:pt idx="146">
                  <c:v>17.8959493670886</c:v>
                </c:pt>
                <c:pt idx="147">
                  <c:v>16.4046202531646</c:v>
                </c:pt>
                <c:pt idx="148">
                  <c:v>14.9132911392405</c:v>
                </c:pt>
                <c:pt idx="149">
                  <c:v>13.4219620253164</c:v>
                </c:pt>
                <c:pt idx="150">
                  <c:v>11.9306329113924</c:v>
                </c:pt>
                <c:pt idx="151">
                  <c:v>10.4393037974684</c:v>
                </c:pt>
                <c:pt idx="152">
                  <c:v>8.94797468354429</c:v>
                </c:pt>
                <c:pt idx="153">
                  <c:v>7.45664556962026</c:v>
                </c:pt>
                <c:pt idx="154">
                  <c:v>5.96531645569621</c:v>
                </c:pt>
                <c:pt idx="155">
                  <c:v>4.47398734177213</c:v>
                </c:pt>
                <c:pt idx="156">
                  <c:v>2.98265822784811</c:v>
                </c:pt>
                <c:pt idx="157">
                  <c:v>1.49132911392408</c:v>
                </c:pt>
                <c:pt idx="158">
                  <c:v>0</c:v>
                </c:pt>
                <c:pt idx="159">
                  <c:v>-1.49132911392405</c:v>
                </c:pt>
              </c:numCache>
            </c:numRef>
          </c:val>
          <c:smooth val="0"/>
        </c:ser>
        <c:hiLowLines>
          <c:spPr>
            <a:ln w="0">
              <a:noFill/>
            </a:ln>
          </c:spPr>
        </c:hiLowLines>
        <c:marker val="0"/>
        <c:axId val="72772479"/>
        <c:axId val="94509575"/>
      </c:lineChart>
      <c:dateAx>
        <c:axId val="4624775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39771"/>
        <c:auto val="1"/>
        <c:lblOffset val="100"/>
        <c:baseTimeUnit val="days"/>
      </c:dateAx>
      <c:valAx>
        <c:axId val="373977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247752"/>
        <c:crosses val="autoZero"/>
        <c:crossBetween val="between"/>
      </c:valAx>
      <c:dateAx>
        <c:axId val="7277247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509575"/>
        <c:auto val="1"/>
        <c:lblOffset val="100"/>
        <c:baseTimeUnit val="days"/>
      </c:dateAx>
      <c:valAx>
        <c:axId val="9450957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77247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(Calc)'!$R$3:$R$500</c:f>
              <c:numCache>
                <c:formatCode>0.0%</c:formatCode>
                <c:ptCount val="498"/>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pt idx="155">
                  <c:v>0.0255793991416309</c:v>
                </c:pt>
                <c:pt idx="156">
                  <c:v>0.0132239705390023</c:v>
                </c:pt>
                <c:pt idx="157">
                  <c:v>-0.011399306129192</c:v>
                </c:pt>
                <c:pt idx="158">
                  <c:v>-0.00618315508021394</c:v>
                </c:pt>
              </c:numCache>
            </c:numRef>
          </c:val>
        </c:ser>
        <c:gapWidth val="150"/>
        <c:overlap val="0"/>
        <c:axId val="99385883"/>
        <c:axId val="672072"/>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(Calc)'!$AL$3:$AL$500</c:f>
              <c:numCache>
                <c:formatCode>#,##0.00</c:formatCode>
                <c:ptCount val="498"/>
                <c:pt idx="0">
                  <c:v>47.82</c:v>
                </c:pt>
                <c:pt idx="1">
                  <c:v>47.5173417721519</c:v>
                </c:pt>
                <c:pt idx="2">
                  <c:v>47.2146835443038</c:v>
                </c:pt>
                <c:pt idx="3">
                  <c:v>46.9120253164557</c:v>
                </c:pt>
                <c:pt idx="4">
                  <c:v>46.6093670886076</c:v>
                </c:pt>
                <c:pt idx="5">
                  <c:v>46.3067088607595</c:v>
                </c:pt>
                <c:pt idx="6">
                  <c:v>46.0040506329114</c:v>
                </c:pt>
                <c:pt idx="7">
                  <c:v>45.7013924050633</c:v>
                </c:pt>
                <c:pt idx="8">
                  <c:v>45.3987341772152</c:v>
                </c:pt>
                <c:pt idx="9">
                  <c:v>45.0960759493671</c:v>
                </c:pt>
                <c:pt idx="10">
                  <c:v>44.793417721519</c:v>
                </c:pt>
                <c:pt idx="11">
                  <c:v>44.4907594936709</c:v>
                </c:pt>
                <c:pt idx="12">
                  <c:v>44.1881012658228</c:v>
                </c:pt>
                <c:pt idx="13">
                  <c:v>43.8854430379747</c:v>
                </c:pt>
                <c:pt idx="14">
                  <c:v>43.5827848101266</c:v>
                </c:pt>
                <c:pt idx="15">
                  <c:v>43.2801265822785</c:v>
                </c:pt>
                <c:pt idx="16">
                  <c:v>42.9774683544304</c:v>
                </c:pt>
                <c:pt idx="17">
                  <c:v>42.6748101265823</c:v>
                </c:pt>
                <c:pt idx="18">
                  <c:v>42.3721518987342</c:v>
                </c:pt>
                <c:pt idx="19">
                  <c:v>42.0694936708861</c:v>
                </c:pt>
                <c:pt idx="20">
                  <c:v>41.766835443038</c:v>
                </c:pt>
                <c:pt idx="21">
                  <c:v>41.4641772151899</c:v>
                </c:pt>
                <c:pt idx="22">
                  <c:v>41.1615189873418</c:v>
                </c:pt>
                <c:pt idx="23">
                  <c:v>40.8588607594937</c:v>
                </c:pt>
                <c:pt idx="24">
                  <c:v>40.5562025316456</c:v>
                </c:pt>
                <c:pt idx="25">
                  <c:v>40.2535443037975</c:v>
                </c:pt>
                <c:pt idx="26">
                  <c:v>39.9508860759494</c:v>
                </c:pt>
                <c:pt idx="27">
                  <c:v>39.6482278481013</c:v>
                </c:pt>
                <c:pt idx="28">
                  <c:v>39.3455696202532</c:v>
                </c:pt>
                <c:pt idx="29">
                  <c:v>39.0429113924051</c:v>
                </c:pt>
                <c:pt idx="30">
                  <c:v>38.740253164557</c:v>
                </c:pt>
                <c:pt idx="31">
                  <c:v>38.4375949367089</c:v>
                </c:pt>
                <c:pt idx="32">
                  <c:v>38.1349367088608</c:v>
                </c:pt>
                <c:pt idx="33">
                  <c:v>37.8322784810127</c:v>
                </c:pt>
                <c:pt idx="34">
                  <c:v>37.5296202531646</c:v>
                </c:pt>
                <c:pt idx="35">
                  <c:v>37.2269620253165</c:v>
                </c:pt>
                <c:pt idx="36">
                  <c:v>36.9243037974684</c:v>
                </c:pt>
                <c:pt idx="37">
                  <c:v>36.6216455696203</c:v>
                </c:pt>
                <c:pt idx="38">
                  <c:v>36.3189873417722</c:v>
                </c:pt>
                <c:pt idx="39">
                  <c:v>36.0163291139241</c:v>
                </c:pt>
                <c:pt idx="40">
                  <c:v>35.7136708860759</c:v>
                </c:pt>
                <c:pt idx="41">
                  <c:v>35.4110126582279</c:v>
                </c:pt>
                <c:pt idx="42">
                  <c:v>35.1083544303798</c:v>
                </c:pt>
                <c:pt idx="43">
                  <c:v>34.8056962025316</c:v>
                </c:pt>
                <c:pt idx="44">
                  <c:v>34.5030379746835</c:v>
                </c:pt>
                <c:pt idx="45">
                  <c:v>34.2003797468354</c:v>
                </c:pt>
                <c:pt idx="46">
                  <c:v>33.8977215189873</c:v>
                </c:pt>
                <c:pt idx="47">
                  <c:v>33.5950632911392</c:v>
                </c:pt>
                <c:pt idx="48">
                  <c:v>33.2924050632911</c:v>
                </c:pt>
                <c:pt idx="49">
                  <c:v>32.989746835443</c:v>
                </c:pt>
                <c:pt idx="50">
                  <c:v>32.6870886075949</c:v>
                </c:pt>
                <c:pt idx="51">
                  <c:v>32.3844303797468</c:v>
                </c:pt>
                <c:pt idx="52">
                  <c:v>32.0817721518987</c:v>
                </c:pt>
                <c:pt idx="53">
                  <c:v>31.7791139240506</c:v>
                </c:pt>
                <c:pt idx="54">
                  <c:v>31.4764556962025</c:v>
                </c:pt>
                <c:pt idx="55">
                  <c:v>31.1737974683544</c:v>
                </c:pt>
                <c:pt idx="56">
                  <c:v>30.8711392405063</c:v>
                </c:pt>
                <c:pt idx="57">
                  <c:v>30.5684810126582</c:v>
                </c:pt>
                <c:pt idx="58">
                  <c:v>30.2658227848101</c:v>
                </c:pt>
                <c:pt idx="59">
                  <c:v>29.963164556962</c:v>
                </c:pt>
                <c:pt idx="60">
                  <c:v>29.6605063291139</c:v>
                </c:pt>
                <c:pt idx="61">
                  <c:v>29.3578481012658</c:v>
                </c:pt>
                <c:pt idx="62">
                  <c:v>29.0551898734177</c:v>
                </c:pt>
                <c:pt idx="63">
                  <c:v>28.7525316455696</c:v>
                </c:pt>
                <c:pt idx="64">
                  <c:v>28.4498734177215</c:v>
                </c:pt>
                <c:pt idx="65">
                  <c:v>28.1472151898734</c:v>
                </c:pt>
                <c:pt idx="66">
                  <c:v>27.8445569620253</c:v>
                </c:pt>
                <c:pt idx="67">
                  <c:v>27.5418987341772</c:v>
                </c:pt>
                <c:pt idx="68">
                  <c:v>27.2392405063291</c:v>
                </c:pt>
                <c:pt idx="69">
                  <c:v>26.936582278481</c:v>
                </c:pt>
                <c:pt idx="70">
                  <c:v>26.6339240506329</c:v>
                </c:pt>
                <c:pt idx="71">
                  <c:v>26.3312658227848</c:v>
                </c:pt>
                <c:pt idx="72">
                  <c:v>26.0286075949367</c:v>
                </c:pt>
                <c:pt idx="73">
                  <c:v>25.7259493670886</c:v>
                </c:pt>
                <c:pt idx="74">
                  <c:v>25.4232911392405</c:v>
                </c:pt>
                <c:pt idx="75">
                  <c:v>25.1206329113924</c:v>
                </c:pt>
                <c:pt idx="76">
                  <c:v>24.8179746835443</c:v>
                </c:pt>
                <c:pt idx="77">
                  <c:v>24.5153164556962</c:v>
                </c:pt>
                <c:pt idx="78">
                  <c:v>24.2126582278481</c:v>
                </c:pt>
                <c:pt idx="79">
                  <c:v>23.91</c:v>
                </c:pt>
                <c:pt idx="80">
                  <c:v>23.6073417721519</c:v>
                </c:pt>
                <c:pt idx="81">
                  <c:v>23.3046835443038</c:v>
                </c:pt>
                <c:pt idx="82">
                  <c:v>23.0020253164557</c:v>
                </c:pt>
                <c:pt idx="83">
                  <c:v>22.6993670886076</c:v>
                </c:pt>
                <c:pt idx="84">
                  <c:v>22.3967088607595</c:v>
                </c:pt>
                <c:pt idx="85">
                  <c:v>22.0940506329114</c:v>
                </c:pt>
                <c:pt idx="86">
                  <c:v>21.7913924050633</c:v>
                </c:pt>
                <c:pt idx="87">
                  <c:v>21.4887341772152</c:v>
                </c:pt>
                <c:pt idx="88">
                  <c:v>21.1860759493671</c:v>
                </c:pt>
                <c:pt idx="89">
                  <c:v>20.883417721519</c:v>
                </c:pt>
                <c:pt idx="90">
                  <c:v>20.5807594936709</c:v>
                </c:pt>
                <c:pt idx="91">
                  <c:v>20.2781012658228</c:v>
                </c:pt>
                <c:pt idx="92">
                  <c:v>19.9754430379747</c:v>
                </c:pt>
                <c:pt idx="93">
                  <c:v>19.6727848101266</c:v>
                </c:pt>
                <c:pt idx="94">
                  <c:v>19.3701265822785</c:v>
                </c:pt>
                <c:pt idx="95">
                  <c:v>19.0674683544304</c:v>
                </c:pt>
                <c:pt idx="96">
                  <c:v>18.7648101265823</c:v>
                </c:pt>
                <c:pt idx="97">
                  <c:v>18.4621518987342</c:v>
                </c:pt>
                <c:pt idx="98">
                  <c:v>18.1594936708861</c:v>
                </c:pt>
                <c:pt idx="99">
                  <c:v>17.856835443038</c:v>
                </c:pt>
                <c:pt idx="100">
                  <c:v>17.5541772151899</c:v>
                </c:pt>
                <c:pt idx="101">
                  <c:v>17.2515189873418</c:v>
                </c:pt>
                <c:pt idx="102">
                  <c:v>16.9488607594937</c:v>
                </c:pt>
                <c:pt idx="103">
                  <c:v>16.6462025316456</c:v>
                </c:pt>
                <c:pt idx="104">
                  <c:v>16.3435443037975</c:v>
                </c:pt>
                <c:pt idx="105">
                  <c:v>16.0408860759494</c:v>
                </c:pt>
                <c:pt idx="106">
                  <c:v>15.7382278481013</c:v>
                </c:pt>
                <c:pt idx="107">
                  <c:v>15.4355696202532</c:v>
                </c:pt>
                <c:pt idx="108">
                  <c:v>15.1329113924051</c:v>
                </c:pt>
                <c:pt idx="109">
                  <c:v>14.830253164557</c:v>
                </c:pt>
                <c:pt idx="110">
                  <c:v>14.5275949367089</c:v>
                </c:pt>
                <c:pt idx="111">
                  <c:v>14.2249367088608</c:v>
                </c:pt>
                <c:pt idx="112">
                  <c:v>13.9222784810127</c:v>
                </c:pt>
                <c:pt idx="113">
                  <c:v>13.6196202531646</c:v>
                </c:pt>
                <c:pt idx="114">
                  <c:v>13.3169620253165</c:v>
                </c:pt>
                <c:pt idx="115">
                  <c:v>13.0143037974684</c:v>
                </c:pt>
                <c:pt idx="116">
                  <c:v>12.7116455696203</c:v>
                </c:pt>
                <c:pt idx="117">
                  <c:v>12.4089873417722</c:v>
                </c:pt>
                <c:pt idx="118">
                  <c:v>12.106329113924</c:v>
                </c:pt>
                <c:pt idx="119">
                  <c:v>11.8036708860759</c:v>
                </c:pt>
                <c:pt idx="120">
                  <c:v>11.5010126582279</c:v>
                </c:pt>
                <c:pt idx="121">
                  <c:v>11.1983544303797</c:v>
                </c:pt>
                <c:pt idx="122">
                  <c:v>10.8956962025316</c:v>
                </c:pt>
                <c:pt idx="123">
                  <c:v>10.5930379746835</c:v>
                </c:pt>
                <c:pt idx="124">
                  <c:v>10.2903797468354</c:v>
                </c:pt>
                <c:pt idx="125">
                  <c:v>9.98772151898734</c:v>
                </c:pt>
                <c:pt idx="126">
                  <c:v>9.68506329113924</c:v>
                </c:pt>
                <c:pt idx="127">
                  <c:v>9.38240506329114</c:v>
                </c:pt>
                <c:pt idx="128">
                  <c:v>9.07974683544304</c:v>
                </c:pt>
                <c:pt idx="129">
                  <c:v>8.77708860759494</c:v>
                </c:pt>
                <c:pt idx="130">
                  <c:v>8.47443037974684</c:v>
                </c:pt>
                <c:pt idx="131">
                  <c:v>8.17177215189874</c:v>
                </c:pt>
                <c:pt idx="132">
                  <c:v>7.86911392405064</c:v>
                </c:pt>
                <c:pt idx="133">
                  <c:v>7.56645569620253</c:v>
                </c:pt>
                <c:pt idx="134">
                  <c:v>7.26379746835443</c:v>
                </c:pt>
                <c:pt idx="135">
                  <c:v>6.96113924050633</c:v>
                </c:pt>
                <c:pt idx="136">
                  <c:v>6.65848101265823</c:v>
                </c:pt>
                <c:pt idx="137">
                  <c:v>6.35582278481012</c:v>
                </c:pt>
                <c:pt idx="138">
                  <c:v>6.05316455696202</c:v>
                </c:pt>
                <c:pt idx="139">
                  <c:v>5.75050632911392</c:v>
                </c:pt>
                <c:pt idx="140">
                  <c:v>5.44784810126582</c:v>
                </c:pt>
                <c:pt idx="141">
                  <c:v>5.14518987341772</c:v>
                </c:pt>
                <c:pt idx="142">
                  <c:v>4.84253164556962</c:v>
                </c:pt>
                <c:pt idx="143">
                  <c:v>4.53987341772152</c:v>
                </c:pt>
                <c:pt idx="144">
                  <c:v>4.23721518987342</c:v>
                </c:pt>
                <c:pt idx="145">
                  <c:v>3.93455696202532</c:v>
                </c:pt>
                <c:pt idx="146">
                  <c:v>3.63189873417721</c:v>
                </c:pt>
                <c:pt idx="147">
                  <c:v>3.32924050632911</c:v>
                </c:pt>
                <c:pt idx="148">
                  <c:v>3.02658227848102</c:v>
                </c:pt>
                <c:pt idx="149">
                  <c:v>2.72392405063291</c:v>
                </c:pt>
                <c:pt idx="150">
                  <c:v>2.42126582278481</c:v>
                </c:pt>
                <c:pt idx="151">
                  <c:v>2.11860759493671</c:v>
                </c:pt>
                <c:pt idx="152">
                  <c:v>1.81594936708861</c:v>
                </c:pt>
                <c:pt idx="153">
                  <c:v>1.51329113924051</c:v>
                </c:pt>
                <c:pt idx="154">
                  <c:v>1.21063291139241</c:v>
                </c:pt>
                <c:pt idx="155">
                  <c:v>0.907974683544303</c:v>
                </c:pt>
                <c:pt idx="156">
                  <c:v>0.605316455696205</c:v>
                </c:pt>
                <c:pt idx="157">
                  <c:v>0.302658227848106</c:v>
                </c:pt>
                <c:pt idx="158">
                  <c:v>0</c:v>
                </c:pt>
                <c:pt idx="159">
                  <c:v>-0.302658227848099</c:v>
                </c:pt>
              </c:numCache>
            </c:numRef>
          </c:val>
          <c:smooth val="0"/>
        </c:ser>
        <c:hiLowLines>
          <c:spPr>
            <a:ln w="0">
              <a:noFill/>
            </a:ln>
          </c:spPr>
        </c:hiLowLines>
        <c:marker val="0"/>
        <c:axId val="50351381"/>
        <c:axId val="67245886"/>
      </c:lineChart>
      <c:dateAx>
        <c:axId val="9938588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2072"/>
        <c:auto val="1"/>
        <c:lblOffset val="100"/>
        <c:baseTimeUnit val="days"/>
      </c:dateAx>
      <c:valAx>
        <c:axId val="67207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385883"/>
        <c:crosses val="autoZero"/>
        <c:crossBetween val="between"/>
      </c:valAx>
      <c:dateAx>
        <c:axId val="5035138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245886"/>
        <c:auto val="1"/>
        <c:lblOffset val="100"/>
        <c:baseTimeUnit val="days"/>
      </c:dateAx>
      <c:valAx>
        <c:axId val="6724588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35138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(Calc)'!$S$3:$S$500</c:f>
              <c:numCache>
                <c:formatCode>0.0%</c:formatCode>
                <c:ptCount val="498"/>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pt idx="155">
                  <c:v>0.0407425432802613</c:v>
                </c:pt>
                <c:pt idx="156">
                  <c:v>0.0241833121785022</c:v>
                </c:pt>
                <c:pt idx="157">
                  <c:v>-0.0298741112778033</c:v>
                </c:pt>
                <c:pt idx="158">
                  <c:v>-0.0131110065218852</c:v>
                </c:pt>
              </c:numCache>
            </c:numRef>
          </c:val>
        </c:ser>
        <c:gapWidth val="150"/>
        <c:overlap val="0"/>
        <c:axId val="63317785"/>
        <c:axId val="71556716"/>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(Calc)'!$AM$3:$AM$500</c:f>
              <c:numCache>
                <c:formatCode>#,##0.00</c:formatCode>
                <c:ptCount val="498"/>
                <c:pt idx="0">
                  <c:v>58.54</c:v>
                </c:pt>
                <c:pt idx="1">
                  <c:v>58.1694936708861</c:v>
                </c:pt>
                <c:pt idx="2">
                  <c:v>57.7989873417722</c:v>
                </c:pt>
                <c:pt idx="3">
                  <c:v>57.4284810126582</c:v>
                </c:pt>
                <c:pt idx="4">
                  <c:v>57.0579746835443</c:v>
                </c:pt>
                <c:pt idx="5">
                  <c:v>56.6874683544304</c:v>
                </c:pt>
                <c:pt idx="6">
                  <c:v>56.3169620253165</c:v>
                </c:pt>
                <c:pt idx="7">
                  <c:v>55.9464556962025</c:v>
                </c:pt>
                <c:pt idx="8">
                  <c:v>55.5759493670886</c:v>
                </c:pt>
                <c:pt idx="9">
                  <c:v>55.2054430379747</c:v>
                </c:pt>
                <c:pt idx="10">
                  <c:v>54.8349367088608</c:v>
                </c:pt>
                <c:pt idx="11">
                  <c:v>54.4644303797468</c:v>
                </c:pt>
                <c:pt idx="12">
                  <c:v>54.0939240506329</c:v>
                </c:pt>
                <c:pt idx="13">
                  <c:v>53.723417721519</c:v>
                </c:pt>
                <c:pt idx="14">
                  <c:v>53.3529113924051</c:v>
                </c:pt>
                <c:pt idx="15">
                  <c:v>52.9824050632911</c:v>
                </c:pt>
                <c:pt idx="16">
                  <c:v>52.6118987341772</c:v>
                </c:pt>
                <c:pt idx="17">
                  <c:v>52.2413924050633</c:v>
                </c:pt>
                <c:pt idx="18">
                  <c:v>51.8708860759494</c:v>
                </c:pt>
                <c:pt idx="19">
                  <c:v>51.5003797468354</c:v>
                </c:pt>
                <c:pt idx="20">
                  <c:v>51.1298734177215</c:v>
                </c:pt>
                <c:pt idx="21">
                  <c:v>50.7593670886076</c:v>
                </c:pt>
                <c:pt idx="22">
                  <c:v>50.3888607594937</c:v>
                </c:pt>
                <c:pt idx="23">
                  <c:v>50.0183544303797</c:v>
                </c:pt>
                <c:pt idx="24">
                  <c:v>49.6478481012658</c:v>
                </c:pt>
                <c:pt idx="25">
                  <c:v>49.2773417721519</c:v>
                </c:pt>
                <c:pt idx="26">
                  <c:v>48.906835443038</c:v>
                </c:pt>
                <c:pt idx="27">
                  <c:v>48.5363291139241</c:v>
                </c:pt>
                <c:pt idx="28">
                  <c:v>48.1658227848101</c:v>
                </c:pt>
                <c:pt idx="29">
                  <c:v>47.7953164556962</c:v>
                </c:pt>
                <c:pt idx="30">
                  <c:v>47.4248101265823</c:v>
                </c:pt>
                <c:pt idx="31">
                  <c:v>47.0543037974684</c:v>
                </c:pt>
                <c:pt idx="32">
                  <c:v>46.6837974683544</c:v>
                </c:pt>
                <c:pt idx="33">
                  <c:v>46.3132911392405</c:v>
                </c:pt>
                <c:pt idx="34">
                  <c:v>45.9427848101266</c:v>
                </c:pt>
                <c:pt idx="35">
                  <c:v>45.5722784810127</c:v>
                </c:pt>
                <c:pt idx="36">
                  <c:v>45.2017721518987</c:v>
                </c:pt>
                <c:pt idx="37">
                  <c:v>44.8312658227848</c:v>
                </c:pt>
                <c:pt idx="38">
                  <c:v>44.4607594936709</c:v>
                </c:pt>
                <c:pt idx="39">
                  <c:v>44.090253164557</c:v>
                </c:pt>
                <c:pt idx="40">
                  <c:v>43.719746835443</c:v>
                </c:pt>
                <c:pt idx="41">
                  <c:v>43.3492405063291</c:v>
                </c:pt>
                <c:pt idx="42">
                  <c:v>42.9787341772152</c:v>
                </c:pt>
                <c:pt idx="43">
                  <c:v>42.6082278481013</c:v>
                </c:pt>
                <c:pt idx="44">
                  <c:v>42.2377215189873</c:v>
                </c:pt>
                <c:pt idx="45">
                  <c:v>41.8672151898734</c:v>
                </c:pt>
                <c:pt idx="46">
                  <c:v>41.4967088607595</c:v>
                </c:pt>
                <c:pt idx="47">
                  <c:v>41.1262025316456</c:v>
                </c:pt>
                <c:pt idx="48">
                  <c:v>40.7556962025316</c:v>
                </c:pt>
                <c:pt idx="49">
                  <c:v>40.3851898734177</c:v>
                </c:pt>
                <c:pt idx="50">
                  <c:v>40.0146835443038</c:v>
                </c:pt>
                <c:pt idx="51">
                  <c:v>39.6441772151899</c:v>
                </c:pt>
                <c:pt idx="52">
                  <c:v>39.273670886076</c:v>
                </c:pt>
                <c:pt idx="53">
                  <c:v>38.903164556962</c:v>
                </c:pt>
                <c:pt idx="54">
                  <c:v>38.5326582278481</c:v>
                </c:pt>
                <c:pt idx="55">
                  <c:v>38.1621518987342</c:v>
                </c:pt>
                <c:pt idx="56">
                  <c:v>37.7916455696203</c:v>
                </c:pt>
                <c:pt idx="57">
                  <c:v>37.4211392405063</c:v>
                </c:pt>
                <c:pt idx="58">
                  <c:v>37.0506329113924</c:v>
                </c:pt>
                <c:pt idx="59">
                  <c:v>36.6801265822785</c:v>
                </c:pt>
                <c:pt idx="60">
                  <c:v>36.3096202531646</c:v>
                </c:pt>
                <c:pt idx="61">
                  <c:v>35.9391139240506</c:v>
                </c:pt>
                <c:pt idx="62">
                  <c:v>35.5686075949367</c:v>
                </c:pt>
                <c:pt idx="63">
                  <c:v>35.1981012658228</c:v>
                </c:pt>
                <c:pt idx="64">
                  <c:v>34.8275949367089</c:v>
                </c:pt>
                <c:pt idx="65">
                  <c:v>34.4570886075949</c:v>
                </c:pt>
                <c:pt idx="66">
                  <c:v>34.086582278481</c:v>
                </c:pt>
                <c:pt idx="67">
                  <c:v>33.7160759493671</c:v>
                </c:pt>
                <c:pt idx="68">
                  <c:v>33.3455696202532</c:v>
                </c:pt>
                <c:pt idx="69">
                  <c:v>32.9750632911392</c:v>
                </c:pt>
                <c:pt idx="70">
                  <c:v>32.6045569620253</c:v>
                </c:pt>
                <c:pt idx="71">
                  <c:v>32.2340506329114</c:v>
                </c:pt>
                <c:pt idx="72">
                  <c:v>31.8635443037975</c:v>
                </c:pt>
                <c:pt idx="73">
                  <c:v>31.4930379746835</c:v>
                </c:pt>
                <c:pt idx="74">
                  <c:v>31.1225316455696</c:v>
                </c:pt>
                <c:pt idx="75">
                  <c:v>30.7520253164557</c:v>
                </c:pt>
                <c:pt idx="76">
                  <c:v>30.3815189873418</c:v>
                </c:pt>
                <c:pt idx="77">
                  <c:v>30.0110126582279</c:v>
                </c:pt>
                <c:pt idx="78">
                  <c:v>29.6405063291139</c:v>
                </c:pt>
                <c:pt idx="79">
                  <c:v>29.27</c:v>
                </c:pt>
                <c:pt idx="80">
                  <c:v>28.8994936708861</c:v>
                </c:pt>
                <c:pt idx="81">
                  <c:v>28.5289873417722</c:v>
                </c:pt>
                <c:pt idx="82">
                  <c:v>28.1584810126582</c:v>
                </c:pt>
                <c:pt idx="83">
                  <c:v>27.7879746835443</c:v>
                </c:pt>
                <c:pt idx="84">
                  <c:v>27.4174683544304</c:v>
                </c:pt>
                <c:pt idx="85">
                  <c:v>27.0469620253165</c:v>
                </c:pt>
                <c:pt idx="86">
                  <c:v>26.6764556962025</c:v>
                </c:pt>
                <c:pt idx="87">
                  <c:v>26.3059493670886</c:v>
                </c:pt>
                <c:pt idx="88">
                  <c:v>25.9354430379747</c:v>
                </c:pt>
                <c:pt idx="89">
                  <c:v>25.5649367088608</c:v>
                </c:pt>
                <c:pt idx="90">
                  <c:v>25.1944303797468</c:v>
                </c:pt>
                <c:pt idx="91">
                  <c:v>24.8239240506329</c:v>
                </c:pt>
                <c:pt idx="92">
                  <c:v>24.453417721519</c:v>
                </c:pt>
                <c:pt idx="93">
                  <c:v>24.0829113924051</c:v>
                </c:pt>
                <c:pt idx="94">
                  <c:v>23.7124050632911</c:v>
                </c:pt>
                <c:pt idx="95">
                  <c:v>23.3418987341772</c:v>
                </c:pt>
                <c:pt idx="96">
                  <c:v>22.9713924050633</c:v>
                </c:pt>
                <c:pt idx="97">
                  <c:v>22.6008860759494</c:v>
                </c:pt>
                <c:pt idx="98">
                  <c:v>22.2303797468354</c:v>
                </c:pt>
                <c:pt idx="99">
                  <c:v>21.8598734177215</c:v>
                </c:pt>
                <c:pt idx="100">
                  <c:v>21.4893670886076</c:v>
                </c:pt>
                <c:pt idx="101">
                  <c:v>21.1188607594937</c:v>
                </c:pt>
                <c:pt idx="102">
                  <c:v>20.7483544303798</c:v>
                </c:pt>
                <c:pt idx="103">
                  <c:v>20.3778481012658</c:v>
                </c:pt>
                <c:pt idx="104">
                  <c:v>20.0073417721519</c:v>
                </c:pt>
                <c:pt idx="105">
                  <c:v>19.636835443038</c:v>
                </c:pt>
                <c:pt idx="106">
                  <c:v>19.2663291139241</c:v>
                </c:pt>
                <c:pt idx="107">
                  <c:v>18.8958227848101</c:v>
                </c:pt>
                <c:pt idx="108">
                  <c:v>18.5253164556962</c:v>
                </c:pt>
                <c:pt idx="109">
                  <c:v>18.1548101265823</c:v>
                </c:pt>
                <c:pt idx="110">
                  <c:v>17.7843037974684</c:v>
                </c:pt>
                <c:pt idx="111">
                  <c:v>17.4137974683544</c:v>
                </c:pt>
                <c:pt idx="112">
                  <c:v>17.0432911392405</c:v>
                </c:pt>
                <c:pt idx="113">
                  <c:v>16.6727848101266</c:v>
                </c:pt>
                <c:pt idx="114">
                  <c:v>16.3022784810127</c:v>
                </c:pt>
                <c:pt idx="115">
                  <c:v>15.9317721518987</c:v>
                </c:pt>
                <c:pt idx="116">
                  <c:v>15.5612658227848</c:v>
                </c:pt>
                <c:pt idx="117">
                  <c:v>15.1907594936709</c:v>
                </c:pt>
                <c:pt idx="118">
                  <c:v>14.820253164557</c:v>
                </c:pt>
                <c:pt idx="119">
                  <c:v>14.449746835443</c:v>
                </c:pt>
                <c:pt idx="120">
                  <c:v>14.0792405063291</c:v>
                </c:pt>
                <c:pt idx="121">
                  <c:v>13.7087341772152</c:v>
                </c:pt>
                <c:pt idx="122">
                  <c:v>13.3382278481013</c:v>
                </c:pt>
                <c:pt idx="123">
                  <c:v>12.9677215189873</c:v>
                </c:pt>
                <c:pt idx="124">
                  <c:v>12.5972151898734</c:v>
                </c:pt>
                <c:pt idx="125">
                  <c:v>12.2267088607595</c:v>
                </c:pt>
                <c:pt idx="126">
                  <c:v>11.8562025316456</c:v>
                </c:pt>
                <c:pt idx="127">
                  <c:v>11.4856962025316</c:v>
                </c:pt>
                <c:pt idx="128">
                  <c:v>11.1151898734177</c:v>
                </c:pt>
                <c:pt idx="129">
                  <c:v>10.7446835443038</c:v>
                </c:pt>
                <c:pt idx="130">
                  <c:v>10.3741772151899</c:v>
                </c:pt>
                <c:pt idx="131">
                  <c:v>10.003670886076</c:v>
                </c:pt>
                <c:pt idx="132">
                  <c:v>9.63316455696203</c:v>
                </c:pt>
                <c:pt idx="133">
                  <c:v>9.2626582278481</c:v>
                </c:pt>
                <c:pt idx="134">
                  <c:v>8.89215189873418</c:v>
                </c:pt>
                <c:pt idx="135">
                  <c:v>8.52164556962025</c:v>
                </c:pt>
                <c:pt idx="136">
                  <c:v>8.15113924050633</c:v>
                </c:pt>
                <c:pt idx="137">
                  <c:v>7.78063291139241</c:v>
                </c:pt>
                <c:pt idx="138">
                  <c:v>7.41012658227848</c:v>
                </c:pt>
                <c:pt idx="139">
                  <c:v>7.03962025316456</c:v>
                </c:pt>
                <c:pt idx="140">
                  <c:v>6.66911392405063</c:v>
                </c:pt>
                <c:pt idx="141">
                  <c:v>6.29860759493671</c:v>
                </c:pt>
                <c:pt idx="142">
                  <c:v>5.92810126582278</c:v>
                </c:pt>
                <c:pt idx="143">
                  <c:v>5.55759493670887</c:v>
                </c:pt>
                <c:pt idx="144">
                  <c:v>5.18708860759494</c:v>
                </c:pt>
                <c:pt idx="145">
                  <c:v>4.81658227848102</c:v>
                </c:pt>
                <c:pt idx="146">
                  <c:v>4.44607594936709</c:v>
                </c:pt>
                <c:pt idx="147">
                  <c:v>4.07556962025317</c:v>
                </c:pt>
                <c:pt idx="148">
                  <c:v>3.70506329113924</c:v>
                </c:pt>
                <c:pt idx="149">
                  <c:v>3.33455696202532</c:v>
                </c:pt>
                <c:pt idx="150">
                  <c:v>2.96405063291139</c:v>
                </c:pt>
                <c:pt idx="151">
                  <c:v>2.59354430379747</c:v>
                </c:pt>
                <c:pt idx="152">
                  <c:v>2.22303797468354</c:v>
                </c:pt>
                <c:pt idx="153">
                  <c:v>1.85253164556963</c:v>
                </c:pt>
                <c:pt idx="154">
                  <c:v>1.4820253164557</c:v>
                </c:pt>
                <c:pt idx="155">
                  <c:v>1.11151898734177</c:v>
                </c:pt>
                <c:pt idx="156">
                  <c:v>0.741012658227845</c:v>
                </c:pt>
                <c:pt idx="157">
                  <c:v>0.370506329113923</c:v>
                </c:pt>
                <c:pt idx="158">
                  <c:v>0</c:v>
                </c:pt>
                <c:pt idx="159">
                  <c:v>-0.37050632911393</c:v>
                </c:pt>
              </c:numCache>
            </c:numRef>
          </c:val>
          <c:smooth val="0"/>
        </c:ser>
        <c:hiLowLines>
          <c:spPr>
            <a:ln w="0">
              <a:noFill/>
            </a:ln>
          </c:spPr>
        </c:hiLowLines>
        <c:marker val="0"/>
        <c:axId val="8051237"/>
        <c:axId val="44808048"/>
      </c:lineChart>
      <c:dateAx>
        <c:axId val="6331778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556716"/>
        <c:auto val="1"/>
        <c:lblOffset val="100"/>
        <c:baseTimeUnit val="days"/>
      </c:dateAx>
      <c:valAx>
        <c:axId val="7155671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317785"/>
        <c:crosses val="autoZero"/>
        <c:crossBetween val="between"/>
      </c:valAx>
      <c:dateAx>
        <c:axId val="805123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808048"/>
        <c:auto val="1"/>
        <c:lblOffset val="100"/>
        <c:baseTimeUnit val="days"/>
      </c:dateAx>
      <c:valAx>
        <c:axId val="4480804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5123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(Calc)'!$T$3:$T$500</c:f>
              <c:numCache>
                <c:formatCode>0.0%</c:formatCode>
                <c:ptCount val="498"/>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pt idx="155">
                  <c:v>0.0345798150381986</c:v>
                </c:pt>
                <c:pt idx="156">
                  <c:v>0.0437232802176448</c:v>
                </c:pt>
                <c:pt idx="157">
                  <c:v>0.0323962018246138</c:v>
                </c:pt>
                <c:pt idx="158">
                  <c:v>0.00378719567177632</c:v>
                </c:pt>
              </c:numCache>
            </c:numRef>
          </c:val>
        </c:ser>
        <c:gapWidth val="150"/>
        <c:overlap val="0"/>
        <c:axId val="7123866"/>
        <c:axId val="34259255"/>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(Calc)'!$AN$3:$AN$500</c:f>
              <c:numCache>
                <c:formatCode>#,##0.00</c:formatCode>
                <c:ptCount val="498"/>
                <c:pt idx="0">
                  <c:v>26.91</c:v>
                </c:pt>
                <c:pt idx="1">
                  <c:v>26.7396835443038</c:v>
                </c:pt>
                <c:pt idx="2">
                  <c:v>26.5693670886076</c:v>
                </c:pt>
                <c:pt idx="3">
                  <c:v>26.3990506329114</c:v>
                </c:pt>
                <c:pt idx="4">
                  <c:v>26.2287341772152</c:v>
                </c:pt>
                <c:pt idx="5">
                  <c:v>26.058417721519</c:v>
                </c:pt>
                <c:pt idx="6">
                  <c:v>25.8881012658228</c:v>
                </c:pt>
                <c:pt idx="7">
                  <c:v>25.7177848101266</c:v>
                </c:pt>
                <c:pt idx="8">
                  <c:v>25.5474683544304</c:v>
                </c:pt>
                <c:pt idx="9">
                  <c:v>25.3771518987342</c:v>
                </c:pt>
                <c:pt idx="10">
                  <c:v>25.206835443038</c:v>
                </c:pt>
                <c:pt idx="11">
                  <c:v>25.0365189873418</c:v>
                </c:pt>
                <c:pt idx="12">
                  <c:v>24.8662025316456</c:v>
                </c:pt>
                <c:pt idx="13">
                  <c:v>24.6958860759494</c:v>
                </c:pt>
                <c:pt idx="14">
                  <c:v>24.5255696202532</c:v>
                </c:pt>
                <c:pt idx="15">
                  <c:v>24.355253164557</c:v>
                </c:pt>
                <c:pt idx="16">
                  <c:v>24.1849367088608</c:v>
                </c:pt>
                <c:pt idx="17">
                  <c:v>24.0146202531646</c:v>
                </c:pt>
                <c:pt idx="18">
                  <c:v>23.8443037974684</c:v>
                </c:pt>
                <c:pt idx="19">
                  <c:v>23.6739873417722</c:v>
                </c:pt>
                <c:pt idx="20">
                  <c:v>23.503670886076</c:v>
                </c:pt>
                <c:pt idx="21">
                  <c:v>23.3333544303797</c:v>
                </c:pt>
                <c:pt idx="22">
                  <c:v>23.1630379746835</c:v>
                </c:pt>
                <c:pt idx="23">
                  <c:v>22.9927215189873</c:v>
                </c:pt>
                <c:pt idx="24">
                  <c:v>22.8224050632911</c:v>
                </c:pt>
                <c:pt idx="25">
                  <c:v>22.6520886075949</c:v>
                </c:pt>
                <c:pt idx="26">
                  <c:v>22.4817721518987</c:v>
                </c:pt>
                <c:pt idx="27">
                  <c:v>22.3114556962025</c:v>
                </c:pt>
                <c:pt idx="28">
                  <c:v>22.1411392405063</c:v>
                </c:pt>
                <c:pt idx="29">
                  <c:v>21.9708227848101</c:v>
                </c:pt>
                <c:pt idx="30">
                  <c:v>21.8005063291139</c:v>
                </c:pt>
                <c:pt idx="31">
                  <c:v>21.6301898734177</c:v>
                </c:pt>
                <c:pt idx="32">
                  <c:v>21.4598734177215</c:v>
                </c:pt>
                <c:pt idx="33">
                  <c:v>21.2895569620253</c:v>
                </c:pt>
                <c:pt idx="34">
                  <c:v>21.1192405063291</c:v>
                </c:pt>
                <c:pt idx="35">
                  <c:v>20.9489240506329</c:v>
                </c:pt>
                <c:pt idx="36">
                  <c:v>20.7786075949367</c:v>
                </c:pt>
                <c:pt idx="37">
                  <c:v>20.6082911392405</c:v>
                </c:pt>
                <c:pt idx="38">
                  <c:v>20.4379746835443</c:v>
                </c:pt>
                <c:pt idx="39">
                  <c:v>20.2676582278481</c:v>
                </c:pt>
                <c:pt idx="40">
                  <c:v>20.0973417721519</c:v>
                </c:pt>
                <c:pt idx="41">
                  <c:v>19.9270253164557</c:v>
                </c:pt>
                <c:pt idx="42">
                  <c:v>19.7567088607595</c:v>
                </c:pt>
                <c:pt idx="43">
                  <c:v>19.5863924050633</c:v>
                </c:pt>
                <c:pt idx="44">
                  <c:v>19.4160759493671</c:v>
                </c:pt>
                <c:pt idx="45">
                  <c:v>19.2457594936709</c:v>
                </c:pt>
                <c:pt idx="46">
                  <c:v>19.0754430379747</c:v>
                </c:pt>
                <c:pt idx="47">
                  <c:v>18.9051265822785</c:v>
                </c:pt>
                <c:pt idx="48">
                  <c:v>18.7348101265823</c:v>
                </c:pt>
                <c:pt idx="49">
                  <c:v>18.5644936708861</c:v>
                </c:pt>
                <c:pt idx="50">
                  <c:v>18.3941772151899</c:v>
                </c:pt>
                <c:pt idx="51">
                  <c:v>18.2238607594937</c:v>
                </c:pt>
                <c:pt idx="52">
                  <c:v>18.0535443037975</c:v>
                </c:pt>
                <c:pt idx="53">
                  <c:v>17.8832278481013</c:v>
                </c:pt>
                <c:pt idx="54">
                  <c:v>17.7129113924051</c:v>
                </c:pt>
                <c:pt idx="55">
                  <c:v>17.5425949367089</c:v>
                </c:pt>
                <c:pt idx="56">
                  <c:v>17.3722784810127</c:v>
                </c:pt>
                <c:pt idx="57">
                  <c:v>17.2019620253165</c:v>
                </c:pt>
                <c:pt idx="58">
                  <c:v>17.0316455696203</c:v>
                </c:pt>
                <c:pt idx="59">
                  <c:v>16.8613291139241</c:v>
                </c:pt>
                <c:pt idx="60">
                  <c:v>16.6910126582278</c:v>
                </c:pt>
                <c:pt idx="61">
                  <c:v>16.5206962025316</c:v>
                </c:pt>
                <c:pt idx="62">
                  <c:v>16.3503797468354</c:v>
                </c:pt>
                <c:pt idx="63">
                  <c:v>16.1800632911392</c:v>
                </c:pt>
                <c:pt idx="64">
                  <c:v>16.009746835443</c:v>
                </c:pt>
                <c:pt idx="65">
                  <c:v>15.8394303797468</c:v>
                </c:pt>
                <c:pt idx="66">
                  <c:v>15.6691139240506</c:v>
                </c:pt>
                <c:pt idx="67">
                  <c:v>15.4987974683544</c:v>
                </c:pt>
                <c:pt idx="68">
                  <c:v>15.3284810126582</c:v>
                </c:pt>
                <c:pt idx="69">
                  <c:v>15.158164556962</c:v>
                </c:pt>
                <c:pt idx="70">
                  <c:v>14.9878481012658</c:v>
                </c:pt>
                <c:pt idx="71">
                  <c:v>14.8175316455696</c:v>
                </c:pt>
                <c:pt idx="72">
                  <c:v>14.6472151898734</c:v>
                </c:pt>
                <c:pt idx="73">
                  <c:v>14.4768987341772</c:v>
                </c:pt>
                <c:pt idx="74">
                  <c:v>14.306582278481</c:v>
                </c:pt>
                <c:pt idx="75">
                  <c:v>14.1362658227848</c:v>
                </c:pt>
                <c:pt idx="76">
                  <c:v>13.9659493670886</c:v>
                </c:pt>
                <c:pt idx="77">
                  <c:v>13.7956329113924</c:v>
                </c:pt>
                <c:pt idx="78">
                  <c:v>13.6253164556962</c:v>
                </c:pt>
                <c:pt idx="79">
                  <c:v>13.455</c:v>
                </c:pt>
                <c:pt idx="80">
                  <c:v>13.2846835443038</c:v>
                </c:pt>
                <c:pt idx="81">
                  <c:v>13.1143670886076</c:v>
                </c:pt>
                <c:pt idx="82">
                  <c:v>12.9440506329114</c:v>
                </c:pt>
                <c:pt idx="83">
                  <c:v>12.7737341772152</c:v>
                </c:pt>
                <c:pt idx="84">
                  <c:v>12.603417721519</c:v>
                </c:pt>
                <c:pt idx="85">
                  <c:v>12.4331012658228</c:v>
                </c:pt>
                <c:pt idx="86">
                  <c:v>12.2627848101266</c:v>
                </c:pt>
                <c:pt idx="87">
                  <c:v>12.0924683544304</c:v>
                </c:pt>
                <c:pt idx="88">
                  <c:v>11.9221518987342</c:v>
                </c:pt>
                <c:pt idx="89">
                  <c:v>11.751835443038</c:v>
                </c:pt>
                <c:pt idx="90">
                  <c:v>11.5815189873418</c:v>
                </c:pt>
                <c:pt idx="91">
                  <c:v>11.4112025316456</c:v>
                </c:pt>
                <c:pt idx="92">
                  <c:v>11.2408860759494</c:v>
                </c:pt>
                <c:pt idx="93">
                  <c:v>11.0705696202532</c:v>
                </c:pt>
                <c:pt idx="94">
                  <c:v>10.900253164557</c:v>
                </c:pt>
                <c:pt idx="95">
                  <c:v>10.7299367088608</c:v>
                </c:pt>
                <c:pt idx="96">
                  <c:v>10.5596202531646</c:v>
                </c:pt>
                <c:pt idx="97">
                  <c:v>10.3893037974684</c:v>
                </c:pt>
                <c:pt idx="98">
                  <c:v>10.2189873417722</c:v>
                </c:pt>
                <c:pt idx="99">
                  <c:v>10.048670886076</c:v>
                </c:pt>
                <c:pt idx="100">
                  <c:v>9.87835443037975</c:v>
                </c:pt>
                <c:pt idx="101">
                  <c:v>9.70803797468355</c:v>
                </c:pt>
                <c:pt idx="102">
                  <c:v>9.53772151898734</c:v>
                </c:pt>
                <c:pt idx="103">
                  <c:v>9.36740506329114</c:v>
                </c:pt>
                <c:pt idx="104">
                  <c:v>9.19708860759494</c:v>
                </c:pt>
                <c:pt idx="105">
                  <c:v>9.02677215189873</c:v>
                </c:pt>
                <c:pt idx="106">
                  <c:v>8.85645569620253</c:v>
                </c:pt>
                <c:pt idx="107">
                  <c:v>8.68613924050633</c:v>
                </c:pt>
                <c:pt idx="108">
                  <c:v>8.51582278481013</c:v>
                </c:pt>
                <c:pt idx="109">
                  <c:v>8.34550632911392</c:v>
                </c:pt>
                <c:pt idx="110">
                  <c:v>8.17518987341772</c:v>
                </c:pt>
                <c:pt idx="111">
                  <c:v>8.00487341772152</c:v>
                </c:pt>
                <c:pt idx="112">
                  <c:v>7.83455696202532</c:v>
                </c:pt>
                <c:pt idx="113">
                  <c:v>7.66424050632912</c:v>
                </c:pt>
                <c:pt idx="114">
                  <c:v>7.49392405063291</c:v>
                </c:pt>
                <c:pt idx="115">
                  <c:v>7.32360759493671</c:v>
                </c:pt>
                <c:pt idx="116">
                  <c:v>7.15329113924051</c:v>
                </c:pt>
                <c:pt idx="117">
                  <c:v>6.98297468354431</c:v>
                </c:pt>
                <c:pt idx="118">
                  <c:v>6.8126582278481</c:v>
                </c:pt>
                <c:pt idx="119">
                  <c:v>6.6423417721519</c:v>
                </c:pt>
                <c:pt idx="120">
                  <c:v>6.4720253164557</c:v>
                </c:pt>
                <c:pt idx="121">
                  <c:v>6.30170886075949</c:v>
                </c:pt>
                <c:pt idx="122">
                  <c:v>6.13139240506329</c:v>
                </c:pt>
                <c:pt idx="123">
                  <c:v>5.96107594936709</c:v>
                </c:pt>
                <c:pt idx="124">
                  <c:v>5.79075949367089</c:v>
                </c:pt>
                <c:pt idx="125">
                  <c:v>5.62044303797469</c:v>
                </c:pt>
                <c:pt idx="126">
                  <c:v>5.45012658227848</c:v>
                </c:pt>
                <c:pt idx="127">
                  <c:v>5.27981012658228</c:v>
                </c:pt>
                <c:pt idx="128">
                  <c:v>5.10949367088607</c:v>
                </c:pt>
                <c:pt idx="129">
                  <c:v>4.93917721518988</c:v>
                </c:pt>
                <c:pt idx="130">
                  <c:v>4.76886075949367</c:v>
                </c:pt>
                <c:pt idx="131">
                  <c:v>4.59854430379747</c:v>
                </c:pt>
                <c:pt idx="132">
                  <c:v>4.42822784810127</c:v>
                </c:pt>
                <c:pt idx="133">
                  <c:v>4.25791139240506</c:v>
                </c:pt>
                <c:pt idx="134">
                  <c:v>4.08759493670886</c:v>
                </c:pt>
                <c:pt idx="135">
                  <c:v>3.91727848101266</c:v>
                </c:pt>
                <c:pt idx="136">
                  <c:v>3.74696202531645</c:v>
                </c:pt>
                <c:pt idx="137">
                  <c:v>3.57664556962025</c:v>
                </c:pt>
                <c:pt idx="138">
                  <c:v>3.40632911392405</c:v>
                </c:pt>
                <c:pt idx="139">
                  <c:v>3.23601265822785</c:v>
                </c:pt>
                <c:pt idx="140">
                  <c:v>3.06569620253164</c:v>
                </c:pt>
                <c:pt idx="141">
                  <c:v>2.89537974683545</c:v>
                </c:pt>
                <c:pt idx="142">
                  <c:v>2.72506329113924</c:v>
                </c:pt>
                <c:pt idx="143">
                  <c:v>2.55474683544304</c:v>
                </c:pt>
                <c:pt idx="144">
                  <c:v>2.38443037974684</c:v>
                </c:pt>
                <c:pt idx="145">
                  <c:v>2.21411392405063</c:v>
                </c:pt>
                <c:pt idx="146">
                  <c:v>2.04379746835443</c:v>
                </c:pt>
                <c:pt idx="147">
                  <c:v>1.87348101265823</c:v>
                </c:pt>
                <c:pt idx="148">
                  <c:v>1.70316455696203</c:v>
                </c:pt>
                <c:pt idx="149">
                  <c:v>1.53284810126582</c:v>
                </c:pt>
                <c:pt idx="150">
                  <c:v>1.36253164556962</c:v>
                </c:pt>
                <c:pt idx="151">
                  <c:v>1.19221518987342</c:v>
                </c:pt>
                <c:pt idx="152">
                  <c:v>1.02189873417721</c:v>
                </c:pt>
                <c:pt idx="153">
                  <c:v>0.851582278481011</c:v>
                </c:pt>
                <c:pt idx="154">
                  <c:v>0.681265822784809</c:v>
                </c:pt>
                <c:pt idx="155">
                  <c:v>0.510949367088607</c:v>
                </c:pt>
                <c:pt idx="156">
                  <c:v>0.340632911392405</c:v>
                </c:pt>
                <c:pt idx="157">
                  <c:v>0.170316455696202</c:v>
                </c:pt>
                <c:pt idx="158">
                  <c:v>0</c:v>
                </c:pt>
                <c:pt idx="159">
                  <c:v>-0.170316455696199</c:v>
                </c:pt>
              </c:numCache>
            </c:numRef>
          </c:val>
          <c:smooth val="0"/>
        </c:ser>
        <c:hiLowLines>
          <c:spPr>
            <a:ln w="0">
              <a:noFill/>
            </a:ln>
          </c:spPr>
        </c:hiLowLines>
        <c:marker val="0"/>
        <c:axId val="78289532"/>
        <c:axId val="57855936"/>
      </c:lineChart>
      <c:dateAx>
        <c:axId val="712386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259255"/>
        <c:auto val="1"/>
        <c:lblOffset val="100"/>
        <c:baseTimeUnit val="days"/>
      </c:dateAx>
      <c:valAx>
        <c:axId val="3425925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23866"/>
        <c:crosses val="autoZero"/>
        <c:crossBetween val="between"/>
      </c:valAx>
      <c:dateAx>
        <c:axId val="7828953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855936"/>
        <c:auto val="1"/>
        <c:lblOffset val="100"/>
        <c:baseTimeUnit val="days"/>
      </c:dateAx>
      <c:valAx>
        <c:axId val="5785593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28953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(Calc)'!$V$3:$V$500</c:f>
              <c:numCache>
                <c:formatCode>0.0%</c:formatCode>
                <c:ptCount val="498"/>
                <c:pt idx="4">
                  <c:v>-0.025154110297464</c:v>
                </c:pt>
                <c:pt idx="5">
                  <c:v>-0.0248270593727454</c:v>
                </c:pt>
                <c:pt idx="6">
                  <c:v>-0.0215858647401863</c:v>
                </c:pt>
                <c:pt idx="7">
                  <c:v>0.0218841740058715</c:v>
                </c:pt>
                <c:pt idx="8">
                  <c:v>0.0111865587185513</c:v>
                </c:pt>
                <c:pt idx="9">
                  <c:v>-0.0180362446730662</c:v>
                </c:pt>
                <c:pt idx="10">
                  <c:v>-0.0176223040504998</c:v>
                </c:pt>
                <c:pt idx="11">
                  <c:v>0.062516733601071</c:v>
                </c:pt>
                <c:pt idx="12">
                  <c:v>0.00890344798622467</c:v>
                </c:pt>
                <c:pt idx="13">
                  <c:v>0.0175664987720101</c:v>
                </c:pt>
                <c:pt idx="14">
                  <c:v>0.019022294947842</c:v>
                </c:pt>
                <c:pt idx="15">
                  <c:v>0.00843034925732633</c:v>
                </c:pt>
                <c:pt idx="16">
                  <c:v>-0.00274681528662424</c:v>
                </c:pt>
                <c:pt idx="17">
                  <c:v>0.00894175881202353</c:v>
                </c:pt>
                <c:pt idx="18">
                  <c:v>0.0015430267062313</c:v>
                </c:pt>
                <c:pt idx="19">
                  <c:v>0.00742672039187808</c:v>
                </c:pt>
                <c:pt idx="20">
                  <c:v>-0.00254881970041565</c:v>
                </c:pt>
                <c:pt idx="21">
                  <c:v>0.0172583244879505</c:v>
                </c:pt>
                <c:pt idx="22">
                  <c:v>0.0255062606276086</c:v>
                </c:pt>
                <c:pt idx="23">
                  <c:v>-0.0109285498944831</c:v>
                </c:pt>
                <c:pt idx="24">
                  <c:v>0.0344814447915873</c:v>
                </c:pt>
                <c:pt idx="25">
                  <c:v>-0.000847114286766648</c:v>
                </c:pt>
                <c:pt idx="26">
                  <c:v>0.00770421704511959</c:v>
                </c:pt>
                <c:pt idx="27">
                  <c:v>0.0180707466071623</c:v>
                </c:pt>
                <c:pt idx="28">
                  <c:v>-0.00154503970392728</c:v>
                </c:pt>
                <c:pt idx="29">
                  <c:v>-0.0110119476032819</c:v>
                </c:pt>
                <c:pt idx="30">
                  <c:v>0.0106979113601631</c:v>
                </c:pt>
                <c:pt idx="31">
                  <c:v>0.000792050691244439</c:v>
                </c:pt>
                <c:pt idx="34">
                  <c:v>-0.00422840754494991</c:v>
                </c:pt>
                <c:pt idx="35">
                  <c:v>-0.0224134111217783</c:v>
                </c:pt>
                <c:pt idx="36">
                  <c:v>0.0175637393767705</c:v>
                </c:pt>
                <c:pt idx="37">
                  <c:v>-0.0219376391982181</c:v>
                </c:pt>
                <c:pt idx="38">
                  <c:v>0.045618429541918</c:v>
                </c:pt>
                <c:pt idx="39">
                  <c:v>-0.000435555878189553</c:v>
                </c:pt>
                <c:pt idx="40">
                  <c:v>-0.0200443008097606</c:v>
                </c:pt>
                <c:pt idx="41">
                  <c:v>-0.00737392077667032</c:v>
                </c:pt>
                <c:pt idx="42">
                  <c:v>0.0227713901747051</c:v>
                </c:pt>
                <c:pt idx="43">
                  <c:v>-0.0287247244324403</c:v>
                </c:pt>
                <c:pt idx="44">
                  <c:v>0.0168351433617675</c:v>
                </c:pt>
                <c:pt idx="45">
                  <c:v>-0.0463431760227649</c:v>
                </c:pt>
                <c:pt idx="46">
                  <c:v>0.0300716915326487</c:v>
                </c:pt>
                <c:pt idx="47">
                  <c:v>-0.0170798690794177</c:v>
                </c:pt>
                <c:pt idx="48">
                  <c:v>-0.00107168829180526</c:v>
                </c:pt>
                <c:pt idx="49">
                  <c:v>-0.0226062301237595</c:v>
                </c:pt>
                <c:pt idx="50">
                  <c:v>0.0274804970794622</c:v>
                </c:pt>
                <c:pt idx="51">
                  <c:v>-0.0236550934757727</c:v>
                </c:pt>
                <c:pt idx="52">
                  <c:v>0.0293474013286441</c:v>
                </c:pt>
                <c:pt idx="53">
                  <c:v>0.000227781785050007</c:v>
                </c:pt>
                <c:pt idx="54">
                  <c:v>0.0334003871408508</c:v>
                </c:pt>
                <c:pt idx="55">
                  <c:v>0.0108348330701145</c:v>
                </c:pt>
                <c:pt idx="56">
                  <c:v>0.028558971005014</c:v>
                </c:pt>
                <c:pt idx="57">
                  <c:v>-0.00897272855729814</c:v>
                </c:pt>
                <c:pt idx="58">
                  <c:v>-0.0337206815427391</c:v>
                </c:pt>
                <c:pt idx="59">
                  <c:v>0.010033938320791</c:v>
                </c:pt>
                <c:pt idx="60">
                  <c:v>-0.000328707085463953</c:v>
                </c:pt>
                <c:pt idx="61">
                  <c:v>0.0459975886887583</c:v>
                </c:pt>
                <c:pt idx="62">
                  <c:v>-0.030562347188264</c:v>
                </c:pt>
                <c:pt idx="63">
                  <c:v>0.0319582057286976</c:v>
                </c:pt>
                <c:pt idx="64">
                  <c:v>0.0589344319530758</c:v>
                </c:pt>
                <c:pt idx="65">
                  <c:v>0.00764919221892524</c:v>
                </c:pt>
                <c:pt idx="66">
                  <c:v>0.000916170407695649</c:v>
                </c:pt>
                <c:pt idx="67">
                  <c:v>0.0166394246485782</c:v>
                </c:pt>
                <c:pt idx="68">
                  <c:v>-0.0129264606578989</c:v>
                </c:pt>
                <c:pt idx="69">
                  <c:v>0.0119881421637291</c:v>
                </c:pt>
                <c:pt idx="70">
                  <c:v>0.00946402704007721</c:v>
                </c:pt>
                <c:pt idx="71">
                  <c:v>0.00296565579259545</c:v>
                </c:pt>
                <c:pt idx="72">
                  <c:v>-0.0117639577769298</c:v>
                </c:pt>
                <c:pt idx="73">
                  <c:v>-0.0228428029084357</c:v>
                </c:pt>
                <c:pt idx="74">
                  <c:v>0.0386869485052022</c:v>
                </c:pt>
                <c:pt idx="75">
                  <c:v>0.0330934795701652</c:v>
                </c:pt>
                <c:pt idx="76">
                  <c:v>0.0351323985149274</c:v>
                </c:pt>
                <c:pt idx="77">
                  <c:v>0.0182001422812426</c:v>
                </c:pt>
                <c:pt idx="78">
                  <c:v>0.0183697234352256</c:v>
                </c:pt>
                <c:pt idx="79">
                  <c:v>-0.0149223864383523</c:v>
                </c:pt>
                <c:pt idx="80">
                  <c:v>0.0406570126817378</c:v>
                </c:pt>
                <c:pt idx="81">
                  <c:v>-0.047936419408812</c:v>
                </c:pt>
                <c:pt idx="82">
                  <c:v>-0.039161125918983</c:v>
                </c:pt>
                <c:pt idx="83">
                  <c:v>0.0116449213510548</c:v>
                </c:pt>
                <c:pt idx="84">
                  <c:v>0.0214246971614536</c:v>
                </c:pt>
                <c:pt idx="85">
                  <c:v>-0.0866743369619731</c:v>
                </c:pt>
                <c:pt idx="86">
                  <c:v>0.0647307729577829</c:v>
                </c:pt>
                <c:pt idx="89">
                  <c:v>0.0370873317641378</c:v>
                </c:pt>
                <c:pt idx="90">
                  <c:v>0.0141996682864376</c:v>
                </c:pt>
                <c:pt idx="91">
                  <c:v>0.0374121359919666</c:v>
                </c:pt>
                <c:pt idx="92">
                  <c:v>-0.0317210099836831</c:v>
                </c:pt>
                <c:pt idx="93">
                  <c:v>0.0329601279561294</c:v>
                </c:pt>
                <c:pt idx="94">
                  <c:v>0.0137698390753747</c:v>
                </c:pt>
                <c:pt idx="95">
                  <c:v>-0.0469125027274711</c:v>
                </c:pt>
                <c:pt idx="96">
                  <c:v>-0.0404933608058607</c:v>
                </c:pt>
                <c:pt idx="97">
                  <c:v>0.0296758030361777</c:v>
                </c:pt>
                <c:pt idx="100">
                  <c:v>0.00322149988390996</c:v>
                </c:pt>
                <c:pt idx="101">
                  <c:v>0.0229120259206757</c:v>
                </c:pt>
                <c:pt idx="102">
                  <c:v>-0.0495489125823694</c:v>
                </c:pt>
                <c:pt idx="103">
                  <c:v>-0.00758770494242278</c:v>
                </c:pt>
                <c:pt idx="104">
                  <c:v>0.0246461981290478</c:v>
                </c:pt>
                <c:pt idx="105">
                  <c:v>0.0161526306548838</c:v>
                </c:pt>
                <c:pt idx="106">
                  <c:v>0.00498185797385253</c:v>
                </c:pt>
                <c:pt idx="107">
                  <c:v>-0.0243273446230551</c:v>
                </c:pt>
                <c:pt idx="108">
                  <c:v>-0.0110425844346549</c:v>
                </c:pt>
                <c:pt idx="109">
                  <c:v>0.00641444437845218</c:v>
                </c:pt>
                <c:pt idx="110">
                  <c:v>-0.0124225435231631</c:v>
                </c:pt>
                <c:pt idx="111">
                  <c:v>0.0369595745316562</c:v>
                </c:pt>
                <c:pt idx="112">
                  <c:v>-0.0176914654526594</c:v>
                </c:pt>
                <c:pt idx="113">
                  <c:v>-0.00510383667722636</c:v>
                </c:pt>
                <c:pt idx="114">
                  <c:v>0.0160386815260334</c:v>
                </c:pt>
                <c:pt idx="115">
                  <c:v>-0.0190934942835587</c:v>
                </c:pt>
                <c:pt idx="116">
                  <c:v>-0.0138740977399124</c:v>
                </c:pt>
                <c:pt idx="117">
                  <c:v>-0.0158992050397481</c:v>
                </c:pt>
                <c:pt idx="118">
                  <c:v>-0.00618808108520053</c:v>
                </c:pt>
                <c:pt idx="119">
                  <c:v>0.0196920434329182</c:v>
                </c:pt>
                <c:pt idx="120">
                  <c:v>-0.00956563590422332</c:v>
                </c:pt>
                <c:pt idx="121">
                  <c:v>0.0500820020652373</c:v>
                </c:pt>
                <c:pt idx="122">
                  <c:v>0.00410701373825018</c:v>
                </c:pt>
                <c:pt idx="123">
                  <c:v>0.0164472736699599</c:v>
                </c:pt>
                <c:pt idx="124">
                  <c:v>-0.0240024937655859</c:v>
                </c:pt>
                <c:pt idx="125">
                  <c:v>0.0094944978368805</c:v>
                </c:pt>
                <c:pt idx="126">
                  <c:v>-0.0613782788771284</c:v>
                </c:pt>
                <c:pt idx="127">
                  <c:v>-0.00646564932279203</c:v>
                </c:pt>
                <c:pt idx="128">
                  <c:v>-0.013323875026987</c:v>
                </c:pt>
                <c:pt idx="129">
                  <c:v>0.0302897689975306</c:v>
                </c:pt>
                <c:pt idx="130">
                  <c:v>-0.0508191747572816</c:v>
                </c:pt>
                <c:pt idx="131">
                  <c:v>0.0218635128655904</c:v>
                </c:pt>
                <c:pt idx="132">
                  <c:v>-0.00250242422346647</c:v>
                </c:pt>
                <c:pt idx="133">
                  <c:v>-0.00868638088369023</c:v>
                </c:pt>
                <c:pt idx="134">
                  <c:v>-0.0322029609009237</c:v>
                </c:pt>
                <c:pt idx="135">
                  <c:v>-0.0179773811858535</c:v>
                </c:pt>
                <c:pt idx="136">
                  <c:v>-0.0202369857542271</c:v>
                </c:pt>
                <c:pt idx="139">
                  <c:v>0.0415938252465613</c:v>
                </c:pt>
                <c:pt idx="140">
                  <c:v>-0.0239723858382418</c:v>
                </c:pt>
                <c:pt idx="141">
                  <c:v>0.0601213458356316</c:v>
                </c:pt>
                <c:pt idx="142">
                  <c:v>-0.0281569443594295</c:v>
                </c:pt>
                <c:pt idx="143">
                  <c:v>0.0239654846633495</c:v>
                </c:pt>
                <c:pt idx="144">
                  <c:v>0.00959557127479616</c:v>
                </c:pt>
                <c:pt idx="145">
                  <c:v>-0.00767660767051503</c:v>
                </c:pt>
                <c:pt idx="146">
                  <c:v>-0.00853415195702212</c:v>
                </c:pt>
                <c:pt idx="147">
                  <c:v>-0.00365359011672917</c:v>
                </c:pt>
                <c:pt idx="152">
                  <c:v>0.0275034451079468</c:v>
                </c:pt>
                <c:pt idx="153">
                  <c:v>-0.00787929589270742</c:v>
                </c:pt>
                <c:pt idx="154">
                  <c:v>0.0292046862678834</c:v>
                </c:pt>
                <c:pt idx="155">
                  <c:v>-0.00990559584074435</c:v>
                </c:pt>
                <c:pt idx="156">
                  <c:v>0.0064118508691926</c:v>
                </c:pt>
                <c:pt idx="157">
                  <c:v>0.0189207744061515</c:v>
                </c:pt>
                <c:pt idx="158">
                  <c:v>0.0284605433376455</c:v>
                </c:pt>
              </c:numCache>
            </c:numRef>
          </c:val>
        </c:ser>
        <c:gapWidth val="150"/>
        <c:overlap val="0"/>
        <c:axId val="14075144"/>
        <c:axId val="21143804"/>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(Calc)'!$AO$3:$AO$500</c:f>
              <c:numCache>
                <c:formatCode>#,##0.00</c:formatCode>
                <c:ptCount val="49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numCache>
            </c:numRef>
          </c:val>
          <c:smooth val="0"/>
        </c:ser>
        <c:hiLowLines>
          <c:spPr>
            <a:ln w="0">
              <a:noFill/>
            </a:ln>
          </c:spPr>
        </c:hiLowLines>
        <c:marker val="0"/>
        <c:axId val="26648627"/>
        <c:axId val="17307979"/>
      </c:lineChart>
      <c:dateAx>
        <c:axId val="1407514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143804"/>
        <c:auto val="1"/>
        <c:lblOffset val="100"/>
        <c:baseTimeUnit val="days"/>
      </c:dateAx>
      <c:valAx>
        <c:axId val="2114380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075144"/>
        <c:crosses val="autoZero"/>
        <c:crossBetween val="between"/>
      </c:valAx>
      <c:dateAx>
        <c:axId val="2664862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307979"/>
        <c:auto val="1"/>
        <c:lblOffset val="100"/>
        <c:baseTimeUnit val="days"/>
      </c:dateAx>
      <c:valAx>
        <c:axId val="1730797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64862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338400</xdr:colOff>
      <xdr:row>174</xdr:row>
      <xdr:rowOff>161280</xdr:rowOff>
    </xdr:to>
    <xdr:graphicFrame>
      <xdr:nvGraphicFramePr>
        <xdr:cNvPr id="1" name="Chart 1"/>
        <xdr:cNvGraphicFramePr/>
      </xdr:nvGraphicFramePr>
      <xdr:xfrm>
        <a:off x="0" y="31194360"/>
        <a:ext cx="2693520" cy="21520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13</xdr:col>
      <xdr:colOff>360000</xdr:colOff>
      <xdr:row>174</xdr:row>
      <xdr:rowOff>161280</xdr:rowOff>
    </xdr:to>
    <xdr:graphicFrame>
      <xdr:nvGraphicFramePr>
        <xdr:cNvPr id="2" name="Chart 2"/>
        <xdr:cNvGraphicFramePr/>
      </xdr:nvGraphicFramePr>
      <xdr:xfrm>
        <a:off x="3551400" y="31194360"/>
        <a:ext cx="2354040" cy="21520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126000</xdr:colOff>
      <xdr:row>174</xdr:row>
      <xdr:rowOff>161280</xdr:rowOff>
    </xdr:to>
    <xdr:graphicFrame>
      <xdr:nvGraphicFramePr>
        <xdr:cNvPr id="3" name="Chart 3"/>
        <xdr:cNvGraphicFramePr/>
      </xdr:nvGraphicFramePr>
      <xdr:xfrm>
        <a:off x="6741720" y="31194360"/>
        <a:ext cx="2409480" cy="21520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378360</xdr:colOff>
      <xdr:row>174</xdr:row>
      <xdr:rowOff>161280</xdr:rowOff>
    </xdr:to>
    <xdr:graphicFrame>
      <xdr:nvGraphicFramePr>
        <xdr:cNvPr id="4" name="Chart 4"/>
        <xdr:cNvGraphicFramePr/>
      </xdr:nvGraphicFramePr>
      <xdr:xfrm>
        <a:off x="10450080" y="31194360"/>
        <a:ext cx="4653360" cy="21520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338400</xdr:colOff>
      <xdr:row>190</xdr:row>
      <xdr:rowOff>161280</xdr:rowOff>
    </xdr:to>
    <xdr:graphicFrame>
      <xdr:nvGraphicFramePr>
        <xdr:cNvPr id="5" name="Chart 5"/>
        <xdr:cNvGraphicFramePr/>
      </xdr:nvGraphicFramePr>
      <xdr:xfrm>
        <a:off x="0" y="34089840"/>
        <a:ext cx="2693520" cy="21520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13</xdr:col>
      <xdr:colOff>360000</xdr:colOff>
      <xdr:row>190</xdr:row>
      <xdr:rowOff>161280</xdr:rowOff>
    </xdr:to>
    <xdr:graphicFrame>
      <xdr:nvGraphicFramePr>
        <xdr:cNvPr id="6" name="Chart 6"/>
        <xdr:cNvGraphicFramePr/>
      </xdr:nvGraphicFramePr>
      <xdr:xfrm>
        <a:off x="3551400" y="34089840"/>
        <a:ext cx="2354040" cy="215208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126000</xdr:colOff>
      <xdr:row>190</xdr:row>
      <xdr:rowOff>161280</xdr:rowOff>
    </xdr:to>
    <xdr:graphicFrame>
      <xdr:nvGraphicFramePr>
        <xdr:cNvPr id="7" name="Chart 7"/>
        <xdr:cNvGraphicFramePr/>
      </xdr:nvGraphicFramePr>
      <xdr:xfrm>
        <a:off x="6741720" y="34089840"/>
        <a:ext cx="2409480" cy="215208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378360</xdr:colOff>
      <xdr:row>190</xdr:row>
      <xdr:rowOff>161280</xdr:rowOff>
    </xdr:to>
    <xdr:graphicFrame>
      <xdr:nvGraphicFramePr>
        <xdr:cNvPr id="8" name="Chart 8"/>
        <xdr:cNvGraphicFramePr/>
      </xdr:nvGraphicFramePr>
      <xdr:xfrm>
        <a:off x="10450080" y="34089840"/>
        <a:ext cx="4653360" cy="215208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338400</xdr:colOff>
      <xdr:row>206</xdr:row>
      <xdr:rowOff>160560</xdr:rowOff>
    </xdr:to>
    <xdr:graphicFrame>
      <xdr:nvGraphicFramePr>
        <xdr:cNvPr id="9" name="Chart 9"/>
        <xdr:cNvGraphicFramePr/>
      </xdr:nvGraphicFramePr>
      <xdr:xfrm>
        <a:off x="0" y="36985680"/>
        <a:ext cx="2693520" cy="215136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13</xdr:col>
      <xdr:colOff>360000</xdr:colOff>
      <xdr:row>206</xdr:row>
      <xdr:rowOff>160560</xdr:rowOff>
    </xdr:to>
    <xdr:graphicFrame>
      <xdr:nvGraphicFramePr>
        <xdr:cNvPr id="10" name="Chart 10"/>
        <xdr:cNvGraphicFramePr/>
      </xdr:nvGraphicFramePr>
      <xdr:xfrm>
        <a:off x="3551400" y="36985680"/>
        <a:ext cx="2354040" cy="215136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126000</xdr:colOff>
      <xdr:row>206</xdr:row>
      <xdr:rowOff>160560</xdr:rowOff>
    </xdr:to>
    <xdr:graphicFrame>
      <xdr:nvGraphicFramePr>
        <xdr:cNvPr id="11" name="Chart 11"/>
        <xdr:cNvGraphicFramePr/>
      </xdr:nvGraphicFramePr>
      <xdr:xfrm>
        <a:off x="6741720" y="36985680"/>
        <a:ext cx="2409480" cy="215136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378360</xdr:colOff>
      <xdr:row>206</xdr:row>
      <xdr:rowOff>160560</xdr:rowOff>
    </xdr:to>
    <xdr:graphicFrame>
      <xdr:nvGraphicFramePr>
        <xdr:cNvPr id="12" name="Chart 12"/>
        <xdr:cNvGraphicFramePr/>
      </xdr:nvGraphicFramePr>
      <xdr:xfrm>
        <a:off x="10450080" y="36985680"/>
        <a:ext cx="4653360" cy="215136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338400</xdr:colOff>
      <xdr:row>222</xdr:row>
      <xdr:rowOff>161280</xdr:rowOff>
    </xdr:to>
    <xdr:graphicFrame>
      <xdr:nvGraphicFramePr>
        <xdr:cNvPr id="13" name="Chart 13"/>
        <xdr:cNvGraphicFramePr/>
      </xdr:nvGraphicFramePr>
      <xdr:xfrm>
        <a:off x="0" y="39881160"/>
        <a:ext cx="2693520" cy="215208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13</xdr:col>
      <xdr:colOff>360000</xdr:colOff>
      <xdr:row>222</xdr:row>
      <xdr:rowOff>161280</xdr:rowOff>
    </xdr:to>
    <xdr:graphicFrame>
      <xdr:nvGraphicFramePr>
        <xdr:cNvPr id="14" name="Chart 14"/>
        <xdr:cNvGraphicFramePr/>
      </xdr:nvGraphicFramePr>
      <xdr:xfrm>
        <a:off x="3551400" y="39881160"/>
        <a:ext cx="2354040" cy="215208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126000</xdr:colOff>
      <xdr:row>222</xdr:row>
      <xdr:rowOff>161280</xdr:rowOff>
    </xdr:to>
    <xdr:graphicFrame>
      <xdr:nvGraphicFramePr>
        <xdr:cNvPr id="15" name="Chart 15"/>
        <xdr:cNvGraphicFramePr/>
      </xdr:nvGraphicFramePr>
      <xdr:xfrm>
        <a:off x="6741720" y="39881160"/>
        <a:ext cx="2409480" cy="215208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378360</xdr:colOff>
      <xdr:row>222</xdr:row>
      <xdr:rowOff>161280</xdr:rowOff>
    </xdr:to>
    <xdr:graphicFrame>
      <xdr:nvGraphicFramePr>
        <xdr:cNvPr id="16" name="Chart 16"/>
        <xdr:cNvGraphicFramePr/>
      </xdr:nvGraphicFramePr>
      <xdr:xfrm>
        <a:off x="10450080" y="39881160"/>
        <a:ext cx="4653360" cy="21520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338400</xdr:colOff>
      <xdr:row>238</xdr:row>
      <xdr:rowOff>161280</xdr:rowOff>
    </xdr:to>
    <xdr:graphicFrame>
      <xdr:nvGraphicFramePr>
        <xdr:cNvPr id="17" name="Chart 17"/>
        <xdr:cNvGraphicFramePr/>
      </xdr:nvGraphicFramePr>
      <xdr:xfrm>
        <a:off x="0" y="42776640"/>
        <a:ext cx="2693520" cy="215208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13</xdr:col>
      <xdr:colOff>360000</xdr:colOff>
      <xdr:row>238</xdr:row>
      <xdr:rowOff>161280</xdr:rowOff>
    </xdr:to>
    <xdr:graphicFrame>
      <xdr:nvGraphicFramePr>
        <xdr:cNvPr id="18" name="Chart 18"/>
        <xdr:cNvGraphicFramePr/>
      </xdr:nvGraphicFramePr>
      <xdr:xfrm>
        <a:off x="3551400" y="42776640"/>
        <a:ext cx="2354040" cy="215208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4</xdr:col>
      <xdr:colOff>393840</xdr:colOff>
      <xdr:row>252</xdr:row>
      <xdr:rowOff>161280</xdr:rowOff>
    </xdr:to>
    <xdr:graphicFrame>
      <xdr:nvGraphicFramePr>
        <xdr:cNvPr id="19" name="Chart 19"/>
        <xdr:cNvGraphicFramePr/>
      </xdr:nvGraphicFramePr>
      <xdr:xfrm>
        <a:off x="0" y="45310320"/>
        <a:ext cx="2350440" cy="215208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51"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50" headerRowCount="1" totalsRowCount="0" totalsRowShown="0">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47" headerRowCount="1" totalsRowCount="0" totalsRowShown="0">
  <tableColumns count="19">
    <tableColumn id="1" name="Ticker"/>
    <tableColumn id="2" name="Company"/>
    <tableColumn id="3" name="Rule 6&#10;Composite&#10;≥65?"/>
    <tableColumn id="4" name="Rule 7&#10;Tier1&#10;≥3.0?"/>
    <tableColumn id="5" name="Rule 8&#10;No Tier1&#10;=1?"/>
    <tableColumn id="6" name="Rule 9&#10;Above / reclaimed&#10;200-wk MA?&#10;(Y/N)"/>
    <tableColumn id="7" name="Rule 10&#10;Monthly MACD&#10;positive / turning?&#10;(Y/N)"/>
    <tableColumn id="8" name="Staging&#10;Result&#10;(Rules 8-9)"/>
    <tableColumn id="9" name="Rule 11&#10;Binary event&#10;risk present?&#10;(Y/N)"/>
    <tableColumn id="10" name="Risk included&#10;in thesis?&#10;(Y/N)"/>
    <tableColumn id="11" name="Rule 11&#10;Result"/>
    <tableColumn id="12" name="Base Case&#10;&gt;10%?"/>
    <tableColumn id="13" name="Rule 12&#10;Bear Case&#10;≥0%?"/>
    <tableColumn id="14" name="Rule 13&#10;Scenario tags&#10;OK?"/>
    <tableColumn id="15" name="P/FCF&#10;(current)"/>
    <tableColumn id="16" name="Consensus FCF&#10;growth, 2-yr&#10;annualized"/>
    <tableColumn id="17" name="Rule 14&#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48" headerRowCount="1" totalsRowCount="0" totalsRowShown="0">
  <autoFilter ref="A2:Q48"/>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OpenItemsTable" displayName="OpenItemsTable" ref="A4:F28" headerRowCount="1" totalsRowCount="0" totalsRowShown="0">
  <tableColumns count="6">
    <tableColumn id="1" name="#"/>
    <tableColumn id="2" name="Item"/>
    <tableColumn id="3" name="Done (Y/N)"/>
    <tableColumn id="4" name="Date Raised"/>
    <tableColumn id="5" name="Date Resolved"/>
    <tableColumn id="6" name="Notes"/>
  </tableColumns>
</table>
</file>

<file path=xl/tables/table8.xml><?xml version="1.0" encoding="utf-8"?>
<table xmlns="http://schemas.openxmlformats.org/spreadsheetml/2006/main" id="8"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9.xml><?xml version="1.0" encoding="utf-8"?>
<table xmlns="http://schemas.openxmlformats.org/spreadsheetml/2006/main" id="9" name="ProcessChecklistTable" displayName="ProcessChecklistTable" ref="A4:F117"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10.xml><?xml version="1.0" encoding="utf-8"?>
<table xmlns="http://schemas.openxmlformats.org/spreadsheetml/2006/main" id="10" name="WatchListTable" displayName="WatchListTable" ref="A2:M22" headerRowCount="1" totalsRowCount="0" totalsRowShown="0">
  <tableColumns count="13">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 id="13" name="Trims Taken&#10;(0-3, Rule 34)"/>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10.xml"/>
</Relationships>
</file>

<file path=xl/worksheets/_rels/sheet16.xml.rels><?xml version="1.0" encoding="UTF-8"?>
<Relationships xmlns="http://schemas.openxmlformats.org/package/2006/relationships"><Relationship Id="rId1" Type="http://schemas.openxmlformats.org/officeDocument/2006/relationships/table" Target="../tables/table8.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9.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4.vml"/><Relationship Id="rId3" Type="http://schemas.openxmlformats.org/officeDocument/2006/relationships/table" Target="../tables/table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8.66796875" defaultRowHeight="14.25" customHeight="false" zeroHeight="false" outlineLevelRow="0" outlineLevelCol="0"/>
  <cols>
    <col collapsed="false" customWidth="true" hidden="false" outlineLevel="0" max="1" min="1" style="1" width="100"/>
  </cols>
  <sheetData>
    <row r="1" customFormat="false" ht="29.25" hidden="false" customHeight="true" outlineLevel="0" collapsed="false">
      <c r="A1" s="2" t="s">
        <v>0</v>
      </c>
    </row>
    <row r="2" customFormat="false" ht="14.25" hidden="false" customHeight="true" outlineLevel="0" collapsed="false">
      <c r="A2" s="3"/>
    </row>
    <row r="3" customFormat="false" ht="14.25" hidden="false" customHeight="true" outlineLevel="0" collapsed="false">
      <c r="A3" s="4" t="s">
        <v>1</v>
      </c>
    </row>
    <row r="4" customFormat="false" ht="14.25" hidden="false" customHeight="true" outlineLevel="0" collapsed="false">
      <c r="A4" s="3" t="s">
        <v>2</v>
      </c>
    </row>
    <row r="5" customFormat="false" ht="14.25" hidden="false" customHeight="true" outlineLevel="0" collapsed="false">
      <c r="A5" s="3" t="s">
        <v>3</v>
      </c>
    </row>
    <row r="6" customFormat="false" ht="14.25" hidden="false" customHeight="true" outlineLevel="0" collapsed="false">
      <c r="A6" s="3"/>
    </row>
    <row r="7" customFormat="false" ht="14.25" hidden="false" customHeight="true" outlineLevel="0" collapsed="false">
      <c r="A7" s="5" t="s">
        <v>4</v>
      </c>
    </row>
    <row r="8" customFormat="false" ht="14.25" hidden="false" customHeight="true" outlineLevel="0" collapsed="false">
      <c r="A8" s="3" t="s">
        <v>5</v>
      </c>
    </row>
    <row r="9" customFormat="false" ht="14.25" hidden="false" customHeight="true" outlineLevel="0" collapsed="false">
      <c r="A9" s="3" t="s">
        <v>6</v>
      </c>
    </row>
    <row r="10" customFormat="false" ht="14.25" hidden="false" customHeight="true" outlineLevel="0" collapsed="false">
      <c r="A10" s="3"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14.2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t="s">
        <v>20</v>
      </c>
    </row>
    <row r="25" customFormat="false" ht="14.25" hidden="false" customHeight="true" outlineLevel="0" collapsed="false">
      <c r="A25" s="3" t="s">
        <v>21</v>
      </c>
    </row>
    <row r="26" customFormat="false" ht="14.25" hidden="false" customHeight="true" outlineLevel="0" collapsed="false">
      <c r="A26" s="3" t="s">
        <v>22</v>
      </c>
    </row>
    <row r="27" customFormat="false" ht="14.25" hidden="false" customHeight="true" outlineLevel="0" collapsed="false">
      <c r="A27" s="6" t="s">
        <v>23</v>
      </c>
    </row>
    <row r="28" customFormat="false" ht="14.25" hidden="false" customHeight="true" outlineLevel="0" collapsed="false">
      <c r="A28" s="6" t="s">
        <v>24</v>
      </c>
    </row>
    <row r="29" customFormat="false" ht="14.25" hidden="false" customHeight="true" outlineLevel="0" collapsed="false">
      <c r="A29" s="3" t="s">
        <v>25</v>
      </c>
    </row>
    <row r="30" customFormat="false" ht="14.25" hidden="false" customHeight="true" outlineLevel="0" collapsed="false">
      <c r="A30" s="3" t="s">
        <v>26</v>
      </c>
    </row>
    <row r="31" customFormat="false" ht="32.25" hidden="false" customHeight="true" outlineLevel="0" collapsed="false">
      <c r="A31" s="3"/>
    </row>
    <row r="32" customFormat="false" ht="14.25" hidden="false" customHeight="true" outlineLevel="0" collapsed="false">
      <c r="A32" s="5" t="s">
        <v>27</v>
      </c>
    </row>
    <row r="33" customFormat="false" ht="32.25" hidden="false" customHeight="true" outlineLevel="0" collapsed="false">
      <c r="A33" s="3" t="s">
        <v>28</v>
      </c>
    </row>
    <row r="34" customFormat="false" ht="14.25" hidden="false" customHeight="true" outlineLevel="0" collapsed="false">
      <c r="A34" s="3" t="s">
        <v>29</v>
      </c>
    </row>
    <row r="35" customFormat="false" ht="21.75" hidden="false" customHeight="true" outlineLevel="0" collapsed="false"/>
    <row r="36" customFormat="false" ht="14.25" hidden="false" customHeight="true" outlineLevel="0" collapsed="false">
      <c r="A36" s="7" t="s">
        <v>30</v>
      </c>
    </row>
    <row r="37" customFormat="false" ht="14.25" hidden="false" customHeight="true" outlineLevel="0" collapsed="false">
      <c r="A37" s="8" t="s">
        <v>31</v>
      </c>
    </row>
    <row r="38" customFormat="false" ht="14.25" hidden="false" customHeight="true" outlineLevel="0" collapsed="false">
      <c r="A38" s="3"/>
    </row>
    <row r="39" customFormat="false" ht="14.25" hidden="false" customHeight="true" outlineLevel="0" collapsed="false">
      <c r="A39" s="5" t="s">
        <v>32</v>
      </c>
    </row>
    <row r="40" customFormat="false" ht="14.25" hidden="false" customHeight="true" outlineLevel="0" collapsed="false">
      <c r="A40" s="3" t="s">
        <v>33</v>
      </c>
    </row>
    <row r="41" customFormat="false" ht="14.25" hidden="false" customHeight="true" outlineLevel="0" collapsed="false">
      <c r="A41" s="3" t="s">
        <v>34</v>
      </c>
    </row>
    <row r="42" customFormat="false" ht="14.25" hidden="false" customHeight="true" outlineLevel="0" collapsed="false">
      <c r="A42" s="3" t="s">
        <v>35</v>
      </c>
    </row>
    <row r="43" customFormat="false" ht="14.25" hidden="false" customHeight="true" outlineLevel="0" collapsed="false">
      <c r="A43" s="3" t="s">
        <v>36</v>
      </c>
    </row>
    <row r="44" customFormat="false" ht="14.25" hidden="false" customHeight="true" outlineLevel="0" collapsed="false">
      <c r="A44" s="3" t="s">
        <v>37</v>
      </c>
    </row>
    <row r="45" customFormat="false" ht="14.25" hidden="false" customHeight="true" outlineLevel="0" collapsed="false">
      <c r="A45" s="3" t="s">
        <v>38</v>
      </c>
    </row>
    <row r="46" customFormat="false" ht="21.75" hidden="false" customHeight="true" outlineLevel="0" collapsed="false">
      <c r="A46" s="3" t="s">
        <v>39</v>
      </c>
    </row>
    <row r="47" customFormat="false" ht="14.25" hidden="false" customHeight="true" outlineLevel="0" collapsed="false">
      <c r="A47" s="3" t="s">
        <v>40</v>
      </c>
    </row>
    <row r="48" customFormat="false" ht="42.75" hidden="false" customHeight="true" outlineLevel="0" collapsed="false">
      <c r="A48" s="3" t="s">
        <v>41</v>
      </c>
    </row>
    <row r="49" customFormat="false" ht="14.25" hidden="false" customHeight="true" outlineLevel="0" collapsed="false">
      <c r="A49" s="3"/>
    </row>
    <row r="50" customFormat="false" ht="34.5" hidden="false" customHeight="true" outlineLevel="0" collapsed="false">
      <c r="A50" s="3" t="s">
        <v>42</v>
      </c>
    </row>
    <row r="51" customFormat="false" ht="34.5" hidden="false" customHeight="true" outlineLevel="0" collapsed="false">
      <c r="A51" s="3"/>
    </row>
    <row r="52" customFormat="false" ht="14.25" hidden="false" customHeight="true" outlineLevel="0" collapsed="false">
      <c r="A52" s="9" t="s">
        <v>43</v>
      </c>
    </row>
    <row r="53" customFormat="false" ht="14.25" hidden="false" customHeight="true" outlineLevel="0" collapsed="false">
      <c r="A53" s="9" t="s">
        <v>44</v>
      </c>
    </row>
    <row r="54" customFormat="false" ht="14.25" hidden="false" customHeight="true" outlineLevel="0" collapsed="false">
      <c r="A54" s="1" t="s">
        <v>45</v>
      </c>
    </row>
    <row r="55" customFormat="false" ht="14.25" hidden="false" customHeight="true" outlineLevel="0" collapsed="false">
      <c r="A55" s="1" t="s">
        <v>46</v>
      </c>
    </row>
    <row r="56" customFormat="false" ht="14.25" hidden="false" customHeight="true" outlineLevel="0" collapsed="false">
      <c r="A56" s="1" t="s">
        <v>47</v>
      </c>
    </row>
    <row r="57" customFormat="false" ht="14.25" hidden="false" customHeight="true" outlineLevel="0" collapsed="false">
      <c r="A57" s="1" t="s">
        <v>48</v>
      </c>
    </row>
    <row r="58" customFormat="false" ht="14.25" hidden="false" customHeight="true" outlineLevel="0" collapsed="false">
      <c r="A58" s="1" t="s">
        <v>49</v>
      </c>
    </row>
    <row r="59" customFormat="false" ht="14.25" hidden="false" customHeight="true" outlineLevel="0" collapsed="false">
      <c r="A59" s="1" t="s">
        <v>50</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10" activeCellId="0" sqref="J10"/>
    </sheetView>
  </sheetViews>
  <sheetFormatPr defaultColWidth="8.66796875" defaultRowHeight="14.2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1.89"/>
    <col collapsed="false" customWidth="true" hidden="false" outlineLevel="0" max="6" min="6" style="1" width="8"/>
  </cols>
  <sheetData>
    <row r="1" s="11" customFormat="true" ht="54" hidden="false" customHeight="true" outlineLevel="0" collapsed="false">
      <c r="A1" s="10" t="s">
        <v>51</v>
      </c>
      <c r="B1" s="10"/>
      <c r="C1" s="10"/>
      <c r="D1" s="10"/>
      <c r="E1" s="10"/>
      <c r="F1" s="10"/>
    </row>
    <row r="2" customFormat="false" ht="15" hidden="false" customHeight="true" outlineLevel="0" collapsed="false">
      <c r="A2" s="12" t="s">
        <v>52</v>
      </c>
      <c r="B2" s="12"/>
      <c r="C2" s="12"/>
      <c r="D2" s="12"/>
      <c r="E2" s="12"/>
      <c r="F2" s="12"/>
    </row>
    <row r="4" customFormat="false" ht="15" hidden="false" customHeight="true" outlineLevel="0" collapsed="false">
      <c r="A4" s="13" t="s">
        <v>53</v>
      </c>
      <c r="B4" s="13"/>
      <c r="C4" s="13"/>
      <c r="D4" s="13"/>
      <c r="E4" s="13"/>
      <c r="F4" s="13"/>
    </row>
    <row r="5" customFormat="false" ht="15" hidden="false" customHeight="true" outlineLevel="0" collapsed="false">
      <c r="A5" s="14" t="s">
        <v>54</v>
      </c>
      <c r="B5" s="14"/>
      <c r="C5" s="14"/>
      <c r="D5" s="14"/>
      <c r="E5" s="15" t="n">
        <f aca="false">COUNTIF('Watch List Tracker'!K3:K22,"*SELL WITHIN 30 DAYS*")</f>
        <v>0</v>
      </c>
      <c r="F5" s="15"/>
    </row>
    <row r="6" customFormat="false" ht="15" hidden="false" customHeight="true" outlineLevel="0" collapsed="false">
      <c r="A6" s="14" t="s">
        <v>55</v>
      </c>
      <c r="B6" s="14"/>
      <c r="C6" s="14"/>
      <c r="D6" s="14"/>
      <c r="E6" s="15" t="n">
        <f aca="false">COUNTIF('Watch List Tracker'!K3:K22,"DEADLINE APPROACHING")</f>
        <v>0</v>
      </c>
      <c r="F6" s="15"/>
    </row>
    <row r="7" customFormat="false" ht="15" hidden="false" customHeight="true" outlineLevel="0" collapsed="false">
      <c r="A7" s="14" t="s">
        <v>56</v>
      </c>
      <c r="B7" s="14"/>
      <c r="C7" s="14"/>
      <c r="D7" s="14"/>
      <c r="E7" s="15" t="n">
        <f aca="false">COUNTIF('Watch List Tracker'!K3:K22,"*RECOVERED*")</f>
        <v>0</v>
      </c>
      <c r="F7" s="15"/>
    </row>
    <row r="8" customFormat="false" ht="15" hidden="false" customHeight="true" outlineLevel="0" collapsed="false">
      <c r="A8" s="16"/>
      <c r="B8" s="16"/>
      <c r="C8" s="16"/>
      <c r="D8" s="16"/>
    </row>
    <row r="9" customFormat="false" ht="15" hidden="false" customHeight="true" outlineLevel="0" collapsed="false">
      <c r="A9" s="13" t="s">
        <v>57</v>
      </c>
      <c r="B9" s="13"/>
      <c r="C9" s="13"/>
      <c r="D9" s="13"/>
      <c r="E9" s="13"/>
      <c r="F9" s="13"/>
    </row>
    <row r="10" customFormat="false" ht="15" hidden="false" customHeight="true" outlineLevel="0" collapsed="false">
      <c r="A10" s="14" t="s">
        <v>58</v>
      </c>
      <c r="B10" s="14"/>
      <c r="C10" s="14"/>
      <c r="D10" s="14"/>
      <c r="E10" s="15" t="n">
        <f aca="false">COUNTIF('Holding Monitor'!AB4:AB23,"*ACTION REQUIRED*")</f>
        <v>0</v>
      </c>
      <c r="F10" s="15"/>
    </row>
    <row r="11" customFormat="false" ht="15" hidden="false" customHeight="true" outlineLevel="0" collapsed="false">
      <c r="A11" s="14" t="s">
        <v>59</v>
      </c>
      <c r="B11" s="14"/>
      <c r="C11" s="14"/>
      <c r="D11" s="14"/>
      <c r="E11" s="15" t="n">
        <f aca="false">COUNTIF('Holding Monitor'!AB4:AB23,"*Hold Through*")</f>
        <v>0</v>
      </c>
      <c r="F11" s="15"/>
    </row>
    <row r="12" customFormat="false" ht="15" hidden="false" customHeight="true" outlineLevel="0" collapsed="false">
      <c r="A12" s="16"/>
      <c r="B12" s="16"/>
      <c r="C12" s="16"/>
      <c r="D12" s="16"/>
    </row>
    <row r="13" customFormat="false" ht="15" hidden="false" customHeight="true" outlineLevel="0" collapsed="false">
      <c r="A13" s="13" t="s">
        <v>60</v>
      </c>
      <c r="B13" s="13"/>
      <c r="C13" s="13"/>
      <c r="D13" s="13"/>
      <c r="E13" s="13"/>
      <c r="F13" s="13"/>
    </row>
    <row r="14" customFormat="false" ht="15" hidden="false" customHeight="true" outlineLevel="0" collapsed="false">
      <c r="A14" s="14" t="s">
        <v>61</v>
      </c>
      <c r="B14" s="14"/>
      <c r="C14" s="14"/>
      <c r="D14" s="14"/>
      <c r="E14" s="17" t="str">
        <f aca="false">'Correlation Matrix'!J3</f>
        <v>REVIEW REQUIRED</v>
      </c>
      <c r="F14" s="17"/>
    </row>
    <row r="15" customFormat="false" ht="15" hidden="false" customHeight="true" outlineLevel="0" collapsed="false">
      <c r="A15" s="14" t="s">
        <v>62</v>
      </c>
      <c r="B15" s="14"/>
      <c r="C15" s="14"/>
      <c r="D15" s="14"/>
      <c r="E15" s="18" t="n">
        <f aca="false">'Correlation Matrix'!J2</f>
        <v>4</v>
      </c>
      <c r="F15" s="18"/>
    </row>
    <row r="16" customFormat="false" ht="15" hidden="false" customHeight="true" outlineLevel="0" collapsed="false">
      <c r="A16" s="16"/>
      <c r="B16" s="16"/>
      <c r="C16" s="16"/>
      <c r="D16" s="16"/>
    </row>
    <row r="17" customFormat="false" ht="15" hidden="false" customHeight="true" outlineLevel="0" collapsed="false">
      <c r="A17" s="13" t="s">
        <v>63</v>
      </c>
      <c r="B17" s="13"/>
      <c r="C17" s="13"/>
      <c r="D17" s="13"/>
      <c r="E17" s="13"/>
      <c r="F17" s="13"/>
    </row>
    <row r="18" customFormat="false" ht="15" hidden="false" customHeight="true" outlineLevel="0" collapsed="false">
      <c r="A18" s="14" t="s">
        <v>64</v>
      </c>
      <c r="B18" s="14"/>
      <c r="C18" s="14"/>
      <c r="D18" s="14"/>
      <c r="E18" s="15" t="str">
        <f aca="false">IFERROR(INDEX('Portfolio Drawdown Log'!E3:E42,COUNT('Portfolio Drawdown Log'!D3:D42)),"No entries yet")</f>
        <v>Normal</v>
      </c>
      <c r="F18" s="15"/>
    </row>
    <row r="19" customFormat="false" ht="15" hidden="false" customHeight="true" outlineLevel="0" collapsed="false">
      <c r="A19" s="14" t="s">
        <v>65</v>
      </c>
      <c r="B19" s="14"/>
      <c r="C19" s="14"/>
      <c r="D19" s="14"/>
      <c r="E19" s="19" t="n">
        <f aca="false">IFERROR(INDEX('Portfolio Drawdown Log'!D3:D42,COUNT('Portfolio Drawdown Log'!D3:D42)),"")</f>
        <v>-0.0128663106108875</v>
      </c>
      <c r="F19" s="19"/>
    </row>
    <row r="20" customFormat="false" ht="15" hidden="false" customHeight="true" outlineLevel="0" collapsed="false">
      <c r="A20" s="14" t="s">
        <v>66</v>
      </c>
      <c r="B20" s="14"/>
      <c r="C20" s="14"/>
      <c r="D20" s="14"/>
      <c r="E20" s="15" t="str">
        <f aca="false">IFERROR(INDEX('Portfolio Drawdown Log'!F3:F42,COUNT('Portfolio Drawdown Log'!D3:D42)),"")</f>
        <v>5-15%</v>
      </c>
      <c r="F20" s="15"/>
    </row>
    <row r="21" customFormat="false" ht="15" hidden="false" customHeight="true" outlineLevel="0" collapsed="false">
      <c r="A21" s="16"/>
      <c r="B21" s="16"/>
      <c r="C21" s="16"/>
      <c r="D21" s="16"/>
    </row>
    <row r="22" customFormat="false" ht="15" hidden="false" customHeight="true" outlineLevel="0" collapsed="false">
      <c r="A22" s="13" t="s">
        <v>67</v>
      </c>
      <c r="B22" s="13"/>
      <c r="C22" s="13"/>
      <c r="D22" s="13"/>
      <c r="E22" s="13"/>
      <c r="F22" s="13"/>
    </row>
    <row r="23" customFormat="false" ht="15" hidden="false" customHeight="true" outlineLevel="0" collapsed="false">
      <c r="A23" s="14" t="s">
        <v>68</v>
      </c>
      <c r="B23" s="14"/>
      <c r="C23" s="14"/>
      <c r="D23" s="14"/>
      <c r="E23" s="15" t="n">
        <f aca="false">COUNTIF(Scoring!AH3:AH60,"FAIL")</f>
        <v>19</v>
      </c>
      <c r="F23" s="15"/>
    </row>
    <row r="24" customFormat="false" ht="15" hidden="false" customHeight="true" outlineLevel="0" collapsed="false">
      <c r="A24" s="14" t="s">
        <v>69</v>
      </c>
      <c r="B24" s="14"/>
      <c r="C24" s="14"/>
      <c r="D24" s="14"/>
      <c r="E24" s="15" t="n">
        <f aca="false">COUNTIF(Scoring!AJ3:AJ60,"AVOID")</f>
        <v>23</v>
      </c>
      <c r="F24" s="15"/>
    </row>
    <row r="25" customFormat="false" ht="15" hidden="false" customHeight="true" outlineLevel="0" collapsed="false">
      <c r="A25" s="14" t="s">
        <v>70</v>
      </c>
      <c r="B25" s="14"/>
      <c r="C25" s="14"/>
      <c r="D25" s="14"/>
      <c r="E25" s="15" t="n">
        <f aca="false">COUNTIF(Scoring!AI3:AI60,"REVIEW")</f>
        <v>14</v>
      </c>
      <c r="F25" s="15"/>
    </row>
    <row r="26" customFormat="false" ht="15" hidden="false" customHeight="true" outlineLevel="0" collapsed="false">
      <c r="A26" s="14" t="s">
        <v>71</v>
      </c>
      <c r="B26" s="14"/>
      <c r="C26" s="14"/>
      <c r="D26" s="14"/>
      <c r="E26" s="15" t="n">
        <f aca="false">COUNTIF(Scoring!AK3:AK60,"CAP AT BUY")</f>
        <v>0</v>
      </c>
      <c r="F26" s="15"/>
    </row>
    <row r="27" customFormat="false" ht="15" hidden="false" customHeight="true" outlineLevel="0" collapsed="false">
      <c r="A27" s="13" t="s">
        <v>72</v>
      </c>
      <c r="B27" s="13"/>
      <c r="C27" s="13"/>
      <c r="D27" s="13"/>
      <c r="E27" s="13"/>
      <c r="F27" s="13"/>
    </row>
    <row r="28" customFormat="false" ht="15" hidden="false" customHeight="true" outlineLevel="0" collapsed="false">
      <c r="A28" s="20" t="s">
        <v>73</v>
      </c>
      <c r="B28" s="20"/>
      <c r="C28" s="20"/>
      <c r="D28" s="20"/>
      <c r="E28" s="15" t="n">
        <f aca="false">COUNTIF('Entry Checklist'!R3:R47,"NO*")</f>
        <v>1</v>
      </c>
      <c r="F28" s="15"/>
    </row>
    <row r="29" customFormat="false" ht="15" hidden="false" customHeight="true" outlineLevel="0" collapsed="false">
      <c r="A29" s="20" t="s">
        <v>74</v>
      </c>
      <c r="B29" s="20"/>
      <c r="C29" s="20"/>
      <c r="D29" s="20"/>
      <c r="E29" s="15" t="n">
        <f aca="false">COUNTIF('Entry Checklist'!H3:H47,"*50%*")</f>
        <v>0</v>
      </c>
      <c r="F29" s="15"/>
    </row>
    <row r="30" customFormat="false" ht="15" hidden="false" customHeight="true" outlineLevel="0" collapsed="false">
      <c r="A30" s="16"/>
      <c r="B30" s="16"/>
      <c r="C30" s="16"/>
      <c r="D30" s="16"/>
    </row>
    <row r="31" customFormat="false" ht="55.5" hidden="false" customHeight="true" outlineLevel="0" collapsed="false">
      <c r="A31" s="21" t="s">
        <v>75</v>
      </c>
      <c r="B31" s="21"/>
      <c r="C31" s="21"/>
      <c r="D31" s="21"/>
      <c r="E31" s="21"/>
      <c r="F31" s="21"/>
    </row>
    <row r="32" customFormat="false" ht="29.25" hidden="false" customHeight="true" outlineLevel="0" collapsed="false">
      <c r="A32" s="22" t="s">
        <v>76</v>
      </c>
      <c r="B32" s="22"/>
      <c r="C32" s="22"/>
      <c r="D32" s="22"/>
      <c r="E32" s="15" t="n">
        <f aca="false">COUNTIF(Scoring!AP3:AP60,"LOW CONF")</f>
        <v>2</v>
      </c>
      <c r="F32" s="15"/>
    </row>
    <row r="33" customFormat="false" ht="15" hidden="false" customHeight="true" outlineLevel="0" collapsed="false">
      <c r="A33" s="14" t="s">
        <v>77</v>
      </c>
      <c r="B33" s="14"/>
      <c r="C33" s="14"/>
      <c r="D33" s="14"/>
      <c r="E33" s="15" t="n">
        <f aca="false">COUNTIF(Scoring!AS3:AS60,"Increased")</f>
        <v>5</v>
      </c>
      <c r="F33" s="15"/>
    </row>
    <row r="34" customFormat="false" ht="15" hidden="false" customHeight="true" outlineLevel="0" collapsed="false">
      <c r="A34" s="16"/>
      <c r="B34" s="16"/>
      <c r="C34" s="16"/>
      <c r="D34" s="16"/>
    </row>
    <row r="35" customFormat="false" ht="15" hidden="false" customHeight="true" outlineLevel="0" collapsed="false">
      <c r="A35" s="16"/>
      <c r="B35" s="16"/>
      <c r="C35" s="16"/>
      <c r="D35" s="16"/>
    </row>
    <row r="36" customFormat="false" ht="15" hidden="false" customHeight="true" outlineLevel="0" collapsed="false">
      <c r="A36" s="16"/>
      <c r="B36" s="16"/>
      <c r="C36" s="16"/>
      <c r="D36" s="16"/>
    </row>
    <row r="37" customFormat="false" ht="15" hidden="false" customHeight="true" outlineLevel="0" collapsed="false">
      <c r="A37" s="16"/>
      <c r="B37" s="16"/>
      <c r="C37" s="16"/>
      <c r="D37" s="16"/>
    </row>
    <row r="38" customFormat="false" ht="15" hidden="false" customHeight="true" outlineLevel="0" collapsed="false">
      <c r="A38" s="16"/>
      <c r="B38" s="16"/>
      <c r="C38" s="16"/>
      <c r="D38" s="16"/>
    </row>
    <row r="39" customFormat="false" ht="15" hidden="false" customHeight="true" outlineLevel="0" collapsed="false">
      <c r="A39" s="16"/>
      <c r="B39" s="16"/>
      <c r="C39" s="16"/>
      <c r="D39" s="16"/>
    </row>
    <row r="40" customFormat="false" ht="15" hidden="false" customHeight="true" outlineLevel="0" collapsed="false">
      <c r="A40" s="16"/>
      <c r="B40" s="16"/>
      <c r="C40" s="16"/>
      <c r="D40" s="16"/>
    </row>
    <row r="41" customFormat="false" ht="15" hidden="false" customHeight="true" outlineLevel="0" collapsed="false">
      <c r="A41" s="16"/>
      <c r="B41" s="16"/>
      <c r="C41" s="16"/>
      <c r="D41" s="16"/>
    </row>
    <row r="42" customFormat="false" ht="15" hidden="false" customHeight="true" outlineLevel="0" collapsed="false">
      <c r="A42" s="16"/>
      <c r="B42" s="16"/>
      <c r="C42" s="16"/>
      <c r="D42" s="16"/>
    </row>
    <row r="43" customFormat="false" ht="15" hidden="false" customHeight="true" outlineLevel="0" collapsed="false">
      <c r="A43" s="16"/>
      <c r="B43" s="16"/>
      <c r="C43" s="16"/>
      <c r="D43" s="16"/>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G32" activePane="bottomRight" state="frozen"/>
      <selection pane="topLeft" activeCell="A1" activeCellId="0" sqref="A1"/>
      <selection pane="topRight" activeCell="G1" activeCellId="0" sqref="G1"/>
      <selection pane="bottomLeft" activeCell="A32" activeCellId="0" sqref="A32"/>
      <selection pane="bottomRight" activeCell="I16" activeCellId="0" sqref="I16"/>
    </sheetView>
  </sheetViews>
  <sheetFormatPr defaultColWidth="8.66796875" defaultRowHeight="14.25" customHeight="false" zeroHeight="false" outlineLevelRow="1" outlineLevelCol="0"/>
  <cols>
    <col collapsed="false" customWidth="true" hidden="false" outlineLevel="0" max="1" min="1" style="1" width="11"/>
    <col collapsed="false" customWidth="true" hidden="false" outlineLevel="0" max="2" min="2" style="23" width="9"/>
    <col collapsed="false" customWidth="true" hidden="false" outlineLevel="0" max="3" min="3" style="1" width="30"/>
    <col collapsed="false" customWidth="true" hidden="false" outlineLevel="0" max="4" min="4" style="23" width="11.11"/>
    <col collapsed="false" customWidth="true" hidden="false" outlineLevel="0" max="5" min="5" style="1" width="11.77"/>
    <col collapsed="false" customWidth="true" hidden="false" outlineLevel="0" max="6" min="6" style="24" width="10"/>
    <col collapsed="false" customWidth="true" hidden="false" outlineLevel="0" max="7" min="7" style="1" width="13.75"/>
    <col collapsed="false" customWidth="true" hidden="false" outlineLevel="0" max="8" min="8" style="1" width="13"/>
    <col collapsed="false" customWidth="true" hidden="false" outlineLevel="0" max="9" min="9" style="1" width="9.88"/>
    <col collapsed="false" customWidth="true" hidden="false" outlineLevel="0" max="10" min="10" style="23" width="11"/>
    <col collapsed="false" customWidth="false" hidden="false" outlineLevel="0" max="11" min="11" style="23" width="8.67"/>
    <col collapsed="false" customWidth="true" hidden="false" outlineLevel="0" max="12" min="12" style="23"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25" t="s">
        <v>78</v>
      </c>
      <c r="B1" s="25"/>
      <c r="C1" s="25"/>
      <c r="D1" s="25"/>
      <c r="E1" s="25"/>
      <c r="F1" s="25"/>
      <c r="G1" s="25"/>
      <c r="H1" s="25"/>
      <c r="I1" s="25"/>
      <c r="J1" s="25"/>
      <c r="K1" s="25"/>
      <c r="L1" s="25"/>
      <c r="M1" s="25"/>
      <c r="O1" s="26" t="s">
        <v>79</v>
      </c>
      <c r="P1" s="26"/>
    </row>
    <row r="2" customFormat="false" ht="26.25" hidden="false" customHeight="true" outlineLevel="0" collapsed="false">
      <c r="A2" s="27" t="s">
        <v>80</v>
      </c>
      <c r="B2" s="27" t="s">
        <v>81</v>
      </c>
      <c r="C2" s="27" t="s">
        <v>82</v>
      </c>
      <c r="D2" s="27" t="s">
        <v>83</v>
      </c>
      <c r="E2" s="27" t="s">
        <v>84</v>
      </c>
      <c r="F2" s="27" t="s">
        <v>85</v>
      </c>
      <c r="G2" s="27" t="s">
        <v>86</v>
      </c>
      <c r="H2" s="27" t="s">
        <v>87</v>
      </c>
      <c r="I2" s="27" t="s">
        <v>88</v>
      </c>
      <c r="J2" s="27" t="s">
        <v>89</v>
      </c>
      <c r="K2" s="27" t="s">
        <v>90</v>
      </c>
      <c r="L2" s="27" t="s">
        <v>91</v>
      </c>
      <c r="M2" s="27" t="s">
        <v>92</v>
      </c>
      <c r="O2" s="1" t="s">
        <v>93</v>
      </c>
    </row>
    <row r="3" customFormat="false" ht="15" hidden="false" customHeight="true" outlineLevel="0" collapsed="false">
      <c r="A3" s="28" t="s">
        <v>94</v>
      </c>
      <c r="B3" s="29" t="s">
        <v>95</v>
      </c>
      <c r="C3" s="30" t="s">
        <v>96</v>
      </c>
      <c r="D3" s="31" t="s">
        <v>97</v>
      </c>
      <c r="E3" s="30" t="n">
        <v>65</v>
      </c>
      <c r="F3" s="32" t="n">
        <f aca="false">IF(IFERROR(INDEX('Monitor &amp; Recheck Triggers'!$H$3:$H$48,MATCH($B3,'Monitor &amp; Recheck Triggers'!$A$3:$A$48,0)),"")="",266.51,INDEX('Monitor &amp; Recheck Triggers'!$H$3:$H$48,MATCH($B3,'Monitor &amp; Recheck Triggers'!$A$3:$A$48,0)))</f>
        <v>266.51</v>
      </c>
      <c r="G3" s="33" t="n">
        <f aca="false">E3*F3</f>
        <v>17323.15</v>
      </c>
      <c r="H3" s="34" t="n">
        <v>19163.84</v>
      </c>
      <c r="I3" s="35" t="n">
        <f aca="false">G3-H3</f>
        <v>-1840.69</v>
      </c>
      <c r="J3" s="36" t="n">
        <f aca="false">IF(H3=0,"",G3/H3-1)</f>
        <v>-0.0960501653113365</v>
      </c>
      <c r="K3" s="36" t="n">
        <f aca="false">IFERROR(G3/SUM(G3:G23),"")</f>
        <v>0.0417848054533729</v>
      </c>
      <c r="L3" s="36" t="n">
        <f aca="false">IFERROR(G3/(SUM(G3:G23,G27:G46)),"")</f>
        <v>0.0236587377807722</v>
      </c>
      <c r="M3" s="28" t="s">
        <v>98</v>
      </c>
      <c r="O3" s="1" t="s">
        <v>99</v>
      </c>
    </row>
    <row r="4" customFormat="false" ht="15" hidden="false" customHeight="true" outlineLevel="0" collapsed="false">
      <c r="A4" s="28" t="s">
        <v>94</v>
      </c>
      <c r="B4" s="29" t="s">
        <v>100</v>
      </c>
      <c r="C4" s="30" t="s">
        <v>101</v>
      </c>
      <c r="D4" s="31" t="s">
        <v>97</v>
      </c>
      <c r="E4" s="30" t="n">
        <v>70</v>
      </c>
      <c r="F4" s="32" t="n">
        <f aca="false">IF(IFERROR(INDEX('Monitor &amp; Recheck Triggers'!$H$3:$H$48,MATCH($B4,'Monitor &amp; Recheck Triggers'!$A$3:$A$48,0)),"")="",193.78,INDEX('Monitor &amp; Recheck Triggers'!$H$3:$H$48,MATCH($B4,'Monitor &amp; Recheck Triggers'!$A$3:$A$48,0)))</f>
        <v>193.78</v>
      </c>
      <c r="G4" s="33" t="n">
        <f aca="false">E4*F4</f>
        <v>13564.6</v>
      </c>
      <c r="H4" s="34" t="n">
        <v>10182.2</v>
      </c>
      <c r="I4" s="35" t="n">
        <f aca="false">G4-H4</f>
        <v>3382.4</v>
      </c>
      <c r="J4" s="36" t="n">
        <f aca="false">IF(H4=0,"",G4/H4-1)</f>
        <v>0.332187542967139</v>
      </c>
      <c r="K4" s="36" t="n">
        <f aca="false">IFERROR(G4/SUM(G3:G23),"")</f>
        <v>0.0327188861178724</v>
      </c>
      <c r="L4" s="36" t="n">
        <f aca="false">IFERROR(G4/(SUM(G3:G23,G27:G46)),"")</f>
        <v>0.0185255749965256</v>
      </c>
      <c r="M4" s="28"/>
    </row>
    <row r="5" customFormat="false" ht="15" hidden="false" customHeight="true" outlineLevel="0" collapsed="false">
      <c r="A5" s="28" t="s">
        <v>94</v>
      </c>
      <c r="B5" s="29" t="s">
        <v>102</v>
      </c>
      <c r="C5" s="30" t="s">
        <v>103</v>
      </c>
      <c r="D5" s="31" t="s">
        <v>97</v>
      </c>
      <c r="E5" s="30" t="n">
        <v>7</v>
      </c>
      <c r="F5" s="32" t="n">
        <f aca="false">IF(IFERROR(INDEX('Monitor &amp; Recheck Triggers'!$H$3:$H$48,MATCH($B5,'Monitor &amp; Recheck Triggers'!$A$3:$A$48,0)),"")="",1714.88,INDEX('Monitor &amp; Recheck Triggers'!$H$3:$H$48,MATCH($B5,'Monitor &amp; Recheck Triggers'!$A$3:$A$48,0)))</f>
        <v>1714.88</v>
      </c>
      <c r="G5" s="33" t="n">
        <f aca="false">E5*F5</f>
        <v>12004.16</v>
      </c>
      <c r="H5" s="34" t="n">
        <v>9989.88</v>
      </c>
      <c r="I5" s="35" t="n">
        <f aca="false">G5-H5</f>
        <v>2014.28</v>
      </c>
      <c r="J5" s="36" t="n">
        <f aca="false">IF(H5=0,"",G5/H5-1)</f>
        <v>0.201632051636256</v>
      </c>
      <c r="K5" s="36" t="n">
        <f aca="false">IFERROR(G5/SUM(G3:G23),"")</f>
        <v>0.0289549816419739</v>
      </c>
      <c r="L5" s="36" t="n">
        <f aca="false">IFERROR(G5/(SUM(G3:G23,G27:G46)),"")</f>
        <v>0.0163944359841273</v>
      </c>
      <c r="M5" s="28"/>
    </row>
    <row r="6" customFormat="false" ht="15" hidden="false" customHeight="true" outlineLevel="0" collapsed="false">
      <c r="A6" s="28" t="s">
        <v>94</v>
      </c>
      <c r="B6" s="29" t="s">
        <v>104</v>
      </c>
      <c r="C6" s="30" t="s">
        <v>105</v>
      </c>
      <c r="D6" s="31" t="s">
        <v>97</v>
      </c>
      <c r="E6" s="30" t="n">
        <v>40</v>
      </c>
      <c r="F6" s="32" t="n">
        <f aca="false">IF(IFERROR(INDEX('Monitor &amp; Recheck Triggers'!$H$3:$H$48,MATCH($B6,'Monitor &amp; Recheck Triggers'!$A$3:$A$48,0)),"")="",213.1,INDEX('Monitor &amp; Recheck Triggers'!$H$3:$H$48,MATCH($B6,'Monitor &amp; Recheck Triggers'!$A$3:$A$48,0)))</f>
        <v>213.1</v>
      </c>
      <c r="G6" s="33" t="n">
        <f aca="false">E6*F6</f>
        <v>8524</v>
      </c>
      <c r="H6" s="34" t="n">
        <v>4991.35</v>
      </c>
      <c r="I6" s="35" t="n">
        <f aca="false">G6-H6</f>
        <v>3532.65</v>
      </c>
      <c r="J6" s="36" t="n">
        <f aca="false">IF(H6=0,"",G6/H6-1)</f>
        <v>0.707754415138189</v>
      </c>
      <c r="K6" s="36" t="n">
        <f aca="false">IFERROR(G6/SUM(G3:G23),"")</f>
        <v>0.0205605609652142</v>
      </c>
      <c r="L6" s="36" t="n">
        <f aca="false">IFERROR(G6/(SUM(G3:G23,G27:G46)),"")</f>
        <v>0.011641478648127</v>
      </c>
      <c r="M6" s="28"/>
    </row>
    <row r="7" customFormat="false" ht="15" hidden="false" customHeight="true" outlineLevel="0" collapsed="false">
      <c r="A7" s="28" t="s">
        <v>94</v>
      </c>
      <c r="B7" s="29" t="s">
        <v>106</v>
      </c>
      <c r="C7" s="30" t="s">
        <v>107</v>
      </c>
      <c r="D7" s="31" t="s">
        <v>97</v>
      </c>
      <c r="E7" s="30" t="n">
        <v>100</v>
      </c>
      <c r="F7" s="32" t="n">
        <f aca="false">IF(IFERROR(INDEX('Monitor &amp; Recheck Triggers'!$H$3:$H$48,MATCH($B7,'Monitor &amp; Recheck Triggers'!$A$3:$A$48,0)),"")="",185.6,INDEX('Monitor &amp; Recheck Triggers'!$H$3:$H$48,MATCH($B7,'Monitor &amp; Recheck Triggers'!$A$3:$A$48,0)))</f>
        <v>185.6</v>
      </c>
      <c r="G7" s="33" t="n">
        <f aca="false">E7*F7</f>
        <v>18560</v>
      </c>
      <c r="H7" s="34" t="n">
        <v>15412.54</v>
      </c>
      <c r="I7" s="35" t="n">
        <f aca="false">G7-H7</f>
        <v>3147.46</v>
      </c>
      <c r="J7" s="36" t="n">
        <f aca="false">IF(H7=0,"",G7/H7-1)</f>
        <v>0.204214230749766</v>
      </c>
      <c r="K7" s="36" t="n">
        <f aca="false">IFERROR(G7/SUM(G3:G23),"")</f>
        <v>0.044768185302015</v>
      </c>
      <c r="L7" s="36" t="n">
        <f aca="false">IFERROR(G7/(SUM(G3:G23,G27:G46)),"")</f>
        <v>0.0253479403694554</v>
      </c>
      <c r="M7" s="28"/>
    </row>
    <row r="8" customFormat="false" ht="15" hidden="false" customHeight="true" outlineLevel="0" collapsed="false">
      <c r="A8" s="28" t="s">
        <v>94</v>
      </c>
      <c r="B8" s="29" t="s">
        <v>108</v>
      </c>
      <c r="C8" s="30" t="s">
        <v>109</v>
      </c>
      <c r="D8" s="31" t="s">
        <v>97</v>
      </c>
      <c r="E8" s="30" t="n">
        <v>7</v>
      </c>
      <c r="F8" s="32" t="n">
        <f aca="false">IF(IFERROR(INDEX('Monitor &amp; Recheck Triggers'!$H$3:$H$48,MATCH($B8,'Monitor &amp; Recheck Triggers'!$A$3:$A$48,0)),"")="",1016.59,INDEX('Monitor &amp; Recheck Triggers'!$H$3:$H$48,MATCH($B8,'Monitor &amp; Recheck Triggers'!$A$3:$A$48,0)))</f>
        <v>1016.59</v>
      </c>
      <c r="G8" s="33" t="n">
        <f aca="false">E8*F8</f>
        <v>7116.13</v>
      </c>
      <c r="H8" s="34" t="n">
        <v>5836.11</v>
      </c>
      <c r="I8" s="35" t="n">
        <f aca="false">G8-H8</f>
        <v>1280.02</v>
      </c>
      <c r="J8" s="36" t="n">
        <f aca="false">IF(H8=0,"",G8/H8-1)</f>
        <v>0.219327600062371</v>
      </c>
      <c r="K8" s="36" t="n">
        <f aca="false">IFERROR(G8/SUM(G3:G23),"")</f>
        <v>0.0171646673746351</v>
      </c>
      <c r="L8" s="36" t="n">
        <f aca="false">IFERROR(G8/(SUM(G3:G23,G27:G46)),"")</f>
        <v>0.00971870899252655</v>
      </c>
      <c r="M8" s="28"/>
    </row>
    <row r="9" customFormat="false" ht="15" hidden="false" customHeight="true" outlineLevel="0" collapsed="false">
      <c r="A9" s="28" t="s">
        <v>94</v>
      </c>
      <c r="B9" s="29" t="s">
        <v>110</v>
      </c>
      <c r="C9" s="30" t="s">
        <v>111</v>
      </c>
      <c r="D9" s="31" t="s">
        <v>97</v>
      </c>
      <c r="E9" s="30" t="n">
        <v>155</v>
      </c>
      <c r="F9" s="32" t="n">
        <f aca="false">IF(IFERROR(INDEX('Monitor &amp; Recheck Triggers'!$H$3:$H$48,MATCH($B9,'Monitor &amp; Recheck Triggers'!$A$3:$A$48,0)),"")="",230.36,INDEX('Monitor &amp; Recheck Triggers'!$H$3:$H$48,MATCH($B9,'Monitor &amp; Recheck Triggers'!$A$3:$A$48,0)))</f>
        <v>230.36</v>
      </c>
      <c r="G9" s="33" t="n">
        <f aca="false">E9*F9</f>
        <v>35705.8</v>
      </c>
      <c r="H9" s="34" t="n">
        <v>26639.79</v>
      </c>
      <c r="I9" s="35" t="n">
        <f aca="false">G9-H9</f>
        <v>9066.01</v>
      </c>
      <c r="J9" s="36" t="n">
        <f aca="false">IF(H9=0,"",G9/H9-1)</f>
        <v>0.340318373380571</v>
      </c>
      <c r="K9" s="36" t="n">
        <f aca="false">IFERROR(G9/SUM(G3:G23),"")</f>
        <v>0.0861252085537008</v>
      </c>
      <c r="L9" s="36" t="n">
        <f aca="false">IFERROR(G9/(SUM(G3:G23,G27:G46)),"")</f>
        <v>0.0487644660152856</v>
      </c>
      <c r="M9" s="28"/>
    </row>
    <row r="10" customFormat="false" ht="15" hidden="false" customHeight="true" outlineLevel="0" collapsed="false">
      <c r="A10" s="28" t="s">
        <v>94</v>
      </c>
      <c r="B10" s="29" t="s">
        <v>112</v>
      </c>
      <c r="C10" s="30" t="s">
        <v>113</v>
      </c>
      <c r="D10" s="31" t="s">
        <v>97</v>
      </c>
      <c r="E10" s="30" t="n">
        <v>70</v>
      </c>
      <c r="F10" s="32" t="n">
        <f aca="false">IF(IFERROR(INDEX('Monitor &amp; Recheck Triggers'!$H$3:$H$48,MATCH($B10,'Monitor &amp; Recheck Triggers'!$A$3:$A$48,0)),"")="",174.33,INDEX('Monitor &amp; Recheck Triggers'!$H$3:$H$48,MATCH($B10,'Monitor &amp; Recheck Triggers'!$A$3:$A$48,0)))</f>
        <v>174.33</v>
      </c>
      <c r="G10" s="33" t="n">
        <f aca="false">E10*F10</f>
        <v>12203.1</v>
      </c>
      <c r="H10" s="34" t="n">
        <v>11612.3</v>
      </c>
      <c r="I10" s="35" t="n">
        <f aca="false">G10-H10</f>
        <v>590.800000000001</v>
      </c>
      <c r="J10" s="36" t="n">
        <f aca="false">IF(H10=0,"",G10/H10-1)</f>
        <v>0.0508770872264754</v>
      </c>
      <c r="K10" s="36" t="n">
        <f aca="false">IFERROR(G10/SUM(G3:G23),"")</f>
        <v>0.0294348406281799</v>
      </c>
      <c r="L10" s="36" t="n">
        <f aca="false">IFERROR(G10/(SUM(G3:G23,G27:G46)),"")</f>
        <v>0.0166661342199624</v>
      </c>
      <c r="M10" s="28"/>
    </row>
    <row r="11" customFormat="false" ht="15" hidden="false" customHeight="true" outlineLevel="0" collapsed="false">
      <c r="A11" s="28" t="s">
        <v>94</v>
      </c>
      <c r="B11" s="29" t="s">
        <v>114</v>
      </c>
      <c r="C11" s="30" t="s">
        <v>115</v>
      </c>
      <c r="D11" s="31" t="s">
        <v>97</v>
      </c>
      <c r="E11" s="30" t="n">
        <v>25</v>
      </c>
      <c r="F11" s="32" t="n">
        <f aca="false">IF(IFERROR(INDEX('Monitor &amp; Recheck Triggers'!$H$3:$H$48,MATCH($B11,'Monitor &amp; Recheck Triggers'!$A$3:$A$48,0)),"")="",428.91,INDEX('Monitor &amp; Recheck Triggers'!$H$3:$H$48,MATCH($B11,'Monitor &amp; Recheck Triggers'!$A$3:$A$48,0)))</f>
        <v>428.91</v>
      </c>
      <c r="G11" s="33" t="n">
        <f aca="false">E11*F11</f>
        <v>10722.75</v>
      </c>
      <c r="H11" s="34" t="n">
        <v>6069.64</v>
      </c>
      <c r="I11" s="35" t="n">
        <f aca="false">G11-H11</f>
        <v>4653.11</v>
      </c>
      <c r="J11" s="36" t="n">
        <f aca="false">IF(H11=0,"",G11/H11-1)</f>
        <v>0.76662042559361</v>
      </c>
      <c r="K11" s="36" t="n">
        <f aca="false">IFERROR(G11/SUM(G3:G23),"")</f>
        <v>0.0258641195553438</v>
      </c>
      <c r="L11" s="36" t="n">
        <f aca="false">IFERROR(G11/(SUM(G3:G23,G27:G46)),"")</f>
        <v>0.0146443764868846</v>
      </c>
      <c r="M11" s="28"/>
    </row>
    <row r="12" customFormat="false" ht="15" hidden="false" customHeight="true" outlineLevel="0" collapsed="false">
      <c r="A12" s="28" t="s">
        <v>94</v>
      </c>
      <c r="B12" s="29" t="s">
        <v>116</v>
      </c>
      <c r="C12" s="30" t="s">
        <v>117</v>
      </c>
      <c r="D12" s="31" t="s">
        <v>97</v>
      </c>
      <c r="E12" s="30" t="n">
        <v>30</v>
      </c>
      <c r="F12" s="32" t="n">
        <f aca="false">IF(IFERROR(INDEX('Monitor &amp; Recheck Triggers'!$H$3:$H$48,MATCH($B12,'Monitor &amp; Recheck Triggers'!$A$3:$A$48,0)),"")="",280.53,INDEX('Monitor &amp; Recheck Triggers'!$H$3:$H$48,MATCH($B12,'Monitor &amp; Recheck Triggers'!$A$3:$A$48,0)))</f>
        <v>280.53</v>
      </c>
      <c r="G12" s="33" t="n">
        <f aca="false">E12*F12</f>
        <v>8415.9</v>
      </c>
      <c r="H12" s="34" t="n">
        <v>7876.8</v>
      </c>
      <c r="I12" s="35" t="n">
        <f aca="false">G12-H12</f>
        <v>539.1</v>
      </c>
      <c r="J12" s="36" t="n">
        <f aca="false">IF(H12=0,"",G12/H12-1)</f>
        <v>0.0684414990859232</v>
      </c>
      <c r="K12" s="36" t="n">
        <f aca="false">IFERROR(G12/SUM(G3:G23),"")</f>
        <v>0.0202998152307774</v>
      </c>
      <c r="L12" s="36" t="n">
        <f aca="false">IFERROR(G12/(SUM(G3:G23,G27:G46)),"")</f>
        <v>0.0114938432842295</v>
      </c>
      <c r="M12" s="28"/>
    </row>
    <row r="13" customFormat="false" ht="15" hidden="false" customHeight="true" outlineLevel="0" collapsed="false">
      <c r="A13" s="28" t="s">
        <v>94</v>
      </c>
      <c r="B13" s="29" t="s">
        <v>118</v>
      </c>
      <c r="C13" s="30" t="s">
        <v>119</v>
      </c>
      <c r="D13" s="31" t="s">
        <v>97</v>
      </c>
      <c r="E13" s="30" t="n">
        <v>50</v>
      </c>
      <c r="F13" s="32" t="n">
        <f aca="false">IF(IFERROR(INDEX('Monitor &amp; Recheck Triggers'!$H$3:$H$48,MATCH($B13,'Monitor &amp; Recheck Triggers'!$A$3:$A$48,0)),"")="",367.68,INDEX('Monitor &amp; Recheck Triggers'!$H$3:$H$48,MATCH($B13,'Monitor &amp; Recheck Triggers'!$A$3:$A$48,0)))</f>
        <v>367.68</v>
      </c>
      <c r="G13" s="33" t="n">
        <f aca="false">E13*F13</f>
        <v>18384</v>
      </c>
      <c r="H13" s="34" t="n">
        <v>18448.63</v>
      </c>
      <c r="I13" s="35" t="n">
        <f aca="false">G13-H13</f>
        <v>-64.630000000001</v>
      </c>
      <c r="J13" s="36" t="n">
        <f aca="false">IF(H13=0,"",G13/H13-1)</f>
        <v>-0.00350324116208089</v>
      </c>
      <c r="K13" s="36" t="n">
        <f aca="false">IFERROR(G13/SUM(G3:G23),"")</f>
        <v>0.0443436594069097</v>
      </c>
      <c r="L13" s="36" t="n">
        <f aca="false">IFERROR(G13/(SUM(G3:G23,G27:G46)),"")</f>
        <v>0.0251075719694002</v>
      </c>
      <c r="M13" s="28" t="s">
        <v>120</v>
      </c>
    </row>
    <row r="14" customFormat="false" ht="15" hidden="false" customHeight="true" outlineLevel="0" collapsed="false">
      <c r="A14" s="28" t="s">
        <v>94</v>
      </c>
      <c r="B14" s="37" t="s">
        <v>121</v>
      </c>
      <c r="C14" s="30" t="s">
        <v>122</v>
      </c>
      <c r="D14" s="31" t="s">
        <v>123</v>
      </c>
      <c r="E14" s="30" t="n">
        <v>38154.18</v>
      </c>
      <c r="F14" s="32" t="n">
        <v>1</v>
      </c>
      <c r="G14" s="33" t="n">
        <f aca="false">E14*F14</f>
        <v>38154.18</v>
      </c>
      <c r="H14" s="34" t="n">
        <v>38154.18</v>
      </c>
      <c r="I14" s="35" t="n">
        <f aca="false">G14-H14</f>
        <v>0</v>
      </c>
      <c r="J14" s="36" t="n">
        <f aca="false">IF(H14=0,"",G14/H14-1)</f>
        <v>0</v>
      </c>
      <c r="K14" s="36" t="n">
        <f aca="false">IFERROR(G14/SUM(G3:G23),"")</f>
        <v>0.0920308944119846</v>
      </c>
      <c r="L14" s="36" t="n">
        <f aca="false">IFERROR(G14/(SUM(G3:G23,G27:G46)),"")</f>
        <v>0.0521082909205533</v>
      </c>
      <c r="M14" s="28"/>
    </row>
    <row r="15" customFormat="false" ht="15" hidden="false" customHeight="true" outlineLevel="0" collapsed="false">
      <c r="A15" s="28" t="s">
        <v>94</v>
      </c>
      <c r="B15" s="37" t="s">
        <v>124</v>
      </c>
      <c r="C15" s="30" t="s">
        <v>125</v>
      </c>
      <c r="D15" s="31" t="s">
        <v>123</v>
      </c>
      <c r="E15" s="30" t="n">
        <v>1174.01</v>
      </c>
      <c r="F15" s="32" t="n">
        <v>1</v>
      </c>
      <c r="G15" s="33" t="n">
        <f aca="false">E15*F15</f>
        <v>1174.01</v>
      </c>
      <c r="H15" s="34" t="n">
        <v>1174.01</v>
      </c>
      <c r="I15" s="35" t="n">
        <f aca="false">G15-H15</f>
        <v>0</v>
      </c>
      <c r="J15" s="36" t="n">
        <f aca="false">IF(H15=0,"",G15/H15-1)</f>
        <v>0</v>
      </c>
      <c r="K15" s="36" t="n">
        <f aca="false">IFERROR(G15/SUM(G3:G23),"")</f>
        <v>0.0028318048074579</v>
      </c>
      <c r="L15" s="36" t="n">
        <f aca="false">IFERROR(G15/(SUM(G3:G23,G27:G46)),"")</f>
        <v>0.00160338014402717</v>
      </c>
      <c r="M15" s="28"/>
    </row>
    <row r="16" customFormat="false" ht="15" hidden="false" customHeight="true" outlineLevel="0" collapsed="false">
      <c r="A16" s="28" t="s">
        <v>94</v>
      </c>
      <c r="B16" s="37" t="s">
        <v>126</v>
      </c>
      <c r="C16" s="30" t="s">
        <v>127</v>
      </c>
      <c r="D16" s="31" t="s">
        <v>97</v>
      </c>
      <c r="E16" s="30" t="n">
        <v>150</v>
      </c>
      <c r="F16" s="32" t="n">
        <f aca="false">IF(IFERROR(INDEX('Monitor &amp; Recheck Triggers'!$H$3:$H$48,MATCH($B16,'Monitor &amp; Recheck Triggers'!$A$3:$A$48,0)),"")="",164.25,INDEX('Monitor &amp; Recheck Triggers'!$H$3:$H$48,MATCH($B16,'Monitor &amp; Recheck Triggers'!$A$3:$A$48,0)))</f>
        <v>164.25</v>
      </c>
      <c r="G16" s="33" t="n">
        <f aca="false">E16*F16</f>
        <v>24637.5</v>
      </c>
      <c r="H16" s="34" t="n">
        <v>24518.25</v>
      </c>
      <c r="I16" s="35" t="n">
        <f aca="false">G16-H16</f>
        <v>119.25</v>
      </c>
      <c r="J16" s="36" t="n">
        <f aca="false">IF(H16=0,"",G16/H16-1)</f>
        <v>0.00486372396072321</v>
      </c>
      <c r="K16" s="36" t="n">
        <f aca="false">IFERROR(G16/SUM(G3:G23),"")</f>
        <v>0.0594275951173704</v>
      </c>
      <c r="L16" s="36" t="n">
        <f aca="false">IFERROR(G16/(SUM(G3:G23,G27:G46)),"")</f>
        <v>0.0336481616838609</v>
      </c>
      <c r="M16" s="28" t="s">
        <v>128</v>
      </c>
    </row>
    <row r="17" customFormat="false" ht="15" hidden="false" customHeight="true" outlineLevel="0" collapsed="false">
      <c r="A17" s="28" t="s">
        <v>94</v>
      </c>
      <c r="B17" s="37" t="s">
        <v>129</v>
      </c>
      <c r="C17" s="30" t="s">
        <v>130</v>
      </c>
      <c r="D17" s="31" t="s">
        <v>97</v>
      </c>
      <c r="E17" s="30" t="n">
        <v>451.304</v>
      </c>
      <c r="F17" s="32" t="n">
        <f aca="false">IF(IFERROR(INDEX('Monitor &amp; Recheck Triggers'!$H$3:$H$48,MATCH($B17,'Monitor &amp; Recheck Triggers'!$A$3:$A$48,0)),"")="",55.29,INDEX('Monitor &amp; Recheck Triggers'!$H$3:$H$48,MATCH($B17,'Monitor &amp; Recheck Triggers'!$A$3:$A$48,0)))</f>
        <v>55.29</v>
      </c>
      <c r="G17" s="33" t="n">
        <f aca="false">E17*F17</f>
        <v>24952.59816</v>
      </c>
      <c r="H17" s="34" t="n">
        <v>24999.99</v>
      </c>
      <c r="I17" s="35" t="n">
        <f aca="false">G17-H17</f>
        <v>-47.3918400000039</v>
      </c>
      <c r="J17" s="36" t="n">
        <f aca="false">IF(H17=0,"",G17/H17-1)</f>
        <v>-0.00189567435826987</v>
      </c>
      <c r="K17" s="36" t="n">
        <f aca="false">IFERROR(G17/SUM(G3:G23),"")</f>
        <v>0.0601876367561206</v>
      </c>
      <c r="L17" s="36" t="n">
        <f aca="false">IFERROR(G17/(SUM(G3:G23,G27:G46)),"")</f>
        <v>0.03407850055079</v>
      </c>
      <c r="M17" s="28" t="s">
        <v>131</v>
      </c>
    </row>
    <row r="18" customFormat="false" ht="15" hidden="false" customHeight="true" outlineLevel="0" collapsed="false">
      <c r="A18" s="28" t="s">
        <v>94</v>
      </c>
      <c r="B18" s="37" t="s">
        <v>132</v>
      </c>
      <c r="C18" s="30" t="s">
        <v>133</v>
      </c>
      <c r="D18" s="31" t="s">
        <v>97</v>
      </c>
      <c r="E18" s="30" t="n">
        <v>700</v>
      </c>
      <c r="F18" s="32" t="n">
        <f aca="false">IF(IFERROR(INDEX('Monitor &amp; Recheck Triggers'!$H$3:$H$48,MATCH($B18,'Monitor &amp; Recheck Triggers'!$A$3:$A$48,0)),"")="",34.8,INDEX('Monitor &amp; Recheck Triggers'!$H$3:$H$48,MATCH($B18,'Monitor &amp; Recheck Triggers'!$A$3:$A$48,0)))</f>
        <v>34.8</v>
      </c>
      <c r="G18" s="33" t="n">
        <f aca="false">E18*F18</f>
        <v>24360</v>
      </c>
      <c r="H18" s="34" t="n">
        <v>24377.5</v>
      </c>
      <c r="I18" s="35" t="n">
        <f aca="false">G18-H18</f>
        <v>-17.5000000000036</v>
      </c>
      <c r="J18" s="36" t="n">
        <f aca="false">IF(H18=0,"",G18/H18-1)</f>
        <v>-0.000717875089734532</v>
      </c>
      <c r="K18" s="36" t="n">
        <f aca="false">IFERROR(G18/SUM(G3:G23),"")</f>
        <v>0.0587582432088947</v>
      </c>
      <c r="L18" s="36" t="n">
        <f aca="false">IFERROR(G18/(SUM(G3:G23,G27:G46)),"")</f>
        <v>0.0332691717349102</v>
      </c>
      <c r="M18" s="28" t="s">
        <v>128</v>
      </c>
    </row>
    <row r="19" customFormat="false" ht="15" hidden="false" customHeight="true" outlineLevel="0" collapsed="false">
      <c r="A19" s="28" t="s">
        <v>94</v>
      </c>
      <c r="B19" s="37" t="s">
        <v>134</v>
      </c>
      <c r="C19" s="30" t="s">
        <v>135</v>
      </c>
      <c r="D19" s="31" t="s">
        <v>97</v>
      </c>
      <c r="E19" s="30" t="n">
        <v>150</v>
      </c>
      <c r="F19" s="32" t="n">
        <f aca="false">IF(IFERROR(INDEX('Monitor &amp; Recheck Triggers'!$H$3:$H$48,MATCH($B19,'Monitor &amp; Recheck Triggers'!$A$3:$A$48,0)),"")="",164.23,INDEX('Monitor &amp; Recheck Triggers'!$H$3:$H$48,MATCH($B19,'Monitor &amp; Recheck Triggers'!$A$3:$A$48,0)))</f>
        <v>164.23</v>
      </c>
      <c r="G19" s="33" t="n">
        <f aca="false">E19*F19</f>
        <v>24634.5</v>
      </c>
      <c r="H19" s="34" t="n">
        <v>24598.5</v>
      </c>
      <c r="I19" s="35" t="n">
        <f aca="false">G19-H19</f>
        <v>36</v>
      </c>
      <c r="J19" s="36" t="n">
        <f aca="false">IF(H19=0,"",G19/H19-1)</f>
        <v>0.0014635038721873</v>
      </c>
      <c r="K19" s="36" t="n">
        <f aca="false">IFERROR(G19/SUM(G3:G23),"")</f>
        <v>0.059420358880522</v>
      </c>
      <c r="L19" s="36" t="n">
        <f aca="false">IFERROR(G19/(SUM(G3:G23,G27:G46)),"")</f>
        <v>0.0336440644952236</v>
      </c>
      <c r="M19" s="28" t="s">
        <v>128</v>
      </c>
    </row>
    <row r="20" customFormat="false" ht="15" hidden="false" customHeight="true" outlineLevel="0" collapsed="false">
      <c r="A20" s="28" t="s">
        <v>94</v>
      </c>
      <c r="B20" s="37" t="s">
        <v>136</v>
      </c>
      <c r="C20" s="30" t="s">
        <v>137</v>
      </c>
      <c r="D20" s="31" t="s">
        <v>97</v>
      </c>
      <c r="E20" s="30" t="n">
        <v>1000</v>
      </c>
      <c r="F20" s="32" t="n">
        <f aca="false">IF(IFERROR(INDEX('Monitor &amp; Recheck Triggers'!$H$3:$H$48,MATCH($B20,'Monitor &amp; Recheck Triggers'!$A$3:$A$48,0)),"")="",54.63,INDEX('Monitor &amp; Recheck Triggers'!$H$3:$H$48,MATCH($B20,'Monitor &amp; Recheck Triggers'!$A$3:$A$48,0)))</f>
        <v>54.63</v>
      </c>
      <c r="G20" s="33" t="n">
        <f aca="false">E20*F20</f>
        <v>54630</v>
      </c>
      <c r="H20" s="34" t="n">
        <v>53709</v>
      </c>
      <c r="I20" s="35" t="n">
        <f aca="false">G20-H20</f>
        <v>921</v>
      </c>
      <c r="J20" s="36" t="n">
        <f aca="false">IF(H20=0,"",G20/H20-1)</f>
        <v>0.0171479640283752</v>
      </c>
      <c r="K20" s="36" t="n">
        <f aca="false">IFERROR(G20/SUM(G3:G23),"")</f>
        <v>0.13177187300911</v>
      </c>
      <c r="L20" s="36" t="n">
        <f aca="false">IFERROR(G20/(SUM(G3:G23,G27:G46)),"")</f>
        <v>0.0746098050853098</v>
      </c>
      <c r="M20" s="28" t="s">
        <v>128</v>
      </c>
    </row>
    <row r="21" customFormat="false" ht="15" hidden="false" customHeight="true" outlineLevel="0" collapsed="false">
      <c r="A21" s="28" t="s">
        <v>94</v>
      </c>
      <c r="B21" s="37" t="s">
        <v>138</v>
      </c>
      <c r="C21" s="30" t="s">
        <v>139</v>
      </c>
      <c r="D21" s="31" t="s">
        <v>97</v>
      </c>
      <c r="E21" s="30" t="n">
        <v>100</v>
      </c>
      <c r="F21" s="32" t="n">
        <f aca="false">IF(IFERROR(INDEX('Monitor &amp; Recheck Triggers'!$H$3:$H$48,MATCH($B21,'Monitor &amp; Recheck Triggers'!$A$3:$A$48,0)),"")="",149.72,INDEX('Monitor &amp; Recheck Triggers'!$H$3:$H$48,MATCH($B21,'Monitor &amp; Recheck Triggers'!$A$3:$A$48,0)))</f>
        <v>149.72</v>
      </c>
      <c r="G21" s="33" t="n">
        <f aca="false">E21*F21</f>
        <v>14972</v>
      </c>
      <c r="H21" s="34" t="n">
        <v>14696.99</v>
      </c>
      <c r="I21" s="35" t="n">
        <f aca="false">G21-H21</f>
        <v>275.01</v>
      </c>
      <c r="J21" s="36" t="n">
        <f aca="false">IF(H21=0,"",G21/H21-1)</f>
        <v>0.0187119947689969</v>
      </c>
      <c r="K21" s="36" t="n">
        <f aca="false">IFERROR(G21/SUM(G3:G23),"")</f>
        <v>0.0361136460313453</v>
      </c>
      <c r="L21" s="36" t="n">
        <f aca="false">IFERROR(G21/(SUM(G3:G23,G27:G46)),"")</f>
        <v>0.0204477027592396</v>
      </c>
      <c r="M21" s="28" t="s">
        <v>131</v>
      </c>
    </row>
    <row r="22" customFormat="false" ht="15" hidden="false" customHeight="true" outlineLevel="0" collapsed="false">
      <c r="A22" s="28" t="s">
        <v>94</v>
      </c>
      <c r="B22" s="38" t="s">
        <v>140</v>
      </c>
      <c r="C22" s="30" t="s">
        <v>141</v>
      </c>
      <c r="D22" s="30" t="s">
        <v>97</v>
      </c>
      <c r="E22" s="30" t="n">
        <v>75</v>
      </c>
      <c r="F22" s="32" t="n">
        <f aca="false">IF(IFERROR(INDEX('Monitor &amp; Recheck Triggers'!$H$3:$H$48,MATCH($B22,'Monitor &amp; Recheck Triggers'!$A$3:$A$48,0)),"")="",314.71,INDEX('Monitor &amp; Recheck Triggers'!$H$3:$H$48,MATCH($B22,'Monitor &amp; Recheck Triggers'!$A$3:$A$48,0)))</f>
        <v>314.71</v>
      </c>
      <c r="G22" s="33" t="n">
        <f aca="false">E22*F22</f>
        <v>23603.25</v>
      </c>
      <c r="H22" s="34" t="n">
        <v>23603.25</v>
      </c>
      <c r="I22" s="35" t="n">
        <f aca="false">G22-H22</f>
        <v>0</v>
      </c>
      <c r="J22" s="39" t="n">
        <f aca="false">IF(H22=0,"",G22/H22-1)</f>
        <v>0</v>
      </c>
      <c r="K22" s="39" t="n">
        <f aca="false">IFERROR(G22/SUM(G3:G23),"")</f>
        <v>0.0569329024638893</v>
      </c>
      <c r="L22" s="39" t="n">
        <f aca="false">IFERROR(G22/(SUM(G3:G23,G27:G46)),"")</f>
        <v>0.0322356559011503</v>
      </c>
      <c r="M22" s="28" t="s">
        <v>142</v>
      </c>
    </row>
    <row r="23" customFormat="false" ht="13.5" hidden="false" customHeight="true" outlineLevel="0" collapsed="false">
      <c r="A23" s="28" t="s">
        <v>94</v>
      </c>
      <c r="B23" s="38" t="s">
        <v>143</v>
      </c>
      <c r="C23" s="30" t="s">
        <v>144</v>
      </c>
      <c r="D23" s="30" t="s">
        <v>97</v>
      </c>
      <c r="E23" s="30" t="n">
        <v>300</v>
      </c>
      <c r="F23" s="32" t="n">
        <f aca="false">IF(IFERROR(INDEX('Monitor &amp; Recheck Triggers'!$H$3:$H$48,MATCH($B23,'Monitor &amp; Recheck Triggers'!$A$3:$A$48,0)),"")="",69.795,INDEX('Monitor &amp; Recheck Triggers'!$H$3:$H$48,MATCH($B23,'Monitor &amp; Recheck Triggers'!$A$3:$A$48,0)))</f>
        <v>69.795</v>
      </c>
      <c r="G23" s="33" t="n">
        <f aca="false">E23*F23</f>
        <v>20938.5</v>
      </c>
      <c r="H23" s="34" t="n">
        <v>20938.5</v>
      </c>
      <c r="I23" s="35" t="n">
        <f aca="false">G23-H23</f>
        <v>0</v>
      </c>
      <c r="J23" s="39" t="n">
        <f aca="false">IF(H23=0,"",G23/H23-1)</f>
        <v>0</v>
      </c>
      <c r="K23" s="39" t="n">
        <f aca="false">IFERROR(G23/SUM(G3:G23),"")</f>
        <v>0.0505053150833104</v>
      </c>
      <c r="L23" s="39" t="n">
        <f aca="false">IFERROR(G23/(SUM(G3:G23,G27:G46)),"")</f>
        <v>0.0285963280940648</v>
      </c>
      <c r="M23" s="28" t="s">
        <v>145</v>
      </c>
    </row>
    <row r="24" customFormat="false" ht="15" hidden="false" customHeight="true" outlineLevel="0" collapsed="false">
      <c r="A24" s="40" t="s">
        <v>146</v>
      </c>
      <c r="B24" s="41" t="n">
        <f aca="false">SUBTOTAL(103,B3:B23)</f>
        <v>21</v>
      </c>
      <c r="C24" s="42" t="s">
        <v>147</v>
      </c>
      <c r="D24" s="43"/>
      <c r="E24" s="44"/>
      <c r="F24" s="45"/>
      <c r="G24" s="46" t="n">
        <f aca="false">SUM(G3:G23)</f>
        <v>414580.12816</v>
      </c>
      <c r="H24" s="47" t="n">
        <f aca="false">SUM(H3:H23)</f>
        <v>386993.25</v>
      </c>
      <c r="I24" s="48" t="n">
        <f aca="false">SUM(I3:I23)</f>
        <v>27586.87816</v>
      </c>
      <c r="J24" s="49" t="n">
        <f aca="false">CurrentPositionsTable[[#This Row],[Unrealized G/L ($)]]/CurrentPositionsTable[[#This Row],[Cost Basis
($)]]</f>
        <v>0.0712851662399796</v>
      </c>
      <c r="K24" s="49" t="n">
        <f aca="false">SUM(K3:K23)</f>
        <v>1</v>
      </c>
      <c r="L24" s="49" t="n">
        <f aca="false">SUM(L3:L23)</f>
        <v>0.566204330116426</v>
      </c>
      <c r="M24" s="50"/>
      <c r="N24" s="51"/>
      <c r="O24" s="51"/>
    </row>
    <row r="25" customFormat="false" ht="15" hidden="false" customHeight="true" outlineLevel="0" collapsed="false">
      <c r="F25" s="32"/>
      <c r="I25" s="52" t="s">
        <v>148</v>
      </c>
      <c r="J25" s="53" t="n">
        <f aca="false">I24/(H24-H14-H13)</f>
        <v>0.0834978099245244</v>
      </c>
    </row>
    <row r="26" customFormat="false" ht="15" hidden="false" customHeight="true" outlineLevel="0" collapsed="false">
      <c r="F26" s="32"/>
    </row>
    <row r="27" customFormat="false" ht="15" hidden="false" customHeight="true" outlineLevel="0" collapsed="false">
      <c r="A27" s="28" t="s">
        <v>149</v>
      </c>
      <c r="B27" s="37" t="s">
        <v>150</v>
      </c>
      <c r="C27" s="30" t="s">
        <v>151</v>
      </c>
      <c r="D27" s="31" t="s">
        <v>123</v>
      </c>
      <c r="E27" s="30" t="n">
        <v>36854.47</v>
      </c>
      <c r="F27" s="32" t="n">
        <v>1</v>
      </c>
      <c r="G27" s="33" t="n">
        <f aca="false">E27*F27</f>
        <v>36854.47</v>
      </c>
      <c r="H27" s="34" t="n">
        <v>36854.47</v>
      </c>
      <c r="I27" s="35" t="n">
        <f aca="false">G27-H27</f>
        <v>0</v>
      </c>
      <c r="J27" s="36" t="n">
        <f aca="false">IF(H27=0,"",G27/H27-1)</f>
        <v>0</v>
      </c>
      <c r="K27" s="36" t="n">
        <f aca="false">IFERROR(G27/SUM(G27:G46),"")</f>
        <v>0.116029831708859</v>
      </c>
      <c r="L27" s="36" t="n">
        <f aca="false">IFERROR(G27/(SUM(G3:G23,G27:G46)),"")</f>
        <v>0.050333238572623</v>
      </c>
      <c r="M27" s="28"/>
    </row>
    <row r="28" customFormat="false" ht="15" hidden="true" customHeight="true" outlineLevel="1" collapsed="false">
      <c r="A28" s="28" t="s">
        <v>149</v>
      </c>
      <c r="B28" s="37" t="s">
        <v>152</v>
      </c>
      <c r="C28" s="30" t="s">
        <v>153</v>
      </c>
      <c r="D28" s="31" t="s">
        <v>154</v>
      </c>
      <c r="E28" s="30" t="n">
        <v>850.35693</v>
      </c>
      <c r="F28" s="32" t="n">
        <f aca="false">IF(IFERROR(INDEX('Monitor &amp; Recheck Triggers'!$H$3:$H$48,MATCH($B28,'Monitor &amp; Recheck Triggers'!$A$3:$A$48,0)),"")="",59.87,INDEX('Monitor &amp; Recheck Triggers'!$H$3:$H$48,MATCH($B28,'Monitor &amp; Recheck Triggers'!$A$3:$A$48,0)))</f>
        <v>59.87</v>
      </c>
      <c r="G28" s="33" t="n">
        <f aca="false">E28*F28</f>
        <v>50910.8693991</v>
      </c>
      <c r="H28" s="34" t="n">
        <v>43005.36</v>
      </c>
      <c r="I28" s="35" t="n">
        <f aca="false">G28-H28</f>
        <v>7905.5093991</v>
      </c>
      <c r="J28" s="36" t="n">
        <f aca="false">IF(H28=0,"",G28/H28-1)</f>
        <v>0.183826141650715</v>
      </c>
      <c r="K28" s="36" t="n">
        <f aca="false">IFERROR(G28/SUM(G27:G46),"")</f>
        <v>0.160283938651927</v>
      </c>
      <c r="L28" s="36" t="n">
        <f aca="false">IFERROR(G28/(SUM(G3:G23,G27:G46)),"")</f>
        <v>0.0695304785390905</v>
      </c>
      <c r="M28" s="28" t="s">
        <v>155</v>
      </c>
    </row>
    <row r="29" customFormat="false" ht="15" hidden="false" customHeight="true" outlineLevel="0" collapsed="false">
      <c r="A29" s="28" t="s">
        <v>149</v>
      </c>
      <c r="B29" s="29" t="s">
        <v>156</v>
      </c>
      <c r="C29" s="30" t="s">
        <v>157</v>
      </c>
      <c r="D29" s="31" t="s">
        <v>97</v>
      </c>
      <c r="E29" s="30" t="n">
        <v>400.00001</v>
      </c>
      <c r="F29" s="32" t="n">
        <f aca="false">IF(IFERROR(INDEX('Monitor &amp; Recheck Triggers'!$H$3:$H$48,MATCH($B29,'Monitor &amp; Recheck Triggers'!$A$3:$A$48,0)),"")="",126.93,INDEX('Monitor &amp; Recheck Triggers'!$H$3:$H$48,MATCH($B29,'Monitor &amp; Recheck Triggers'!$A$3:$A$48,0)))</f>
        <v>126.93</v>
      </c>
      <c r="G29" s="33" t="n">
        <f aca="false">E29*F29</f>
        <v>50772.0012693</v>
      </c>
      <c r="H29" s="34" t="n">
        <v>45116.29</v>
      </c>
      <c r="I29" s="35" t="n">
        <f aca="false">G29-H29</f>
        <v>5655.7112693</v>
      </c>
      <c r="J29" s="36" t="n">
        <f aca="false">IF(H29=0,"",G29/H29-1)</f>
        <v>0.125358518382163</v>
      </c>
      <c r="K29" s="36" t="n">
        <f aca="false">IFERROR(G29/SUM(G27:G46),"")</f>
        <v>0.159846736713318</v>
      </c>
      <c r="L29" s="36" t="n">
        <f aca="false">IFERROR(G29/(SUM(G3:G23,G27:G46)),"")</f>
        <v>0.0693408222312571</v>
      </c>
      <c r="M29" s="28" t="s">
        <v>158</v>
      </c>
    </row>
    <row r="30" customFormat="false" ht="15" hidden="false" customHeight="true" outlineLevel="0" collapsed="false">
      <c r="A30" s="28" t="s">
        <v>149</v>
      </c>
      <c r="B30" s="29" t="s">
        <v>159</v>
      </c>
      <c r="C30" s="30" t="s">
        <v>160</v>
      </c>
      <c r="D30" s="31" t="s">
        <v>97</v>
      </c>
      <c r="E30" s="30" t="n">
        <v>0</v>
      </c>
      <c r="F30" s="32" t="n">
        <f aca="false">IF(IFERROR(INDEX('Monitor &amp; Recheck Triggers'!$H$3:$H$48,MATCH($B30,'Monitor &amp; Recheck Triggers'!$A$3:$A$48,0)),"")="",56.12,INDEX('Monitor &amp; Recheck Triggers'!$H$3:$H$48,MATCH($B30,'Monitor &amp; Recheck Triggers'!$A$3:$A$48,0)))</f>
        <v>56.12</v>
      </c>
      <c r="G30" s="33" t="n">
        <f aca="false">E30*F30</f>
        <v>0</v>
      </c>
      <c r="H30" s="34" t="n">
        <v>0</v>
      </c>
      <c r="I30" s="35" t="n">
        <f aca="false">G30-H30</f>
        <v>0</v>
      </c>
      <c r="J30" s="36" t="str">
        <f aca="false">IF(H30=0,"",G30/H30-1)</f>
        <v/>
      </c>
      <c r="K30" s="36" t="n">
        <f aca="false">IFERROR(G30/SUM(G27:G46),"")</f>
        <v>0</v>
      </c>
      <c r="L30" s="36" t="n">
        <f aca="false">IFERROR(G30/(SUM(G3:G23,G27:G46)),"")</f>
        <v>0</v>
      </c>
      <c r="M30" s="28" t="s">
        <v>161</v>
      </c>
    </row>
    <row r="31" customFormat="false" ht="15" hidden="false" customHeight="true" outlineLevel="0" collapsed="false">
      <c r="A31" s="28" t="s">
        <v>149</v>
      </c>
      <c r="B31" s="37" t="s">
        <v>162</v>
      </c>
      <c r="C31" s="30" t="s">
        <v>163</v>
      </c>
      <c r="D31" s="31" t="s">
        <v>154</v>
      </c>
      <c r="E31" s="30" t="n">
        <v>500</v>
      </c>
      <c r="F31" s="32" t="n">
        <f aca="false">IF(IFERROR(INDEX('Monitor &amp; Recheck Triggers'!$H$3:$H$48,MATCH($B31,'Monitor &amp; Recheck Triggers'!$A$3:$A$48,0)),"")="",69.72,INDEX('Monitor &amp; Recheck Triggers'!$H$3:$H$48,MATCH($B31,'Monitor &amp; Recheck Triggers'!$A$3:$A$48,0)))</f>
        <v>69.72</v>
      </c>
      <c r="G31" s="33" t="n">
        <f aca="false">E31*F31</f>
        <v>34860</v>
      </c>
      <c r="H31" s="34" t="n">
        <v>30666</v>
      </c>
      <c r="I31" s="35" t="n">
        <f aca="false">G31-H31</f>
        <v>4194</v>
      </c>
      <c r="J31" s="36" t="n">
        <f aca="false">IF(H31=0,"",G31/H31-1)</f>
        <v>0.136763842692232</v>
      </c>
      <c r="K31" s="36" t="n">
        <f aca="false">IFERROR(G31/SUM(G27:G46),"")</f>
        <v>0.109750592896081</v>
      </c>
      <c r="L31" s="36" t="n">
        <f aca="false">IFERROR(G31/(SUM(G3:G23,G27:G46)),"")</f>
        <v>0.047609331965475</v>
      </c>
      <c r="M31" s="28" t="s">
        <v>164</v>
      </c>
    </row>
    <row r="32" customFormat="false" ht="15" hidden="false" customHeight="true" outlineLevel="0" collapsed="false">
      <c r="A32" s="28" t="s">
        <v>149</v>
      </c>
      <c r="B32" s="29" t="s">
        <v>165</v>
      </c>
      <c r="C32" s="30" t="s">
        <v>166</v>
      </c>
      <c r="D32" s="31" t="s">
        <v>97</v>
      </c>
      <c r="E32" s="30" t="n">
        <v>35.07587</v>
      </c>
      <c r="F32" s="32" t="n">
        <f aca="false">IF(IFERROR(INDEX('Monitor &amp; Recheck Triggers'!$H$3:$H$48,MATCH($B32,'Monitor &amp; Recheck Triggers'!$A$3:$A$48,0)),"")="",357.895,INDEX('Monitor &amp; Recheck Triggers'!$H$3:$H$48,MATCH($B32,'Monitor &amp; Recheck Triggers'!$A$3:$A$48,0)))</f>
        <v>357.895</v>
      </c>
      <c r="G32" s="33" t="n">
        <f aca="false">E32*F32</f>
        <v>12553.47849365</v>
      </c>
      <c r="H32" s="34" t="n">
        <v>12653.43</v>
      </c>
      <c r="I32" s="35" t="n">
        <f aca="false">G32-H32</f>
        <v>-99.9515063500003</v>
      </c>
      <c r="J32" s="36" t="n">
        <f aca="false">IF(H32=0,"",G32/H32-1)</f>
        <v>-0.00789916302141003</v>
      </c>
      <c r="K32" s="36" t="n">
        <f aca="false">IFERROR(G32/SUM(G27:G46),"")</f>
        <v>0.0395224241992625</v>
      </c>
      <c r="L32" s="36" t="n">
        <f aca="false">IFERROR(G32/(SUM(G3:G23,G27:G46)),"")</f>
        <v>0.0171446564809419</v>
      </c>
      <c r="M32" s="28"/>
    </row>
    <row r="33" customFormat="false" ht="15" hidden="false" customHeight="true" outlineLevel="0" collapsed="false">
      <c r="A33" s="28" t="s">
        <v>149</v>
      </c>
      <c r="B33" s="29" t="s">
        <v>110</v>
      </c>
      <c r="C33" s="30" t="s">
        <v>111</v>
      </c>
      <c r="D33" s="31" t="s">
        <v>97</v>
      </c>
      <c r="E33" s="30" t="n">
        <v>59.02188</v>
      </c>
      <c r="F33" s="32" t="n">
        <f aca="false">IF(IFERROR(INDEX('Monitor &amp; Recheck Triggers'!$H$3:$H$48,MATCH($B33,'Monitor &amp; Recheck Triggers'!$A$3:$A$48,0)),"")="",230.36,INDEX('Monitor &amp; Recheck Triggers'!$H$3:$H$48,MATCH($B33,'Monitor &amp; Recheck Triggers'!$A$3:$A$48,0)))</f>
        <v>230.36</v>
      </c>
      <c r="G33" s="33" t="n">
        <f aca="false">E33*F33</f>
        <v>13596.2802768</v>
      </c>
      <c r="H33" s="34" t="n">
        <v>11377.73</v>
      </c>
      <c r="I33" s="35" t="n">
        <f aca="false">G33-H33</f>
        <v>2218.5502768</v>
      </c>
      <c r="J33" s="36" t="n">
        <f aca="false">IF(H33=0,"",G33/H33-1)</f>
        <v>0.194990589230014</v>
      </c>
      <c r="K33" s="36" t="n">
        <f aca="false">IFERROR(G33/SUM(G27:G46),"")</f>
        <v>0.0428055026265088</v>
      </c>
      <c r="L33" s="36" t="n">
        <f aca="false">IFERROR(G33/(SUM(G3:G23,G27:G46)),"")</f>
        <v>0.0185688416865695</v>
      </c>
      <c r="M33" s="28"/>
    </row>
    <row r="34" customFormat="false" ht="15" hidden="false" customHeight="true" outlineLevel="0" collapsed="false">
      <c r="A34" s="28" t="s">
        <v>149</v>
      </c>
      <c r="B34" s="29" t="s">
        <v>167</v>
      </c>
      <c r="C34" s="30" t="s">
        <v>168</v>
      </c>
      <c r="D34" s="31" t="s">
        <v>97</v>
      </c>
      <c r="E34" s="30" t="n">
        <v>65</v>
      </c>
      <c r="F34" s="32" t="n">
        <f aca="false">IF(IFERROR(INDEX('Monitor &amp; Recheck Triggers'!$H$3:$H$48,MATCH($B34,'Monitor &amp; Recheck Triggers'!$A$3:$A$48,0)),"")="",528.64,INDEX('Monitor &amp; Recheck Triggers'!$H$3:$H$48,MATCH($B34,'Monitor &amp; Recheck Triggers'!$A$3:$A$48,0)))</f>
        <v>528.64</v>
      </c>
      <c r="G34" s="33" t="n">
        <f aca="false">E34*F34</f>
        <v>34361.6</v>
      </c>
      <c r="H34" s="34" t="n">
        <v>31479.64</v>
      </c>
      <c r="I34" s="35" t="n">
        <f aca="false">G34-H34</f>
        <v>2881.96</v>
      </c>
      <c r="J34" s="36" t="n">
        <f aca="false">IF(H34=0,"",G34/H34-1)</f>
        <v>0.0915499668992403</v>
      </c>
      <c r="K34" s="36" t="n">
        <f aca="false">IFERROR(G34/SUM(G27:G46),"")</f>
        <v>0.108181467953471</v>
      </c>
      <c r="L34" s="36" t="n">
        <f aca="false">IFERROR(G34/(SUM(G3:G23,G27:G46)),"")</f>
        <v>0.0469286523598642</v>
      </c>
      <c r="M34" s="28" t="s">
        <v>169</v>
      </c>
    </row>
    <row r="35" customFormat="false" ht="15" hidden="false" customHeight="true" outlineLevel="0" collapsed="false">
      <c r="A35" s="28" t="s">
        <v>149</v>
      </c>
      <c r="B35" s="37" t="s">
        <v>138</v>
      </c>
      <c r="C35" s="30" t="s">
        <v>139</v>
      </c>
      <c r="D35" s="31" t="s">
        <v>97</v>
      </c>
      <c r="E35" s="30" t="n">
        <v>76.93745</v>
      </c>
      <c r="F35" s="32" t="n">
        <f aca="false">IF(IFERROR(INDEX('Monitor &amp; Recheck Triggers'!$H$3:$H$48,MATCH($B35,'Monitor &amp; Recheck Triggers'!$A$3:$A$48,0)),"")="",149.72,INDEX('Monitor &amp; Recheck Triggers'!$H$3:$H$48,MATCH($B35,'Monitor &amp; Recheck Triggers'!$A$3:$A$48,0)))</f>
        <v>149.72</v>
      </c>
      <c r="G35" s="33" t="n">
        <f aca="false">E35*F35</f>
        <v>11519.075014</v>
      </c>
      <c r="H35" s="34" t="n">
        <v>9318.79</v>
      </c>
      <c r="I35" s="35" t="n">
        <f aca="false">G35-H35</f>
        <v>2200.285014</v>
      </c>
      <c r="J35" s="36" t="n">
        <f aca="false">IF(H35=0,"",G35/H35-1)</f>
        <v>0.236112737168667</v>
      </c>
      <c r="K35" s="36" t="n">
        <f aca="false">IFERROR(G35/SUM(G27:G46),"")</f>
        <v>0.0362657863568828</v>
      </c>
      <c r="L35" s="36" t="n">
        <f aca="false">IFERROR(G35/(SUM(G3:G23,G27:G46)),"")</f>
        <v>0.0157319410865386</v>
      </c>
      <c r="M35" s="28"/>
    </row>
    <row r="36" customFormat="false" ht="15" hidden="false" customHeight="true" outlineLevel="0" collapsed="false">
      <c r="A36" s="28" t="s">
        <v>149</v>
      </c>
      <c r="B36" s="37" t="s">
        <v>129</v>
      </c>
      <c r="C36" s="30" t="s">
        <v>130</v>
      </c>
      <c r="D36" s="31" t="s">
        <v>97</v>
      </c>
      <c r="E36" s="30" t="n">
        <v>200</v>
      </c>
      <c r="F36" s="32" t="n">
        <f aca="false">IF(IFERROR(INDEX('Monitor &amp; Recheck Triggers'!$H$3:$H$48,MATCH($B36,'Monitor &amp; Recheck Triggers'!$A$3:$A$48,0)),"")="",55.29,INDEX('Monitor &amp; Recheck Triggers'!$H$3:$H$48,MATCH($B36,'Monitor &amp; Recheck Triggers'!$A$3:$A$48,0)))</f>
        <v>55.29</v>
      </c>
      <c r="G36" s="33" t="n">
        <f aca="false">E36*F36</f>
        <v>11058</v>
      </c>
      <c r="H36" s="34" t="n">
        <v>9257</v>
      </c>
      <c r="I36" s="35" t="n">
        <f aca="false">G36-H36</f>
        <v>1801</v>
      </c>
      <c r="J36" s="36" t="n">
        <f aca="false">IF(H36=0,"",G36/H36-1)</f>
        <v>0.194555471535055</v>
      </c>
      <c r="K36" s="36" t="n">
        <f aca="false">IFERROR(G36/SUM(G27:G46),"")</f>
        <v>0.0348141725830426</v>
      </c>
      <c r="L36" s="36" t="n">
        <f aca="false">IFERROR(G36/(SUM(G3:G23,G27:G46)),"")</f>
        <v>0.0151022373171033</v>
      </c>
      <c r="M36" s="28"/>
    </row>
    <row r="37" customFormat="false" ht="15" hidden="false" customHeight="true" outlineLevel="0" collapsed="false">
      <c r="A37" s="28" t="s">
        <v>149</v>
      </c>
      <c r="B37" s="29" t="s">
        <v>100</v>
      </c>
      <c r="C37" s="30" t="s">
        <v>101</v>
      </c>
      <c r="D37" s="31" t="s">
        <v>97</v>
      </c>
      <c r="E37" s="30" t="n">
        <v>50</v>
      </c>
      <c r="F37" s="32" t="n">
        <f aca="false">IF(IFERROR(INDEX('Monitor &amp; Recheck Triggers'!$H$3:$H$48,MATCH($B37,'Monitor &amp; Recheck Triggers'!$A$3:$A$48,0)),"")="",193.78,INDEX('Monitor &amp; Recheck Triggers'!$H$3:$H$48,MATCH($B37,'Monitor &amp; Recheck Triggers'!$A$3:$A$48,0)))</f>
        <v>193.78</v>
      </c>
      <c r="G37" s="33" t="n">
        <f aca="false">E37*F37</f>
        <v>9689</v>
      </c>
      <c r="H37" s="34" t="n">
        <v>7394.5</v>
      </c>
      <c r="I37" s="35" t="n">
        <f aca="false">G37-H37</f>
        <v>2294.5</v>
      </c>
      <c r="J37" s="36" t="n">
        <f aca="false">IF(H37=0,"",G37/H37-1)</f>
        <v>0.310298194604098</v>
      </c>
      <c r="K37" s="36" t="n">
        <f aca="false">IFERROR(G37/SUM(G27:G46),"")</f>
        <v>0.0305041163101013</v>
      </c>
      <c r="L37" s="36" t="n">
        <f aca="false">IFERROR(G37/(SUM(G3:G23,G27:G46)),"")</f>
        <v>0.0132325535689468</v>
      </c>
      <c r="M37" s="28"/>
    </row>
    <row r="38" customFormat="false" ht="15" hidden="true" customHeight="true" outlineLevel="1" collapsed="false">
      <c r="A38" s="28" t="s">
        <v>149</v>
      </c>
      <c r="B38" s="29" t="s">
        <v>104</v>
      </c>
      <c r="C38" s="30" t="s">
        <v>105</v>
      </c>
      <c r="D38" s="31" t="s">
        <v>97</v>
      </c>
      <c r="E38" s="30" t="n">
        <v>45</v>
      </c>
      <c r="F38" s="32" t="n">
        <f aca="false">IF(IFERROR(INDEX('Monitor &amp; Recheck Triggers'!$H$3:$H$48,MATCH($B38,'Monitor &amp; Recheck Triggers'!$A$3:$A$48,0)),"")="",213.1,INDEX('Monitor &amp; Recheck Triggers'!$H$3:$H$48,MATCH($B38,'Monitor &amp; Recheck Triggers'!$A$3:$A$48,0)))</f>
        <v>213.1</v>
      </c>
      <c r="G38" s="33" t="n">
        <f aca="false">E38*F38</f>
        <v>9589.5</v>
      </c>
      <c r="H38" s="34" t="n">
        <v>7099.31</v>
      </c>
      <c r="I38" s="35" t="n">
        <f aca="false">G38-H38</f>
        <v>2490.19</v>
      </c>
      <c r="J38" s="36" t="n">
        <f aca="false">IF(H38=0,"",G38/H38-1)</f>
        <v>0.350765074352296</v>
      </c>
      <c r="K38" s="36" t="n">
        <f aca="false">IFERROR(G38/SUM(G27:G46),"")</f>
        <v>0.0301908580199934</v>
      </c>
      <c r="L38" s="36" t="n">
        <f aca="false">IFERROR(G38/(SUM(G3:G23,G27:G46)),"")</f>
        <v>0.0130966634791429</v>
      </c>
      <c r="M38" s="28"/>
    </row>
    <row r="39" customFormat="false" ht="15" hidden="true" customHeight="true" outlineLevel="1" collapsed="false">
      <c r="A39" s="28" t="s">
        <v>149</v>
      </c>
      <c r="B39" s="29" t="s">
        <v>170</v>
      </c>
      <c r="C39" s="30" t="s">
        <v>171</v>
      </c>
      <c r="D39" s="31" t="s">
        <v>97</v>
      </c>
      <c r="E39" s="30" t="n">
        <v>125.44837</v>
      </c>
      <c r="F39" s="32" t="n">
        <f aca="false">IF(IFERROR(INDEX('Monitor &amp; Recheck Triggers'!$H$3:$H$48,MATCH($B39,'Monitor &amp; Recheck Triggers'!$A$3:$A$48,0)),"")="",137.34,INDEX('Monitor &amp; Recheck Triggers'!$H$3:$H$48,MATCH($B39,'Monitor &amp; Recheck Triggers'!$A$3:$A$48,0)))</f>
        <v>137.34</v>
      </c>
      <c r="G39" s="33" t="n">
        <f aca="false">E39*F39</f>
        <v>17229.0791358</v>
      </c>
      <c r="H39" s="34" t="n">
        <v>16585.43</v>
      </c>
      <c r="I39" s="35" t="n">
        <f aca="false">G39-H39</f>
        <v>643.649135799999</v>
      </c>
      <c r="J39" s="36" t="n">
        <f aca="false">IF(H39=0,"",G39/H39-1)</f>
        <v>0.0388081066212935</v>
      </c>
      <c r="K39" s="36" t="n">
        <f aca="false">IFERROR(G39/SUM(G27:G46),"")</f>
        <v>0.0542427323639573</v>
      </c>
      <c r="L39" s="36" t="n">
        <f aca="false">IFERROR(G39/(SUM(G3:G23,G27:G46)),"")</f>
        <v>0.0235302624221383</v>
      </c>
      <c r="M39" s="28" t="s">
        <v>172</v>
      </c>
    </row>
    <row r="40" customFormat="false" ht="15" hidden="true" customHeight="true" outlineLevel="1" collapsed="false">
      <c r="A40" s="28" t="s">
        <v>149</v>
      </c>
      <c r="B40" s="29" t="s">
        <v>173</v>
      </c>
      <c r="C40" s="30" t="s">
        <v>174</v>
      </c>
      <c r="D40" s="31" t="s">
        <v>97</v>
      </c>
      <c r="E40" s="30" t="n">
        <v>0</v>
      </c>
      <c r="F40" s="32" t="n">
        <f aca="false">IF(IFERROR(INDEX('Monitor &amp; Recheck Triggers'!$H$3:$H$48,MATCH($B40,'Monitor &amp; Recheck Triggers'!$A$3:$A$48,0)),"")="",86.07,INDEX('Monitor &amp; Recheck Triggers'!$H$3:$H$48,MATCH($B40,'Monitor &amp; Recheck Triggers'!$A$3:$A$48,0)))</f>
        <v>86.07</v>
      </c>
      <c r="G40" s="33" t="n">
        <f aca="false">E40*F40</f>
        <v>0</v>
      </c>
      <c r="H40" s="34" t="n">
        <v>0</v>
      </c>
      <c r="I40" s="35" t="n">
        <f aca="false">G40-H40</f>
        <v>0</v>
      </c>
      <c r="J40" s="36" t="str">
        <f aca="false">IF(H40=0,"",G40/H40-1)</f>
        <v/>
      </c>
      <c r="K40" s="36" t="n">
        <f aca="false">IFERROR(G40/SUM(G27:G46),"")</f>
        <v>0</v>
      </c>
      <c r="L40" s="36" t="n">
        <f aca="false">IFERROR(G40/(SUM(G3:G23,G27:G46)),"")</f>
        <v>0</v>
      </c>
      <c r="M40" s="28" t="s">
        <v>175</v>
      </c>
    </row>
    <row r="41" customFormat="false" ht="15" hidden="false" customHeight="true" outlineLevel="0" collapsed="false">
      <c r="A41" s="28" t="s">
        <v>149</v>
      </c>
      <c r="B41" s="29" t="s">
        <v>176</v>
      </c>
      <c r="C41" s="30" t="s">
        <v>177</v>
      </c>
      <c r="D41" s="31" t="s">
        <v>97</v>
      </c>
      <c r="E41" s="30" t="n">
        <v>0</v>
      </c>
      <c r="F41" s="32" t="n">
        <f aca="false">IF(IFERROR(INDEX('Monitor &amp; Recheck Triggers'!$H$3:$H$48,MATCH($B41,'Monitor &amp; Recheck Triggers'!$A$3:$A$48,0)),"")="",327.35,INDEX('Monitor &amp; Recheck Triggers'!$H$3:$H$48,MATCH($B41,'Monitor &amp; Recheck Triggers'!$A$3:$A$48,0)))</f>
        <v>327.35</v>
      </c>
      <c r="G41" s="33" t="n">
        <f aca="false">E41*F41</f>
        <v>0</v>
      </c>
      <c r="H41" s="34" t="n">
        <v>0</v>
      </c>
      <c r="I41" s="35" t="n">
        <f aca="false">G41-H41</f>
        <v>0</v>
      </c>
      <c r="J41" s="36" t="str">
        <f aca="false">IF(H41=0,"",G41/H41-1)</f>
        <v/>
      </c>
      <c r="K41" s="36" t="n">
        <f aca="false">IFERROR(G41/SUM(G27:G46),"")</f>
        <v>0</v>
      </c>
      <c r="L41" s="36" t="n">
        <f aca="false">IFERROR(G41/(SUM(G3:G23,G27:G46)),"")</f>
        <v>0</v>
      </c>
      <c r="M41" s="28" t="s">
        <v>178</v>
      </c>
    </row>
    <row r="42" customFormat="false" ht="15" hidden="true" customHeight="true" outlineLevel="1" collapsed="false">
      <c r="A42" s="28" t="s">
        <v>149</v>
      </c>
      <c r="B42" s="29" t="s">
        <v>179</v>
      </c>
      <c r="C42" s="30" t="s">
        <v>180</v>
      </c>
      <c r="D42" s="31" t="s">
        <v>97</v>
      </c>
      <c r="E42" s="30" t="n">
        <v>0</v>
      </c>
      <c r="F42" s="32" t="n">
        <f aca="false">IF(IFERROR(INDEX('Monitor &amp; Recheck Triggers'!$H$3:$H$48,MATCH($B42,'Monitor &amp; Recheck Triggers'!$A$3:$A$48,0)),"")="",120.16,INDEX('Monitor &amp; Recheck Triggers'!$H$3:$H$48,MATCH($B42,'Monitor &amp; Recheck Triggers'!$A$3:$A$48,0)))</f>
        <v>120.16</v>
      </c>
      <c r="G42" s="33" t="n">
        <f aca="false">E42*F42</f>
        <v>0</v>
      </c>
      <c r="H42" s="34" t="n">
        <v>0</v>
      </c>
      <c r="I42" s="35" t="n">
        <f aca="false">G42-H42</f>
        <v>0</v>
      </c>
      <c r="J42" s="36" t="str">
        <f aca="false">IF(H42=0,"",G42/H42-1)</f>
        <v/>
      </c>
      <c r="K42" s="36" t="n">
        <f aca="false">IFERROR(G42/SUM(G27:G46),"")</f>
        <v>0</v>
      </c>
      <c r="L42" s="36" t="n">
        <f aca="false">IFERROR(G42/(SUM(G3:G23,G27:G46)),"")</f>
        <v>0</v>
      </c>
      <c r="M42" s="28" t="s">
        <v>181</v>
      </c>
    </row>
    <row r="43" customFormat="false" ht="15" hidden="false" customHeight="true" outlineLevel="0" collapsed="false">
      <c r="A43" s="28" t="s">
        <v>149</v>
      </c>
      <c r="B43" s="37" t="s">
        <v>182</v>
      </c>
      <c r="C43" s="30" t="s">
        <v>183</v>
      </c>
      <c r="D43" s="31" t="s">
        <v>123</v>
      </c>
      <c r="E43" s="30" t="n">
        <v>10849.71</v>
      </c>
      <c r="F43" s="32" t="n">
        <v>1</v>
      </c>
      <c r="G43" s="33" t="n">
        <f aca="false">E43*F43</f>
        <v>10849.71</v>
      </c>
      <c r="H43" s="34" t="n">
        <v>10849.71</v>
      </c>
      <c r="I43" s="35" t="n">
        <f aca="false">G43-H43</f>
        <v>0</v>
      </c>
      <c r="J43" s="36" t="n">
        <f aca="false">IF(H43=0,"",G43/H43-1)</f>
        <v>0</v>
      </c>
      <c r="K43" s="36" t="n">
        <f aca="false">IFERROR(G43/SUM(G27:G46),"")</f>
        <v>0.0341584080680018</v>
      </c>
      <c r="L43" s="36" t="n">
        <f aca="false">IFERROR(G43/(SUM(G3:G23,G27:G46)),"")</f>
        <v>0.0148177695100153</v>
      </c>
      <c r="M43" s="28"/>
    </row>
    <row r="44" customFormat="false" ht="15" hidden="false" customHeight="true" outlineLevel="0" collapsed="false">
      <c r="A44" s="28" t="s">
        <v>149</v>
      </c>
      <c r="B44" s="29" t="s">
        <v>184</v>
      </c>
      <c r="C44" s="30" t="s">
        <v>185</v>
      </c>
      <c r="D44" s="31" t="s">
        <v>97</v>
      </c>
      <c r="E44" s="30" t="n">
        <v>0</v>
      </c>
      <c r="F44" s="32" t="n">
        <f aca="false">IF(IFERROR(INDEX('Monitor &amp; Recheck Triggers'!$H$3:$H$48,MATCH($B44,'Monitor &amp; Recheck Triggers'!$A$3:$A$48,0)),"")="",37.61,INDEX('Monitor &amp; Recheck Triggers'!$H$3:$H$48,MATCH($B44,'Monitor &amp; Recheck Triggers'!$A$3:$A$48,0)))</f>
        <v>37.61</v>
      </c>
      <c r="G44" s="33" t="n">
        <f aca="false">E44*F44</f>
        <v>0</v>
      </c>
      <c r="H44" s="34" t="n">
        <v>0</v>
      </c>
      <c r="I44" s="35" t="n">
        <f aca="false">G44-H44</f>
        <v>0</v>
      </c>
      <c r="J44" s="36" t="str">
        <f aca="false">IF(H44=0,"",G44/H44-1)</f>
        <v/>
      </c>
      <c r="K44" s="36" t="n">
        <f aca="false">IFERROR(G44/SUM(G27:G46),"")</f>
        <v>0</v>
      </c>
      <c r="L44" s="36" t="n">
        <f aca="false">IFERROR(G44/(SUM(G3:G23,G27:G46)),"")</f>
        <v>0</v>
      </c>
      <c r="M44" s="28" t="s">
        <v>186</v>
      </c>
    </row>
    <row r="45" customFormat="false" ht="15" hidden="false" customHeight="true" outlineLevel="0" collapsed="false">
      <c r="A45" s="28" t="s">
        <v>149</v>
      </c>
      <c r="B45" s="29" t="s">
        <v>112</v>
      </c>
      <c r="C45" s="30" t="s">
        <v>113</v>
      </c>
      <c r="D45" s="31" t="s">
        <v>97</v>
      </c>
      <c r="E45" s="30" t="n">
        <v>20</v>
      </c>
      <c r="F45" s="32" t="n">
        <f aca="false">IF(IFERROR(INDEX('Monitor &amp; Recheck Triggers'!$H$3:$H$48,MATCH($B45,'Monitor &amp; Recheck Triggers'!$A$3:$A$48,0)),"")="",174.33,INDEX('Monitor &amp; Recheck Triggers'!$H$3:$H$48,MATCH($B45,'Monitor &amp; Recheck Triggers'!$A$3:$A$48,0)))</f>
        <v>174.33</v>
      </c>
      <c r="G45" s="33" t="n">
        <f aca="false">E45*F45</f>
        <v>3486.6</v>
      </c>
      <c r="H45" s="34" t="n">
        <v>3178</v>
      </c>
      <c r="I45" s="35" t="n">
        <f aca="false">G45-H45</f>
        <v>308.6</v>
      </c>
      <c r="J45" s="36" t="n">
        <f aca="false">IF(H45=0,"",G45/H45-1)</f>
        <v>0.0971050975456262</v>
      </c>
      <c r="K45" s="36" t="n">
        <f aca="false">IFERROR(G45/SUM(G27:G46),"")</f>
        <v>0.0109769482843223</v>
      </c>
      <c r="L45" s="36" t="n">
        <f aca="false">IFERROR(G45/(SUM(G3:G23,G27:G46)),"")</f>
        <v>0.00476175263427496</v>
      </c>
      <c r="M45" s="28"/>
    </row>
    <row r="46" customFormat="false" ht="13.5" hidden="false" customHeight="true" outlineLevel="0" collapsed="false">
      <c r="A46" s="28" t="s">
        <v>149</v>
      </c>
      <c r="B46" s="37" t="s">
        <v>187</v>
      </c>
      <c r="C46" s="30" t="s">
        <v>188</v>
      </c>
      <c r="D46" s="31" t="s">
        <v>154</v>
      </c>
      <c r="E46" s="30" t="n">
        <v>180</v>
      </c>
      <c r="F46" s="32" t="n">
        <f aca="false">IF(IFERROR(INDEX('Monitor &amp; Recheck Triggers'!$H$3:$H$48,MATCH($B46,'Monitor &amp; Recheck Triggers'!$A$3:$A$48,0)),"")="",57.22,INDEX('Monitor &amp; Recheck Triggers'!$H$3:$H$48,MATCH($B46,'Monitor &amp; Recheck Triggers'!$A$3:$A$48,0)))</f>
        <v>57.22</v>
      </c>
      <c r="G46" s="33" t="n">
        <f aca="false">E46*F46</f>
        <v>10299.6</v>
      </c>
      <c r="H46" s="34" t="n">
        <v>10500.57</v>
      </c>
      <c r="I46" s="35" t="n">
        <f aca="false">G46-H46</f>
        <v>-200.969999999999</v>
      </c>
      <c r="J46" s="36" t="n">
        <f aca="false">IF(H46=0,"",G46/H46-1)</f>
        <v>-0.0191389610278299</v>
      </c>
      <c r="K46" s="36" t="n">
        <f aca="false">IFERROR(G46/SUM(G27:G46),"")</f>
        <v>0.0324264832642708</v>
      </c>
      <c r="L46" s="36" t="n">
        <f aca="false">IFERROR(G46/(SUM(G3:G23,G27:G46)),"")</f>
        <v>0.0140664680295928</v>
      </c>
      <c r="M46" s="28" t="s">
        <v>128</v>
      </c>
    </row>
    <row r="47" customFormat="false" ht="15" hidden="false" customHeight="true" outlineLevel="0" collapsed="false">
      <c r="A47" s="40" t="s">
        <v>146</v>
      </c>
      <c r="B47" s="41" t="n">
        <f aca="false">SUBTOTAL(103,B27:B46)</f>
        <v>15</v>
      </c>
      <c r="C47" s="42" t="s">
        <v>189</v>
      </c>
      <c r="D47" s="43"/>
      <c r="E47" s="44"/>
      <c r="F47" s="45"/>
      <c r="G47" s="46" t="n">
        <f aca="false">SUM(G27:G46)</f>
        <v>317629.26358865</v>
      </c>
      <c r="H47" s="47" t="n">
        <f aca="false">SUM(H27:H46)</f>
        <v>285336.23</v>
      </c>
      <c r="I47" s="48" t="n">
        <f aca="false">SUM(I27:I46)</f>
        <v>32293.03358865</v>
      </c>
      <c r="J47" s="49" t="n">
        <f aca="false">CurrentPositionsTable[[#This Row],[Unrealized G/L ($)]]/CurrentPositionsTable[[#This Row],[Cost Basis
($)]]</f>
        <v>0.113175370644835</v>
      </c>
      <c r="K47" s="49" t="n">
        <f aca="false">SUM(K27:K46)</f>
        <v>1</v>
      </c>
      <c r="L47" s="49" t="n">
        <f aca="false">SUM(L27:L46)</f>
        <v>0.433795669883574</v>
      </c>
      <c r="M47" s="50"/>
      <c r="N47" s="51"/>
      <c r="O47" s="51"/>
    </row>
    <row r="48" customFormat="false" ht="15" hidden="false" customHeight="true" outlineLevel="0" collapsed="false">
      <c r="I48" s="52" t="s">
        <v>148</v>
      </c>
      <c r="J48" s="53" t="n">
        <f aca="false">I47/(H47-H43-H27)</f>
        <v>0.135895110060491</v>
      </c>
    </row>
    <row r="49" customFormat="false" ht="15" hidden="false" customHeight="true" outlineLevel="0" collapsed="false"/>
    <row r="50" customFormat="false" ht="15" hidden="false" customHeight="true" outlineLevel="0" collapsed="false">
      <c r="A50" s="28"/>
      <c r="B50" s="29"/>
      <c r="C50" s="30" t="s">
        <v>190</v>
      </c>
      <c r="D50" s="31"/>
      <c r="E50" s="30"/>
      <c r="F50" s="30"/>
      <c r="G50" s="33" t="n">
        <f aca="false">SUM(G3:G23)+SUM(G27:G46)</f>
        <v>732209.39174865</v>
      </c>
      <c r="H50" s="34" t="n">
        <f aca="false">SUM(H3:H23)+SUM(H27:H46)</f>
        <v>672329.48</v>
      </c>
      <c r="I50" s="35" t="n">
        <f aca="false">SUM(I3:I23)+SUM(I27:I46)</f>
        <v>59879.91174865</v>
      </c>
    </row>
    <row r="51" customFormat="false" ht="14.25" hidden="false" customHeight="true" outlineLevel="0" collapsed="false">
      <c r="A51" s="28"/>
      <c r="B51" s="29"/>
      <c r="C51" s="30" t="s">
        <v>191</v>
      </c>
      <c r="D51" s="31"/>
      <c r="E51" s="30"/>
      <c r="F51" s="30"/>
      <c r="G51" s="33" t="n">
        <f aca="false">SUM(G14:G21)+G27+G28+G29+G31+G35+G36+G43+G46</f>
        <v>424638.5138424</v>
      </c>
      <c r="H51" s="34" t="n">
        <f aca="false">SUM(H14:H21)+H27+H28+H29+H31+H35+H36+H43+H46</f>
        <v>401796.61</v>
      </c>
      <c r="I51" s="35" t="n">
        <f aca="false">G51-H51</f>
        <v>22841.9038424</v>
      </c>
      <c r="L51" s="36" t="n">
        <f aca="false">IFERROR(G51/G50,"")</f>
        <v>0.57994136462561</v>
      </c>
      <c r="M51" s="28" t="s">
        <v>192</v>
      </c>
    </row>
    <row r="52" customFormat="false" ht="142.5" hidden="false" customHeight="true" outlineLevel="0" collapsed="false">
      <c r="A52" s="54" t="s">
        <v>193</v>
      </c>
      <c r="B52" s="54"/>
      <c r="C52" s="54"/>
      <c r="D52" s="54"/>
      <c r="E52" s="54"/>
      <c r="F52" s="54"/>
      <c r="G52" s="54"/>
      <c r="H52" s="54"/>
      <c r="I52" s="54"/>
      <c r="J52" s="54"/>
      <c r="K52" s="54"/>
      <c r="L52" s="54"/>
      <c r="M52" s="54"/>
    </row>
  </sheetData>
  <mergeCells count="3">
    <mergeCell ref="A1:M1"/>
    <mergeCell ref="O1:P1"/>
    <mergeCell ref="A52:M52"/>
  </mergeCells>
  <conditionalFormatting sqref="I1:K1048576">
    <cfRule type="cellIs" priority="2" operator="lessThan" aboveAverage="0" equalAverage="0" bottom="0" percent="0" rank="0" text="" dxfId="8">
      <formula>0</formula>
    </cfRule>
  </conditionalFormatting>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8"/>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0" ySplit="2" topLeftCell="A8" activePane="bottomLeft" state="frozen"/>
      <selection pane="topLeft" activeCell="A1" activeCellId="0" sqref="A1"/>
      <selection pane="bottomLeft" activeCell="H30" activeCellId="0" sqref="H30"/>
    </sheetView>
  </sheetViews>
  <sheetFormatPr defaultColWidth="8.66796875" defaultRowHeight="14.25" customHeight="false" zeroHeight="false" outlineLevelRow="1" outlineLevelCol="0"/>
  <cols>
    <col collapsed="false" customWidth="true" hidden="false" outlineLevel="0" max="1" min="1" style="55" width="8"/>
    <col collapsed="false" customWidth="true" hidden="false" outlineLevel="0" max="2" min="2" style="1" width="12.44"/>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7" min="7" style="56" width="10"/>
    <col collapsed="false" customWidth="true" hidden="false" outlineLevel="0" max="9" min="8"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76"/>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57" t="s">
        <v>194</v>
      </c>
      <c r="B1" s="57"/>
      <c r="C1" s="57"/>
      <c r="D1" s="57"/>
      <c r="E1" s="57"/>
      <c r="F1" s="57"/>
      <c r="G1" s="57"/>
      <c r="H1" s="57"/>
      <c r="I1" s="57"/>
      <c r="J1" s="57"/>
      <c r="K1" s="57"/>
      <c r="L1" s="57"/>
      <c r="M1" s="57"/>
      <c r="N1" s="57"/>
      <c r="O1" s="57"/>
      <c r="P1" s="57"/>
      <c r="Q1" s="57"/>
    </row>
    <row r="2" s="60" customFormat="true" ht="42" hidden="false" customHeight="true" outlineLevel="0" collapsed="false">
      <c r="A2" s="58" t="s">
        <v>81</v>
      </c>
      <c r="B2" s="58" t="s">
        <v>195</v>
      </c>
      <c r="C2" s="58" t="s">
        <v>196</v>
      </c>
      <c r="D2" s="58" t="s">
        <v>197</v>
      </c>
      <c r="E2" s="58" t="s">
        <v>198</v>
      </c>
      <c r="F2" s="58" t="s">
        <v>199</v>
      </c>
      <c r="G2" s="59" t="s">
        <v>200</v>
      </c>
      <c r="H2" s="58" t="s">
        <v>201</v>
      </c>
      <c r="I2" s="58" t="s">
        <v>202</v>
      </c>
      <c r="J2" s="58" t="s">
        <v>203</v>
      </c>
      <c r="K2" s="58" t="s">
        <v>204</v>
      </c>
      <c r="L2" s="58" t="s">
        <v>205</v>
      </c>
      <c r="M2" s="58" t="s">
        <v>206</v>
      </c>
      <c r="N2" s="58" t="s">
        <v>207</v>
      </c>
      <c r="O2" s="58" t="s">
        <v>208</v>
      </c>
      <c r="P2" s="58" t="s">
        <v>209</v>
      </c>
      <c r="Q2" s="58" t="s">
        <v>210</v>
      </c>
    </row>
    <row r="3" customFormat="false" ht="15" hidden="false" customHeight="true" outlineLevel="0" collapsed="false">
      <c r="A3" s="61" t="s">
        <v>95</v>
      </c>
      <c r="B3" s="62" t="s">
        <v>211</v>
      </c>
      <c r="C3" s="63" t="n">
        <v>46240</v>
      </c>
      <c r="D3" s="62" t="n">
        <v>85.8</v>
      </c>
      <c r="E3" s="62" t="n">
        <v>4.57</v>
      </c>
      <c r="F3" s="64" t="s">
        <v>212</v>
      </c>
      <c r="G3" s="65" t="n">
        <v>259.32</v>
      </c>
      <c r="H3" s="66" t="str">
        <f aca="false" t="array" ref="H3:H3">IFERROR(INDEX(_xlfn.stockhistory(A3,TODAY()-5,TODAY(),0,0,1),ROWS(_xlfn.stockhistory(A3,TODAY()-5,TODAY(),0,0,1)),1),"")</f>
        <v/>
      </c>
      <c r="I3" s="67" t="str">
        <f aca="false">IF(OR(G3="",H3=""),"",H3/G3-1)</f>
        <v/>
      </c>
      <c r="J3" s="68" t="n">
        <v>46275</v>
      </c>
      <c r="K3" s="62" t="s">
        <v>213</v>
      </c>
      <c r="L3" s="69"/>
      <c r="M3" s="62" t="s">
        <v>213</v>
      </c>
      <c r="N3" s="69"/>
      <c r="O3" s="70" t="n">
        <f aca="true">IF(C3="","",TODAY()-C3)</f>
        <v>59</v>
      </c>
      <c r="P3" s="71"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Monitor Only</v>
      </c>
      <c r="Q3" s="69"/>
    </row>
    <row r="4" customFormat="false" ht="15" hidden="false" customHeight="true" outlineLevel="0" collapsed="false">
      <c r="A4" s="61" t="s">
        <v>100</v>
      </c>
      <c r="B4" s="62" t="s">
        <v>211</v>
      </c>
      <c r="C4" s="63" t="n">
        <v>46240</v>
      </c>
      <c r="D4" s="62" t="n">
        <v>85</v>
      </c>
      <c r="E4" s="62" t="n">
        <v>4.57</v>
      </c>
      <c r="F4" s="64" t="s">
        <v>212</v>
      </c>
      <c r="G4" s="65" t="n">
        <v>190.51</v>
      </c>
      <c r="H4" s="66" t="str">
        <f aca="false" t="array" ref="H4:H4">IFERROR(INDEX(_xlfn.stockhistory(A4,TODAY()-5,TODAY(),0,0,1),ROWS(_xlfn.stockhistory(A4,TODAY()-5,TODAY(),0,0,1)),1),"")</f>
        <v/>
      </c>
      <c r="I4" s="67" t="str">
        <f aca="false">IF(OR(G4="",H4=""),"",H4/G4-1)</f>
        <v/>
      </c>
      <c r="J4" s="68" t="n">
        <v>46329</v>
      </c>
      <c r="K4" s="62" t="s">
        <v>214</v>
      </c>
      <c r="L4" s="69" t="s">
        <v>215</v>
      </c>
      <c r="M4" s="62" t="s">
        <v>213</v>
      </c>
      <c r="N4" s="69"/>
      <c r="O4" s="70" t="n">
        <f aca="true">IF(C4="","",TODAY()-C4)</f>
        <v>59</v>
      </c>
      <c r="P4" s="71"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69"/>
    </row>
    <row r="5" customFormat="false" ht="15" hidden="false" customHeight="true" outlineLevel="0" collapsed="false">
      <c r="A5" s="61" t="s">
        <v>102</v>
      </c>
      <c r="B5" s="62" t="s">
        <v>211</v>
      </c>
      <c r="C5" s="63" t="n">
        <v>46240</v>
      </c>
      <c r="D5" s="62" t="n">
        <v>73.2</v>
      </c>
      <c r="E5" s="62" t="n">
        <v>3.57</v>
      </c>
      <c r="F5" s="64" t="s">
        <v>216</v>
      </c>
      <c r="G5" s="65" t="n">
        <v>1678.22</v>
      </c>
      <c r="H5" s="66" t="str">
        <f aca="false" t="array" ref="H5:H5">IFERROR(INDEX(_xlfn.stockhistory(A5,TODAY()-5,TODAY(),0,0,1),ROWS(_xlfn.stockhistory(A5,TODAY()-5,TODAY(),0,0,1)),1),"")</f>
        <v/>
      </c>
      <c r="I5" s="67" t="str">
        <f aca="false">IF(OR(G5="",H5=""),"",H5/G5-1)</f>
        <v/>
      </c>
      <c r="J5" s="68" t="n">
        <v>46309</v>
      </c>
      <c r="K5" s="62" t="s">
        <v>213</v>
      </c>
      <c r="L5" s="69"/>
      <c r="M5" s="62" t="s">
        <v>213</v>
      </c>
      <c r="N5" s="69"/>
      <c r="O5" s="70" t="n">
        <f aca="true">IF(C5="","",TODAY()-C5)</f>
        <v>59</v>
      </c>
      <c r="P5" s="71"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69"/>
    </row>
    <row r="6" customFormat="false" ht="15" hidden="false" customHeight="true" outlineLevel="0" collapsed="false">
      <c r="A6" s="61" t="s">
        <v>104</v>
      </c>
      <c r="B6" s="62" t="s">
        <v>211</v>
      </c>
      <c r="C6" s="63" t="n">
        <v>46240</v>
      </c>
      <c r="D6" s="62" t="n">
        <v>70.4</v>
      </c>
      <c r="E6" s="62" t="n">
        <v>4</v>
      </c>
      <c r="F6" s="64" t="s">
        <v>216</v>
      </c>
      <c r="G6" s="65" t="n">
        <v>211.22</v>
      </c>
      <c r="H6" s="66" t="str">
        <f aca="false" t="array" ref="H6:H6">IFERROR(INDEX(_xlfn.stockhistory(A6,TODAY()-5,TODAY(),0,0,1),ROWS(_xlfn.stockhistory(A6,TODAY()-5,TODAY(),0,0,1)),1),"")</f>
        <v/>
      </c>
      <c r="I6" s="67" t="str">
        <f aca="false">IF(OR(G6="",H6=""),"",H6/G6-1)</f>
        <v/>
      </c>
      <c r="J6" s="68" t="n">
        <v>46357</v>
      </c>
      <c r="K6" s="62" t="s">
        <v>214</v>
      </c>
      <c r="L6" s="69" t="s">
        <v>217</v>
      </c>
      <c r="M6" s="62" t="s">
        <v>213</v>
      </c>
      <c r="N6" s="69"/>
      <c r="O6" s="70" t="n">
        <f aca="true">IF(C6="","",TODAY()-C6)</f>
        <v>59</v>
      </c>
      <c r="P6" s="71"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69"/>
    </row>
    <row r="7" customFormat="false" ht="15" hidden="false" customHeight="true" outlineLevel="0" collapsed="false">
      <c r="A7" s="61" t="s">
        <v>106</v>
      </c>
      <c r="B7" s="62" t="s">
        <v>211</v>
      </c>
      <c r="C7" s="63" t="n">
        <v>46240</v>
      </c>
      <c r="D7" s="62" t="n">
        <v>68.6</v>
      </c>
      <c r="E7" s="62" t="n">
        <v>3.43</v>
      </c>
      <c r="F7" s="64" t="s">
        <v>216</v>
      </c>
      <c r="G7" s="65" t="n">
        <v>192.8</v>
      </c>
      <c r="H7" s="66" t="str">
        <f aca="false" t="array" ref="H7:H7">IFERROR(INDEX(_xlfn.stockhistory(A7,TODAY()-5,TODAY(),0,0,1),ROWS(_xlfn.stockhistory(A7,TODAY()-5,TODAY(),0,0,1)),1),"")</f>
        <v/>
      </c>
      <c r="I7" s="67" t="str">
        <f aca="false">IF(OR(G7="",H7=""),"",H7/G7-1)</f>
        <v/>
      </c>
      <c r="J7" s="68" t="n">
        <v>46323</v>
      </c>
      <c r="K7" s="62" t="s">
        <v>214</v>
      </c>
      <c r="L7" s="69" t="s">
        <v>218</v>
      </c>
      <c r="M7" s="62" t="s">
        <v>213</v>
      </c>
      <c r="N7" s="69"/>
      <c r="O7" s="70" t="n">
        <f aca="true">IF(C7="","",TODAY()-C7)</f>
        <v>59</v>
      </c>
      <c r="P7" s="71"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69"/>
    </row>
    <row r="8" customFormat="false" ht="15" hidden="false" customHeight="true" outlineLevel="0" collapsed="false">
      <c r="A8" s="61" t="s">
        <v>108</v>
      </c>
      <c r="B8" s="62" t="s">
        <v>211</v>
      </c>
      <c r="C8" s="63" t="n">
        <v>46240</v>
      </c>
      <c r="D8" s="62" t="n">
        <v>71.8</v>
      </c>
      <c r="E8" s="62" t="n">
        <v>3.64</v>
      </c>
      <c r="F8" s="64" t="s">
        <v>216</v>
      </c>
      <c r="G8" s="65" t="n">
        <v>893.19</v>
      </c>
      <c r="H8" s="66" t="str">
        <f aca="false" t="array" ref="H8:H8">IFERROR(INDEX(_xlfn.stockhistory(A8,TODAY()-5,TODAY(),0,0,1),ROWS(_xlfn.stockhistory(A8,TODAY()-5,TODAY(),0,0,1)),1),"")</f>
        <v/>
      </c>
      <c r="I8" s="67" t="str">
        <f aca="false">IF(OR(G8="",H8=""),"",H8/G8-1)</f>
        <v/>
      </c>
      <c r="J8" s="68" t="n">
        <v>46295</v>
      </c>
      <c r="K8" s="62" t="s">
        <v>214</v>
      </c>
      <c r="L8" s="69" t="s">
        <v>219</v>
      </c>
      <c r="M8" s="62" t="s">
        <v>213</v>
      </c>
      <c r="N8" s="69"/>
      <c r="O8" s="70" t="n">
        <f aca="true">IF(C8="","",TODAY()-C8)</f>
        <v>59</v>
      </c>
      <c r="P8" s="71"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EARNINGS WINDOW</v>
      </c>
      <c r="Q8" s="69"/>
    </row>
    <row r="9" customFormat="false" ht="15" hidden="false" customHeight="true" outlineLevel="0" collapsed="false">
      <c r="A9" s="61" t="s">
        <v>110</v>
      </c>
      <c r="B9" s="62" t="s">
        <v>211</v>
      </c>
      <c r="C9" s="63" t="n">
        <v>46240</v>
      </c>
      <c r="D9" s="62" t="n">
        <v>93.2</v>
      </c>
      <c r="E9" s="62" t="n">
        <v>4.57</v>
      </c>
      <c r="F9" s="64" t="s">
        <v>212</v>
      </c>
      <c r="G9" s="65" t="n">
        <v>211.87</v>
      </c>
      <c r="H9" s="66" t="str">
        <f aca="false" t="array" ref="H9:H9">IFERROR(INDEX(_xlfn.stockhistory(A9,TODAY()-5,TODAY(),0,0,1),ROWS(_xlfn.stockhistory(A9,TODAY()-5,TODAY(),0,0,1)),1),"")</f>
        <v/>
      </c>
      <c r="I9" s="67" t="str">
        <f aca="false">IF(OR(G9="",H9=""),"",H9/G9-1)</f>
        <v/>
      </c>
      <c r="J9" s="68" t="n">
        <v>46343</v>
      </c>
      <c r="K9" s="62" t="s">
        <v>214</v>
      </c>
      <c r="L9" s="69" t="s">
        <v>220</v>
      </c>
      <c r="M9" s="62" t="s">
        <v>213</v>
      </c>
      <c r="N9" s="69"/>
      <c r="O9" s="70" t="n">
        <f aca="true">IF(C9="","",TODAY()-C9)</f>
        <v>59</v>
      </c>
      <c r="P9" s="71"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69"/>
    </row>
    <row r="10" customFormat="false" ht="15" hidden="false" customHeight="true" outlineLevel="0" collapsed="false">
      <c r="A10" s="61" t="s">
        <v>112</v>
      </c>
      <c r="B10" s="62" t="s">
        <v>211</v>
      </c>
      <c r="C10" s="63" t="n">
        <v>46240</v>
      </c>
      <c r="D10" s="62" t="n">
        <v>75.2</v>
      </c>
      <c r="E10" s="62" t="n">
        <v>4</v>
      </c>
      <c r="F10" s="64" t="s">
        <v>216</v>
      </c>
      <c r="G10" s="65" t="n">
        <v>162.66</v>
      </c>
      <c r="H10" s="66" t="str">
        <f aca="false" t="array" ref="H10:H10">IFERROR(INDEX(_xlfn.stockhistory(A10,TODAY()-5,TODAY(),0,0,1),ROWS(_xlfn.stockhistory(A10,TODAY()-5,TODAY(),0,0,1)),1),"")</f>
        <v/>
      </c>
      <c r="I10" s="67" t="str">
        <f aca="false">IF(OR(G10="",H10=""),"",H10/G10-1)</f>
        <v/>
      </c>
      <c r="J10" s="68" t="n">
        <v>46328</v>
      </c>
      <c r="K10" s="62" t="s">
        <v>214</v>
      </c>
      <c r="L10" s="69" t="s">
        <v>221</v>
      </c>
      <c r="M10" s="62" t="s">
        <v>213</v>
      </c>
      <c r="N10" s="69"/>
      <c r="O10" s="70" t="n">
        <f aca="true">IF(C10="","",TODAY()-C10)</f>
        <v>59</v>
      </c>
      <c r="P10" s="71"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69"/>
    </row>
    <row r="11" customFormat="false" ht="15" hidden="false" customHeight="true" outlineLevel="0" collapsed="false">
      <c r="A11" s="61" t="s">
        <v>114</v>
      </c>
      <c r="B11" s="62" t="s">
        <v>211</v>
      </c>
      <c r="C11" s="63" t="n">
        <v>46240</v>
      </c>
      <c r="D11" s="62" t="n">
        <v>81</v>
      </c>
      <c r="E11" s="62" t="n">
        <v>4</v>
      </c>
      <c r="F11" s="64" t="s">
        <v>212</v>
      </c>
      <c r="G11" s="65" t="n">
        <v>414</v>
      </c>
      <c r="H11" s="66" t="str">
        <f aca="false" t="array" ref="H11:H11">IFERROR(INDEX(_xlfn.stockhistory(A11,TODAY()-5,TODAY(),0,0,1),ROWS(_xlfn.stockhistory(A11,TODAY()-5,TODAY(),0,0,1)),1),"")</f>
        <v/>
      </c>
      <c r="I11" s="67" t="str">
        <f aca="false">IF(OR(G11="",H11=""),"",H11/G11-1)</f>
        <v/>
      </c>
      <c r="J11" s="68" t="n">
        <v>46310</v>
      </c>
      <c r="K11" s="62" t="s">
        <v>214</v>
      </c>
      <c r="L11" s="69" t="s">
        <v>222</v>
      </c>
      <c r="M11" s="62" t="s">
        <v>213</v>
      </c>
      <c r="N11" s="69"/>
      <c r="O11" s="70" t="n">
        <f aca="true">IF(C11="","",TODAY()-C11)</f>
        <v>59</v>
      </c>
      <c r="P11" s="71"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69"/>
    </row>
    <row r="12" customFormat="false" ht="15" hidden="false" customHeight="true" outlineLevel="0" collapsed="false">
      <c r="A12" s="61" t="s">
        <v>116</v>
      </c>
      <c r="B12" s="62" t="s">
        <v>211</v>
      </c>
      <c r="C12" s="63" t="n">
        <v>46240</v>
      </c>
      <c r="D12" s="62" t="n">
        <v>82.8</v>
      </c>
      <c r="E12" s="62" t="n">
        <v>4.36</v>
      </c>
      <c r="F12" s="64" t="s">
        <v>212</v>
      </c>
      <c r="G12" s="65" t="n">
        <v>277.94</v>
      </c>
      <c r="H12" s="66" t="str">
        <f aca="false" t="array" ref="H12:H12">IFERROR(INDEX(_xlfn.stockhistory(A12,TODAY()-5,TODAY(),0,0,1),ROWS(_xlfn.stockhistory(A12,TODAY()-5,TODAY(),0,0,1)),1),"")</f>
        <v/>
      </c>
      <c r="I12" s="67" t="str">
        <f aca="false">IF(OR(G12="",H12=""),"",H12/G12-1)</f>
        <v/>
      </c>
      <c r="J12" s="68" t="n">
        <v>46316</v>
      </c>
      <c r="K12" s="62" t="s">
        <v>214</v>
      </c>
      <c r="L12" s="69" t="s">
        <v>223</v>
      </c>
      <c r="M12" s="62" t="s">
        <v>213</v>
      </c>
      <c r="N12" s="69"/>
      <c r="O12" s="70" t="n">
        <f aca="true">IF(C12="","",TODAY()-C12)</f>
        <v>59</v>
      </c>
      <c r="P12" s="71"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DUE — INSIDER ACTIVITY</v>
      </c>
      <c r="Q12" s="69"/>
    </row>
    <row r="13" customFormat="false" ht="15" hidden="false" customHeight="true" outlineLevel="0" collapsed="false">
      <c r="A13" s="61" t="s">
        <v>165</v>
      </c>
      <c r="B13" s="62" t="s">
        <v>211</v>
      </c>
      <c r="C13" s="63" t="n">
        <v>46240</v>
      </c>
      <c r="D13" s="62" t="n">
        <v>80.8</v>
      </c>
      <c r="E13" s="62" t="n">
        <v>4.07</v>
      </c>
      <c r="F13" s="64" t="s">
        <v>212</v>
      </c>
      <c r="G13" s="65" t="n">
        <v>418.16</v>
      </c>
      <c r="H13" s="66" t="str">
        <f aca="false" t="array" ref="H13:H13">IFERROR(INDEX(_xlfn.stockhistory(A13,TODAY()-5,TODAY(),0,0,1),ROWS(_xlfn.stockhistory(A13,TODAY()-5,TODAY(),0,0,1)),1),"")</f>
        <v/>
      </c>
      <c r="I13" s="67" t="str">
        <f aca="false">IF(OR(G13="",H13=""),"",H13/G13-1)</f>
        <v/>
      </c>
      <c r="J13" s="68" t="n">
        <v>46267</v>
      </c>
      <c r="K13" s="62" t="s">
        <v>213</v>
      </c>
      <c r="L13" s="69"/>
      <c r="M13" s="62" t="s">
        <v>213</v>
      </c>
      <c r="N13" s="69"/>
      <c r="O13" s="70" t="n">
        <f aca="true">IF(C13="","",TODAY()-C13)</f>
        <v>59</v>
      </c>
      <c r="P13" s="71"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Monitor Only</v>
      </c>
      <c r="Q13" s="69"/>
    </row>
    <row r="14" customFormat="false" ht="15" hidden="false" customHeight="true" outlineLevel="0" collapsed="false">
      <c r="A14" s="61" t="s">
        <v>170</v>
      </c>
      <c r="B14" s="62" t="s">
        <v>211</v>
      </c>
      <c r="C14" s="63" t="n">
        <v>46240</v>
      </c>
      <c r="D14" s="62" t="n">
        <v>82</v>
      </c>
      <c r="E14" s="62" t="n">
        <v>4.36</v>
      </c>
      <c r="F14" s="64" t="s">
        <v>212</v>
      </c>
      <c r="G14" s="65" t="n">
        <v>139.06</v>
      </c>
      <c r="H14" s="66" t="str">
        <f aca="false" t="array" ref="H14:H14">IFERROR(INDEX(_xlfn.stockhistory(A14,TODAY()-5,TODAY(),0,0,1),ROWS(_xlfn.stockhistory(A14,TODAY()-5,TODAY(),0,0,1)),1),"")</f>
        <v/>
      </c>
      <c r="I14" s="67" t="str">
        <f aca="false">IF(OR(G14="",H14=""),"",H14/G14-1)</f>
        <v/>
      </c>
      <c r="J14" s="68" t="n">
        <v>46310</v>
      </c>
      <c r="K14" s="62" t="s">
        <v>213</v>
      </c>
      <c r="L14" s="69"/>
      <c r="M14" s="62" t="s">
        <v>213</v>
      </c>
      <c r="N14" s="69"/>
      <c r="O14" s="70" t="n">
        <f aca="true">IF(C14="","",TODAY()-C14)</f>
        <v>59</v>
      </c>
      <c r="P14" s="71"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69"/>
    </row>
    <row r="15" customFormat="false" ht="15" hidden="false" customHeight="true" outlineLevel="0" collapsed="false">
      <c r="A15" s="61" t="s">
        <v>167</v>
      </c>
      <c r="B15" s="62" t="s">
        <v>211</v>
      </c>
      <c r="C15" s="63" t="n">
        <v>46241</v>
      </c>
      <c r="D15" s="62" t="n">
        <v>75.6</v>
      </c>
      <c r="E15" s="62" t="n">
        <v>3.79</v>
      </c>
      <c r="F15" s="64" t="s">
        <v>216</v>
      </c>
      <c r="G15" s="65" t="n">
        <v>478.7</v>
      </c>
      <c r="H15" s="66" t="str">
        <f aca="false" t="array" ref="H15:H15">IFERROR(INDEX(_xlfn.stockhistory(A15,TODAY()-5,TODAY(),0,0,1),ROWS(_xlfn.stockhistory(A15,TODAY()-5,TODAY(),0,0,1)),1),"")</f>
        <v/>
      </c>
      <c r="I15" s="67" t="str">
        <f aca="false">IF(OR(G15="",H15=""),"",H15/G15-1)</f>
        <v/>
      </c>
      <c r="J15" s="68" t="n">
        <v>46328</v>
      </c>
      <c r="K15" s="62" t="s">
        <v>213</v>
      </c>
      <c r="L15" s="69"/>
      <c r="M15" s="62" t="s">
        <v>213</v>
      </c>
      <c r="N15" s="69"/>
      <c r="O15" s="70" t="n">
        <f aca="true">IF(C15="","",TODAY()-C15)</f>
        <v>58</v>
      </c>
      <c r="P15" s="71"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69" t="s">
        <v>224</v>
      </c>
    </row>
    <row r="16" customFormat="false" ht="15" hidden="true" customHeight="true" outlineLevel="1" collapsed="false">
      <c r="A16" s="61" t="s">
        <v>225</v>
      </c>
      <c r="B16" s="69" t="s">
        <v>226</v>
      </c>
      <c r="C16" s="63" t="n">
        <v>46246</v>
      </c>
      <c r="D16" s="62"/>
      <c r="E16" s="62" t="n">
        <v>1.36</v>
      </c>
      <c r="F16" s="64"/>
      <c r="G16" s="65" t="n">
        <v>53.52</v>
      </c>
      <c r="H16" s="66" t="str">
        <f aca="false" t="array" ref="H16:H16">IFERROR(INDEX(_xlfn.stockhistory(A16,TODAY()-5,TODAY(),0,0,1),ROWS(_xlfn.stockhistory(A16,TODAY()-5,TODAY(),0,0,1)),1),"")</f>
        <v/>
      </c>
      <c r="I16" s="67" t="str">
        <f aca="false">IF(OR(G16="",H16=""),"",H16/G16-1)</f>
        <v/>
      </c>
      <c r="J16" s="68" t="n">
        <v>46331</v>
      </c>
      <c r="K16" s="62" t="s">
        <v>213</v>
      </c>
      <c r="L16" s="69"/>
      <c r="M16" s="62" t="s">
        <v>213</v>
      </c>
      <c r="N16" s="69"/>
      <c r="O16" s="70" t="n">
        <f aca="true">IF(C16="","",TODAY()-C16)</f>
        <v>53</v>
      </c>
      <c r="P16" s="71"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69"/>
    </row>
    <row r="17" customFormat="false" ht="15" hidden="true" customHeight="true" outlineLevel="1" collapsed="false">
      <c r="A17" s="61" t="s">
        <v>227</v>
      </c>
      <c r="B17" s="69" t="s">
        <v>226</v>
      </c>
      <c r="C17" s="63" t="n">
        <v>46246</v>
      </c>
      <c r="D17" s="62"/>
      <c r="E17" s="62" t="n">
        <v>2.79</v>
      </c>
      <c r="F17" s="64"/>
      <c r="G17" s="65" t="n">
        <v>125.22</v>
      </c>
      <c r="H17" s="66" t="str">
        <f aca="false" t="array" ref="H17:H17">IFERROR(INDEX(_xlfn.stockhistory(A17,TODAY()-5,TODAY(),0,0,1),ROWS(_xlfn.stockhistory(A17,TODAY()-5,TODAY(),0,0,1)),1),"")</f>
        <v/>
      </c>
      <c r="I17" s="67" t="str">
        <f aca="false">IF(OR(G17="",H17=""),"",H17/G17-1)</f>
        <v/>
      </c>
      <c r="J17" s="68" t="n">
        <v>46350</v>
      </c>
      <c r="K17" s="62" t="s">
        <v>214</v>
      </c>
      <c r="L17" s="69" t="s">
        <v>228</v>
      </c>
      <c r="M17" s="62" t="s">
        <v>213</v>
      </c>
      <c r="N17" s="69"/>
      <c r="O17" s="70" t="n">
        <f aca="true">IF(C17="","",TODAY()-C17)</f>
        <v>53</v>
      </c>
      <c r="P17" s="71"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69"/>
    </row>
    <row r="18" customFormat="false" ht="15" hidden="true" customHeight="true" outlineLevel="1" collapsed="false">
      <c r="A18" s="61" t="s">
        <v>229</v>
      </c>
      <c r="B18" s="69" t="s">
        <v>226</v>
      </c>
      <c r="C18" s="63" t="n">
        <v>46245</v>
      </c>
      <c r="D18" s="62"/>
      <c r="E18" s="62" t="n">
        <v>1.79</v>
      </c>
      <c r="F18" s="64"/>
      <c r="G18" s="65" t="n">
        <v>44.84</v>
      </c>
      <c r="H18" s="66" t="str">
        <f aca="false" t="array" ref="H18:H18">IFERROR(INDEX(_xlfn.stockhistory(A18,TODAY()-5,TODAY(),0,0,1),ROWS(_xlfn.stockhistory(A18,TODAY()-5,TODAY(),0,0,1)),1),"")</f>
        <v/>
      </c>
      <c r="I18" s="67" t="str">
        <f aca="false">IF(OR(G18="",H18=""),"",H18/G18-1)</f>
        <v/>
      </c>
      <c r="J18" s="68" t="n">
        <v>46331</v>
      </c>
      <c r="K18" s="62" t="s">
        <v>213</v>
      </c>
      <c r="L18" s="69"/>
      <c r="M18" s="62" t="s">
        <v>213</v>
      </c>
      <c r="N18" s="69"/>
      <c r="O18" s="70" t="n">
        <f aca="true">IF(C18="","",TODAY()-C18)</f>
        <v>54</v>
      </c>
      <c r="P18" s="71"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69"/>
    </row>
    <row r="19" customFormat="false" ht="15" hidden="true" customHeight="true" outlineLevel="1" collapsed="false">
      <c r="A19" s="61" t="s">
        <v>230</v>
      </c>
      <c r="B19" s="69" t="s">
        <v>226</v>
      </c>
      <c r="C19" s="63" t="n">
        <v>46245</v>
      </c>
      <c r="D19" s="62"/>
      <c r="E19" s="62" t="n">
        <v>1.86</v>
      </c>
      <c r="F19" s="64"/>
      <c r="G19" s="65" t="n">
        <v>12.41</v>
      </c>
      <c r="H19" s="66" t="str">
        <f aca="false" t="array" ref="H19:H19">IFERROR(INDEX(_xlfn.stockhistory(A19,TODAY()-5,TODAY(),0,0,1),ROWS(_xlfn.stockhistory(A19,TODAY()-5,TODAY(),0,0,1)),1),"")</f>
        <v/>
      </c>
      <c r="I19" s="67" t="str">
        <f aca="false">IF(OR(G19="",H19=""),"",H19/G19-1)</f>
        <v/>
      </c>
      <c r="J19" s="68" t="n">
        <v>46314</v>
      </c>
      <c r="K19" s="62" t="s">
        <v>213</v>
      </c>
      <c r="L19" s="69"/>
      <c r="M19" s="62" t="s">
        <v>213</v>
      </c>
      <c r="N19" s="69"/>
      <c r="O19" s="70" t="n">
        <f aca="true">IF(C19="","",TODAY()-C19)</f>
        <v>54</v>
      </c>
      <c r="P19" s="71"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69"/>
    </row>
    <row r="20" customFormat="false" ht="15" hidden="false" customHeight="true" outlineLevel="0" collapsed="false">
      <c r="A20" s="61" t="s">
        <v>231</v>
      </c>
      <c r="B20" s="72" t="s">
        <v>232</v>
      </c>
      <c r="C20" s="63" t="n">
        <v>46245</v>
      </c>
      <c r="D20" s="62"/>
      <c r="E20" s="62" t="n">
        <v>3.71</v>
      </c>
      <c r="F20" s="64"/>
      <c r="G20" s="65" t="n">
        <v>32</v>
      </c>
      <c r="H20" s="66" t="str">
        <f aca="false" t="array" ref="H20:H20">IFERROR(INDEX(_xlfn.stockhistory(A20,TODAY()-5,TODAY(),0,0,1),ROWS(_xlfn.stockhistory(A20,TODAY()-5,TODAY(),0,0,1)),1),"")</f>
        <v/>
      </c>
      <c r="I20" s="67" t="str">
        <f aca="false">IF(OR(G20="",H20=""),"",H20/G20-1)</f>
        <v/>
      </c>
      <c r="J20" s="68" t="n">
        <v>46330</v>
      </c>
      <c r="K20" s="62" t="s">
        <v>213</v>
      </c>
      <c r="L20" s="69"/>
      <c r="M20" s="62" t="s">
        <v>213</v>
      </c>
      <c r="N20" s="69"/>
      <c r="O20" s="70" t="n">
        <f aca="true">IF(C20="","",TODAY()-C20)</f>
        <v>54</v>
      </c>
      <c r="P20" s="71"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69"/>
    </row>
    <row r="21" customFormat="false" ht="15" hidden="false" customHeight="true" outlineLevel="0" collapsed="false">
      <c r="A21" s="61" t="s">
        <v>233</v>
      </c>
      <c r="B21" s="72" t="s">
        <v>232</v>
      </c>
      <c r="C21" s="63" t="n">
        <v>46245</v>
      </c>
      <c r="D21" s="62" t="n">
        <v>77.4</v>
      </c>
      <c r="E21" s="62" t="n">
        <v>4.14</v>
      </c>
      <c r="F21" s="64" t="s">
        <v>216</v>
      </c>
      <c r="G21" s="65" t="n">
        <v>944.32</v>
      </c>
      <c r="H21" s="66" t="str">
        <f aca="false" t="array" ref="H21:H21">IFERROR(INDEX(_xlfn.stockhistory(A21,TODAY()-5,TODAY(),0,0,1),ROWS(_xlfn.stockhistory(A21,TODAY()-5,TODAY(),0,0,1)),1),"")</f>
        <v/>
      </c>
      <c r="I21" s="67" t="str">
        <f aca="false">IF(OR(G21="",H21=""),"",H21/G21-1)</f>
        <v/>
      </c>
      <c r="J21" s="68" t="n">
        <v>46289</v>
      </c>
      <c r="K21" s="62" t="s">
        <v>213</v>
      </c>
      <c r="L21" s="69"/>
      <c r="M21" s="62" t="s">
        <v>213</v>
      </c>
      <c r="N21" s="69"/>
      <c r="O21" s="70" t="n">
        <f aca="true">IF(C21="","",TODAY()-C21)</f>
        <v>54</v>
      </c>
      <c r="P21" s="71"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69"/>
    </row>
    <row r="22" customFormat="false" ht="15" hidden="true" customHeight="true" outlineLevel="1" collapsed="false">
      <c r="A22" s="61" t="s">
        <v>234</v>
      </c>
      <c r="B22" s="73" t="s">
        <v>226</v>
      </c>
      <c r="C22" s="63" t="n">
        <v>46245</v>
      </c>
      <c r="D22" s="62"/>
      <c r="E22" s="62" t="n">
        <v>1.21</v>
      </c>
      <c r="F22" s="64"/>
      <c r="G22" s="65" t="n">
        <v>14.39</v>
      </c>
      <c r="H22" s="66" t="str">
        <f aca="false" t="array" ref="H22:H22">IFERROR(INDEX(_xlfn.stockhistory(A22,TODAY()-5,TODAY(),0,0,1),ROWS(_xlfn.stockhistory(A22,TODAY()-5,TODAY(),0,0,1)),1),"")</f>
        <v/>
      </c>
      <c r="I22" s="67" t="str">
        <f aca="false">IF(OR(G22="",H22=""),"",H22/G22-1)</f>
        <v/>
      </c>
      <c r="J22" s="68" t="n">
        <v>46328</v>
      </c>
      <c r="K22" s="62" t="s">
        <v>213</v>
      </c>
      <c r="L22" s="69"/>
      <c r="M22" s="62" t="s">
        <v>213</v>
      </c>
      <c r="N22" s="69"/>
      <c r="O22" s="70" t="n">
        <f aca="true">IF(C22="","",TODAY()-C22)</f>
        <v>54</v>
      </c>
      <c r="P22" s="71"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69"/>
    </row>
    <row r="23" customFormat="false" ht="15" hidden="true" customHeight="true" outlineLevel="1" collapsed="false">
      <c r="A23" s="61" t="s">
        <v>235</v>
      </c>
      <c r="B23" s="73" t="s">
        <v>226</v>
      </c>
      <c r="C23" s="63" t="n">
        <v>46245</v>
      </c>
      <c r="D23" s="62"/>
      <c r="E23" s="62" t="n">
        <v>2.36</v>
      </c>
      <c r="F23" s="64"/>
      <c r="G23" s="65" t="n">
        <v>94.94</v>
      </c>
      <c r="H23" s="66" t="str">
        <f aca="false" t="array" ref="H23:H23">IFERROR(INDEX(_xlfn.stockhistory(A23,TODAY()-5,TODAY(),0,0,1),ROWS(_xlfn.stockhistory(A23,TODAY()-5,TODAY(),0,0,1)),1),"")</f>
        <v/>
      </c>
      <c r="I23" s="67" t="str">
        <f aca="false">IF(OR(G23="",H23=""),"",H23/G23-1)</f>
        <v/>
      </c>
      <c r="J23" s="68" t="n">
        <v>46240</v>
      </c>
      <c r="K23" s="62" t="s">
        <v>213</v>
      </c>
      <c r="L23" s="69"/>
      <c r="M23" s="62" t="s">
        <v>213</v>
      </c>
      <c r="N23" s="69"/>
      <c r="O23" s="70" t="n">
        <f aca="true">IF(C23="","",TODAY()-C23)</f>
        <v>54</v>
      </c>
      <c r="P23" s="71"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69"/>
    </row>
    <row r="24" customFormat="false" ht="15" hidden="true" customHeight="true" outlineLevel="1" collapsed="false">
      <c r="A24" s="61" t="s">
        <v>236</v>
      </c>
      <c r="B24" s="73" t="s">
        <v>226</v>
      </c>
      <c r="C24" s="63" t="n">
        <v>46258</v>
      </c>
      <c r="D24" s="62"/>
      <c r="E24" s="62" t="n">
        <v>2.93</v>
      </c>
      <c r="F24" s="64"/>
      <c r="G24" s="65" t="n">
        <v>110.61</v>
      </c>
      <c r="H24" s="66" t="str">
        <f aca="false" t="array" ref="H24:H24">IFERROR(INDEX(_xlfn.stockhistory(A24,TODAY()-5,TODAY(),0,0,1),ROWS(_xlfn.stockhistory(A24,TODAY()-5,TODAY(),0,0,1)),1),"")</f>
        <v/>
      </c>
      <c r="I24" s="67" t="str">
        <f aca="false">IF(OR(G24="",H24=""),"",H24/G24-1)</f>
        <v/>
      </c>
      <c r="J24" s="68" t="n">
        <v>46338</v>
      </c>
      <c r="K24" s="62" t="s">
        <v>214</v>
      </c>
      <c r="L24" s="69" t="s">
        <v>237</v>
      </c>
      <c r="M24" s="62" t="s">
        <v>213</v>
      </c>
      <c r="N24" s="69"/>
      <c r="O24" s="70" t="n">
        <f aca="true">IF(C24="","",TODAY()-C24)</f>
        <v>41</v>
      </c>
      <c r="P24" s="71"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69"/>
    </row>
    <row r="25" customFormat="false" ht="15" hidden="false" customHeight="true" outlineLevel="0" collapsed="false">
      <c r="A25" s="61" t="s">
        <v>238</v>
      </c>
      <c r="B25" s="72" t="s">
        <v>232</v>
      </c>
      <c r="C25" s="63" t="n">
        <v>46245</v>
      </c>
      <c r="D25" s="62"/>
      <c r="E25" s="62" t="n">
        <v>4.86</v>
      </c>
      <c r="F25" s="64"/>
      <c r="G25" s="65" t="n">
        <v>357.34</v>
      </c>
      <c r="H25" s="66" t="str">
        <f aca="false" t="array" ref="H25:H25">IFERROR(INDEX(_xlfn.stockhistory(A25,TODAY()-5,TODAY(),0,0,1),ROWS(_xlfn.stockhistory(A25,TODAY()-5,TODAY(),0,0,1)),1),"")</f>
        <v/>
      </c>
      <c r="I25" s="67" t="str">
        <f aca="false">IF(OR(G25="",H25=""),"",H25/G25-1)</f>
        <v/>
      </c>
      <c r="J25" s="68" t="n">
        <v>46308</v>
      </c>
      <c r="K25" s="62" t="s">
        <v>213</v>
      </c>
      <c r="L25" s="69"/>
      <c r="M25" s="62" t="s">
        <v>213</v>
      </c>
      <c r="N25" s="69"/>
      <c r="O25" s="70" t="n">
        <f aca="true">IF(C25="","",TODAY()-C25)</f>
        <v>54</v>
      </c>
      <c r="P25" s="71"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69"/>
    </row>
    <row r="26" customFormat="false" ht="15" hidden="true" customHeight="true" outlineLevel="1" collapsed="false">
      <c r="A26" s="61" t="s">
        <v>239</v>
      </c>
      <c r="B26" s="73" t="s">
        <v>226</v>
      </c>
      <c r="C26" s="63" t="n">
        <v>46245</v>
      </c>
      <c r="D26" s="62"/>
      <c r="E26" s="62" t="n">
        <v>2.14</v>
      </c>
      <c r="F26" s="64"/>
      <c r="G26" s="65" t="n">
        <v>87.78</v>
      </c>
      <c r="H26" s="66" t="str">
        <f aca="false" t="array" ref="H26:H26">IFERROR(INDEX(_xlfn.stockhistory(A26,TODAY()-5,TODAY(),0,0,1),ROWS(_xlfn.stockhistory(A26,TODAY()-5,TODAY(),0,0,1)),1),"")</f>
        <v/>
      </c>
      <c r="I26" s="67" t="str">
        <f aca="false">IF(OR(G26="",H26=""),"",H26/G26-1)</f>
        <v/>
      </c>
      <c r="J26" s="68" t="n">
        <v>46328</v>
      </c>
      <c r="K26" s="62" t="s">
        <v>214</v>
      </c>
      <c r="L26" s="69" t="s">
        <v>240</v>
      </c>
      <c r="M26" s="62" t="s">
        <v>213</v>
      </c>
      <c r="N26" s="69"/>
      <c r="O26" s="70" t="n">
        <f aca="true">IF(C26="","",TODAY()-C26)</f>
        <v>54</v>
      </c>
      <c r="P26" s="71"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69"/>
    </row>
    <row r="27" customFormat="false" ht="15" hidden="false" customHeight="true" outlineLevel="0" collapsed="false">
      <c r="A27" s="61" t="s">
        <v>241</v>
      </c>
      <c r="B27" s="72" t="s">
        <v>232</v>
      </c>
      <c r="C27" s="63" t="n">
        <v>46276</v>
      </c>
      <c r="D27" s="62"/>
      <c r="E27" s="62" t="n">
        <v>3.07</v>
      </c>
      <c r="F27" s="64"/>
      <c r="G27" s="65" t="n">
        <v>20.78</v>
      </c>
      <c r="H27" s="66" t="str">
        <f aca="false" t="array" ref="H27:H27">IFERROR(INDEX(_xlfn.stockhistory(A27,TODAY()-5,TODAY(),0,0,1),ROWS(_xlfn.stockhistory(A27,TODAY()-5,TODAY(),0,0,1)),1),"")</f>
        <v/>
      </c>
      <c r="I27" s="67" t="str">
        <f aca="false">IF(OR(G27="",H27=""),"",H27/G27-1)</f>
        <v/>
      </c>
      <c r="J27" s="68" t="n">
        <v>46330</v>
      </c>
      <c r="K27" s="62" t="s">
        <v>214</v>
      </c>
      <c r="L27" s="69" t="s">
        <v>242</v>
      </c>
      <c r="M27" s="62" t="s">
        <v>213</v>
      </c>
      <c r="N27" s="69"/>
      <c r="O27" s="70" t="n">
        <f aca="true">IF(C27="","",TODAY()-C27)</f>
        <v>23</v>
      </c>
      <c r="P27" s="71"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69"/>
    </row>
    <row r="28" customFormat="false" ht="15" hidden="false" customHeight="true" outlineLevel="0" collapsed="false">
      <c r="A28" s="61" t="s">
        <v>243</v>
      </c>
      <c r="B28" s="72" t="s">
        <v>232</v>
      </c>
      <c r="C28" s="63" t="n">
        <v>46247</v>
      </c>
      <c r="D28" s="62"/>
      <c r="E28" s="62" t="n">
        <v>3.5</v>
      </c>
      <c r="F28" s="64"/>
      <c r="G28" s="65" t="n">
        <v>453.33</v>
      </c>
      <c r="H28" s="66" t="str">
        <f aca="false" t="array" ref="H28:H28">IFERROR(INDEX(_xlfn.stockhistory(A28,TODAY()-5,TODAY(),0,0,1),ROWS(_xlfn.stockhistory(A28,TODAY()-5,TODAY(),0,0,1)),1),"")</f>
        <v/>
      </c>
      <c r="I28" s="67" t="str">
        <f aca="false">IF(OR(G28="",H28=""),"",H28/G28-1)</f>
        <v/>
      </c>
      <c r="J28" s="68" t="n">
        <v>46329</v>
      </c>
      <c r="K28" s="62" t="s">
        <v>214</v>
      </c>
      <c r="L28" s="69" t="s">
        <v>244</v>
      </c>
      <c r="M28" s="62" t="s">
        <v>213</v>
      </c>
      <c r="N28" s="69"/>
      <c r="O28" s="70" t="n">
        <f aca="true">IF(C28="","",TODAY()-C28)</f>
        <v>52</v>
      </c>
      <c r="P28" s="71"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69"/>
    </row>
    <row r="29" customFormat="false" ht="15" hidden="false" customHeight="true" outlineLevel="0" collapsed="false">
      <c r="A29" s="61" t="s">
        <v>245</v>
      </c>
      <c r="B29" s="72" t="s">
        <v>232</v>
      </c>
      <c r="C29" s="63" t="n">
        <v>46246</v>
      </c>
      <c r="D29" s="62"/>
      <c r="E29" s="62" t="n">
        <v>3.43</v>
      </c>
      <c r="F29" s="64"/>
      <c r="G29" s="65" t="n">
        <v>79.63</v>
      </c>
      <c r="H29" s="66" t="str">
        <f aca="false" t="array" ref="H29:H29">IFERROR(INDEX(_xlfn.stockhistory(A29,TODAY()-5,TODAY(),0,0,1),ROWS(_xlfn.stockhistory(A29,TODAY()-5,TODAY(),0,0,1)),1),"")</f>
        <v/>
      </c>
      <c r="I29" s="67" t="str">
        <f aca="false">IF(OR(G29="",H29=""),"",H29/G29-1)</f>
        <v/>
      </c>
      <c r="J29" s="68" t="n">
        <v>46330</v>
      </c>
      <c r="K29" s="62" t="s">
        <v>214</v>
      </c>
      <c r="L29" s="69" t="s">
        <v>246</v>
      </c>
      <c r="M29" s="62" t="s">
        <v>213</v>
      </c>
      <c r="N29" s="69"/>
      <c r="O29" s="70" t="n">
        <f aca="true">IF(C29="","",TODAY()-C29)</f>
        <v>53</v>
      </c>
      <c r="P29" s="71"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69"/>
    </row>
    <row r="30" customFormat="false" ht="15" hidden="false" customHeight="true" outlineLevel="0" collapsed="false">
      <c r="A30" s="61" t="s">
        <v>140</v>
      </c>
      <c r="B30" s="72" t="s">
        <v>211</v>
      </c>
      <c r="C30" s="63" t="n">
        <v>46247</v>
      </c>
      <c r="D30" s="62"/>
      <c r="E30" s="62" t="n">
        <v>3.86</v>
      </c>
      <c r="F30" s="64"/>
      <c r="G30" s="65" t="n">
        <v>360.64</v>
      </c>
      <c r="H30" s="66" t="str">
        <f aca="false" t="array" ref="H30:H30">IFERROR(INDEX(_xlfn.stockhistory(A30,TODAY()-5,TODAY(),0,0,1),ROWS(_xlfn.stockhistory(A30,TODAY()-5,TODAY(),0,0,1)),1),"")</f>
        <v/>
      </c>
      <c r="I30" s="67" t="str">
        <f aca="false">IF(OR(G30="",H30=""),"",H30/G30-1)</f>
        <v/>
      </c>
      <c r="J30" s="68" t="n">
        <v>46315</v>
      </c>
      <c r="K30" s="62" t="s">
        <v>214</v>
      </c>
      <c r="L30" s="69" t="s">
        <v>247</v>
      </c>
      <c r="M30" s="62" t="s">
        <v>213</v>
      </c>
      <c r="N30" s="69"/>
      <c r="O30" s="70" t="n">
        <f aca="true">IF(C30="","",TODAY()-C30)</f>
        <v>52</v>
      </c>
      <c r="P30" s="71"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69"/>
    </row>
    <row r="31" customFormat="false" ht="15" hidden="true" customHeight="true" outlineLevel="1" collapsed="false">
      <c r="A31" s="61" t="s">
        <v>248</v>
      </c>
      <c r="B31" s="73" t="s">
        <v>226</v>
      </c>
      <c r="C31" s="63" t="n">
        <v>46246</v>
      </c>
      <c r="D31" s="62"/>
      <c r="E31" s="62" t="n">
        <v>2.5</v>
      </c>
      <c r="F31" s="64"/>
      <c r="G31" s="65" t="n">
        <v>8.64</v>
      </c>
      <c r="H31" s="66" t="str">
        <f aca="false" t="array" ref="H31:H31">IFERROR(INDEX(_xlfn.stockhistory(A31,TODAY()-5,TODAY(),0,0,1),ROWS(_xlfn.stockhistory(A31,TODAY()-5,TODAY(),0,0,1)),1),"")</f>
        <v/>
      </c>
      <c r="I31" s="67" t="str">
        <f aca="false">IF(OR(G31="",H31=""),"",H31/G31-1)</f>
        <v/>
      </c>
      <c r="J31" s="68" t="n">
        <v>46331</v>
      </c>
      <c r="K31" s="62" t="s">
        <v>213</v>
      </c>
      <c r="L31" s="69"/>
      <c r="M31" s="62"/>
      <c r="N31" s="69"/>
      <c r="O31" s="70" t="n">
        <f aca="true">IF(C31="","",TODAY()-C31)</f>
        <v>53</v>
      </c>
      <c r="P31" s="71"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69"/>
    </row>
    <row r="32" customFormat="false" ht="15" hidden="true" customHeight="true" outlineLevel="1" collapsed="false">
      <c r="A32" s="61" t="s">
        <v>249</v>
      </c>
      <c r="B32" s="73" t="s">
        <v>226</v>
      </c>
      <c r="C32" s="63" t="n">
        <v>46245</v>
      </c>
      <c r="D32" s="62"/>
      <c r="E32" s="62" t="n">
        <v>1.93</v>
      </c>
      <c r="F32" s="64"/>
      <c r="G32" s="65" t="n">
        <v>24.3</v>
      </c>
      <c r="H32" s="66" t="str">
        <f aca="false" t="array" ref="H32:H32">IFERROR(INDEX(_xlfn.stockhistory(A32,TODAY()-5,TODAY(),0,0,1),ROWS(_xlfn.stockhistory(A32,TODAY()-5,TODAY(),0,0,1)),1),"")</f>
        <v/>
      </c>
      <c r="I32" s="67" t="str">
        <f aca="false">IF(OR(G32="",H32=""),"",H32/G32-1)</f>
        <v/>
      </c>
      <c r="J32" s="68" t="n">
        <v>46261</v>
      </c>
      <c r="K32" s="62" t="s">
        <v>213</v>
      </c>
      <c r="L32" s="69"/>
      <c r="M32" s="62" t="s">
        <v>213</v>
      </c>
      <c r="N32" s="69"/>
      <c r="O32" s="70" t="n">
        <f aca="true">IF(C32="","",TODAY()-C32)</f>
        <v>54</v>
      </c>
      <c r="P32" s="71"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69"/>
    </row>
    <row r="33" customFormat="false" ht="15" hidden="true" customHeight="true" outlineLevel="1" collapsed="false">
      <c r="A33" s="61" t="s">
        <v>250</v>
      </c>
      <c r="B33" s="73" t="s">
        <v>226</v>
      </c>
      <c r="C33" s="63" t="n">
        <v>46245</v>
      </c>
      <c r="D33" s="62"/>
      <c r="E33" s="62" t="n">
        <v>2.07</v>
      </c>
      <c r="F33" s="64"/>
      <c r="G33" s="65" t="n">
        <v>21.48</v>
      </c>
      <c r="H33" s="66" t="str">
        <f aca="false" t="array" ref="H33:H33">IFERROR(INDEX(_xlfn.stockhistory(A33,TODAY()-5,TODAY(),0,0,1),ROWS(_xlfn.stockhistory(A33,TODAY()-5,TODAY(),0,0,1)),1),"")</f>
        <v/>
      </c>
      <c r="I33" s="67" t="str">
        <f aca="false">IF(OR(G33="",H33=""),"",H33/G33-1)</f>
        <v/>
      </c>
      <c r="J33" s="68" t="n">
        <v>46309</v>
      </c>
      <c r="K33" s="62" t="s">
        <v>214</v>
      </c>
      <c r="L33" s="69" t="s">
        <v>251</v>
      </c>
      <c r="M33" s="62" t="s">
        <v>213</v>
      </c>
      <c r="N33" s="69"/>
      <c r="O33" s="70" t="n">
        <f aca="true">IF(C33="","",TODAY()-C33)</f>
        <v>54</v>
      </c>
      <c r="P33" s="71"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69"/>
    </row>
    <row r="34" customFormat="false" ht="15" hidden="false" customHeight="true" outlineLevel="0" collapsed="false">
      <c r="A34" s="61" t="s">
        <v>252</v>
      </c>
      <c r="B34" s="72" t="s">
        <v>232</v>
      </c>
      <c r="C34" s="63" t="n">
        <v>46245</v>
      </c>
      <c r="D34" s="62"/>
      <c r="E34" s="62" t="n">
        <v>4.5</v>
      </c>
      <c r="F34" s="64"/>
      <c r="G34" s="65" t="n">
        <v>490.53</v>
      </c>
      <c r="H34" s="66" t="str">
        <f aca="false" t="array" ref="H34:H34">IFERROR(INDEX(_xlfn.stockhistory(A34,TODAY()-5,TODAY(),0,0,1),ROWS(_xlfn.stockhistory(A34,TODAY()-5,TODAY(),0,0,1)),1),"")</f>
        <v/>
      </c>
      <c r="I34" s="67" t="str">
        <f aca="false">IF(OR(G34="",H34=""),"",H34/G34-1)</f>
        <v/>
      </c>
      <c r="J34" s="68" t="n">
        <v>46325</v>
      </c>
      <c r="K34" s="62" t="s">
        <v>214</v>
      </c>
      <c r="L34" s="69" t="s">
        <v>253</v>
      </c>
      <c r="M34" s="62" t="s">
        <v>213</v>
      </c>
      <c r="N34" s="69"/>
      <c r="O34" s="70" t="n">
        <f aca="true">IF(C34="","",TODAY()-C34)</f>
        <v>54</v>
      </c>
      <c r="P34" s="71"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69"/>
    </row>
    <row r="35" customFormat="false" ht="15" hidden="true" customHeight="true" outlineLevel="1" collapsed="false">
      <c r="A35" s="61" t="s">
        <v>254</v>
      </c>
      <c r="B35" s="73" t="s">
        <v>226</v>
      </c>
      <c r="C35" s="63" t="n">
        <v>46245</v>
      </c>
      <c r="D35" s="62"/>
      <c r="E35" s="62" t="n">
        <v>2.5</v>
      </c>
      <c r="F35" s="64"/>
      <c r="G35" s="65" t="n">
        <v>85.74</v>
      </c>
      <c r="H35" s="66" t="str">
        <f aca="false" t="array" ref="H35:H35">IFERROR(INDEX(_xlfn.stockhistory(A35,TODAY()-5,TODAY(),0,0,1),ROWS(_xlfn.stockhistory(A35,TODAY()-5,TODAY(),0,0,1)),1),"")</f>
        <v/>
      </c>
      <c r="I35" s="67" t="str">
        <f aca="false">IF(OR(G35="",H35=""),"",H35/G35-1)</f>
        <v/>
      </c>
      <c r="J35" s="68" t="n">
        <v>46322</v>
      </c>
      <c r="K35" s="62" t="s">
        <v>213</v>
      </c>
      <c r="L35" s="69"/>
      <c r="M35" s="62" t="s">
        <v>213</v>
      </c>
      <c r="N35" s="69"/>
      <c r="O35" s="70" t="n">
        <f aca="true">IF(C35="","",TODAY()-C35)</f>
        <v>54</v>
      </c>
      <c r="P35" s="71"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69"/>
    </row>
    <row r="36" customFormat="false" ht="15" hidden="false" customHeight="true" outlineLevel="0" collapsed="false">
      <c r="A36" s="61" t="s">
        <v>143</v>
      </c>
      <c r="B36" s="72" t="s">
        <v>211</v>
      </c>
      <c r="C36" s="63" t="n">
        <v>46258</v>
      </c>
      <c r="D36" s="62"/>
      <c r="E36" s="62" t="n">
        <v>4.21</v>
      </c>
      <c r="F36" s="64"/>
      <c r="G36" s="65" t="n">
        <v>80.01</v>
      </c>
      <c r="H36" s="66" t="str">
        <f aca="false" t="array" ref="H36:H36">IFERROR(INDEX(_xlfn.stockhistory(A36,TODAY()-5,TODAY(),0,0,1),ROWS(_xlfn.stockhistory(A36,TODAY()-5,TODAY(),0,0,1)),1),"")</f>
        <v/>
      </c>
      <c r="I36" s="67" t="str">
        <f aca="false">IF(OR(G36="",H36=""),"",H36/G36-1)</f>
        <v/>
      </c>
      <c r="J36" s="68" t="n">
        <v>46315</v>
      </c>
      <c r="K36" s="62" t="s">
        <v>214</v>
      </c>
      <c r="L36" s="69" t="s">
        <v>255</v>
      </c>
      <c r="M36" s="62" t="s">
        <v>213</v>
      </c>
      <c r="N36" s="69"/>
      <c r="O36" s="70" t="n">
        <f aca="true">IF(C36="","",TODAY()-C36)</f>
        <v>41</v>
      </c>
      <c r="P36" s="71"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69"/>
    </row>
    <row r="37" customFormat="false" ht="15" hidden="true" customHeight="true" outlineLevel="1" collapsed="false">
      <c r="A37" s="61" t="s">
        <v>256</v>
      </c>
      <c r="B37" s="73" t="s">
        <v>226</v>
      </c>
      <c r="C37" s="63" t="n">
        <v>46246</v>
      </c>
      <c r="D37" s="62"/>
      <c r="E37" s="62" t="n">
        <v>1.57</v>
      </c>
      <c r="F37" s="64"/>
      <c r="G37" s="65" t="n">
        <v>40.51</v>
      </c>
      <c r="H37" s="66" t="str">
        <f aca="false" t="array" ref="H37:H37">IFERROR(INDEX(_xlfn.stockhistory(A37,TODAY()-5,TODAY(),0,0,1),ROWS(_xlfn.stockhistory(A37,TODAY()-5,TODAY(),0,0,1)),1),"")</f>
        <v/>
      </c>
      <c r="I37" s="67" t="str">
        <f aca="false">IF(OR(G37="",H37=""),"",H37/G37-1)</f>
        <v/>
      </c>
      <c r="J37" s="68" t="n">
        <v>46294</v>
      </c>
      <c r="K37" s="62" t="s">
        <v>214</v>
      </c>
      <c r="L37" s="69" t="s">
        <v>257</v>
      </c>
      <c r="M37" s="62" t="s">
        <v>214</v>
      </c>
      <c r="N37" s="69" t="s">
        <v>258</v>
      </c>
      <c r="O37" s="70" t="n">
        <f aca="true">IF(C37="","",TODAY()-C37)</f>
        <v>53</v>
      </c>
      <c r="P37" s="71"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EARNINGS WINDOW</v>
      </c>
      <c r="Q37" s="69"/>
    </row>
    <row r="38" customFormat="false" ht="15" hidden="true" customHeight="true" outlineLevel="1" collapsed="false">
      <c r="A38" s="61" t="s">
        <v>259</v>
      </c>
      <c r="B38" s="73" t="s">
        <v>226</v>
      </c>
      <c r="C38" s="63" t="n">
        <v>46245</v>
      </c>
      <c r="D38" s="62"/>
      <c r="E38" s="62" t="n">
        <v>2.64</v>
      </c>
      <c r="F38" s="64"/>
      <c r="G38" s="65" t="n">
        <v>21.02</v>
      </c>
      <c r="H38" s="66" t="str">
        <f aca="false" t="array" ref="H38:H38">IFERROR(INDEX(_xlfn.stockhistory(A38,TODAY()-5,TODAY(),0,0,1),ROWS(_xlfn.stockhistory(A38,TODAY()-5,TODAY(),0,0,1)),1),"")</f>
        <v/>
      </c>
      <c r="I38" s="67" t="str">
        <f aca="false">IF(OR(G38="",H38=""),"",H38/G38-1)</f>
        <v/>
      </c>
      <c r="J38" s="68" t="n">
        <v>46321</v>
      </c>
      <c r="K38" s="62" t="s">
        <v>214</v>
      </c>
      <c r="L38" s="69" t="s">
        <v>260</v>
      </c>
      <c r="M38" s="62" t="s">
        <v>214</v>
      </c>
      <c r="N38" s="69" t="s">
        <v>261</v>
      </c>
      <c r="O38" s="70" t="n">
        <f aca="true">IF(C38="","",TODAY()-C38)</f>
        <v>54</v>
      </c>
      <c r="P38" s="71"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69"/>
    </row>
    <row r="39" customFormat="false" ht="15" hidden="true" customHeight="true" outlineLevel="1" collapsed="false">
      <c r="A39" s="61" t="s">
        <v>184</v>
      </c>
      <c r="B39" s="73" t="s">
        <v>226</v>
      </c>
      <c r="C39" s="63" t="n">
        <v>46240</v>
      </c>
      <c r="D39" s="62"/>
      <c r="E39" s="62" t="n">
        <v>2.64</v>
      </c>
      <c r="F39" s="64"/>
      <c r="G39" s="65" t="n">
        <v>37.34</v>
      </c>
      <c r="H39" s="66" t="str">
        <f aca="false" t="array" ref="H39:H39">IFERROR(INDEX(_xlfn.stockhistory(A39,TODAY()-5,TODAY(),0,0,1),ROWS(_xlfn.stockhistory(A39,TODAY()-5,TODAY(),0,0,1)),1),"")</f>
        <v/>
      </c>
      <c r="I39" s="67" t="str">
        <f aca="false">IF(OR(G39="",H39=""),"",H39/G39-1)</f>
        <v/>
      </c>
      <c r="J39" s="68" t="n">
        <v>46337</v>
      </c>
      <c r="K39" s="62" t="s">
        <v>214</v>
      </c>
      <c r="L39" s="69" t="s">
        <v>262</v>
      </c>
      <c r="M39" s="62" t="s">
        <v>213</v>
      </c>
      <c r="N39" s="69"/>
      <c r="O39" s="70" t="n">
        <f aca="true">IF(C39="","",TODAY()-C39)</f>
        <v>59</v>
      </c>
      <c r="P39" s="71"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69"/>
    </row>
    <row r="40" customFormat="false" ht="15" hidden="false" customHeight="true" outlineLevel="0" collapsed="false">
      <c r="A40" s="61" t="s">
        <v>263</v>
      </c>
      <c r="B40" s="72" t="s">
        <v>232</v>
      </c>
      <c r="C40" s="63" t="n">
        <v>46245</v>
      </c>
      <c r="D40" s="62"/>
      <c r="E40" s="62" t="n">
        <v>4.21</v>
      </c>
      <c r="F40" s="64"/>
      <c r="G40" s="65" t="n">
        <v>145.21</v>
      </c>
      <c r="H40" s="66" t="str">
        <f aca="false" t="array" ref="H40:H40">IFERROR(INDEX(_xlfn.stockhistory(A40,TODAY()-5,TODAY(),0,0,1),ROWS(_xlfn.stockhistory(A40,TODAY()-5,TODAY(),0,0,1)),1),"")</f>
        <v/>
      </c>
      <c r="I40" s="67" t="str">
        <f aca="false">IF(OR(G40="",H40=""),"",H40/G40-1)</f>
        <v/>
      </c>
      <c r="J40" s="68" t="n">
        <v>46317</v>
      </c>
      <c r="K40" s="62" t="s">
        <v>214</v>
      </c>
      <c r="L40" s="69" t="s">
        <v>264</v>
      </c>
      <c r="M40" s="62" t="s">
        <v>213</v>
      </c>
      <c r="N40" s="69"/>
      <c r="O40" s="70" t="n">
        <f aca="true">IF(C40="","",TODAY()-C40)</f>
        <v>54</v>
      </c>
      <c r="P40" s="71"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69"/>
    </row>
    <row r="41" customFormat="false" ht="15" hidden="false" customHeight="true" outlineLevel="0" collapsed="false">
      <c r="A41" s="61" t="s">
        <v>265</v>
      </c>
      <c r="B41" s="72" t="s">
        <v>232</v>
      </c>
      <c r="C41" s="63" t="n">
        <v>46247</v>
      </c>
      <c r="D41" s="62"/>
      <c r="E41" s="62" t="n">
        <v>3.29</v>
      </c>
      <c r="F41" s="64"/>
      <c r="G41" s="65" t="n">
        <v>1058.87</v>
      </c>
      <c r="H41" s="66" t="str">
        <f aca="false" t="array" ref="H41:H41">IFERROR(INDEX(_xlfn.stockhistory(A41,TODAY()-5,TODAY(),0,0,1),ROWS(_xlfn.stockhistory(A41,TODAY()-5,TODAY(),0,0,1)),1),"")</f>
        <v/>
      </c>
      <c r="I41" s="67" t="str">
        <f aca="false">IF(OR(G41="",H41=""),"",H41/G41-1)</f>
        <v/>
      </c>
      <c r="J41" s="68" t="n">
        <v>46331</v>
      </c>
      <c r="K41" s="62" t="s">
        <v>214</v>
      </c>
      <c r="L41" s="69" t="s">
        <v>266</v>
      </c>
      <c r="M41" s="62" t="s">
        <v>213</v>
      </c>
      <c r="N41" s="69"/>
      <c r="O41" s="70" t="n">
        <f aca="true">IF(C41="","",TODAY()-C41)</f>
        <v>52</v>
      </c>
      <c r="P41" s="71"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69"/>
    </row>
    <row r="42" customFormat="false" ht="15" hidden="true" customHeight="true" outlineLevel="1" collapsed="false">
      <c r="A42" s="61" t="s">
        <v>267</v>
      </c>
      <c r="B42" s="69" t="s">
        <v>226</v>
      </c>
      <c r="C42" s="63" t="n">
        <v>46245</v>
      </c>
      <c r="D42" s="62"/>
      <c r="E42" s="62" t="n">
        <v>1.36</v>
      </c>
      <c r="F42" s="64"/>
      <c r="G42" s="65" t="n">
        <v>24.32</v>
      </c>
      <c r="H42" s="66" t="str">
        <f aca="false" t="array" ref="H42:H42">IFERROR(INDEX(_xlfn.stockhistory(A42,TODAY()-5,TODAY(),0,0,1),ROWS(_xlfn.stockhistory(A42,TODAY()-5,TODAY(),0,0,1)),1),"")</f>
        <v/>
      </c>
      <c r="I42" s="67" t="str">
        <f aca="false">IF(OR(G42="",H42=""),"",H42/G42-1)</f>
        <v/>
      </c>
      <c r="J42" s="68" t="n">
        <v>46331</v>
      </c>
      <c r="K42" s="62" t="s">
        <v>213</v>
      </c>
      <c r="L42" s="69"/>
      <c r="M42" s="62" t="s">
        <v>214</v>
      </c>
      <c r="N42" s="69" t="s">
        <v>268</v>
      </c>
      <c r="O42" s="70" t="n">
        <f aca="true">IF(C42="","",TODAY()-C42)</f>
        <v>54</v>
      </c>
      <c r="P42" s="71"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69"/>
    </row>
    <row r="43" customFormat="false" ht="15" hidden="true" customHeight="true" outlineLevel="1" collapsed="false">
      <c r="A43" s="74" t="s">
        <v>173</v>
      </c>
      <c r="B43" s="75" t="s">
        <v>226</v>
      </c>
      <c r="C43" s="76" t="n">
        <v>46240</v>
      </c>
      <c r="D43" s="77"/>
      <c r="E43" s="77" t="n">
        <v>1.86</v>
      </c>
      <c r="F43" s="64"/>
      <c r="G43" s="78" t="n">
        <v>87.2</v>
      </c>
      <c r="H43" s="79" t="str">
        <f aca="false" t="array" ref="H43:H43">IFERROR(INDEX(_xlfn.stockhistory(A43,TODAY()-5,TODAY(),0,0,1),ROWS(_xlfn.stockhistory(A43,TODAY()-5,TODAY(),0,0,1)),1),"")</f>
        <v/>
      </c>
      <c r="I43" s="19" t="str">
        <f aca="false">IF(OR(G43="",H43=""),"",H43/G43-1)</f>
        <v/>
      </c>
      <c r="J43" s="80" t="n">
        <v>46323</v>
      </c>
      <c r="K43" s="77" t="s">
        <v>214</v>
      </c>
      <c r="L43" s="75" t="s">
        <v>269</v>
      </c>
      <c r="M43" s="77" t="s">
        <v>213</v>
      </c>
      <c r="N43" s="75"/>
      <c r="O43" s="81" t="n">
        <f aca="true">IF(C43="","",TODAY()-C43)</f>
        <v>59</v>
      </c>
      <c r="P43" s="15"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75"/>
    </row>
    <row r="44" customFormat="false" ht="15" hidden="true" customHeight="true" outlineLevel="1" collapsed="false">
      <c r="A44" s="74" t="s">
        <v>176</v>
      </c>
      <c r="B44" s="75" t="s">
        <v>226</v>
      </c>
      <c r="C44" s="76" t="n">
        <v>46240</v>
      </c>
      <c r="D44" s="77"/>
      <c r="E44" s="77" t="n">
        <v>1.93</v>
      </c>
      <c r="F44" s="64"/>
      <c r="G44" s="78" t="n">
        <v>319.53</v>
      </c>
      <c r="H44" s="79" t="str">
        <f aca="false" t="array" ref="H44:H44">IFERROR(INDEX(_xlfn.stockhistory(A44,TODAY()-5,TODAY(),0,0,1),ROWS(_xlfn.stockhistory(A44,TODAY()-5,TODAY(),0,0,1)),1),"")</f>
        <v/>
      </c>
      <c r="I44" s="19" t="str">
        <f aca="false">IF(OR(G44="",H44=""),"",H44/G44-1)</f>
        <v/>
      </c>
      <c r="J44" s="80" t="n">
        <v>46316</v>
      </c>
      <c r="K44" s="77" t="s">
        <v>213</v>
      </c>
      <c r="L44" s="75"/>
      <c r="M44" s="77" t="s">
        <v>213</v>
      </c>
      <c r="N44" s="75"/>
      <c r="O44" s="81" t="n">
        <f aca="true">IF(C44="","",TODAY()-C44)</f>
        <v>59</v>
      </c>
      <c r="P44" s="15"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75"/>
    </row>
    <row r="45" customFormat="false" ht="15" hidden="false" customHeight="true" outlineLevel="0" collapsed="false">
      <c r="A45" s="74" t="s">
        <v>118</v>
      </c>
      <c r="B45" s="77" t="s">
        <v>211</v>
      </c>
      <c r="C45" s="76" t="n">
        <v>46245</v>
      </c>
      <c r="D45" s="77" t="n">
        <v>86.4</v>
      </c>
      <c r="E45" s="77" t="n">
        <v>4.57</v>
      </c>
      <c r="F45" s="64" t="s">
        <v>212</v>
      </c>
      <c r="G45" s="78" t="n">
        <v>362.82</v>
      </c>
      <c r="H45" s="79" t="str">
        <f aca="false" t="array" ref="H45:H45">IFERROR(INDEX(_xlfn.stockhistory(A45,TODAY()-5,TODAY(),0,0,1),ROWS(_xlfn.stockhistory(A45,TODAY()-5,TODAY(),0,0,1)),1),"")</f>
        <v/>
      </c>
      <c r="I45" s="19" t="str">
        <f aca="false">IF(OR(G45="",H45=""),"",H45/G45-1)</f>
        <v/>
      </c>
      <c r="J45" s="80" t="n">
        <v>46322</v>
      </c>
      <c r="K45" s="77" t="s">
        <v>214</v>
      </c>
      <c r="L45" s="75" t="s">
        <v>270</v>
      </c>
      <c r="M45" s="77" t="s">
        <v>213</v>
      </c>
      <c r="N45" s="75"/>
      <c r="O45" s="81" t="n">
        <f aca="true">IF(C45="","",TODAY()-C45)</f>
        <v>54</v>
      </c>
      <c r="P45" s="15"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75"/>
    </row>
    <row r="46" customFormat="false" ht="15" hidden="true" customHeight="true" outlineLevel="1" collapsed="false">
      <c r="A46" s="74" t="s">
        <v>271</v>
      </c>
      <c r="B46" s="75" t="s">
        <v>226</v>
      </c>
      <c r="C46" s="76" t="n">
        <v>46246</v>
      </c>
      <c r="D46" s="77"/>
      <c r="E46" s="77" t="n">
        <v>2.86</v>
      </c>
      <c r="F46" s="64"/>
      <c r="G46" s="78" t="n">
        <v>14.57</v>
      </c>
      <c r="H46" s="79" t="str">
        <f aca="false" t="array" ref="H46:H46">IFERROR(INDEX(_xlfn.stockhistory(A46,TODAY()-5,TODAY(),0,0,1),ROWS(_xlfn.stockhistory(A46,TODAY()-5,TODAY(),0,0,1)),1),"")</f>
        <v/>
      </c>
      <c r="I46" s="19" t="str">
        <f aca="false">IF(OR(G46="",H46=""),"",H46/G46-1)</f>
        <v/>
      </c>
      <c r="J46" s="80" t="n">
        <v>46321</v>
      </c>
      <c r="K46" s="77" t="s">
        <v>214</v>
      </c>
      <c r="L46" s="75" t="s">
        <v>272</v>
      </c>
      <c r="M46" s="77" t="s">
        <v>213</v>
      </c>
      <c r="N46" s="75"/>
      <c r="O46" s="81" t="n">
        <f aca="true">IF(C46="","",TODAY()-C46)</f>
        <v>53</v>
      </c>
      <c r="P46" s="15"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75"/>
    </row>
    <row r="47" customFormat="false" ht="15" hidden="false" customHeight="true" outlineLevel="0" collapsed="false">
      <c r="A47" s="74" t="s">
        <v>273</v>
      </c>
      <c r="B47" s="72" t="s">
        <v>232</v>
      </c>
      <c r="C47" s="76" t="n">
        <v>46245</v>
      </c>
      <c r="D47" s="77"/>
      <c r="E47" s="77" t="n">
        <v>4.29</v>
      </c>
      <c r="F47" s="64"/>
      <c r="G47" s="78" t="n">
        <v>144.75</v>
      </c>
      <c r="H47" s="79" t="str">
        <f aca="false" t="array" ref="H47:H47">IFERROR(INDEX(_xlfn.stockhistory(A47,TODAY()-5,TODAY(),0,0,1),ROWS(_xlfn.stockhistory(A47,TODAY()-5,TODAY(),0,0,1)),1),"")</f>
        <v/>
      </c>
      <c r="I47" s="19" t="str">
        <f aca="false">IF(OR(G47="",H47=""),"",H47/G47-1)</f>
        <v/>
      </c>
      <c r="J47" s="80" t="n">
        <v>46329</v>
      </c>
      <c r="K47" s="77" t="s">
        <v>214</v>
      </c>
      <c r="L47" s="75" t="s">
        <v>274</v>
      </c>
      <c r="M47" s="77" t="s">
        <v>213</v>
      </c>
      <c r="N47" s="75"/>
      <c r="O47" s="81" t="n">
        <f aca="true">IF(C47="","",TODAY()-C47)</f>
        <v>54</v>
      </c>
      <c r="P47" s="15"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75"/>
    </row>
    <row r="48" customFormat="false" ht="15" hidden="false" customHeight="true" outlineLevel="0" collapsed="false">
      <c r="A48" s="61" t="s">
        <v>275</v>
      </c>
      <c r="B48" s="72" t="s">
        <v>232</v>
      </c>
      <c r="C48" s="63" t="n">
        <v>46276</v>
      </c>
      <c r="D48" s="62"/>
      <c r="E48" s="62" t="n">
        <v>4</v>
      </c>
      <c r="F48" s="64"/>
      <c r="G48" s="65" t="n">
        <v>63.85</v>
      </c>
      <c r="H48" s="66" t="str">
        <f aca="false" t="array" ref="H48:H48">IFERROR(INDEX(_xlfn.stockhistory(A48,TODAY()-5,TODAY(),0,0,1),ROWS(_xlfn.stockhistory(A48,TODAY()-5,TODAY(),0,0,1)),1),"")</f>
        <v/>
      </c>
      <c r="I48" s="67" t="str">
        <f aca="false">IF(OR(G48="",H48=""),"",H48/G48-1)</f>
        <v/>
      </c>
      <c r="J48" s="68" t="n">
        <v>46329</v>
      </c>
      <c r="K48" s="62" t="s">
        <v>213</v>
      </c>
      <c r="L48" s="69"/>
      <c r="M48" s="62" t="s">
        <v>213</v>
      </c>
      <c r="N48" s="69"/>
      <c r="O48" s="70" t="n">
        <f aca="true">IF(C48="","",TODAY()-C48)</f>
        <v>23</v>
      </c>
      <c r="P48" s="71" t="str">
        <f aca="true">IF(A48="","",IF(O48&gt;180,"DUE — STALE (&gt;180 days)",IF(J48&lt;&gt;"",IF(ABS(J48-TODAY())&lt;=7,"DUE — EARNINGS WINDOW",IF(I48&lt;&gt;"",IF(ABS(I48)&gt;=0.2,"DUE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f>
        <v>Monitor Only</v>
      </c>
      <c r="Q48" s="69" t="s">
        <v>276</v>
      </c>
    </row>
  </sheetData>
  <mergeCells count="1">
    <mergeCell ref="A1:Q1"/>
  </mergeCells>
  <conditionalFormatting sqref="F3:F47">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P3:P47">
    <cfRule type="expression" priority="7" aboveAverage="0" equalAverage="0" bottom="0" percent="0" rank="0" text="" dxfId="0">
      <formula>ISNUMBER(SEARCH("DUE",O3))</formula>
    </cfRule>
    <cfRule type="expression" priority="8" aboveAverage="0" equalAverage="0" bottom="0" percent="0" rank="0" text="" dxfId="19">
      <formula>ISNUMBER(SEARCH("WATCH",O3))</formula>
    </cfRule>
    <cfRule type="expression" priority="9" aboveAverage="0" equalAverage="0" bottom="0" percent="0" rank="0" text="" dxfId="21">
      <formula>O3="Monitor Only"</formula>
    </cfRule>
  </conditionalFormatting>
  <conditionalFormatting sqref="B3:B47">
    <cfRule type="expression" priority="10" aboveAverage="0" equalAverage="0" bottom="0" percent="0" rank="0" text="" dxfId="20">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Q128" activeCellId="0" sqref="Q128"/>
    </sheetView>
  </sheetViews>
  <sheetFormatPr defaultColWidth="8.66796875" defaultRowHeight="13.5" customHeight="false" zeroHeight="false" outlineLevelRow="0" outlineLevelCol="0"/>
  <cols>
    <col collapsed="false" customWidth="true" hidden="false" outlineLevel="0" max="1" min="1" style="82" width="12"/>
    <col collapsed="false" customWidth="true" hidden="false" outlineLevel="0" max="2" min="2" style="82" width="6.67"/>
    <col collapsed="false" customWidth="true" hidden="false" outlineLevel="0" max="3" min="3" style="82" width="6.56"/>
    <col collapsed="false" customWidth="true" hidden="false" outlineLevel="0" max="5" min="4" style="82" width="7"/>
    <col collapsed="false" customWidth="true" hidden="false" outlineLevel="0" max="6" min="6" style="82" width="7.11"/>
    <col collapsed="false" customWidth="true" hidden="false" outlineLevel="0" max="7" min="7" style="82" width="6.56"/>
    <col collapsed="false" customWidth="true" hidden="false" outlineLevel="0" max="8" min="8" style="82" width="7"/>
    <col collapsed="false" customWidth="true" hidden="false" outlineLevel="0" max="9" min="9" style="82" width="6.77"/>
    <col collapsed="false" customWidth="true" hidden="false" outlineLevel="0" max="10" min="10" style="82" width="5.66"/>
    <col collapsed="false" customWidth="true" hidden="false" outlineLevel="0" max="11" min="11" style="82" width="6.11"/>
    <col collapsed="false" customWidth="true" hidden="false" outlineLevel="0" max="13" min="12" style="82" width="5.66"/>
    <col collapsed="false" customWidth="true" hidden="false" outlineLevel="0" max="14" min="14" style="82" width="6.56"/>
    <col collapsed="false" customWidth="true" hidden="false" outlineLevel="0" max="15" min="15" style="82" width="6.77"/>
    <col collapsed="false" customWidth="true" hidden="false" outlineLevel="0" max="16" min="16" style="82" width="4.44"/>
    <col collapsed="false" customWidth="true" hidden="false" outlineLevel="0" max="17" min="17" style="82" width="6.56"/>
    <col collapsed="false" customWidth="true" hidden="false" outlineLevel="0" max="18" min="18" style="82" width="6.33"/>
    <col collapsed="false" customWidth="true" hidden="false" outlineLevel="0" max="19" min="19" style="82" width="6.77"/>
    <col collapsed="false" customWidth="true" hidden="false" outlineLevel="0" max="20" min="20" style="82" width="6.56"/>
    <col collapsed="false" customWidth="true" hidden="false" outlineLevel="0" max="21" min="21" style="82" width="3.76"/>
    <col collapsed="false" customWidth="true" hidden="false" outlineLevel="0" max="22" min="22" style="82" width="6.56"/>
    <col collapsed="false" customWidth="true" hidden="false" outlineLevel="0" max="27" min="23" style="82" width="5.66"/>
    <col collapsed="false" customWidth="false" hidden="false" outlineLevel="0" max="16384" min="28" style="82" width="8.67"/>
  </cols>
  <sheetData>
    <row r="1" customFormat="false" ht="25.5" hidden="false" customHeight="true" outlineLevel="0" collapsed="false">
      <c r="A1" s="83" t="s">
        <v>277</v>
      </c>
      <c r="B1" s="84"/>
      <c r="C1" s="84"/>
      <c r="D1" s="84"/>
      <c r="E1" s="84"/>
      <c r="F1" s="84"/>
      <c r="G1" s="84"/>
      <c r="H1" s="84"/>
      <c r="I1" s="84"/>
      <c r="J1" s="84"/>
      <c r="K1" s="84"/>
      <c r="L1" s="84"/>
      <c r="M1" s="84"/>
      <c r="N1" s="84"/>
      <c r="O1" s="84"/>
      <c r="P1" s="84"/>
      <c r="Q1" s="84"/>
    </row>
    <row r="2" customFormat="false" ht="15" hidden="false" customHeight="true" outlineLevel="0" collapsed="false">
      <c r="A2" s="85" t="s">
        <v>278</v>
      </c>
      <c r="B2" s="85" t="s">
        <v>95</v>
      </c>
      <c r="C2" s="85" t="s">
        <v>100</v>
      </c>
      <c r="D2" s="85" t="s">
        <v>102</v>
      </c>
      <c r="E2" s="85" t="s">
        <v>165</v>
      </c>
      <c r="F2" s="85" t="s">
        <v>156</v>
      </c>
      <c r="G2" s="85" t="s">
        <v>104</v>
      </c>
      <c r="H2" s="85" t="s">
        <v>126</v>
      </c>
      <c r="I2" s="85" t="s">
        <v>106</v>
      </c>
      <c r="J2" s="85" t="s">
        <v>108</v>
      </c>
      <c r="K2" s="85" t="s">
        <v>110</v>
      </c>
      <c r="L2" s="85" t="s">
        <v>170</v>
      </c>
      <c r="M2" s="85" t="s">
        <v>112</v>
      </c>
      <c r="N2" s="85" t="s">
        <v>132</v>
      </c>
      <c r="O2" s="85" t="s">
        <v>138</v>
      </c>
      <c r="P2" s="85" t="s">
        <v>114</v>
      </c>
      <c r="Q2" s="85" t="s">
        <v>118</v>
      </c>
      <c r="R2" s="85" t="s">
        <v>152</v>
      </c>
      <c r="S2" s="85" t="s">
        <v>138</v>
      </c>
      <c r="T2" s="85" t="s">
        <v>129</v>
      </c>
      <c r="U2" s="85"/>
      <c r="V2" s="85" t="s">
        <v>118</v>
      </c>
      <c r="W2" s="85"/>
      <c r="X2" s="85"/>
      <c r="Y2" s="85"/>
      <c r="Z2" s="85"/>
      <c r="AA2" s="85"/>
    </row>
    <row r="3" customFormat="false" ht="15" hidden="false" customHeight="true" outlineLevel="0" collapsed="false">
      <c r="A3" s="86" t="n">
        <v>45184</v>
      </c>
      <c r="B3" s="87" t="n">
        <v>528.89</v>
      </c>
      <c r="C3" s="87" t="n">
        <v>46.18</v>
      </c>
      <c r="D3" s="87" t="n">
        <v>582.01</v>
      </c>
      <c r="E3" s="87" t="n">
        <v>82</v>
      </c>
      <c r="F3" s="87" t="n">
        <v>75.31</v>
      </c>
      <c r="G3" s="87" t="n">
        <v>41.36</v>
      </c>
      <c r="H3" s="87" t="n">
        <v>100.59</v>
      </c>
      <c r="I3" s="87" t="n">
        <v>44.35</v>
      </c>
      <c r="J3" s="87" t="n">
        <v>69.11</v>
      </c>
      <c r="K3" s="87" t="n">
        <v>43.77</v>
      </c>
      <c r="L3" s="87" t="n">
        <v>111.84</v>
      </c>
      <c r="M3" s="87" t="n">
        <v>15.33</v>
      </c>
      <c r="N3" s="87" t="n">
        <v>21.8</v>
      </c>
      <c r="O3" s="87" t="n">
        <v>57.63</v>
      </c>
      <c r="P3" s="87" t="n">
        <v>85.75</v>
      </c>
      <c r="Q3" s="87" t="n">
        <v>235.63</v>
      </c>
      <c r="R3" s="87" t="n">
        <v>47.82</v>
      </c>
      <c r="S3" s="87" t="n">
        <v>58.54</v>
      </c>
      <c r="T3" s="87" t="n">
        <v>26.91</v>
      </c>
      <c r="U3" s="87"/>
      <c r="V3" s="87"/>
      <c r="W3" s="87"/>
      <c r="X3" s="87"/>
      <c r="Y3" s="87"/>
      <c r="Z3" s="87"/>
      <c r="AA3" s="87"/>
    </row>
    <row r="4" customFormat="false" ht="15" hidden="false" customHeight="true" outlineLevel="0" collapsed="false">
      <c r="A4" s="68" t="n">
        <v>45191</v>
      </c>
      <c r="B4" s="65" t="n">
        <v>512.9</v>
      </c>
      <c r="C4" s="65" t="n">
        <v>45.08</v>
      </c>
      <c r="D4" s="65" t="n">
        <v>572.69</v>
      </c>
      <c r="E4" s="65" t="n">
        <v>80.26</v>
      </c>
      <c r="F4" s="65" t="n">
        <v>73.11</v>
      </c>
      <c r="G4" s="65" t="n">
        <v>40.64</v>
      </c>
      <c r="H4" s="65" t="n">
        <v>98.44</v>
      </c>
      <c r="I4" s="65" t="n">
        <v>44.12</v>
      </c>
      <c r="J4" s="65" t="n">
        <v>68.12</v>
      </c>
      <c r="K4" s="65" t="n">
        <v>41.49</v>
      </c>
      <c r="L4" s="65" t="n">
        <v>103.57</v>
      </c>
      <c r="M4" s="65" t="n">
        <v>14.13</v>
      </c>
      <c r="N4" s="65" t="n">
        <v>21.3</v>
      </c>
      <c r="O4" s="65" t="n">
        <v>56.23</v>
      </c>
      <c r="P4" s="65" t="n">
        <v>82.28</v>
      </c>
      <c r="Q4" s="65" t="n">
        <v>229.78</v>
      </c>
      <c r="R4" s="65" t="n">
        <v>46.93</v>
      </c>
      <c r="S4" s="65" t="n">
        <v>58.05</v>
      </c>
      <c r="T4" s="65" t="n">
        <v>26.19</v>
      </c>
      <c r="U4" s="65"/>
      <c r="V4" s="65"/>
      <c r="W4" s="65"/>
      <c r="X4" s="65"/>
      <c r="Y4" s="65"/>
      <c r="Z4" s="65"/>
      <c r="AA4" s="65"/>
    </row>
    <row r="5" customFormat="false" ht="15" hidden="false" customHeight="true" outlineLevel="0" collapsed="false">
      <c r="A5" s="68" t="n">
        <v>45198</v>
      </c>
      <c r="B5" s="65" t="n">
        <v>509.9</v>
      </c>
      <c r="C5" s="65" t="n">
        <v>45.98</v>
      </c>
      <c r="D5" s="65" t="n">
        <v>574.21</v>
      </c>
      <c r="E5" s="65" t="n">
        <v>80.41</v>
      </c>
      <c r="F5" s="65" t="n">
        <v>74.31</v>
      </c>
      <c r="G5" s="65" t="n">
        <v>41.85</v>
      </c>
      <c r="H5" s="65" t="n">
        <v>96.59</v>
      </c>
      <c r="I5" s="65" t="n">
        <v>44.79</v>
      </c>
      <c r="J5" s="65" t="n">
        <v>67.28</v>
      </c>
      <c r="K5" s="65" t="n">
        <v>43.37</v>
      </c>
      <c r="L5" s="65" t="n">
        <v>101.88</v>
      </c>
      <c r="M5" s="65" t="n">
        <v>16</v>
      </c>
      <c r="N5" s="65" t="n">
        <v>21.14</v>
      </c>
      <c r="O5" s="65" t="n">
        <v>56.06</v>
      </c>
      <c r="P5" s="65" t="n">
        <v>83.49</v>
      </c>
      <c r="Q5" s="65" t="n">
        <v>224.82</v>
      </c>
      <c r="R5" s="65" t="n">
        <v>47.68</v>
      </c>
      <c r="S5" s="65" t="n">
        <v>57.89</v>
      </c>
      <c r="T5" s="65" t="n">
        <v>25.98</v>
      </c>
      <c r="U5" s="65"/>
      <c r="V5" s="65"/>
      <c r="W5" s="65"/>
      <c r="X5" s="65"/>
      <c r="Y5" s="65"/>
      <c r="Z5" s="65"/>
      <c r="AA5" s="65"/>
    </row>
    <row r="6" customFormat="false" ht="15" hidden="false" customHeight="true" outlineLevel="0" collapsed="false">
      <c r="A6" s="68" t="n">
        <v>45205</v>
      </c>
      <c r="B6" s="65" t="n">
        <v>526.68</v>
      </c>
      <c r="C6" s="65" t="n">
        <v>48.51</v>
      </c>
      <c r="D6" s="65" t="n">
        <v>582.69</v>
      </c>
      <c r="E6" s="65" t="n">
        <v>81.83</v>
      </c>
      <c r="F6" s="65" t="n">
        <v>72.07</v>
      </c>
      <c r="G6" s="65" t="n">
        <v>44.17</v>
      </c>
      <c r="H6" s="65" t="n">
        <v>94.44</v>
      </c>
      <c r="I6" s="65" t="n">
        <v>45.7</v>
      </c>
      <c r="J6" s="65" t="n">
        <v>69.3</v>
      </c>
      <c r="K6" s="65" t="n">
        <v>45.63</v>
      </c>
      <c r="L6" s="65" t="n">
        <v>98.88</v>
      </c>
      <c r="M6" s="65" t="n">
        <v>16.61</v>
      </c>
      <c r="N6" s="65" t="n">
        <v>20.8</v>
      </c>
      <c r="O6" s="65" t="n">
        <v>56.68</v>
      </c>
      <c r="P6" s="65" t="n">
        <v>85.79</v>
      </c>
      <c r="Q6" s="65" t="n">
        <v>229.74</v>
      </c>
      <c r="R6" s="65" t="n">
        <v>48.55</v>
      </c>
      <c r="S6" s="65" t="n">
        <v>58.82</v>
      </c>
      <c r="T6" s="65" t="n">
        <v>26.66</v>
      </c>
      <c r="U6" s="65"/>
      <c r="V6" s="65"/>
      <c r="W6" s="65"/>
      <c r="X6" s="65"/>
      <c r="Y6" s="65"/>
      <c r="Z6" s="65"/>
      <c r="AA6" s="65"/>
    </row>
    <row r="7" customFormat="false" ht="15" hidden="false" customHeight="true" outlineLevel="0" collapsed="false">
      <c r="A7" s="68" t="n">
        <v>45212</v>
      </c>
      <c r="B7" s="65" t="n">
        <v>548.76</v>
      </c>
      <c r="C7" s="65" t="n">
        <v>47.46</v>
      </c>
      <c r="D7" s="65" t="n">
        <v>585.03</v>
      </c>
      <c r="E7" s="65" t="n">
        <v>85.5</v>
      </c>
      <c r="F7" s="65" t="n">
        <v>72.26</v>
      </c>
      <c r="G7" s="65" t="n">
        <v>46.43</v>
      </c>
      <c r="H7" s="65" t="n">
        <v>95.73</v>
      </c>
      <c r="I7" s="65" t="n">
        <v>47.54</v>
      </c>
      <c r="J7" s="65" t="n">
        <v>68.56</v>
      </c>
      <c r="K7" s="65" t="n">
        <v>45.33</v>
      </c>
      <c r="L7" s="65" t="n">
        <v>99.56</v>
      </c>
      <c r="M7" s="65" t="n">
        <v>17.36</v>
      </c>
      <c r="N7" s="65" t="n">
        <v>21.01</v>
      </c>
      <c r="O7" s="65" t="n">
        <v>57</v>
      </c>
      <c r="P7" s="65" t="n">
        <v>86.92</v>
      </c>
      <c r="Q7" s="65" t="n">
        <v>232.31</v>
      </c>
      <c r="R7" s="65" t="n">
        <v>48.23</v>
      </c>
      <c r="S7" s="65" t="n">
        <v>59.17</v>
      </c>
      <c r="T7" s="65" t="n">
        <v>26.47</v>
      </c>
      <c r="U7" s="65"/>
      <c r="V7" s="65" t="n">
        <v>241.71</v>
      </c>
      <c r="W7" s="65"/>
      <c r="X7" s="65"/>
      <c r="Y7" s="65"/>
      <c r="Z7" s="65"/>
      <c r="AA7" s="65"/>
    </row>
    <row r="8" customFormat="false" ht="15" hidden="false" customHeight="true" outlineLevel="0" collapsed="false">
      <c r="A8" s="68" t="n">
        <v>45219</v>
      </c>
      <c r="B8" s="65" t="n">
        <v>540.96</v>
      </c>
      <c r="C8" s="65" t="n">
        <v>46.53</v>
      </c>
      <c r="D8" s="65" t="n">
        <v>565.86</v>
      </c>
      <c r="E8" s="65" t="n">
        <v>82.64</v>
      </c>
      <c r="F8" s="65" t="n">
        <v>71.05</v>
      </c>
      <c r="G8" s="65" t="n">
        <v>44.69</v>
      </c>
      <c r="H8" s="65" t="n">
        <v>93.91</v>
      </c>
      <c r="I8" s="65" t="n">
        <v>45.16</v>
      </c>
      <c r="J8" s="65" t="n">
        <v>66.59</v>
      </c>
      <c r="K8" s="65" t="n">
        <v>41.26</v>
      </c>
      <c r="L8" s="65" t="n">
        <v>93</v>
      </c>
      <c r="M8" s="65" t="n">
        <v>16.11</v>
      </c>
      <c r="N8" s="65" t="n">
        <v>20.7</v>
      </c>
      <c r="O8" s="65" t="n">
        <v>55.35</v>
      </c>
      <c r="P8" s="65" t="n">
        <v>87.73</v>
      </c>
      <c r="Q8" s="65" t="n">
        <v>228.12</v>
      </c>
      <c r="R8" s="65" t="n">
        <v>48.21</v>
      </c>
      <c r="S8" s="65" t="n">
        <v>59.17</v>
      </c>
      <c r="T8" s="65" t="n">
        <v>26.3</v>
      </c>
      <c r="U8" s="65"/>
      <c r="V8" s="65" t="n">
        <v>235.63</v>
      </c>
      <c r="W8" s="65"/>
      <c r="X8" s="65"/>
      <c r="Y8" s="65"/>
      <c r="Z8" s="65"/>
      <c r="AA8" s="65"/>
    </row>
    <row r="9" customFormat="false" ht="15" hidden="false" customHeight="true" outlineLevel="0" collapsed="false">
      <c r="A9" s="68" t="n">
        <v>45226</v>
      </c>
      <c r="B9" s="65" t="n">
        <v>508.12</v>
      </c>
      <c r="C9" s="65" t="n">
        <v>44.05</v>
      </c>
      <c r="D9" s="65" t="n">
        <v>575.52</v>
      </c>
      <c r="E9" s="65" t="n">
        <v>81.16</v>
      </c>
      <c r="F9" s="65" t="n">
        <v>69.95</v>
      </c>
      <c r="G9" s="65" t="n">
        <v>43.21</v>
      </c>
      <c r="H9" s="65" t="n">
        <v>92.4</v>
      </c>
      <c r="I9" s="65" t="n">
        <v>44.72</v>
      </c>
      <c r="J9" s="65" t="n">
        <v>65.03</v>
      </c>
      <c r="K9" s="65" t="n">
        <v>40.38</v>
      </c>
      <c r="L9" s="65" t="n">
        <v>88.36</v>
      </c>
      <c r="M9" s="65" t="n">
        <v>15.07</v>
      </c>
      <c r="N9" s="65" t="n">
        <v>19.99</v>
      </c>
      <c r="O9" s="65" t="n">
        <v>54.23</v>
      </c>
      <c r="P9" s="65" t="n">
        <v>82.62</v>
      </c>
      <c r="Q9" s="65" t="n">
        <v>224.1</v>
      </c>
      <c r="R9" s="65" t="n">
        <v>46.91</v>
      </c>
      <c r="S9" s="65" t="n">
        <v>57.46</v>
      </c>
      <c r="T9" s="65" t="n">
        <v>25.91</v>
      </c>
      <c r="U9" s="65"/>
      <c r="V9" s="65" t="n">
        <v>229.78</v>
      </c>
      <c r="W9" s="65"/>
      <c r="X9" s="65"/>
      <c r="Y9" s="65"/>
      <c r="Z9" s="65"/>
      <c r="AA9" s="65"/>
    </row>
    <row r="10" customFormat="false" ht="15" hidden="false" customHeight="true" outlineLevel="0" collapsed="false">
      <c r="A10" s="68" t="n">
        <v>45233</v>
      </c>
      <c r="B10" s="65" t="n">
        <v>563.66</v>
      </c>
      <c r="C10" s="65" t="n">
        <v>53.12</v>
      </c>
      <c r="D10" s="65" t="n">
        <v>628.24</v>
      </c>
      <c r="E10" s="65" t="n">
        <v>85.45</v>
      </c>
      <c r="F10" s="65" t="n">
        <v>74.96</v>
      </c>
      <c r="G10" s="65" t="n">
        <v>47.06</v>
      </c>
      <c r="H10" s="65" t="n">
        <v>97.82</v>
      </c>
      <c r="I10" s="65" t="n">
        <v>48.79</v>
      </c>
      <c r="J10" s="65" t="n">
        <v>71.9</v>
      </c>
      <c r="K10" s="65" t="n">
        <v>44.87</v>
      </c>
      <c r="L10" s="65" t="n">
        <v>96.74</v>
      </c>
      <c r="M10" s="65" t="n">
        <v>18.89</v>
      </c>
      <c r="N10" s="65" t="n">
        <v>20.99</v>
      </c>
      <c r="O10" s="65" t="n">
        <v>57.4</v>
      </c>
      <c r="P10" s="65" t="n">
        <v>88.19</v>
      </c>
      <c r="Q10" s="65" t="n">
        <v>238.11</v>
      </c>
      <c r="R10" s="65" t="n">
        <v>46.93</v>
      </c>
      <c r="S10" s="65" t="n">
        <v>57.28</v>
      </c>
      <c r="T10" s="65" t="n">
        <v>25.98</v>
      </c>
      <c r="U10" s="65"/>
      <c r="V10" s="65" t="n">
        <v>224.82</v>
      </c>
      <c r="W10" s="65"/>
      <c r="X10" s="65"/>
      <c r="Y10" s="65"/>
      <c r="Z10" s="65"/>
      <c r="AA10" s="65"/>
    </row>
    <row r="11" customFormat="false" ht="15" hidden="false" customHeight="true" outlineLevel="0" collapsed="false">
      <c r="A11" s="68" t="n">
        <v>45240</v>
      </c>
      <c r="B11" s="65" t="n">
        <v>597.22</v>
      </c>
      <c r="C11" s="65" t="n">
        <v>51.71</v>
      </c>
      <c r="D11" s="65" t="n">
        <v>646.7</v>
      </c>
      <c r="E11" s="65" t="n">
        <v>92.69</v>
      </c>
      <c r="F11" s="65" t="n">
        <v>72.4</v>
      </c>
      <c r="G11" s="65" t="n">
        <v>49.08</v>
      </c>
      <c r="H11" s="65" t="n">
        <v>95.61</v>
      </c>
      <c r="I11" s="65" t="n">
        <v>52.17</v>
      </c>
      <c r="J11" s="65" t="n">
        <v>74.65</v>
      </c>
      <c r="K11" s="65" t="n">
        <v>48.19</v>
      </c>
      <c r="L11" s="65" t="n">
        <v>94.93</v>
      </c>
      <c r="M11" s="65" t="n">
        <v>19.67</v>
      </c>
      <c r="N11" s="65" t="n">
        <v>20.75</v>
      </c>
      <c r="O11" s="65" t="n">
        <v>59.09</v>
      </c>
      <c r="P11" s="65" t="n">
        <v>93.62</v>
      </c>
      <c r="Q11" s="65" t="n">
        <v>240.23</v>
      </c>
      <c r="R11" s="65" t="n">
        <v>47.13</v>
      </c>
      <c r="S11" s="65" t="n">
        <v>57.92</v>
      </c>
      <c r="T11" s="65" t="n">
        <v>25.5</v>
      </c>
      <c r="U11" s="65"/>
      <c r="V11" s="65" t="n">
        <v>229.74</v>
      </c>
      <c r="W11" s="65"/>
      <c r="X11" s="65"/>
      <c r="Y11" s="65"/>
      <c r="Z11" s="65"/>
      <c r="AA11" s="65"/>
    </row>
    <row r="12" customFormat="false" ht="15" hidden="false" customHeight="true" outlineLevel="0" collapsed="false">
      <c r="A12" s="68" t="n">
        <v>45247</v>
      </c>
      <c r="B12" s="65" t="n">
        <v>602.66</v>
      </c>
      <c r="C12" s="65" t="n">
        <v>53.66</v>
      </c>
      <c r="D12" s="65" t="n">
        <v>670.96</v>
      </c>
      <c r="E12" s="65" t="n">
        <v>94.65</v>
      </c>
      <c r="F12" s="65" t="n">
        <v>76.42</v>
      </c>
      <c r="G12" s="65" t="n">
        <v>51.77</v>
      </c>
      <c r="H12" s="65" t="n">
        <v>99</v>
      </c>
      <c r="I12" s="65" t="n">
        <v>53.32</v>
      </c>
      <c r="J12" s="65" t="n">
        <v>76.83</v>
      </c>
      <c r="K12" s="65" t="n">
        <v>49.15</v>
      </c>
      <c r="L12" s="65" t="n">
        <v>99.94</v>
      </c>
      <c r="M12" s="65" t="n">
        <v>20.49</v>
      </c>
      <c r="N12" s="65" t="n">
        <v>21.25</v>
      </c>
      <c r="O12" s="65" t="n">
        <v>60.37</v>
      </c>
      <c r="P12" s="65" t="n">
        <v>95.68</v>
      </c>
      <c r="Q12" s="65" t="n">
        <v>244.45</v>
      </c>
      <c r="R12" s="65" t="n">
        <v>47.26</v>
      </c>
      <c r="S12" s="65" t="n">
        <v>58.25</v>
      </c>
      <c r="T12" s="65" t="n">
        <v>25.83</v>
      </c>
      <c r="U12" s="65"/>
      <c r="V12" s="65" t="n">
        <v>232.31</v>
      </c>
      <c r="W12" s="65"/>
      <c r="X12" s="65"/>
      <c r="Y12" s="65"/>
      <c r="Z12" s="65"/>
      <c r="AA12" s="65"/>
    </row>
    <row r="13" customFormat="false" ht="15" hidden="false" customHeight="true" outlineLevel="0" collapsed="false">
      <c r="A13" s="68" t="n">
        <v>45254</v>
      </c>
      <c r="B13" s="65" t="n">
        <v>619.43</v>
      </c>
      <c r="C13" s="65" t="n">
        <v>54.6</v>
      </c>
      <c r="D13" s="65" t="n">
        <v>675.94</v>
      </c>
      <c r="E13" s="65" t="n">
        <v>94.76</v>
      </c>
      <c r="F13" s="65" t="n">
        <v>76.43</v>
      </c>
      <c r="G13" s="65" t="n">
        <v>52.67</v>
      </c>
      <c r="H13" s="65" t="n">
        <v>99.35</v>
      </c>
      <c r="I13" s="65" t="n">
        <v>54.41</v>
      </c>
      <c r="J13" s="65" t="n">
        <v>76.15</v>
      </c>
      <c r="K13" s="65" t="n">
        <v>47.63</v>
      </c>
      <c r="L13" s="65" t="n">
        <v>101.69</v>
      </c>
      <c r="M13" s="65" t="n">
        <v>19.2</v>
      </c>
      <c r="N13" s="65" t="n">
        <v>21.45</v>
      </c>
      <c r="O13" s="65" t="n">
        <v>60.7</v>
      </c>
      <c r="P13" s="65" t="n">
        <v>94</v>
      </c>
      <c r="Q13" s="65" t="n">
        <v>249.1</v>
      </c>
      <c r="R13" s="65" t="n">
        <v>46.32</v>
      </c>
      <c r="S13" s="65" t="n">
        <v>56.56</v>
      </c>
      <c r="T13" s="65" t="n">
        <v>25.5</v>
      </c>
      <c r="U13" s="65"/>
      <c r="V13" s="65" t="n">
        <v>228.12</v>
      </c>
      <c r="W13" s="65"/>
      <c r="X13" s="65"/>
      <c r="Y13" s="65"/>
      <c r="Z13" s="65"/>
      <c r="AA13" s="65"/>
    </row>
    <row r="14" customFormat="false" ht="15" hidden="false" customHeight="true" outlineLevel="0" collapsed="false">
      <c r="A14" s="68" t="n">
        <v>45261</v>
      </c>
      <c r="B14" s="65" t="n">
        <v>612.47</v>
      </c>
      <c r="C14" s="65" t="n">
        <v>54.16</v>
      </c>
      <c r="D14" s="65" t="n">
        <v>676.94</v>
      </c>
      <c r="E14" s="65" t="n">
        <v>90.03</v>
      </c>
      <c r="F14" s="65" t="n">
        <v>78.99</v>
      </c>
      <c r="G14" s="65" t="n">
        <v>58.76</v>
      </c>
      <c r="H14" s="65" t="n">
        <v>102.26</v>
      </c>
      <c r="I14" s="65" t="n">
        <v>53.76</v>
      </c>
      <c r="J14" s="65" t="n">
        <v>75.22</v>
      </c>
      <c r="K14" s="65" t="n">
        <v>46.63</v>
      </c>
      <c r="L14" s="65" t="n">
        <v>107.37</v>
      </c>
      <c r="M14" s="65" t="n">
        <v>20.27</v>
      </c>
      <c r="N14" s="65" t="n">
        <v>21.85</v>
      </c>
      <c r="O14" s="65" t="n">
        <v>60.57</v>
      </c>
      <c r="P14" s="65" t="n">
        <v>94.69</v>
      </c>
      <c r="Q14" s="65" t="n">
        <v>251.2</v>
      </c>
      <c r="R14" s="65" t="n">
        <v>45.36</v>
      </c>
      <c r="S14" s="65" t="n">
        <v>55.42</v>
      </c>
      <c r="T14" s="65" t="n">
        <v>24.66</v>
      </c>
      <c r="U14" s="65"/>
      <c r="V14" s="65" t="n">
        <v>224.1</v>
      </c>
      <c r="W14" s="65"/>
      <c r="X14" s="65"/>
      <c r="Y14" s="65"/>
      <c r="Z14" s="65"/>
      <c r="AA14" s="65"/>
    </row>
    <row r="15" customFormat="false" ht="15" hidden="false" customHeight="true" outlineLevel="0" collapsed="false">
      <c r="A15" s="68" t="n">
        <v>45268</v>
      </c>
      <c r="B15" s="65" t="n">
        <v>610.01</v>
      </c>
      <c r="C15" s="65" t="n">
        <v>56.01</v>
      </c>
      <c r="D15" s="65" t="n">
        <v>681.07</v>
      </c>
      <c r="E15" s="65" t="n">
        <v>91.41</v>
      </c>
      <c r="F15" s="65" t="n">
        <v>79.65</v>
      </c>
      <c r="G15" s="65" t="n">
        <v>60.64</v>
      </c>
      <c r="H15" s="65" t="n">
        <v>102.48</v>
      </c>
      <c r="I15" s="65" t="n">
        <v>52.33</v>
      </c>
      <c r="J15" s="65" t="n">
        <v>74.26</v>
      </c>
      <c r="K15" s="65" t="n">
        <v>47.37</v>
      </c>
      <c r="L15" s="65" t="n">
        <v>108.82</v>
      </c>
      <c r="M15" s="65" t="n">
        <v>17.77</v>
      </c>
      <c r="N15" s="65" t="n">
        <v>21.89</v>
      </c>
      <c r="O15" s="65" t="n">
        <v>60.79</v>
      </c>
      <c r="P15" s="65" t="n">
        <v>96.42</v>
      </c>
      <c r="Q15" s="65" t="n">
        <v>250.51</v>
      </c>
      <c r="R15" s="65" t="n">
        <v>47.52</v>
      </c>
      <c r="S15" s="65" t="n">
        <v>58.65</v>
      </c>
      <c r="T15" s="65" t="n">
        <v>26.11</v>
      </c>
      <c r="U15" s="65"/>
      <c r="V15" s="65" t="n">
        <v>238.11</v>
      </c>
      <c r="W15" s="65"/>
      <c r="X15" s="65"/>
      <c r="Y15" s="65"/>
      <c r="Z15" s="65"/>
      <c r="AA15" s="65"/>
    </row>
    <row r="16" customFormat="false" ht="15" hidden="false" customHeight="true" outlineLevel="0" collapsed="false">
      <c r="A16" s="68" t="n">
        <v>45275</v>
      </c>
      <c r="B16" s="65" t="n">
        <v>584.68</v>
      </c>
      <c r="C16" s="65" t="n">
        <v>58.9</v>
      </c>
      <c r="D16" s="65" t="n">
        <v>736.36</v>
      </c>
      <c r="E16" s="65" t="n">
        <v>109.37</v>
      </c>
      <c r="F16" s="65" t="n">
        <v>84.02</v>
      </c>
      <c r="G16" s="65" t="n">
        <v>65.02</v>
      </c>
      <c r="H16" s="65" t="n">
        <v>105.54</v>
      </c>
      <c r="I16" s="65" t="n">
        <v>57.29</v>
      </c>
      <c r="J16" s="65" t="n">
        <v>80.64</v>
      </c>
      <c r="K16" s="65" t="n">
        <v>48.75</v>
      </c>
      <c r="L16" s="65" t="n">
        <v>122.68</v>
      </c>
      <c r="M16" s="65" t="n">
        <v>18.2</v>
      </c>
      <c r="N16" s="65" t="n">
        <v>22.77</v>
      </c>
      <c r="O16" s="65" t="n">
        <v>62.87</v>
      </c>
      <c r="P16" s="65" t="n">
        <v>98.99</v>
      </c>
      <c r="Q16" s="65" t="n">
        <v>252.75</v>
      </c>
      <c r="R16" s="65" t="n">
        <v>48.51</v>
      </c>
      <c r="S16" s="65" t="n">
        <v>60.38</v>
      </c>
      <c r="T16" s="65" t="n">
        <v>25.93</v>
      </c>
      <c r="U16" s="65"/>
      <c r="V16" s="65" t="n">
        <v>240.23</v>
      </c>
      <c r="W16" s="65"/>
      <c r="X16" s="65"/>
      <c r="Y16" s="65"/>
      <c r="Z16" s="65"/>
      <c r="AA16" s="65"/>
    </row>
    <row r="17" customFormat="false" ht="15" hidden="false" customHeight="true" outlineLevel="0" collapsed="false">
      <c r="A17" s="68" t="n">
        <v>45282</v>
      </c>
      <c r="B17" s="65" t="n">
        <v>598.75</v>
      </c>
      <c r="C17" s="65" t="n">
        <v>59.56</v>
      </c>
      <c r="D17" s="65" t="n">
        <v>735.94</v>
      </c>
      <c r="E17" s="65" t="n">
        <v>109.11</v>
      </c>
      <c r="F17" s="65" t="n">
        <v>86.35</v>
      </c>
      <c r="G17" s="65" t="n">
        <v>63.91</v>
      </c>
      <c r="H17" s="65" t="n">
        <v>105.82</v>
      </c>
      <c r="I17" s="65" t="n">
        <v>57.05</v>
      </c>
      <c r="J17" s="65" t="n">
        <v>85.68</v>
      </c>
      <c r="K17" s="65" t="n">
        <v>48.69</v>
      </c>
      <c r="L17" s="65" t="n">
        <v>120.98</v>
      </c>
      <c r="M17" s="65" t="n">
        <v>17.41</v>
      </c>
      <c r="N17" s="65" t="n">
        <v>22.89</v>
      </c>
      <c r="O17" s="65" t="n">
        <v>63.81</v>
      </c>
      <c r="P17" s="65" t="n">
        <v>99.57</v>
      </c>
      <c r="Q17" s="65" t="n">
        <v>253.14</v>
      </c>
      <c r="R17" s="65" t="n">
        <v>48.97</v>
      </c>
      <c r="S17" s="65" t="n">
        <v>61.69</v>
      </c>
      <c r="T17" s="65" t="n">
        <v>26.59</v>
      </c>
      <c r="U17" s="65"/>
      <c r="V17" s="65" t="n">
        <v>244.45</v>
      </c>
      <c r="W17" s="65"/>
      <c r="X17" s="65"/>
      <c r="Y17" s="65"/>
      <c r="Z17" s="65"/>
      <c r="AA17" s="65"/>
    </row>
    <row r="18" customFormat="false" ht="15" hidden="false" customHeight="true" outlineLevel="0" collapsed="false">
      <c r="A18" s="68" t="n">
        <v>45289</v>
      </c>
      <c r="B18" s="65" t="n">
        <v>596.6</v>
      </c>
      <c r="C18" s="65" t="n">
        <v>58.88</v>
      </c>
      <c r="D18" s="65" t="n">
        <v>740.23</v>
      </c>
      <c r="E18" s="65" t="n">
        <v>108.56</v>
      </c>
      <c r="F18" s="65" t="n">
        <v>86.03</v>
      </c>
      <c r="G18" s="65" t="n">
        <v>63.83</v>
      </c>
      <c r="H18" s="65" t="n">
        <v>106.25</v>
      </c>
      <c r="I18" s="65" t="n">
        <v>56.92</v>
      </c>
      <c r="J18" s="65" t="n">
        <v>84.65</v>
      </c>
      <c r="K18" s="65" t="n">
        <v>49.38</v>
      </c>
      <c r="L18" s="65" t="n">
        <v>121.8</v>
      </c>
      <c r="M18" s="65" t="n">
        <v>17.17</v>
      </c>
      <c r="N18" s="65" t="n">
        <v>22.98</v>
      </c>
      <c r="O18" s="65" t="n">
        <v>64.26</v>
      </c>
      <c r="P18" s="65" t="n">
        <v>100.4</v>
      </c>
      <c r="Q18" s="65" t="n">
        <v>255.02</v>
      </c>
      <c r="R18" s="65" t="n">
        <v>49.23</v>
      </c>
      <c r="S18" s="65" t="n">
        <v>62.03</v>
      </c>
      <c r="T18" s="65" t="n">
        <v>26.78</v>
      </c>
      <c r="U18" s="65"/>
      <c r="V18" s="65" t="n">
        <v>249.1</v>
      </c>
      <c r="W18" s="65"/>
      <c r="X18" s="65"/>
      <c r="Y18" s="65"/>
      <c r="Z18" s="65"/>
      <c r="AA18" s="65"/>
    </row>
    <row r="19" customFormat="false" ht="15" hidden="false" customHeight="true" outlineLevel="0" collapsed="false">
      <c r="A19" s="68" t="n">
        <v>45296</v>
      </c>
      <c r="B19" s="65" t="n">
        <v>564.6</v>
      </c>
      <c r="C19" s="65" t="n">
        <v>57.73</v>
      </c>
      <c r="D19" s="65" t="n">
        <v>687.83</v>
      </c>
      <c r="E19" s="65" t="n">
        <v>102.04</v>
      </c>
      <c r="F19" s="65" t="n">
        <v>83.8</v>
      </c>
      <c r="G19" s="65" t="n">
        <v>61.87</v>
      </c>
      <c r="H19" s="65" t="n">
        <v>107</v>
      </c>
      <c r="I19" s="65" t="n">
        <v>53.3</v>
      </c>
      <c r="J19" s="65" t="n">
        <v>82.78</v>
      </c>
      <c r="K19" s="65" t="n">
        <v>48.96</v>
      </c>
      <c r="L19" s="65" t="n">
        <v>119.3</v>
      </c>
      <c r="M19" s="65" t="n">
        <v>15.98</v>
      </c>
      <c r="N19" s="65" t="n">
        <v>23.05</v>
      </c>
      <c r="O19" s="65" t="n">
        <v>63.6</v>
      </c>
      <c r="P19" s="65" t="n">
        <v>96.16</v>
      </c>
      <c r="Q19" s="65" t="n">
        <v>254.38</v>
      </c>
      <c r="R19" s="65" t="n">
        <v>48.9</v>
      </c>
      <c r="S19" s="65" t="n">
        <v>61.89</v>
      </c>
      <c r="T19" s="65" t="n">
        <v>27.14</v>
      </c>
      <c r="U19" s="65"/>
      <c r="V19" s="65" t="n">
        <v>251.2</v>
      </c>
      <c r="W19" s="65"/>
      <c r="X19" s="65"/>
      <c r="Y19" s="65"/>
      <c r="Z19" s="65"/>
      <c r="AA19" s="65"/>
    </row>
    <row r="20" customFormat="false" ht="15" hidden="false" customHeight="true" outlineLevel="0" collapsed="false">
      <c r="A20" s="68" t="n">
        <v>45303</v>
      </c>
      <c r="B20" s="65" t="n">
        <v>596.54</v>
      </c>
      <c r="C20" s="65" t="n">
        <v>63.01</v>
      </c>
      <c r="D20" s="65" t="n">
        <v>697.49</v>
      </c>
      <c r="E20" s="65" t="n">
        <v>107.72</v>
      </c>
      <c r="F20" s="65" t="n">
        <v>82.85</v>
      </c>
      <c r="G20" s="65" t="n">
        <v>70.84</v>
      </c>
      <c r="H20" s="65" t="n">
        <v>105.52</v>
      </c>
      <c r="I20" s="65" t="n">
        <v>54.89</v>
      </c>
      <c r="J20" s="65" t="n">
        <v>81.72</v>
      </c>
      <c r="K20" s="65" t="n">
        <v>54.55</v>
      </c>
      <c r="L20" s="65" t="n">
        <v>120.2</v>
      </c>
      <c r="M20" s="65" t="n">
        <v>16.76</v>
      </c>
      <c r="N20" s="65" t="n">
        <v>23.02</v>
      </c>
      <c r="O20" s="65" t="n">
        <v>65.57</v>
      </c>
      <c r="P20" s="65" t="n">
        <v>97.73</v>
      </c>
      <c r="Q20" s="65" t="n">
        <v>258.76</v>
      </c>
      <c r="R20" s="65" t="n">
        <v>49.26</v>
      </c>
      <c r="S20" s="65" t="n">
        <v>62.12</v>
      </c>
      <c r="T20" s="65" t="n">
        <v>27.38</v>
      </c>
      <c r="U20" s="65"/>
      <c r="V20" s="65" t="n">
        <v>250.51</v>
      </c>
      <c r="W20" s="65"/>
      <c r="X20" s="65"/>
      <c r="Y20" s="65"/>
      <c r="Z20" s="65"/>
      <c r="AA20" s="65"/>
    </row>
    <row r="21" customFormat="false" ht="15" hidden="false" customHeight="true" outlineLevel="0" collapsed="false">
      <c r="A21" s="68" t="n">
        <v>45310</v>
      </c>
      <c r="B21" s="65" t="n">
        <v>611.55</v>
      </c>
      <c r="C21" s="65" t="n">
        <v>65.88</v>
      </c>
      <c r="D21" s="65" t="n">
        <v>741.12</v>
      </c>
      <c r="E21" s="65" t="n">
        <v>117.79</v>
      </c>
      <c r="F21" s="65" t="n">
        <v>83.1</v>
      </c>
      <c r="G21" s="65" t="n">
        <v>72.64</v>
      </c>
      <c r="H21" s="65" t="n">
        <v>104.13</v>
      </c>
      <c r="I21" s="65" t="n">
        <v>60.02</v>
      </c>
      <c r="J21" s="65" t="n">
        <v>86.8</v>
      </c>
      <c r="K21" s="65" t="n">
        <v>59.32</v>
      </c>
      <c r="L21" s="65" t="n">
        <v>117.36</v>
      </c>
      <c r="M21" s="65" t="n">
        <v>16.78</v>
      </c>
      <c r="N21" s="65" t="n">
        <v>23.12</v>
      </c>
      <c r="O21" s="65" t="n">
        <v>66.96</v>
      </c>
      <c r="P21" s="65" t="n">
        <v>110.24</v>
      </c>
      <c r="Q21" s="65" t="n">
        <v>265.36</v>
      </c>
      <c r="R21" s="65" t="n">
        <v>50</v>
      </c>
      <c r="S21" s="65" t="n">
        <v>64.24</v>
      </c>
      <c r="T21" s="65" t="n">
        <v>28.14</v>
      </c>
      <c r="U21" s="65"/>
      <c r="V21" s="65" t="n">
        <v>252.75</v>
      </c>
      <c r="W21" s="65"/>
      <c r="X21" s="65"/>
      <c r="Y21" s="65"/>
      <c r="Z21" s="65"/>
      <c r="AA21" s="65"/>
    </row>
    <row r="22" customFormat="false" ht="15" hidden="false" customHeight="true" outlineLevel="0" collapsed="false">
      <c r="A22" s="68" t="n">
        <v>45317</v>
      </c>
      <c r="B22" s="65" t="n">
        <v>613.93</v>
      </c>
      <c r="C22" s="65" t="n">
        <v>66.1</v>
      </c>
      <c r="D22" s="65" t="n">
        <v>848.61</v>
      </c>
      <c r="E22" s="65" t="n">
        <v>117.18</v>
      </c>
      <c r="F22" s="65" t="n">
        <v>85.06</v>
      </c>
      <c r="G22" s="65" t="n">
        <v>72.58</v>
      </c>
      <c r="H22" s="65" t="n">
        <v>105.77</v>
      </c>
      <c r="I22" s="65" t="n">
        <v>58.69</v>
      </c>
      <c r="J22" s="65" t="n">
        <v>87.34</v>
      </c>
      <c r="K22" s="65" t="n">
        <v>60.85</v>
      </c>
      <c r="L22" s="65" t="n">
        <v>115.93</v>
      </c>
      <c r="M22" s="65" t="n">
        <v>16.35</v>
      </c>
      <c r="N22" s="65" t="n">
        <v>23.25</v>
      </c>
      <c r="O22" s="65" t="n">
        <v>68.04</v>
      </c>
      <c r="P22" s="65" t="n">
        <v>113.2</v>
      </c>
      <c r="Q22" s="65" t="n">
        <v>262.46</v>
      </c>
      <c r="R22" s="65" t="n">
        <v>50.16</v>
      </c>
      <c r="S22" s="65" t="n">
        <v>65.04</v>
      </c>
      <c r="T22" s="65" t="n">
        <v>28.41</v>
      </c>
      <c r="U22" s="65"/>
      <c r="V22" s="65" t="n">
        <v>253.14</v>
      </c>
      <c r="W22" s="65"/>
      <c r="X22" s="65"/>
      <c r="Y22" s="65"/>
      <c r="Z22" s="65"/>
      <c r="AA22" s="65"/>
    </row>
    <row r="23" customFormat="false" ht="15" hidden="false" customHeight="true" outlineLevel="0" collapsed="false">
      <c r="A23" s="68" t="n">
        <v>45324</v>
      </c>
      <c r="B23" s="65" t="n">
        <v>634.76</v>
      </c>
      <c r="C23" s="65" t="n">
        <v>68.28</v>
      </c>
      <c r="D23" s="65" t="n">
        <v>871.02</v>
      </c>
      <c r="E23" s="65" t="n">
        <v>119.07</v>
      </c>
      <c r="F23" s="65" t="n">
        <v>83.47</v>
      </c>
      <c r="G23" s="65" t="n">
        <v>75.89</v>
      </c>
      <c r="H23" s="65" t="n">
        <v>104.41</v>
      </c>
      <c r="I23" s="65" t="n">
        <v>59.17</v>
      </c>
      <c r="J23" s="65" t="n">
        <v>85.78</v>
      </c>
      <c r="K23" s="65" t="n">
        <v>65.97</v>
      </c>
      <c r="L23" s="65" t="n">
        <v>118.1</v>
      </c>
      <c r="M23" s="65" t="n">
        <v>17.02</v>
      </c>
      <c r="N23" s="65" t="n">
        <v>23.24</v>
      </c>
      <c r="O23" s="65" t="n">
        <v>71.15</v>
      </c>
      <c r="P23" s="65" t="n">
        <v>111.74</v>
      </c>
      <c r="Q23" s="65" t="n">
        <v>271.51</v>
      </c>
      <c r="R23" s="65" t="n">
        <v>49.93</v>
      </c>
      <c r="S23" s="65" t="n">
        <v>65.5</v>
      </c>
      <c r="T23" s="65" t="n">
        <v>28.34</v>
      </c>
      <c r="U23" s="65"/>
      <c r="V23" s="65" t="n">
        <v>255.02</v>
      </c>
      <c r="W23" s="65"/>
      <c r="X23" s="65"/>
      <c r="Y23" s="65"/>
      <c r="Z23" s="65"/>
      <c r="AA23" s="65"/>
    </row>
    <row r="24" customFormat="false" ht="15" hidden="false" customHeight="true" outlineLevel="0" collapsed="false">
      <c r="A24" s="68" t="n">
        <v>45331</v>
      </c>
      <c r="B24" s="65" t="n">
        <v>627.21</v>
      </c>
      <c r="C24" s="65" t="n">
        <v>70.61</v>
      </c>
      <c r="D24" s="65" t="n">
        <v>930.28</v>
      </c>
      <c r="E24" s="65" t="n">
        <v>124.82</v>
      </c>
      <c r="F24" s="65" t="n">
        <v>84.22</v>
      </c>
      <c r="G24" s="65" t="n">
        <v>82.33</v>
      </c>
      <c r="H24" s="65" t="n">
        <v>103.48</v>
      </c>
      <c r="I24" s="65" t="n">
        <v>63.63</v>
      </c>
      <c r="J24" s="65" t="n">
        <v>84.87</v>
      </c>
      <c r="K24" s="65" t="n">
        <v>71.92</v>
      </c>
      <c r="L24" s="65" t="n">
        <v>121.05</v>
      </c>
      <c r="M24" s="65" t="n">
        <v>24.38</v>
      </c>
      <c r="N24" s="65" t="n">
        <v>23.18</v>
      </c>
      <c r="O24" s="65" t="n">
        <v>72.85</v>
      </c>
      <c r="P24" s="65" t="n">
        <v>128.5</v>
      </c>
      <c r="Q24" s="65" t="n">
        <v>271.28</v>
      </c>
      <c r="R24" s="65" t="n">
        <v>49.15</v>
      </c>
      <c r="S24" s="65" t="n">
        <v>64.82</v>
      </c>
      <c r="T24" s="65" t="n">
        <v>28.37</v>
      </c>
      <c r="U24" s="65"/>
      <c r="V24" s="65" t="n">
        <v>254.37</v>
      </c>
      <c r="W24" s="65"/>
      <c r="X24" s="65"/>
      <c r="Y24" s="65"/>
      <c r="Z24" s="65"/>
      <c r="AA24" s="65"/>
    </row>
    <row r="25" customFormat="false" ht="15" hidden="false" customHeight="true" outlineLevel="0" collapsed="false">
      <c r="A25" s="68" t="n">
        <v>45338</v>
      </c>
      <c r="B25" s="65" t="n">
        <v>546.66</v>
      </c>
      <c r="C25" s="65" t="n">
        <v>65.44</v>
      </c>
      <c r="D25" s="65" t="n">
        <v>910.05</v>
      </c>
      <c r="E25" s="65" t="n">
        <v>121.12</v>
      </c>
      <c r="F25" s="65" t="n">
        <v>84.82</v>
      </c>
      <c r="G25" s="65" t="n">
        <v>82.31</v>
      </c>
      <c r="H25" s="65" t="n">
        <v>104.69</v>
      </c>
      <c r="I25" s="65" t="n">
        <v>64.9</v>
      </c>
      <c r="J25" s="65" t="n">
        <v>78.86</v>
      </c>
      <c r="K25" s="65" t="n">
        <v>72.4</v>
      </c>
      <c r="L25" s="65" t="n">
        <v>121.88</v>
      </c>
      <c r="M25" s="65" t="n">
        <v>24.44</v>
      </c>
      <c r="N25" s="65" t="n">
        <v>23.24</v>
      </c>
      <c r="O25" s="65" t="n">
        <v>73.46</v>
      </c>
      <c r="P25" s="65" t="n">
        <v>122.3</v>
      </c>
      <c r="Q25" s="65" t="n">
        <v>273.37</v>
      </c>
      <c r="R25" s="65" t="n">
        <v>50.49</v>
      </c>
      <c r="S25" s="65" t="n">
        <v>66.84</v>
      </c>
      <c r="T25" s="65" t="n">
        <v>28.29</v>
      </c>
      <c r="U25" s="65"/>
      <c r="V25" s="65" t="n">
        <v>258.76</v>
      </c>
      <c r="W25" s="65"/>
      <c r="X25" s="65"/>
      <c r="Y25" s="65"/>
      <c r="Z25" s="65"/>
      <c r="AA25" s="65"/>
    </row>
    <row r="26" customFormat="false" ht="15" hidden="false" customHeight="true" outlineLevel="0" collapsed="false">
      <c r="A26" s="68" t="n">
        <v>45345</v>
      </c>
      <c r="B26" s="65" t="n">
        <v>553.44</v>
      </c>
      <c r="C26" s="65" t="n">
        <v>66.92</v>
      </c>
      <c r="D26" s="65" t="n">
        <v>914.27</v>
      </c>
      <c r="E26" s="65" t="n">
        <v>126.07</v>
      </c>
      <c r="F26" s="65" t="n">
        <v>84.54</v>
      </c>
      <c r="G26" s="65" t="n">
        <v>77.87</v>
      </c>
      <c r="H26" s="65" t="n">
        <v>105.57</v>
      </c>
      <c r="I26" s="65" t="n">
        <v>65.63</v>
      </c>
      <c r="J26" s="65" t="n">
        <v>85.31</v>
      </c>
      <c r="K26" s="65" t="n">
        <v>78.59</v>
      </c>
      <c r="L26" s="65" t="n">
        <v>121.72</v>
      </c>
      <c r="M26" s="65" t="n">
        <v>22.97</v>
      </c>
      <c r="N26" s="65" t="n">
        <v>23.51</v>
      </c>
      <c r="O26" s="65" t="n">
        <v>75.1</v>
      </c>
      <c r="P26" s="65" t="n">
        <v>125.04</v>
      </c>
      <c r="Q26" s="65" t="n">
        <v>278.31</v>
      </c>
      <c r="R26" s="65" t="n">
        <v>51.39</v>
      </c>
      <c r="S26" s="65" t="n">
        <v>68.25</v>
      </c>
      <c r="T26" s="65" t="n">
        <v>28.02</v>
      </c>
      <c r="U26" s="65"/>
      <c r="V26" s="65" t="n">
        <v>265.36</v>
      </c>
      <c r="W26" s="65"/>
      <c r="X26" s="65"/>
      <c r="Y26" s="65"/>
      <c r="Z26" s="65"/>
      <c r="AA26" s="65"/>
    </row>
    <row r="27" customFormat="false" ht="15" hidden="false" customHeight="true" outlineLevel="0" collapsed="false">
      <c r="A27" s="68" t="n">
        <v>45352</v>
      </c>
      <c r="B27" s="65" t="n">
        <v>570.93</v>
      </c>
      <c r="C27" s="65" t="n">
        <v>71.93</v>
      </c>
      <c r="D27" s="65" t="n">
        <v>970.78</v>
      </c>
      <c r="E27" s="65" t="n">
        <v>136.07</v>
      </c>
      <c r="F27" s="65" t="n">
        <v>85.87</v>
      </c>
      <c r="G27" s="65" t="n">
        <v>78.65</v>
      </c>
      <c r="H27" s="65" t="n">
        <v>105.59</v>
      </c>
      <c r="I27" s="65" t="n">
        <v>70.42</v>
      </c>
      <c r="J27" s="65" t="n">
        <v>94.38</v>
      </c>
      <c r="K27" s="65" t="n">
        <v>82.04</v>
      </c>
      <c r="L27" s="65" t="n">
        <v>122.99</v>
      </c>
      <c r="M27" s="65" t="n">
        <v>24.93</v>
      </c>
      <c r="N27" s="65" t="n">
        <v>23.59</v>
      </c>
      <c r="O27" s="65" t="n">
        <v>77.21</v>
      </c>
      <c r="P27" s="65" t="n">
        <v>129.26</v>
      </c>
      <c r="Q27" s="65" t="n">
        <v>277.88</v>
      </c>
      <c r="R27" s="65" t="n">
        <v>51.79</v>
      </c>
      <c r="S27" s="65" t="n">
        <v>69.35</v>
      </c>
      <c r="T27" s="65" t="n">
        <v>28.25</v>
      </c>
      <c r="U27" s="65"/>
      <c r="V27" s="65" t="n">
        <v>262.46</v>
      </c>
      <c r="W27" s="65"/>
      <c r="X27" s="65"/>
      <c r="Y27" s="65"/>
      <c r="Z27" s="65"/>
      <c r="AA27" s="65"/>
    </row>
    <row r="28" customFormat="false" ht="15" hidden="false" customHeight="true" outlineLevel="0" collapsed="false">
      <c r="A28" s="68" t="n">
        <v>45359</v>
      </c>
      <c r="B28" s="65" t="n">
        <v>551.69</v>
      </c>
      <c r="C28" s="65" t="n">
        <v>68.28</v>
      </c>
      <c r="D28" s="65" t="n">
        <v>974.11</v>
      </c>
      <c r="E28" s="65" t="n">
        <v>127.27</v>
      </c>
      <c r="F28" s="65" t="n">
        <v>85.97</v>
      </c>
      <c r="G28" s="65" t="n">
        <v>80.71</v>
      </c>
      <c r="H28" s="65" t="n">
        <v>108.41</v>
      </c>
      <c r="I28" s="65" t="n">
        <v>68.62</v>
      </c>
      <c r="J28" s="65" t="n">
        <v>96.83</v>
      </c>
      <c r="K28" s="65" t="n">
        <v>87.28</v>
      </c>
      <c r="L28" s="65" t="n">
        <v>123.42</v>
      </c>
      <c r="M28" s="65" t="n">
        <v>26.04</v>
      </c>
      <c r="N28" s="65" t="n">
        <v>23.67</v>
      </c>
      <c r="O28" s="65" t="n">
        <v>77.51</v>
      </c>
      <c r="P28" s="65" t="n">
        <v>141.3</v>
      </c>
      <c r="Q28" s="65" t="n">
        <v>274.82</v>
      </c>
      <c r="R28" s="65" t="n">
        <v>51.94</v>
      </c>
      <c r="S28" s="65" t="n">
        <v>72.52</v>
      </c>
      <c r="T28" s="65" t="n">
        <v>28.52</v>
      </c>
      <c r="U28" s="65"/>
      <c r="V28" s="65" t="n">
        <v>271.51</v>
      </c>
      <c r="W28" s="65"/>
      <c r="X28" s="65"/>
      <c r="Y28" s="65"/>
      <c r="Z28" s="65"/>
      <c r="AA28" s="65"/>
    </row>
    <row r="29" customFormat="false" ht="15" hidden="false" customHeight="true" outlineLevel="0" collapsed="false">
      <c r="A29" s="68" t="n">
        <v>45366</v>
      </c>
      <c r="B29" s="65" t="n">
        <v>492.46</v>
      </c>
      <c r="C29" s="65" t="n">
        <v>69.43</v>
      </c>
      <c r="D29" s="65" t="n">
        <v>921.09</v>
      </c>
      <c r="E29" s="65" t="n">
        <v>120.15</v>
      </c>
      <c r="F29" s="65" t="n">
        <v>85.24</v>
      </c>
      <c r="G29" s="65" t="n">
        <v>78.91</v>
      </c>
      <c r="H29" s="65" t="n">
        <v>108.06</v>
      </c>
      <c r="I29" s="65" t="n">
        <v>67.11</v>
      </c>
      <c r="J29" s="65" t="n">
        <v>92.5</v>
      </c>
      <c r="K29" s="65" t="n">
        <v>87.59</v>
      </c>
      <c r="L29" s="65" t="n">
        <v>118.76</v>
      </c>
      <c r="M29" s="65" t="n">
        <v>23.49</v>
      </c>
      <c r="N29" s="65" t="n">
        <v>23.71</v>
      </c>
      <c r="O29" s="65" t="n">
        <v>77.11</v>
      </c>
      <c r="P29" s="65" t="n">
        <v>132.23</v>
      </c>
      <c r="Q29" s="65" t="n">
        <v>277.76</v>
      </c>
      <c r="R29" s="65" t="n">
        <v>52.49</v>
      </c>
      <c r="S29" s="65" t="n">
        <v>74.25</v>
      </c>
      <c r="T29" s="65" t="n">
        <v>28.63</v>
      </c>
      <c r="U29" s="65"/>
      <c r="V29" s="65" t="n">
        <v>271.28</v>
      </c>
      <c r="W29" s="65"/>
      <c r="X29" s="65"/>
      <c r="Y29" s="65"/>
      <c r="Z29" s="65"/>
      <c r="AA29" s="65"/>
    </row>
    <row r="30" customFormat="false" ht="15" hidden="false" customHeight="true" outlineLevel="0" collapsed="false">
      <c r="A30" s="68" t="n">
        <v>45373</v>
      </c>
      <c r="B30" s="65" t="n">
        <v>499.52</v>
      </c>
      <c r="C30" s="65" t="n">
        <v>76.61</v>
      </c>
      <c r="D30" s="65" t="n">
        <v>960.03</v>
      </c>
      <c r="E30" s="65" t="n">
        <v>132.19</v>
      </c>
      <c r="F30" s="65" t="n">
        <v>87.57</v>
      </c>
      <c r="G30" s="65" t="n">
        <v>81.89</v>
      </c>
      <c r="H30" s="65" t="n">
        <v>109.81</v>
      </c>
      <c r="I30" s="65" t="n">
        <v>69.73</v>
      </c>
      <c r="J30" s="65" t="n">
        <v>109.32</v>
      </c>
      <c r="K30" s="65" t="n">
        <v>94.02</v>
      </c>
      <c r="L30" s="65" t="n">
        <v>118.4</v>
      </c>
      <c r="M30" s="65" t="n">
        <v>24.18</v>
      </c>
      <c r="N30" s="65" t="n">
        <v>24.15</v>
      </c>
      <c r="O30" s="65" t="n">
        <v>79.43</v>
      </c>
      <c r="P30" s="65" t="n">
        <v>136.22</v>
      </c>
      <c r="Q30" s="65" t="n">
        <v>277.98</v>
      </c>
      <c r="R30" s="65" t="n">
        <v>52.32</v>
      </c>
      <c r="S30" s="65" t="n">
        <v>74.87</v>
      </c>
      <c r="T30" s="65" t="n">
        <v>28.87</v>
      </c>
      <c r="U30" s="65"/>
      <c r="V30" s="65" t="n">
        <v>273.37</v>
      </c>
      <c r="W30" s="65"/>
      <c r="X30" s="65"/>
      <c r="Y30" s="65"/>
      <c r="Z30" s="65"/>
      <c r="AA30" s="65"/>
    </row>
    <row r="31" customFormat="false" ht="15" hidden="false" customHeight="true" outlineLevel="0" collapsed="false">
      <c r="A31" s="68" t="n">
        <v>45380</v>
      </c>
      <c r="B31" s="65" t="n">
        <v>504.6</v>
      </c>
      <c r="C31" s="65" t="n">
        <v>72.5</v>
      </c>
      <c r="D31" s="65" t="n">
        <v>950.73</v>
      </c>
      <c r="E31" s="65" t="n">
        <v>129.45</v>
      </c>
      <c r="F31" s="65" t="n">
        <v>90.08</v>
      </c>
      <c r="G31" s="65" t="n">
        <v>80.15</v>
      </c>
      <c r="H31" s="65" t="n">
        <v>112.58</v>
      </c>
      <c r="I31" s="65" t="n">
        <v>68.55</v>
      </c>
      <c r="J31" s="65" t="n">
        <v>117.05</v>
      </c>
      <c r="K31" s="65" t="n">
        <v>90.1</v>
      </c>
      <c r="L31" s="65" t="n">
        <v>119.87</v>
      </c>
      <c r="M31" s="65" t="n">
        <v>23.01</v>
      </c>
      <c r="N31" s="65" t="n">
        <v>24.53</v>
      </c>
      <c r="O31" s="65" t="n">
        <v>78.83</v>
      </c>
      <c r="P31" s="65" t="n">
        <v>131.87</v>
      </c>
      <c r="Q31" s="65" t="n">
        <v>273.88</v>
      </c>
      <c r="R31" s="65" t="n">
        <v>52.98</v>
      </c>
      <c r="S31" s="65" t="n">
        <v>76.55</v>
      </c>
      <c r="T31" s="65" t="n">
        <v>29.5</v>
      </c>
      <c r="U31" s="65"/>
      <c r="V31" s="65" t="n">
        <v>278.31</v>
      </c>
      <c r="W31" s="65"/>
      <c r="X31" s="65"/>
      <c r="Y31" s="65"/>
      <c r="Z31" s="65"/>
      <c r="AA31" s="65"/>
    </row>
    <row r="32" customFormat="false" ht="15" hidden="false" customHeight="true" outlineLevel="0" collapsed="false">
      <c r="A32" s="68" t="n">
        <v>45387</v>
      </c>
      <c r="B32" s="65" t="n">
        <v>485.12</v>
      </c>
      <c r="C32" s="65" t="n">
        <v>74.4</v>
      </c>
      <c r="D32" s="65" t="n">
        <v>959.63</v>
      </c>
      <c r="E32" s="65" t="n">
        <v>130.82</v>
      </c>
      <c r="F32" s="65" t="n">
        <v>88.14</v>
      </c>
      <c r="G32" s="65" t="n">
        <v>78.88</v>
      </c>
      <c r="H32" s="65" t="n">
        <v>110.58</v>
      </c>
      <c r="I32" s="65" t="n">
        <v>67.01</v>
      </c>
      <c r="J32" s="65" t="n">
        <v>122.7</v>
      </c>
      <c r="K32" s="65" t="n">
        <v>87.76</v>
      </c>
      <c r="L32" s="65" t="n">
        <v>114.82</v>
      </c>
      <c r="M32" s="65" t="n">
        <v>22.96</v>
      </c>
      <c r="N32" s="65" t="n">
        <v>24.03</v>
      </c>
      <c r="O32" s="65" t="n">
        <v>79.06</v>
      </c>
      <c r="P32" s="65" t="n">
        <v>137.01</v>
      </c>
      <c r="Q32" s="65" t="n">
        <v>271.97</v>
      </c>
      <c r="R32" s="65" t="n">
        <v>53.26</v>
      </c>
      <c r="S32" s="65" t="n">
        <v>78.7</v>
      </c>
      <c r="T32" s="65" t="n">
        <v>30.15</v>
      </c>
      <c r="U32" s="65"/>
      <c r="V32" s="65" t="n">
        <v>277.88</v>
      </c>
      <c r="W32" s="65"/>
      <c r="X32" s="65"/>
      <c r="Y32" s="65"/>
      <c r="Z32" s="65"/>
      <c r="AA32" s="65"/>
    </row>
    <row r="33" customFormat="false" ht="15" hidden="false" customHeight="true" outlineLevel="0" collapsed="false">
      <c r="A33" s="68" t="n">
        <v>45394</v>
      </c>
      <c r="B33" s="65" t="n">
        <v>474.09</v>
      </c>
      <c r="C33" s="65" t="n">
        <v>67.81</v>
      </c>
      <c r="D33" s="65" t="n">
        <v>942.28</v>
      </c>
      <c r="E33" s="65" t="n">
        <v>131.27</v>
      </c>
      <c r="F33" s="65" t="n">
        <v>85.42</v>
      </c>
      <c r="G33" s="65" t="n">
        <v>77.26</v>
      </c>
      <c r="H33" s="65" t="n">
        <v>107.42</v>
      </c>
      <c r="I33" s="65" t="n">
        <v>66.81</v>
      </c>
      <c r="J33" s="65" t="n">
        <v>121.65</v>
      </c>
      <c r="K33" s="65" t="n">
        <v>87.94</v>
      </c>
      <c r="L33" s="65" t="n">
        <v>109.54</v>
      </c>
      <c r="M33" s="65" t="n">
        <v>22.67</v>
      </c>
      <c r="N33" s="65" t="n">
        <v>23.36</v>
      </c>
      <c r="O33" s="65" t="n">
        <v>77.95</v>
      </c>
      <c r="P33" s="65" t="n">
        <v>138.14</v>
      </c>
      <c r="Q33" s="65" t="n">
        <v>270.82</v>
      </c>
      <c r="R33" s="65" t="n">
        <v>53.19</v>
      </c>
      <c r="S33" s="65" t="n">
        <v>79</v>
      </c>
      <c r="T33" s="65" t="n">
        <v>30.74</v>
      </c>
      <c r="U33" s="65"/>
      <c r="V33" s="65" t="n">
        <v>274.82</v>
      </c>
      <c r="W33" s="65"/>
      <c r="X33" s="65"/>
      <c r="Y33" s="65"/>
      <c r="Z33" s="65"/>
      <c r="AA33" s="65"/>
    </row>
    <row r="34" customFormat="false" ht="15" hidden="false" customHeight="true" outlineLevel="0" collapsed="false">
      <c r="A34" s="68" t="n">
        <v>45401</v>
      </c>
      <c r="B34" s="65" t="n">
        <v>465.02</v>
      </c>
      <c r="C34" s="65" t="n">
        <v>61.52</v>
      </c>
      <c r="D34" s="65" t="n">
        <v>842.06</v>
      </c>
      <c r="E34" s="65" t="n">
        <v>117.66</v>
      </c>
      <c r="F34" s="65" t="n">
        <v>84.65</v>
      </c>
      <c r="G34" s="65" t="n">
        <v>70.66</v>
      </c>
      <c r="H34" s="65" t="n">
        <v>108.48</v>
      </c>
      <c r="I34" s="65" t="n">
        <v>61.64</v>
      </c>
      <c r="J34" s="65" t="n">
        <v>106.01</v>
      </c>
      <c r="K34" s="65" t="n">
        <v>75.98</v>
      </c>
      <c r="L34" s="65" t="n">
        <v>95.26</v>
      </c>
      <c r="M34" s="65" t="n">
        <v>20.47</v>
      </c>
      <c r="N34" s="65" t="n">
        <v>23.32</v>
      </c>
      <c r="O34" s="65" t="n">
        <v>73.52</v>
      </c>
      <c r="P34" s="65" t="n">
        <v>123.77</v>
      </c>
      <c r="Q34" s="65" t="n">
        <v>264.75</v>
      </c>
      <c r="R34" s="65" t="n">
        <v>52.91</v>
      </c>
      <c r="S34" s="65" t="n">
        <v>78.59</v>
      </c>
      <c r="T34" s="65" t="n">
        <v>31.16</v>
      </c>
      <c r="U34" s="65"/>
      <c r="V34" s="65" t="n">
        <v>277.76</v>
      </c>
      <c r="W34" s="65"/>
      <c r="X34" s="65"/>
      <c r="Y34" s="65"/>
      <c r="Z34" s="65"/>
      <c r="AA34" s="65"/>
    </row>
    <row r="35" customFormat="false" ht="15" hidden="false" customHeight="true" outlineLevel="0" collapsed="false">
      <c r="A35" s="68" t="n">
        <v>45408</v>
      </c>
      <c r="B35" s="65" t="n">
        <v>477.56</v>
      </c>
      <c r="C35" s="65" t="n">
        <v>66.18</v>
      </c>
      <c r="D35" s="65" t="n">
        <v>902.15</v>
      </c>
      <c r="E35" s="65" t="n">
        <v>131.27</v>
      </c>
      <c r="F35" s="65" t="n">
        <v>86.75</v>
      </c>
      <c r="G35" s="65" t="n">
        <v>76.02</v>
      </c>
      <c r="H35" s="65" t="n">
        <v>109.47</v>
      </c>
      <c r="I35" s="65" t="n">
        <v>69.31</v>
      </c>
      <c r="J35" s="65" t="n">
        <v>114.02</v>
      </c>
      <c r="K35" s="65" t="n">
        <v>87.49</v>
      </c>
      <c r="L35" s="65" t="n">
        <v>95.79</v>
      </c>
      <c r="M35" s="65" t="n">
        <v>22.52</v>
      </c>
      <c r="N35" s="65" t="n">
        <v>23.57</v>
      </c>
      <c r="O35" s="65" t="n">
        <v>75.73</v>
      </c>
      <c r="P35" s="65" t="n">
        <v>134.05</v>
      </c>
      <c r="Q35" s="65" t="n">
        <v>269.4</v>
      </c>
      <c r="R35" s="65" t="n">
        <v>54.26</v>
      </c>
      <c r="S35" s="65" t="n">
        <v>80.83</v>
      </c>
      <c r="T35" s="65" t="n">
        <v>31.91</v>
      </c>
      <c r="U35" s="65"/>
      <c r="V35" s="65" t="n">
        <v>277.98</v>
      </c>
      <c r="W35" s="65"/>
      <c r="X35" s="65"/>
      <c r="Y35" s="65"/>
      <c r="Z35" s="65"/>
      <c r="AA35" s="65"/>
    </row>
    <row r="36" customFormat="false" ht="15" hidden="false" customHeight="true" outlineLevel="0" collapsed="false">
      <c r="A36" s="68" t="n">
        <v>45415</v>
      </c>
      <c r="B36" s="65" t="n">
        <v>486.18</v>
      </c>
      <c r="C36" s="65" t="n">
        <v>68.6</v>
      </c>
      <c r="D36" s="65" t="n">
        <v>885.13</v>
      </c>
      <c r="E36" s="65" t="n">
        <v>124.83</v>
      </c>
      <c r="F36" s="65" t="n">
        <v>87.34</v>
      </c>
      <c r="G36" s="65" t="n">
        <v>77.55</v>
      </c>
      <c r="H36" s="65" t="n">
        <v>110.81</v>
      </c>
      <c r="I36" s="65" t="n">
        <v>68.36</v>
      </c>
      <c r="J36" s="65" t="n">
        <v>113.88</v>
      </c>
      <c r="K36" s="65" t="n">
        <v>88.54</v>
      </c>
      <c r="L36" s="65" t="n">
        <v>97.47</v>
      </c>
      <c r="M36" s="65" t="n">
        <v>23.33</v>
      </c>
      <c r="N36" s="65" t="n">
        <v>23.72</v>
      </c>
      <c r="O36" s="65" t="n">
        <v>76.47</v>
      </c>
      <c r="P36" s="65" t="n">
        <v>137.21</v>
      </c>
      <c r="Q36" s="65" t="n">
        <v>263.49</v>
      </c>
      <c r="R36" s="65" t="n">
        <v>54.24</v>
      </c>
      <c r="S36" s="65" t="n">
        <v>80.22</v>
      </c>
      <c r="T36" s="65" t="n">
        <v>32.41</v>
      </c>
      <c r="U36" s="65"/>
      <c r="V36" s="65"/>
      <c r="W36" s="65"/>
      <c r="X36" s="65"/>
      <c r="Y36" s="65"/>
      <c r="Z36" s="65"/>
      <c r="AA36" s="65"/>
    </row>
    <row r="37" customFormat="false" ht="15" hidden="false" customHeight="true" outlineLevel="0" collapsed="false">
      <c r="A37" s="68" t="n">
        <v>45422</v>
      </c>
      <c r="B37" s="65" t="n">
        <v>482.29</v>
      </c>
      <c r="C37" s="65" t="n">
        <v>78.51</v>
      </c>
      <c r="D37" s="65" t="n">
        <v>913.26</v>
      </c>
      <c r="E37" s="65" t="n">
        <v>130.17</v>
      </c>
      <c r="F37" s="65" t="n">
        <v>88.85</v>
      </c>
      <c r="G37" s="65" t="n">
        <v>80.19</v>
      </c>
      <c r="H37" s="65" t="n">
        <v>113.55</v>
      </c>
      <c r="I37" s="65" t="n">
        <v>70.49</v>
      </c>
      <c r="J37" s="65" t="n">
        <v>120.38</v>
      </c>
      <c r="K37" s="65" t="n">
        <v>89.62</v>
      </c>
      <c r="L37" s="65" t="n">
        <v>98.95</v>
      </c>
      <c r="M37" s="65" t="n">
        <v>20.6</v>
      </c>
      <c r="N37" s="65" t="n">
        <v>24.12</v>
      </c>
      <c r="O37" s="65" t="n">
        <v>78.17</v>
      </c>
      <c r="P37" s="65" t="n">
        <v>144.67</v>
      </c>
      <c r="Q37" s="65" t="n">
        <v>275.51</v>
      </c>
      <c r="R37" s="65" t="n">
        <v>53.59</v>
      </c>
      <c r="S37" s="65" t="n">
        <v>80.45</v>
      </c>
      <c r="T37" s="65" t="n">
        <v>32.33</v>
      </c>
      <c r="U37" s="65"/>
      <c r="V37" s="65" t="n">
        <v>271.97</v>
      </c>
      <c r="W37" s="65"/>
      <c r="X37" s="65"/>
      <c r="Y37" s="65"/>
      <c r="Z37" s="65"/>
      <c r="AA37" s="65"/>
    </row>
    <row r="38" customFormat="false" ht="15" hidden="false" customHeight="true" outlineLevel="0" collapsed="false">
      <c r="A38" s="68" t="n">
        <v>45429</v>
      </c>
      <c r="B38" s="65" t="n">
        <v>483.43</v>
      </c>
      <c r="C38" s="65" t="n">
        <v>79.97</v>
      </c>
      <c r="D38" s="65" t="n">
        <v>908.04</v>
      </c>
      <c r="E38" s="65" t="n">
        <v>136.27</v>
      </c>
      <c r="F38" s="65" t="n">
        <v>89.83</v>
      </c>
      <c r="G38" s="65" t="n">
        <v>86.48</v>
      </c>
      <c r="H38" s="65" t="n">
        <v>114.93</v>
      </c>
      <c r="I38" s="65" t="n">
        <v>73.52</v>
      </c>
      <c r="J38" s="65" t="n">
        <v>124.4</v>
      </c>
      <c r="K38" s="65" t="n">
        <v>92.22</v>
      </c>
      <c r="L38" s="65" t="n">
        <v>102.64</v>
      </c>
      <c r="M38" s="65" t="n">
        <v>21.76</v>
      </c>
      <c r="N38" s="65" t="n">
        <v>24.36</v>
      </c>
      <c r="O38" s="65" t="n">
        <v>79.35</v>
      </c>
      <c r="P38" s="65" t="n">
        <v>147.02</v>
      </c>
      <c r="Q38" s="65" t="n">
        <v>275.39</v>
      </c>
      <c r="R38" s="65" t="n">
        <v>53.4</v>
      </c>
      <c r="S38" s="65" t="n">
        <v>79.32</v>
      </c>
      <c r="T38" s="65" t="n">
        <v>31.49</v>
      </c>
      <c r="U38" s="65"/>
      <c r="V38" s="65" t="n">
        <v>270.82</v>
      </c>
      <c r="W38" s="65"/>
      <c r="X38" s="65"/>
      <c r="Y38" s="65"/>
      <c r="Z38" s="65"/>
      <c r="AA38" s="65"/>
    </row>
    <row r="39" customFormat="false" ht="15" hidden="false" customHeight="true" outlineLevel="0" collapsed="false">
      <c r="A39" s="68" t="n">
        <v>45436</v>
      </c>
      <c r="B39" s="65" t="n">
        <v>475.43</v>
      </c>
      <c r="C39" s="65" t="n">
        <v>76.64</v>
      </c>
      <c r="D39" s="65" t="n">
        <v>938.72</v>
      </c>
      <c r="E39" s="65" t="n">
        <v>137.5</v>
      </c>
      <c r="F39" s="65" t="n">
        <v>88.5</v>
      </c>
      <c r="G39" s="65" t="n">
        <v>87.87</v>
      </c>
      <c r="H39" s="65" t="n">
        <v>112.58</v>
      </c>
      <c r="I39" s="65" t="n">
        <v>76.61</v>
      </c>
      <c r="J39" s="65" t="n">
        <v>128.57</v>
      </c>
      <c r="K39" s="65" t="n">
        <v>106.17</v>
      </c>
      <c r="L39" s="65" t="n">
        <v>96.42</v>
      </c>
      <c r="M39" s="65" t="n">
        <v>21.01</v>
      </c>
      <c r="N39" s="65" t="n">
        <v>23.76</v>
      </c>
      <c r="O39" s="65" t="n">
        <v>80.9</v>
      </c>
      <c r="P39" s="65" t="n">
        <v>155.08</v>
      </c>
      <c r="Q39" s="65" t="n">
        <v>269.87</v>
      </c>
      <c r="R39" s="65" t="n">
        <v>50.84</v>
      </c>
      <c r="S39" s="65" t="n">
        <v>74.81</v>
      </c>
      <c r="T39" s="65" t="n">
        <v>30.93</v>
      </c>
      <c r="U39" s="65"/>
      <c r="V39" s="65" t="n">
        <v>264.75</v>
      </c>
      <c r="W39" s="65"/>
      <c r="X39" s="65"/>
      <c r="Y39" s="65"/>
      <c r="Z39" s="65"/>
      <c r="AA39" s="65"/>
    </row>
    <row r="40" customFormat="false" ht="15" hidden="false" customHeight="true" outlineLevel="0" collapsed="false">
      <c r="A40" s="68" t="n">
        <v>45443</v>
      </c>
      <c r="B40" s="65" t="n">
        <v>444.76</v>
      </c>
      <c r="C40" s="65" t="n">
        <v>74.41</v>
      </c>
      <c r="D40" s="65" t="n">
        <v>942.77</v>
      </c>
      <c r="E40" s="65" t="n">
        <v>129.75</v>
      </c>
      <c r="F40" s="65" t="n">
        <v>89.45</v>
      </c>
      <c r="G40" s="65" t="n">
        <v>78.42</v>
      </c>
      <c r="H40" s="65" t="n">
        <v>113.76</v>
      </c>
      <c r="I40" s="65" t="n">
        <v>74.69</v>
      </c>
      <c r="J40" s="65" t="n">
        <v>124.11</v>
      </c>
      <c r="K40" s="65" t="n">
        <v>109.32</v>
      </c>
      <c r="L40" s="65" t="n">
        <v>101.71</v>
      </c>
      <c r="M40" s="65" t="n">
        <v>21.68</v>
      </c>
      <c r="N40" s="65" t="n">
        <v>23.9</v>
      </c>
      <c r="O40" s="65" t="n">
        <v>80.01</v>
      </c>
      <c r="P40" s="65" t="n">
        <v>146.4</v>
      </c>
      <c r="Q40" s="65" t="n">
        <v>267.88</v>
      </c>
      <c r="R40" s="65" t="n">
        <v>52.66</v>
      </c>
      <c r="S40" s="65" t="n">
        <v>77.06</v>
      </c>
      <c r="T40" s="65" t="n">
        <v>31.32</v>
      </c>
      <c r="U40" s="65"/>
      <c r="V40" s="65" t="n">
        <v>269.4</v>
      </c>
      <c r="W40" s="65"/>
      <c r="X40" s="65"/>
      <c r="Y40" s="65"/>
      <c r="Z40" s="65"/>
      <c r="AA40" s="65"/>
    </row>
    <row r="41" customFormat="false" ht="15" hidden="false" customHeight="true" outlineLevel="0" collapsed="false">
      <c r="A41" s="68" t="n">
        <v>45450</v>
      </c>
      <c r="B41" s="65" t="n">
        <v>465.43</v>
      </c>
      <c r="C41" s="65" t="n">
        <v>74.2</v>
      </c>
      <c r="D41" s="65" t="n">
        <v>1009.6</v>
      </c>
      <c r="E41" s="65" t="n">
        <v>137.38</v>
      </c>
      <c r="F41" s="65" t="n">
        <v>86.4</v>
      </c>
      <c r="G41" s="65" t="n">
        <v>87.28</v>
      </c>
      <c r="H41" s="65" t="n">
        <v>111.46</v>
      </c>
      <c r="I41" s="65" t="n">
        <v>75.61</v>
      </c>
      <c r="J41" s="65" t="n">
        <v>130.01</v>
      </c>
      <c r="K41" s="65" t="n">
        <v>120.54</v>
      </c>
      <c r="L41" s="65" t="n">
        <v>101.44</v>
      </c>
      <c r="M41" s="65" t="n">
        <v>23.31</v>
      </c>
      <c r="N41" s="65" t="n">
        <v>23.69</v>
      </c>
      <c r="O41" s="65" t="n">
        <v>82.44</v>
      </c>
      <c r="P41" s="65" t="n">
        <v>159.34</v>
      </c>
      <c r="Q41" s="65" t="n">
        <v>273.98</v>
      </c>
      <c r="R41" s="65" t="n">
        <v>52.75</v>
      </c>
      <c r="S41" s="65" t="n">
        <v>77.82</v>
      </c>
      <c r="T41" s="65" t="n">
        <v>30.83</v>
      </c>
      <c r="U41" s="65"/>
      <c r="V41" s="65" t="n">
        <v>263.49</v>
      </c>
      <c r="W41" s="65"/>
      <c r="X41" s="65"/>
      <c r="Y41" s="65"/>
      <c r="Z41" s="65"/>
      <c r="AA41" s="65"/>
    </row>
    <row r="42" customFormat="false" ht="15" hidden="false" customHeight="true" outlineLevel="0" collapsed="false">
      <c r="A42" s="68" t="n">
        <v>45457</v>
      </c>
      <c r="B42" s="65" t="n">
        <v>525.31</v>
      </c>
      <c r="C42" s="65" t="n">
        <v>82.12</v>
      </c>
      <c r="D42" s="65" t="n">
        <v>1009.09</v>
      </c>
      <c r="E42" s="65" t="n">
        <v>169.45</v>
      </c>
      <c r="F42" s="65" t="n">
        <v>84.34</v>
      </c>
      <c r="G42" s="65" t="n">
        <v>96.36</v>
      </c>
      <c r="H42" s="65" t="n">
        <v>109.58</v>
      </c>
      <c r="I42" s="65" t="n">
        <v>81.11</v>
      </c>
      <c r="J42" s="65" t="n">
        <v>140.35</v>
      </c>
      <c r="K42" s="65" t="n">
        <v>131.52</v>
      </c>
      <c r="L42" s="65" t="n">
        <v>103.36</v>
      </c>
      <c r="M42" s="65" t="n">
        <v>23.57</v>
      </c>
      <c r="N42" s="65" t="n">
        <v>23.36</v>
      </c>
      <c r="O42" s="65" t="n">
        <v>85.92</v>
      </c>
      <c r="P42" s="65" t="n">
        <v>167.73</v>
      </c>
      <c r="Q42" s="65" t="n">
        <v>266.11</v>
      </c>
      <c r="R42" s="65" t="n">
        <v>53.48</v>
      </c>
      <c r="S42" s="65" t="n">
        <v>79.55</v>
      </c>
      <c r="T42" s="65" t="n">
        <v>31.51</v>
      </c>
      <c r="U42" s="65"/>
      <c r="V42" s="65" t="n">
        <v>275.51</v>
      </c>
      <c r="W42" s="65"/>
      <c r="X42" s="65"/>
      <c r="Y42" s="65"/>
      <c r="Z42" s="65"/>
      <c r="AA42" s="65"/>
    </row>
    <row r="43" customFormat="false" ht="15" hidden="false" customHeight="true" outlineLevel="0" collapsed="false">
      <c r="A43" s="68" t="n">
        <v>45464</v>
      </c>
      <c r="B43" s="65" t="n">
        <v>533.44</v>
      </c>
      <c r="C43" s="65" t="n">
        <v>84.34</v>
      </c>
      <c r="D43" s="65" t="n">
        <v>1017.63</v>
      </c>
      <c r="E43" s="65" t="n">
        <v>161.99</v>
      </c>
      <c r="F43" s="65" t="n">
        <v>85.25</v>
      </c>
      <c r="G43" s="65" t="n">
        <v>95.16</v>
      </c>
      <c r="H43" s="65" t="n">
        <v>111.09</v>
      </c>
      <c r="I43" s="65" t="n">
        <v>80.29</v>
      </c>
      <c r="J43" s="65" t="n">
        <v>138.55</v>
      </c>
      <c r="K43" s="65" t="n">
        <v>126.22</v>
      </c>
      <c r="L43" s="65" t="n">
        <v>101.57</v>
      </c>
      <c r="M43" s="65" t="n">
        <v>23.84</v>
      </c>
      <c r="N43" s="65" t="n">
        <v>23.76</v>
      </c>
      <c r="O43" s="65" t="n">
        <v>85.85</v>
      </c>
      <c r="P43" s="65" t="n">
        <v>169.14</v>
      </c>
      <c r="Q43" s="65" t="n">
        <v>270.59</v>
      </c>
      <c r="R43" s="65" t="n">
        <v>54.12</v>
      </c>
      <c r="S43" s="65" t="n">
        <v>80.75</v>
      </c>
      <c r="T43" s="65" t="n">
        <v>31.8</v>
      </c>
      <c r="U43" s="65"/>
      <c r="V43" s="65" t="n">
        <v>275.39</v>
      </c>
      <c r="W43" s="65"/>
      <c r="X43" s="65"/>
      <c r="Y43" s="65"/>
      <c r="Z43" s="65"/>
      <c r="AA43" s="65"/>
    </row>
    <row r="44" customFormat="false" ht="15" hidden="false" customHeight="true" outlineLevel="0" collapsed="false">
      <c r="A44" s="68" t="n">
        <v>45471</v>
      </c>
      <c r="B44" s="65" t="n">
        <v>555.54</v>
      </c>
      <c r="C44" s="65" t="n">
        <v>87.62</v>
      </c>
      <c r="D44" s="65" t="n">
        <v>1004.01</v>
      </c>
      <c r="E44" s="65" t="n">
        <v>157.3</v>
      </c>
      <c r="F44" s="65" t="n">
        <v>86.67</v>
      </c>
      <c r="G44" s="65" t="n">
        <v>95.8</v>
      </c>
      <c r="H44" s="65" t="n">
        <v>111.42</v>
      </c>
      <c r="I44" s="65" t="n">
        <v>81.08</v>
      </c>
      <c r="J44" s="65" t="n">
        <v>130.59</v>
      </c>
      <c r="K44" s="65" t="n">
        <v>123.2</v>
      </c>
      <c r="L44" s="65" t="n">
        <v>104.27</v>
      </c>
      <c r="M44" s="65" t="n">
        <v>25.33</v>
      </c>
      <c r="N44" s="65" t="n">
        <v>23.9</v>
      </c>
      <c r="O44" s="65" t="n">
        <v>86.01</v>
      </c>
      <c r="P44" s="65" t="n">
        <v>169</v>
      </c>
      <c r="Q44" s="65" t="n">
        <v>258.05</v>
      </c>
      <c r="R44" s="65" t="n">
        <v>54.38</v>
      </c>
      <c r="S44" s="65" t="n">
        <v>82.32</v>
      </c>
      <c r="T44" s="65" t="n">
        <v>31.26</v>
      </c>
      <c r="U44" s="65"/>
      <c r="V44" s="65" t="n">
        <v>269.87</v>
      </c>
      <c r="W44" s="65"/>
      <c r="X44" s="65"/>
      <c r="Y44" s="65"/>
      <c r="Z44" s="65"/>
      <c r="AA44" s="65"/>
    </row>
    <row r="45" customFormat="false" ht="15" hidden="false" customHeight="true" outlineLevel="0" collapsed="false">
      <c r="A45" s="68" t="n">
        <v>45478</v>
      </c>
      <c r="B45" s="65" t="n">
        <v>578.34</v>
      </c>
      <c r="C45" s="65" t="n">
        <v>91.54</v>
      </c>
      <c r="D45" s="65" t="n">
        <v>1054.81</v>
      </c>
      <c r="E45" s="65" t="n">
        <v>166.88</v>
      </c>
      <c r="F45" s="65" t="n">
        <v>85.24</v>
      </c>
      <c r="G45" s="65" t="n">
        <v>97.42</v>
      </c>
      <c r="H45" s="65" t="n">
        <v>110.51</v>
      </c>
      <c r="I45" s="65" t="n">
        <v>84.1</v>
      </c>
      <c r="J45" s="65" t="n">
        <v>130.66</v>
      </c>
      <c r="K45" s="65" t="n">
        <v>125.48</v>
      </c>
      <c r="L45" s="65" t="n">
        <v>106.27</v>
      </c>
      <c r="M45" s="65" t="n">
        <v>27.23</v>
      </c>
      <c r="N45" s="65" t="n">
        <v>23.68</v>
      </c>
      <c r="O45" s="65" t="n">
        <v>88.68</v>
      </c>
      <c r="P45" s="65" t="n">
        <v>178.9</v>
      </c>
      <c r="Q45" s="65" t="n">
        <v>265.81</v>
      </c>
      <c r="R45" s="65" t="n">
        <v>54.19</v>
      </c>
      <c r="S45" s="65" t="n">
        <v>81.42</v>
      </c>
      <c r="T45" s="65" t="n">
        <v>31.62</v>
      </c>
      <c r="U45" s="65"/>
      <c r="V45" s="65" t="n">
        <v>267.88</v>
      </c>
      <c r="W45" s="65"/>
      <c r="X45" s="65"/>
      <c r="Y45" s="65"/>
      <c r="Z45" s="65"/>
      <c r="AA45" s="65"/>
    </row>
    <row r="46" customFormat="false" ht="15" hidden="false" customHeight="true" outlineLevel="0" collapsed="false">
      <c r="A46" s="68" t="n">
        <v>45485</v>
      </c>
      <c r="B46" s="65" t="n">
        <v>559.05</v>
      </c>
      <c r="C46" s="65" t="n">
        <v>90.47</v>
      </c>
      <c r="D46" s="65" t="n">
        <v>1065.4</v>
      </c>
      <c r="E46" s="65" t="n">
        <v>166.62</v>
      </c>
      <c r="F46" s="65" t="n">
        <v>89.99</v>
      </c>
      <c r="G46" s="65" t="n">
        <v>92.83</v>
      </c>
      <c r="H46" s="65" t="n">
        <v>115.16</v>
      </c>
      <c r="I46" s="65" t="n">
        <v>84.34</v>
      </c>
      <c r="J46" s="65" t="n">
        <v>132.72</v>
      </c>
      <c r="K46" s="65" t="n">
        <v>128.88</v>
      </c>
      <c r="L46" s="65" t="n">
        <v>111.55</v>
      </c>
      <c r="M46" s="65" t="n">
        <v>28.07</v>
      </c>
      <c r="N46" s="65" t="n">
        <v>24.48</v>
      </c>
      <c r="O46" s="65" t="n">
        <v>88.5</v>
      </c>
      <c r="P46" s="65" t="n">
        <v>182.16</v>
      </c>
      <c r="Q46" s="65" t="n">
        <v>261.27</v>
      </c>
      <c r="R46" s="65" t="n">
        <v>54.49</v>
      </c>
      <c r="S46" s="65" t="n">
        <v>83.89</v>
      </c>
      <c r="T46" s="65" t="n">
        <v>30.95</v>
      </c>
      <c r="U46" s="65"/>
      <c r="V46" s="65" t="n">
        <v>273.98</v>
      </c>
      <c r="W46" s="65"/>
      <c r="X46" s="65"/>
      <c r="Y46" s="65"/>
      <c r="Z46" s="65"/>
      <c r="AA46" s="65"/>
    </row>
    <row r="47" customFormat="false" ht="15" hidden="false" customHeight="true" outlineLevel="0" collapsed="false">
      <c r="A47" s="68" t="n">
        <v>45492</v>
      </c>
      <c r="B47" s="65" t="n">
        <v>551</v>
      </c>
      <c r="C47" s="65" t="n">
        <v>82.64</v>
      </c>
      <c r="D47" s="65" t="n">
        <v>878.98</v>
      </c>
      <c r="E47" s="65" t="n">
        <v>154.16</v>
      </c>
      <c r="F47" s="65" t="n">
        <v>92.37</v>
      </c>
      <c r="G47" s="65" t="n">
        <v>76.24</v>
      </c>
      <c r="H47" s="65" t="n">
        <v>116.79</v>
      </c>
      <c r="I47" s="65" t="n">
        <v>74.98</v>
      </c>
      <c r="J47" s="65" t="n">
        <v>113.55</v>
      </c>
      <c r="K47" s="65" t="n">
        <v>117.6</v>
      </c>
      <c r="L47" s="65" t="n">
        <v>114.9</v>
      </c>
      <c r="M47" s="65" t="n">
        <v>28.58</v>
      </c>
      <c r="N47" s="65" t="n">
        <v>24.93</v>
      </c>
      <c r="O47" s="65" t="n">
        <v>84.92</v>
      </c>
      <c r="P47" s="65" t="n">
        <v>161.18</v>
      </c>
      <c r="Q47" s="65" t="n">
        <v>260.99</v>
      </c>
      <c r="R47" s="65" t="n">
        <v>55.18</v>
      </c>
      <c r="S47" s="65" t="n">
        <v>87.43</v>
      </c>
      <c r="T47" s="65" t="n">
        <v>30.82</v>
      </c>
      <c r="U47" s="65"/>
      <c r="V47" s="65" t="n">
        <v>266.11</v>
      </c>
      <c r="W47" s="65"/>
      <c r="X47" s="65"/>
      <c r="Y47" s="65"/>
      <c r="Z47" s="65"/>
      <c r="AA47" s="65"/>
    </row>
    <row r="48" customFormat="false" ht="15" hidden="false" customHeight="true" outlineLevel="0" collapsed="false">
      <c r="A48" s="68" t="n">
        <v>45499</v>
      </c>
      <c r="B48" s="65" t="n">
        <v>542.44</v>
      </c>
      <c r="C48" s="65" t="n">
        <v>79.8</v>
      </c>
      <c r="D48" s="65" t="n">
        <v>872.13</v>
      </c>
      <c r="E48" s="65" t="n">
        <v>148.56</v>
      </c>
      <c r="F48" s="65" t="n">
        <v>95.72</v>
      </c>
      <c r="G48" s="65" t="n">
        <v>64.04</v>
      </c>
      <c r="H48" s="65" t="n">
        <v>119.26</v>
      </c>
      <c r="I48" s="65" t="n">
        <v>77.43</v>
      </c>
      <c r="J48" s="65" t="n">
        <v>108.73</v>
      </c>
      <c r="K48" s="65" t="n">
        <v>112.75</v>
      </c>
      <c r="L48" s="65" t="n">
        <v>113.9</v>
      </c>
      <c r="M48" s="65" t="n">
        <v>27.18</v>
      </c>
      <c r="N48" s="65" t="n">
        <v>25.35</v>
      </c>
      <c r="O48" s="65" t="n">
        <v>83.32</v>
      </c>
      <c r="P48" s="65" t="n">
        <v>157.46</v>
      </c>
      <c r="Q48" s="65" t="n">
        <v>255.09</v>
      </c>
      <c r="R48" s="65" t="n">
        <v>55.24</v>
      </c>
      <c r="S48" s="65" t="n">
        <v>87.36</v>
      </c>
      <c r="T48" s="65" t="n">
        <v>31.12</v>
      </c>
      <c r="U48" s="65"/>
      <c r="V48" s="65" t="n">
        <v>270.59</v>
      </c>
      <c r="W48" s="65"/>
      <c r="X48" s="65"/>
      <c r="Y48" s="65"/>
      <c r="Z48" s="65"/>
      <c r="AA48" s="65"/>
    </row>
    <row r="49" customFormat="false" ht="15" hidden="false" customHeight="true" outlineLevel="0" collapsed="false">
      <c r="A49" s="68" t="n">
        <v>45506</v>
      </c>
      <c r="B49" s="65" t="n">
        <v>526.17</v>
      </c>
      <c r="C49" s="65" t="n">
        <v>79.83</v>
      </c>
      <c r="D49" s="65" t="n">
        <v>796.01</v>
      </c>
      <c r="E49" s="65" t="n">
        <v>140.91</v>
      </c>
      <c r="F49" s="65" t="n">
        <v>88.88</v>
      </c>
      <c r="G49" s="65" t="n">
        <v>54.47</v>
      </c>
      <c r="H49" s="65" t="n">
        <v>117.54</v>
      </c>
      <c r="I49" s="65" t="n">
        <v>68.46</v>
      </c>
      <c r="J49" s="65" t="n">
        <v>92.12</v>
      </c>
      <c r="K49" s="65" t="n">
        <v>106.97</v>
      </c>
      <c r="L49" s="65" t="n">
        <v>115.11</v>
      </c>
      <c r="M49" s="65" t="n">
        <v>24.74</v>
      </c>
      <c r="N49" s="65" t="n">
        <v>24.84</v>
      </c>
      <c r="O49" s="65" t="n">
        <v>80.84</v>
      </c>
      <c r="P49" s="65" t="n">
        <v>145.71</v>
      </c>
      <c r="Q49" s="65" t="n">
        <v>262.1</v>
      </c>
      <c r="R49" s="65" t="n">
        <v>55.5</v>
      </c>
      <c r="S49" s="65" t="n">
        <v>87.46</v>
      </c>
      <c r="T49" s="65" t="n">
        <v>30.92</v>
      </c>
      <c r="U49" s="65"/>
      <c r="V49" s="65" t="n">
        <v>258.05</v>
      </c>
      <c r="W49" s="65"/>
      <c r="X49" s="65"/>
      <c r="Y49" s="65"/>
      <c r="Z49" s="65"/>
      <c r="AA49" s="65"/>
    </row>
    <row r="50" customFormat="false" ht="15" hidden="false" customHeight="true" outlineLevel="0" collapsed="false">
      <c r="A50" s="68" t="n">
        <v>45513</v>
      </c>
      <c r="B50" s="65" t="n">
        <v>536.3</v>
      </c>
      <c r="C50" s="65" t="n">
        <v>83.95</v>
      </c>
      <c r="D50" s="65" t="n">
        <v>846.36</v>
      </c>
      <c r="E50" s="65" t="n">
        <v>145.26</v>
      </c>
      <c r="F50" s="65" t="n">
        <v>87.31</v>
      </c>
      <c r="G50" s="65" t="n">
        <v>60.22</v>
      </c>
      <c r="H50" s="65" t="n">
        <v>116.35</v>
      </c>
      <c r="I50" s="65" t="n">
        <v>73.43</v>
      </c>
      <c r="J50" s="65" t="n">
        <v>92.5</v>
      </c>
      <c r="K50" s="65" t="n">
        <v>104.46</v>
      </c>
      <c r="L50" s="65" t="n">
        <v>113.18</v>
      </c>
      <c r="M50" s="65" t="n">
        <v>30.01</v>
      </c>
      <c r="N50" s="65" t="n">
        <v>24.64</v>
      </c>
      <c r="O50" s="65" t="n">
        <v>82.24</v>
      </c>
      <c r="P50" s="65" t="n">
        <v>162.49</v>
      </c>
      <c r="Q50" s="65" t="n">
        <v>255.9</v>
      </c>
      <c r="R50" s="65" t="n">
        <v>55.88</v>
      </c>
      <c r="S50" s="65" t="n">
        <v>90.17</v>
      </c>
      <c r="T50" s="65" t="n">
        <v>30.3</v>
      </c>
      <c r="U50" s="65"/>
      <c r="V50" s="65" t="n">
        <v>265.81</v>
      </c>
      <c r="W50" s="65"/>
      <c r="X50" s="65"/>
      <c r="Y50" s="65"/>
      <c r="Z50" s="65"/>
      <c r="AA50" s="65"/>
    </row>
    <row r="51" customFormat="false" ht="15" hidden="false" customHeight="true" outlineLevel="0" collapsed="false">
      <c r="A51" s="68" t="n">
        <v>45520</v>
      </c>
      <c r="B51" s="65" t="n">
        <v>553.46</v>
      </c>
      <c r="C51" s="65" t="n">
        <v>88.47</v>
      </c>
      <c r="D51" s="65" t="n">
        <v>903.52</v>
      </c>
      <c r="E51" s="65" t="n">
        <v>162.37</v>
      </c>
      <c r="F51" s="65" t="n">
        <v>89.81</v>
      </c>
      <c r="G51" s="65" t="n">
        <v>65.64</v>
      </c>
      <c r="H51" s="65" t="n">
        <v>119.33</v>
      </c>
      <c r="I51" s="65" t="n">
        <v>80.74</v>
      </c>
      <c r="J51" s="65" t="n">
        <v>107.32</v>
      </c>
      <c r="K51" s="65" t="n">
        <v>124.24</v>
      </c>
      <c r="L51" s="65" t="n">
        <v>114.06</v>
      </c>
      <c r="M51" s="65" t="n">
        <v>32.08</v>
      </c>
      <c r="N51" s="65" t="n">
        <v>25.2</v>
      </c>
      <c r="O51" s="65" t="n">
        <v>86.93</v>
      </c>
      <c r="P51" s="65" t="n">
        <v>169.71</v>
      </c>
      <c r="Q51" s="65" t="n">
        <v>263.41</v>
      </c>
      <c r="R51" s="65" t="n">
        <v>55.84</v>
      </c>
      <c r="S51" s="65" t="n">
        <v>89.99</v>
      </c>
      <c r="T51" s="65" t="n">
        <v>31.46</v>
      </c>
      <c r="U51" s="65"/>
      <c r="V51" s="65" t="n">
        <v>261.27</v>
      </c>
      <c r="W51" s="65"/>
      <c r="X51" s="65"/>
      <c r="Y51" s="65"/>
      <c r="Z51" s="65"/>
      <c r="AA51" s="65"/>
    </row>
    <row r="52" customFormat="false" ht="15" hidden="false" customHeight="true" outlineLevel="0" collapsed="false">
      <c r="A52" s="68" t="n">
        <v>45527</v>
      </c>
      <c r="B52" s="65" t="n">
        <v>558.3</v>
      </c>
      <c r="C52" s="65" t="n">
        <v>88.78</v>
      </c>
      <c r="D52" s="65" t="n">
        <v>892.3</v>
      </c>
      <c r="E52" s="65" t="n">
        <v>162.99</v>
      </c>
      <c r="F52" s="65" t="n">
        <v>92.6</v>
      </c>
      <c r="G52" s="65" t="n">
        <v>67.89</v>
      </c>
      <c r="H52" s="65" t="n">
        <v>121.81</v>
      </c>
      <c r="I52" s="65" t="n">
        <v>80.57</v>
      </c>
      <c r="J52" s="65" t="n">
        <v>102.21</v>
      </c>
      <c r="K52" s="65" t="n">
        <v>129.01</v>
      </c>
      <c r="L52" s="65" t="n">
        <v>119.64</v>
      </c>
      <c r="M52" s="65" t="n">
        <v>31.78</v>
      </c>
      <c r="N52" s="65" t="n">
        <v>25.67</v>
      </c>
      <c r="O52" s="65" t="n">
        <v>88.13</v>
      </c>
      <c r="P52" s="65" t="n">
        <v>166.54</v>
      </c>
      <c r="Q52" s="65" t="n">
        <v>263.47</v>
      </c>
      <c r="R52" s="65" t="n">
        <v>54.19</v>
      </c>
      <c r="S52" s="65" t="n">
        <v>86.35</v>
      </c>
      <c r="T52" s="65" t="n">
        <v>31.94</v>
      </c>
      <c r="U52" s="65"/>
      <c r="V52" s="65" t="n">
        <v>260.99</v>
      </c>
      <c r="W52" s="65"/>
      <c r="X52" s="65"/>
      <c r="Y52" s="65"/>
      <c r="Z52" s="65"/>
      <c r="AA52" s="65"/>
    </row>
    <row r="53" customFormat="false" ht="15" hidden="false" customHeight="true" outlineLevel="0" collapsed="false">
      <c r="A53" s="68" t="n">
        <v>45534</v>
      </c>
      <c r="B53" s="65" t="n">
        <v>574.41</v>
      </c>
      <c r="C53" s="65" t="n">
        <v>88.35</v>
      </c>
      <c r="D53" s="65" t="n">
        <v>888.97</v>
      </c>
      <c r="E53" s="65" t="n">
        <v>159.52</v>
      </c>
      <c r="F53" s="65" t="n">
        <v>92.65</v>
      </c>
      <c r="G53" s="65" t="n">
        <v>69.32</v>
      </c>
      <c r="H53" s="65" t="n">
        <v>123.48</v>
      </c>
      <c r="I53" s="65" t="n">
        <v>80.72</v>
      </c>
      <c r="J53" s="65" t="n">
        <v>95.64</v>
      </c>
      <c r="K53" s="65" t="n">
        <v>119.04</v>
      </c>
      <c r="L53" s="65" t="n">
        <v>118.67</v>
      </c>
      <c r="M53" s="65" t="n">
        <v>31.48</v>
      </c>
      <c r="N53" s="65" t="n">
        <v>25.99</v>
      </c>
      <c r="O53" s="65" t="n">
        <v>87.78</v>
      </c>
      <c r="P53" s="65" t="n">
        <v>166.95</v>
      </c>
      <c r="Q53" s="65" t="n">
        <v>272.27</v>
      </c>
      <c r="R53" s="65" t="n">
        <v>52.96</v>
      </c>
      <c r="S53" s="65" t="n">
        <v>84.72</v>
      </c>
      <c r="T53" s="65" t="n">
        <v>32.51</v>
      </c>
      <c r="U53" s="65"/>
      <c r="V53" s="65" t="n">
        <v>255.09</v>
      </c>
      <c r="W53" s="65"/>
      <c r="X53" s="65"/>
      <c r="Y53" s="65"/>
      <c r="Z53" s="65"/>
      <c r="AA53" s="65"/>
    </row>
    <row r="54" customFormat="false" ht="15" hidden="false" customHeight="true" outlineLevel="0" collapsed="false">
      <c r="A54" s="68" t="n">
        <v>45541</v>
      </c>
      <c r="B54" s="65" t="n">
        <v>563.41</v>
      </c>
      <c r="C54" s="65" t="n">
        <v>78.58</v>
      </c>
      <c r="D54" s="65" t="n">
        <v>740.38</v>
      </c>
      <c r="E54" s="65" t="n">
        <v>134.23</v>
      </c>
      <c r="F54" s="65" t="n">
        <v>87.4</v>
      </c>
      <c r="G54" s="65" t="n">
        <v>61.6</v>
      </c>
      <c r="H54" s="65" t="n">
        <v>120.84</v>
      </c>
      <c r="I54" s="65" t="n">
        <v>69.23</v>
      </c>
      <c r="J54" s="65" t="n">
        <v>85.84</v>
      </c>
      <c r="K54" s="65" t="n">
        <v>102.55</v>
      </c>
      <c r="L54" s="65" t="n">
        <v>118.13</v>
      </c>
      <c r="M54" s="65" t="n">
        <v>30.33</v>
      </c>
      <c r="N54" s="65" t="n">
        <v>25.21</v>
      </c>
      <c r="O54" s="65" t="n">
        <v>82.53</v>
      </c>
      <c r="P54" s="65" t="n">
        <v>152.48</v>
      </c>
      <c r="Q54" s="65" t="n">
        <v>275.22</v>
      </c>
      <c r="R54" s="65" t="n">
        <v>51.14</v>
      </c>
      <c r="S54" s="65" t="n">
        <v>82.2</v>
      </c>
      <c r="T54" s="65" t="n">
        <v>31.58</v>
      </c>
      <c r="U54" s="65"/>
      <c r="V54" s="65" t="n">
        <v>262.1</v>
      </c>
      <c r="W54" s="65"/>
      <c r="X54" s="65"/>
      <c r="Y54" s="65"/>
      <c r="Z54" s="65"/>
      <c r="AA54" s="65"/>
    </row>
    <row r="55" customFormat="false" ht="15" hidden="false" customHeight="true" outlineLevel="0" collapsed="false">
      <c r="A55" s="68" t="n">
        <v>45548</v>
      </c>
      <c r="B55" s="65" t="n">
        <v>536.87</v>
      </c>
      <c r="C55" s="65" t="n">
        <v>89.94</v>
      </c>
      <c r="D55" s="65" t="n">
        <v>802.9</v>
      </c>
      <c r="E55" s="65" t="n">
        <v>164.3</v>
      </c>
      <c r="F55" s="65" t="n">
        <v>89.92</v>
      </c>
      <c r="G55" s="65" t="n">
        <v>64.78</v>
      </c>
      <c r="H55" s="65" t="n">
        <v>123.08</v>
      </c>
      <c r="I55" s="65" t="n">
        <v>74.03</v>
      </c>
      <c r="J55" s="65" t="n">
        <v>90.65</v>
      </c>
      <c r="K55" s="65" t="n">
        <v>118.78</v>
      </c>
      <c r="L55" s="65" t="n">
        <v>120.68</v>
      </c>
      <c r="M55" s="65" t="n">
        <v>35.59</v>
      </c>
      <c r="N55" s="65" t="n">
        <v>25.63</v>
      </c>
      <c r="O55" s="65" t="n">
        <v>87.61</v>
      </c>
      <c r="P55" s="65" t="n">
        <v>168.34</v>
      </c>
      <c r="Q55" s="65" t="n">
        <v>283.08</v>
      </c>
      <c r="R55" s="65" t="n">
        <v>51.29</v>
      </c>
      <c r="S55" s="65" t="n">
        <v>83.62</v>
      </c>
      <c r="T55" s="65" t="n">
        <v>31.53</v>
      </c>
      <c r="U55" s="65"/>
      <c r="V55" s="65" t="n">
        <v>255.9</v>
      </c>
      <c r="W55" s="65"/>
      <c r="X55" s="65"/>
      <c r="Y55" s="65"/>
      <c r="Z55" s="65"/>
      <c r="AA55" s="65"/>
    </row>
    <row r="56" customFormat="false" ht="15" hidden="false" customHeight="true" outlineLevel="0" collapsed="false">
      <c r="A56" s="68" t="n">
        <v>45555</v>
      </c>
      <c r="B56" s="65" t="n">
        <v>522.3</v>
      </c>
      <c r="C56" s="65" t="n">
        <v>96.11</v>
      </c>
      <c r="D56" s="65" t="n">
        <v>782.17</v>
      </c>
      <c r="E56" s="65" t="n">
        <v>168.19</v>
      </c>
      <c r="F56" s="65" t="n">
        <v>92.64</v>
      </c>
      <c r="G56" s="65" t="n">
        <v>74.96</v>
      </c>
      <c r="H56" s="65" t="n">
        <v>124.57</v>
      </c>
      <c r="I56" s="65" t="n">
        <v>74.76</v>
      </c>
      <c r="J56" s="65" t="n">
        <v>90.33</v>
      </c>
      <c r="K56" s="65" t="n">
        <v>115.69</v>
      </c>
      <c r="L56" s="65" t="n">
        <v>117.36</v>
      </c>
      <c r="M56" s="65" t="n">
        <v>37.2</v>
      </c>
      <c r="N56" s="65" t="n">
        <v>25.97</v>
      </c>
      <c r="O56" s="65" t="n">
        <v>89.03</v>
      </c>
      <c r="P56" s="65" t="n">
        <v>169.89</v>
      </c>
      <c r="Q56" s="65" t="n">
        <v>280.54</v>
      </c>
      <c r="R56" s="65" t="n">
        <v>53.45</v>
      </c>
      <c r="S56" s="65" t="n">
        <v>88.39</v>
      </c>
      <c r="T56" s="65" t="n">
        <v>32.04</v>
      </c>
      <c r="U56" s="65"/>
      <c r="V56" s="65" t="n">
        <v>263.41</v>
      </c>
      <c r="W56" s="65"/>
      <c r="X56" s="65"/>
      <c r="Y56" s="65"/>
      <c r="Z56" s="65"/>
      <c r="AA56" s="65"/>
    </row>
    <row r="57" customFormat="false" ht="15" hidden="false" customHeight="true" outlineLevel="0" collapsed="false">
      <c r="A57" s="68" t="n">
        <v>45562</v>
      </c>
      <c r="B57" s="65" t="n">
        <v>515.48</v>
      </c>
      <c r="C57" s="65" t="n">
        <v>95.07</v>
      </c>
      <c r="D57" s="65" t="n">
        <v>827.67</v>
      </c>
      <c r="E57" s="65" t="n">
        <v>169.75</v>
      </c>
      <c r="F57" s="65" t="n">
        <v>92.68</v>
      </c>
      <c r="G57" s="65" t="n">
        <v>71.46</v>
      </c>
      <c r="H57" s="65" t="n">
        <v>125.53</v>
      </c>
      <c r="I57" s="65" t="n">
        <v>77.08</v>
      </c>
      <c r="J57" s="65" t="n">
        <v>106.83</v>
      </c>
      <c r="K57" s="65" t="n">
        <v>121.08</v>
      </c>
      <c r="L57" s="65" t="n">
        <v>117.47</v>
      </c>
      <c r="M57" s="65" t="n">
        <v>36.84</v>
      </c>
      <c r="N57" s="65" t="n">
        <v>26.13</v>
      </c>
      <c r="O57" s="65" t="n">
        <v>88.91</v>
      </c>
      <c r="P57" s="65" t="n">
        <v>173.68</v>
      </c>
      <c r="Q57" s="65" t="n">
        <v>271.08</v>
      </c>
      <c r="R57" s="65" t="n">
        <v>53.9</v>
      </c>
      <c r="S57" s="65" t="n">
        <v>89.61</v>
      </c>
      <c r="T57" s="65" t="n">
        <v>33.09</v>
      </c>
      <c r="U57" s="65"/>
      <c r="V57" s="65" t="n">
        <v>263.47</v>
      </c>
      <c r="W57" s="65"/>
      <c r="X57" s="65"/>
      <c r="Y57" s="65"/>
      <c r="Z57" s="65"/>
      <c r="AA57" s="65"/>
    </row>
    <row r="58" customFormat="false" ht="15" hidden="false" customHeight="true" outlineLevel="0" collapsed="false">
      <c r="A58" s="68" t="n">
        <v>45569</v>
      </c>
      <c r="B58" s="65" t="n">
        <v>507.22</v>
      </c>
      <c r="C58" s="65" t="n">
        <v>98.99</v>
      </c>
      <c r="D58" s="65" t="n">
        <v>819.27</v>
      </c>
      <c r="E58" s="65" t="n">
        <v>173.63</v>
      </c>
      <c r="F58" s="65" t="n">
        <v>92.94</v>
      </c>
      <c r="G58" s="65" t="n">
        <v>73.06</v>
      </c>
      <c r="H58" s="65" t="n">
        <v>125.03</v>
      </c>
      <c r="I58" s="65" t="n">
        <v>77.57</v>
      </c>
      <c r="J58" s="65" t="n">
        <v>101.61</v>
      </c>
      <c r="K58" s="65" t="n">
        <v>124.59</v>
      </c>
      <c r="L58" s="65" t="n">
        <v>114.51</v>
      </c>
      <c r="M58" s="65" t="n">
        <v>40.01</v>
      </c>
      <c r="N58" s="65" t="n">
        <v>26.26</v>
      </c>
      <c r="O58" s="65" t="n">
        <v>90.24</v>
      </c>
      <c r="P58" s="65" t="n">
        <v>176.8</v>
      </c>
      <c r="Q58" s="65" t="n">
        <v>273.8</v>
      </c>
      <c r="R58" s="65" t="n">
        <v>54.08</v>
      </c>
      <c r="S58" s="65" t="n">
        <v>89.25</v>
      </c>
      <c r="T58" s="65" t="n">
        <v>33.2</v>
      </c>
      <c r="U58" s="65"/>
      <c r="V58" s="65" t="n">
        <v>272.27</v>
      </c>
      <c r="W58" s="65"/>
      <c r="X58" s="65"/>
      <c r="Y58" s="65"/>
      <c r="Z58" s="65"/>
      <c r="AA58" s="65"/>
    </row>
    <row r="59" customFormat="false" ht="15" hidden="false" customHeight="true" outlineLevel="0" collapsed="false">
      <c r="A59" s="68" t="n">
        <v>45576</v>
      </c>
      <c r="B59" s="65" t="n">
        <v>495.42</v>
      </c>
      <c r="C59" s="65" t="n">
        <v>104.23</v>
      </c>
      <c r="D59" s="65" t="n">
        <v>826.83</v>
      </c>
      <c r="E59" s="65" t="n">
        <v>178.39</v>
      </c>
      <c r="F59" s="65" t="n">
        <v>94.05</v>
      </c>
      <c r="G59" s="65" t="n">
        <v>80.05</v>
      </c>
      <c r="H59" s="65" t="n">
        <v>125.1</v>
      </c>
      <c r="I59" s="65" t="n">
        <v>79.18</v>
      </c>
      <c r="J59" s="65" t="n">
        <v>106.37</v>
      </c>
      <c r="K59" s="65" t="n">
        <v>134.44</v>
      </c>
      <c r="L59" s="65" t="n">
        <v>112.47</v>
      </c>
      <c r="M59" s="65" t="n">
        <v>43.51</v>
      </c>
      <c r="N59" s="65" t="n">
        <v>26.56</v>
      </c>
      <c r="O59" s="65" t="n">
        <v>92.19</v>
      </c>
      <c r="P59" s="65" t="n">
        <v>186.21</v>
      </c>
      <c r="Q59" s="65" t="n">
        <v>273.71</v>
      </c>
      <c r="R59" s="65" t="n">
        <v>51.36</v>
      </c>
      <c r="S59" s="65" t="n">
        <v>83.92</v>
      </c>
      <c r="T59" s="65" t="n">
        <v>31.83</v>
      </c>
      <c r="U59" s="65"/>
      <c r="V59" s="65" t="n">
        <v>275.22</v>
      </c>
      <c r="W59" s="65"/>
      <c r="X59" s="65"/>
      <c r="Y59" s="65"/>
      <c r="Z59" s="65"/>
      <c r="AA59" s="65"/>
    </row>
    <row r="60" customFormat="false" ht="15" hidden="false" customHeight="true" outlineLevel="0" collapsed="false">
      <c r="A60" s="68" t="n">
        <v>45583</v>
      </c>
      <c r="B60" s="65" t="n">
        <v>494.9</v>
      </c>
      <c r="C60" s="65" t="n">
        <v>100.5</v>
      </c>
      <c r="D60" s="65" t="n">
        <v>711.34</v>
      </c>
      <c r="E60" s="65" t="n">
        <v>176.83</v>
      </c>
      <c r="F60" s="65" t="n">
        <v>95.23</v>
      </c>
      <c r="G60" s="65" t="n">
        <v>77.54</v>
      </c>
      <c r="H60" s="65" t="n">
        <v>127.52</v>
      </c>
      <c r="I60" s="65" t="n">
        <v>66.84</v>
      </c>
      <c r="J60" s="65" t="n">
        <v>110.58</v>
      </c>
      <c r="K60" s="65" t="n">
        <v>137.63</v>
      </c>
      <c r="L60" s="65" t="n">
        <v>114.58</v>
      </c>
      <c r="M60" s="65" t="n">
        <v>42.97</v>
      </c>
      <c r="N60" s="65" t="n">
        <v>26.81</v>
      </c>
      <c r="O60" s="65" t="n">
        <v>92.59</v>
      </c>
      <c r="P60" s="65" t="n">
        <v>195.94</v>
      </c>
      <c r="Q60" s="65" t="n">
        <v>286.3</v>
      </c>
      <c r="R60" s="65" t="n">
        <v>53.75</v>
      </c>
      <c r="S60" s="65" t="n">
        <v>89.08</v>
      </c>
      <c r="T60" s="65" t="n">
        <v>32.58</v>
      </c>
      <c r="U60" s="65"/>
      <c r="V60" s="65" t="n">
        <v>283.08</v>
      </c>
      <c r="W60" s="65"/>
      <c r="X60" s="65"/>
      <c r="Y60" s="65"/>
      <c r="Z60" s="65"/>
      <c r="AA60" s="65"/>
    </row>
    <row r="61" customFormat="false" ht="15" hidden="false" customHeight="true" outlineLevel="0" collapsed="false">
      <c r="A61" s="68" t="n">
        <v>45590</v>
      </c>
      <c r="B61" s="65" t="n">
        <v>483.72</v>
      </c>
      <c r="C61" s="65" t="n">
        <v>98.52</v>
      </c>
      <c r="D61" s="65" t="n">
        <v>699.97</v>
      </c>
      <c r="E61" s="65" t="n">
        <v>170.06</v>
      </c>
      <c r="F61" s="65" t="n">
        <v>92.06</v>
      </c>
      <c r="G61" s="65" t="n">
        <v>75.15</v>
      </c>
      <c r="H61" s="65" t="n">
        <v>124.51</v>
      </c>
      <c r="I61" s="65" t="n">
        <v>66.31</v>
      </c>
      <c r="J61" s="65" t="n">
        <v>107.36</v>
      </c>
      <c r="K61" s="65" t="n">
        <v>141.16</v>
      </c>
      <c r="L61" s="65" t="n">
        <v>109.94</v>
      </c>
      <c r="M61" s="65" t="n">
        <v>44.86</v>
      </c>
      <c r="N61" s="65" t="n">
        <v>26.19</v>
      </c>
      <c r="O61" s="65" t="n">
        <v>91.23</v>
      </c>
      <c r="P61" s="65" t="n">
        <v>198.54</v>
      </c>
      <c r="Q61" s="65" t="n">
        <v>277.55</v>
      </c>
      <c r="R61" s="65" t="n">
        <v>54.41</v>
      </c>
      <c r="S61" s="65" t="n">
        <v>90.53</v>
      </c>
      <c r="T61" s="65" t="n">
        <v>33.14</v>
      </c>
      <c r="U61" s="65"/>
      <c r="V61" s="65" t="n">
        <v>280.54</v>
      </c>
      <c r="W61" s="65"/>
      <c r="X61" s="65"/>
      <c r="Y61" s="65"/>
      <c r="Z61" s="65"/>
      <c r="AA61" s="65"/>
    </row>
    <row r="62" customFormat="false" ht="15" hidden="false" customHeight="true" outlineLevel="0" collapsed="false">
      <c r="A62" s="68" t="n">
        <v>45597</v>
      </c>
      <c r="B62" s="65" t="n">
        <v>482.8</v>
      </c>
      <c r="C62" s="65" t="n">
        <v>98.54</v>
      </c>
      <c r="D62" s="65" t="n">
        <v>665.15</v>
      </c>
      <c r="E62" s="65" t="n">
        <v>166.04</v>
      </c>
      <c r="F62" s="65" t="n">
        <v>91.84</v>
      </c>
      <c r="G62" s="65" t="n">
        <v>75.78</v>
      </c>
      <c r="H62" s="65" t="n">
        <v>124.39</v>
      </c>
      <c r="I62" s="65" t="n">
        <v>65.94</v>
      </c>
      <c r="J62" s="65" t="n">
        <v>99.22</v>
      </c>
      <c r="K62" s="65" t="n">
        <v>135.04</v>
      </c>
      <c r="L62" s="65" t="n">
        <v>106.07</v>
      </c>
      <c r="M62" s="65" t="n">
        <v>41.92</v>
      </c>
      <c r="N62" s="65" t="n">
        <v>26.15</v>
      </c>
      <c r="O62" s="65" t="n">
        <v>89.98</v>
      </c>
      <c r="P62" s="65" t="n">
        <v>188.3</v>
      </c>
      <c r="Q62" s="65" t="n">
        <v>286.42</v>
      </c>
      <c r="R62" s="65" t="n">
        <v>54.8</v>
      </c>
      <c r="S62" s="65" t="n">
        <v>90.34</v>
      </c>
      <c r="T62" s="65" t="n">
        <v>33.21</v>
      </c>
      <c r="U62" s="65"/>
      <c r="V62" s="65" t="n">
        <v>271.08</v>
      </c>
      <c r="W62" s="65"/>
      <c r="X62" s="65"/>
      <c r="Y62" s="65"/>
      <c r="Z62" s="65"/>
      <c r="AA62" s="65"/>
    </row>
    <row r="63" customFormat="false" ht="15" hidden="false" customHeight="true" outlineLevel="0" collapsed="false">
      <c r="A63" s="68" t="n">
        <v>45604</v>
      </c>
      <c r="B63" s="65" t="n">
        <v>494.68</v>
      </c>
      <c r="C63" s="65" t="n">
        <v>100.11</v>
      </c>
      <c r="D63" s="65" t="n">
        <v>659.96</v>
      </c>
      <c r="E63" s="65" t="n">
        <v>180.51</v>
      </c>
      <c r="F63" s="65" t="n">
        <v>99.98</v>
      </c>
      <c r="G63" s="65" t="n">
        <v>82.51</v>
      </c>
      <c r="H63" s="65" t="n">
        <v>128.71</v>
      </c>
      <c r="I63" s="65" t="n">
        <v>67.72</v>
      </c>
      <c r="J63" s="65" t="n">
        <v>111.33</v>
      </c>
      <c r="K63" s="65" t="n">
        <v>147.23</v>
      </c>
      <c r="L63" s="65" t="n">
        <v>108.34</v>
      </c>
      <c r="M63" s="65" t="n">
        <v>58.39</v>
      </c>
      <c r="N63" s="65" t="n">
        <v>27.06</v>
      </c>
      <c r="O63" s="65" t="n">
        <v>95.36</v>
      </c>
      <c r="P63" s="65" t="n">
        <v>196.35</v>
      </c>
      <c r="Q63" s="65" t="n">
        <v>303.3</v>
      </c>
      <c r="R63" s="65" t="n">
        <v>54.37</v>
      </c>
      <c r="S63" s="65" t="n">
        <v>91.69</v>
      </c>
      <c r="T63" s="65" t="n">
        <v>33.83</v>
      </c>
      <c r="U63" s="65"/>
      <c r="V63" s="65" t="n">
        <v>273.8</v>
      </c>
      <c r="W63" s="65"/>
      <c r="X63" s="65"/>
      <c r="Y63" s="65"/>
      <c r="Z63" s="65"/>
      <c r="AA63" s="65"/>
    </row>
    <row r="64" customFormat="false" ht="15" hidden="false" customHeight="true" outlineLevel="0" collapsed="false">
      <c r="A64" s="68" t="n">
        <v>45611</v>
      </c>
      <c r="B64" s="65" t="n">
        <v>503.37</v>
      </c>
      <c r="C64" s="65" t="n">
        <v>93.6</v>
      </c>
      <c r="D64" s="65" t="n">
        <v>649.28</v>
      </c>
      <c r="E64" s="65" t="n">
        <v>162.03</v>
      </c>
      <c r="F64" s="65" t="n">
        <v>98.04</v>
      </c>
      <c r="G64" s="65" t="n">
        <v>84.19</v>
      </c>
      <c r="H64" s="65" t="n">
        <v>128.87</v>
      </c>
      <c r="I64" s="65" t="n">
        <v>60.53</v>
      </c>
      <c r="J64" s="65" t="n">
        <v>95.85</v>
      </c>
      <c r="K64" s="65" t="n">
        <v>141.6</v>
      </c>
      <c r="L64" s="65" t="n">
        <v>106.09</v>
      </c>
      <c r="M64" s="65" t="n">
        <v>65.77</v>
      </c>
      <c r="N64" s="65" t="n">
        <v>26.64</v>
      </c>
      <c r="O64" s="65" t="n">
        <v>92.42</v>
      </c>
      <c r="P64" s="65" t="n">
        <v>181.53</v>
      </c>
      <c r="Q64" s="65" t="n">
        <v>305.62</v>
      </c>
      <c r="R64" s="65" t="n">
        <v>54.86</v>
      </c>
      <c r="S64" s="65" t="n">
        <v>93.67</v>
      </c>
      <c r="T64" s="65" t="n">
        <v>33.95</v>
      </c>
      <c r="U64" s="65"/>
      <c r="V64" s="65" t="n">
        <v>273.71</v>
      </c>
      <c r="W64" s="65"/>
      <c r="X64" s="65"/>
      <c r="Y64" s="65"/>
      <c r="Z64" s="65"/>
      <c r="AA64" s="65"/>
    </row>
    <row r="65" customFormat="false" ht="15" hidden="false" customHeight="true" outlineLevel="0" collapsed="false">
      <c r="A65" s="68" t="n">
        <v>45618</v>
      </c>
      <c r="B65" s="65" t="n">
        <v>512.15</v>
      </c>
      <c r="C65" s="65" t="n">
        <v>101.62</v>
      </c>
      <c r="D65" s="65" t="n">
        <v>663.32</v>
      </c>
      <c r="E65" s="65" t="n">
        <v>161.43</v>
      </c>
      <c r="F65" s="65" t="n">
        <v>101.62</v>
      </c>
      <c r="G65" s="65" t="n">
        <v>93.07</v>
      </c>
      <c r="H65" s="65" t="n">
        <v>132.37</v>
      </c>
      <c r="I65" s="65" t="n">
        <v>63.18</v>
      </c>
      <c r="J65" s="65" t="n">
        <v>102.11</v>
      </c>
      <c r="K65" s="65" t="n">
        <v>141.57</v>
      </c>
      <c r="L65" s="65" t="n">
        <v>108.31</v>
      </c>
      <c r="M65" s="65" t="n">
        <v>64.35</v>
      </c>
      <c r="N65" s="65" t="n">
        <v>27.31</v>
      </c>
      <c r="O65" s="65" t="n">
        <v>94.07</v>
      </c>
      <c r="P65" s="65" t="n">
        <v>185.5</v>
      </c>
      <c r="Q65" s="65" t="n">
        <v>305.9</v>
      </c>
      <c r="R65" s="65" t="n">
        <v>55.27</v>
      </c>
      <c r="S65" s="65" t="n">
        <v>94.07</v>
      </c>
      <c r="T65" s="65" t="n">
        <v>33.79</v>
      </c>
      <c r="U65" s="65"/>
      <c r="V65" s="65" t="n">
        <v>286.3</v>
      </c>
      <c r="W65" s="65"/>
      <c r="X65" s="65"/>
      <c r="Y65" s="65"/>
      <c r="Z65" s="65"/>
      <c r="AA65" s="65"/>
    </row>
    <row r="66" customFormat="false" ht="15" hidden="false" customHeight="true" outlineLevel="0" collapsed="false">
      <c r="A66" s="68" t="n">
        <v>45625</v>
      </c>
      <c r="B66" s="65" t="n">
        <v>515.93</v>
      </c>
      <c r="C66" s="65" t="n">
        <v>101.46</v>
      </c>
      <c r="D66" s="65" t="n">
        <v>676.86</v>
      </c>
      <c r="E66" s="65" t="n">
        <v>159.32</v>
      </c>
      <c r="F66" s="65" t="n">
        <v>102.31</v>
      </c>
      <c r="G66" s="65" t="n">
        <v>86.49</v>
      </c>
      <c r="H66" s="65" t="n">
        <v>133.61</v>
      </c>
      <c r="I66" s="65" t="n">
        <v>63.92</v>
      </c>
      <c r="J66" s="65" t="n">
        <v>97.45</v>
      </c>
      <c r="K66" s="65" t="n">
        <v>137.88</v>
      </c>
      <c r="L66" s="65" t="n">
        <v>109.23</v>
      </c>
      <c r="M66" s="65" t="n">
        <v>67.08</v>
      </c>
      <c r="N66" s="65" t="n">
        <v>27.48</v>
      </c>
      <c r="O66" s="65" t="n">
        <v>95.3</v>
      </c>
      <c r="P66" s="65" t="n">
        <v>180.21</v>
      </c>
      <c r="Q66" s="65" t="n">
        <v>310.99</v>
      </c>
      <c r="R66" s="65" t="n">
        <v>55.4</v>
      </c>
      <c r="S66" s="65" t="n">
        <v>92.69</v>
      </c>
      <c r="T66" s="65" t="n">
        <v>33.14</v>
      </c>
      <c r="U66" s="65"/>
      <c r="V66" s="65" t="n">
        <v>277.55</v>
      </c>
      <c r="W66" s="65"/>
      <c r="X66" s="65"/>
      <c r="Y66" s="65"/>
      <c r="Z66" s="65"/>
      <c r="AA66" s="65"/>
    </row>
    <row r="67" customFormat="false" ht="15" hidden="false" customHeight="true" outlineLevel="0" collapsed="false">
      <c r="A67" s="68" t="n">
        <v>45632</v>
      </c>
      <c r="B67" s="65" t="n">
        <v>552.96</v>
      </c>
      <c r="C67" s="65" t="n">
        <v>108.25</v>
      </c>
      <c r="D67" s="65" t="n">
        <v>698.91</v>
      </c>
      <c r="E67" s="65" t="n">
        <v>176.47</v>
      </c>
      <c r="F67" s="65" t="n">
        <v>100.18</v>
      </c>
      <c r="G67" s="65" t="n">
        <v>91.41</v>
      </c>
      <c r="H67" s="65" t="n">
        <v>130.23</v>
      </c>
      <c r="I67" s="65" t="n">
        <v>64.05</v>
      </c>
      <c r="J67" s="65" t="n">
        <v>100.65</v>
      </c>
      <c r="K67" s="65" t="n">
        <v>142.07</v>
      </c>
      <c r="L67" s="65" t="n">
        <v>104.76</v>
      </c>
      <c r="M67" s="65" t="n">
        <v>76.34</v>
      </c>
      <c r="N67" s="65" t="n">
        <v>26.82</v>
      </c>
      <c r="O67" s="65" t="n">
        <v>97.14</v>
      </c>
      <c r="P67" s="65" t="n">
        <v>198.13</v>
      </c>
      <c r="Q67" s="65" t="n">
        <v>306.97</v>
      </c>
      <c r="R67" s="65" t="n">
        <v>54.44</v>
      </c>
      <c r="S67" s="65" t="n">
        <v>91.42</v>
      </c>
      <c r="T67" s="65" t="n">
        <v>33.16</v>
      </c>
      <c r="U67" s="65"/>
      <c r="V67" s="65" t="n">
        <v>286.42</v>
      </c>
      <c r="W67" s="65"/>
      <c r="X67" s="65"/>
      <c r="Y67" s="65"/>
      <c r="Z67" s="65"/>
      <c r="AA67" s="65"/>
    </row>
    <row r="68" customFormat="false" ht="15" hidden="false" customHeight="true" outlineLevel="0" collapsed="false">
      <c r="A68" s="68" t="n">
        <v>45639</v>
      </c>
      <c r="B68" s="65" t="n">
        <v>465.69</v>
      </c>
      <c r="C68" s="65" t="n">
        <v>112.37</v>
      </c>
      <c r="D68" s="65" t="n">
        <v>708.38</v>
      </c>
      <c r="E68" s="65" t="n">
        <v>220.97</v>
      </c>
      <c r="F68" s="65" t="n">
        <v>98.94</v>
      </c>
      <c r="G68" s="65" t="n">
        <v>92</v>
      </c>
      <c r="H68" s="65" t="n">
        <v>127.6</v>
      </c>
      <c r="I68" s="65" t="n">
        <v>64.58</v>
      </c>
      <c r="J68" s="65" t="n">
        <v>101.97</v>
      </c>
      <c r="K68" s="65" t="n">
        <v>133.9</v>
      </c>
      <c r="L68" s="65" t="n">
        <v>103.95</v>
      </c>
      <c r="M68" s="65" t="n">
        <v>76.07</v>
      </c>
      <c r="N68" s="65" t="n">
        <v>26.42</v>
      </c>
      <c r="O68" s="65" t="n">
        <v>96.23</v>
      </c>
      <c r="P68" s="65" t="n">
        <v>196.77</v>
      </c>
      <c r="Q68" s="65" t="n">
        <v>310.65</v>
      </c>
      <c r="R68" s="65" t="n">
        <v>56.54</v>
      </c>
      <c r="S68" s="65" t="n">
        <v>96.89</v>
      </c>
      <c r="T68" s="65" t="n">
        <v>35.73</v>
      </c>
      <c r="U68" s="65"/>
      <c r="V68" s="65" t="n">
        <v>303.3</v>
      </c>
      <c r="W68" s="65"/>
      <c r="X68" s="65"/>
      <c r="Y68" s="65"/>
      <c r="Z68" s="65"/>
      <c r="AA68" s="65"/>
    </row>
    <row r="69" customFormat="false" ht="15" hidden="false" customHeight="true" outlineLevel="0" collapsed="false">
      <c r="A69" s="68" t="n">
        <v>45646</v>
      </c>
      <c r="B69" s="65" t="n">
        <v>447.17</v>
      </c>
      <c r="C69" s="65" t="n">
        <v>112.81</v>
      </c>
      <c r="D69" s="65" t="n">
        <v>695.66</v>
      </c>
      <c r="E69" s="65" t="n">
        <v>217.03</v>
      </c>
      <c r="F69" s="65" t="n">
        <v>93.61</v>
      </c>
      <c r="G69" s="65" t="n">
        <v>90.57</v>
      </c>
      <c r="H69" s="65" t="n">
        <v>123.57</v>
      </c>
      <c r="I69" s="65" t="n">
        <v>62.17</v>
      </c>
      <c r="J69" s="65" t="n">
        <v>89.66</v>
      </c>
      <c r="K69" s="65" t="n">
        <v>134.35</v>
      </c>
      <c r="L69" s="65" t="n">
        <v>97.48</v>
      </c>
      <c r="M69" s="65" t="n">
        <v>80.55</v>
      </c>
      <c r="N69" s="65" t="n">
        <v>25.63</v>
      </c>
      <c r="O69" s="65" t="n">
        <v>94.07</v>
      </c>
      <c r="P69" s="65" t="n">
        <v>193.07</v>
      </c>
      <c r="Q69" s="65" t="n">
        <v>313.59</v>
      </c>
      <c r="R69" s="65" t="n">
        <v>55.61</v>
      </c>
      <c r="S69" s="65" t="n">
        <v>93.9</v>
      </c>
      <c r="T69" s="65" t="n">
        <v>35.18</v>
      </c>
      <c r="U69" s="65"/>
      <c r="V69" s="65" t="n">
        <v>305.62</v>
      </c>
      <c r="W69" s="65"/>
      <c r="X69" s="65"/>
      <c r="Y69" s="65"/>
      <c r="Z69" s="65"/>
      <c r="AA69" s="65"/>
    </row>
    <row r="70" customFormat="false" ht="15" hidden="false" customHeight="true" outlineLevel="0" collapsed="false">
      <c r="A70" s="68" t="n">
        <v>45653</v>
      </c>
      <c r="B70" s="65" t="n">
        <v>446.48</v>
      </c>
      <c r="C70" s="65" t="n">
        <v>113.03</v>
      </c>
      <c r="D70" s="65" t="n">
        <v>703.46</v>
      </c>
      <c r="E70" s="65" t="n">
        <v>238.27</v>
      </c>
      <c r="F70" s="65" t="n">
        <v>93.98</v>
      </c>
      <c r="G70" s="65" t="n">
        <v>88.75</v>
      </c>
      <c r="H70" s="65" t="n">
        <v>124.13</v>
      </c>
      <c r="I70" s="65" t="n">
        <v>63.7</v>
      </c>
      <c r="J70" s="65" t="n">
        <v>88.18</v>
      </c>
      <c r="K70" s="65" t="n">
        <v>136.65</v>
      </c>
      <c r="L70" s="65" t="n">
        <v>99.29</v>
      </c>
      <c r="M70" s="65" t="n">
        <v>79.08</v>
      </c>
      <c r="N70" s="65" t="n">
        <v>25.8</v>
      </c>
      <c r="O70" s="65" t="n">
        <v>95.26</v>
      </c>
      <c r="P70" s="65" t="n">
        <v>197.4</v>
      </c>
      <c r="Q70" s="65" t="n">
        <v>314.52</v>
      </c>
      <c r="R70" s="65" t="n">
        <v>56.57</v>
      </c>
      <c r="S70" s="65" t="n">
        <v>95.58</v>
      </c>
      <c r="T70" s="65" t="n">
        <v>36.54</v>
      </c>
      <c r="U70" s="65"/>
      <c r="V70" s="65" t="n">
        <v>305.9</v>
      </c>
      <c r="W70" s="65"/>
      <c r="X70" s="65"/>
      <c r="Y70" s="65"/>
      <c r="Z70" s="65"/>
      <c r="AA70" s="65"/>
    </row>
    <row r="71" customFormat="false" ht="15" hidden="false" customHeight="true" outlineLevel="0" collapsed="false">
      <c r="A71" s="68" t="n">
        <v>45660</v>
      </c>
      <c r="B71" s="65" t="n">
        <v>430.57</v>
      </c>
      <c r="C71" s="65" t="n">
        <v>115.2</v>
      </c>
      <c r="D71" s="65" t="n">
        <v>704.22</v>
      </c>
      <c r="E71" s="65" t="n">
        <v>229.2</v>
      </c>
      <c r="F71" s="65" t="n">
        <v>94.72</v>
      </c>
      <c r="G71" s="65" t="n">
        <v>89.75</v>
      </c>
      <c r="H71" s="65" t="n">
        <v>124.06</v>
      </c>
      <c r="I71" s="65" t="n">
        <v>64.9</v>
      </c>
      <c r="J71" s="65" t="n">
        <v>89.53</v>
      </c>
      <c r="K71" s="65" t="n">
        <v>144.09</v>
      </c>
      <c r="L71" s="65" t="n">
        <v>99.66</v>
      </c>
      <c r="M71" s="65" t="n">
        <v>79.89</v>
      </c>
      <c r="N71" s="65" t="n">
        <v>25.77</v>
      </c>
      <c r="O71" s="65" t="n">
        <v>95.55</v>
      </c>
      <c r="P71" s="65" t="n">
        <v>204.23</v>
      </c>
      <c r="Q71" s="65" t="n">
        <v>310.82</v>
      </c>
      <c r="R71" s="65" t="n">
        <v>57.09</v>
      </c>
      <c r="S71" s="65" t="n">
        <v>96.83</v>
      </c>
      <c r="T71" s="65" t="n">
        <v>36.61</v>
      </c>
      <c r="U71" s="65"/>
      <c r="V71" s="65" t="n">
        <v>310.99</v>
      </c>
      <c r="W71" s="65"/>
      <c r="X71" s="65"/>
      <c r="Y71" s="65"/>
      <c r="Z71" s="65"/>
      <c r="AA71" s="65"/>
    </row>
    <row r="72" customFormat="false" ht="15" hidden="false" customHeight="true" outlineLevel="0" collapsed="false">
      <c r="A72" s="68" t="n">
        <v>45667</v>
      </c>
      <c r="B72" s="65" t="n">
        <v>405.92</v>
      </c>
      <c r="C72" s="65" t="n">
        <v>114.34</v>
      </c>
      <c r="D72" s="65" t="n">
        <v>728.52</v>
      </c>
      <c r="E72" s="65" t="n">
        <v>221.08</v>
      </c>
      <c r="F72" s="65" t="n">
        <v>92.23</v>
      </c>
      <c r="G72" s="65" t="n">
        <v>87.21</v>
      </c>
      <c r="H72" s="65" t="n">
        <v>120.96</v>
      </c>
      <c r="I72" s="65" t="n">
        <v>67.48</v>
      </c>
      <c r="J72" s="65" t="n">
        <v>98.96</v>
      </c>
      <c r="K72" s="65" t="n">
        <v>135.56</v>
      </c>
      <c r="L72" s="65" t="n">
        <v>97.74</v>
      </c>
      <c r="M72" s="65" t="n">
        <v>67.26</v>
      </c>
      <c r="N72" s="65" t="n">
        <v>25.37</v>
      </c>
      <c r="O72" s="65" t="n">
        <v>94.26</v>
      </c>
      <c r="P72" s="65" t="n">
        <v>204</v>
      </c>
      <c r="Q72" s="65" t="n">
        <v>303.72</v>
      </c>
      <c r="R72" s="65" t="n">
        <v>57.62</v>
      </c>
      <c r="S72" s="65" t="n">
        <v>98.7</v>
      </c>
      <c r="T72" s="65" t="n">
        <v>36.58</v>
      </c>
      <c r="U72" s="65"/>
      <c r="V72" s="65" t="n">
        <v>306.97</v>
      </c>
      <c r="W72" s="65"/>
      <c r="X72" s="65"/>
      <c r="Y72" s="65"/>
      <c r="Z72" s="65"/>
      <c r="AA72" s="65"/>
    </row>
    <row r="73" customFormat="false" ht="15" hidden="false" customHeight="true" outlineLevel="0" collapsed="false">
      <c r="A73" s="68" t="n">
        <v>45674</v>
      </c>
      <c r="B73" s="65" t="n">
        <v>429.99</v>
      </c>
      <c r="C73" s="65" t="n">
        <v>119.95</v>
      </c>
      <c r="D73" s="65" t="n">
        <v>745.59</v>
      </c>
      <c r="E73" s="65" t="n">
        <v>234.02</v>
      </c>
      <c r="F73" s="65" t="n">
        <v>96.74</v>
      </c>
      <c r="G73" s="65" t="n">
        <v>89.25</v>
      </c>
      <c r="H73" s="65" t="n">
        <v>126.81</v>
      </c>
      <c r="I73" s="65" t="n">
        <v>74.83</v>
      </c>
      <c r="J73" s="65" t="n">
        <v>105.34</v>
      </c>
      <c r="K73" s="65" t="n">
        <v>137.35</v>
      </c>
      <c r="L73" s="65" t="n">
        <v>103.29</v>
      </c>
      <c r="M73" s="65" t="n">
        <v>71.77</v>
      </c>
      <c r="N73" s="65" t="n">
        <v>26.29</v>
      </c>
      <c r="O73" s="65" t="n">
        <v>97.29</v>
      </c>
      <c r="P73" s="65" t="n">
        <v>207.06</v>
      </c>
      <c r="Q73" s="65" t="n">
        <v>315.47</v>
      </c>
      <c r="R73" s="65" t="n">
        <v>57.85</v>
      </c>
      <c r="S73" s="65" t="n">
        <v>97.77</v>
      </c>
      <c r="T73" s="65" t="n">
        <v>34.97</v>
      </c>
      <c r="U73" s="65"/>
      <c r="V73" s="65" t="n">
        <v>310.65</v>
      </c>
      <c r="W73" s="65"/>
      <c r="X73" s="65"/>
      <c r="Y73" s="65"/>
      <c r="Z73" s="65"/>
      <c r="AA73" s="65"/>
    </row>
    <row r="74" customFormat="false" ht="15" hidden="false" customHeight="true" outlineLevel="0" collapsed="false">
      <c r="A74" s="68" t="n">
        <v>45681</v>
      </c>
      <c r="B74" s="65" t="n">
        <v>435.38</v>
      </c>
      <c r="C74" s="65" t="n">
        <v>129.17</v>
      </c>
      <c r="D74" s="65" t="n">
        <v>721.85</v>
      </c>
      <c r="E74" s="65" t="n">
        <v>241.18</v>
      </c>
      <c r="F74" s="65" t="n">
        <v>97.23</v>
      </c>
      <c r="G74" s="65" t="n">
        <v>93.73</v>
      </c>
      <c r="H74" s="65" t="n">
        <v>127.09</v>
      </c>
      <c r="I74" s="65" t="n">
        <v>74.07</v>
      </c>
      <c r="J74" s="65" t="n">
        <v>102.79</v>
      </c>
      <c r="K74" s="65" t="n">
        <v>142.25</v>
      </c>
      <c r="L74" s="65" t="n">
        <v>112.21</v>
      </c>
      <c r="M74" s="65" t="n">
        <v>78.98</v>
      </c>
      <c r="N74" s="65" t="n">
        <v>26.36</v>
      </c>
      <c r="O74" s="65" t="n">
        <v>99.93</v>
      </c>
      <c r="P74" s="65" t="n">
        <v>217.22</v>
      </c>
      <c r="Q74" s="65" t="n">
        <v>325.91</v>
      </c>
      <c r="R74" s="65" t="n">
        <v>57.2</v>
      </c>
      <c r="S74" s="65" t="n">
        <v>95.58</v>
      </c>
      <c r="T74" s="65" t="n">
        <v>33.9</v>
      </c>
      <c r="U74" s="65"/>
      <c r="V74" s="65" t="n">
        <v>313.59</v>
      </c>
      <c r="W74" s="65"/>
      <c r="X74" s="65"/>
      <c r="Y74" s="65"/>
      <c r="Z74" s="65"/>
      <c r="AA74" s="65"/>
    </row>
    <row r="75" customFormat="false" ht="15" hidden="false" customHeight="true" outlineLevel="0" collapsed="false">
      <c r="A75" s="68" t="n">
        <v>45688</v>
      </c>
      <c r="B75" s="65" t="n">
        <v>437.45</v>
      </c>
      <c r="C75" s="65" t="n">
        <v>115.23</v>
      </c>
      <c r="D75" s="65" t="n">
        <v>728.81</v>
      </c>
      <c r="E75" s="65" t="n">
        <v>218.09</v>
      </c>
      <c r="F75" s="65" t="n">
        <v>95.76</v>
      </c>
      <c r="G75" s="65" t="n">
        <v>99.52</v>
      </c>
      <c r="H75" s="65" t="n">
        <v>126.76</v>
      </c>
      <c r="I75" s="65" t="n">
        <v>72.93</v>
      </c>
      <c r="J75" s="65" t="n">
        <v>90.89</v>
      </c>
      <c r="K75" s="65" t="n">
        <v>119.76</v>
      </c>
      <c r="L75" s="65" t="n">
        <v>112.51</v>
      </c>
      <c r="M75" s="65" t="n">
        <v>82.49</v>
      </c>
      <c r="N75" s="65" t="n">
        <v>26.14</v>
      </c>
      <c r="O75" s="65" t="n">
        <v>98.66</v>
      </c>
      <c r="P75" s="65" t="n">
        <v>204.93</v>
      </c>
      <c r="Q75" s="65" t="n">
        <v>337.36</v>
      </c>
      <c r="R75" s="65" t="n">
        <v>57.74</v>
      </c>
      <c r="S75" s="65" t="n">
        <v>96.59</v>
      </c>
      <c r="T75" s="65" t="n">
        <v>34.21</v>
      </c>
      <c r="U75" s="65"/>
      <c r="V75" s="65" t="n">
        <v>314.52</v>
      </c>
      <c r="W75" s="65"/>
      <c r="X75" s="65"/>
      <c r="Y75" s="65"/>
      <c r="Z75" s="65"/>
      <c r="AA75" s="65"/>
    </row>
    <row r="76" customFormat="false" ht="15" hidden="false" customHeight="true" outlineLevel="0" collapsed="false">
      <c r="A76" s="68" t="n">
        <v>45695</v>
      </c>
      <c r="B76" s="65" t="n">
        <v>433.07</v>
      </c>
      <c r="C76" s="65" t="n">
        <v>118.47</v>
      </c>
      <c r="D76" s="65" t="n">
        <v>717.37</v>
      </c>
      <c r="E76" s="65" t="n">
        <v>221.63</v>
      </c>
      <c r="F76" s="65" t="n">
        <v>94.65</v>
      </c>
      <c r="G76" s="65" t="n">
        <v>105.4</v>
      </c>
      <c r="H76" s="65" t="n">
        <v>126.15</v>
      </c>
      <c r="I76" s="65" t="n">
        <v>73.86</v>
      </c>
      <c r="J76" s="65" t="n">
        <v>91.95</v>
      </c>
      <c r="K76" s="65" t="n">
        <v>129.5</v>
      </c>
      <c r="L76" s="65" t="n">
        <v>110.72</v>
      </c>
      <c r="M76" s="65" t="n">
        <v>110.85</v>
      </c>
      <c r="N76" s="65" t="n">
        <v>25.88</v>
      </c>
      <c r="O76" s="65" t="n">
        <v>100.62</v>
      </c>
      <c r="P76" s="65" t="n">
        <v>201.79</v>
      </c>
      <c r="Q76" s="65" t="n">
        <v>343.5</v>
      </c>
      <c r="R76" s="65" t="n">
        <v>57.08</v>
      </c>
      <c r="S76" s="65" t="n">
        <v>96.89</v>
      </c>
      <c r="T76" s="65" t="n">
        <v>34.47</v>
      </c>
      <c r="U76" s="65"/>
      <c r="V76" s="65" t="n">
        <v>310.82</v>
      </c>
      <c r="W76" s="65"/>
      <c r="X76" s="65"/>
      <c r="Y76" s="65"/>
      <c r="Z76" s="65"/>
      <c r="AA76" s="65"/>
    </row>
    <row r="77" customFormat="false" ht="15" hidden="false" customHeight="true" outlineLevel="0" collapsed="false">
      <c r="A77" s="68" t="n">
        <v>45702</v>
      </c>
      <c r="B77" s="65" t="n">
        <v>460.16</v>
      </c>
      <c r="C77" s="65" t="n">
        <v>106.87</v>
      </c>
      <c r="D77" s="65" t="n">
        <v>742.44</v>
      </c>
      <c r="E77" s="65" t="n">
        <v>229.69</v>
      </c>
      <c r="F77" s="65" t="n">
        <v>94.94</v>
      </c>
      <c r="G77" s="65" t="n">
        <v>112.93</v>
      </c>
      <c r="H77" s="65" t="n">
        <v>127.66</v>
      </c>
      <c r="I77" s="65" t="n">
        <v>74.16</v>
      </c>
      <c r="J77" s="65" t="n">
        <v>99.14</v>
      </c>
      <c r="K77" s="65" t="n">
        <v>138.49</v>
      </c>
      <c r="L77" s="65" t="n">
        <v>114.02</v>
      </c>
      <c r="M77" s="65" t="n">
        <v>119.16</v>
      </c>
      <c r="N77" s="65" t="n">
        <v>26.1</v>
      </c>
      <c r="O77" s="65" t="n">
        <v>101.64</v>
      </c>
      <c r="P77" s="65" t="n">
        <v>199.62</v>
      </c>
      <c r="Q77" s="65" t="n">
        <v>349.81</v>
      </c>
      <c r="R77" s="65" t="n">
        <v>55.98</v>
      </c>
      <c r="S77" s="65" t="n">
        <v>95.58</v>
      </c>
      <c r="T77" s="65" t="n">
        <v>34.46</v>
      </c>
      <c r="U77" s="65"/>
      <c r="V77" s="65" t="n">
        <v>303.72</v>
      </c>
      <c r="W77" s="65"/>
      <c r="X77" s="65"/>
      <c r="Y77" s="65"/>
      <c r="Z77" s="65"/>
      <c r="AA77" s="65"/>
    </row>
    <row r="78" customFormat="false" ht="15" hidden="false" customHeight="true" outlineLevel="0" collapsed="false">
      <c r="A78" s="68" t="n">
        <v>45709</v>
      </c>
      <c r="B78" s="65" t="n">
        <v>444.32</v>
      </c>
      <c r="C78" s="65" t="n">
        <v>98.3</v>
      </c>
      <c r="D78" s="65" t="n">
        <v>728.28</v>
      </c>
      <c r="E78" s="65" t="n">
        <v>215.51</v>
      </c>
      <c r="F78" s="65" t="n">
        <v>91.47</v>
      </c>
      <c r="G78" s="65" t="n">
        <v>101.67</v>
      </c>
      <c r="H78" s="65" t="n">
        <v>128.59</v>
      </c>
      <c r="I78" s="65" t="n">
        <v>74.51</v>
      </c>
      <c r="J78" s="65" t="n">
        <v>98.46</v>
      </c>
      <c r="K78" s="65" t="n">
        <v>134.08</v>
      </c>
      <c r="L78" s="65" t="n">
        <v>114.14</v>
      </c>
      <c r="M78" s="65" t="n">
        <v>101.35</v>
      </c>
      <c r="N78" s="65" t="n">
        <v>26.49</v>
      </c>
      <c r="O78" s="65" t="n">
        <v>98.53</v>
      </c>
      <c r="P78" s="65" t="n">
        <v>194.08</v>
      </c>
      <c r="Q78" s="65" t="n">
        <v>344.59</v>
      </c>
      <c r="R78" s="65" t="n">
        <v>57.27</v>
      </c>
      <c r="S78" s="65" t="n">
        <v>98.65</v>
      </c>
      <c r="T78" s="65" t="n">
        <v>35.79</v>
      </c>
      <c r="U78" s="65"/>
      <c r="V78" s="65" t="n">
        <v>315.47</v>
      </c>
      <c r="W78" s="65"/>
      <c r="X78" s="65"/>
      <c r="Y78" s="65"/>
      <c r="Z78" s="65"/>
      <c r="AA78" s="65"/>
    </row>
    <row r="79" customFormat="false" ht="15" hidden="false" customHeight="true" outlineLevel="0" collapsed="false">
      <c r="A79" s="68" t="n">
        <v>45716</v>
      </c>
      <c r="B79" s="65" t="n">
        <v>438.56</v>
      </c>
      <c r="C79" s="65" t="n">
        <v>93.05</v>
      </c>
      <c r="D79" s="65" t="n">
        <v>700.49</v>
      </c>
      <c r="E79" s="65" t="n">
        <v>196.56</v>
      </c>
      <c r="F79" s="65" t="n">
        <v>90.44</v>
      </c>
      <c r="G79" s="65" t="n">
        <v>97.42</v>
      </c>
      <c r="H79" s="65" t="n">
        <v>129.91</v>
      </c>
      <c r="I79" s="65" t="n">
        <v>70.18</v>
      </c>
      <c r="J79" s="65" t="n">
        <v>93.27</v>
      </c>
      <c r="K79" s="65" t="n">
        <v>124.59</v>
      </c>
      <c r="L79" s="65" t="n">
        <v>116.92</v>
      </c>
      <c r="M79" s="65" t="n">
        <v>84.92</v>
      </c>
      <c r="N79" s="65" t="n">
        <v>26.8</v>
      </c>
      <c r="O79" s="65" t="n">
        <v>98.42</v>
      </c>
      <c r="P79" s="65" t="n">
        <v>176.74</v>
      </c>
      <c r="Q79" s="65" t="n">
        <v>358.6</v>
      </c>
      <c r="R79" s="65" t="n">
        <v>58.07</v>
      </c>
      <c r="S79" s="65" t="n">
        <v>101.33</v>
      </c>
      <c r="T79" s="65" t="n">
        <v>35.88</v>
      </c>
      <c r="U79" s="65"/>
      <c r="V79" s="65" t="n">
        <v>325.91</v>
      </c>
      <c r="W79" s="65"/>
      <c r="X79" s="65"/>
      <c r="Y79" s="65"/>
      <c r="Z79" s="65"/>
      <c r="AA79" s="65"/>
    </row>
    <row r="80" customFormat="false" ht="15" hidden="false" customHeight="true" outlineLevel="0" collapsed="false">
      <c r="A80" s="68" t="n">
        <v>45723</v>
      </c>
      <c r="B80" s="65" t="n">
        <v>449.4</v>
      </c>
      <c r="C80" s="65" t="n">
        <v>83.36</v>
      </c>
      <c r="D80" s="65" t="n">
        <v>723.35</v>
      </c>
      <c r="E80" s="65" t="n">
        <v>192.16</v>
      </c>
      <c r="F80" s="65" t="n">
        <v>86.38</v>
      </c>
      <c r="G80" s="65" t="n">
        <v>83.38</v>
      </c>
      <c r="H80" s="65" t="n">
        <v>126.34</v>
      </c>
      <c r="I80" s="65" t="n">
        <v>70.42</v>
      </c>
      <c r="J80" s="65" t="n">
        <v>92.6</v>
      </c>
      <c r="K80" s="65" t="n">
        <v>112.4</v>
      </c>
      <c r="L80" s="65" t="n">
        <v>113.14</v>
      </c>
      <c r="M80" s="65" t="n">
        <v>84.91</v>
      </c>
      <c r="N80" s="65" t="n">
        <v>26.73</v>
      </c>
      <c r="O80" s="65" t="n">
        <v>93.24</v>
      </c>
      <c r="P80" s="65" t="n">
        <v>173.38</v>
      </c>
      <c r="Q80" s="65" t="n">
        <v>341.41</v>
      </c>
      <c r="R80" s="65" t="n">
        <v>57.47</v>
      </c>
      <c r="S80" s="65" t="n">
        <v>100.04</v>
      </c>
      <c r="T80" s="65" t="n">
        <v>35.51</v>
      </c>
      <c r="U80" s="65"/>
      <c r="V80" s="65" t="n">
        <v>337.36</v>
      </c>
      <c r="W80" s="65"/>
      <c r="X80" s="65"/>
      <c r="Y80" s="65"/>
      <c r="Z80" s="65"/>
      <c r="AA80" s="65"/>
    </row>
    <row r="81" customFormat="false" ht="15" hidden="false" customHeight="true" outlineLevel="0" collapsed="false">
      <c r="A81" s="68" t="n">
        <v>45730</v>
      </c>
      <c r="B81" s="65" t="n">
        <v>394.74</v>
      </c>
      <c r="C81" s="65" t="n">
        <v>83.51</v>
      </c>
      <c r="D81" s="65" t="n">
        <v>705.35</v>
      </c>
      <c r="E81" s="65" t="n">
        <v>192.73</v>
      </c>
      <c r="F81" s="65" t="n">
        <v>84.76</v>
      </c>
      <c r="G81" s="65" t="n">
        <v>88.43</v>
      </c>
      <c r="H81" s="65" t="n">
        <v>125.28</v>
      </c>
      <c r="I81" s="65" t="n">
        <v>70.59</v>
      </c>
      <c r="J81" s="65" t="n">
        <v>100.4</v>
      </c>
      <c r="K81" s="65" t="n">
        <v>121.36</v>
      </c>
      <c r="L81" s="65" t="n">
        <v>105.57</v>
      </c>
      <c r="M81" s="65" t="n">
        <v>86.24</v>
      </c>
      <c r="N81" s="65" t="n">
        <v>25.96</v>
      </c>
      <c r="O81" s="65" t="n">
        <v>92.57</v>
      </c>
      <c r="P81" s="65" t="n">
        <v>170.44</v>
      </c>
      <c r="Q81" s="65" t="n">
        <v>328.04</v>
      </c>
      <c r="R81" s="65" t="n">
        <v>57.17</v>
      </c>
      <c r="S81" s="65" t="n">
        <v>102.03</v>
      </c>
      <c r="T81" s="65" t="n">
        <v>35.2</v>
      </c>
      <c r="U81" s="65"/>
      <c r="V81" s="65" t="n">
        <v>343.5</v>
      </c>
      <c r="W81" s="65"/>
      <c r="X81" s="65"/>
      <c r="Y81" s="65"/>
      <c r="Z81" s="65"/>
      <c r="AA81" s="65"/>
    </row>
    <row r="82" customFormat="false" ht="15" hidden="false" customHeight="true" outlineLevel="0" collapsed="false">
      <c r="A82" s="68" t="n">
        <v>45737</v>
      </c>
      <c r="B82" s="65" t="n">
        <v>387.26</v>
      </c>
      <c r="C82" s="65" t="n">
        <v>83.13</v>
      </c>
      <c r="D82" s="65" t="n">
        <v>707.54</v>
      </c>
      <c r="E82" s="65" t="n">
        <v>189.47</v>
      </c>
      <c r="F82" s="65" t="n">
        <v>85.58</v>
      </c>
      <c r="G82" s="65" t="n">
        <v>90.56</v>
      </c>
      <c r="H82" s="65" t="n">
        <v>125.88</v>
      </c>
      <c r="I82" s="65" t="n">
        <v>69.95</v>
      </c>
      <c r="J82" s="65" t="n">
        <v>94.36</v>
      </c>
      <c r="K82" s="65" t="n">
        <v>117.4</v>
      </c>
      <c r="L82" s="65" t="n">
        <v>103.21</v>
      </c>
      <c r="M82" s="65" t="n">
        <v>90.96</v>
      </c>
      <c r="N82" s="65" t="n">
        <v>26.07</v>
      </c>
      <c r="O82" s="65" t="n">
        <v>92.92</v>
      </c>
      <c r="P82" s="65" t="n">
        <v>173.69</v>
      </c>
      <c r="Q82" s="65" t="n">
        <v>331.86</v>
      </c>
      <c r="R82" s="65" t="n">
        <v>58.27</v>
      </c>
      <c r="S82" s="65" t="n">
        <v>103.06</v>
      </c>
      <c r="T82" s="65" t="n">
        <v>35.61</v>
      </c>
      <c r="U82" s="65"/>
      <c r="V82" s="65" t="n">
        <v>349.81</v>
      </c>
      <c r="W82" s="65"/>
      <c r="X82" s="65"/>
      <c r="Y82" s="65"/>
      <c r="Z82" s="65"/>
      <c r="AA82" s="65"/>
    </row>
    <row r="83" customFormat="false" ht="15" hidden="false" customHeight="true" outlineLevel="0" collapsed="false">
      <c r="A83" s="68" t="n">
        <v>45744</v>
      </c>
      <c r="B83" s="65" t="n">
        <v>385.71</v>
      </c>
      <c r="C83" s="65" t="n">
        <v>77.94</v>
      </c>
      <c r="D83" s="65" t="n">
        <v>666.41</v>
      </c>
      <c r="E83" s="65" t="n">
        <v>167.19</v>
      </c>
      <c r="F83" s="65" t="n">
        <v>85.18</v>
      </c>
      <c r="G83" s="65" t="n">
        <v>89.28</v>
      </c>
      <c r="H83" s="65" t="n">
        <v>125.85</v>
      </c>
      <c r="I83" s="65" t="n">
        <v>66.69</v>
      </c>
      <c r="J83" s="65" t="n">
        <v>88.1</v>
      </c>
      <c r="K83" s="65" t="n">
        <v>109.39</v>
      </c>
      <c r="L83" s="65" t="n">
        <v>105.14</v>
      </c>
      <c r="M83" s="65" t="n">
        <v>85.85</v>
      </c>
      <c r="N83" s="65" t="n">
        <v>26.14</v>
      </c>
      <c r="O83" s="65" t="n">
        <v>91.09</v>
      </c>
      <c r="P83" s="65" t="n">
        <v>162.41</v>
      </c>
      <c r="Q83" s="65" t="n">
        <v>338.97</v>
      </c>
      <c r="R83" s="65" t="n">
        <v>57.57</v>
      </c>
      <c r="S83" s="65" t="n">
        <v>99.91</v>
      </c>
      <c r="T83" s="65" t="n">
        <v>35.49</v>
      </c>
      <c r="U83" s="65"/>
      <c r="V83" s="65" t="n">
        <v>344.59</v>
      </c>
      <c r="W83" s="65"/>
      <c r="X83" s="65"/>
      <c r="Y83" s="65"/>
      <c r="Z83" s="65"/>
      <c r="AA83" s="65"/>
    </row>
    <row r="84" customFormat="false" ht="15" hidden="false" customHeight="true" outlineLevel="0" collapsed="false">
      <c r="A84" s="68" t="n">
        <v>45751</v>
      </c>
      <c r="B84" s="65" t="n">
        <v>349.07</v>
      </c>
      <c r="C84" s="65" t="n">
        <v>64.37</v>
      </c>
      <c r="D84" s="65" t="n">
        <v>598.21</v>
      </c>
      <c r="E84" s="65" t="n">
        <v>144.62</v>
      </c>
      <c r="F84" s="65" t="n">
        <v>76.26</v>
      </c>
      <c r="G84" s="65" t="n">
        <v>80.41</v>
      </c>
      <c r="H84" s="65" t="n">
        <v>115.74</v>
      </c>
      <c r="I84" s="65" t="n">
        <v>57.08</v>
      </c>
      <c r="J84" s="65" t="n">
        <v>64.56</v>
      </c>
      <c r="K84" s="65" t="n">
        <v>94.07</v>
      </c>
      <c r="L84" s="65" t="n">
        <v>93.51</v>
      </c>
      <c r="M84" s="65" t="n">
        <v>74.01</v>
      </c>
      <c r="N84" s="65" t="n">
        <v>23.96</v>
      </c>
      <c r="O84" s="65" t="n">
        <v>81.34</v>
      </c>
      <c r="P84" s="65" t="n">
        <v>144.28</v>
      </c>
      <c r="Q84" s="65" t="n">
        <v>309.59</v>
      </c>
      <c r="R84" s="65" t="n">
        <v>55.98</v>
      </c>
      <c r="S84" s="65" t="n">
        <v>99.8</v>
      </c>
      <c r="T84" s="65" t="n">
        <v>35.32</v>
      </c>
      <c r="U84" s="65"/>
      <c r="V84" s="65" t="n">
        <v>358.6</v>
      </c>
      <c r="W84" s="65"/>
      <c r="X84" s="65"/>
      <c r="Y84" s="65"/>
      <c r="Z84" s="65"/>
      <c r="AA84" s="65"/>
    </row>
    <row r="85" customFormat="false" ht="15" hidden="false" customHeight="true" outlineLevel="0" collapsed="false">
      <c r="A85" s="68" t="n">
        <v>45758</v>
      </c>
      <c r="B85" s="65" t="n">
        <v>352.47</v>
      </c>
      <c r="C85" s="65" t="n">
        <v>72.67</v>
      </c>
      <c r="D85" s="65" t="n">
        <v>660.71</v>
      </c>
      <c r="E85" s="65" t="n">
        <v>179.86</v>
      </c>
      <c r="F85" s="65" t="n">
        <v>77.22</v>
      </c>
      <c r="G85" s="65" t="n">
        <v>94.47</v>
      </c>
      <c r="H85" s="65" t="n">
        <v>117.6</v>
      </c>
      <c r="I85" s="65" t="n">
        <v>66.36</v>
      </c>
      <c r="J85" s="65" t="n">
        <v>69.37</v>
      </c>
      <c r="K85" s="65" t="n">
        <v>110.65</v>
      </c>
      <c r="L85" s="65" t="n">
        <v>91.6</v>
      </c>
      <c r="M85" s="65" t="n">
        <v>88.55</v>
      </c>
      <c r="N85" s="65" t="n">
        <v>23.98</v>
      </c>
      <c r="O85" s="65" t="n">
        <v>88.75</v>
      </c>
      <c r="P85" s="65" t="n">
        <v>154.38</v>
      </c>
      <c r="Q85" s="65" t="n">
        <v>329.63</v>
      </c>
      <c r="R85" s="65" t="n">
        <v>53.76</v>
      </c>
      <c r="S85" s="65" t="n">
        <v>94.54</v>
      </c>
      <c r="T85" s="65" t="n">
        <v>34.81</v>
      </c>
      <c r="U85" s="65"/>
      <c r="V85" s="65" t="n">
        <v>341.41</v>
      </c>
      <c r="W85" s="65"/>
      <c r="X85" s="65"/>
      <c r="Y85" s="65"/>
      <c r="Z85" s="65"/>
      <c r="AA85" s="65"/>
    </row>
    <row r="86" customFormat="false" ht="15" hidden="false" customHeight="true" outlineLevel="0" collapsed="false">
      <c r="A86" s="68" t="n">
        <v>45765</v>
      </c>
      <c r="B86" s="65" t="n">
        <v>348.8</v>
      </c>
      <c r="C86" s="65" t="n">
        <v>71.2</v>
      </c>
      <c r="D86" s="65" t="n">
        <v>632.4</v>
      </c>
      <c r="E86" s="65" t="n">
        <v>169.04</v>
      </c>
      <c r="F86" s="65" t="n">
        <v>78.66</v>
      </c>
      <c r="G86" s="65" t="n">
        <v>93.9</v>
      </c>
      <c r="H86" s="65" t="n">
        <v>119.33</v>
      </c>
      <c r="I86" s="65" t="n">
        <v>62.81</v>
      </c>
      <c r="J86" s="65" t="n">
        <v>68.63</v>
      </c>
      <c r="K86" s="65" t="n">
        <v>101.23</v>
      </c>
      <c r="L86" s="65" t="n">
        <v>97.19</v>
      </c>
      <c r="M86" s="65" t="n">
        <v>93.78</v>
      </c>
      <c r="N86" s="65" t="n">
        <v>24.09</v>
      </c>
      <c r="O86" s="65" t="n">
        <v>87.21</v>
      </c>
      <c r="P86" s="65" t="n">
        <v>149.13</v>
      </c>
      <c r="Q86" s="65" t="n">
        <v>325.88</v>
      </c>
      <c r="R86" s="65" t="n">
        <v>52.61</v>
      </c>
      <c r="S86" s="65" t="n">
        <v>93.86</v>
      </c>
      <c r="T86" s="65" t="n">
        <v>34.09</v>
      </c>
      <c r="U86" s="65"/>
      <c r="V86" s="65" t="n">
        <v>328.04</v>
      </c>
      <c r="W86" s="65"/>
      <c r="X86" s="65"/>
      <c r="Y86" s="65"/>
      <c r="Z86" s="65"/>
      <c r="AA86" s="65"/>
    </row>
    <row r="87" customFormat="false" ht="15" hidden="false" customHeight="true" outlineLevel="0" collapsed="false">
      <c r="A87" s="68" t="n">
        <v>45772</v>
      </c>
      <c r="B87" s="65" t="n">
        <v>367.72</v>
      </c>
      <c r="C87" s="65" t="n">
        <v>77.91</v>
      </c>
      <c r="D87" s="65" t="n">
        <v>669.06</v>
      </c>
      <c r="E87" s="65" t="n">
        <v>190.12</v>
      </c>
      <c r="F87" s="65" t="n">
        <v>80.87</v>
      </c>
      <c r="G87" s="65" t="n">
        <v>106.22</v>
      </c>
      <c r="H87" s="65" t="n">
        <v>121.04</v>
      </c>
      <c r="I87" s="65" t="n">
        <v>68.77</v>
      </c>
      <c r="J87" s="65" t="n">
        <v>79.58</v>
      </c>
      <c r="K87" s="65" t="n">
        <v>110.73</v>
      </c>
      <c r="L87" s="65" t="n">
        <v>97.32</v>
      </c>
      <c r="M87" s="65" t="n">
        <v>112.78</v>
      </c>
      <c r="N87" s="65" t="n">
        <v>24.33</v>
      </c>
      <c r="O87" s="65" t="n">
        <v>92.9</v>
      </c>
      <c r="P87" s="65" t="n">
        <v>162.26</v>
      </c>
      <c r="Q87" s="65" t="n">
        <v>331.38</v>
      </c>
      <c r="R87" s="65" t="n">
        <v>52.8</v>
      </c>
      <c r="S87" s="65" t="n">
        <v>94.22</v>
      </c>
      <c r="T87" s="65" t="n">
        <v>34.67</v>
      </c>
      <c r="U87" s="65"/>
      <c r="V87" s="65" t="n">
        <v>331.86</v>
      </c>
      <c r="W87" s="65"/>
      <c r="X87" s="65"/>
      <c r="Y87" s="65"/>
      <c r="Z87" s="65"/>
      <c r="AA87" s="65"/>
    </row>
    <row r="88" customFormat="false" ht="15" hidden="false" customHeight="true" outlineLevel="0" collapsed="false">
      <c r="A88" s="68" t="n">
        <v>45779</v>
      </c>
      <c r="B88" s="65" t="n">
        <v>380.87</v>
      </c>
      <c r="C88" s="65" t="n">
        <v>91.02</v>
      </c>
      <c r="D88" s="65" t="n">
        <v>684.08</v>
      </c>
      <c r="E88" s="65" t="n">
        <v>201.32</v>
      </c>
      <c r="F88" s="65" t="n">
        <v>83.61</v>
      </c>
      <c r="G88" s="65" t="n">
        <v>110.14</v>
      </c>
      <c r="H88" s="65" t="n">
        <v>123.05</v>
      </c>
      <c r="I88" s="65" t="n">
        <v>69.12</v>
      </c>
      <c r="J88" s="65" t="n">
        <v>80.51</v>
      </c>
      <c r="K88" s="65" t="n">
        <v>114.21</v>
      </c>
      <c r="L88" s="65" t="n">
        <v>100.34</v>
      </c>
      <c r="M88" s="65" t="n">
        <v>124.28</v>
      </c>
      <c r="N88" s="65" t="n">
        <v>24.7</v>
      </c>
      <c r="O88" s="65" t="n">
        <v>96.64</v>
      </c>
      <c r="P88" s="65" t="n">
        <v>176.2</v>
      </c>
      <c r="Q88" s="65" t="n">
        <v>343.67</v>
      </c>
      <c r="R88" s="65" t="n">
        <v>51.81</v>
      </c>
      <c r="S88" s="65" t="n">
        <v>92.19</v>
      </c>
      <c r="T88" s="65" t="n">
        <v>34.1</v>
      </c>
      <c r="U88" s="65"/>
      <c r="V88" s="65" t="n">
        <v>338.97</v>
      </c>
      <c r="W88" s="65"/>
      <c r="X88" s="65"/>
      <c r="Y88" s="65"/>
      <c r="Z88" s="65"/>
      <c r="AA88" s="65"/>
    </row>
    <row r="89" customFormat="false" ht="15" hidden="false" customHeight="true" outlineLevel="0" collapsed="false">
      <c r="A89" s="68" t="n">
        <v>45786</v>
      </c>
      <c r="B89" s="65" t="n">
        <v>383.28</v>
      </c>
      <c r="C89" s="65" t="n">
        <v>86.52</v>
      </c>
      <c r="D89" s="65" t="n">
        <v>699.81</v>
      </c>
      <c r="E89" s="65" t="n">
        <v>205.83</v>
      </c>
      <c r="F89" s="65" t="n">
        <v>84.58</v>
      </c>
      <c r="G89" s="65" t="n">
        <v>102.64</v>
      </c>
      <c r="H89" s="65" t="n">
        <v>122.9</v>
      </c>
      <c r="I89" s="65" t="n">
        <v>69.43</v>
      </c>
      <c r="J89" s="65" t="n">
        <v>85.64</v>
      </c>
      <c r="K89" s="65" t="n">
        <v>116.36</v>
      </c>
      <c r="L89" s="65" t="n">
        <v>101.77</v>
      </c>
      <c r="M89" s="65" t="n">
        <v>117.3</v>
      </c>
      <c r="N89" s="65" t="n">
        <v>24.38</v>
      </c>
      <c r="O89" s="65" t="n">
        <v>97.31</v>
      </c>
      <c r="P89" s="65" t="n">
        <v>173.49</v>
      </c>
      <c r="Q89" s="65" t="n">
        <v>348.55</v>
      </c>
      <c r="R89" s="65" t="n">
        <v>46.6</v>
      </c>
      <c r="S89" s="65" t="n">
        <v>82.32</v>
      </c>
      <c r="T89" s="65" t="n">
        <v>30.95</v>
      </c>
      <c r="U89" s="65"/>
      <c r="V89" s="65" t="n">
        <v>309.59</v>
      </c>
      <c r="W89" s="65"/>
      <c r="X89" s="65"/>
      <c r="Y89" s="65"/>
      <c r="Z89" s="65"/>
      <c r="AA89" s="65"/>
    </row>
    <row r="90" customFormat="false" ht="15" hidden="false" customHeight="true" outlineLevel="0" collapsed="false">
      <c r="A90" s="68" t="n">
        <v>45793</v>
      </c>
      <c r="B90" s="65" t="n">
        <v>417.13</v>
      </c>
      <c r="C90" s="65" t="n">
        <v>96.42</v>
      </c>
      <c r="D90" s="65" t="n">
        <v>741.32</v>
      </c>
      <c r="E90" s="65" t="n">
        <v>226</v>
      </c>
      <c r="F90" s="65" t="n">
        <v>88.72</v>
      </c>
      <c r="G90" s="65" t="n">
        <v>109.82</v>
      </c>
      <c r="H90" s="65" t="n">
        <v>126.84</v>
      </c>
      <c r="I90" s="65" t="n">
        <v>78.33</v>
      </c>
      <c r="J90" s="65" t="n">
        <v>97.75</v>
      </c>
      <c r="K90" s="65" t="n">
        <v>135.06</v>
      </c>
      <c r="L90" s="65" t="n">
        <v>105.23</v>
      </c>
      <c r="M90" s="65" t="n">
        <v>129.52</v>
      </c>
      <c r="N90" s="65" t="n">
        <v>25.21</v>
      </c>
      <c r="O90" s="65" t="n">
        <v>103.95</v>
      </c>
      <c r="P90" s="65" t="n">
        <v>190.88</v>
      </c>
      <c r="Q90" s="65" t="n">
        <v>361.59</v>
      </c>
      <c r="R90" s="65" t="n">
        <v>49.54</v>
      </c>
      <c r="S90" s="65" t="n">
        <v>89.82</v>
      </c>
      <c r="T90" s="65" t="n">
        <v>31.56</v>
      </c>
      <c r="U90" s="65"/>
      <c r="V90" s="65" t="n">
        <v>329.63</v>
      </c>
      <c r="W90" s="65"/>
      <c r="X90" s="65"/>
      <c r="Y90" s="65"/>
      <c r="Z90" s="65"/>
      <c r="AA90" s="65"/>
    </row>
    <row r="91" customFormat="false" ht="15" hidden="false" customHeight="true" outlineLevel="0" collapsed="false">
      <c r="A91" s="68" t="n">
        <v>45800</v>
      </c>
      <c r="B91" s="65" t="n">
        <v>407.69</v>
      </c>
      <c r="C91" s="65" t="n">
        <v>91.2</v>
      </c>
      <c r="D91" s="65" t="n">
        <v>725.86</v>
      </c>
      <c r="E91" s="65" t="n">
        <v>226.11</v>
      </c>
      <c r="F91" s="65" t="n">
        <v>85.17</v>
      </c>
      <c r="G91" s="65" t="n">
        <v>113.9</v>
      </c>
      <c r="H91" s="65" t="n">
        <v>123.56</v>
      </c>
      <c r="I91" s="65" t="n">
        <v>75.15</v>
      </c>
      <c r="J91" s="65" t="n">
        <v>93.13</v>
      </c>
      <c r="K91" s="65" t="n">
        <v>130.96</v>
      </c>
      <c r="L91" s="65" t="n">
        <v>99.04</v>
      </c>
      <c r="M91" s="65" t="n">
        <v>123.31</v>
      </c>
      <c r="N91" s="65" t="n">
        <v>24.53</v>
      </c>
      <c r="O91" s="65" t="n">
        <v>101.63</v>
      </c>
      <c r="P91" s="65" t="n">
        <v>188.68</v>
      </c>
      <c r="Q91" s="65" t="n">
        <v>350.12</v>
      </c>
      <c r="R91" s="65" t="n">
        <v>48.74</v>
      </c>
      <c r="S91" s="65" t="n">
        <v>88.26</v>
      </c>
      <c r="T91" s="65" t="n">
        <v>31.78</v>
      </c>
      <c r="U91" s="65"/>
      <c r="V91" s="65"/>
      <c r="W91" s="65"/>
      <c r="X91" s="65"/>
      <c r="Y91" s="65"/>
      <c r="Z91" s="65"/>
      <c r="AA91" s="65"/>
    </row>
    <row r="92" customFormat="false" ht="15" hidden="false" customHeight="true" outlineLevel="0" collapsed="false">
      <c r="A92" s="68" t="n">
        <v>45807</v>
      </c>
      <c r="B92" s="65" t="n">
        <v>415.09</v>
      </c>
      <c r="C92" s="65" t="n">
        <v>86.64</v>
      </c>
      <c r="D92" s="65" t="n">
        <v>730.1</v>
      </c>
      <c r="E92" s="65" t="n">
        <v>239.31</v>
      </c>
      <c r="F92" s="65" t="n">
        <v>86.17</v>
      </c>
      <c r="G92" s="65" t="n">
        <v>117.84</v>
      </c>
      <c r="H92" s="65" t="n">
        <v>124.36</v>
      </c>
      <c r="I92" s="65" t="n">
        <v>75.12</v>
      </c>
      <c r="J92" s="65" t="n">
        <v>94.22</v>
      </c>
      <c r="K92" s="65" t="n">
        <v>134.79</v>
      </c>
      <c r="L92" s="65" t="n">
        <v>103.38</v>
      </c>
      <c r="M92" s="65" t="n">
        <v>131.78</v>
      </c>
      <c r="N92" s="65" t="n">
        <v>24.8</v>
      </c>
      <c r="O92" s="65" t="n">
        <v>104.1</v>
      </c>
      <c r="P92" s="65" t="n">
        <v>190</v>
      </c>
      <c r="Q92" s="65" t="n">
        <v>361.66</v>
      </c>
      <c r="R92" s="65" t="n">
        <v>51.09</v>
      </c>
      <c r="S92" s="65" t="n">
        <v>94.02</v>
      </c>
      <c r="T92" s="65" t="n">
        <v>32.83</v>
      </c>
      <c r="U92" s="65"/>
      <c r="V92" s="65" t="n">
        <v>331.38</v>
      </c>
      <c r="W92" s="65"/>
      <c r="X92" s="65"/>
      <c r="Y92" s="65"/>
      <c r="Z92" s="65"/>
      <c r="AA92" s="65"/>
    </row>
    <row r="93" customFormat="false" ht="15" hidden="false" customHeight="true" outlineLevel="0" collapsed="false">
      <c r="A93" s="68" t="n">
        <v>45814</v>
      </c>
      <c r="B93" s="65" t="n">
        <v>416.92</v>
      </c>
      <c r="C93" s="65" t="n">
        <v>97.25</v>
      </c>
      <c r="D93" s="65" t="n">
        <v>746.2</v>
      </c>
      <c r="E93" s="65" t="n">
        <v>244.11</v>
      </c>
      <c r="F93" s="65" t="n">
        <v>87.76</v>
      </c>
      <c r="G93" s="65" t="n">
        <v>117.1</v>
      </c>
      <c r="H93" s="65" t="n">
        <v>124.82</v>
      </c>
      <c r="I93" s="65" t="n">
        <v>80.19</v>
      </c>
      <c r="J93" s="65" t="n">
        <v>108.28</v>
      </c>
      <c r="K93" s="65" t="n">
        <v>141.36</v>
      </c>
      <c r="L93" s="65" t="n">
        <v>103.56</v>
      </c>
      <c r="M93" s="65" t="n">
        <v>127.72</v>
      </c>
      <c r="N93" s="65" t="n">
        <v>25.15</v>
      </c>
      <c r="O93" s="65" t="n">
        <v>105.65</v>
      </c>
      <c r="P93" s="65" t="n">
        <v>201.66</v>
      </c>
      <c r="Q93" s="65" t="n">
        <v>366.64</v>
      </c>
      <c r="R93" s="65" t="n">
        <v>51.49</v>
      </c>
      <c r="S93" s="65" t="n">
        <v>97.8</v>
      </c>
      <c r="T93" s="65" t="n">
        <v>33.46</v>
      </c>
      <c r="U93" s="65"/>
      <c r="V93" s="65" t="n">
        <v>343.67</v>
      </c>
      <c r="W93" s="65"/>
      <c r="X93" s="65"/>
      <c r="Y93" s="65"/>
      <c r="Z93" s="65"/>
      <c r="AA93" s="65"/>
    </row>
    <row r="94" customFormat="false" ht="15" hidden="false" customHeight="true" outlineLevel="0" collapsed="false">
      <c r="A94" s="68" t="n">
        <v>45821</v>
      </c>
      <c r="B94" s="65" t="n">
        <v>391.68</v>
      </c>
      <c r="C94" s="65" t="n">
        <v>92.35</v>
      </c>
      <c r="D94" s="65" t="n">
        <v>754.11</v>
      </c>
      <c r="E94" s="65" t="n">
        <v>245.86</v>
      </c>
      <c r="F94" s="65" t="n">
        <v>87.23</v>
      </c>
      <c r="G94" s="65" t="n">
        <v>120.15</v>
      </c>
      <c r="H94" s="65" t="n">
        <v>124.38</v>
      </c>
      <c r="I94" s="65" t="n">
        <v>86.11</v>
      </c>
      <c r="J94" s="65" t="n">
        <v>115.31</v>
      </c>
      <c r="K94" s="65" t="n">
        <v>141.62</v>
      </c>
      <c r="L94" s="65" t="n">
        <v>102.12</v>
      </c>
      <c r="M94" s="65" t="n">
        <v>137.4</v>
      </c>
      <c r="N94" s="65" t="n">
        <v>25.49</v>
      </c>
      <c r="O94" s="65" t="n">
        <v>104.9</v>
      </c>
      <c r="P94" s="65" t="n">
        <v>208.23</v>
      </c>
      <c r="Q94" s="65" t="n">
        <v>349.44</v>
      </c>
      <c r="R94" s="65" t="n">
        <v>51.63</v>
      </c>
      <c r="S94" s="65" t="n">
        <v>98.48</v>
      </c>
      <c r="T94" s="65" t="n">
        <v>33.4</v>
      </c>
      <c r="U94" s="65"/>
      <c r="V94" s="65" t="n">
        <v>348.55</v>
      </c>
      <c r="W94" s="65"/>
      <c r="X94" s="65"/>
      <c r="Y94" s="65"/>
      <c r="Z94" s="65"/>
      <c r="AA94" s="65"/>
    </row>
    <row r="95" customFormat="false" ht="15" hidden="false" customHeight="true" outlineLevel="0" collapsed="false">
      <c r="A95" s="68" t="n">
        <v>45828</v>
      </c>
      <c r="B95" s="65" t="n">
        <v>376.92</v>
      </c>
      <c r="C95" s="65" t="n">
        <v>86.25</v>
      </c>
      <c r="D95" s="65" t="n">
        <v>749.68</v>
      </c>
      <c r="E95" s="65" t="n">
        <v>247.72</v>
      </c>
      <c r="F95" s="65" t="n">
        <v>87.38</v>
      </c>
      <c r="G95" s="65" t="n">
        <v>119.07</v>
      </c>
      <c r="H95" s="65" t="n">
        <v>124.75</v>
      </c>
      <c r="I95" s="65" t="n">
        <v>84.36</v>
      </c>
      <c r="J95" s="65" t="n">
        <v>123.29</v>
      </c>
      <c r="K95" s="65" t="n">
        <v>143.5</v>
      </c>
      <c r="L95" s="65" t="n">
        <v>101.57</v>
      </c>
      <c r="M95" s="65" t="n">
        <v>137.3</v>
      </c>
      <c r="N95" s="65" t="n">
        <v>25.3</v>
      </c>
      <c r="O95" s="65" t="n">
        <v>105.64</v>
      </c>
      <c r="P95" s="65" t="n">
        <v>206.66</v>
      </c>
      <c r="Q95" s="65" t="n">
        <v>335.29</v>
      </c>
      <c r="R95" s="65" t="n">
        <v>52.52</v>
      </c>
      <c r="S95" s="65" t="n">
        <v>105.2</v>
      </c>
      <c r="T95" s="65" t="n">
        <v>34.84</v>
      </c>
      <c r="U95" s="65"/>
      <c r="V95" s="65" t="n">
        <v>361.59</v>
      </c>
      <c r="W95" s="65"/>
      <c r="X95" s="65"/>
      <c r="Y95" s="65"/>
      <c r="Z95" s="65"/>
      <c r="AA95" s="65"/>
    </row>
    <row r="96" customFormat="false" ht="15" hidden="false" customHeight="true" outlineLevel="0" collapsed="false">
      <c r="A96" s="68" t="n">
        <v>45835</v>
      </c>
      <c r="B96" s="65" t="n">
        <v>385.83</v>
      </c>
      <c r="C96" s="65" t="n">
        <v>99.39</v>
      </c>
      <c r="D96" s="65" t="n">
        <v>788.74</v>
      </c>
      <c r="E96" s="65" t="n">
        <v>266.9</v>
      </c>
      <c r="F96" s="65" t="n">
        <v>89.61</v>
      </c>
      <c r="G96" s="65" t="n">
        <v>124.83</v>
      </c>
      <c r="H96" s="65" t="n">
        <v>126.47</v>
      </c>
      <c r="I96" s="65" t="n">
        <v>88.32</v>
      </c>
      <c r="J96" s="65" t="n">
        <v>124.44</v>
      </c>
      <c r="K96" s="65" t="n">
        <v>157.36</v>
      </c>
      <c r="L96" s="65" t="n">
        <v>101.5</v>
      </c>
      <c r="M96" s="65" t="n">
        <v>130.74</v>
      </c>
      <c r="N96" s="65" t="n">
        <v>25.25</v>
      </c>
      <c r="O96" s="65" t="n">
        <v>110.73</v>
      </c>
      <c r="P96" s="65" t="n">
        <v>225.46</v>
      </c>
      <c r="Q96" s="65" t="n">
        <v>345.24</v>
      </c>
      <c r="R96" s="65" t="n">
        <v>52.04</v>
      </c>
      <c r="S96" s="65" t="n">
        <v>102.85</v>
      </c>
      <c r="T96" s="65" t="n">
        <v>33.63</v>
      </c>
      <c r="U96" s="65"/>
      <c r="V96" s="65" t="n">
        <v>350.12</v>
      </c>
      <c r="W96" s="65"/>
      <c r="X96" s="65"/>
      <c r="Y96" s="65"/>
      <c r="Z96" s="65"/>
      <c r="AA96" s="65"/>
    </row>
    <row r="97" customFormat="false" ht="15" hidden="false" customHeight="true" outlineLevel="0" collapsed="false">
      <c r="A97" s="68" t="n">
        <v>45842</v>
      </c>
      <c r="B97" s="65" t="n">
        <v>379.31</v>
      </c>
      <c r="C97" s="65" t="n">
        <v>102.52</v>
      </c>
      <c r="D97" s="65" t="n">
        <v>787.3</v>
      </c>
      <c r="E97" s="65" t="n">
        <v>272.68</v>
      </c>
      <c r="F97" s="65" t="n">
        <v>93.34</v>
      </c>
      <c r="G97" s="65" t="n">
        <v>128.52</v>
      </c>
      <c r="H97" s="65" t="n">
        <v>130.79</v>
      </c>
      <c r="I97" s="65" t="n">
        <v>91.76</v>
      </c>
      <c r="J97" s="65" t="n">
        <v>121.98</v>
      </c>
      <c r="K97" s="65" t="n">
        <v>158.95</v>
      </c>
      <c r="L97" s="65" t="n">
        <v>103.81</v>
      </c>
      <c r="M97" s="65" t="n">
        <v>134.36</v>
      </c>
      <c r="N97" s="65" t="n">
        <v>26.17</v>
      </c>
      <c r="O97" s="65" t="n">
        <v>111.39</v>
      </c>
      <c r="P97" s="65" t="n">
        <v>231.61</v>
      </c>
      <c r="Q97" s="65" t="n">
        <v>355.39</v>
      </c>
      <c r="R97" s="65" t="n">
        <v>52.63</v>
      </c>
      <c r="S97" s="65" t="n">
        <v>105.35</v>
      </c>
      <c r="T97" s="65" t="n">
        <v>33.89</v>
      </c>
      <c r="U97" s="65"/>
      <c r="V97" s="65" t="n">
        <v>361.66</v>
      </c>
      <c r="W97" s="65"/>
      <c r="X97" s="65"/>
      <c r="Y97" s="65"/>
      <c r="Z97" s="65"/>
      <c r="AA97" s="65"/>
    </row>
    <row r="98" customFormat="false" ht="15" hidden="false" customHeight="true" outlineLevel="0" collapsed="false">
      <c r="A98" s="68" t="n">
        <v>45849</v>
      </c>
      <c r="B98" s="65" t="n">
        <v>363.35</v>
      </c>
      <c r="C98" s="65" t="n">
        <v>108.57</v>
      </c>
      <c r="D98" s="65" t="n">
        <v>794.67</v>
      </c>
      <c r="E98" s="65" t="n">
        <v>271.89</v>
      </c>
      <c r="F98" s="65" t="n">
        <v>93.22</v>
      </c>
      <c r="G98" s="65" t="n">
        <v>119.61</v>
      </c>
      <c r="H98" s="65" t="n">
        <v>130.35</v>
      </c>
      <c r="I98" s="65" t="n">
        <v>91.76</v>
      </c>
      <c r="J98" s="65" t="n">
        <v>124.33</v>
      </c>
      <c r="K98" s="65" t="n">
        <v>164.52</v>
      </c>
      <c r="L98" s="65" t="n">
        <v>104.91</v>
      </c>
      <c r="M98" s="65" t="n">
        <v>142.1</v>
      </c>
      <c r="N98" s="65" t="n">
        <v>26.15</v>
      </c>
      <c r="O98" s="65" t="n">
        <v>111.05</v>
      </c>
      <c r="P98" s="65" t="n">
        <v>227.27</v>
      </c>
      <c r="Q98" s="65" t="n">
        <v>344.56</v>
      </c>
      <c r="R98" s="65" t="n">
        <v>52.7</v>
      </c>
      <c r="S98" s="65" t="n">
        <v>106.92</v>
      </c>
      <c r="T98" s="65" t="n">
        <v>34.69</v>
      </c>
      <c r="U98" s="65"/>
      <c r="V98" s="65" t="n">
        <v>366.64</v>
      </c>
      <c r="W98" s="65"/>
      <c r="X98" s="65"/>
      <c r="Y98" s="65"/>
      <c r="Z98" s="65"/>
      <c r="AA98" s="65"/>
    </row>
    <row r="99" customFormat="false" ht="15" hidden="false" customHeight="true" outlineLevel="0" collapsed="false">
      <c r="A99" s="68" t="n">
        <v>45856</v>
      </c>
      <c r="B99" s="65" t="n">
        <v>365.79</v>
      </c>
      <c r="C99" s="65" t="n">
        <v>111.78</v>
      </c>
      <c r="D99" s="65" t="n">
        <v>727.93</v>
      </c>
      <c r="E99" s="65" t="n">
        <v>280.77</v>
      </c>
      <c r="F99" s="65" t="n">
        <v>92.12</v>
      </c>
      <c r="G99" s="65" t="n">
        <v>118.99</v>
      </c>
      <c r="H99" s="65" t="n">
        <v>129.8</v>
      </c>
      <c r="I99" s="65" t="n">
        <v>92.41</v>
      </c>
      <c r="J99" s="65" t="n">
        <v>114.21</v>
      </c>
      <c r="K99" s="65" t="n">
        <v>171.99</v>
      </c>
      <c r="L99" s="65" t="n">
        <v>102.61</v>
      </c>
      <c r="M99" s="65" t="n">
        <v>153.52</v>
      </c>
      <c r="N99" s="65" t="n">
        <v>25.86</v>
      </c>
      <c r="O99" s="65" t="n">
        <v>112.7</v>
      </c>
      <c r="P99" s="65" t="n">
        <v>237.13</v>
      </c>
      <c r="Q99" s="65" t="n">
        <v>345.67</v>
      </c>
      <c r="R99" s="65" t="n">
        <v>52.59</v>
      </c>
      <c r="S99" s="65" t="n">
        <v>106.16</v>
      </c>
      <c r="T99" s="65" t="n">
        <v>35.07</v>
      </c>
      <c r="U99" s="65"/>
      <c r="V99" s="65" t="n">
        <v>349.44</v>
      </c>
      <c r="W99" s="65"/>
      <c r="X99" s="65"/>
      <c r="Y99" s="65"/>
      <c r="Z99" s="65"/>
      <c r="AA99" s="65"/>
    </row>
    <row r="100" customFormat="false" ht="15" hidden="false" customHeight="true" outlineLevel="0" collapsed="false">
      <c r="A100" s="68" t="n">
        <v>45863</v>
      </c>
      <c r="B100" s="65" t="n">
        <v>370.74</v>
      </c>
      <c r="C100" s="65" t="n">
        <v>114.28</v>
      </c>
      <c r="D100" s="65" t="n">
        <v>704.81</v>
      </c>
      <c r="E100" s="65" t="n">
        <v>287.55</v>
      </c>
      <c r="F100" s="65" t="n">
        <v>93.48</v>
      </c>
      <c r="G100" s="65" t="n">
        <v>116.98</v>
      </c>
      <c r="H100" s="65" t="n">
        <v>132.16</v>
      </c>
      <c r="I100" s="65" t="n">
        <v>89.53</v>
      </c>
      <c r="J100" s="65" t="n">
        <v>111.08</v>
      </c>
      <c r="K100" s="65" t="n">
        <v>173.08</v>
      </c>
      <c r="L100" s="65" t="n">
        <v>105.99</v>
      </c>
      <c r="M100" s="65" t="n">
        <v>158.8</v>
      </c>
      <c r="N100" s="65" t="n">
        <v>26.14</v>
      </c>
      <c r="O100" s="65" t="n">
        <v>113.89</v>
      </c>
      <c r="P100" s="65" t="n">
        <v>242.26</v>
      </c>
      <c r="Q100" s="65" t="n">
        <v>353.59</v>
      </c>
      <c r="R100" s="65" t="n">
        <v>52.75</v>
      </c>
      <c r="S100" s="65" t="n">
        <v>106.91</v>
      </c>
      <c r="T100" s="65" t="n">
        <v>35.03</v>
      </c>
      <c r="U100" s="65"/>
      <c r="V100" s="65" t="n">
        <v>335.29</v>
      </c>
      <c r="W100" s="65"/>
      <c r="X100" s="65"/>
      <c r="Y100" s="65"/>
      <c r="Z100" s="65"/>
      <c r="AA100" s="65"/>
    </row>
    <row r="101" customFormat="false" ht="15" hidden="false" customHeight="true" outlineLevel="0" collapsed="false">
      <c r="A101" s="68" t="n">
        <v>45870</v>
      </c>
      <c r="B101" s="65" t="n">
        <v>347.8</v>
      </c>
      <c r="C101" s="65" t="n">
        <v>117.57</v>
      </c>
      <c r="D101" s="65" t="n">
        <v>685.31</v>
      </c>
      <c r="E101" s="65" t="n">
        <v>286.02</v>
      </c>
      <c r="F101" s="65" t="n">
        <v>88.78</v>
      </c>
      <c r="G101" s="65" t="n">
        <v>111.67</v>
      </c>
      <c r="H101" s="65" t="n">
        <v>128.19</v>
      </c>
      <c r="I101" s="65" t="n">
        <v>88</v>
      </c>
      <c r="J101" s="65" t="n">
        <v>104.71</v>
      </c>
      <c r="K101" s="65" t="n">
        <v>173.3</v>
      </c>
      <c r="L101" s="65" t="n">
        <v>100.82</v>
      </c>
      <c r="M101" s="65" t="n">
        <v>154.27</v>
      </c>
      <c r="N101" s="65" t="n">
        <v>25.24</v>
      </c>
      <c r="O101" s="65" t="n">
        <v>112.1</v>
      </c>
      <c r="P101" s="65" t="n">
        <v>232.01</v>
      </c>
      <c r="Q101" s="65" t="n">
        <v>336.07</v>
      </c>
      <c r="R101" s="65" t="n">
        <v>54.27</v>
      </c>
      <c r="S101" s="65" t="n">
        <v>111.84</v>
      </c>
      <c r="T101" s="65" t="n">
        <v>35.33</v>
      </c>
      <c r="U101" s="65"/>
      <c r="V101" s="65" t="n">
        <v>345.24</v>
      </c>
      <c r="W101" s="65"/>
      <c r="X101" s="65"/>
      <c r="Y101" s="65"/>
      <c r="Z101" s="65"/>
      <c r="AA101" s="65"/>
    </row>
    <row r="102" customFormat="false" ht="15" hidden="false" customHeight="true" outlineLevel="0" collapsed="false">
      <c r="A102" s="68" t="n">
        <v>45877</v>
      </c>
      <c r="B102" s="65" t="n">
        <v>341.05</v>
      </c>
      <c r="C102" s="65" t="n">
        <v>139.18</v>
      </c>
      <c r="D102" s="65" t="n">
        <v>717.59</v>
      </c>
      <c r="E102" s="65" t="n">
        <v>302.2</v>
      </c>
      <c r="F102" s="65" t="n">
        <v>90.85</v>
      </c>
      <c r="G102" s="65" t="n">
        <v>106.12</v>
      </c>
      <c r="H102" s="65" t="n">
        <v>130.26</v>
      </c>
      <c r="I102" s="65" t="n">
        <v>90.79</v>
      </c>
      <c r="J102" s="65" t="n">
        <v>118.7</v>
      </c>
      <c r="K102" s="65" t="n">
        <v>182.25</v>
      </c>
      <c r="L102" s="65" t="n">
        <v>101.56</v>
      </c>
      <c r="M102" s="65" t="n">
        <v>186.96</v>
      </c>
      <c r="N102" s="65" t="n">
        <v>25.72</v>
      </c>
      <c r="O102" s="65" t="n">
        <v>116.02</v>
      </c>
      <c r="P102" s="65" t="n">
        <v>238.54</v>
      </c>
      <c r="Q102" s="65" t="n">
        <v>333.52</v>
      </c>
      <c r="R102" s="65" t="n">
        <v>54.16</v>
      </c>
      <c r="S102" s="65" t="n">
        <v>112.51</v>
      </c>
      <c r="T102" s="65" t="n">
        <v>35.77</v>
      </c>
      <c r="U102" s="65"/>
      <c r="V102" s="65"/>
      <c r="W102" s="65"/>
      <c r="X102" s="65"/>
      <c r="Y102" s="65"/>
      <c r="Z102" s="65"/>
      <c r="AA102" s="65"/>
    </row>
    <row r="103" customFormat="false" ht="15" hidden="false" customHeight="true" outlineLevel="0" collapsed="false">
      <c r="A103" s="68" t="n">
        <v>45884</v>
      </c>
      <c r="B103" s="65" t="n">
        <v>354.85</v>
      </c>
      <c r="C103" s="65" t="n">
        <v>137.3</v>
      </c>
      <c r="D103" s="65" t="n">
        <v>737.3</v>
      </c>
      <c r="E103" s="65" t="n">
        <v>303.56</v>
      </c>
      <c r="F103" s="65" t="n">
        <v>93.56</v>
      </c>
      <c r="G103" s="65" t="n">
        <v>106.97</v>
      </c>
      <c r="H103" s="65" t="n">
        <v>132.26</v>
      </c>
      <c r="I103" s="65" t="n">
        <v>86.84</v>
      </c>
      <c r="J103" s="65" t="n">
        <v>120.68</v>
      </c>
      <c r="K103" s="65" t="n">
        <v>180.01</v>
      </c>
      <c r="L103" s="65" t="n">
        <v>102.43</v>
      </c>
      <c r="M103" s="65" t="n">
        <v>177.17</v>
      </c>
      <c r="N103" s="65" t="n">
        <v>26.15</v>
      </c>
      <c r="O103" s="65" t="n">
        <v>116.14</v>
      </c>
      <c r="P103" s="65" t="n">
        <v>235.63</v>
      </c>
      <c r="Q103" s="65" t="n">
        <v>341.74</v>
      </c>
      <c r="R103" s="65" t="n">
        <v>54.36</v>
      </c>
      <c r="S103" s="65" t="n">
        <v>112.17</v>
      </c>
      <c r="T103" s="65" t="n">
        <v>35.84</v>
      </c>
      <c r="U103" s="65"/>
      <c r="V103" s="65" t="n">
        <v>344.56</v>
      </c>
      <c r="W103" s="65"/>
      <c r="X103" s="65"/>
      <c r="Y103" s="65"/>
      <c r="Z103" s="65"/>
      <c r="AA103" s="65"/>
    </row>
    <row r="104" customFormat="false" ht="15" hidden="false" customHeight="true" outlineLevel="0" collapsed="false">
      <c r="A104" s="68" t="n">
        <v>45891</v>
      </c>
      <c r="B104" s="65" t="n">
        <v>362.09</v>
      </c>
      <c r="C104" s="65" t="n">
        <v>133.25</v>
      </c>
      <c r="D104" s="65" t="n">
        <v>749.95</v>
      </c>
      <c r="E104" s="65" t="n">
        <v>291.33</v>
      </c>
      <c r="F104" s="65" t="n">
        <v>97.28</v>
      </c>
      <c r="G104" s="65" t="n">
        <v>105.14</v>
      </c>
      <c r="H104" s="65" t="n">
        <v>136.08</v>
      </c>
      <c r="I104" s="65" t="n">
        <v>86.56</v>
      </c>
      <c r="J104" s="65" t="n">
        <v>117.49</v>
      </c>
      <c r="K104" s="65" t="n">
        <v>177.55</v>
      </c>
      <c r="L104" s="65" t="n">
        <v>107.9</v>
      </c>
      <c r="M104" s="65" t="n">
        <v>158.74</v>
      </c>
      <c r="N104" s="65" t="n">
        <v>26.75</v>
      </c>
      <c r="O104" s="65" t="n">
        <v>115.35</v>
      </c>
      <c r="P104" s="65" t="n">
        <v>229.82</v>
      </c>
      <c r="Q104" s="65" t="n">
        <v>347.26</v>
      </c>
      <c r="R104" s="65" t="n">
        <v>54.69</v>
      </c>
      <c r="S104" s="65" t="n">
        <v>113.83</v>
      </c>
      <c r="T104" s="65" t="n">
        <v>35.08</v>
      </c>
      <c r="U104" s="65"/>
      <c r="V104" s="65" t="n">
        <v>345.67</v>
      </c>
      <c r="W104" s="65"/>
      <c r="X104" s="65"/>
      <c r="Y104" s="65"/>
      <c r="Z104" s="65"/>
      <c r="AA104" s="65"/>
    </row>
    <row r="105" customFormat="false" ht="15" hidden="false" customHeight="true" outlineLevel="0" collapsed="false">
      <c r="A105" s="68" t="n">
        <v>45898</v>
      </c>
      <c r="B105" s="65" t="n">
        <v>356.7</v>
      </c>
      <c r="C105" s="65" t="n">
        <v>136.55</v>
      </c>
      <c r="D105" s="65" t="n">
        <v>737.76</v>
      </c>
      <c r="E105" s="65" t="n">
        <v>294.69</v>
      </c>
      <c r="F105" s="65" t="n">
        <v>98.1</v>
      </c>
      <c r="G105" s="65" t="n">
        <v>105.93</v>
      </c>
      <c r="H105" s="65" t="n">
        <v>135.78</v>
      </c>
      <c r="I105" s="65" t="n">
        <v>86.73</v>
      </c>
      <c r="J105" s="65" t="n">
        <v>118.82</v>
      </c>
      <c r="K105" s="65" t="n">
        <v>173.75</v>
      </c>
      <c r="L105" s="65" t="n">
        <v>109.34</v>
      </c>
      <c r="M105" s="65" t="n">
        <v>156.71</v>
      </c>
      <c r="N105" s="65" t="n">
        <v>26.72</v>
      </c>
      <c r="O105" s="65" t="n">
        <v>115.32</v>
      </c>
      <c r="P105" s="65" t="n">
        <v>227.73</v>
      </c>
      <c r="Q105" s="65" t="n">
        <v>348.99</v>
      </c>
      <c r="R105" s="65" t="n">
        <v>55.08</v>
      </c>
      <c r="S105" s="65" t="n">
        <v>115.03</v>
      </c>
      <c r="T105" s="65" t="n">
        <v>35.85</v>
      </c>
      <c r="U105" s="65"/>
      <c r="V105" s="65" t="n">
        <v>353.59</v>
      </c>
      <c r="W105" s="65"/>
      <c r="X105" s="65"/>
      <c r="Y105" s="65"/>
      <c r="Z105" s="65"/>
      <c r="AA105" s="65"/>
    </row>
    <row r="106" customFormat="false" ht="15" hidden="false" customHeight="true" outlineLevel="0" collapsed="false">
      <c r="A106" s="68" t="n">
        <v>45905</v>
      </c>
      <c r="B106" s="65" t="n">
        <v>348.97</v>
      </c>
      <c r="C106" s="65" t="n">
        <v>142.85</v>
      </c>
      <c r="D106" s="65" t="n">
        <v>776.58</v>
      </c>
      <c r="E106" s="65" t="n">
        <v>331.85</v>
      </c>
      <c r="F106" s="65" t="n">
        <v>99.17</v>
      </c>
      <c r="G106" s="65" t="n">
        <v>104.41</v>
      </c>
      <c r="H106" s="65" t="n">
        <v>135.66</v>
      </c>
      <c r="I106" s="65" t="n">
        <v>90.02</v>
      </c>
      <c r="J106" s="65" t="n">
        <v>131.16</v>
      </c>
      <c r="K106" s="65" t="n">
        <v>166.61</v>
      </c>
      <c r="L106" s="65" t="n">
        <v>109.22</v>
      </c>
      <c r="M106" s="65" t="n">
        <v>153.11</v>
      </c>
      <c r="N106" s="65" t="n">
        <v>26.45</v>
      </c>
      <c r="O106" s="65" t="n">
        <v>115.89</v>
      </c>
      <c r="P106" s="65" t="n">
        <v>240.1</v>
      </c>
      <c r="Q106" s="65" t="n">
        <v>340.5</v>
      </c>
      <c r="R106" s="65" t="n">
        <v>53.81</v>
      </c>
      <c r="S106" s="65" t="n">
        <v>113.23</v>
      </c>
      <c r="T106" s="65" t="n">
        <v>34.35</v>
      </c>
      <c r="U106" s="65"/>
      <c r="V106" s="65" t="n">
        <v>336.07</v>
      </c>
      <c r="W106" s="65"/>
      <c r="X106" s="65"/>
      <c r="Y106" s="65"/>
      <c r="Z106" s="65"/>
      <c r="AA106" s="65"/>
    </row>
    <row r="107" customFormat="false" ht="15" hidden="false" customHeight="true" outlineLevel="0" collapsed="false">
      <c r="A107" s="68" t="n">
        <v>45912</v>
      </c>
      <c r="B107" s="65" t="n">
        <v>349.36</v>
      </c>
      <c r="C107" s="65" t="n">
        <v>139.39</v>
      </c>
      <c r="D107" s="65" t="n">
        <v>808.54</v>
      </c>
      <c r="E107" s="65" t="n">
        <v>356.6</v>
      </c>
      <c r="F107" s="65" t="n">
        <v>98.38</v>
      </c>
      <c r="G107" s="65" t="n">
        <v>109.03</v>
      </c>
      <c r="H107" s="65" t="n">
        <v>135.84</v>
      </c>
      <c r="I107" s="65" t="n">
        <v>95.88</v>
      </c>
      <c r="J107" s="65" t="n">
        <v>156.98</v>
      </c>
      <c r="K107" s="65" t="n">
        <v>177.4</v>
      </c>
      <c r="L107" s="65" t="n">
        <v>110.85</v>
      </c>
      <c r="M107" s="65" t="n">
        <v>171.43</v>
      </c>
      <c r="N107" s="65" t="n">
        <v>26.3</v>
      </c>
      <c r="O107" s="65" t="n">
        <v>119.28</v>
      </c>
      <c r="P107" s="65" t="n">
        <v>255.81</v>
      </c>
      <c r="Q107" s="65" t="n">
        <v>336.74</v>
      </c>
      <c r="R107" s="65" t="n">
        <v>55.32</v>
      </c>
      <c r="S107" s="65" t="n">
        <v>117.19</v>
      </c>
      <c r="T107" s="65" t="n">
        <v>34.69</v>
      </c>
      <c r="U107" s="65"/>
      <c r="V107" s="65" t="n">
        <v>333.52</v>
      </c>
      <c r="W107" s="65"/>
      <c r="X107" s="65"/>
      <c r="Y107" s="65"/>
      <c r="Z107" s="65"/>
      <c r="AA107" s="65"/>
    </row>
    <row r="108" customFormat="false" ht="15" hidden="false" customHeight="true" outlineLevel="0" collapsed="false">
      <c r="A108" s="68" t="n">
        <v>45919</v>
      </c>
      <c r="B108" s="65" t="n">
        <v>365.9</v>
      </c>
      <c r="C108" s="65" t="n">
        <v>149.61</v>
      </c>
      <c r="D108" s="65" t="n">
        <v>926.05</v>
      </c>
      <c r="E108" s="65" t="n">
        <v>341.81</v>
      </c>
      <c r="F108" s="65" t="n">
        <v>98.94</v>
      </c>
      <c r="G108" s="65" t="n">
        <v>125.64</v>
      </c>
      <c r="H108" s="65" t="n">
        <v>135.46</v>
      </c>
      <c r="I108" s="65" t="n">
        <v>103.92</v>
      </c>
      <c r="J108" s="65" t="n">
        <v>162.47</v>
      </c>
      <c r="K108" s="65" t="n">
        <v>176.25</v>
      </c>
      <c r="L108" s="65" t="n">
        <v>110.05</v>
      </c>
      <c r="M108" s="65" t="n">
        <v>182.39</v>
      </c>
      <c r="N108" s="65" t="n">
        <v>26.15</v>
      </c>
      <c r="O108" s="65" t="n">
        <v>120.72</v>
      </c>
      <c r="P108" s="65" t="n">
        <v>262.1</v>
      </c>
      <c r="Q108" s="65" t="n">
        <v>338.9</v>
      </c>
      <c r="R108" s="65" t="n">
        <v>55.8</v>
      </c>
      <c r="S108" s="65" t="n">
        <v>117.31</v>
      </c>
      <c r="T108" s="65" t="n">
        <v>36.06</v>
      </c>
      <c r="U108" s="65"/>
      <c r="V108" s="65" t="n">
        <v>341.74</v>
      </c>
      <c r="W108" s="65"/>
      <c r="X108" s="65"/>
      <c r="Y108" s="65"/>
      <c r="Z108" s="65"/>
      <c r="AA108" s="65"/>
    </row>
    <row r="109" customFormat="false" ht="15" hidden="false" customHeight="true" outlineLevel="0" collapsed="false">
      <c r="A109" s="68" t="n">
        <v>45926</v>
      </c>
      <c r="B109" s="65" t="n">
        <v>360.37</v>
      </c>
      <c r="C109" s="65" t="n">
        <v>142.5</v>
      </c>
      <c r="D109" s="65" t="n">
        <v>945.29</v>
      </c>
      <c r="E109" s="65" t="n">
        <v>332.06</v>
      </c>
      <c r="F109" s="65" t="n">
        <v>99.24</v>
      </c>
      <c r="G109" s="65" t="n">
        <v>120.36</v>
      </c>
      <c r="H109" s="65" t="n">
        <v>136.5</v>
      </c>
      <c r="I109" s="65" t="n">
        <v>105.86</v>
      </c>
      <c r="J109" s="65" t="n">
        <v>157.02</v>
      </c>
      <c r="K109" s="65" t="n">
        <v>177.76</v>
      </c>
      <c r="L109" s="65" t="n">
        <v>110.71</v>
      </c>
      <c r="M109" s="65" t="n">
        <v>177.57</v>
      </c>
      <c r="N109" s="65" t="n">
        <v>26.29</v>
      </c>
      <c r="O109" s="65" t="n">
        <v>119.57</v>
      </c>
      <c r="P109" s="65" t="n">
        <v>270.5</v>
      </c>
      <c r="Q109" s="65" t="n">
        <v>334.69</v>
      </c>
      <c r="R109" s="65" t="n">
        <v>55.67</v>
      </c>
      <c r="S109" s="65" t="n">
        <v>116.51</v>
      </c>
      <c r="T109" s="65" t="n">
        <v>36.99</v>
      </c>
      <c r="U109" s="65"/>
      <c r="V109" s="65" t="n">
        <v>347.26</v>
      </c>
      <c r="W109" s="65"/>
      <c r="X109" s="65"/>
      <c r="Y109" s="65"/>
      <c r="Z109" s="65"/>
      <c r="AA109" s="65"/>
    </row>
    <row r="110" customFormat="false" ht="15" hidden="false" customHeight="true" outlineLevel="0" collapsed="false">
      <c r="A110" s="68" t="n">
        <v>45933</v>
      </c>
      <c r="B110" s="65" t="n">
        <v>346.74</v>
      </c>
      <c r="C110" s="65" t="n">
        <v>145.5</v>
      </c>
      <c r="D110" s="65" t="n">
        <v>1025.47</v>
      </c>
      <c r="E110" s="65" t="n">
        <v>335.87</v>
      </c>
      <c r="F110" s="65" t="n">
        <v>99.35</v>
      </c>
      <c r="G110" s="65" t="n">
        <v>122.47</v>
      </c>
      <c r="H110" s="65" t="n">
        <v>138.19</v>
      </c>
      <c r="I110" s="65" t="n">
        <v>109.56</v>
      </c>
      <c r="J110" s="65" t="n">
        <v>187.65</v>
      </c>
      <c r="K110" s="65" t="n">
        <v>187.17</v>
      </c>
      <c r="L110" s="65" t="n">
        <v>113.5</v>
      </c>
      <c r="M110" s="65" t="n">
        <v>173.07</v>
      </c>
      <c r="N110" s="65" t="n">
        <v>26.48</v>
      </c>
      <c r="O110" s="65" t="n">
        <v>119.08</v>
      </c>
      <c r="P110" s="65" t="n">
        <v>289.13</v>
      </c>
      <c r="Q110" s="65" t="n">
        <v>347.06</v>
      </c>
      <c r="R110" s="65" t="n">
        <v>55.68</v>
      </c>
      <c r="S110" s="65" t="n">
        <v>116.48</v>
      </c>
      <c r="T110" s="65" t="n">
        <v>37.33</v>
      </c>
      <c r="U110" s="65"/>
      <c r="V110" s="65" t="n">
        <v>348.99</v>
      </c>
      <c r="W110" s="65"/>
      <c r="X110" s="65"/>
      <c r="Y110" s="65"/>
      <c r="Z110" s="65"/>
      <c r="AA110" s="65"/>
    </row>
    <row r="111" customFormat="false" ht="15" hidden="false" customHeight="true" outlineLevel="0" collapsed="false">
      <c r="A111" s="68" t="n">
        <v>45940</v>
      </c>
      <c r="B111" s="65" t="n">
        <v>337.51</v>
      </c>
      <c r="C111" s="65" t="n">
        <v>154.1</v>
      </c>
      <c r="D111" s="65" t="n">
        <v>930.06</v>
      </c>
      <c r="E111" s="65" t="n">
        <v>322.23</v>
      </c>
      <c r="F111" s="65" t="n">
        <v>93.95</v>
      </c>
      <c r="G111" s="65" t="n">
        <v>123.42</v>
      </c>
      <c r="H111" s="65" t="n">
        <v>133.41</v>
      </c>
      <c r="I111" s="65" t="n">
        <v>97.75</v>
      </c>
      <c r="J111" s="65" t="n">
        <v>181.42</v>
      </c>
      <c r="K111" s="65" t="n">
        <v>182.72</v>
      </c>
      <c r="L111" s="65" t="n">
        <v>107.84</v>
      </c>
      <c r="M111" s="65" t="n">
        <v>175.44</v>
      </c>
      <c r="N111" s="65" t="n">
        <v>25.64</v>
      </c>
      <c r="O111" s="65" t="n">
        <v>117.51</v>
      </c>
      <c r="P111" s="65" t="n">
        <v>277.72</v>
      </c>
      <c r="Q111" s="65" t="n">
        <v>340.92</v>
      </c>
      <c r="R111" s="65" t="n">
        <v>55.78</v>
      </c>
      <c r="S111" s="65" t="n">
        <v>117.05</v>
      </c>
      <c r="T111" s="65" t="n">
        <v>37.61</v>
      </c>
      <c r="U111" s="65"/>
      <c r="V111" s="65" t="n">
        <v>340.5</v>
      </c>
      <c r="W111" s="65"/>
      <c r="X111" s="65"/>
      <c r="Y111" s="65"/>
      <c r="Z111" s="65"/>
      <c r="AA111" s="65"/>
    </row>
    <row r="112" customFormat="false" ht="15" hidden="false" customHeight="true" outlineLevel="0" collapsed="false">
      <c r="A112" s="68" t="n">
        <v>45947</v>
      </c>
      <c r="B112" s="65" t="n">
        <v>333.26</v>
      </c>
      <c r="C112" s="65" t="n">
        <v>143.1</v>
      </c>
      <c r="D112" s="65" t="n">
        <v>1022.53</v>
      </c>
      <c r="E112" s="65" t="n">
        <v>346.75</v>
      </c>
      <c r="F112" s="65" t="n">
        <v>95.79</v>
      </c>
      <c r="G112" s="65" t="n">
        <v>121.16</v>
      </c>
      <c r="H112" s="65" t="n">
        <v>135.37</v>
      </c>
      <c r="I112" s="65" t="n">
        <v>110.07</v>
      </c>
      <c r="J112" s="65" t="n">
        <v>202.18</v>
      </c>
      <c r="K112" s="65" t="n">
        <v>182.78</v>
      </c>
      <c r="L112" s="65" t="n">
        <v>120.3</v>
      </c>
      <c r="M112" s="65" t="n">
        <v>178.15</v>
      </c>
      <c r="N112" s="65" t="n">
        <v>25.88</v>
      </c>
      <c r="O112" s="65" t="n">
        <v>119.41</v>
      </c>
      <c r="P112" s="65" t="n">
        <v>291.99</v>
      </c>
      <c r="Q112" s="65" t="n">
        <v>339.18</v>
      </c>
      <c r="R112" s="65" t="n">
        <v>56.54</v>
      </c>
      <c r="S112" s="65" t="n">
        <v>120.48</v>
      </c>
      <c r="T112" s="65" t="n">
        <v>37.5</v>
      </c>
      <c r="U112" s="65"/>
      <c r="V112" s="65" t="n">
        <v>336.74</v>
      </c>
      <c r="W112" s="65"/>
      <c r="X112" s="65"/>
      <c r="Y112" s="65"/>
      <c r="Z112" s="65"/>
      <c r="AA112" s="65"/>
    </row>
    <row r="113" customFormat="false" ht="15" hidden="false" customHeight="true" outlineLevel="0" collapsed="false">
      <c r="A113" s="68" t="n">
        <v>45954</v>
      </c>
      <c r="B113" s="65" t="n">
        <v>353.52</v>
      </c>
      <c r="C113" s="65" t="n">
        <v>153.82</v>
      </c>
      <c r="D113" s="65" t="n">
        <v>1026.34</v>
      </c>
      <c r="E113" s="65" t="n">
        <v>351.52</v>
      </c>
      <c r="F113" s="65" t="n">
        <v>98.61</v>
      </c>
      <c r="G113" s="65" t="n">
        <v>131.83</v>
      </c>
      <c r="H113" s="65" t="n">
        <v>137.67</v>
      </c>
      <c r="I113" s="65" t="n">
        <v>117.65</v>
      </c>
      <c r="J113" s="65" t="n">
        <v>218.81</v>
      </c>
      <c r="K113" s="65" t="n">
        <v>185.81</v>
      </c>
      <c r="L113" s="65" t="n">
        <v>122.58</v>
      </c>
      <c r="M113" s="65" t="n">
        <v>184.63</v>
      </c>
      <c r="N113" s="65" t="n">
        <v>26.11</v>
      </c>
      <c r="O113" s="65" t="n">
        <v>120.69</v>
      </c>
      <c r="P113" s="65" t="n">
        <v>291.87</v>
      </c>
      <c r="Q113" s="65" t="n">
        <v>344.62</v>
      </c>
      <c r="R113" s="65" t="n">
        <v>57.16</v>
      </c>
      <c r="S113" s="65" t="n">
        <v>121.93</v>
      </c>
      <c r="T113" s="65" t="n">
        <v>37.45</v>
      </c>
      <c r="U113" s="65"/>
      <c r="V113" s="65" t="n">
        <v>338.9</v>
      </c>
      <c r="W113" s="65"/>
      <c r="X113" s="65"/>
      <c r="Y113" s="65"/>
      <c r="Z113" s="65"/>
      <c r="AA113" s="65"/>
    </row>
    <row r="114" customFormat="false" ht="15" hidden="false" customHeight="true" outlineLevel="0" collapsed="false">
      <c r="A114" s="68" t="n">
        <v>45961</v>
      </c>
      <c r="B114" s="65" t="n">
        <v>340.31</v>
      </c>
      <c r="C114" s="65" t="n">
        <v>157.69</v>
      </c>
      <c r="D114" s="65" t="n">
        <v>1054.17</v>
      </c>
      <c r="E114" s="65" t="n">
        <v>366.9</v>
      </c>
      <c r="F114" s="65" t="n">
        <v>96.52</v>
      </c>
      <c r="G114" s="65" t="n">
        <v>135.75</v>
      </c>
      <c r="H114" s="65" t="n">
        <v>134.39</v>
      </c>
      <c r="I114" s="65" t="n">
        <v>120.23</v>
      </c>
      <c r="J114" s="65" t="n">
        <v>223.55</v>
      </c>
      <c r="K114" s="65" t="n">
        <v>202.01</v>
      </c>
      <c r="L114" s="65" t="n">
        <v>120.31</v>
      </c>
      <c r="M114" s="65" t="n">
        <v>200.47</v>
      </c>
      <c r="N114" s="65" t="n">
        <v>25.84</v>
      </c>
      <c r="O114" s="65" t="n">
        <v>120.68</v>
      </c>
      <c r="P114" s="65" t="n">
        <v>297.28</v>
      </c>
      <c r="Q114" s="65" t="n">
        <v>338.04</v>
      </c>
      <c r="R114" s="65" t="n">
        <v>57.25</v>
      </c>
      <c r="S114" s="65" t="n">
        <v>120.58</v>
      </c>
      <c r="T114" s="65" t="n">
        <v>37.74</v>
      </c>
      <c r="U114" s="65"/>
      <c r="V114" s="65" t="n">
        <v>334.69</v>
      </c>
      <c r="W114" s="65"/>
      <c r="X114" s="65"/>
      <c r="Y114" s="65"/>
      <c r="Z114" s="65"/>
      <c r="AA114" s="65"/>
    </row>
    <row r="115" customFormat="false" ht="15" hidden="false" customHeight="true" outlineLevel="0" collapsed="false">
      <c r="A115" s="68" t="n">
        <v>45968</v>
      </c>
      <c r="B115" s="65" t="n">
        <v>326.95</v>
      </c>
      <c r="C115" s="65" t="n">
        <v>134.65</v>
      </c>
      <c r="D115" s="65" t="n">
        <v>1012.1</v>
      </c>
      <c r="E115" s="65" t="n">
        <v>346.85</v>
      </c>
      <c r="F115" s="65" t="n">
        <v>96.46</v>
      </c>
      <c r="G115" s="65" t="n">
        <v>134.95</v>
      </c>
      <c r="H115" s="65" t="n">
        <v>135.39</v>
      </c>
      <c r="I115" s="65" t="n">
        <v>118.7</v>
      </c>
      <c r="J115" s="65" t="n">
        <v>237.69</v>
      </c>
      <c r="K115" s="65" t="n">
        <v>187.7</v>
      </c>
      <c r="L115" s="65" t="n">
        <v>121.78</v>
      </c>
      <c r="M115" s="65" t="n">
        <v>177.93</v>
      </c>
      <c r="N115" s="65" t="n">
        <v>25.81</v>
      </c>
      <c r="O115" s="65" t="n">
        <v>117.54</v>
      </c>
      <c r="P115" s="65" t="n">
        <v>283.5</v>
      </c>
      <c r="Q115" s="65" t="n">
        <v>333.35</v>
      </c>
      <c r="R115" s="65" t="n">
        <v>57.28</v>
      </c>
      <c r="S115" s="65" t="n">
        <v>120.09</v>
      </c>
      <c r="T115" s="65" t="n">
        <v>37.87</v>
      </c>
      <c r="U115" s="65"/>
      <c r="V115" s="65" t="n">
        <v>347.06</v>
      </c>
      <c r="W115" s="65"/>
      <c r="X115" s="65"/>
      <c r="Y115" s="65"/>
      <c r="Z115" s="65"/>
      <c r="AA115" s="65"/>
    </row>
    <row r="116" customFormat="false" ht="15" hidden="false" customHeight="true" outlineLevel="0" collapsed="false">
      <c r="A116" s="68" t="n">
        <v>45975</v>
      </c>
      <c r="B116" s="65" t="n">
        <v>331.11</v>
      </c>
      <c r="C116" s="65" t="n">
        <v>131.37</v>
      </c>
      <c r="D116" s="65" t="n">
        <v>1002.17</v>
      </c>
      <c r="E116" s="65" t="n">
        <v>339.93</v>
      </c>
      <c r="F116" s="65" t="n">
        <v>96.32</v>
      </c>
      <c r="G116" s="65" t="n">
        <v>134.39</v>
      </c>
      <c r="H116" s="65" t="n">
        <v>135.81</v>
      </c>
      <c r="I116" s="65" t="n">
        <v>112.82</v>
      </c>
      <c r="J116" s="65" t="n">
        <v>246.59</v>
      </c>
      <c r="K116" s="65" t="n">
        <v>189.72</v>
      </c>
      <c r="L116" s="65" t="n">
        <v>119.09</v>
      </c>
      <c r="M116" s="65" t="n">
        <v>174.01</v>
      </c>
      <c r="N116" s="65" t="n">
        <v>26.32</v>
      </c>
      <c r="O116" s="65" t="n">
        <v>116.84</v>
      </c>
      <c r="P116" s="65" t="n">
        <v>281.84</v>
      </c>
      <c r="Q116" s="65" t="n">
        <v>328.05</v>
      </c>
      <c r="R116" s="65" t="n">
        <v>56.33</v>
      </c>
      <c r="S116" s="65" t="n">
        <v>118.5</v>
      </c>
      <c r="T116" s="65" t="n">
        <v>36.58</v>
      </c>
      <c r="U116" s="65"/>
      <c r="V116" s="65" t="n">
        <v>340.92</v>
      </c>
      <c r="W116" s="65"/>
      <c r="X116" s="65"/>
      <c r="Y116" s="65"/>
      <c r="Z116" s="65"/>
      <c r="AA116" s="65"/>
    </row>
    <row r="117" customFormat="false" ht="15" hidden="false" customHeight="true" outlineLevel="0" collapsed="false">
      <c r="A117" s="68" t="n">
        <v>45982</v>
      </c>
      <c r="B117" s="65" t="n">
        <v>324.19</v>
      </c>
      <c r="C117" s="65" t="n">
        <v>117.43</v>
      </c>
      <c r="D117" s="65" t="n">
        <v>961.95</v>
      </c>
      <c r="E117" s="65" t="n">
        <v>337.69</v>
      </c>
      <c r="F117" s="65" t="n">
        <v>95.57</v>
      </c>
      <c r="G117" s="65" t="n">
        <v>122.67</v>
      </c>
      <c r="H117" s="65" t="n">
        <v>135.14</v>
      </c>
      <c r="I117" s="65" t="n">
        <v>109.31</v>
      </c>
      <c r="J117" s="65" t="n">
        <v>207.17</v>
      </c>
      <c r="K117" s="65" t="n">
        <v>178.45</v>
      </c>
      <c r="L117" s="65" t="n">
        <v>121.96</v>
      </c>
      <c r="M117" s="65" t="n">
        <v>154.85</v>
      </c>
      <c r="N117" s="65" t="n">
        <v>26.18</v>
      </c>
      <c r="O117" s="65" t="n">
        <v>113.34</v>
      </c>
      <c r="P117" s="65" t="n">
        <v>272.18</v>
      </c>
      <c r="Q117" s="65" t="n">
        <v>326.02</v>
      </c>
      <c r="R117" s="65" t="n">
        <v>57.48</v>
      </c>
      <c r="S117" s="65" t="n">
        <v>120.42</v>
      </c>
      <c r="T117" s="65" t="n">
        <v>37.09</v>
      </c>
      <c r="U117" s="65"/>
      <c r="V117" s="65" t="n">
        <v>339.18</v>
      </c>
      <c r="W117" s="65"/>
      <c r="X117" s="65"/>
      <c r="Y117" s="65"/>
      <c r="Z117" s="65"/>
      <c r="AA117" s="65"/>
    </row>
    <row r="118" customFormat="false" ht="15" hidden="false" customHeight="true" outlineLevel="0" collapsed="false">
      <c r="A118" s="68" t="n">
        <v>45989</v>
      </c>
      <c r="B118" s="65" t="n">
        <v>320.13</v>
      </c>
      <c r="C118" s="65" t="n">
        <v>130.68</v>
      </c>
      <c r="D118" s="65" t="n">
        <v>1054.93</v>
      </c>
      <c r="E118" s="65" t="n">
        <v>399.99</v>
      </c>
      <c r="F118" s="65" t="n">
        <v>99.81</v>
      </c>
      <c r="G118" s="65" t="n">
        <v>127.29</v>
      </c>
      <c r="H118" s="65" t="n">
        <v>138.62</v>
      </c>
      <c r="I118" s="65" t="n">
        <v>117.11</v>
      </c>
      <c r="J118" s="65" t="n">
        <v>236.25</v>
      </c>
      <c r="K118" s="65" t="n">
        <v>176.58</v>
      </c>
      <c r="L118" s="65" t="n">
        <v>124.62</v>
      </c>
      <c r="M118" s="65" t="n">
        <v>168.45</v>
      </c>
      <c r="N118" s="65" t="n">
        <v>26.66</v>
      </c>
      <c r="O118" s="65" t="n">
        <v>119.11</v>
      </c>
      <c r="P118" s="65" t="n">
        <v>288.46</v>
      </c>
      <c r="Q118" s="65" t="n">
        <v>332.44</v>
      </c>
      <c r="R118" s="65" t="n">
        <v>58.55</v>
      </c>
      <c r="S118" s="65" t="n">
        <v>121.71</v>
      </c>
      <c r="T118" s="65" t="n">
        <v>38.06</v>
      </c>
      <c r="U118" s="65"/>
      <c r="V118" s="65" t="n">
        <v>344.62</v>
      </c>
      <c r="W118" s="65"/>
      <c r="X118" s="65"/>
      <c r="Y118" s="65"/>
      <c r="Z118" s="65"/>
      <c r="AA118" s="65"/>
    </row>
    <row r="119" customFormat="false" ht="15" hidden="false" customHeight="true" outlineLevel="0" collapsed="false">
      <c r="A119" s="68" t="n">
        <v>45996</v>
      </c>
      <c r="B119" s="65" t="n">
        <v>346.26</v>
      </c>
      <c r="C119" s="65" t="n">
        <v>128.59</v>
      </c>
      <c r="D119" s="65" t="n">
        <v>1094.21</v>
      </c>
      <c r="E119" s="65" t="n">
        <v>387.36</v>
      </c>
      <c r="F119" s="65" t="n">
        <v>101.56</v>
      </c>
      <c r="G119" s="65" t="n">
        <v>128.01</v>
      </c>
      <c r="H119" s="65" t="n">
        <v>136.97</v>
      </c>
      <c r="I119" s="65" t="n">
        <v>121</v>
      </c>
      <c r="J119" s="65" t="n">
        <v>236.99</v>
      </c>
      <c r="K119" s="65" t="n">
        <v>181.98</v>
      </c>
      <c r="L119" s="65" t="n">
        <v>124.08</v>
      </c>
      <c r="M119" s="65" t="n">
        <v>181.76</v>
      </c>
      <c r="N119" s="65" t="n">
        <v>26.77</v>
      </c>
      <c r="O119" s="65" t="n">
        <v>119.84</v>
      </c>
      <c r="P119" s="65" t="n">
        <v>291.63</v>
      </c>
      <c r="Q119" s="65" t="n">
        <v>329.26</v>
      </c>
      <c r="R119" s="65" t="n">
        <v>59.1</v>
      </c>
      <c r="S119" s="65" t="n">
        <v>121.7</v>
      </c>
      <c r="T119" s="65" t="n">
        <v>37.82</v>
      </c>
      <c r="U119" s="65"/>
      <c r="V119" s="65" t="n">
        <v>338.04</v>
      </c>
      <c r="W119" s="65"/>
      <c r="X119" s="65"/>
      <c r="Y119" s="65"/>
      <c r="Z119" s="65"/>
      <c r="AA119" s="65"/>
    </row>
    <row r="120" customFormat="false" ht="15" hidden="false" customHeight="true" outlineLevel="0" collapsed="false">
      <c r="A120" s="68" t="n">
        <v>46003</v>
      </c>
      <c r="B120" s="65" t="n">
        <v>356.43</v>
      </c>
      <c r="C120" s="65" t="n">
        <v>124.76</v>
      </c>
      <c r="D120" s="65" t="n">
        <v>1075.68</v>
      </c>
      <c r="E120" s="65" t="n">
        <v>357.27</v>
      </c>
      <c r="F120" s="65" t="n">
        <v>103.74</v>
      </c>
      <c r="G120" s="65" t="n">
        <v>126.19</v>
      </c>
      <c r="H120" s="65" t="n">
        <v>139.19</v>
      </c>
      <c r="I120" s="65" t="n">
        <v>118.95</v>
      </c>
      <c r="J120" s="65" t="n">
        <v>240.9</v>
      </c>
      <c r="K120" s="65" t="n">
        <v>174.61</v>
      </c>
      <c r="L120" s="65" t="n">
        <v>126.22</v>
      </c>
      <c r="M120" s="65" t="n">
        <v>183.57</v>
      </c>
      <c r="N120" s="65" t="n">
        <v>27.02</v>
      </c>
      <c r="O120" s="65" t="n">
        <v>118.1</v>
      </c>
      <c r="P120" s="65" t="n">
        <v>289.76</v>
      </c>
      <c r="Q120" s="65" t="n">
        <v>345.75</v>
      </c>
      <c r="R120" s="65" t="n">
        <v>57.71</v>
      </c>
      <c r="S120" s="65" t="n">
        <v>118.53</v>
      </c>
      <c r="T120" s="65" t="n">
        <v>37.88</v>
      </c>
      <c r="U120" s="65"/>
      <c r="V120" s="65" t="n">
        <v>333.35</v>
      </c>
      <c r="W120" s="65"/>
      <c r="X120" s="65"/>
      <c r="Y120" s="65"/>
      <c r="Z120" s="65"/>
      <c r="AA120" s="65"/>
    </row>
    <row r="121" customFormat="false" ht="15" hidden="false" customHeight="true" outlineLevel="0" collapsed="false">
      <c r="A121" s="68" t="n">
        <v>46010</v>
      </c>
      <c r="B121" s="65" t="n">
        <v>355.86</v>
      </c>
      <c r="C121" s="65" t="n">
        <v>131.12</v>
      </c>
      <c r="D121" s="65" t="n">
        <v>1050.97</v>
      </c>
      <c r="E121" s="65" t="n">
        <v>337.85</v>
      </c>
      <c r="F121" s="65" t="n">
        <v>102.8</v>
      </c>
      <c r="G121" s="65" t="n">
        <v>120.32</v>
      </c>
      <c r="H121" s="65" t="n">
        <v>138.55</v>
      </c>
      <c r="I121" s="65" t="n">
        <v>124.11</v>
      </c>
      <c r="J121" s="65" t="n">
        <v>265.66</v>
      </c>
      <c r="K121" s="65" t="n">
        <v>180.57</v>
      </c>
      <c r="L121" s="65" t="n">
        <v>124.32</v>
      </c>
      <c r="M121" s="65" t="n">
        <v>193.38</v>
      </c>
      <c r="N121" s="65" t="n">
        <v>26.8</v>
      </c>
      <c r="O121" s="65" t="n">
        <v>118.53</v>
      </c>
      <c r="P121" s="65" t="n">
        <v>286.7</v>
      </c>
      <c r="Q121" s="65" t="n">
        <v>347.17</v>
      </c>
      <c r="R121" s="65" t="n">
        <v>57.82</v>
      </c>
      <c r="S121" s="65" t="n">
        <v>117.83</v>
      </c>
      <c r="T121" s="65" t="n">
        <v>38.3</v>
      </c>
      <c r="U121" s="65"/>
      <c r="V121" s="65" t="n">
        <v>328.05</v>
      </c>
      <c r="W121" s="65"/>
      <c r="X121" s="65"/>
      <c r="Y121" s="65"/>
      <c r="Z121" s="65"/>
      <c r="AA121" s="65"/>
    </row>
    <row r="122" customFormat="false" ht="15" hidden="false" customHeight="true" outlineLevel="0" collapsed="false">
      <c r="A122" s="68" t="n">
        <v>46017</v>
      </c>
      <c r="B122" s="65" t="n">
        <v>353.8</v>
      </c>
      <c r="C122" s="65" t="n">
        <v>131.84</v>
      </c>
      <c r="D122" s="65" t="n">
        <v>1067.62</v>
      </c>
      <c r="E122" s="65" t="n">
        <v>350.2</v>
      </c>
      <c r="F122" s="65" t="n">
        <v>102.71</v>
      </c>
      <c r="G122" s="65" t="n">
        <v>120.3</v>
      </c>
      <c r="H122" s="65" t="n">
        <v>139.28</v>
      </c>
      <c r="I122" s="65" t="n">
        <v>127.49</v>
      </c>
      <c r="J122" s="65" t="n">
        <v>284.51</v>
      </c>
      <c r="K122" s="65" t="n">
        <v>190.09</v>
      </c>
      <c r="L122" s="65" t="n">
        <v>125.76</v>
      </c>
      <c r="M122" s="65" t="n">
        <v>188.71</v>
      </c>
      <c r="N122" s="65" t="n">
        <v>26.98</v>
      </c>
      <c r="O122" s="65" t="n">
        <v>120.66</v>
      </c>
      <c r="P122" s="65" t="n">
        <v>300.48</v>
      </c>
      <c r="Q122" s="65" t="n">
        <v>352.88</v>
      </c>
      <c r="R122" s="65" t="n">
        <v>56.24</v>
      </c>
      <c r="S122" s="65" t="n">
        <v>114.3</v>
      </c>
      <c r="T122" s="65" t="n">
        <v>37.53</v>
      </c>
      <c r="U122" s="65"/>
      <c r="V122" s="65" t="n">
        <v>326.02</v>
      </c>
      <c r="W122" s="65"/>
      <c r="X122" s="65"/>
      <c r="Y122" s="65"/>
      <c r="Z122" s="65"/>
      <c r="AA122" s="65"/>
    </row>
    <row r="123" customFormat="false" ht="15" hidden="false" customHeight="true" outlineLevel="0" collapsed="false">
      <c r="A123" s="68" t="n">
        <v>46024</v>
      </c>
      <c r="B123" s="65" t="n">
        <v>333.3</v>
      </c>
      <c r="C123" s="65" t="n">
        <v>133.6</v>
      </c>
      <c r="D123" s="65" t="n">
        <v>1158.22</v>
      </c>
      <c r="E123" s="65" t="n">
        <v>345.71</v>
      </c>
      <c r="F123" s="65" t="n">
        <v>102.14</v>
      </c>
      <c r="G123" s="65" t="n">
        <v>113.39</v>
      </c>
      <c r="H123" s="65" t="n">
        <v>139.29</v>
      </c>
      <c r="I123" s="65" t="n">
        <v>126.98</v>
      </c>
      <c r="J123" s="65" t="n">
        <v>315.24</v>
      </c>
      <c r="K123" s="65" t="n">
        <v>188.41</v>
      </c>
      <c r="L123" s="65" t="n">
        <v>126.1</v>
      </c>
      <c r="M123" s="65" t="n">
        <v>167.86</v>
      </c>
      <c r="N123" s="65" t="n">
        <v>27.06</v>
      </c>
      <c r="O123" s="65" t="n">
        <v>118.96</v>
      </c>
      <c r="P123" s="65" t="n">
        <v>317.12</v>
      </c>
      <c r="Q123" s="65" t="n">
        <v>344.41</v>
      </c>
      <c r="R123" s="65" t="n">
        <v>58.81</v>
      </c>
      <c r="S123" s="65" t="n">
        <v>120.12</v>
      </c>
      <c r="T123" s="65" t="n">
        <v>38.82</v>
      </c>
      <c r="U123" s="65"/>
      <c r="V123" s="65" t="n">
        <v>332.44</v>
      </c>
      <c r="W123" s="65"/>
      <c r="X123" s="65"/>
      <c r="Y123" s="65"/>
      <c r="Z123" s="65"/>
      <c r="AA123" s="65"/>
    </row>
    <row r="124" customFormat="false" ht="15" hidden="false" customHeight="true" outlineLevel="0" collapsed="false">
      <c r="A124" s="68" t="n">
        <v>46031</v>
      </c>
      <c r="B124" s="65" t="n">
        <v>333.95</v>
      </c>
      <c r="C124" s="65" t="n">
        <v>122.89</v>
      </c>
      <c r="D124" s="65" t="n">
        <v>1267.79</v>
      </c>
      <c r="E124" s="65" t="n">
        <v>343.08</v>
      </c>
      <c r="F124" s="65" t="n">
        <v>106.31</v>
      </c>
      <c r="G124" s="65" t="n">
        <v>117.65</v>
      </c>
      <c r="H124" s="65" t="n">
        <v>142.21</v>
      </c>
      <c r="I124" s="65" t="n">
        <v>139.48</v>
      </c>
      <c r="J124" s="65" t="n">
        <v>344.89</v>
      </c>
      <c r="K124" s="65" t="n">
        <v>184.43</v>
      </c>
      <c r="L124" s="65" t="n">
        <v>126.44</v>
      </c>
      <c r="M124" s="65" t="n">
        <v>177.49</v>
      </c>
      <c r="N124" s="65" t="n">
        <v>27.86</v>
      </c>
      <c r="O124" s="65" t="n">
        <v>119.31</v>
      </c>
      <c r="P124" s="65" t="n">
        <v>321.11</v>
      </c>
      <c r="Q124" s="65" t="n">
        <v>347.68</v>
      </c>
      <c r="R124" s="65" t="n">
        <v>58.82</v>
      </c>
      <c r="S124" s="65" t="n">
        <v>120.85</v>
      </c>
      <c r="T124" s="65" t="n">
        <v>39.42</v>
      </c>
      <c r="U124" s="65"/>
      <c r="V124" s="65" t="n">
        <v>329.26</v>
      </c>
      <c r="W124" s="65"/>
      <c r="X124" s="65"/>
      <c r="Y124" s="65"/>
      <c r="Z124" s="65"/>
      <c r="AA124" s="65"/>
    </row>
    <row r="125" customFormat="false" ht="15" hidden="false" customHeight="true" outlineLevel="0" collapsed="false">
      <c r="A125" s="68" t="n">
        <v>46038</v>
      </c>
      <c r="B125" s="65" t="n">
        <v>296.12</v>
      </c>
      <c r="C125" s="65" t="n">
        <v>129.83</v>
      </c>
      <c r="D125" s="65" t="n">
        <v>1352.07</v>
      </c>
      <c r="E125" s="65" t="n">
        <v>349.78</v>
      </c>
      <c r="F125" s="65" t="n">
        <v>107.48</v>
      </c>
      <c r="G125" s="65" t="n">
        <v>113.47</v>
      </c>
      <c r="H125" s="65" t="n">
        <v>144.06</v>
      </c>
      <c r="I125" s="65" t="n">
        <v>156.2</v>
      </c>
      <c r="J125" s="65" t="n">
        <v>362.54</v>
      </c>
      <c r="K125" s="65" t="n">
        <v>185.8</v>
      </c>
      <c r="L125" s="65" t="n">
        <v>130.16</v>
      </c>
      <c r="M125" s="65" t="n">
        <v>170.96</v>
      </c>
      <c r="N125" s="65" t="n">
        <v>28.21</v>
      </c>
      <c r="O125" s="65" t="n">
        <v>119.28</v>
      </c>
      <c r="P125" s="65" t="n">
        <v>339.73</v>
      </c>
      <c r="Q125" s="65" t="n">
        <v>326.34</v>
      </c>
      <c r="R125" s="65" t="n">
        <v>58.18</v>
      </c>
      <c r="S125" s="65" t="n">
        <v>119.1</v>
      </c>
      <c r="T125" s="65" t="n">
        <v>39.7</v>
      </c>
      <c r="U125" s="65"/>
      <c r="V125" s="65" t="n">
        <v>345.75</v>
      </c>
      <c r="W125" s="65"/>
      <c r="X125" s="65"/>
      <c r="Y125" s="65"/>
      <c r="Z125" s="65"/>
      <c r="AA125" s="65"/>
    </row>
    <row r="126" customFormat="false" ht="15" hidden="false" customHeight="true" outlineLevel="0" collapsed="false">
      <c r="A126" s="68" t="n">
        <v>46045</v>
      </c>
      <c r="B126" s="65" t="n">
        <v>301.07</v>
      </c>
      <c r="C126" s="65" t="n">
        <v>136.34</v>
      </c>
      <c r="D126" s="65" t="n">
        <v>1382.4</v>
      </c>
      <c r="E126" s="65" t="n">
        <v>318.3</v>
      </c>
      <c r="F126" s="65" t="n">
        <v>107.46</v>
      </c>
      <c r="G126" s="65" t="n">
        <v>113.12</v>
      </c>
      <c r="H126" s="65" t="n">
        <v>144.42</v>
      </c>
      <c r="I126" s="65" t="n">
        <v>150.72</v>
      </c>
      <c r="J126" s="65" t="n">
        <v>399.42</v>
      </c>
      <c r="K126" s="65" t="n">
        <v>187.23</v>
      </c>
      <c r="L126" s="65" t="n">
        <v>124.24</v>
      </c>
      <c r="M126" s="65" t="n">
        <v>169.6</v>
      </c>
      <c r="N126" s="65" t="n">
        <v>28.44</v>
      </c>
      <c r="O126" s="65" t="n">
        <v>117.22</v>
      </c>
      <c r="P126" s="65" t="n">
        <v>332.26</v>
      </c>
      <c r="Q126" s="65" t="n">
        <v>324.23</v>
      </c>
      <c r="R126" s="65" t="n">
        <v>58.62</v>
      </c>
      <c r="S126" s="65" t="n">
        <v>119.53</v>
      </c>
      <c r="T126" s="65" t="n">
        <v>39.53</v>
      </c>
      <c r="U126" s="65"/>
      <c r="V126" s="65" t="n">
        <v>347.17</v>
      </c>
      <c r="W126" s="65"/>
      <c r="X126" s="65"/>
      <c r="Y126" s="65"/>
      <c r="Z126" s="65"/>
      <c r="AA126" s="65"/>
    </row>
    <row r="127" customFormat="false" ht="15" hidden="false" customHeight="true" outlineLevel="0" collapsed="false">
      <c r="A127" s="68" t="n">
        <v>46052</v>
      </c>
      <c r="B127" s="65" t="n">
        <v>293.25</v>
      </c>
      <c r="C127" s="65" t="n">
        <v>141.74</v>
      </c>
      <c r="D127" s="65" t="n">
        <v>1416.2</v>
      </c>
      <c r="E127" s="65" t="n">
        <v>329.48</v>
      </c>
      <c r="F127" s="65" t="n">
        <v>108.24</v>
      </c>
      <c r="G127" s="65" t="n">
        <v>110.35</v>
      </c>
      <c r="H127" s="65" t="n">
        <v>146.93</v>
      </c>
      <c r="I127" s="65" t="n">
        <v>142.27</v>
      </c>
      <c r="J127" s="65" t="n">
        <v>414.64</v>
      </c>
      <c r="K127" s="65" t="n">
        <v>190.68</v>
      </c>
      <c r="L127" s="65" t="n">
        <v>127.57</v>
      </c>
      <c r="M127" s="65" t="n">
        <v>146.59</v>
      </c>
      <c r="N127" s="65" t="n">
        <v>29.1</v>
      </c>
      <c r="O127" s="65" t="n">
        <v>119.15</v>
      </c>
      <c r="P127" s="65" t="n">
        <v>327.98</v>
      </c>
      <c r="Q127" s="65" t="n">
        <v>319.91</v>
      </c>
      <c r="R127" s="65" t="n">
        <v>59.34</v>
      </c>
      <c r="S127" s="65" t="n">
        <v>121.38</v>
      </c>
      <c r="T127" s="65" t="n">
        <v>39.79</v>
      </c>
      <c r="U127" s="65"/>
      <c r="V127" s="65" t="n">
        <v>352.88</v>
      </c>
      <c r="W127" s="65"/>
      <c r="X127" s="65"/>
      <c r="Y127" s="65"/>
      <c r="Z127" s="65"/>
      <c r="AA127" s="65"/>
    </row>
    <row r="128" customFormat="false" ht="15" hidden="false" customHeight="true" outlineLevel="0" collapsed="false">
      <c r="A128" s="68" t="n">
        <v>46059</v>
      </c>
      <c r="B128" s="65" t="n">
        <v>268.38</v>
      </c>
      <c r="C128" s="65" t="n">
        <v>137.49</v>
      </c>
      <c r="D128" s="65" t="n">
        <v>1406.25</v>
      </c>
      <c r="E128" s="65" t="n">
        <v>331.1</v>
      </c>
      <c r="F128" s="65" t="n">
        <v>114.1</v>
      </c>
      <c r="G128" s="65" t="n">
        <v>98.88</v>
      </c>
      <c r="H128" s="65" t="n">
        <v>151.79</v>
      </c>
      <c r="I128" s="65" t="n">
        <v>143.76</v>
      </c>
      <c r="J128" s="65" t="n">
        <v>394.46</v>
      </c>
      <c r="K128" s="65" t="n">
        <v>184.98</v>
      </c>
      <c r="L128" s="65" t="n">
        <v>133.82</v>
      </c>
      <c r="M128" s="65" t="n">
        <v>135.9</v>
      </c>
      <c r="N128" s="65" t="n">
        <v>30.71</v>
      </c>
      <c r="O128" s="65" t="n">
        <v>119.12</v>
      </c>
      <c r="P128" s="65" t="n">
        <v>346.13</v>
      </c>
      <c r="Q128" s="65" t="n">
        <v>329.6</v>
      </c>
      <c r="R128" s="65" t="n">
        <v>58.09</v>
      </c>
      <c r="S128" s="65" t="n">
        <v>119.67</v>
      </c>
      <c r="T128" s="65" t="n">
        <v>39.42</v>
      </c>
      <c r="U128" s="65"/>
      <c r="V128" s="65" t="n">
        <v>344.41</v>
      </c>
      <c r="W128" s="65"/>
      <c r="X128" s="65"/>
      <c r="Y128" s="65"/>
      <c r="Z128" s="65"/>
      <c r="AA128" s="65"/>
    </row>
    <row r="129" customFormat="false" ht="15" hidden="false" customHeight="true" outlineLevel="0" collapsed="false">
      <c r="A129" s="68" t="n">
        <v>46066</v>
      </c>
      <c r="B129" s="65" t="n">
        <v>263.97</v>
      </c>
      <c r="C129" s="65" t="n">
        <v>141.59</v>
      </c>
      <c r="D129" s="65" t="n">
        <v>1401.73</v>
      </c>
      <c r="E129" s="65" t="n">
        <v>323.39</v>
      </c>
      <c r="F129" s="65" t="n">
        <v>113.81</v>
      </c>
      <c r="G129" s="65" t="n">
        <v>107.41</v>
      </c>
      <c r="H129" s="65" t="n">
        <v>154.23</v>
      </c>
      <c r="I129" s="65" t="n">
        <v>145.87</v>
      </c>
      <c r="J129" s="65" t="n">
        <v>411.42</v>
      </c>
      <c r="K129" s="65" t="n">
        <v>182.38</v>
      </c>
      <c r="L129" s="65" t="n">
        <v>135.79</v>
      </c>
      <c r="M129" s="65" t="n">
        <v>131.41</v>
      </c>
      <c r="N129" s="65" t="n">
        <v>30.85</v>
      </c>
      <c r="O129" s="65" t="n">
        <v>117.54</v>
      </c>
      <c r="P129" s="65" t="n">
        <v>363.5</v>
      </c>
      <c r="Q129" s="65" t="n">
        <v>312.85</v>
      </c>
      <c r="R129" s="65" t="n">
        <v>59.16</v>
      </c>
      <c r="S129" s="65" t="n">
        <v>120.03</v>
      </c>
      <c r="T129" s="65" t="n">
        <v>40.43</v>
      </c>
      <c r="U129" s="65"/>
      <c r="V129" s="65" t="n">
        <v>347.68</v>
      </c>
      <c r="W129" s="65"/>
      <c r="X129" s="65"/>
      <c r="Y129" s="65"/>
      <c r="Z129" s="65"/>
      <c r="AA129" s="65"/>
    </row>
    <row r="130" customFormat="false" ht="15" hidden="false" customHeight="true" outlineLevel="0" collapsed="false">
      <c r="A130" s="68" t="n">
        <v>46073</v>
      </c>
      <c r="B130" s="65" t="n">
        <v>258.61</v>
      </c>
      <c r="C130" s="65" t="n">
        <v>132.79</v>
      </c>
      <c r="D130" s="65" t="n">
        <v>1464.49</v>
      </c>
      <c r="E130" s="65" t="n">
        <v>330.83</v>
      </c>
      <c r="F130" s="65" t="n">
        <v>114.45</v>
      </c>
      <c r="G130" s="65" t="n">
        <v>97.15</v>
      </c>
      <c r="H130" s="65" t="n">
        <v>153.13</v>
      </c>
      <c r="I130" s="65" t="n">
        <v>149.24</v>
      </c>
      <c r="J130" s="65" t="n">
        <v>427.92</v>
      </c>
      <c r="K130" s="65" t="n">
        <v>189.38</v>
      </c>
      <c r="L130" s="65" t="n">
        <v>138.27</v>
      </c>
      <c r="M130" s="65" t="n">
        <v>135.24</v>
      </c>
      <c r="N130" s="65" t="n">
        <v>30.85</v>
      </c>
      <c r="O130" s="65" t="n">
        <v>119.24</v>
      </c>
      <c r="P130" s="65" t="n">
        <v>367.65</v>
      </c>
      <c r="Q130" s="65" t="n">
        <v>319.69</v>
      </c>
      <c r="R130" s="65" t="n">
        <v>58.92</v>
      </c>
      <c r="S130" s="65" t="n">
        <v>120</v>
      </c>
      <c r="T130" s="65" t="n">
        <v>39.61</v>
      </c>
      <c r="U130" s="65"/>
      <c r="V130" s="65" t="n">
        <v>326.34</v>
      </c>
      <c r="W130" s="65"/>
      <c r="X130" s="65"/>
      <c r="Y130" s="65"/>
      <c r="Z130" s="65"/>
      <c r="AA130" s="65"/>
    </row>
    <row r="131" customFormat="false" ht="15" hidden="false" customHeight="true" outlineLevel="0" collapsed="false">
      <c r="A131" s="68" t="n">
        <v>46080</v>
      </c>
      <c r="B131" s="65" t="n">
        <v>262.41</v>
      </c>
      <c r="C131" s="65" t="n">
        <v>133.5</v>
      </c>
      <c r="D131" s="65" t="n">
        <v>1445.53</v>
      </c>
      <c r="E131" s="65" t="n">
        <v>317.8</v>
      </c>
      <c r="F131" s="65" t="n">
        <v>111.91</v>
      </c>
      <c r="G131" s="65" t="n">
        <v>93</v>
      </c>
      <c r="H131" s="65" t="n">
        <v>152.62</v>
      </c>
      <c r="I131" s="65" t="n">
        <v>152.09</v>
      </c>
      <c r="J131" s="65" t="n">
        <v>412.13</v>
      </c>
      <c r="K131" s="65" t="n">
        <v>176.78</v>
      </c>
      <c r="L131" s="65" t="n">
        <v>139.31</v>
      </c>
      <c r="M131" s="65" t="n">
        <v>137.19</v>
      </c>
      <c r="N131" s="65" t="n">
        <v>31.01</v>
      </c>
      <c r="O131" s="65" t="n">
        <v>118.76</v>
      </c>
      <c r="P131" s="65" t="n">
        <v>371.66</v>
      </c>
      <c r="Q131" s="65" t="n">
        <v>318.89</v>
      </c>
      <c r="R131" s="65" t="n">
        <v>59.22</v>
      </c>
      <c r="S131" s="65" t="n">
        <v>117.92</v>
      </c>
      <c r="T131" s="65" t="n">
        <v>39.86</v>
      </c>
      <c r="U131" s="65"/>
      <c r="V131" s="65" t="n">
        <v>324.23</v>
      </c>
      <c r="W131" s="65"/>
      <c r="X131" s="65"/>
      <c r="Y131" s="65"/>
      <c r="Z131" s="65"/>
      <c r="AA131" s="65"/>
    </row>
    <row r="132" customFormat="false" ht="15" hidden="false" customHeight="true" outlineLevel="0" collapsed="false">
      <c r="A132" s="68" t="n">
        <v>46087</v>
      </c>
      <c r="B132" s="65" t="n">
        <v>283.62</v>
      </c>
      <c r="C132" s="65" t="n">
        <v>132.89</v>
      </c>
      <c r="D132" s="65" t="n">
        <v>1288.32</v>
      </c>
      <c r="E132" s="65" t="n">
        <v>328.67</v>
      </c>
      <c r="F132" s="65" t="n">
        <v>107.62</v>
      </c>
      <c r="G132" s="65" t="n">
        <v>107.25</v>
      </c>
      <c r="H132" s="65" t="n">
        <v>148.85</v>
      </c>
      <c r="I132" s="65" t="n">
        <v>134.13</v>
      </c>
      <c r="J132" s="65" t="n">
        <v>370.09</v>
      </c>
      <c r="K132" s="65" t="n">
        <v>177.4</v>
      </c>
      <c r="L132" s="65" t="n">
        <v>131.46</v>
      </c>
      <c r="M132" s="65" t="n">
        <v>157.16</v>
      </c>
      <c r="N132" s="65" t="n">
        <v>30.38</v>
      </c>
      <c r="O132" s="65" t="n">
        <v>117.53</v>
      </c>
      <c r="P132" s="65" t="n">
        <v>336.25</v>
      </c>
      <c r="Q132" s="65" t="n">
        <v>316.12</v>
      </c>
      <c r="R132" s="65" t="n">
        <v>59.43</v>
      </c>
      <c r="S132" s="65" t="n">
        <v>119.87</v>
      </c>
      <c r="T132" s="65" t="n">
        <v>39.47</v>
      </c>
      <c r="U132" s="65"/>
      <c r="V132" s="65" t="n">
        <v>319.91</v>
      </c>
      <c r="W132" s="65"/>
      <c r="X132" s="65"/>
      <c r="Y132" s="65"/>
      <c r="Z132" s="65"/>
      <c r="AA132" s="65"/>
    </row>
    <row r="133" customFormat="false" ht="15" hidden="false" customHeight="true" outlineLevel="0" collapsed="false">
      <c r="A133" s="68" t="n">
        <v>46094</v>
      </c>
      <c r="B133" s="65" t="n">
        <v>249.32</v>
      </c>
      <c r="C133" s="65" t="n">
        <v>133.57</v>
      </c>
      <c r="D133" s="65" t="n">
        <v>1341.02</v>
      </c>
      <c r="E133" s="65" t="n">
        <v>320.39</v>
      </c>
      <c r="F133" s="65" t="n">
        <v>105.56</v>
      </c>
      <c r="G133" s="65" t="n">
        <v>110.44</v>
      </c>
      <c r="H133" s="65" t="n">
        <v>147.04</v>
      </c>
      <c r="I133" s="65" t="n">
        <v>141.52</v>
      </c>
      <c r="J133" s="65" t="n">
        <v>425.89</v>
      </c>
      <c r="K133" s="65" t="n">
        <v>179.84</v>
      </c>
      <c r="L133" s="65" t="n">
        <v>128.73</v>
      </c>
      <c r="M133" s="65" t="n">
        <v>150.95</v>
      </c>
      <c r="N133" s="65" t="n">
        <v>30.06</v>
      </c>
      <c r="O133" s="65" t="n">
        <v>115.49</v>
      </c>
      <c r="P133" s="65" t="n">
        <v>335.67</v>
      </c>
      <c r="Q133" s="65" t="n">
        <v>305.94</v>
      </c>
      <c r="R133" s="65" t="n">
        <v>58.05</v>
      </c>
      <c r="S133" s="65" t="n">
        <v>119.84</v>
      </c>
      <c r="T133" s="65" t="n">
        <v>40.43</v>
      </c>
      <c r="U133" s="65"/>
      <c r="V133" s="65" t="n">
        <v>329.6</v>
      </c>
      <c r="W133" s="65"/>
      <c r="X133" s="65"/>
      <c r="Y133" s="65"/>
      <c r="Z133" s="65"/>
      <c r="AA133" s="65"/>
    </row>
    <row r="134" customFormat="false" ht="15" hidden="false" customHeight="true" outlineLevel="0" collapsed="false">
      <c r="A134" s="68" t="n">
        <v>46101</v>
      </c>
      <c r="B134" s="65" t="n">
        <v>248.15</v>
      </c>
      <c r="C134" s="65" t="n">
        <v>131.22</v>
      </c>
      <c r="D134" s="65" t="n">
        <v>1312.68</v>
      </c>
      <c r="E134" s="65" t="n">
        <v>308.81</v>
      </c>
      <c r="F134" s="65" t="n">
        <v>105.35</v>
      </c>
      <c r="G134" s="65" t="n">
        <v>102.25</v>
      </c>
      <c r="H134" s="65" t="n">
        <v>143.6</v>
      </c>
      <c r="I134" s="65" t="n">
        <v>149.51</v>
      </c>
      <c r="J134" s="65" t="n">
        <v>422.66</v>
      </c>
      <c r="K134" s="65" t="n">
        <v>172.31</v>
      </c>
      <c r="L134" s="65" t="n">
        <v>126.09</v>
      </c>
      <c r="M134" s="65" t="n">
        <v>150.68</v>
      </c>
      <c r="N134" s="65" t="n">
        <v>29.66</v>
      </c>
      <c r="O134" s="65" t="n">
        <v>113.1</v>
      </c>
      <c r="P134" s="65" t="n">
        <v>327.59</v>
      </c>
      <c r="Q134" s="65" t="n">
        <v>300.44</v>
      </c>
      <c r="R134" s="65" t="n">
        <v>57.51</v>
      </c>
      <c r="S134" s="65" t="n">
        <v>118.25</v>
      </c>
      <c r="T134" s="65" t="n">
        <v>40.26</v>
      </c>
      <c r="U134" s="65"/>
      <c r="V134" s="65" t="n">
        <v>312.85</v>
      </c>
      <c r="W134" s="65"/>
      <c r="X134" s="65"/>
      <c r="Y134" s="65"/>
      <c r="Z134" s="65"/>
      <c r="AA134" s="65"/>
    </row>
    <row r="135" customFormat="false" ht="15" hidden="false" customHeight="true" outlineLevel="0" collapsed="false">
      <c r="A135" s="68" t="n">
        <v>46108</v>
      </c>
      <c r="B135" s="65" t="n">
        <v>234.84</v>
      </c>
      <c r="C135" s="65" t="n">
        <v>120.77</v>
      </c>
      <c r="D135" s="65" t="n">
        <v>1297.95</v>
      </c>
      <c r="E135" s="65" t="n">
        <v>299.66</v>
      </c>
      <c r="F135" s="65" t="n">
        <v>108.47</v>
      </c>
      <c r="G135" s="65" t="n">
        <v>92.39</v>
      </c>
      <c r="H135" s="65" t="n">
        <v>147.11</v>
      </c>
      <c r="I135" s="65" t="n">
        <v>143.97</v>
      </c>
      <c r="J135" s="65" t="n">
        <v>357.02</v>
      </c>
      <c r="K135" s="65" t="n">
        <v>167.14</v>
      </c>
      <c r="L135" s="65" t="n">
        <v>126.96</v>
      </c>
      <c r="M135" s="65" t="n">
        <v>143.06</v>
      </c>
      <c r="N135" s="65" t="n">
        <v>29.96</v>
      </c>
      <c r="O135" s="65" t="n">
        <v>109.96</v>
      </c>
      <c r="P135" s="65" t="n">
        <v>325.1</v>
      </c>
      <c r="Q135" s="65" t="n">
        <v>294.36</v>
      </c>
      <c r="R135" s="65" t="n">
        <v>58.15</v>
      </c>
      <c r="S135" s="65" t="n">
        <v>119.96</v>
      </c>
      <c r="T135" s="65" t="n">
        <v>40.34</v>
      </c>
      <c r="U135" s="65"/>
      <c r="V135" s="65" t="n">
        <v>319.69</v>
      </c>
      <c r="W135" s="65"/>
      <c r="X135" s="65"/>
      <c r="Y135" s="65"/>
      <c r="Z135" s="65"/>
      <c r="AA135" s="65"/>
    </row>
    <row r="136" customFormat="false" ht="15" hidden="false" customHeight="true" outlineLevel="0" collapsed="false">
      <c r="A136" s="68" t="n">
        <v>46115</v>
      </c>
      <c r="B136" s="65" t="n">
        <v>242.92</v>
      </c>
      <c r="C136" s="65" t="n">
        <v>126.68</v>
      </c>
      <c r="D136" s="65" t="n">
        <v>1312.66</v>
      </c>
      <c r="E136" s="65" t="n">
        <v>313.48</v>
      </c>
      <c r="F136" s="65" t="n">
        <v>110.65</v>
      </c>
      <c r="G136" s="65" t="n">
        <v>99.78</v>
      </c>
      <c r="H136" s="65" t="n">
        <v>149.24</v>
      </c>
      <c r="I136" s="65" t="n">
        <v>151.32</v>
      </c>
      <c r="J136" s="65" t="n">
        <v>366.18</v>
      </c>
      <c r="K136" s="65" t="n">
        <v>176.99</v>
      </c>
      <c r="L136" s="65" t="n">
        <v>131.76</v>
      </c>
      <c r="M136" s="65" t="n">
        <v>148.46</v>
      </c>
      <c r="N136" s="65" t="n">
        <v>30.08</v>
      </c>
      <c r="O136" s="65" t="n">
        <v>114.38</v>
      </c>
      <c r="P136" s="65" t="n">
        <v>337.34</v>
      </c>
      <c r="Q136" s="65" t="n">
        <v>299.62</v>
      </c>
      <c r="R136" s="65" t="n">
        <v>58.04</v>
      </c>
      <c r="S136" s="65" t="n">
        <v>119.47</v>
      </c>
      <c r="T136" s="65" t="n">
        <v>40.48</v>
      </c>
      <c r="U136" s="65"/>
      <c r="V136" s="65" t="n">
        <v>318.89</v>
      </c>
      <c r="W136" s="65"/>
      <c r="X136" s="65"/>
      <c r="Y136" s="65"/>
      <c r="Z136" s="65"/>
      <c r="AA136" s="65"/>
    </row>
    <row r="137" customFormat="false" ht="15" hidden="false" customHeight="true" outlineLevel="0" collapsed="false">
      <c r="A137" s="68" t="n">
        <v>46122</v>
      </c>
      <c r="B137" s="65" t="n">
        <v>225.35</v>
      </c>
      <c r="C137" s="65" t="n">
        <v>147.35</v>
      </c>
      <c r="D137" s="65" t="n">
        <v>1473.15</v>
      </c>
      <c r="E137" s="65" t="n">
        <v>370.29</v>
      </c>
      <c r="F137" s="65" t="n">
        <v>113.94</v>
      </c>
      <c r="G137" s="65" t="n">
        <v>94.75</v>
      </c>
      <c r="H137" s="65" t="n">
        <v>150.01</v>
      </c>
      <c r="I137" s="65" t="n">
        <v>173.31</v>
      </c>
      <c r="J137" s="65" t="n">
        <v>420.53</v>
      </c>
      <c r="K137" s="65" t="n">
        <v>188.2</v>
      </c>
      <c r="L137" s="65" t="n">
        <v>135.13</v>
      </c>
      <c r="M137" s="65" t="n">
        <v>128.06</v>
      </c>
      <c r="N137" s="65" t="n">
        <v>30.08</v>
      </c>
      <c r="O137" s="65" t="n">
        <v>122.95</v>
      </c>
      <c r="P137" s="65" t="n">
        <v>368.74</v>
      </c>
      <c r="Q137" s="65" t="n">
        <v>303.17</v>
      </c>
      <c r="R137" s="65" t="n">
        <v>56.85</v>
      </c>
      <c r="S137" s="65" t="n">
        <v>118.24</v>
      </c>
      <c r="T137" s="65" t="n">
        <v>40.11</v>
      </c>
      <c r="U137" s="65"/>
      <c r="V137" s="65" t="n">
        <v>316.12</v>
      </c>
      <c r="W137" s="65"/>
      <c r="X137" s="65"/>
      <c r="Y137" s="65"/>
      <c r="Z137" s="65"/>
      <c r="AA137" s="65"/>
    </row>
    <row r="138" customFormat="false" ht="15" hidden="false" customHeight="true" outlineLevel="0" collapsed="false">
      <c r="A138" s="68" t="n">
        <v>46129</v>
      </c>
      <c r="B138" s="65" t="n">
        <v>244.45</v>
      </c>
      <c r="C138" s="65" t="n">
        <v>164.23</v>
      </c>
      <c r="D138" s="65" t="n">
        <v>1454.74</v>
      </c>
      <c r="E138" s="65" t="n">
        <v>405.16</v>
      </c>
      <c r="F138" s="65" t="n">
        <v>116.71</v>
      </c>
      <c r="G138" s="65" t="n">
        <v>105.99</v>
      </c>
      <c r="H138" s="65" t="n">
        <v>150.7</v>
      </c>
      <c r="I138" s="65" t="n">
        <v>178.71</v>
      </c>
      <c r="J138" s="65" t="n">
        <v>455</v>
      </c>
      <c r="K138" s="65" t="n">
        <v>201.22</v>
      </c>
      <c r="L138" s="65" t="n">
        <v>142.92</v>
      </c>
      <c r="M138" s="65" t="n">
        <v>146.39</v>
      </c>
      <c r="N138" s="65" t="n">
        <v>30.56</v>
      </c>
      <c r="O138" s="65" t="n">
        <v>127.89</v>
      </c>
      <c r="P138" s="65" t="n">
        <v>368.65</v>
      </c>
      <c r="Q138" s="65" t="n">
        <v>315.78</v>
      </c>
      <c r="R138" s="65" t="n">
        <v>56.56</v>
      </c>
      <c r="S138" s="65" t="n">
        <v>116.18</v>
      </c>
      <c r="T138" s="65" t="n">
        <v>39.2</v>
      </c>
      <c r="U138" s="65"/>
      <c r="V138" s="65" t="n">
        <v>305.94</v>
      </c>
      <c r="W138" s="65"/>
      <c r="X138" s="65"/>
      <c r="Y138" s="65"/>
      <c r="Z138" s="65"/>
      <c r="AA138" s="65"/>
    </row>
    <row r="139" customFormat="false" ht="15" hidden="false" customHeight="true" outlineLevel="0" collapsed="false">
      <c r="A139" s="68" t="n">
        <v>46136</v>
      </c>
      <c r="B139" s="65" t="n">
        <v>245.44</v>
      </c>
      <c r="C139" s="65" t="n">
        <v>176.91</v>
      </c>
      <c r="D139" s="65" t="n">
        <v>1452.64</v>
      </c>
      <c r="E139" s="65" t="n">
        <v>421.32</v>
      </c>
      <c r="F139" s="65" t="n">
        <v>118.14</v>
      </c>
      <c r="G139" s="65" t="n">
        <v>112.03</v>
      </c>
      <c r="H139" s="65" t="n">
        <v>149.48</v>
      </c>
      <c r="I139" s="65" t="n">
        <v>193.04</v>
      </c>
      <c r="J139" s="65" t="n">
        <v>496.64</v>
      </c>
      <c r="K139" s="65" t="n">
        <v>207.8</v>
      </c>
      <c r="L139" s="65" t="n">
        <v>139.96</v>
      </c>
      <c r="M139" s="65" t="n">
        <v>143.09</v>
      </c>
      <c r="N139" s="65" t="n">
        <v>30.71</v>
      </c>
      <c r="O139" s="65" t="n">
        <v>131.1</v>
      </c>
      <c r="P139" s="65" t="n">
        <v>400.45</v>
      </c>
      <c r="Q139" s="65" t="n">
        <v>308.21</v>
      </c>
      <c r="R139" s="65" t="n">
        <v>55.76</v>
      </c>
      <c r="S139" s="65" t="n">
        <v>113.78</v>
      </c>
      <c r="T139" s="65" t="n">
        <v>39.24</v>
      </c>
      <c r="U139" s="65"/>
      <c r="V139" s="65" t="n">
        <v>300.44</v>
      </c>
      <c r="W139" s="65"/>
      <c r="X139" s="65"/>
      <c r="Y139" s="65"/>
      <c r="Z139" s="65"/>
      <c r="AA139" s="65"/>
    </row>
    <row r="140" customFormat="false" ht="15" hidden="false" customHeight="true" outlineLevel="0" collapsed="false">
      <c r="A140" s="68" t="n">
        <v>46143</v>
      </c>
      <c r="B140" s="65" t="n">
        <v>250.71</v>
      </c>
      <c r="C140" s="65" t="n">
        <v>172.7</v>
      </c>
      <c r="D140" s="65" t="n">
        <v>1425.18</v>
      </c>
      <c r="E140" s="65" t="n">
        <v>419.85</v>
      </c>
      <c r="F140" s="65" t="n">
        <v>119.13</v>
      </c>
      <c r="G140" s="65" t="n">
        <v>113.91</v>
      </c>
      <c r="H140" s="65" t="n">
        <v>152.16</v>
      </c>
      <c r="I140" s="65" t="n">
        <v>172.21</v>
      </c>
      <c r="J140" s="65" t="n">
        <v>542.13</v>
      </c>
      <c r="K140" s="65" t="n">
        <v>198</v>
      </c>
      <c r="L140" s="65" t="n">
        <v>139.29</v>
      </c>
      <c r="M140" s="65" t="n">
        <v>144.07</v>
      </c>
      <c r="N140" s="65" t="n">
        <v>31.36</v>
      </c>
      <c r="O140" s="65" t="n">
        <v>134</v>
      </c>
      <c r="P140" s="65" t="n">
        <v>395.68</v>
      </c>
      <c r="Q140" s="65" t="n">
        <v>326.74</v>
      </c>
      <c r="R140" s="65" t="n">
        <v>54.13</v>
      </c>
      <c r="S140" s="65" t="n">
        <v>110.31</v>
      </c>
      <c r="T140" s="65" t="n">
        <v>38.75</v>
      </c>
      <c r="U140" s="65"/>
      <c r="V140" s="65" t="n">
        <v>294.36</v>
      </c>
      <c r="W140" s="65"/>
      <c r="X140" s="65"/>
      <c r="Y140" s="65"/>
      <c r="Z140" s="65"/>
      <c r="AA140" s="65"/>
    </row>
    <row r="141" customFormat="false" ht="15" hidden="false" customHeight="true" outlineLevel="0" collapsed="false">
      <c r="A141" s="68" t="n">
        <v>46150</v>
      </c>
      <c r="B141" s="65" t="n">
        <v>253.04</v>
      </c>
      <c r="C141" s="65" t="n">
        <v>141.77</v>
      </c>
      <c r="D141" s="65" t="n">
        <v>1589.96</v>
      </c>
      <c r="E141" s="65" t="n">
        <v>428.54</v>
      </c>
      <c r="F141" s="65" t="n">
        <v>119.01</v>
      </c>
      <c r="G141" s="65" t="n">
        <v>131.94</v>
      </c>
      <c r="H141" s="65" t="n">
        <v>149.85</v>
      </c>
      <c r="I141" s="65" t="n">
        <v>186.47</v>
      </c>
      <c r="J141" s="65" t="n">
        <v>746.7</v>
      </c>
      <c r="K141" s="65" t="n">
        <v>214.71</v>
      </c>
      <c r="L141" s="65" t="n">
        <v>141.92</v>
      </c>
      <c r="M141" s="65" t="n">
        <v>137.8</v>
      </c>
      <c r="N141" s="65" t="n">
        <v>31.12</v>
      </c>
      <c r="O141" s="65" t="n">
        <v>143.36</v>
      </c>
      <c r="P141" s="65" t="n">
        <v>409.62</v>
      </c>
      <c r="Q141" s="65" t="n">
        <v>317.54</v>
      </c>
      <c r="R141" s="65" t="n">
        <v>55.59</v>
      </c>
      <c r="S141" s="65" t="n">
        <v>114.74</v>
      </c>
      <c r="T141" s="65" t="n">
        <v>39.84</v>
      </c>
      <c r="U141" s="65"/>
      <c r="V141" s="65"/>
      <c r="W141" s="65"/>
      <c r="X141" s="65"/>
      <c r="Y141" s="65"/>
      <c r="Z141" s="65"/>
      <c r="AA141" s="65"/>
    </row>
    <row r="142" customFormat="false" ht="15" hidden="false" customHeight="true" outlineLevel="0" collapsed="false">
      <c r="A142" s="68" t="n">
        <v>46157</v>
      </c>
      <c r="B142" s="65" t="n">
        <v>247.6</v>
      </c>
      <c r="C142" s="65" t="n">
        <v>141.97</v>
      </c>
      <c r="D142" s="65" t="n">
        <v>1499.87</v>
      </c>
      <c r="E142" s="65" t="n">
        <v>423.75</v>
      </c>
      <c r="F142" s="65" t="n">
        <v>116.44</v>
      </c>
      <c r="G142" s="65" t="n">
        <v>148.52</v>
      </c>
      <c r="H142" s="65" t="n">
        <v>148.55</v>
      </c>
      <c r="I142" s="65" t="n">
        <v>180</v>
      </c>
      <c r="J142" s="65" t="n">
        <v>724.55</v>
      </c>
      <c r="K142" s="65" t="n">
        <v>224.81</v>
      </c>
      <c r="L142" s="65" t="n">
        <v>138.42</v>
      </c>
      <c r="M142" s="65" t="n">
        <v>133.99</v>
      </c>
      <c r="N142" s="65" t="n">
        <v>31.22</v>
      </c>
      <c r="O142" s="65" t="n">
        <v>143.03</v>
      </c>
      <c r="P142" s="65" t="n">
        <v>402.33</v>
      </c>
      <c r="Q142" s="65" t="n">
        <v>325.15</v>
      </c>
      <c r="R142" s="65" t="n">
        <v>57.62</v>
      </c>
      <c r="S142" s="65" t="n">
        <v>123.34</v>
      </c>
      <c r="T142" s="65" t="n">
        <v>39.64</v>
      </c>
      <c r="U142" s="65"/>
      <c r="V142" s="65" t="n">
        <v>303.17</v>
      </c>
      <c r="W142" s="65"/>
      <c r="X142" s="65"/>
      <c r="Y142" s="65"/>
      <c r="Z142" s="65"/>
      <c r="AA142" s="65"/>
    </row>
    <row r="143" customFormat="false" ht="15" hidden="false" customHeight="true" outlineLevel="0" collapsed="false">
      <c r="A143" s="68" t="n">
        <v>46164</v>
      </c>
      <c r="B143" s="65" t="n">
        <v>244.76</v>
      </c>
      <c r="C143" s="65" t="n">
        <v>154.03</v>
      </c>
      <c r="D143" s="65" t="n">
        <v>1630.79</v>
      </c>
      <c r="E143" s="65" t="n">
        <v>412.73</v>
      </c>
      <c r="F143" s="65" t="n">
        <v>119.2</v>
      </c>
      <c r="G143" s="65" t="n">
        <v>165.87</v>
      </c>
      <c r="H143" s="65" t="n">
        <v>153.27</v>
      </c>
      <c r="I143" s="65" t="n">
        <v>188.62</v>
      </c>
      <c r="J143" s="65" t="n">
        <v>750.88</v>
      </c>
      <c r="K143" s="65" t="n">
        <v>214.84</v>
      </c>
      <c r="L143" s="65" t="n">
        <v>143.71</v>
      </c>
      <c r="M143" s="65" t="n">
        <v>136.88</v>
      </c>
      <c r="N143" s="65" t="n">
        <v>32.31</v>
      </c>
      <c r="O143" s="65" t="n">
        <v>144.48</v>
      </c>
      <c r="P143" s="65" t="n">
        <v>402.5</v>
      </c>
      <c r="Q143" s="65" t="n">
        <v>328.27</v>
      </c>
      <c r="R143" s="65" t="n">
        <v>58.66</v>
      </c>
      <c r="S143" s="65" t="n">
        <v>128.3</v>
      </c>
      <c r="T143" s="65" t="n">
        <v>41.76</v>
      </c>
      <c r="U143" s="65"/>
      <c r="V143" s="65" t="n">
        <v>315.78</v>
      </c>
      <c r="W143" s="65"/>
      <c r="X143" s="65"/>
      <c r="Y143" s="65"/>
      <c r="Z143" s="65"/>
      <c r="AA143" s="65"/>
    </row>
    <row r="144" customFormat="false" ht="15" hidden="false" customHeight="true" outlineLevel="0" collapsed="false">
      <c r="A144" s="68" t="n">
        <v>46171</v>
      </c>
      <c r="B144" s="65" t="n">
        <v>259.21</v>
      </c>
      <c r="C144" s="65" t="n">
        <v>159.47</v>
      </c>
      <c r="D144" s="65" t="n">
        <v>1610.68</v>
      </c>
      <c r="E144" s="65" t="n">
        <v>445.25</v>
      </c>
      <c r="F144" s="65" t="n">
        <v>119.22</v>
      </c>
      <c r="G144" s="65" t="n">
        <v>182.75</v>
      </c>
      <c r="H144" s="65" t="n">
        <v>152.49</v>
      </c>
      <c r="I144" s="65" t="n">
        <v>191.95</v>
      </c>
      <c r="J144" s="65" t="n">
        <v>970.85</v>
      </c>
      <c r="K144" s="65" t="n">
        <v>210.66</v>
      </c>
      <c r="L144" s="65" t="n">
        <v>141.31</v>
      </c>
      <c r="M144" s="65" t="n">
        <v>156.54</v>
      </c>
      <c r="N144" s="65" t="n">
        <v>31.99</v>
      </c>
      <c r="O144" s="65" t="n">
        <v>150.11</v>
      </c>
      <c r="P144" s="65" t="n">
        <v>416.36</v>
      </c>
      <c r="Q144" s="65" t="n">
        <v>325.75</v>
      </c>
      <c r="R144" s="65" t="n">
        <v>58.99</v>
      </c>
      <c r="S144" s="65" t="n">
        <v>131.52</v>
      </c>
      <c r="T144" s="65" t="n">
        <v>41.52</v>
      </c>
      <c r="U144" s="65"/>
      <c r="V144" s="65" t="n">
        <v>308.21</v>
      </c>
      <c r="W144" s="65"/>
      <c r="X144" s="65"/>
      <c r="Y144" s="65"/>
      <c r="Z144" s="65"/>
      <c r="AA144" s="65"/>
    </row>
    <row r="145" customFormat="false" ht="15" hidden="false" customHeight="true" outlineLevel="0" collapsed="false">
      <c r="A145" s="68" t="n">
        <v>46178</v>
      </c>
      <c r="B145" s="65" t="n">
        <v>251.44</v>
      </c>
      <c r="C145" s="65" t="n">
        <v>154.27</v>
      </c>
      <c r="D145" s="65" t="n">
        <v>1639.62</v>
      </c>
      <c r="E145" s="65" t="n">
        <v>384.42</v>
      </c>
      <c r="F145" s="65" t="n">
        <v>118.87</v>
      </c>
      <c r="G145" s="65" t="n">
        <v>167.76</v>
      </c>
      <c r="H145" s="65" t="n">
        <v>152.92</v>
      </c>
      <c r="I145" s="65" t="n">
        <v>192.7</v>
      </c>
      <c r="J145" s="65" t="n">
        <v>863.88</v>
      </c>
      <c r="K145" s="65" t="n">
        <v>204.87</v>
      </c>
      <c r="L145" s="65" t="n">
        <v>142.37</v>
      </c>
      <c r="M145" s="65" t="n">
        <v>135.53</v>
      </c>
      <c r="N145" s="65" t="n">
        <v>31.79</v>
      </c>
      <c r="O145" s="65" t="n">
        <v>143.82</v>
      </c>
      <c r="P145" s="65" t="n">
        <v>413.09</v>
      </c>
      <c r="Q145" s="65" t="n">
        <v>322.97</v>
      </c>
      <c r="R145" s="65" t="n">
        <v>58.86</v>
      </c>
      <c r="S145" s="65" t="n">
        <v>134.42</v>
      </c>
      <c r="T145" s="65" t="n">
        <v>42.59</v>
      </c>
      <c r="U145" s="65"/>
      <c r="V145" s="65" t="n">
        <v>326.74</v>
      </c>
      <c r="W145" s="65"/>
      <c r="X145" s="65"/>
      <c r="Y145" s="65"/>
      <c r="Z145" s="65"/>
      <c r="AA145" s="65"/>
    </row>
    <row r="146" customFormat="false" ht="15" hidden="false" customHeight="true" outlineLevel="0" collapsed="false">
      <c r="A146" s="68" t="n">
        <v>46185</v>
      </c>
      <c r="B146" s="65" t="n">
        <v>204.02</v>
      </c>
      <c r="C146" s="65" t="n">
        <v>163.24</v>
      </c>
      <c r="D146" s="65" t="n">
        <v>1861.14</v>
      </c>
      <c r="E146" s="65" t="n">
        <v>380.77</v>
      </c>
      <c r="F146" s="65" t="n">
        <v>123.97</v>
      </c>
      <c r="G146" s="65" t="n">
        <v>170.7</v>
      </c>
      <c r="H146" s="65" t="n">
        <v>156.3</v>
      </c>
      <c r="I146" s="65" t="n">
        <v>254.25</v>
      </c>
      <c r="J146" s="65" t="n">
        <v>981.46</v>
      </c>
      <c r="K146" s="65" t="n">
        <v>204.96</v>
      </c>
      <c r="L146" s="65" t="n">
        <v>146.51</v>
      </c>
      <c r="M146" s="65" t="n">
        <v>127.99</v>
      </c>
      <c r="N146" s="65" t="n">
        <v>32.3</v>
      </c>
      <c r="O146" s="65" t="n">
        <v>152</v>
      </c>
      <c r="P146" s="65" t="n">
        <v>422.8</v>
      </c>
      <c r="Q146" s="65" t="n">
        <v>321.79</v>
      </c>
      <c r="R146" s="65" t="n">
        <v>59.61</v>
      </c>
      <c r="S146" s="65" t="n">
        <v>143.81</v>
      </c>
      <c r="T146" s="65" t="n">
        <v>43.62</v>
      </c>
      <c r="U146" s="65"/>
      <c r="V146" s="65" t="n">
        <v>317.54</v>
      </c>
      <c r="W146" s="65"/>
      <c r="X146" s="65"/>
      <c r="Y146" s="65"/>
      <c r="Z146" s="65"/>
      <c r="AA146" s="65"/>
    </row>
    <row r="147" customFormat="false" ht="15" hidden="false" customHeight="true" outlineLevel="0" collapsed="false">
      <c r="A147" s="68" t="n">
        <v>46192</v>
      </c>
      <c r="B147" s="65" t="n">
        <v>195.16</v>
      </c>
      <c r="C147" s="65" t="n">
        <v>169.67</v>
      </c>
      <c r="D147" s="65" t="n">
        <v>1927.19</v>
      </c>
      <c r="E147" s="65" t="n">
        <v>409.95</v>
      </c>
      <c r="F147" s="65" t="n">
        <v>121.6</v>
      </c>
      <c r="G147" s="65" t="n">
        <v>171.21</v>
      </c>
      <c r="H147" s="65" t="n">
        <v>152.05</v>
      </c>
      <c r="I147" s="65" t="n">
        <v>259.27</v>
      </c>
      <c r="J147" s="65" t="n">
        <v>1133.82</v>
      </c>
      <c r="K147" s="65" t="n">
        <v>210.45</v>
      </c>
      <c r="L147" s="65" t="n">
        <v>139.43</v>
      </c>
      <c r="M147" s="65" t="n">
        <v>128.47</v>
      </c>
      <c r="N147" s="65" t="n">
        <v>31.36</v>
      </c>
      <c r="O147" s="65" t="n">
        <v>159.39</v>
      </c>
      <c r="P147" s="65" t="n">
        <v>460.88</v>
      </c>
      <c r="Q147" s="65" t="n">
        <v>326.63</v>
      </c>
      <c r="R147" s="65" t="n">
        <v>59.77</v>
      </c>
      <c r="S147" s="65" t="n">
        <v>143.48</v>
      </c>
      <c r="T147" s="65" t="n">
        <v>42.5</v>
      </c>
      <c r="U147" s="65"/>
      <c r="V147" s="65" t="n">
        <v>325.15</v>
      </c>
      <c r="W147" s="65"/>
      <c r="X147" s="65"/>
      <c r="Y147" s="65"/>
      <c r="Z147" s="65"/>
      <c r="AA147" s="65"/>
    </row>
    <row r="148" customFormat="false" ht="15" hidden="false" customHeight="true" outlineLevel="0" collapsed="false">
      <c r="A148" s="68" t="n">
        <v>46199</v>
      </c>
      <c r="B148" s="65" t="n">
        <v>202.73</v>
      </c>
      <c r="C148" s="65" t="n">
        <v>157.6</v>
      </c>
      <c r="D148" s="65" t="n">
        <v>1792.3</v>
      </c>
      <c r="E148" s="65" t="n">
        <v>364.36</v>
      </c>
      <c r="F148" s="65" t="n">
        <v>124.53</v>
      </c>
      <c r="G148" s="65" t="n">
        <v>175.27</v>
      </c>
      <c r="H148" s="65" t="n">
        <v>156.87</v>
      </c>
      <c r="I148" s="65" t="n">
        <v>248.36</v>
      </c>
      <c r="J148" s="65" t="n">
        <v>1132.16</v>
      </c>
      <c r="K148" s="65" t="n">
        <v>192.31</v>
      </c>
      <c r="L148" s="65" t="n">
        <v>138.87</v>
      </c>
      <c r="M148" s="65" t="n">
        <v>112.93</v>
      </c>
      <c r="N148" s="65" t="n">
        <v>31.84</v>
      </c>
      <c r="O148" s="65" t="n">
        <v>153.95</v>
      </c>
      <c r="P148" s="65" t="n">
        <v>431.19</v>
      </c>
      <c r="Q148" s="65" t="n">
        <v>335.61</v>
      </c>
      <c r="R148" s="65" t="n">
        <v>60.21</v>
      </c>
      <c r="S148" s="65" t="n">
        <v>144.94</v>
      </c>
      <c r="T148" s="65" t="n">
        <v>44.18</v>
      </c>
      <c r="U148" s="65"/>
      <c r="V148" s="65" t="n">
        <v>328.27</v>
      </c>
      <c r="W148" s="65"/>
      <c r="X148" s="65"/>
      <c r="Y148" s="65"/>
      <c r="Z148" s="65"/>
      <c r="AA148" s="65"/>
    </row>
    <row r="149" customFormat="false" ht="15" hidden="false" customHeight="true" outlineLevel="0" collapsed="false">
      <c r="A149" s="68" t="n">
        <v>46206</v>
      </c>
      <c r="B149" s="65" t="n">
        <v>219.72</v>
      </c>
      <c r="C149" s="65" t="n">
        <v>159.99</v>
      </c>
      <c r="D149" s="65" t="n">
        <v>1767.03</v>
      </c>
      <c r="E149" s="65" t="n">
        <v>359.79</v>
      </c>
      <c r="F149" s="65" t="n">
        <v>123.11</v>
      </c>
      <c r="G149" s="65" t="n">
        <v>193.98</v>
      </c>
      <c r="H149" s="65" t="n">
        <v>157.78</v>
      </c>
      <c r="I149" s="65" t="n">
        <v>235.28</v>
      </c>
      <c r="J149" s="65" t="n">
        <v>975.41</v>
      </c>
      <c r="K149" s="65" t="n">
        <v>194.61</v>
      </c>
      <c r="L149" s="65" t="n">
        <v>138.33</v>
      </c>
      <c r="M149" s="65" t="n">
        <v>129.3</v>
      </c>
      <c r="N149" s="65" t="n">
        <v>32.13</v>
      </c>
      <c r="O149" s="65" t="n">
        <v>150.58</v>
      </c>
      <c r="P149" s="65" t="n">
        <v>433</v>
      </c>
      <c r="Q149" s="65" t="n">
        <v>361.46</v>
      </c>
      <c r="R149" s="65" t="n">
        <v>61.15</v>
      </c>
      <c r="S149" s="65" t="n">
        <v>150.59</v>
      </c>
      <c r="T149" s="65" t="n">
        <v>46.57</v>
      </c>
      <c r="U149" s="65"/>
      <c r="V149" s="65" t="n">
        <v>325.75</v>
      </c>
      <c r="W149" s="65"/>
      <c r="X149" s="65"/>
      <c r="Y149" s="65"/>
      <c r="Z149" s="65"/>
      <c r="AA149" s="65"/>
    </row>
    <row r="150" customFormat="false" ht="15" hidden="false" customHeight="true" outlineLevel="0" collapsed="false">
      <c r="A150" s="68" t="n">
        <v>46213</v>
      </c>
      <c r="B150" s="65" t="n">
        <v>223.64</v>
      </c>
      <c r="C150" s="65" t="n">
        <v>186.96</v>
      </c>
      <c r="D150" s="65" t="n">
        <v>1795</v>
      </c>
      <c r="E150" s="65" t="n">
        <v>399.24</v>
      </c>
      <c r="F150" s="65" t="n">
        <v>123.55</v>
      </c>
      <c r="G150" s="65" t="n">
        <v>187.18</v>
      </c>
      <c r="H150" s="65" t="n">
        <v>158.15</v>
      </c>
      <c r="I150" s="65" t="n">
        <v>231.26</v>
      </c>
      <c r="J150" s="65" t="n">
        <v>979.3</v>
      </c>
      <c r="K150" s="65" t="n">
        <v>210.72</v>
      </c>
      <c r="L150" s="65" t="n">
        <v>139.76</v>
      </c>
      <c r="M150" s="65" t="n">
        <v>126.79</v>
      </c>
      <c r="N150" s="65" t="n">
        <v>32.14</v>
      </c>
      <c r="O150" s="65" t="n">
        <v>153.5</v>
      </c>
      <c r="P150" s="65" t="n">
        <v>432.95</v>
      </c>
      <c r="Q150" s="65" t="n">
        <v>348.32</v>
      </c>
      <c r="R150" s="65" t="n">
        <v>58.9</v>
      </c>
      <c r="S150" s="65" t="n">
        <v>144.28</v>
      </c>
      <c r="T150" s="65" t="n">
        <v>46.05</v>
      </c>
      <c r="U150" s="65"/>
      <c r="V150" s="65" t="n">
        <v>322.97</v>
      </c>
      <c r="W150" s="65"/>
      <c r="X150" s="65"/>
      <c r="Y150" s="65"/>
      <c r="Z150" s="65"/>
      <c r="AA150" s="65"/>
    </row>
    <row r="151" customFormat="false" ht="15" hidden="false" customHeight="true" outlineLevel="0" collapsed="false">
      <c r="A151" s="68" t="n">
        <v>46220</v>
      </c>
      <c r="B151" s="65" t="n">
        <v>237.25</v>
      </c>
      <c r="C151" s="65" t="n">
        <v>168.61</v>
      </c>
      <c r="D151" s="65" t="n">
        <v>1745.32</v>
      </c>
      <c r="E151" s="65" t="n">
        <v>370.16</v>
      </c>
      <c r="F151" s="65" t="n">
        <v>124.94</v>
      </c>
      <c r="G151" s="65" t="n">
        <v>203.08</v>
      </c>
      <c r="H151" s="65" t="n">
        <v>160.51</v>
      </c>
      <c r="I151" s="65" t="n">
        <v>212.51</v>
      </c>
      <c r="J151" s="65" t="n">
        <v>848.95</v>
      </c>
      <c r="K151" s="65" t="n">
        <v>202.58</v>
      </c>
      <c r="L151" s="65" t="n">
        <v>148.61</v>
      </c>
      <c r="M151" s="65" t="n">
        <v>132.38</v>
      </c>
      <c r="N151" s="65" t="n">
        <v>32.65</v>
      </c>
      <c r="O151" s="65" t="n">
        <v>143.66</v>
      </c>
      <c r="P151" s="65" t="n">
        <v>397.3</v>
      </c>
      <c r="Q151" s="65" t="n">
        <v>357.9</v>
      </c>
      <c r="R151" s="65" t="n">
        <v>59.86</v>
      </c>
      <c r="S151" s="65" t="n">
        <v>152.48</v>
      </c>
      <c r="T151" s="65" t="n">
        <v>46.29</v>
      </c>
      <c r="U151" s="65"/>
      <c r="V151" s="65" t="n">
        <v>321.79</v>
      </c>
      <c r="W151" s="65"/>
      <c r="X151" s="65"/>
      <c r="Y151" s="65"/>
      <c r="Z151" s="65"/>
      <c r="AA151" s="65"/>
    </row>
    <row r="152" customFormat="false" ht="15" hidden="false" customHeight="true" outlineLevel="0" collapsed="false">
      <c r="A152" s="68" t="n">
        <v>46227</v>
      </c>
      <c r="B152" s="65" t="n">
        <v>225.11</v>
      </c>
      <c r="C152" s="65" t="n">
        <v>173.99</v>
      </c>
      <c r="D152" s="65" t="n">
        <v>1754.82</v>
      </c>
      <c r="E152" s="65" t="n">
        <v>381.23</v>
      </c>
      <c r="F152" s="65" t="n">
        <v>124.87</v>
      </c>
      <c r="G152" s="65" t="n">
        <v>183.28</v>
      </c>
      <c r="H152" s="65" t="n">
        <v>161.66</v>
      </c>
      <c r="I152" s="65" t="n">
        <v>210.28</v>
      </c>
      <c r="J152" s="65" t="n">
        <v>920.95</v>
      </c>
      <c r="K152" s="65" t="n">
        <v>206.61</v>
      </c>
      <c r="L152" s="65" t="n">
        <v>146.47</v>
      </c>
      <c r="M152" s="65" t="n">
        <v>122.92</v>
      </c>
      <c r="N152" s="65" t="n">
        <v>33.03</v>
      </c>
      <c r="O152" s="65" t="n">
        <v>146.27</v>
      </c>
      <c r="P152" s="65" t="n">
        <v>402.33</v>
      </c>
      <c r="Q152" s="65" t="n">
        <v>355.08</v>
      </c>
      <c r="R152" s="65" t="n">
        <v>61.34</v>
      </c>
      <c r="S152" s="65" t="n">
        <v>159.9</v>
      </c>
      <c r="T152" s="65" t="n">
        <v>45.25</v>
      </c>
      <c r="U152" s="65"/>
      <c r="V152" s="65"/>
      <c r="W152" s="65"/>
      <c r="X152" s="65"/>
      <c r="Y152" s="65"/>
      <c r="Z152" s="65"/>
      <c r="AA152" s="65"/>
    </row>
    <row r="153" customFormat="false" ht="15" hidden="false" customHeight="true" outlineLevel="0" collapsed="false">
      <c r="A153" s="68" t="n">
        <v>46234</v>
      </c>
      <c r="B153" s="65" t="n">
        <v>250.41</v>
      </c>
      <c r="C153" s="65" t="n">
        <v>180.35</v>
      </c>
      <c r="D153" s="65" t="n">
        <v>1629</v>
      </c>
      <c r="E153" s="65" t="n">
        <v>388.57</v>
      </c>
      <c r="F153" s="65" t="n">
        <v>124.87</v>
      </c>
      <c r="G153" s="65" t="n">
        <v>190.86</v>
      </c>
      <c r="H153" s="65" t="n">
        <v>159.89</v>
      </c>
      <c r="I153" s="65" t="n">
        <v>182.61</v>
      </c>
      <c r="J153" s="65" t="n">
        <v>823.03</v>
      </c>
      <c r="K153" s="65" t="n">
        <v>200.53</v>
      </c>
      <c r="L153" s="65" t="n">
        <v>143.47</v>
      </c>
      <c r="M153" s="65" t="n">
        <v>123.06</v>
      </c>
      <c r="N153" s="65" t="n">
        <v>33.21</v>
      </c>
      <c r="O153" s="65" t="n">
        <v>143.6</v>
      </c>
      <c r="P153" s="65" t="n">
        <v>403.17</v>
      </c>
      <c r="Q153" s="88" t="n">
        <v>365.45</v>
      </c>
      <c r="R153" s="65" t="n">
        <v>59.42</v>
      </c>
      <c r="S153" s="65" t="n">
        <v>154.2</v>
      </c>
      <c r="T153" s="65" t="n">
        <v>46.19</v>
      </c>
      <c r="U153" s="65"/>
      <c r="V153" s="65" t="n">
        <v>335.61</v>
      </c>
      <c r="W153" s="65"/>
      <c r="X153" s="65"/>
      <c r="Y153" s="65"/>
      <c r="Z153" s="65"/>
      <c r="AA153" s="65"/>
    </row>
    <row r="154" customFormat="false" ht="15" hidden="false" customHeight="true" outlineLevel="0" collapsed="false">
      <c r="A154" s="68" t="n">
        <v>46241</v>
      </c>
      <c r="B154" s="65" t="n">
        <v>265.21</v>
      </c>
      <c r="C154" s="65" t="n">
        <v>188.67</v>
      </c>
      <c r="D154" s="65" t="n">
        <v>1740.99</v>
      </c>
      <c r="E154" s="65" t="n">
        <v>426.98</v>
      </c>
      <c r="F154" s="65" t="n">
        <v>126.47</v>
      </c>
      <c r="G154" s="65" t="n">
        <v>214.42</v>
      </c>
      <c r="H154" s="65" t="n">
        <v>160.58</v>
      </c>
      <c r="I154" s="65" t="n">
        <v>197.89</v>
      </c>
      <c r="J154" s="65" t="n">
        <v>877.57</v>
      </c>
      <c r="K154" s="65" t="n">
        <v>223.71</v>
      </c>
      <c r="L154" s="65" t="n">
        <v>139.06</v>
      </c>
      <c r="M154" s="65" t="n">
        <v>172.01</v>
      </c>
      <c r="N154" s="65" t="n">
        <v>33.63</v>
      </c>
      <c r="O154" s="65" t="n">
        <v>149.45</v>
      </c>
      <c r="P154" s="65" t="n">
        <v>418.92</v>
      </c>
      <c r="Q154" s="65" t="n">
        <v>361.83</v>
      </c>
      <c r="R154" s="65" t="n">
        <v>59.39</v>
      </c>
      <c r="S154" s="65" t="n">
        <v>150.83</v>
      </c>
      <c r="T154" s="65" t="n">
        <v>47</v>
      </c>
      <c r="U154" s="65"/>
      <c r="V154" s="65"/>
      <c r="W154" s="65"/>
      <c r="X154" s="65"/>
      <c r="Y154" s="65"/>
      <c r="Z154" s="65"/>
      <c r="AA154" s="65"/>
    </row>
    <row r="155" customFormat="false" ht="15" hidden="false" customHeight="true" outlineLevel="0" collapsed="false">
      <c r="A155" s="68" t="n">
        <v>46248</v>
      </c>
      <c r="B155" s="65" t="n">
        <v>264.02</v>
      </c>
      <c r="C155" s="65" t="n">
        <v>198.82</v>
      </c>
      <c r="D155" s="65" t="n">
        <v>1844.08</v>
      </c>
      <c r="E155" s="65" t="n">
        <v>392.28</v>
      </c>
      <c r="F155" s="65" t="n">
        <v>128.31</v>
      </c>
      <c r="G155" s="65" t="n">
        <v>216.95</v>
      </c>
      <c r="H155" s="65" t="n">
        <v>164.15</v>
      </c>
      <c r="I155" s="65" t="n">
        <v>203.49</v>
      </c>
      <c r="J155" s="65" t="n">
        <v>971.66</v>
      </c>
      <c r="K155" s="65" t="n">
        <v>224.91</v>
      </c>
      <c r="L155" s="65" t="n">
        <v>139.92</v>
      </c>
      <c r="M155" s="65" t="n">
        <v>174.04</v>
      </c>
      <c r="N155" s="65" t="n">
        <v>34.25</v>
      </c>
      <c r="O155" s="65" t="n">
        <v>153.06</v>
      </c>
      <c r="P155" s="65" t="n">
        <v>425.21</v>
      </c>
      <c r="Q155" s="88" t="n">
        <v>364.15</v>
      </c>
      <c r="R155" s="65" t="n">
        <v>60.51</v>
      </c>
      <c r="S155" s="65" t="n">
        <v>153.75</v>
      </c>
      <c r="T155" s="65" t="n">
        <v>47.39</v>
      </c>
      <c r="U155" s="65"/>
      <c r="V155" s="65" t="n">
        <v>348.32</v>
      </c>
      <c r="W155" s="65"/>
      <c r="X155" s="65"/>
      <c r="Y155" s="65"/>
      <c r="Z155" s="65"/>
      <c r="AA155" s="65"/>
    </row>
    <row r="156" customFormat="false" ht="15" hidden="false" customHeight="true" outlineLevel="0" collapsed="false">
      <c r="A156" s="68" t="n">
        <v>46255</v>
      </c>
      <c r="B156" s="65" t="n">
        <v>275.3</v>
      </c>
      <c r="C156" s="65" t="n">
        <v>188.65</v>
      </c>
      <c r="D156" s="65" t="n">
        <v>1763.76</v>
      </c>
      <c r="E156" s="65" t="n">
        <v>367.78</v>
      </c>
      <c r="F156" s="65" t="n">
        <v>126.04</v>
      </c>
      <c r="G156" s="65" t="n">
        <v>191.95</v>
      </c>
      <c r="H156" s="65" t="n">
        <v>162.75</v>
      </c>
      <c r="I156" s="65" t="n">
        <v>183.99</v>
      </c>
      <c r="J156" s="65" t="n">
        <v>966.78</v>
      </c>
      <c r="K156" s="65" t="n">
        <v>214.48</v>
      </c>
      <c r="L156" s="65" t="n">
        <v>140.68</v>
      </c>
      <c r="M156" s="65" t="n">
        <v>179.94</v>
      </c>
      <c r="N156" s="65" t="n">
        <v>34.83</v>
      </c>
      <c r="O156" s="65" t="n">
        <v>148.49</v>
      </c>
      <c r="P156" s="65" t="n">
        <v>417.83</v>
      </c>
      <c r="Q156" s="65" t="n">
        <v>371.04</v>
      </c>
      <c r="R156" s="65" t="n">
        <v>58.51</v>
      </c>
      <c r="S156" s="65" t="n">
        <v>143.89</v>
      </c>
      <c r="T156" s="65" t="n">
        <v>47.8</v>
      </c>
      <c r="U156" s="65"/>
      <c r="V156" s="65" t="n">
        <v>357.9</v>
      </c>
      <c r="W156" s="65"/>
      <c r="X156" s="65"/>
      <c r="Y156" s="65"/>
      <c r="Z156" s="65"/>
      <c r="AA156" s="65"/>
    </row>
    <row r="157" customFormat="false" ht="15" hidden="false" customHeight="true" outlineLevel="0" collapsed="false">
      <c r="A157" s="68" t="n">
        <v>46262</v>
      </c>
      <c r="B157" s="65" t="n">
        <v>291.52</v>
      </c>
      <c r="C157" s="65" t="n">
        <v>195.38</v>
      </c>
      <c r="D157" s="65" t="n">
        <v>1696.16</v>
      </c>
      <c r="E157" s="65" t="n">
        <v>368.12</v>
      </c>
      <c r="F157" s="65" t="n">
        <v>125.16</v>
      </c>
      <c r="G157" s="65" t="n">
        <v>218.4</v>
      </c>
      <c r="H157" s="65" t="n">
        <v>162.46</v>
      </c>
      <c r="I157" s="65" t="n">
        <v>175.54</v>
      </c>
      <c r="J157" s="65" t="n">
        <v>932.86</v>
      </c>
      <c r="K157" s="65" t="n">
        <v>217.31</v>
      </c>
      <c r="L157" s="65" t="n">
        <v>139.59</v>
      </c>
      <c r="M157" s="65" t="n">
        <v>186.29</v>
      </c>
      <c r="N157" s="65" t="n">
        <v>34.62</v>
      </c>
      <c r="O157" s="65" t="n">
        <v>146.54</v>
      </c>
      <c r="P157" s="65" t="n">
        <v>416.4</v>
      </c>
      <c r="Q157" s="65" t="n">
        <v>381.6</v>
      </c>
      <c r="R157" s="65" t="n">
        <v>57.96</v>
      </c>
      <c r="S157" s="65" t="n">
        <v>146.51</v>
      </c>
      <c r="T157" s="65" t="n">
        <v>48.14</v>
      </c>
      <c r="U157" s="65"/>
      <c r="V157" s="65" t="n">
        <v>355.08</v>
      </c>
      <c r="W157" s="65"/>
      <c r="X157" s="65"/>
      <c r="Y157" s="65"/>
      <c r="Z157" s="65"/>
      <c r="AA157" s="65"/>
    </row>
    <row r="158" customFormat="false" ht="15" hidden="false" customHeight="true" outlineLevel="0" collapsed="false">
      <c r="A158" s="68" t="n">
        <v>46269</v>
      </c>
      <c r="B158" s="65" t="n">
        <v>266.51</v>
      </c>
      <c r="C158" s="65" t="n">
        <v>193.78</v>
      </c>
      <c r="D158" s="65" t="n">
        <v>1714.88</v>
      </c>
      <c r="E158" s="65" t="n">
        <v>357.25</v>
      </c>
      <c r="F158" s="65" t="n">
        <v>126.52</v>
      </c>
      <c r="G158" s="65" t="n">
        <v>213.1</v>
      </c>
      <c r="H158" s="65" t="n">
        <v>162.91</v>
      </c>
      <c r="I158" s="65" t="n">
        <v>185.6</v>
      </c>
      <c r="J158" s="65" t="n">
        <v>1016.59</v>
      </c>
      <c r="K158" s="65" t="n">
        <v>230.1</v>
      </c>
      <c r="L158" s="65" t="n">
        <v>136.26</v>
      </c>
      <c r="M158" s="65" t="n">
        <v>174.33</v>
      </c>
      <c r="N158" s="65" t="n">
        <v>34.52</v>
      </c>
      <c r="O158" s="65" t="n">
        <v>149.48</v>
      </c>
      <c r="P158" s="65" t="n">
        <v>427.76</v>
      </c>
      <c r="Q158" s="65" t="n">
        <v>375.07</v>
      </c>
      <c r="R158" s="65" t="n">
        <v>58.25</v>
      </c>
      <c r="S158" s="65" t="n">
        <v>143.83</v>
      </c>
      <c r="T158" s="65" t="n">
        <v>49.74</v>
      </c>
      <c r="U158" s="65"/>
      <c r="V158" s="65" t="n">
        <v>365.45</v>
      </c>
      <c r="W158" s="65"/>
      <c r="X158" s="65"/>
      <c r="Y158" s="65"/>
      <c r="Z158" s="65"/>
      <c r="AA158" s="65"/>
    </row>
    <row r="159" customFormat="false" ht="15" hidden="false" customHeight="true" outlineLevel="0" collapsed="false">
      <c r="A159" s="68" t="n">
        <v>46276</v>
      </c>
      <c r="B159" s="65" t="n">
        <v>252.23</v>
      </c>
      <c r="C159" s="65" t="n">
        <v>199.59</v>
      </c>
      <c r="D159" s="65" t="n">
        <v>1698.3</v>
      </c>
      <c r="E159" s="65" t="n">
        <v>361.33</v>
      </c>
      <c r="F159" s="65" t="n">
        <v>124.5</v>
      </c>
      <c r="G159" s="65" t="n">
        <v>206.74</v>
      </c>
      <c r="H159" s="65" t="n">
        <v>161.03</v>
      </c>
      <c r="I159" s="65" t="n">
        <v>180.64</v>
      </c>
      <c r="J159" s="65" t="n">
        <v>975.26</v>
      </c>
      <c r="K159" s="65" t="n">
        <v>218.29</v>
      </c>
      <c r="L159" s="65" t="n">
        <v>134.68</v>
      </c>
      <c r="M159" s="65" t="n">
        <v>167.23</v>
      </c>
      <c r="N159" s="65" t="n">
        <v>33.85</v>
      </c>
      <c r="O159" s="65" t="n">
        <v>148.07</v>
      </c>
      <c r="P159" s="65" t="n">
        <v>432.08</v>
      </c>
      <c r="Q159" s="65" t="n">
        <v>370.45</v>
      </c>
      <c r="R159" s="65" t="n">
        <v>59.74</v>
      </c>
      <c r="S159" s="65" t="n">
        <v>149.69</v>
      </c>
      <c r="T159" s="65" t="n">
        <v>51.46</v>
      </c>
      <c r="U159" s="65"/>
      <c r="V159" s="65" t="n">
        <v>361.83</v>
      </c>
      <c r="W159" s="65"/>
      <c r="X159" s="65"/>
      <c r="Y159" s="65"/>
      <c r="Z159" s="65"/>
      <c r="AA159" s="65"/>
    </row>
    <row r="160" customFormat="false" ht="15" hidden="false" customHeight="true" outlineLevel="0" collapsed="false">
      <c r="A160" s="68" t="n">
        <v>46283</v>
      </c>
      <c r="B160" s="65" t="n">
        <v>248.92</v>
      </c>
      <c r="C160" s="65" t="n">
        <v>199.39</v>
      </c>
      <c r="D160" s="65" t="n">
        <v>1679.92</v>
      </c>
      <c r="E160" s="65" t="n">
        <v>356.96</v>
      </c>
      <c r="F160" s="65" t="n">
        <v>121.96</v>
      </c>
      <c r="G160" s="65" t="n">
        <v>237.65</v>
      </c>
      <c r="H160" s="65" t="n">
        <v>158.24</v>
      </c>
      <c r="I160" s="65" t="n">
        <v>176.99</v>
      </c>
      <c r="J160" s="65" t="n">
        <v>1015.8</v>
      </c>
      <c r="K160" s="65" t="n">
        <v>222.27</v>
      </c>
      <c r="L160" s="65" t="n">
        <v>134.84</v>
      </c>
      <c r="M160" s="65" t="n">
        <v>177.64</v>
      </c>
      <c r="N160" s="65" t="n">
        <v>33.41</v>
      </c>
      <c r="O160" s="65" t="n">
        <v>148.97</v>
      </c>
      <c r="P160" s="65" t="n">
        <v>434.67</v>
      </c>
      <c r="Q160" s="65" t="n">
        <v>368.29</v>
      </c>
      <c r="R160" s="65" t="n">
        <v>60.53</v>
      </c>
      <c r="S160" s="65" t="n">
        <v>153.31</v>
      </c>
      <c r="T160" s="65" t="n">
        <v>53.71</v>
      </c>
      <c r="U160" s="65"/>
      <c r="V160" s="65" t="n">
        <v>364.15</v>
      </c>
      <c r="W160" s="65"/>
      <c r="X160" s="65"/>
      <c r="Y160" s="65"/>
      <c r="Z160" s="65"/>
      <c r="AA160" s="65"/>
    </row>
    <row r="161" customFormat="false" ht="15" hidden="false" customHeight="true" outlineLevel="0" collapsed="false">
      <c r="A161" s="68" t="n">
        <v>46290</v>
      </c>
      <c r="B161" s="65" t="n">
        <v>235.47</v>
      </c>
      <c r="C161" s="65" t="n">
        <v>206.55</v>
      </c>
      <c r="D161" s="65" t="n">
        <v>1743.94</v>
      </c>
      <c r="E161" s="65" t="n">
        <v>352.81</v>
      </c>
      <c r="F161" s="65" t="n">
        <v>120.41</v>
      </c>
      <c r="G161" s="65" t="n">
        <v>252.13</v>
      </c>
      <c r="H161" s="65" t="n">
        <v>154.73</v>
      </c>
      <c r="I161" s="65" t="n">
        <v>187.92</v>
      </c>
      <c r="J161" s="65" t="n">
        <v>1082.28</v>
      </c>
      <c r="K161" s="65" t="n">
        <v>225.07</v>
      </c>
      <c r="L161" s="65" t="n">
        <v>133.05</v>
      </c>
      <c r="M161" s="65" t="n">
        <v>189.67</v>
      </c>
      <c r="N161" s="65" t="n">
        <v>33.21</v>
      </c>
      <c r="O161" s="65" t="n">
        <v>152.92</v>
      </c>
      <c r="P161" s="65" t="n">
        <v>450.61</v>
      </c>
      <c r="Q161" s="65" t="n">
        <v>367.38</v>
      </c>
      <c r="R161" s="65" t="n">
        <v>59.84</v>
      </c>
      <c r="S161" s="65" t="n">
        <v>148.73</v>
      </c>
      <c r="T161" s="65" t="n">
        <v>55.45</v>
      </c>
      <c r="U161" s="65"/>
      <c r="V161" s="65" t="n">
        <v>371.04</v>
      </c>
      <c r="W161" s="65"/>
      <c r="X161" s="65"/>
      <c r="Y161" s="65"/>
      <c r="Z161" s="65"/>
      <c r="AA161" s="65"/>
    </row>
    <row r="162" customFormat="false" ht="15" hidden="false" customHeight="true" outlineLevel="0" collapsed="false">
      <c r="A162" s="68" t="n">
        <v>46297</v>
      </c>
      <c r="B162" s="65" t="n">
        <v>231.01</v>
      </c>
      <c r="C162" s="65" t="n">
        <v>204.92</v>
      </c>
      <c r="D162" s="65" t="n">
        <v>1771.41</v>
      </c>
      <c r="E162" s="65" t="n">
        <v>349.57</v>
      </c>
      <c r="F162" s="65" t="n">
        <v>119.55</v>
      </c>
      <c r="G162" s="65" t="n">
        <v>259.25</v>
      </c>
      <c r="H162" s="65" t="n">
        <v>153.65</v>
      </c>
      <c r="I162" s="65" t="n">
        <v>189.17</v>
      </c>
      <c r="J162" s="65" t="n">
        <v>1053.98</v>
      </c>
      <c r="K162" s="65" t="n">
        <v>228.86</v>
      </c>
      <c r="L162" s="65" t="n">
        <v>132.44</v>
      </c>
      <c r="M162" s="65" t="n">
        <v>187.48</v>
      </c>
      <c r="N162" s="65" t="n">
        <v>33.01</v>
      </c>
      <c r="O162" s="65" t="n">
        <v>151.18</v>
      </c>
      <c r="P162" s="65" t="n">
        <v>452.88</v>
      </c>
      <c r="Q162" s="65" t="n">
        <v>367.74</v>
      </c>
      <c r="R162" s="65" t="n">
        <v>59.47</v>
      </c>
      <c r="S162" s="65" t="n">
        <v>146.78</v>
      </c>
      <c r="T162" s="65" t="n">
        <v>55.66</v>
      </c>
      <c r="U162" s="65"/>
      <c r="V162" s="65" t="n">
        <v>381.6</v>
      </c>
      <c r="W162" s="65"/>
      <c r="X162" s="65"/>
      <c r="Y162" s="65"/>
      <c r="Z162" s="65"/>
      <c r="AA162" s="65"/>
    </row>
    <row r="163" customFormat="false" ht="15" hidden="false" customHeight="true" outlineLevel="0" collapsed="false">
      <c r="A163" s="68"/>
      <c r="B163" s="65"/>
      <c r="C163" s="65"/>
      <c r="D163" s="65"/>
      <c r="E163" s="65"/>
      <c r="F163" s="65"/>
      <c r="G163" s="65"/>
      <c r="H163" s="65"/>
      <c r="I163" s="65"/>
      <c r="J163" s="65"/>
      <c r="K163" s="65"/>
      <c r="L163" s="65"/>
      <c r="M163" s="65"/>
      <c r="N163" s="65"/>
      <c r="O163" s="65"/>
      <c r="P163" s="65"/>
      <c r="Q163" s="65"/>
      <c r="R163" s="65"/>
      <c r="S163" s="65"/>
      <c r="T163" s="65"/>
      <c r="U163" s="65"/>
      <c r="V163" s="65"/>
      <c r="W163" s="65"/>
      <c r="X163" s="65"/>
      <c r="Y163" s="65"/>
      <c r="Z163" s="65"/>
      <c r="AA163" s="65"/>
    </row>
    <row r="164" customFormat="false" ht="15" hidden="false" customHeight="true" outlineLevel="0" collapsed="false"/>
    <row r="165" customFormat="false" ht="15" hidden="false" customHeight="true" outlineLevel="0" collapsed="false">
      <c r="A165" s="89" t="n">
        <f aca="false">COUNT(A3:A163)</f>
        <v>160</v>
      </c>
      <c r="B165" s="89" t="s">
        <v>279</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13" activePane="bottomLeft" state="frozen"/>
      <selection pane="topLeft" activeCell="A1" activeCellId="0" sqref="A1"/>
      <selection pane="bottomLeft" activeCell="H53" activeCellId="0" sqref="H53"/>
    </sheetView>
  </sheetViews>
  <sheetFormatPr defaultColWidth="8.66796875" defaultRowHeight="14.2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10.2"/>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90" t="s">
        <v>81</v>
      </c>
      <c r="B1" s="90" t="s">
        <v>280</v>
      </c>
      <c r="C1" s="90" t="s">
        <v>281</v>
      </c>
      <c r="D1" s="91" t="s">
        <v>282</v>
      </c>
      <c r="E1" s="91" t="s">
        <v>283</v>
      </c>
      <c r="F1" s="90" t="s">
        <v>284</v>
      </c>
      <c r="G1" s="90" t="s">
        <v>285</v>
      </c>
      <c r="H1" s="90" t="s">
        <v>286</v>
      </c>
      <c r="I1" s="90" t="s">
        <v>287</v>
      </c>
      <c r="J1" s="90" t="s">
        <v>288</v>
      </c>
    </row>
    <row r="2" customFormat="false" ht="15" hidden="false" customHeight="true" outlineLevel="0" collapsed="false">
      <c r="A2" s="92" t="str">
        <f aca="false">IF(Scoring!A3="","",Scoring!A3)</f>
        <v>MU</v>
      </c>
      <c r="B2" s="93" t="str">
        <f aca="false">IF(Scoring!B3="","",Scoring!B3)</f>
        <v>Micron Technology</v>
      </c>
      <c r="C2" s="94" t="n">
        <f aca="false">IF(Scoring!C3="","",Scoring!C3)</f>
        <v>46295</v>
      </c>
      <c r="D2" s="95" t="n">
        <f aca="false">IF(Scoring!N3="","",Scoring!N3)</f>
        <v>3.35714285714286</v>
      </c>
      <c r="E2" s="96" t="n">
        <f aca="false">IF(Scoring!AF3="","",Scoring!AF3)</f>
        <v>67.8</v>
      </c>
      <c r="F2" s="64" t="str">
        <f aca="false">IF(Scoring!AG3&lt;&gt;"",Scoring!AG3,IF(Scoring!AH3="OK","PENDING",""))</f>
        <v>BUY</v>
      </c>
      <c r="G2" s="64" t="str">
        <f aca="false">IF(Scoring!AH3="","",Scoring!AH3)</f>
        <v>OK</v>
      </c>
      <c r="H2" s="64" t="str">
        <f aca="false">IF(Scoring!AI3="","",Scoring!AI3)</f>
        <v>OK</v>
      </c>
      <c r="I2" s="64" t="str">
        <f aca="false">IF(Scoring!AJ3="","",Scoring!AJ3)</f>
        <v>OK</v>
      </c>
      <c r="J2" s="64" t="str">
        <f aca="false">IF(Scoring!AK3="","",Scoring!AK3)</f>
        <v>OK</v>
      </c>
    </row>
    <row r="3" customFormat="false" ht="15" hidden="false" customHeight="true" outlineLevel="0" collapsed="false">
      <c r="A3" s="92" t="str">
        <f aca="false">IF(Scoring!A4="","",Scoring!A4)</f>
        <v>AVGO</v>
      </c>
      <c r="B3" s="93" t="str">
        <f aca="false">IF(Scoring!B4="","",Scoring!B4)</f>
        <v>Broadcom Inc.</v>
      </c>
      <c r="C3" s="94" t="n">
        <f aca="false">IF(Scoring!C4="","",Scoring!C4)</f>
        <v>46295</v>
      </c>
      <c r="D3" s="95" t="n">
        <f aca="false">IF(Scoring!N4="","",Scoring!N4)</f>
        <v>3.14285714285714</v>
      </c>
      <c r="E3" s="96" t="n">
        <f aca="false">IF(Scoring!AF4="","",Scoring!AF4)</f>
        <v>67.8</v>
      </c>
      <c r="F3" s="64" t="str">
        <f aca="false">IF(Scoring!AG4&lt;&gt;"",Scoring!AG4,IF(Scoring!AH4="OK","PENDING",""))</f>
        <v>BUY</v>
      </c>
      <c r="G3" s="64" t="str">
        <f aca="false">IF(Scoring!AH4="","",Scoring!AH4)</f>
        <v>OK</v>
      </c>
      <c r="H3" s="64" t="str">
        <f aca="false">IF(Scoring!AI4="","",Scoring!AI4)</f>
        <v>OK</v>
      </c>
      <c r="I3" s="64" t="str">
        <f aca="false">IF(Scoring!AJ4="","",Scoring!AJ4)</f>
        <v>AVOID</v>
      </c>
      <c r="J3" s="64" t="str">
        <f aca="false">IF(Scoring!AK4="","",Scoring!AK4)</f>
        <v>OK</v>
      </c>
    </row>
    <row r="4" customFormat="false" ht="15" hidden="false" customHeight="true" outlineLevel="0" collapsed="false">
      <c r="A4" s="92" t="str">
        <f aca="false">IF(Scoring!A5="","",Scoring!A5)</f>
        <v>PLTR</v>
      </c>
      <c r="B4" s="93" t="str">
        <f aca="false">IF(Scoring!B5="","",Scoring!B5)</f>
        <v>Palantir Technologies</v>
      </c>
      <c r="C4" s="94" t="n">
        <f aca="false">IF(Scoring!C5="","",Scoring!C5)</f>
        <v>46295</v>
      </c>
      <c r="D4" s="95" t="n">
        <f aca="false">IF(Scoring!N5="","",Scoring!N5)</f>
        <v>4.07142857142857</v>
      </c>
      <c r="E4" s="96" t="n">
        <f aca="false">IF(Scoring!AF5="","",Scoring!AF5)</f>
        <v>76.2</v>
      </c>
      <c r="F4" s="64" t="str">
        <f aca="false">IF(Scoring!AG5&lt;&gt;"",Scoring!AG5,IF(Scoring!AH5="OK","PENDING",""))</f>
        <v>BUY</v>
      </c>
      <c r="G4" s="64" t="str">
        <f aca="false">IF(Scoring!AH5="","",Scoring!AH5)</f>
        <v>OK</v>
      </c>
      <c r="H4" s="64" t="str">
        <f aca="false">IF(Scoring!AI5="","",Scoring!AI5)</f>
        <v>OK</v>
      </c>
      <c r="I4" s="64" t="str">
        <f aca="false">IF(Scoring!AJ5="","",Scoring!AJ5)</f>
        <v>OK</v>
      </c>
      <c r="J4" s="64" t="str">
        <f aca="false">IF(Scoring!AK5="","",Scoring!AK5)</f>
        <v>OK</v>
      </c>
    </row>
    <row r="5" customFormat="false" ht="15" hidden="false" customHeight="true" outlineLevel="0" collapsed="false">
      <c r="A5" s="92" t="str">
        <f aca="false">IF(Scoring!A6="","",Scoring!A6)</f>
        <v>NVDA</v>
      </c>
      <c r="B5" s="93" t="str">
        <f aca="false">IF(Scoring!B6="","",Scoring!B6)</f>
        <v>NVIDIA Corporation</v>
      </c>
      <c r="C5" s="94" t="n">
        <f aca="false">IF(Scoring!C6="","",Scoring!C6)</f>
        <v>46295</v>
      </c>
      <c r="D5" s="95" t="n">
        <f aca="false">IF(Scoring!N6="","",Scoring!N6)</f>
        <v>4.28571428571429</v>
      </c>
      <c r="E5" s="96" t="n">
        <f aca="false">IF(Scoring!AF6="","",Scoring!AF6)</f>
        <v>89.2</v>
      </c>
      <c r="F5" s="64" t="str">
        <f aca="false">IF(Scoring!AG6&lt;&gt;"",Scoring!AG6,IF(Scoring!AH6="OK","PENDING",""))</f>
        <v>STRONG BUY</v>
      </c>
      <c r="G5" s="64" t="str">
        <f aca="false">IF(Scoring!AH6="","",Scoring!AH6)</f>
        <v>OK</v>
      </c>
      <c r="H5" s="64" t="str">
        <f aca="false">IF(Scoring!AI6="","",Scoring!AI6)</f>
        <v>OK</v>
      </c>
      <c r="I5" s="64" t="str">
        <f aca="false">IF(Scoring!AJ6="","",Scoring!AJ6)</f>
        <v>OK</v>
      </c>
      <c r="J5" s="64" t="str">
        <f aca="false">IF(Scoring!AK6="","",Scoring!AK6)</f>
        <v>OK</v>
      </c>
    </row>
    <row r="6" customFormat="false" ht="15" hidden="false" customHeight="true" outlineLevel="0" collapsed="false">
      <c r="A6" s="92" t="str">
        <f aca="false">IF(Scoring!A7="","",Scoring!A7)</f>
        <v>VRTX</v>
      </c>
      <c r="B6" s="93" t="str">
        <f aca="false">IF(Scoring!B7="","",Scoring!B7)</f>
        <v>Vertex Pharmaceuticals</v>
      </c>
      <c r="C6" s="94" t="n">
        <f aca="false">IF(Scoring!C7="","",Scoring!C7)</f>
        <v>46295</v>
      </c>
      <c r="D6" s="95" t="n">
        <f aca="false">IF(Scoring!N7="","",Scoring!N7)</f>
        <v>3.14285714285714</v>
      </c>
      <c r="E6" s="96" t="n">
        <f aca="false">IF(Scoring!AF7="","",Scoring!AF7)</f>
        <v>66.6</v>
      </c>
      <c r="F6" s="64" t="str">
        <f aca="false">IF(Scoring!AG7&lt;&gt;"",Scoring!AG7,IF(Scoring!AH7="OK","PENDING",""))</f>
        <v>BUY</v>
      </c>
      <c r="G6" s="64" t="str">
        <f aca="false">IF(Scoring!AH7="","",Scoring!AH7)</f>
        <v>OK</v>
      </c>
      <c r="H6" s="64" t="str">
        <f aca="false">IF(Scoring!AI7="","",Scoring!AI7)</f>
        <v>OK</v>
      </c>
      <c r="I6" s="64" t="str">
        <f aca="false">IF(Scoring!AJ7="","",Scoring!AJ7)</f>
        <v>AVOID</v>
      </c>
      <c r="J6" s="64" t="str">
        <f aca="false">IF(Scoring!AK7="","",Scoring!AK7)</f>
        <v>OK</v>
      </c>
    </row>
    <row r="7" customFormat="false" ht="15" hidden="false" customHeight="true" outlineLevel="0" collapsed="false">
      <c r="A7" s="92" t="str">
        <f aca="false">IF(Scoring!A8="","",Scoring!A8)</f>
        <v>PLD</v>
      </c>
      <c r="B7" s="93" t="str">
        <f aca="false">IF(Scoring!B8="","",Scoring!B8)</f>
        <v>Prologis Inc. (REIT-adapted)</v>
      </c>
      <c r="C7" s="94" t="n">
        <f aca="false">IF(Scoring!C8="","",Scoring!C8)</f>
        <v>46295</v>
      </c>
      <c r="D7" s="95" t="n">
        <f aca="false">IF(Scoring!N8="","",Scoring!N8)</f>
        <v>3.92857142857143</v>
      </c>
      <c r="E7" s="96" t="n">
        <f aca="false">IF(Scoring!AF8="","",Scoring!AF8)</f>
        <v>76</v>
      </c>
      <c r="F7" s="64" t="str">
        <f aca="false">IF(Scoring!AG8&lt;&gt;"",Scoring!AG8,IF(Scoring!AH8="OK","PENDING",""))</f>
        <v>BUY</v>
      </c>
      <c r="G7" s="64" t="str">
        <f aca="false">IF(Scoring!AH8="","",Scoring!AH8)</f>
        <v>OK</v>
      </c>
      <c r="H7" s="64" t="str">
        <f aca="false">IF(Scoring!AI8="","",Scoring!AI8)</f>
        <v>OK</v>
      </c>
      <c r="I7" s="64" t="str">
        <f aca="false">IF(Scoring!AJ8="","",Scoring!AJ8)</f>
        <v>OK</v>
      </c>
      <c r="J7" s="64" t="str">
        <f aca="false">IF(Scoring!AK8="","",Scoring!AK8)</f>
        <v>OK</v>
      </c>
    </row>
    <row r="8" customFormat="false" ht="15" hidden="true" customHeight="true" outlineLevel="1" collapsed="false">
      <c r="A8" s="92" t="str">
        <f aca="false">IF(Scoring!A9="","",Scoring!A9)</f>
        <v>SFM</v>
      </c>
      <c r="B8" s="93" t="str">
        <f aca="false">IF(Scoring!B9="","",Scoring!B9)</f>
        <v>Sprouts Farmers Market</v>
      </c>
      <c r="C8" s="94" t="n">
        <f aca="false">IF(Scoring!C9="","",Scoring!C9)</f>
        <v>46240</v>
      </c>
      <c r="D8" s="95" t="n">
        <f aca="false">IF(Scoring!N9="","",Scoring!N9)</f>
        <v>1.85714285714286</v>
      </c>
      <c r="E8" s="96" t="str">
        <f aca="false">IF(Scoring!AF9="","",Scoring!AF9)</f>
        <v/>
      </c>
      <c r="F8" s="64" t="str">
        <f aca="false">IF(Scoring!AG9&lt;&gt;"",Scoring!AG9,IF(Scoring!AH9="OK","PENDING",""))</f>
        <v/>
      </c>
      <c r="G8" s="64" t="str">
        <f aca="false">IF(Scoring!AH9="","",Scoring!AH9)</f>
        <v>FAIL</v>
      </c>
      <c r="H8" s="64" t="str">
        <f aca="false">IF(Scoring!AI9="","",Scoring!AI9)</f>
        <v>REVIEW</v>
      </c>
      <c r="I8" s="64" t="str">
        <f aca="false">IF(Scoring!AJ9="","",Scoring!AJ9)</f>
        <v>AVOID</v>
      </c>
      <c r="J8" s="64" t="str">
        <f aca="false">IF(Scoring!AK9="","",Scoring!AK9)</f>
        <v>OK</v>
      </c>
    </row>
    <row r="9" customFormat="false" ht="15" hidden="true" customHeight="true" outlineLevel="1" collapsed="false">
      <c r="A9" s="92" t="str">
        <f aca="false">IF(Scoring!A10="","",Scoring!A10)</f>
        <v>ONON</v>
      </c>
      <c r="B9" s="93" t="str">
        <f aca="false">IF(Scoring!B10="","",Scoring!B10)</f>
        <v>On Holding AG</v>
      </c>
      <c r="C9" s="94" t="n">
        <f aca="false">IF(Scoring!C10="","",Scoring!C10)</f>
        <v>46240</v>
      </c>
      <c r="D9" s="95" t="n">
        <f aca="false">IF(Scoring!N10="","",Scoring!N10)</f>
        <v>2.64285714285714</v>
      </c>
      <c r="E9" s="96" t="str">
        <f aca="false">IF(Scoring!AF10="","",Scoring!AF10)</f>
        <v/>
      </c>
      <c r="F9" s="64" t="str">
        <f aca="false">IF(Scoring!AG10&lt;&gt;"",Scoring!AG10,IF(Scoring!AH10="OK","PENDING",""))</f>
        <v/>
      </c>
      <c r="G9" s="64" t="str">
        <f aca="false">IF(Scoring!AH10="","",Scoring!AH10)</f>
        <v>FAIL</v>
      </c>
      <c r="H9" s="64" t="str">
        <f aca="false">IF(Scoring!AI10="","",Scoring!AI10)</f>
        <v>OK</v>
      </c>
      <c r="I9" s="64" t="str">
        <f aca="false">IF(Scoring!AJ10="","",Scoring!AJ10)</f>
        <v>AVOID</v>
      </c>
      <c r="J9" s="64" t="str">
        <f aca="false">IF(Scoring!AK10="","",Scoring!AK10)</f>
        <v>OK</v>
      </c>
    </row>
    <row r="10" customFormat="false" ht="15" hidden="true" customHeight="true" outlineLevel="1" collapsed="false">
      <c r="A10" s="92" t="str">
        <f aca="false">IF(Scoring!A11="","",Scoring!A11)</f>
        <v>TSLA</v>
      </c>
      <c r="B10" s="93" t="str">
        <f aca="false">IF(Scoring!B11="","",Scoring!B11)</f>
        <v>Tesla Inc.</v>
      </c>
      <c r="C10" s="94" t="n">
        <f aca="false">IF(Scoring!C11="","",Scoring!C11)</f>
        <v>46240</v>
      </c>
      <c r="D10" s="95" t="n">
        <f aca="false">IF(Scoring!N11="","",Scoring!N11)</f>
        <v>1.92857142857143</v>
      </c>
      <c r="E10" s="96" t="str">
        <f aca="false">IF(Scoring!AF11="","",Scoring!AF11)</f>
        <v/>
      </c>
      <c r="F10" s="64" t="str">
        <f aca="false">IF(Scoring!AG11&lt;&gt;"",Scoring!AG11,IF(Scoring!AH11="OK","PENDING",""))</f>
        <v/>
      </c>
      <c r="G10" s="64" t="str">
        <f aca="false">IF(Scoring!AH11="","",Scoring!AH11)</f>
        <v>FAIL</v>
      </c>
      <c r="H10" s="64" t="str">
        <f aca="false">IF(Scoring!AI11="","",Scoring!AI11)</f>
        <v>REVIEW</v>
      </c>
      <c r="I10" s="64" t="str">
        <f aca="false">IF(Scoring!AJ11="","",Scoring!AJ11)</f>
        <v>AVOID</v>
      </c>
      <c r="J10" s="64" t="str">
        <f aca="false">IF(Scoring!AK11="","",Scoring!AK11)</f>
        <v>OK</v>
      </c>
    </row>
    <row r="11" customFormat="false" ht="15" hidden="false" customHeight="true" outlineLevel="0" collapsed="false">
      <c r="A11" s="92" t="str">
        <f aca="false">IF(Scoring!A12="","",Scoring!A12)</f>
        <v>ADBE</v>
      </c>
      <c r="B11" s="93" t="str">
        <f aca="false">IF(Scoring!B12="","",Scoring!B12)</f>
        <v>Adobe Inc.</v>
      </c>
      <c r="C11" s="94" t="n">
        <f aca="false">IF(Scoring!C12="","",Scoring!C12)</f>
        <v>46295</v>
      </c>
      <c r="D11" s="95" t="n">
        <f aca="false">IF(Scoring!N12="","",Scoring!N12)</f>
        <v>4.57142857142857</v>
      </c>
      <c r="E11" s="96" t="n">
        <f aca="false">IF(Scoring!AF12="","",Scoring!AF12)</f>
        <v>85.8</v>
      </c>
      <c r="F11" s="64" t="str">
        <f aca="false">IF(Scoring!AG12&lt;&gt;"",Scoring!AG12,IF(Scoring!AH12="OK","PENDING",""))</f>
        <v>STRONG BUY</v>
      </c>
      <c r="G11" s="64" t="str">
        <f aca="false">IF(Scoring!AH12="","",Scoring!AH12)</f>
        <v>OK</v>
      </c>
      <c r="H11" s="64" t="str">
        <f aca="false">IF(Scoring!AI12="","",Scoring!AI12)</f>
        <v>OK</v>
      </c>
      <c r="I11" s="64" t="str">
        <f aca="false">IF(Scoring!AJ12="","",Scoring!AJ12)</f>
        <v>OK</v>
      </c>
      <c r="J11" s="64" t="str">
        <f aca="false">IF(Scoring!AK12="","",Scoring!AK12)</f>
        <v>OK</v>
      </c>
    </row>
    <row r="12" customFormat="false" ht="15" hidden="false" customHeight="true" outlineLevel="0" collapsed="false">
      <c r="A12" s="92" t="str">
        <f aca="false">IF(Scoring!A13="","",Scoring!A13)</f>
        <v>ANET</v>
      </c>
      <c r="B12" s="93" t="str">
        <f aca="false">IF(Scoring!B13="","",Scoring!B13)</f>
        <v>Arista Networks</v>
      </c>
      <c r="C12" s="94" t="n">
        <f aca="false">IF(Scoring!C13="","",Scoring!C13)</f>
        <v>46295</v>
      </c>
      <c r="D12" s="95" t="n">
        <f aca="false">IF(Scoring!N13="","",Scoring!N13)</f>
        <v>4.28571428571429</v>
      </c>
      <c r="E12" s="96" t="n">
        <f aca="false">IF(Scoring!AF13="","",Scoring!AF13)</f>
        <v>81</v>
      </c>
      <c r="F12" s="64" t="str">
        <f aca="false">IF(Scoring!AG13&lt;&gt;"",Scoring!AG13,IF(Scoring!AH13="OK","PENDING",""))</f>
        <v>STRONG BUY</v>
      </c>
      <c r="G12" s="64" t="str">
        <f aca="false">IF(Scoring!AH13="","",Scoring!AH13)</f>
        <v>OK</v>
      </c>
      <c r="H12" s="64" t="str">
        <f aca="false">IF(Scoring!AI13="","",Scoring!AI13)</f>
        <v>OK</v>
      </c>
      <c r="I12" s="64" t="str">
        <f aca="false">IF(Scoring!AJ13="","",Scoring!AJ13)</f>
        <v>OK</v>
      </c>
      <c r="J12" s="64" t="str">
        <f aca="false">IF(Scoring!AK13="","",Scoring!AK13)</f>
        <v>OK</v>
      </c>
    </row>
    <row r="13" customFormat="false" ht="15" hidden="false" customHeight="true" outlineLevel="0" collapsed="false">
      <c r="A13" s="92" t="str">
        <f aca="false">IF(Scoring!A14="","",Scoring!A14)</f>
        <v>ASML</v>
      </c>
      <c r="B13" s="93" t="str">
        <f aca="false">IF(Scoring!B14="","",Scoring!B14)</f>
        <v>ASML Holding</v>
      </c>
      <c r="C13" s="94" t="n">
        <f aca="false">IF(Scoring!C14="","",Scoring!C14)</f>
        <v>46295</v>
      </c>
      <c r="D13" s="95" t="n">
        <f aca="false">IF(Scoring!N14="","",Scoring!N14)</f>
        <v>3.85714285714286</v>
      </c>
      <c r="E13" s="96" t="n">
        <f aca="false">IF(Scoring!AF14="","",Scoring!AF14)</f>
        <v>77.2</v>
      </c>
      <c r="F13" s="64" t="str">
        <f aca="false">IF(Scoring!AG14&lt;&gt;"",Scoring!AG14,IF(Scoring!AH14="OK","PENDING",""))</f>
        <v>BUY</v>
      </c>
      <c r="G13" s="64" t="str">
        <f aca="false">IF(Scoring!AH14="","",Scoring!AH14)</f>
        <v>OK</v>
      </c>
      <c r="H13" s="64" t="str">
        <f aca="false">IF(Scoring!AI14="","",Scoring!AI14)</f>
        <v>OK</v>
      </c>
      <c r="I13" s="64" t="str">
        <f aca="false">IF(Scoring!AJ14="","",Scoring!AJ14)</f>
        <v>OK</v>
      </c>
      <c r="J13" s="64" t="str">
        <f aca="false">IF(Scoring!AK14="","",Scoring!AK14)</f>
        <v>OK</v>
      </c>
    </row>
    <row r="14" customFormat="false" ht="15" hidden="false" customHeight="true" outlineLevel="0" collapsed="false">
      <c r="A14" s="92" t="str">
        <f aca="false">IF(Scoring!A15="","",Scoring!A15)</f>
        <v>CRWD</v>
      </c>
      <c r="B14" s="93" t="str">
        <f aca="false">IF(Scoring!B15="","",Scoring!B15)</f>
        <v>CrowdStrike Holdings</v>
      </c>
      <c r="C14" s="94" t="n">
        <f aca="false">IF(Scoring!C15="","",Scoring!C15)</f>
        <v>46295</v>
      </c>
      <c r="D14" s="95" t="n">
        <f aca="false">IF(Scoring!N15="","",Scoring!N15)</f>
        <v>3.5</v>
      </c>
      <c r="E14" s="96" t="n">
        <f aca="false">IF(Scoring!AF15="","",Scoring!AF15)</f>
        <v>63.4</v>
      </c>
      <c r="F14" s="64" t="str">
        <f aca="false">IF(Scoring!AG15&lt;&gt;"",Scoring!AG15,IF(Scoring!AH15="OK","PENDING",""))</f>
        <v>WATCH LIST</v>
      </c>
      <c r="G14" s="64" t="str">
        <f aca="false">IF(Scoring!AH15="","",Scoring!AH15)</f>
        <v>OK</v>
      </c>
      <c r="H14" s="64" t="str">
        <f aca="false">IF(Scoring!AI15="","",Scoring!AI15)</f>
        <v>OK</v>
      </c>
      <c r="I14" s="64" t="str">
        <f aca="false">IF(Scoring!AJ15="","",Scoring!AJ15)</f>
        <v>AVOID</v>
      </c>
      <c r="J14" s="64" t="str">
        <f aca="false">IF(Scoring!AK15="","",Scoring!AK15)</f>
        <v>OK</v>
      </c>
    </row>
    <row r="15" customFormat="false" ht="15" hidden="false" customHeight="true" outlineLevel="0" collapsed="false">
      <c r="A15" s="92" t="str">
        <f aca="false">IF(Scoring!A16="","",Scoring!A16)</f>
        <v>KLAC</v>
      </c>
      <c r="B15" s="93" t="str">
        <f aca="false">IF(Scoring!B16="","",Scoring!B16)</f>
        <v>KLA Corporation</v>
      </c>
      <c r="C15" s="94" t="n">
        <f aca="false">IF(Scoring!C16="","",Scoring!C16)</f>
        <v>46295</v>
      </c>
      <c r="D15" s="95" t="n">
        <f aca="false">IF(Scoring!N16="","",Scoring!N16)</f>
        <v>3.71428571428572</v>
      </c>
      <c r="E15" s="96" t="n">
        <f aca="false">IF(Scoring!AF16="","",Scoring!AF16)</f>
        <v>72.6</v>
      </c>
      <c r="F15" s="64" t="str">
        <f aca="false">IF(Scoring!AG16&lt;&gt;"",Scoring!AG16,IF(Scoring!AH16="OK","PENDING",""))</f>
        <v>BUY</v>
      </c>
      <c r="G15" s="64" t="str">
        <f aca="false">IF(Scoring!AH16="","",Scoring!AH16)</f>
        <v>OK</v>
      </c>
      <c r="H15" s="64" t="str">
        <f aca="false">IF(Scoring!AI16="","",Scoring!AI16)</f>
        <v>OK</v>
      </c>
      <c r="I15" s="64" t="str">
        <f aca="false">IF(Scoring!AJ16="","",Scoring!AJ16)</f>
        <v>OK</v>
      </c>
      <c r="J15" s="64" t="str">
        <f aca="false">IF(Scoring!AK16="","",Scoring!AK16)</f>
        <v>OK</v>
      </c>
    </row>
    <row r="16" customFormat="false" ht="15" hidden="false" customHeight="true" outlineLevel="0" collapsed="false">
      <c r="A16" s="92" t="str">
        <f aca="false">IF(Scoring!A17="","",Scoring!A17)</f>
        <v>TSM</v>
      </c>
      <c r="B16" s="93" t="str">
        <f aca="false">IF(Scoring!B17="","",Scoring!B17)</f>
        <v>Taiwan Semiconductor Mfg.</v>
      </c>
      <c r="C16" s="94" t="n">
        <f aca="false">IF(Scoring!C17="","",Scoring!C17)</f>
        <v>46295</v>
      </c>
      <c r="D16" s="95" t="n">
        <f aca="false">IF(Scoring!N17="","",Scoring!N17)</f>
        <v>4.21428571428571</v>
      </c>
      <c r="E16" s="96" t="n">
        <f aca="false">IF(Scoring!AF17="","",Scoring!AF17)</f>
        <v>84</v>
      </c>
      <c r="F16" s="64" t="str">
        <f aca="false">IF(Scoring!AG17&lt;&gt;"",Scoring!AG17,IF(Scoring!AH17="OK","PENDING",""))</f>
        <v>STRONG BUY</v>
      </c>
      <c r="G16" s="64" t="str">
        <f aca="false">IF(Scoring!AH17="","",Scoring!AH17)</f>
        <v>OK</v>
      </c>
      <c r="H16" s="64" t="str">
        <f aca="false">IF(Scoring!AI17="","",Scoring!AI17)</f>
        <v>OK</v>
      </c>
      <c r="I16" s="64" t="str">
        <f aca="false">IF(Scoring!AJ17="","",Scoring!AJ17)</f>
        <v>OK</v>
      </c>
      <c r="J16" s="64" t="str">
        <f aca="false">IF(Scoring!AK17="","",Scoring!AK17)</f>
        <v>OK</v>
      </c>
    </row>
    <row r="17" customFormat="false" ht="15" hidden="false" customHeight="true" outlineLevel="0" collapsed="false">
      <c r="A17" s="92" t="str">
        <f aca="false">IF(Scoring!A18="","",Scoring!A18)</f>
        <v>VRT</v>
      </c>
      <c r="B17" s="93" t="str">
        <f aca="false">IF(Scoring!B18="","",Scoring!B18)</f>
        <v>Vertiv Holdings</v>
      </c>
      <c r="C17" s="94" t="n">
        <f aca="false">IF(Scoring!C18="","",Scoring!C18)</f>
        <v>46295</v>
      </c>
      <c r="D17" s="95" t="n">
        <f aca="false">IF(Scoring!N18="","",Scoring!N18)</f>
        <v>3.92857142857143</v>
      </c>
      <c r="E17" s="96" t="n">
        <f aca="false">IF(Scoring!AF18="","",Scoring!AF18)</f>
        <v>76.8</v>
      </c>
      <c r="F17" s="64" t="str">
        <f aca="false">IF(Scoring!AG18&lt;&gt;"",Scoring!AG18,IF(Scoring!AH18="OK","PENDING",""))</f>
        <v>BUY</v>
      </c>
      <c r="G17" s="64" t="str">
        <f aca="false">IF(Scoring!AH18="","",Scoring!AH18)</f>
        <v>OK</v>
      </c>
      <c r="H17" s="64" t="str">
        <f aca="false">IF(Scoring!AI18="","",Scoring!AI18)</f>
        <v>OK</v>
      </c>
      <c r="I17" s="64" t="str">
        <f aca="false">IF(Scoring!AJ18="","",Scoring!AJ18)</f>
        <v>OK</v>
      </c>
      <c r="J17" s="64" t="str">
        <f aca="false">IF(Scoring!AK18="","",Scoring!AK18)</f>
        <v>OK</v>
      </c>
    </row>
    <row r="18" customFormat="false" ht="15" hidden="false" customHeight="true" outlineLevel="0" collapsed="false">
      <c r="A18" s="92" t="str">
        <f aca="false">IF(Scoring!A19="","",Scoring!A19)</f>
        <v>COST</v>
      </c>
      <c r="B18" s="93" t="str">
        <f aca="false">IF(Scoring!B19="","",Scoring!B19)</f>
        <v>Costco Wholesale Corp.</v>
      </c>
      <c r="C18" s="94" t="n">
        <f aca="false">IF(Scoring!C19="","",Scoring!C19)</f>
        <v>46245</v>
      </c>
      <c r="D18" s="95" t="n">
        <f aca="false">IF(Scoring!N19="","",Scoring!N19)</f>
        <v>4.14285714285714</v>
      </c>
      <c r="E18" s="96" t="n">
        <f aca="false">IF(Scoring!AF19="","",Scoring!AF19)</f>
        <v>77.4</v>
      </c>
      <c r="F18" s="64" t="str">
        <f aca="false">IF(Scoring!AG19&lt;&gt;"",Scoring!AG19,IF(Scoring!AH19="OK","PENDING",""))</f>
        <v>BUY</v>
      </c>
      <c r="G18" s="64" t="str">
        <f aca="false">IF(Scoring!AH19="","",Scoring!AH19)</f>
        <v>OK</v>
      </c>
      <c r="H18" s="64" t="str">
        <f aca="false">IF(Scoring!AI19="","",Scoring!AI19)</f>
        <v>OK</v>
      </c>
      <c r="I18" s="64" t="str">
        <f aca="false">IF(Scoring!AJ19="","",Scoring!AJ19)</f>
        <v>OK</v>
      </c>
      <c r="J18" s="64" t="str">
        <f aca="false">IF(Scoring!AK19="","",Scoring!AK19)</f>
        <v>OK</v>
      </c>
    </row>
    <row r="19" customFormat="false" ht="15" hidden="false" customHeight="true" outlineLevel="0" collapsed="false">
      <c r="A19" s="92" t="str">
        <f aca="false">IF(Scoring!A20="","",Scoring!A20)</f>
        <v>V</v>
      </c>
      <c r="B19" s="93" t="str">
        <f aca="false">IF(Scoring!B20="","",Scoring!B20)</f>
        <v>Visa Inc.</v>
      </c>
      <c r="C19" s="94" t="n">
        <f aca="false">IF(Scoring!C20="","",Scoring!C20)</f>
        <v>46295</v>
      </c>
      <c r="D19" s="95" t="n">
        <f aca="false">IF(Scoring!N20="","",Scoring!N20)</f>
        <v>3.64285714285714</v>
      </c>
      <c r="E19" s="96" t="n">
        <f aca="false">IF(Scoring!AF20="","",Scoring!AF20)</f>
        <v>73.4</v>
      </c>
      <c r="F19" s="64" t="str">
        <f aca="false">IF(Scoring!AG20&lt;&gt;"",Scoring!AG20,IF(Scoring!AH20="OK","PENDING",""))</f>
        <v>BUY</v>
      </c>
      <c r="G19" s="64" t="str">
        <f aca="false">IF(Scoring!AH20="","",Scoring!AH20)</f>
        <v>OK</v>
      </c>
      <c r="H19" s="64" t="str">
        <f aca="false">IF(Scoring!AI20="","",Scoring!AI20)</f>
        <v>OK</v>
      </c>
      <c r="I19" s="64" t="str">
        <f aca="false">IF(Scoring!AJ20="","",Scoring!AJ20)</f>
        <v>OK</v>
      </c>
      <c r="J19" s="64" t="str">
        <f aca="false">IF(Scoring!AK20="","",Scoring!AK20)</f>
        <v>OK</v>
      </c>
    </row>
    <row r="20" customFormat="false" ht="15" hidden="true" customHeight="true" outlineLevel="1" collapsed="false">
      <c r="A20" s="92" t="str">
        <f aca="false">IF(Scoring!A21="","",Scoring!A21)</f>
        <v>NEE</v>
      </c>
      <c r="B20" s="93" t="str">
        <f aca="false">IF(Scoring!B21="","",Scoring!B21)</f>
        <v>NextEra Energy Inc.</v>
      </c>
      <c r="C20" s="94" t="n">
        <f aca="false">IF(Scoring!C21="","",Scoring!C21)</f>
        <v>46245</v>
      </c>
      <c r="D20" s="95" t="n">
        <f aca="false">IF(Scoring!N21="","",Scoring!N21)</f>
        <v>2.5</v>
      </c>
      <c r="E20" s="96" t="str">
        <f aca="false">IF(Scoring!AF21="","",Scoring!AF21)</f>
        <v/>
      </c>
      <c r="F20" s="64" t="str">
        <f aca="false">IF(Scoring!AG21&lt;&gt;"",Scoring!AG21,IF(Scoring!AH21="OK","PENDING",""))</f>
        <v/>
      </c>
      <c r="G20" s="64" t="str">
        <f aca="false">IF(Scoring!AH21="","",Scoring!AH21)</f>
        <v>FAIL</v>
      </c>
      <c r="H20" s="64" t="str">
        <f aca="false">IF(Scoring!AI21="","",Scoring!AI21)</f>
        <v>REVIEW</v>
      </c>
      <c r="I20" s="64" t="str">
        <f aca="false">IF(Scoring!AJ21="","",Scoring!AJ21)</f>
        <v>AVOID</v>
      </c>
      <c r="J20" s="64" t="str">
        <f aca="false">IF(Scoring!AK21="","",Scoring!AK21)</f>
        <v>OK</v>
      </c>
    </row>
    <row r="21" customFormat="false" ht="15" hidden="true" customHeight="true" outlineLevel="1" collapsed="false">
      <c r="A21" s="92" t="str">
        <f aca="false">IF(Scoring!A22="","",Scoring!A22)</f>
        <v>CRK</v>
      </c>
      <c r="B21" s="93" t="str">
        <f aca="false">IF(Scoring!B22="","",Scoring!B22)</f>
        <v>Comstock Resources Inc.</v>
      </c>
      <c r="C21" s="94" t="n">
        <f aca="false">IF(Scoring!C22="","",Scoring!C22)</f>
        <v>46245</v>
      </c>
      <c r="D21" s="95" t="n">
        <f aca="false">IF(Scoring!N22="","",Scoring!N22)</f>
        <v>1.21428571428571</v>
      </c>
      <c r="E21" s="96" t="str">
        <f aca="false">IF(Scoring!AF22="","",Scoring!AF22)</f>
        <v/>
      </c>
      <c r="F21" s="64" t="str">
        <f aca="false">IF(Scoring!AG22&lt;&gt;"",Scoring!AG22,IF(Scoring!AH22="OK","PENDING",""))</f>
        <v/>
      </c>
      <c r="G21" s="64" t="str">
        <f aca="false">IF(Scoring!AH22="","",Scoring!AH22)</f>
        <v>FAIL</v>
      </c>
      <c r="H21" s="64" t="str">
        <f aca="false">IF(Scoring!AI22="","",Scoring!AI22)</f>
        <v>REVIEW</v>
      </c>
      <c r="I21" s="64" t="str">
        <f aca="false">IF(Scoring!AJ22="","",Scoring!AJ22)</f>
        <v>AVOID</v>
      </c>
      <c r="J21" s="64" t="str">
        <f aca="false">IF(Scoring!AK22="","",Scoring!AK22)</f>
        <v>OK</v>
      </c>
    </row>
    <row r="22" customFormat="false" ht="15" hidden="false" customHeight="true" outlineLevel="0" collapsed="false">
      <c r="A22" s="92" t="str">
        <f aca="false">IF(Scoring!A23="","",Scoring!A23)</f>
        <v>ET</v>
      </c>
      <c r="B22" s="93" t="str">
        <f aca="false">IF(Scoring!B23="","",Scoring!B23)</f>
        <v>Energy Transfer LP</v>
      </c>
      <c r="C22" s="94" t="n">
        <f aca="false">IF(Scoring!C23="","",Scoring!C23)</f>
        <v>46276</v>
      </c>
      <c r="D22" s="95" t="n">
        <f aca="false">IF(Scoring!N23="","",Scoring!N23)</f>
        <v>3.07142857142857</v>
      </c>
      <c r="E22" s="96" t="str">
        <f aca="false">IF(Scoring!AF23="","",Scoring!AF23)</f>
        <v/>
      </c>
      <c r="F22" s="64" t="str">
        <f aca="false">IF(Scoring!AG23&lt;&gt;"",Scoring!AG23,IF(Scoring!AH23="OK","PENDING",""))</f>
        <v>PENDING</v>
      </c>
      <c r="G22" s="64" t="str">
        <f aca="false">IF(Scoring!AH23="","",Scoring!AH23)</f>
        <v>OK</v>
      </c>
      <c r="H22" s="64" t="str">
        <f aca="false">IF(Scoring!AI23="","",Scoring!AI23)</f>
        <v>REVIEW</v>
      </c>
      <c r="I22" s="64" t="str">
        <f aca="false">IF(Scoring!AJ23="","",Scoring!AJ23)</f>
        <v>AVOID</v>
      </c>
      <c r="J22" s="64" t="str">
        <f aca="false">IF(Scoring!AK23="","",Scoring!AK23)</f>
        <v>OK</v>
      </c>
    </row>
    <row r="23" customFormat="false" ht="15" hidden="true" customHeight="true" outlineLevel="1" collapsed="false">
      <c r="A23" s="92" t="str">
        <f aca="false">IF(Scoring!A24="","",Scoring!A24)</f>
        <v>LBRT</v>
      </c>
      <c r="B23" s="93" t="str">
        <f aca="false">IF(Scoring!B24="","",Scoring!B24)</f>
        <v>Liberty Energy Inc.</v>
      </c>
      <c r="C23" s="94" t="n">
        <f aca="false">IF(Scoring!C24="","",Scoring!C24)</f>
        <v>46245</v>
      </c>
      <c r="D23" s="95" t="n">
        <f aca="false">IF(Scoring!N24="","",Scoring!N24)</f>
        <v>2.07142857142857</v>
      </c>
      <c r="E23" s="96" t="str">
        <f aca="false">IF(Scoring!AF24="","",Scoring!AF24)</f>
        <v/>
      </c>
      <c r="F23" s="64" t="str">
        <f aca="false">IF(Scoring!AG24&lt;&gt;"",Scoring!AG24,IF(Scoring!AH24="OK","PENDING",""))</f>
        <v/>
      </c>
      <c r="G23" s="64" t="str">
        <f aca="false">IF(Scoring!AH24="","",Scoring!AH24)</f>
        <v>FAIL</v>
      </c>
      <c r="H23" s="64" t="str">
        <f aca="false">IF(Scoring!AI24="","",Scoring!AI24)</f>
        <v>REVIEW</v>
      </c>
      <c r="I23" s="64" t="str">
        <f aca="false">IF(Scoring!AJ24="","",Scoring!AJ24)</f>
        <v>AVOID</v>
      </c>
      <c r="J23" s="64" t="str">
        <f aca="false">IF(Scoring!AK24="","",Scoring!AK24)</f>
        <v>OK</v>
      </c>
    </row>
    <row r="24" customFormat="false" ht="15" hidden="true" customHeight="true" outlineLevel="1" collapsed="false">
      <c r="A24" s="92" t="str">
        <f aca="false">IF(Scoring!A25="","",Scoring!A25)</f>
        <v>NOV</v>
      </c>
      <c r="B24" s="93" t="str">
        <f aca="false">IF(Scoring!B25="","",Scoring!B25)</f>
        <v>NOV Inc.</v>
      </c>
      <c r="C24" s="94" t="n">
        <f aca="false">IF(Scoring!C25="","",Scoring!C25)</f>
        <v>46245</v>
      </c>
      <c r="D24" s="95" t="n">
        <f aca="false">IF(Scoring!N25="","",Scoring!N25)</f>
        <v>2.64285714285714</v>
      </c>
      <c r="E24" s="96" t="str">
        <f aca="false">IF(Scoring!AF25="","",Scoring!AF25)</f>
        <v/>
      </c>
      <c r="F24" s="64" t="str">
        <f aca="false">IF(Scoring!AG25&lt;&gt;"",Scoring!AG25,IF(Scoring!AH25="OK","PENDING",""))</f>
        <v/>
      </c>
      <c r="G24" s="64" t="str">
        <f aca="false">IF(Scoring!AH25="","",Scoring!AH25)</f>
        <v>FAIL</v>
      </c>
      <c r="H24" s="64" t="str">
        <f aca="false">IF(Scoring!AI25="","",Scoring!AI25)</f>
        <v>OK</v>
      </c>
      <c r="I24" s="64" t="str">
        <f aca="false">IF(Scoring!AJ25="","",Scoring!AJ25)</f>
        <v>AVOID</v>
      </c>
      <c r="J24" s="64" t="str">
        <f aca="false">IF(Scoring!AK25="","",Scoring!AK25)</f>
        <v>OK</v>
      </c>
    </row>
    <row r="25" customFormat="false" ht="15" hidden="true" customHeight="true" outlineLevel="1" collapsed="false">
      <c r="A25" s="92" t="str">
        <f aca="false">IF(Scoring!A26="","",Scoring!A26)</f>
        <v>CE</v>
      </c>
      <c r="B25" s="93" t="str">
        <f aca="false">IF(Scoring!B26="","",Scoring!B26)</f>
        <v>Celanese Corp.</v>
      </c>
      <c r="C25" s="94" t="n">
        <f aca="false">IF(Scoring!C26="","",Scoring!C26)</f>
        <v>46245</v>
      </c>
      <c r="D25" s="95" t="n">
        <f aca="false">IF(Scoring!N26="","",Scoring!N26)</f>
        <v>1.78571428571429</v>
      </c>
      <c r="E25" s="96" t="str">
        <f aca="false">IF(Scoring!AF26="","",Scoring!AF26)</f>
        <v/>
      </c>
      <c r="F25" s="64" t="str">
        <f aca="false">IF(Scoring!AG26&lt;&gt;"",Scoring!AG26,IF(Scoring!AH26="OK","PENDING",""))</f>
        <v/>
      </c>
      <c r="G25" s="64" t="str">
        <f aca="false">IF(Scoring!AH26="","",Scoring!AH26)</f>
        <v>FAIL</v>
      </c>
      <c r="H25" s="64" t="str">
        <f aca="false">IF(Scoring!AI26="","",Scoring!AI26)</f>
        <v>REVIEW</v>
      </c>
      <c r="I25" s="64" t="str">
        <f aca="false">IF(Scoring!AJ26="","",Scoring!AJ26)</f>
        <v>AVOID</v>
      </c>
      <c r="J25" s="64" t="str">
        <f aca="false">IF(Scoring!AK26="","",Scoring!AK26)</f>
        <v>OK</v>
      </c>
    </row>
    <row r="26" customFormat="false" ht="15" hidden="true" customHeight="true" outlineLevel="1" collapsed="false">
      <c r="A26" s="92" t="str">
        <f aca="false">IF(Scoring!A27="","",Scoring!A27)</f>
        <v>CLF</v>
      </c>
      <c r="B26" s="93" t="str">
        <f aca="false">IF(Scoring!B27="","",Scoring!B27)</f>
        <v>Cleveland-Cliffs Inc.</v>
      </c>
      <c r="C26" s="94" t="n">
        <f aca="false">IF(Scoring!C27="","",Scoring!C27)</f>
        <v>46245</v>
      </c>
      <c r="D26" s="95" t="n">
        <f aca="false">IF(Scoring!N27="","",Scoring!N27)</f>
        <v>1.85714285714286</v>
      </c>
      <c r="E26" s="96" t="str">
        <f aca="false">IF(Scoring!AF27="","",Scoring!AF27)</f>
        <v/>
      </c>
      <c r="F26" s="64" t="str">
        <f aca="false">IF(Scoring!AG27&lt;&gt;"",Scoring!AG27,IF(Scoring!AH27="OK","PENDING",""))</f>
        <v/>
      </c>
      <c r="G26" s="64" t="str">
        <f aca="false">IF(Scoring!AH27="","",Scoring!AH27)</f>
        <v>FAIL</v>
      </c>
      <c r="H26" s="64" t="str">
        <f aca="false">IF(Scoring!AI27="","",Scoring!AI27)</f>
        <v>REVIEW</v>
      </c>
      <c r="I26" s="64" t="str">
        <f aca="false">IF(Scoring!AJ27="","",Scoring!AJ27)</f>
        <v>AVOID</v>
      </c>
      <c r="J26" s="64" t="str">
        <f aca="false">IF(Scoring!AK27="","",Scoring!AK27)</f>
        <v>OK</v>
      </c>
    </row>
    <row r="27" customFormat="false" ht="15" hidden="false" customHeight="true" outlineLevel="0" collapsed="false">
      <c r="A27" s="92" t="str">
        <f aca="false">IF(Scoring!A28="","",Scoring!A28)</f>
        <v>LIN</v>
      </c>
      <c r="B27" s="93" t="str">
        <f aca="false">IF(Scoring!B28="","",Scoring!B28)</f>
        <v>Linde plc</v>
      </c>
      <c r="C27" s="94" t="n">
        <f aca="false">IF(Scoring!C28="","",Scoring!C28)</f>
        <v>46276</v>
      </c>
      <c r="D27" s="95" t="n">
        <f aca="false">IF(Scoring!N28="","",Scoring!N28)</f>
        <v>3.07142857142857</v>
      </c>
      <c r="E27" s="96" t="str">
        <f aca="false">IF(Scoring!AF28="","",Scoring!AF28)</f>
        <v/>
      </c>
      <c r="F27" s="64" t="str">
        <f aca="false">IF(Scoring!AG28&lt;&gt;"",Scoring!AG28,IF(Scoring!AH28="OK","PENDING",""))</f>
        <v>PENDING</v>
      </c>
      <c r="G27" s="64" t="str">
        <f aca="false">IF(Scoring!AH28="","",Scoring!AH28)</f>
        <v>OK</v>
      </c>
      <c r="H27" s="64" t="str">
        <f aca="false">IF(Scoring!AI28="","",Scoring!AI28)</f>
        <v>OK</v>
      </c>
      <c r="I27" s="64" t="str">
        <f aca="false">IF(Scoring!AJ28="","",Scoring!AJ28)</f>
        <v>AVOID</v>
      </c>
      <c r="J27" s="64" t="str">
        <f aca="false">IF(Scoring!AK28="","",Scoring!AK28)</f>
        <v>OK</v>
      </c>
    </row>
    <row r="28" customFormat="false" ht="15" hidden="true" customHeight="true" outlineLevel="1" collapsed="false">
      <c r="A28" s="92" t="str">
        <f aca="false">IF(Scoring!A29="","",Scoring!A29)</f>
        <v>DEO</v>
      </c>
      <c r="B28" s="93" t="str">
        <f aca="false">IF(Scoring!B29="","",Scoring!B29)</f>
        <v>Diageo plc</v>
      </c>
      <c r="C28" s="94" t="n">
        <f aca="false">IF(Scoring!C29="","",Scoring!C29)</f>
        <v>46245</v>
      </c>
      <c r="D28" s="95" t="n">
        <f aca="false">IF(Scoring!N29="","",Scoring!N29)</f>
        <v>2.35714285714286</v>
      </c>
      <c r="E28" s="96" t="str">
        <f aca="false">IF(Scoring!AF29="","",Scoring!AF29)</f>
        <v/>
      </c>
      <c r="F28" s="64" t="str">
        <f aca="false">IF(Scoring!AG29&lt;&gt;"",Scoring!AG29,IF(Scoring!AH29="OK","PENDING",""))</f>
        <v/>
      </c>
      <c r="G28" s="64" t="str">
        <f aca="false">IF(Scoring!AH29="","",Scoring!AH29)</f>
        <v>FAIL</v>
      </c>
      <c r="H28" s="64" t="str">
        <f aca="false">IF(Scoring!AI29="","",Scoring!AI29)</f>
        <v>OK</v>
      </c>
      <c r="I28" s="64" t="str">
        <f aca="false">IF(Scoring!AJ29="","",Scoring!AJ29)</f>
        <v>AVOID</v>
      </c>
      <c r="J28" s="64" t="str">
        <f aca="false">IF(Scoring!AK29="","",Scoring!AK29)</f>
        <v>OK</v>
      </c>
    </row>
    <row r="29" customFormat="false" ht="15" hidden="true" customHeight="true" outlineLevel="1" collapsed="false">
      <c r="A29" s="92" t="str">
        <f aca="false">IF(Scoring!A30="","",Scoring!A30)</f>
        <v>EL</v>
      </c>
      <c r="B29" s="93" t="str">
        <f aca="false">IF(Scoring!B30="","",Scoring!B30)</f>
        <v>Estee Lauder Companies</v>
      </c>
      <c r="C29" s="94" t="n">
        <f aca="false">IF(Scoring!C30="","",Scoring!C30)</f>
        <v>46245</v>
      </c>
      <c r="D29" s="95" t="n">
        <f aca="false">IF(Scoring!N30="","",Scoring!N30)</f>
        <v>2.14285714285714</v>
      </c>
      <c r="E29" s="96" t="str">
        <f aca="false">IF(Scoring!AF30="","",Scoring!AF30)</f>
        <v/>
      </c>
      <c r="F29" s="64" t="str">
        <f aca="false">IF(Scoring!AG30&lt;&gt;"",Scoring!AG30,IF(Scoring!AH30="OK","PENDING",""))</f>
        <v/>
      </c>
      <c r="G29" s="64" t="str">
        <f aca="false">IF(Scoring!AH30="","",Scoring!AH30)</f>
        <v>FAIL</v>
      </c>
      <c r="H29" s="64" t="str">
        <f aca="false">IF(Scoring!AI30="","",Scoring!AI30)</f>
        <v>REVIEW</v>
      </c>
      <c r="I29" s="64" t="str">
        <f aca="false">IF(Scoring!AJ30="","",Scoring!AJ30)</f>
        <v>AVOID</v>
      </c>
      <c r="J29" s="64" t="str">
        <f aca="false">IF(Scoring!AK30="","",Scoring!AK30)</f>
        <v>OK</v>
      </c>
    </row>
    <row r="30" customFormat="false" ht="15" hidden="true" customHeight="true" outlineLevel="1" collapsed="false">
      <c r="A30" s="92" t="str">
        <f aca="false">IF(Scoring!A31="","",Scoring!A31)</f>
        <v>HRL</v>
      </c>
      <c r="B30" s="93" t="str">
        <f aca="false">IF(Scoring!B31="","",Scoring!B31)</f>
        <v>Hormel Foods Corp.</v>
      </c>
      <c r="C30" s="94" t="n">
        <f aca="false">IF(Scoring!C31="","",Scoring!C31)</f>
        <v>46245</v>
      </c>
      <c r="D30" s="95" t="n">
        <f aca="false">IF(Scoring!N31="","",Scoring!N31)</f>
        <v>1.92857142857143</v>
      </c>
      <c r="E30" s="96" t="str">
        <f aca="false">IF(Scoring!AF31="","",Scoring!AF31)</f>
        <v/>
      </c>
      <c r="F30" s="64" t="str">
        <f aca="false">IF(Scoring!AG31&lt;&gt;"",Scoring!AG31,IF(Scoring!AH31="OK","PENDING",""))</f>
        <v/>
      </c>
      <c r="G30" s="64" t="str">
        <f aca="false">IF(Scoring!AH31="","",Scoring!AH31)</f>
        <v>FAIL</v>
      </c>
      <c r="H30" s="64" t="str">
        <f aca="false">IF(Scoring!AI31="","",Scoring!AI31)</f>
        <v>REVIEW</v>
      </c>
      <c r="I30" s="64" t="str">
        <f aca="false">IF(Scoring!AJ31="","",Scoring!AJ31)</f>
        <v>AVOID</v>
      </c>
      <c r="J30" s="64" t="str">
        <f aca="false">IF(Scoring!AK31="","",Scoring!AK31)</f>
        <v>OK</v>
      </c>
    </row>
    <row r="31" customFormat="false" ht="15" hidden="false" customHeight="true" outlineLevel="0" collapsed="false">
      <c r="A31" s="92" t="str">
        <f aca="false">IF(Scoring!A32="","",Scoring!A32)</f>
        <v>PG</v>
      </c>
      <c r="B31" s="93" t="str">
        <f aca="false">IF(Scoring!B32="","",Scoring!B32)</f>
        <v>Procter &amp; Gamble Co.</v>
      </c>
      <c r="C31" s="94" t="n">
        <f aca="false">IF(Scoring!C32="","",Scoring!C32)</f>
        <v>46295</v>
      </c>
      <c r="D31" s="95" t="n">
        <f aca="false">IF(Scoring!N32="","",Scoring!N32)</f>
        <v>4</v>
      </c>
      <c r="E31" s="96" t="str">
        <f aca="false">IF(Scoring!AF32="","",Scoring!AF32)</f>
        <v/>
      </c>
      <c r="F31" s="64" t="str">
        <f aca="false">IF(Scoring!AG32&lt;&gt;"",Scoring!AG32,IF(Scoring!AH32="OK","PENDING",""))</f>
        <v>PENDING</v>
      </c>
      <c r="G31" s="64" t="str">
        <f aca="false">IF(Scoring!AH32="","",Scoring!AH32)</f>
        <v>OK</v>
      </c>
      <c r="H31" s="64" t="str">
        <f aca="false">IF(Scoring!AI32="","",Scoring!AI32)</f>
        <v>OK</v>
      </c>
      <c r="I31" s="64" t="str">
        <f aca="false">IF(Scoring!AJ32="","",Scoring!AJ32)</f>
        <v>OK</v>
      </c>
      <c r="J31" s="64" t="str">
        <f aca="false">IF(Scoring!AK32="","",Scoring!AK32)</f>
        <v>OK</v>
      </c>
    </row>
    <row r="32" customFormat="false" ht="15" hidden="false" customHeight="true" outlineLevel="0" collapsed="false">
      <c r="A32" s="92" t="str">
        <f aca="false">IF(Scoring!A33="","",Scoring!A33)</f>
        <v>CMG</v>
      </c>
      <c r="B32" s="93" t="str">
        <f aca="false">IF(Scoring!B33="","",Scoring!B33)</f>
        <v>Chipotle Mexican Grill</v>
      </c>
      <c r="C32" s="94" t="n">
        <f aca="false">IF(Scoring!C33="","",Scoring!C33)</f>
        <v>46245</v>
      </c>
      <c r="D32" s="95" t="n">
        <f aca="false">IF(Scoring!N33="","",Scoring!N33)</f>
        <v>3.71428571428571</v>
      </c>
      <c r="E32" s="96" t="str">
        <f aca="false">IF(Scoring!AF33="","",Scoring!AF33)</f>
        <v/>
      </c>
      <c r="F32" s="64" t="str">
        <f aca="false">IF(Scoring!AG33&lt;&gt;"",Scoring!AG33,IF(Scoring!AH33="OK","PENDING",""))</f>
        <v>PENDING</v>
      </c>
      <c r="G32" s="64" t="str">
        <f aca="false">IF(Scoring!AH33="","",Scoring!AH33)</f>
        <v>OK</v>
      </c>
      <c r="H32" s="64" t="str">
        <f aca="false">IF(Scoring!AI33="","",Scoring!AI33)</f>
        <v>OK</v>
      </c>
      <c r="I32" s="64" t="str">
        <f aca="false">IF(Scoring!AJ33="","",Scoring!AJ33)</f>
        <v>OK</v>
      </c>
      <c r="J32" s="64" t="str">
        <f aca="false">IF(Scoring!AK33="","",Scoring!AK33)</f>
        <v>OK</v>
      </c>
    </row>
    <row r="33" customFormat="false" ht="15" hidden="false" customHeight="true" outlineLevel="0" collapsed="false">
      <c r="A33" s="92" t="str">
        <f aca="false">IF(Scoring!A34="","",Scoring!A34)</f>
        <v>DPZ</v>
      </c>
      <c r="B33" s="93" t="str">
        <f aca="false">IF(Scoring!B34="","",Scoring!B34)</f>
        <v>Domino's Pizza Inc.</v>
      </c>
      <c r="C33" s="94" t="n">
        <f aca="false">IF(Scoring!C34="","",Scoring!C34)</f>
        <v>46295</v>
      </c>
      <c r="D33" s="95" t="n">
        <f aca="false">IF(Scoring!N34="","",Scoring!N34)</f>
        <v>3.92857142857143</v>
      </c>
      <c r="E33" s="96" t="str">
        <f aca="false">IF(Scoring!AF34="","",Scoring!AF34)</f>
        <v/>
      </c>
      <c r="F33" s="64" t="str">
        <f aca="false">IF(Scoring!AG34&lt;&gt;"",Scoring!AG34,IF(Scoring!AH34="OK","PENDING",""))</f>
        <v>PENDING</v>
      </c>
      <c r="G33" s="64" t="str">
        <f aca="false">IF(Scoring!AH34="","",Scoring!AH34)</f>
        <v>OK</v>
      </c>
      <c r="H33" s="64" t="str">
        <f aca="false">IF(Scoring!AI34="","",Scoring!AI34)</f>
        <v>OK</v>
      </c>
      <c r="I33" s="64" t="str">
        <f aca="false">IF(Scoring!AJ34="","",Scoring!AJ34)</f>
        <v>OK</v>
      </c>
      <c r="J33" s="64" t="str">
        <f aca="false">IF(Scoring!AK34="","",Scoring!AK34)</f>
        <v>OK</v>
      </c>
    </row>
    <row r="34" customFormat="false" ht="15" hidden="true" customHeight="true" outlineLevel="1" collapsed="false">
      <c r="A34" s="92" t="str">
        <f aca="false">IF(Scoring!A35="","",Scoring!A35)</f>
        <v>PZZA</v>
      </c>
      <c r="B34" s="93" t="str">
        <f aca="false">IF(Scoring!B35="","",Scoring!B35)</f>
        <v>Papa John's Intl.</v>
      </c>
      <c r="C34" s="94" t="n">
        <f aca="false">IF(Scoring!C35="","",Scoring!C35)</f>
        <v>46245</v>
      </c>
      <c r="D34" s="95" t="n">
        <f aca="false">IF(Scoring!N35="","",Scoring!N35)</f>
        <v>1.35714285714286</v>
      </c>
      <c r="E34" s="96" t="str">
        <f aca="false">IF(Scoring!AF35="","",Scoring!AF35)</f>
        <v/>
      </c>
      <c r="F34" s="64" t="str">
        <f aca="false">IF(Scoring!AG35&lt;&gt;"",Scoring!AG35,IF(Scoring!AH35="OK","PENDING",""))</f>
        <v/>
      </c>
      <c r="G34" s="64" t="str">
        <f aca="false">IF(Scoring!AH35="","",Scoring!AH35)</f>
        <v>FAIL</v>
      </c>
      <c r="H34" s="64" t="str">
        <f aca="false">IF(Scoring!AI35="","",Scoring!AI35)</f>
        <v>REVIEW</v>
      </c>
      <c r="I34" s="64" t="str">
        <f aca="false">IF(Scoring!AJ35="","",Scoring!AJ35)</f>
        <v>AVOID</v>
      </c>
      <c r="J34" s="64" t="str">
        <f aca="false">IF(Scoring!AK35="","",Scoring!AK35)</f>
        <v>OK</v>
      </c>
    </row>
    <row r="35" customFormat="false" ht="15" hidden="false" customHeight="true" outlineLevel="0" collapsed="false">
      <c r="A35" s="92" t="str">
        <f aca="false">IF(Scoring!A36="","",Scoring!A36)</f>
        <v>YUM</v>
      </c>
      <c r="B35" s="93" t="str">
        <f aca="false">IF(Scoring!B36="","",Scoring!B36)</f>
        <v>Yum! Brands Inc.</v>
      </c>
      <c r="C35" s="94" t="n">
        <f aca="false">IF(Scoring!C36="","",Scoring!C36)</f>
        <v>46295</v>
      </c>
      <c r="D35" s="95" t="n">
        <f aca="false">IF(Scoring!N36="","",Scoring!N36)</f>
        <v>3.78571428571429</v>
      </c>
      <c r="E35" s="96" t="str">
        <f aca="false">IF(Scoring!AF36="","",Scoring!AF36)</f>
        <v/>
      </c>
      <c r="F35" s="64" t="str">
        <f aca="false">IF(Scoring!AG36&lt;&gt;"",Scoring!AG36,IF(Scoring!AH36="OK","PENDING",""))</f>
        <v>PENDING</v>
      </c>
      <c r="G35" s="64" t="str">
        <f aca="false">IF(Scoring!AH36="","",Scoring!AH36)</f>
        <v>OK</v>
      </c>
      <c r="H35" s="64" t="str">
        <f aca="false">IF(Scoring!AI36="","",Scoring!AI36)</f>
        <v>OK</v>
      </c>
      <c r="I35" s="64" t="str">
        <f aca="false">IF(Scoring!AJ36="","",Scoring!AJ36)</f>
        <v>OK</v>
      </c>
      <c r="J35" s="64" t="str">
        <f aca="false">IF(Scoring!AK36="","",Scoring!AK36)</f>
        <v>OK</v>
      </c>
    </row>
    <row r="36" customFormat="false" ht="15" hidden="true" customHeight="true" outlineLevel="1" collapsed="false">
      <c r="A36" s="92" t="str">
        <f aca="false">IF(Scoring!A37="","",Scoring!A37)</f>
        <v>NKE</v>
      </c>
      <c r="B36" s="93" t="str">
        <f aca="false">IF(Scoring!B37="","",Scoring!B37)</f>
        <v>Nike Inc.</v>
      </c>
      <c r="C36" s="94" t="n">
        <f aca="false">IF(Scoring!C37="","",Scoring!C37)</f>
        <v>46246</v>
      </c>
      <c r="D36" s="95" t="n">
        <f aca="false">IF(Scoring!N37="","",Scoring!N37)</f>
        <v>1.57142857142857</v>
      </c>
      <c r="E36" s="96" t="str">
        <f aca="false">IF(Scoring!AF37="","",Scoring!AF37)</f>
        <v/>
      </c>
      <c r="F36" s="64" t="str">
        <f aca="false">IF(Scoring!AG37&lt;&gt;"",Scoring!AG37,IF(Scoring!AH37="OK","PENDING",""))</f>
        <v/>
      </c>
      <c r="G36" s="64" t="str">
        <f aca="false">IF(Scoring!AH37="","",Scoring!AH37)</f>
        <v>FAIL</v>
      </c>
      <c r="H36" s="64" t="str">
        <f aca="false">IF(Scoring!AI37="","",Scoring!AI37)</f>
        <v>REVIEW</v>
      </c>
      <c r="I36" s="64" t="str">
        <f aca="false">IF(Scoring!AJ37="","",Scoring!AJ37)</f>
        <v>AVOID</v>
      </c>
      <c r="J36" s="64" t="str">
        <f aca="false">IF(Scoring!AK37="","",Scoring!AK37)</f>
        <v>OK</v>
      </c>
    </row>
    <row r="37" customFormat="false" ht="15" hidden="true" customHeight="true" outlineLevel="1" collapsed="false">
      <c r="A37" s="92" t="str">
        <f aca="false">IF(Scoring!A38="","",Scoring!A38)</f>
        <v>VFC</v>
      </c>
      <c r="B37" s="93" t="str">
        <f aca="false">IF(Scoring!B38="","",Scoring!B38)</f>
        <v>V.F. Corporation</v>
      </c>
      <c r="C37" s="94" t="n">
        <f aca="false">IF(Scoring!C38="","",Scoring!C38)</f>
        <v>46246</v>
      </c>
      <c r="D37" s="95" t="n">
        <f aca="false">IF(Scoring!N38="","",Scoring!N38)</f>
        <v>2.85714285714286</v>
      </c>
      <c r="E37" s="96" t="str">
        <f aca="false">IF(Scoring!AF38="","",Scoring!AF38)</f>
        <v/>
      </c>
      <c r="F37" s="64" t="str">
        <f aca="false">IF(Scoring!AG38&lt;&gt;"",Scoring!AG38,IF(Scoring!AH38="OK","PENDING",""))</f>
        <v/>
      </c>
      <c r="G37" s="64" t="str">
        <f aca="false">IF(Scoring!AH38="","",Scoring!AH38)</f>
        <v>FAIL</v>
      </c>
      <c r="H37" s="64" t="str">
        <f aca="false">IF(Scoring!AI38="","",Scoring!AI38)</f>
        <v>OK</v>
      </c>
      <c r="I37" s="64" t="str">
        <f aca="false">IF(Scoring!AJ38="","",Scoring!AJ38)</f>
        <v>OK</v>
      </c>
      <c r="J37" s="64" t="str">
        <f aca="false">IF(Scoring!AK38="","",Scoring!AK38)</f>
        <v>OK</v>
      </c>
    </row>
    <row r="38" customFormat="false" ht="15" hidden="true" customHeight="true" outlineLevel="1" collapsed="false">
      <c r="A38" s="92" t="str">
        <f aca="false">IF(Scoring!A39="","",Scoring!A39)</f>
        <v>GOOS</v>
      </c>
      <c r="B38" s="93" t="str">
        <f aca="false">IF(Scoring!B39="","",Scoring!B39)</f>
        <v>Canada Goose Holdings</v>
      </c>
      <c r="C38" s="94" t="n">
        <f aca="false">IF(Scoring!C39="","",Scoring!C39)</f>
        <v>46246</v>
      </c>
      <c r="D38" s="95" t="n">
        <f aca="false">IF(Scoring!N39="","",Scoring!N39)</f>
        <v>2.5</v>
      </c>
      <c r="E38" s="96" t="str">
        <f aca="false">IF(Scoring!AF39="","",Scoring!AF39)</f>
        <v/>
      </c>
      <c r="F38" s="64" t="str">
        <f aca="false">IF(Scoring!AG39&lt;&gt;"",Scoring!AG39,IF(Scoring!AH39="OK","PENDING",""))</f>
        <v/>
      </c>
      <c r="G38" s="64" t="str">
        <f aca="false">IF(Scoring!AH39="","",Scoring!AH39)</f>
        <v>FAIL</v>
      </c>
      <c r="H38" s="64" t="str">
        <f aca="false">IF(Scoring!AI39="","",Scoring!AI39)</f>
        <v>REVIEW</v>
      </c>
      <c r="I38" s="64" t="str">
        <f aca="false">IF(Scoring!AJ39="","",Scoring!AJ39)</f>
        <v>AVOID</v>
      </c>
      <c r="J38" s="64" t="str">
        <f aca="false">IF(Scoring!AK39="","",Scoring!AK39)</f>
        <v>OK</v>
      </c>
    </row>
    <row r="39" customFormat="false" ht="15" hidden="true" customHeight="true" outlineLevel="1" collapsed="false">
      <c r="A39" s="92" t="str">
        <f aca="false">IF(Scoring!A40="","",Scoring!A40)</f>
        <v>AAP</v>
      </c>
      <c r="B39" s="93" t="str">
        <f aca="false">IF(Scoring!B40="","",Scoring!B40)</f>
        <v>Advance Auto Parts Inc.</v>
      </c>
      <c r="C39" s="94" t="n">
        <f aca="false">IF(Scoring!C40="","",Scoring!C40)</f>
        <v>46246</v>
      </c>
      <c r="D39" s="95" t="n">
        <f aca="false">IF(Scoring!N40="","",Scoring!N40)</f>
        <v>1.35714285714286</v>
      </c>
      <c r="E39" s="96" t="str">
        <f aca="false">IF(Scoring!AF40="","",Scoring!AF40)</f>
        <v/>
      </c>
      <c r="F39" s="64" t="str">
        <f aca="false">IF(Scoring!AG40&lt;&gt;"",Scoring!AG40,IF(Scoring!AH40="OK","PENDING",""))</f>
        <v/>
      </c>
      <c r="G39" s="64" t="str">
        <f aca="false">IF(Scoring!AH40="","",Scoring!AH40)</f>
        <v>FAIL</v>
      </c>
      <c r="H39" s="64" t="str">
        <f aca="false">IF(Scoring!AI40="","",Scoring!AI40)</f>
        <v>REVIEW</v>
      </c>
      <c r="I39" s="64" t="str">
        <f aca="false">IF(Scoring!AJ40="","",Scoring!AJ40)</f>
        <v>AVOID</v>
      </c>
      <c r="J39" s="64" t="str">
        <f aca="false">IF(Scoring!AK40="","",Scoring!AK40)</f>
        <v>OK</v>
      </c>
    </row>
    <row r="40" customFormat="false" ht="15" hidden="true" customHeight="true" outlineLevel="1" collapsed="false">
      <c r="A40" s="92" t="str">
        <f aca="false">IF(Scoring!A41="","",Scoring!A41)</f>
        <v>BABA</v>
      </c>
      <c r="B40" s="93" t="str">
        <f aca="false">IF(Scoring!B41="","",Scoring!B41)</f>
        <v>Alibaba Group Holding Ltd.</v>
      </c>
      <c r="C40" s="94" t="n">
        <f aca="false">IF(Scoring!C41="","",Scoring!C41)</f>
        <v>46246</v>
      </c>
      <c r="D40" s="95" t="n">
        <f aca="false">IF(Scoring!N41="","",Scoring!N41)</f>
        <v>2.78571428571429</v>
      </c>
      <c r="E40" s="96" t="str">
        <f aca="false">IF(Scoring!AF41="","",Scoring!AF41)</f>
        <v/>
      </c>
      <c r="F40" s="64" t="str">
        <f aca="false">IF(Scoring!AG41&lt;&gt;"",Scoring!AG41,IF(Scoring!AH41="OK","PENDING",""))</f>
        <v/>
      </c>
      <c r="G40" s="64" t="str">
        <f aca="false">IF(Scoring!AH41="","",Scoring!AH41)</f>
        <v>FAIL</v>
      </c>
      <c r="H40" s="64" t="str">
        <f aca="false">IF(Scoring!AI41="","",Scoring!AI41)</f>
        <v>OK</v>
      </c>
      <c r="I40" s="64" t="str">
        <f aca="false">IF(Scoring!AJ41="","",Scoring!AJ41)</f>
        <v>AVOID</v>
      </c>
      <c r="J40" s="64" t="str">
        <f aca="false">IF(Scoring!AK41="","",Scoring!AK41)</f>
        <v>OK</v>
      </c>
    </row>
    <row r="41" customFormat="false" ht="15" hidden="false" customHeight="true" outlineLevel="0" collapsed="false">
      <c r="A41" s="92" t="str">
        <f aca="false">IF(Scoring!A42="","",Scoring!A42)</f>
        <v>ETSY</v>
      </c>
      <c r="B41" s="93" t="str">
        <f aca="false">IF(Scoring!B42="","",Scoring!B42)</f>
        <v>Etsy Inc.</v>
      </c>
      <c r="C41" s="94" t="n">
        <f aca="false">IF(Scoring!C42="","",Scoring!C42)</f>
        <v>46246</v>
      </c>
      <c r="D41" s="95" t="n">
        <f aca="false">IF(Scoring!N42="","",Scoring!N42)</f>
        <v>3.42857142857143</v>
      </c>
      <c r="E41" s="96" t="str">
        <f aca="false">IF(Scoring!AF42="","",Scoring!AF42)</f>
        <v/>
      </c>
      <c r="F41" s="64" t="str">
        <f aca="false">IF(Scoring!AG42&lt;&gt;"",Scoring!AG42,IF(Scoring!AH42="OK","PENDING",""))</f>
        <v>PENDING</v>
      </c>
      <c r="G41" s="64" t="str">
        <f aca="false">IF(Scoring!AH42="","",Scoring!AH42)</f>
        <v>OK</v>
      </c>
      <c r="H41" s="64" t="str">
        <f aca="false">IF(Scoring!AI42="","",Scoring!AI42)</f>
        <v>OK</v>
      </c>
      <c r="I41" s="64" t="str">
        <f aca="false">IF(Scoring!AJ42="","",Scoring!AJ42)</f>
        <v>OK</v>
      </c>
      <c r="J41" s="64" t="str">
        <f aca="false">IF(Scoring!AK42="","",Scoring!AK42)</f>
        <v>OK</v>
      </c>
    </row>
    <row r="42" customFormat="false" ht="15" hidden="false" customHeight="true" outlineLevel="0" collapsed="false">
      <c r="A42" s="92" t="str">
        <f aca="false">IF(Scoring!A43="","",Scoring!A43)</f>
        <v>GE</v>
      </c>
      <c r="B42" s="93" t="str">
        <f aca="false">IF(Scoring!B43="","",Scoring!B43)</f>
        <v>GE Aerospace</v>
      </c>
      <c r="C42" s="94" t="n">
        <f aca="false">IF(Scoring!C43="","",Scoring!C43)</f>
        <v>46295</v>
      </c>
      <c r="D42" s="95" t="n">
        <f aca="false">IF(Scoring!N43="","",Scoring!N43)</f>
        <v>4.14285714285714</v>
      </c>
      <c r="E42" s="96" t="n">
        <f aca="false">IF(Scoring!AF43="","",Scoring!AF43)</f>
        <v>84.2</v>
      </c>
      <c r="F42" s="64" t="str">
        <f aca="false">IF(Scoring!AG43&lt;&gt;"",Scoring!AG43,IF(Scoring!AH43="OK","PENDING",""))</f>
        <v>STRONG BUY</v>
      </c>
      <c r="G42" s="64" t="str">
        <f aca="false">IF(Scoring!AH43="","",Scoring!AH43)</f>
        <v>OK</v>
      </c>
      <c r="H42" s="64" t="str">
        <f aca="false">IF(Scoring!AI43="","",Scoring!AI43)</f>
        <v>OK</v>
      </c>
      <c r="I42" s="64" t="str">
        <f aca="false">IF(Scoring!AJ43="","",Scoring!AJ43)</f>
        <v>OK</v>
      </c>
      <c r="J42" s="64" t="str">
        <f aca="false">IF(Scoring!AK43="","",Scoring!AK43)</f>
        <v>OK</v>
      </c>
    </row>
    <row r="43" customFormat="false" ht="15" hidden="false" customHeight="true" outlineLevel="0" collapsed="false">
      <c r="A43" s="92" t="str">
        <f aca="false">IF(Scoring!A44="","",Scoring!A44)</f>
        <v>PH</v>
      </c>
      <c r="B43" s="93" t="str">
        <f aca="false">IF(Scoring!B44="","",Scoring!B44)</f>
        <v>Parker-Hannifin Corporation</v>
      </c>
      <c r="C43" s="94" t="n">
        <f aca="false">IF(Scoring!C44="","",Scoring!C44)</f>
        <v>46247</v>
      </c>
      <c r="D43" s="95" t="n">
        <f aca="false">IF(Scoring!N44="","",Scoring!N44)</f>
        <v>3.28571428571429</v>
      </c>
      <c r="E43" s="96" t="str">
        <f aca="false">IF(Scoring!AF44="","",Scoring!AF44)</f>
        <v/>
      </c>
      <c r="F43" s="64" t="str">
        <f aca="false">IF(Scoring!AG44&lt;&gt;"",Scoring!AG44,IF(Scoring!AH44="OK","PENDING",""))</f>
        <v>PENDING</v>
      </c>
      <c r="G43" s="64" t="str">
        <f aca="false">IF(Scoring!AH44="","",Scoring!AH44)</f>
        <v>OK</v>
      </c>
      <c r="H43" s="64" t="str">
        <f aca="false">IF(Scoring!AI44="","",Scoring!AI44)</f>
        <v>OK</v>
      </c>
      <c r="I43" s="64" t="str">
        <f aca="false">IF(Scoring!AJ44="","",Scoring!AJ44)</f>
        <v>OK</v>
      </c>
      <c r="J43" s="64" t="str">
        <f aca="false">IF(Scoring!AK44="","",Scoring!AK44)</f>
        <v>OK</v>
      </c>
    </row>
    <row r="44" customFormat="false" ht="15" hidden="false" customHeight="true" outlineLevel="0" collapsed="false">
      <c r="A44" s="92" t="str">
        <f aca="false">IF(Scoring!A45="","",Scoring!A45)</f>
        <v>ETN</v>
      </c>
      <c r="B44" s="93" t="str">
        <f aca="false">IF(Scoring!B45="","",Scoring!B45)</f>
        <v>Eaton Corporation plc</v>
      </c>
      <c r="C44" s="94" t="n">
        <f aca="false">IF(Scoring!C45="","",Scoring!C45)</f>
        <v>46247</v>
      </c>
      <c r="D44" s="95" t="n">
        <f aca="false">IF(Scoring!N45="","",Scoring!N45)</f>
        <v>3.5</v>
      </c>
      <c r="E44" s="96" t="str">
        <f aca="false">IF(Scoring!AF45="","",Scoring!AF45)</f>
        <v/>
      </c>
      <c r="F44" s="64" t="str">
        <f aca="false">IF(Scoring!AG45&lt;&gt;"",Scoring!AG45,IF(Scoring!AH45="OK","PENDING",""))</f>
        <v>PENDING</v>
      </c>
      <c r="G44" s="64" t="str">
        <f aca="false">IF(Scoring!AH45="","",Scoring!AH45)</f>
        <v>OK</v>
      </c>
      <c r="H44" s="64" t="str">
        <f aca="false">IF(Scoring!AI45="","",Scoring!AI45)</f>
        <v>OK</v>
      </c>
      <c r="I44" s="64" t="str">
        <f aca="false">IF(Scoring!AJ45="","",Scoring!AJ45)</f>
        <v>OK</v>
      </c>
      <c r="J44" s="64" t="str">
        <f aca="false">IF(Scoring!AK45="","",Scoring!AK45)</f>
        <v>OK</v>
      </c>
    </row>
    <row r="45" customFormat="false" ht="15" hidden="true" customHeight="true" outlineLevel="1" collapsed="false">
      <c r="A45" s="92" t="str">
        <f aca="false">IF(Scoring!A46="","",Scoring!A46)</f>
        <v>DIS</v>
      </c>
      <c r="B45" s="93" t="str">
        <f aca="false">IF(Scoring!B46="","",Scoring!B46)</f>
        <v>The Walt Disney Company</v>
      </c>
      <c r="C45" s="94" t="n">
        <f aca="false">IF(Scoring!C46="","",Scoring!C46)</f>
        <v>46258</v>
      </c>
      <c r="D45" s="95" t="n">
        <f aca="false">IF(Scoring!N46="","",Scoring!N46)</f>
        <v>2.92857142857143</v>
      </c>
      <c r="E45" s="96" t="str">
        <f aca="false">IF(Scoring!AF46="","",Scoring!AF46)</f>
        <v/>
      </c>
      <c r="F45" s="64" t="str">
        <f aca="false">IF(Scoring!AG46&lt;&gt;"",Scoring!AG46,IF(Scoring!AH46="OK","PENDING",""))</f>
        <v/>
      </c>
      <c r="G45" s="64" t="str">
        <f aca="false">IF(Scoring!AH46="","",Scoring!AH46)</f>
        <v>FAIL</v>
      </c>
      <c r="H45" s="64" t="str">
        <f aca="false">IF(Scoring!AI46="","",Scoring!AI46)</f>
        <v>OK</v>
      </c>
      <c r="I45" s="64" t="str">
        <f aca="false">IF(Scoring!AJ46="","",Scoring!AJ46)</f>
        <v>AVOID</v>
      </c>
      <c r="J45" s="64" t="str">
        <f aca="false">IF(Scoring!AK46="","",Scoring!AK46)</f>
        <v>OK</v>
      </c>
    </row>
    <row r="46" customFormat="false" ht="15" hidden="false" customHeight="true" outlineLevel="0" collapsed="false">
      <c r="A46" s="92" t="str">
        <f aca="false">IF(Scoring!A47="","",Scoring!A47)</f>
        <v>NFLX</v>
      </c>
      <c r="B46" s="93" t="str">
        <f aca="false">IF(Scoring!B47="","",Scoring!B47)</f>
        <v>Netflix, Inc.</v>
      </c>
      <c r="C46" s="94" t="n">
        <f aca="false">IF(Scoring!C47="","",Scoring!C47)</f>
        <v>46295</v>
      </c>
      <c r="D46" s="95" t="n">
        <f aca="false">IF(Scoring!N47="","",Scoring!N47)</f>
        <v>4.21428571428571</v>
      </c>
      <c r="E46" s="96" t="n">
        <f aca="false">IF(Scoring!AF47="","",Scoring!AF47)</f>
        <v>83.8</v>
      </c>
      <c r="F46" s="64" t="str">
        <f aca="false">IF(Scoring!AG47&lt;&gt;"",Scoring!AG47,IF(Scoring!AH47="OK","PENDING",""))</f>
        <v>STRONG BUY</v>
      </c>
      <c r="G46" s="64" t="str">
        <f aca="false">IF(Scoring!AH47="","",Scoring!AH47)</f>
        <v>OK</v>
      </c>
      <c r="H46" s="64" t="str">
        <f aca="false">IF(Scoring!AI47="","",Scoring!AI47)</f>
        <v>OK</v>
      </c>
      <c r="I46" s="64" t="str">
        <f aca="false">IF(Scoring!AJ47="","",Scoring!AJ47)</f>
        <v>OK</v>
      </c>
      <c r="J46" s="64" t="str">
        <f aca="false">IF(Scoring!AK47="","",Scoring!AK47)</f>
        <v>OK</v>
      </c>
    </row>
    <row r="47" customFormat="false" ht="14.25" hidden="false" customHeight="true" outlineLevel="0" collapsed="false">
      <c r="A47" s="97" t="str">
        <f aca="false">IF(Scoring!A48="","",Scoring!A48)</f>
        <v>KGS</v>
      </c>
      <c r="B47" s="97" t="str">
        <f aca="false">IF(Scoring!B48="","",Scoring!B48)</f>
        <v>Kodiak Gas Services, Inc.</v>
      </c>
      <c r="C47" s="98" t="n">
        <f aca="false">IF(Scoring!C48="","",Scoring!C48)</f>
        <v>46276</v>
      </c>
      <c r="D47" s="99" t="n">
        <f aca="false">IF(Scoring!N48="","",Scoring!N48)</f>
        <v>4</v>
      </c>
      <c r="E47" s="97" t="str">
        <f aca="false">IF(Scoring!AF48="","",Scoring!AF48)</f>
        <v/>
      </c>
      <c r="F47" s="97" t="str">
        <f aca="false">IF(Scoring!AG48&lt;&gt;"",Scoring!AG48,IF(Scoring!AH48="OK","PENDING",""))</f>
        <v>PENDING</v>
      </c>
      <c r="G47" s="97" t="str">
        <f aca="false">IF(Scoring!AH48="","",Scoring!AH48)</f>
        <v>OK</v>
      </c>
      <c r="H47" s="97" t="str">
        <f aca="false">IF(Scoring!AI48="","",Scoring!AI48)</f>
        <v>OK</v>
      </c>
      <c r="I47" s="97" t="str">
        <f aca="false">IF(Scoring!AJ48="","",Scoring!AJ48)</f>
        <v>OK</v>
      </c>
      <c r="J47" s="97" t="str">
        <f aca="false">IF(Scoring!AK48="","",Scoring!AK48)</f>
        <v>OK</v>
      </c>
    </row>
    <row r="48" customFormat="false" ht="15" hidden="false" customHeight="true" outlineLevel="0" collapsed="false">
      <c r="A48" s="97" t="str">
        <f aca="false">IF(Scoring!A49="","",Scoring!A49)</f>
        <v>ABT</v>
      </c>
      <c r="B48" s="97" t="str">
        <f aca="false">IF(Scoring!B49="","",Scoring!B49)</f>
        <v>Abbott Laboratories</v>
      </c>
      <c r="C48" s="100" t="n">
        <f aca="false">IF(Scoring!C49="","",Scoring!C49)</f>
        <v>46295</v>
      </c>
      <c r="D48" s="99" t="n">
        <f aca="false">IF(Scoring!N49="","",Scoring!N49)</f>
        <v>3.5</v>
      </c>
      <c r="E48" s="97" t="n">
        <f aca="false">IF(Scoring!AF49="","",Scoring!AF49)</f>
        <v>70.8</v>
      </c>
      <c r="F48" s="97" t="str">
        <f aca="false">IF(Scoring!AG49&lt;&gt;"",Scoring!AG49,IF(Scoring!AH49="OK","PENDING",""))</f>
        <v>BUY</v>
      </c>
      <c r="G48" s="97" t="str">
        <f aca="false">IF(Scoring!AH49="","",Scoring!AH49)</f>
        <v>OK</v>
      </c>
      <c r="H48" s="97" t="str">
        <f aca="false">IF(Scoring!AI49="","",Scoring!AI49)</f>
        <v>OK</v>
      </c>
      <c r="I48" s="97" t="str">
        <f aca="false">IF(Scoring!AJ49="","",Scoring!AJ49)</f>
        <v>OK</v>
      </c>
      <c r="J48" s="97" t="str">
        <f aca="false">IF(Scoring!AK49="","",Scoring!AK49)</f>
        <v>OK</v>
      </c>
    </row>
    <row r="49" customFormat="false" ht="15.75" hidden="false" customHeight="true" outlineLevel="0" collapsed="false">
      <c r="A49" s="101" t="str">
        <f aca="false">IF(Scoring!A50="","",Scoring!A50)</f>
        <v>SLB</v>
      </c>
      <c r="B49" s="102" t="str">
        <f aca="false">IF(Scoring!B50="","",Scoring!B50)</f>
        <v>SLB N.V.</v>
      </c>
      <c r="C49" s="100" t="n">
        <f aca="false">IF(Scoring!C50="","",Scoring!C50)</f>
        <v>46295</v>
      </c>
      <c r="D49" s="99" t="n">
        <f aca="false">IF(Scoring!N50="","",Scoring!N50)</f>
        <v>3.5</v>
      </c>
      <c r="E49" s="97" t="n">
        <f aca="false">IF(Scoring!AF50="","",Scoring!AF50)</f>
        <v>72.4</v>
      </c>
      <c r="F49" s="97" t="str">
        <f aca="false">IF(Scoring!AG50&lt;&gt;"",Scoring!AG50,IF(Scoring!AH50="OK","PENDING",""))</f>
        <v>BUY</v>
      </c>
      <c r="G49" s="97" t="str">
        <f aca="false">IF(Scoring!AH50="","",Scoring!AH50)</f>
        <v>OK</v>
      </c>
      <c r="H49" s="97" t="str">
        <f aca="false">IF(Scoring!AI50="","",Scoring!AI50)</f>
        <v>OK</v>
      </c>
      <c r="I49" s="97" t="str">
        <f aca="false">IF(Scoring!AJ50="","",Scoring!AJ50)</f>
        <v>OK</v>
      </c>
      <c r="J49" s="97" t="str">
        <f aca="false">IF(Scoring!AK50="","",Scoring!AK50)</f>
        <v>OK</v>
      </c>
    </row>
    <row r="50" customFormat="false" ht="15.75" hidden="false" customHeight="true" outlineLevel="0" collapsed="false">
      <c r="A50" s="101" t="str">
        <f aca="false">IF(Scoring!A51="","",Scoring!A51)</f>
        <v>VEEV</v>
      </c>
      <c r="B50" s="102" t="str">
        <f aca="false">IF(Scoring!B51="","",Scoring!B51)</f>
        <v>Veeva Systems Inc.</v>
      </c>
      <c r="C50" s="100" t="n">
        <f aca="false">IF(Scoring!C51="","",Scoring!C51)</f>
        <v>46297</v>
      </c>
      <c r="D50" s="99" t="n">
        <f aca="false">IF(Scoring!N51="","",Scoring!N51)</f>
        <v>4.28571428571429</v>
      </c>
      <c r="E50" s="97" t="n">
        <f aca="false">IF(Scoring!AF51="","",Scoring!AF51)</f>
        <v>81.6</v>
      </c>
      <c r="F50" s="97" t="str">
        <f aca="false">IF(Scoring!AG51&lt;&gt;"",Scoring!AG51,IF(Scoring!AH51="OK","PENDING",""))</f>
        <v>STRONG BUY</v>
      </c>
      <c r="G50" s="97" t="str">
        <f aca="false">IF(Scoring!AH51="","",Scoring!AH51)</f>
        <v>OK</v>
      </c>
      <c r="H50" s="97" t="str">
        <f aca="false">IF(Scoring!AI51="","",Scoring!AI51)</f>
        <v>OK</v>
      </c>
      <c r="I50" s="97" t="str">
        <f aca="false">IF(Scoring!AJ51="","",Scoring!AJ51)</f>
        <v>OK</v>
      </c>
      <c r="J50" s="97" t="str">
        <f aca="false">IF(Scoring!AK51="","",Scoring!AK51)</f>
        <v>OK</v>
      </c>
    </row>
    <row r="51" customFormat="false" ht="14.25" hidden="false" customHeight="true" outlineLevel="0" collapsed="false">
      <c r="A51" s="1" t="s">
        <v>289</v>
      </c>
    </row>
    <row r="52" customFormat="false" ht="15" hidden="false" customHeight="true" outlineLevel="0" collapsed="false">
      <c r="A52" s="103" t="n">
        <f aca="false">SUBTOTAL(103,A2:A50)</f>
        <v>30</v>
      </c>
      <c r="B52" s="103" t="s">
        <v>290</v>
      </c>
    </row>
  </sheetData>
  <conditionalFormatting sqref="F2:F5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G2:G50">
    <cfRule type="cellIs" priority="7" operator="equal" aboveAverage="0" equalAverage="0" bottom="0" percent="0" rank="0" text="" dxfId="0">
      <formula>"FAIL"</formula>
    </cfRule>
  </conditionalFormatting>
  <conditionalFormatting sqref="I2:I50">
    <cfRule type="cellIs" priority="8" operator="equal" aboveAverage="0" equalAverage="0" bottom="0" percent="0" rank="0" text="" dxfId="0">
      <formula>"AVOID"</formula>
    </cfRule>
  </conditionalFormatting>
  <conditionalFormatting sqref="H2:H50">
    <cfRule type="cellIs" priority="9" operator="equal" aboveAverage="0" equalAverage="0" bottom="0" percent="0" rank="0" text="" dxfId="19">
      <formula>"REVIEW"</formula>
    </cfRule>
  </conditionalFormatting>
  <conditionalFormatting sqref="J2:J50">
    <cfRule type="cellIs" priority="10" operator="equal" aboveAverage="0" equalAverage="0" bottom="0" percent="0" rank="0" text="" dxfId="19">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AI43" activePane="bottomRight" state="frozen"/>
      <selection pane="topLeft" activeCell="A1" activeCellId="0" sqref="A1"/>
      <selection pane="topRight" activeCell="AI1" activeCellId="0" sqref="AI1"/>
      <selection pane="bottomLeft" activeCell="A43" activeCellId="0" sqref="A43"/>
      <selection pane="bottomRight" activeCell="AM55" activeCellId="0" sqref="AM55"/>
    </sheetView>
  </sheetViews>
  <sheetFormatPr defaultColWidth="8.66796875" defaultRowHeight="13.5" customHeight="false" zeroHeight="false" outlineLevelRow="1" outlineLevelCol="1"/>
  <cols>
    <col collapsed="false" customWidth="true" hidden="false" outlineLevel="0" max="1" min="1" style="24" width="8"/>
    <col collapsed="false" customWidth="true" hidden="false" outlineLevel="0" max="2" min="2" style="24" width="19.79"/>
    <col collapsed="false" customWidth="true" hidden="false" outlineLevel="0" max="3" min="3" style="24" width="10"/>
    <col collapsed="false" customWidth="true" hidden="false" outlineLevel="1" max="4" min="4" style="24" width="8.76"/>
    <col collapsed="false" customWidth="true" hidden="false" outlineLevel="1" max="5" min="5" style="24" width="7.11"/>
    <col collapsed="false" customWidth="true" hidden="false" outlineLevel="1" max="6" min="6" style="24" width="7.67"/>
    <col collapsed="false" customWidth="true" hidden="false" outlineLevel="1" max="7" min="7" style="24" width="6.77"/>
    <col collapsed="false" customWidth="true" hidden="false" outlineLevel="1" max="8" min="8" style="24" width="7.22"/>
    <col collapsed="false" customWidth="true" hidden="false" outlineLevel="1" max="9" min="9" style="24" width="6.44"/>
    <col collapsed="false" customWidth="true" hidden="false" outlineLevel="1" max="10" min="10" style="24" width="7.88"/>
    <col collapsed="false" customWidth="true" hidden="false" outlineLevel="1" max="11" min="11" style="24" width="6.44"/>
    <col collapsed="false" customWidth="true" hidden="false" outlineLevel="1" max="12" min="12" style="24" width="7.44"/>
    <col collapsed="false" customWidth="true" hidden="false" outlineLevel="1" max="13" min="13" style="24" width="9.56"/>
    <col collapsed="false" customWidth="true" hidden="false" outlineLevel="1" max="14" min="14" style="24" width="8.76"/>
    <col collapsed="false" customWidth="true" hidden="false" outlineLevel="1" max="15" min="15" style="24" width="7.56"/>
    <col collapsed="false" customWidth="true" hidden="false" outlineLevel="1" max="16" min="16" style="24" width="8.76"/>
    <col collapsed="false" customWidth="true" hidden="false" outlineLevel="1" max="17" min="17" style="24" width="6.44"/>
    <col collapsed="false" customWidth="true" hidden="false" outlineLevel="1" max="18" min="18" style="24" width="6.88"/>
    <col collapsed="false" customWidth="true" hidden="false" outlineLevel="1" max="19" min="19" style="24" width="6.33"/>
    <col collapsed="false" customWidth="true" hidden="false" outlineLevel="1" max="20" min="20" style="24" width="7.76"/>
    <col collapsed="false" customWidth="true" hidden="false" outlineLevel="1" max="21" min="21" style="24" width="6.33"/>
    <col collapsed="false" customWidth="true" hidden="false" outlineLevel="1" max="22" min="22" style="24" width="8.76"/>
    <col collapsed="false" customWidth="true" hidden="false" outlineLevel="1" max="23" min="23" style="24" width="6.33"/>
    <col collapsed="false" customWidth="true" hidden="false" outlineLevel="1" max="24" min="24" style="24" width="7.11"/>
    <col collapsed="false" customWidth="true" hidden="false" outlineLevel="1" max="25" min="25" style="24" width="8"/>
    <col collapsed="false" customWidth="true" hidden="false" outlineLevel="1" max="26" min="26" style="24" width="6.11"/>
    <col collapsed="false" customWidth="true" hidden="false" outlineLevel="1" max="27" min="27" style="24" width="9.56"/>
    <col collapsed="false" customWidth="true" hidden="false" outlineLevel="1" max="28" min="28" style="24" width="6.88"/>
    <col collapsed="false" customWidth="true" hidden="false" outlineLevel="1" max="29" min="29" style="24" width="8"/>
    <col collapsed="false" customWidth="true" hidden="false" outlineLevel="1" max="30" min="30" style="24" width="6.56"/>
    <col collapsed="false" customWidth="true" hidden="false" outlineLevel="1" max="31" min="31" style="24" width="7.67"/>
    <col collapsed="false" customWidth="true" hidden="false" outlineLevel="1" max="32" min="32" style="24" width="9"/>
    <col collapsed="false" customWidth="true" hidden="false" outlineLevel="0" max="33" min="33" style="24" width="12"/>
    <col collapsed="false" customWidth="true" hidden="false" outlineLevel="0" max="34" min="34" style="24" width="8"/>
    <col collapsed="false" customWidth="true" hidden="false" outlineLevel="0" max="35" min="35" style="24" width="6.44"/>
    <col collapsed="false" customWidth="true" hidden="false" outlineLevel="0" max="36" min="36" style="24" width="7"/>
    <col collapsed="false" customWidth="true" hidden="false" outlineLevel="0" max="37" min="37" style="24" width="7.67"/>
    <col collapsed="false" customWidth="true" hidden="false" outlineLevel="0" max="38" min="38" style="24" width="16.22"/>
    <col collapsed="false" customWidth="true" hidden="false" outlineLevel="0" max="39" min="39" style="24" width="24.78"/>
    <col collapsed="false" customWidth="true" hidden="true" outlineLevel="1" max="40" min="40" style="24" width="13.67"/>
    <col collapsed="false" customWidth="true" hidden="true" outlineLevel="1" max="41" min="41" style="24" width="14.11"/>
    <col collapsed="false" customWidth="true" hidden="true" outlineLevel="1" max="45" min="42" style="24" width="10"/>
    <col collapsed="false" customWidth="false" hidden="false" outlineLevel="0" max="16384" min="46" style="24" width="8.67"/>
  </cols>
  <sheetData>
    <row r="1" customFormat="false" ht="21.75" hidden="false" customHeight="true" outlineLevel="0" collapsed="false">
      <c r="D1" s="104" t="s">
        <v>291</v>
      </c>
      <c r="E1" s="104"/>
      <c r="F1" s="104"/>
      <c r="G1" s="104"/>
      <c r="H1" s="104"/>
      <c r="I1" s="104"/>
      <c r="J1" s="104"/>
      <c r="K1" s="104"/>
      <c r="L1" s="104"/>
      <c r="M1" s="104"/>
      <c r="N1" s="104"/>
      <c r="O1" s="104"/>
      <c r="P1" s="104" t="s">
        <v>292</v>
      </c>
      <c r="Q1" s="104"/>
      <c r="R1" s="104"/>
      <c r="S1" s="104"/>
      <c r="T1" s="104"/>
      <c r="U1" s="104"/>
      <c r="V1" s="104"/>
      <c r="W1" s="104"/>
      <c r="X1" s="104"/>
      <c r="Y1" s="105" t="s">
        <v>293</v>
      </c>
      <c r="Z1" s="105"/>
      <c r="AA1" s="105"/>
      <c r="AB1" s="105"/>
      <c r="AC1" s="105"/>
      <c r="AD1" s="105"/>
      <c r="AE1" s="105"/>
      <c r="AH1" s="106" t="s">
        <v>294</v>
      </c>
      <c r="AI1" s="106"/>
      <c r="AJ1" s="106"/>
      <c r="AK1" s="106"/>
      <c r="AL1" s="106" t="s">
        <v>295</v>
      </c>
      <c r="AM1" s="106"/>
      <c r="AN1" s="107" t="s">
        <v>296</v>
      </c>
      <c r="AO1" s="107"/>
      <c r="AP1" s="107"/>
      <c r="AQ1" s="107"/>
      <c r="AR1" s="107"/>
      <c r="AS1" s="107"/>
    </row>
    <row r="2" customFormat="false" ht="39.75" hidden="false" customHeight="true" outlineLevel="0" collapsed="false">
      <c r="A2" s="108" t="s">
        <v>81</v>
      </c>
      <c r="B2" s="108" t="s">
        <v>280</v>
      </c>
      <c r="C2" s="108" t="s">
        <v>297</v>
      </c>
      <c r="D2" s="108" t="s">
        <v>298</v>
      </c>
      <c r="E2" s="108" t="s">
        <v>299</v>
      </c>
      <c r="F2" s="108" t="s">
        <v>300</v>
      </c>
      <c r="G2" s="108" t="s">
        <v>299</v>
      </c>
      <c r="H2" s="108" t="s">
        <v>301</v>
      </c>
      <c r="I2" s="108" t="s">
        <v>299</v>
      </c>
      <c r="J2" s="108" t="s">
        <v>302</v>
      </c>
      <c r="K2" s="108" t="s">
        <v>299</v>
      </c>
      <c r="L2" s="108" t="s">
        <v>303</v>
      </c>
      <c r="M2" s="108" t="s">
        <v>304</v>
      </c>
      <c r="N2" s="108" t="s">
        <v>305</v>
      </c>
      <c r="O2" s="108" t="s">
        <v>306</v>
      </c>
      <c r="P2" s="108" t="s">
        <v>307</v>
      </c>
      <c r="Q2" s="108" t="s">
        <v>299</v>
      </c>
      <c r="R2" s="108" t="s">
        <v>308</v>
      </c>
      <c r="S2" s="108" t="s">
        <v>299</v>
      </c>
      <c r="T2" s="108" t="s">
        <v>309</v>
      </c>
      <c r="U2" s="108" t="s">
        <v>299</v>
      </c>
      <c r="V2" s="108" t="s">
        <v>310</v>
      </c>
      <c r="W2" s="108" t="s">
        <v>299</v>
      </c>
      <c r="X2" s="108" t="s">
        <v>311</v>
      </c>
      <c r="Y2" s="108" t="s">
        <v>312</v>
      </c>
      <c r="Z2" s="108" t="s">
        <v>299</v>
      </c>
      <c r="AA2" s="108" t="s">
        <v>313</v>
      </c>
      <c r="AB2" s="108" t="s">
        <v>299</v>
      </c>
      <c r="AC2" s="108" t="s">
        <v>314</v>
      </c>
      <c r="AD2" s="108" t="s">
        <v>299</v>
      </c>
      <c r="AE2" s="108" t="s">
        <v>315</v>
      </c>
      <c r="AF2" s="108" t="s">
        <v>316</v>
      </c>
      <c r="AG2" s="108" t="s">
        <v>284</v>
      </c>
      <c r="AH2" s="109" t="s">
        <v>317</v>
      </c>
      <c r="AI2" s="109" t="s">
        <v>318</v>
      </c>
      <c r="AJ2" s="109" t="s">
        <v>319</v>
      </c>
      <c r="AK2" s="109" t="s">
        <v>320</v>
      </c>
      <c r="AL2" s="106" t="s">
        <v>321</v>
      </c>
      <c r="AM2" s="91" t="s">
        <v>322</v>
      </c>
      <c r="AN2" s="110" t="s">
        <v>323</v>
      </c>
      <c r="AO2" s="110" t="s">
        <v>324</v>
      </c>
      <c r="AP2" s="110" t="s">
        <v>325</v>
      </c>
      <c r="AQ2" s="110" t="s">
        <v>326</v>
      </c>
      <c r="AR2" s="110" t="s">
        <v>327</v>
      </c>
      <c r="AS2" s="111" t="s">
        <v>328</v>
      </c>
    </row>
    <row r="3" customFormat="false" ht="15" hidden="false" customHeight="true" outlineLevel="0" collapsed="false">
      <c r="A3" s="61" t="s">
        <v>108</v>
      </c>
      <c r="B3" s="112" t="s">
        <v>109</v>
      </c>
      <c r="C3" s="113" t="n">
        <v>46295</v>
      </c>
      <c r="D3" s="114" t="n">
        <v>3</v>
      </c>
      <c r="E3" s="114" t="s">
        <v>329</v>
      </c>
      <c r="F3" s="114" t="n">
        <v>3</v>
      </c>
      <c r="G3" s="114" t="s">
        <v>329</v>
      </c>
      <c r="H3" s="114" t="n">
        <v>4</v>
      </c>
      <c r="I3" s="114" t="s">
        <v>330</v>
      </c>
      <c r="J3" s="114" t="n">
        <v>5</v>
      </c>
      <c r="K3" s="114" t="s">
        <v>330</v>
      </c>
      <c r="L3" s="114" t="n">
        <v>2</v>
      </c>
      <c r="M3" s="114" t="s">
        <v>329</v>
      </c>
      <c r="N3" s="115" t="n">
        <f aca="false">IF(COUNT(D3,F3,H3,J3,L3)=0,"",(D3*0.2+F3*0.15+H3*0.15+J3*0.1+L3*0.1)/(IF(D3&lt;&gt;"",0.2,0)+IF(F3&lt;&gt;"",0.15,0)+IF(H3&lt;&gt;"",0.15,0)+IF(J3&lt;&gt;"",0.1,0)+IF(L3&lt;&gt;"",0.1,0)))</f>
        <v>3.35714285714286</v>
      </c>
      <c r="O3" s="116" t="n">
        <f aca="false">IF(COUNT(D3,F3,H3,J3,L3)=0,"",D3*0.2+F3*0.15+H3*0.15+J3*0.1+L3*0.1)</f>
        <v>2.35</v>
      </c>
      <c r="P3" s="114" t="n">
        <v>4</v>
      </c>
      <c r="Q3" s="114" t="s">
        <v>329</v>
      </c>
      <c r="R3" s="114" t="n">
        <v>5</v>
      </c>
      <c r="S3" s="114" t="s">
        <v>329</v>
      </c>
      <c r="T3" s="114" t="n">
        <v>5</v>
      </c>
      <c r="U3" s="114" t="s">
        <v>330</v>
      </c>
      <c r="V3" s="114" t="n">
        <v>1</v>
      </c>
      <c r="W3" s="114" t="s">
        <v>330</v>
      </c>
      <c r="X3" s="116" t="n">
        <f aca="false">IF(COUNT(P3,R3,T3,V3)=0,"",P3*0.08+R3*0.06+T3*0.03+V3*0.08)</f>
        <v>0.85</v>
      </c>
      <c r="Y3" s="114" t="n">
        <v>5</v>
      </c>
      <c r="Z3" s="114" t="s">
        <v>330</v>
      </c>
      <c r="AA3" s="114" t="n">
        <v>3</v>
      </c>
      <c r="AB3" s="114" t="s">
        <v>329</v>
      </c>
      <c r="AC3" s="114" t="n">
        <v>3</v>
      </c>
      <c r="AD3" s="114" t="s">
        <v>331</v>
      </c>
      <c r="AE3" s="116" t="n">
        <f aca="false">IF(COUNT(Y3,AA3,AC3)=0,"",Y3*0.02+AA3*0.02+AC3*0.01)</f>
        <v>0.19</v>
      </c>
      <c r="AF3" s="96" t="n">
        <f aca="false">IF(OR(COUNT(D3,F3,H3,J3,L3)&lt;5,COUNT(P3,R3,T3,V3)&lt;4,COUNT(Y3,AA3,AC3)&lt;3),"",(O3+X3+AE3)*20)</f>
        <v>67.8</v>
      </c>
      <c r="AG3" s="92" t="str">
        <f aca="false">IF(AF3="","",IF(AF3&gt;=80,"STRONG BUY",IF(AF3&gt;=65,"BUY",IF(AF3&gt;=50,"WATCH LIST",IF(AF3&gt;=35,"AVOID","PASS")))))</f>
        <v>BUY</v>
      </c>
      <c r="AH3" s="92" t="str">
        <f aca="false">IF(N3="","",IF(N3&lt;3,"FAIL","OK"))</f>
        <v>OK</v>
      </c>
      <c r="AI3" s="92" t="str">
        <f aca="false">IF(COUNT(D3:L3)=0,"",IF(COUNTIF(D3:L3,1)&gt;0,"REVIEW","OK"))</f>
        <v>OK</v>
      </c>
      <c r="AJ3" s="92" t="str">
        <f aca="false">IF(COUNT(D3:L3)=0,"",IF(COUNTIF(D3:L3,"&lt;=2")&gt;=2,"AVOID","OK"))</f>
        <v>OK</v>
      </c>
      <c r="AK3" s="92" t="str">
        <f aca="false">IF(COUNTA(E3:M3)=0,"",IF(COUNTIF(E3:M3,"L")&gt;=2,"CAP AT BUY","OK"))</f>
        <v>OK</v>
      </c>
      <c r="AL3" s="117" t="s">
        <v>332</v>
      </c>
      <c r="AM3" s="118" t="s">
        <v>333</v>
      </c>
      <c r="AN3" s="119" t="n">
        <v>17525000000</v>
      </c>
      <c r="AO3" s="120" t="n">
        <v>8539000000</v>
      </c>
      <c r="AP3" s="114" t="str">
        <f aca="false">IF(OR(AN3="",AO3=""),"",IF(AN3&gt;AO3,"OK","LOW CONF"))</f>
        <v>OK</v>
      </c>
      <c r="AQ3" s="121" t="n">
        <v>9.159</v>
      </c>
      <c r="AR3" s="116" t="n">
        <v>115.76</v>
      </c>
      <c r="AS3" s="122" t="str">
        <f aca="false">IF(OR(AQ3="",AR3=""),"",IF(AQ3&lt;AR3,"Decreased",IF(AQ3&gt;AR3,"Increased","Flat")))</f>
        <v>Decreased</v>
      </c>
    </row>
    <row r="4" customFormat="false" ht="15" hidden="false" customHeight="true" outlineLevel="0" collapsed="false">
      <c r="A4" s="61" t="s">
        <v>165</v>
      </c>
      <c r="B4" s="112" t="s">
        <v>166</v>
      </c>
      <c r="C4" s="113" t="n">
        <v>46295</v>
      </c>
      <c r="D4" s="114" t="n">
        <v>2</v>
      </c>
      <c r="E4" s="114" t="s">
        <v>329</v>
      </c>
      <c r="F4" s="114" t="n">
        <v>3</v>
      </c>
      <c r="G4" s="114" t="s">
        <v>329</v>
      </c>
      <c r="H4" s="114" t="n">
        <v>5</v>
      </c>
      <c r="I4" s="114" t="s">
        <v>330</v>
      </c>
      <c r="J4" s="114" t="n">
        <v>4</v>
      </c>
      <c r="K4" s="114" t="s">
        <v>329</v>
      </c>
      <c r="L4" s="114" t="n">
        <v>2</v>
      </c>
      <c r="M4" s="114" t="s">
        <v>329</v>
      </c>
      <c r="N4" s="115" t="n">
        <f aca="false">IF(COUNT(D4,F4,H4,J4,L4)=0,"",(D4*0.2+F4*0.15+H4*0.15+J4*0.1+L4*0.1)/(IF(D4&lt;&gt;"",0.2,0)+IF(F4&lt;&gt;"",0.15,0)+IF(H4&lt;&gt;"",0.15,0)+IF(J4&lt;&gt;"",0.1,0)+IF(L4&lt;&gt;"",0.1,0)))</f>
        <v>3.14285714285714</v>
      </c>
      <c r="O4" s="116" t="n">
        <f aca="false">IF(COUNT(D4,F4,H4,J4,L4)=0,"",D4*0.2+F4*0.15+H4*0.15+J4*0.1+L4*0.1)</f>
        <v>2.2</v>
      </c>
      <c r="P4" s="114" t="n">
        <v>4</v>
      </c>
      <c r="Q4" s="114" t="s">
        <v>330</v>
      </c>
      <c r="R4" s="114" t="n">
        <v>4</v>
      </c>
      <c r="S4" s="114" t="s">
        <v>331</v>
      </c>
      <c r="T4" s="114" t="n">
        <v>4</v>
      </c>
      <c r="U4" s="114" t="s">
        <v>329</v>
      </c>
      <c r="V4" s="114" t="n">
        <v>4</v>
      </c>
      <c r="W4" s="114" t="s">
        <v>329</v>
      </c>
      <c r="X4" s="116" t="n">
        <f aca="false">IF(COUNT(P4,R4,T4,V4)=0,"",P4*0.08+R4*0.06+T4*0.03+V4*0.08)</f>
        <v>1</v>
      </c>
      <c r="Y4" s="114" t="n">
        <v>3</v>
      </c>
      <c r="Z4" s="114" t="s">
        <v>329</v>
      </c>
      <c r="AA4" s="114" t="n">
        <v>5</v>
      </c>
      <c r="AB4" s="114" t="s">
        <v>330</v>
      </c>
      <c r="AC4" s="114" t="n">
        <v>3</v>
      </c>
      <c r="AD4" s="114" t="s">
        <v>329</v>
      </c>
      <c r="AE4" s="116" t="n">
        <f aca="false">IF(COUNT(Y4,AA4,AC4)=0,"",Y4*0.02+AA4*0.02+AC4*0.01)</f>
        <v>0.19</v>
      </c>
      <c r="AF4" s="96" t="n">
        <f aca="false">IF(OR(COUNT(D4,F4,H4,J4,L4)&lt;5,COUNT(P4,R4,T4,V4)&lt;4,COUNT(Y4,AA4,AC4)&lt;3),"",(O4+X4+AE4)*20)</f>
        <v>67.8</v>
      </c>
      <c r="AG4" s="92" t="str">
        <f aca="false">IF(AF4="","",IF(AF4&gt;=80,"STRONG BUY",IF(AF4&gt;=65,"BUY",IF(AF4&gt;=50,"WATCH LIST",IF(AF4&gt;=35,"AVOID","PASS")))))</f>
        <v>BUY</v>
      </c>
      <c r="AH4" s="92" t="str">
        <f aca="false">IF(N4="","",IF(N4&lt;3,"FAIL","OK"))</f>
        <v>OK</v>
      </c>
      <c r="AI4" s="92" t="str">
        <f aca="false">IF(COUNT(D4:L4)=0,"",IF(COUNTIF(D4:L4,1)&gt;0,"REVIEW","OK"))</f>
        <v>OK</v>
      </c>
      <c r="AJ4" s="92" t="str">
        <f aca="false">IF(COUNT(D4:L4)=0,"",IF(COUNTIF(D4:L4,"&lt;=2")&gt;=2,"AVOID","OK"))</f>
        <v>AVOID</v>
      </c>
      <c r="AK4" s="92" t="str">
        <f aca="false">IF(COUNTA(E4:M4)=0,"",IF(COUNTIF(E4:M4,"L")&gt;=2,"CAP AT BUY","OK"))</f>
        <v>OK</v>
      </c>
      <c r="AL4" s="117" t="s">
        <v>332</v>
      </c>
      <c r="AM4" s="118" t="s">
        <v>333</v>
      </c>
      <c r="AN4" s="114"/>
      <c r="AO4" s="92"/>
      <c r="AP4" s="114" t="str">
        <f aca="false">IF(OR(AN4="",AO4=""),"",IF(AN4&gt;AO4,"OK","LOW CONF"))</f>
        <v/>
      </c>
      <c r="AQ4" s="114"/>
      <c r="AR4" s="92"/>
      <c r="AS4" s="122" t="str">
        <f aca="false">IF(OR(AQ4="",AR4=""),"",IF(AQ4&lt;AR4,"Decreased",IF(AQ4&gt;AR4,"Increased","Flat")))</f>
        <v/>
      </c>
    </row>
    <row r="5" customFormat="false" ht="15" hidden="false" customHeight="true" outlineLevel="0" collapsed="false">
      <c r="A5" s="61" t="s">
        <v>112</v>
      </c>
      <c r="B5" s="112" t="s">
        <v>113</v>
      </c>
      <c r="C5" s="113" t="n">
        <v>46295</v>
      </c>
      <c r="D5" s="114" t="n">
        <v>3</v>
      </c>
      <c r="E5" s="114" t="s">
        <v>329</v>
      </c>
      <c r="F5" s="114" t="n">
        <v>4</v>
      </c>
      <c r="G5" s="114" t="s">
        <v>329</v>
      </c>
      <c r="H5" s="114" t="n">
        <v>5</v>
      </c>
      <c r="I5" s="114" t="s">
        <v>329</v>
      </c>
      <c r="J5" s="114" t="n">
        <v>4</v>
      </c>
      <c r="K5" s="114" t="s">
        <v>329</v>
      </c>
      <c r="L5" s="114" t="n">
        <v>5</v>
      </c>
      <c r="M5" s="114" t="s">
        <v>329</v>
      </c>
      <c r="N5" s="115" t="n">
        <f aca="false">IF(COUNT(D5,F5,H5,J5,L5)=0,"",(D5*0.2+F5*0.15+H5*0.15+J5*0.1+L5*0.1)/(IF(D5&lt;&gt;"",0.2,0)+IF(F5&lt;&gt;"",0.15,0)+IF(H5&lt;&gt;"",0.15,0)+IF(J5&lt;&gt;"",0.1,0)+IF(L5&lt;&gt;"",0.1,0)))</f>
        <v>4.07142857142857</v>
      </c>
      <c r="O5" s="116" t="n">
        <f aca="false">IF(COUNT(D5,F5,H5,J5,L5)=0,"",D5*0.2+F5*0.15+H5*0.15+J5*0.1+L5*0.1)</f>
        <v>2.85</v>
      </c>
      <c r="P5" s="114" t="n">
        <v>3</v>
      </c>
      <c r="Q5" s="114" t="s">
        <v>329</v>
      </c>
      <c r="R5" s="114" t="n">
        <v>5</v>
      </c>
      <c r="S5" s="114" t="s">
        <v>330</v>
      </c>
      <c r="T5" s="114" t="n">
        <v>3</v>
      </c>
      <c r="U5" s="114" t="s">
        <v>329</v>
      </c>
      <c r="V5" s="114" t="n">
        <v>2</v>
      </c>
      <c r="W5" s="114" t="s">
        <v>329</v>
      </c>
      <c r="X5" s="116" t="n">
        <f aca="false">IF(COUNT(P5,R5,T5,V5)=0,"",P5*0.08+R5*0.06+T5*0.03+V5*0.08)</f>
        <v>0.79</v>
      </c>
      <c r="Y5" s="114" t="n">
        <v>3</v>
      </c>
      <c r="Z5" s="114" t="s">
        <v>331</v>
      </c>
      <c r="AA5" s="114" t="n">
        <v>4</v>
      </c>
      <c r="AB5" s="114" t="s">
        <v>329</v>
      </c>
      <c r="AC5" s="114" t="n">
        <v>3</v>
      </c>
      <c r="AD5" s="114" t="s">
        <v>331</v>
      </c>
      <c r="AE5" s="116" t="n">
        <f aca="false">IF(COUNT(Y5,AA5,AC5)=0,"",Y5*0.02+AA5*0.02+AC5*0.01)</f>
        <v>0.17</v>
      </c>
      <c r="AF5" s="96" t="n">
        <f aca="false">IF(OR(COUNT(D5,F5,H5,J5,L5)&lt;5,COUNT(P5,R5,T5,V5)&lt;4,COUNT(Y5,AA5,AC5)&lt;3),"",(O5+X5+AE5)*20)</f>
        <v>76.2</v>
      </c>
      <c r="AG5" s="92" t="str">
        <f aca="false">IF(AF5="","",IF(AF5&gt;=80,"STRONG BUY",IF(AF5&gt;=65,"BUY",IF(AF5&gt;=50,"WATCH LIST",IF(AF5&gt;=35,"AVOID","PASS")))))</f>
        <v>BUY</v>
      </c>
      <c r="AH5" s="92" t="str">
        <f aca="false">IF(N5="","",IF(N5&lt;3,"FAIL","OK"))</f>
        <v>OK</v>
      </c>
      <c r="AI5" s="92" t="str">
        <f aca="false">IF(COUNT(D5:L5)=0,"",IF(COUNTIF(D5:L5,1)&gt;0,"REVIEW","OK"))</f>
        <v>OK</v>
      </c>
      <c r="AJ5" s="92" t="str">
        <f aca="false">IF(COUNT(D5:L5)=0,"",IF(COUNTIF(D5:L5,"&lt;=2")&gt;=2,"AVOID","OK"))</f>
        <v>OK</v>
      </c>
      <c r="AK5" s="92" t="str">
        <f aca="false">IF(COUNTA(E5:M5)=0,"",IF(COUNTIF(E5:M5,"L")&gt;=2,"CAP AT BUY","OK"))</f>
        <v>OK</v>
      </c>
      <c r="AL5" s="117" t="s">
        <v>332</v>
      </c>
      <c r="AM5" s="118" t="s">
        <v>334</v>
      </c>
      <c r="AN5" s="114"/>
      <c r="AO5" s="92"/>
      <c r="AP5" s="114" t="str">
        <f aca="false">IF(OR(AN5="",AO5=""),"",IF(AN5&gt;AO5,"OK","LOW CONF"))</f>
        <v/>
      </c>
      <c r="AQ5" s="114"/>
      <c r="AR5" s="92"/>
      <c r="AS5" s="122" t="str">
        <f aca="false">IF(OR(AQ5="",AR5=""),"",IF(AQ5&lt;AR5,"Decreased",IF(AQ5&gt;AR5,"Increased","Flat")))</f>
        <v/>
      </c>
    </row>
    <row r="6" customFormat="false" ht="15" hidden="false" customHeight="true" outlineLevel="0" collapsed="false">
      <c r="A6" s="61" t="s">
        <v>110</v>
      </c>
      <c r="B6" s="112" t="s">
        <v>111</v>
      </c>
      <c r="C6" s="113" t="n">
        <v>46295</v>
      </c>
      <c r="D6" s="114" t="n">
        <v>3</v>
      </c>
      <c r="E6" s="114" t="s">
        <v>329</v>
      </c>
      <c r="F6" s="114" t="n">
        <v>5</v>
      </c>
      <c r="G6" s="114" t="s">
        <v>329</v>
      </c>
      <c r="H6" s="114" t="n">
        <v>5</v>
      </c>
      <c r="I6" s="114" t="s">
        <v>330</v>
      </c>
      <c r="J6" s="114" t="n">
        <v>4</v>
      </c>
      <c r="K6" s="114" t="s">
        <v>330</v>
      </c>
      <c r="L6" s="114" t="n">
        <v>5</v>
      </c>
      <c r="M6" s="114" t="s">
        <v>329</v>
      </c>
      <c r="N6" s="115" t="n">
        <f aca="false">IF(COUNT(D6,F6,H6,J6,L6)=0,"",(D6*0.2+F6*0.15+H6*0.15+J6*0.1+L6*0.1)/(IF(D6&lt;&gt;"",0.2,0)+IF(F6&lt;&gt;"",0.15,0)+IF(H6&lt;&gt;"",0.15,0)+IF(J6&lt;&gt;"",0.1,0)+IF(L6&lt;&gt;"",0.1,0)))</f>
        <v>4.28571428571429</v>
      </c>
      <c r="O6" s="116" t="n">
        <f aca="false">IF(COUNT(D6,F6,H6,J6,L6)=0,"",D6*0.2+F6*0.15+H6*0.15+J6*0.1+L6*0.1)</f>
        <v>3</v>
      </c>
      <c r="P6" s="114" t="n">
        <v>5</v>
      </c>
      <c r="Q6" s="114" t="s">
        <v>330</v>
      </c>
      <c r="R6" s="114" t="n">
        <v>5</v>
      </c>
      <c r="S6" s="114" t="s">
        <v>330</v>
      </c>
      <c r="T6" s="114" t="n">
        <v>5</v>
      </c>
      <c r="U6" s="114" t="s">
        <v>330</v>
      </c>
      <c r="V6" s="114" t="n">
        <v>5</v>
      </c>
      <c r="W6" s="114" t="s">
        <v>329</v>
      </c>
      <c r="X6" s="116" t="n">
        <f aca="false">IF(COUNT(P6,R6,T6,V6)=0,"",P6*0.08+R6*0.06+T6*0.03+V6*0.08)</f>
        <v>1.25</v>
      </c>
      <c r="Y6" s="114" t="n">
        <v>4</v>
      </c>
      <c r="Z6" s="114" t="s">
        <v>329</v>
      </c>
      <c r="AA6" s="114" t="n">
        <v>5</v>
      </c>
      <c r="AB6" s="114" t="s">
        <v>329</v>
      </c>
      <c r="AC6" s="114" t="n">
        <v>3</v>
      </c>
      <c r="AD6" s="114" t="s">
        <v>331</v>
      </c>
      <c r="AE6" s="116" t="n">
        <f aca="false">IF(COUNT(Y6,AA6,AC6)=0,"",Y6*0.02+AA6*0.02+AC6*0.01)</f>
        <v>0.21</v>
      </c>
      <c r="AF6" s="96" t="n">
        <f aca="false">IF(OR(COUNT(D6,F6,H6,J6,L6)&lt;5,COUNT(P6,R6,T6,V6)&lt;4,COUNT(Y6,AA6,AC6)&lt;3),"",(O6+X6+AE6)*20)</f>
        <v>89.2</v>
      </c>
      <c r="AG6" s="92" t="str">
        <f aca="false">IF(AF6="","",IF(AF6&gt;=80,"STRONG BUY",IF(AF6&gt;=65,"BUY",IF(AF6&gt;=50,"WATCH LIST",IF(AF6&gt;=35,"AVOID","PASS")))))</f>
        <v>STRONG BUY</v>
      </c>
      <c r="AH6" s="92" t="str">
        <f aca="false">IF(N6="","",IF(N6&lt;3,"FAIL","OK"))</f>
        <v>OK</v>
      </c>
      <c r="AI6" s="92" t="str">
        <f aca="false">IF(COUNT(D6:L6)=0,"",IF(COUNTIF(D6:L6,1)&gt;0,"REVIEW","OK"))</f>
        <v>OK</v>
      </c>
      <c r="AJ6" s="92" t="str">
        <f aca="false">IF(COUNT(D6:L6)=0,"",IF(COUNTIF(D6:L6,"&lt;=2")&gt;=2,"AVOID","OK"))</f>
        <v>OK</v>
      </c>
      <c r="AK6" s="92" t="str">
        <f aca="false">IF(COUNTA(E6:M6)=0,"",IF(COUNTIF(E6:M6,"L")&gt;=2,"CAP AT BUY","OK"))</f>
        <v>OK</v>
      </c>
      <c r="AL6" s="117" t="s">
        <v>332</v>
      </c>
      <c r="AM6" s="118" t="s">
        <v>333</v>
      </c>
      <c r="AN6" s="114"/>
      <c r="AO6" s="92"/>
      <c r="AP6" s="114" t="str">
        <f aca="false">IF(OR(AN6="",AO6=""),"",IF(AN6&gt;AO6,"OK","LOW CONF"))</f>
        <v/>
      </c>
      <c r="AQ6" s="114"/>
      <c r="AR6" s="92"/>
      <c r="AS6" s="122" t="str">
        <f aca="false">IF(OR(AQ6="",AR6=""),"",IF(AQ6&lt;AR6,"Decreased",IF(AQ6&gt;AR6,"Increased","Flat")))</f>
        <v/>
      </c>
    </row>
    <row r="7" customFormat="false" ht="15" hidden="false" customHeight="true" outlineLevel="0" collapsed="false">
      <c r="A7" s="61" t="s">
        <v>167</v>
      </c>
      <c r="B7" s="112" t="s">
        <v>168</v>
      </c>
      <c r="C7" s="113" t="n">
        <v>46295</v>
      </c>
      <c r="D7" s="114" t="n">
        <v>2</v>
      </c>
      <c r="E7" s="114" t="s">
        <v>329</v>
      </c>
      <c r="F7" s="114" t="n">
        <v>4</v>
      </c>
      <c r="G7" s="114" t="s">
        <v>329</v>
      </c>
      <c r="H7" s="114" t="n">
        <v>4</v>
      </c>
      <c r="I7" s="114" t="s">
        <v>329</v>
      </c>
      <c r="J7" s="114" t="n">
        <v>4</v>
      </c>
      <c r="K7" s="114" t="s">
        <v>329</v>
      </c>
      <c r="L7" s="114" t="n">
        <v>2</v>
      </c>
      <c r="M7" s="114" t="s">
        <v>329</v>
      </c>
      <c r="N7" s="115" t="n">
        <f aca="false">IF(COUNT(D7,F7,H7,J7,L7)=0,"",(D7*0.2+F7*0.15+H7*0.15+J7*0.1+L7*0.1)/(IF(D7&lt;&gt;"",0.2,0)+IF(F7&lt;&gt;"",0.15,0)+IF(H7&lt;&gt;"",0.15,0)+IF(J7&lt;&gt;"",0.1,0)+IF(L7&lt;&gt;"",0.1,0)))</f>
        <v>3.14285714285714</v>
      </c>
      <c r="O7" s="116" t="n">
        <f aca="false">IF(COUNT(D7,F7,H7,J7,L7)=0,"",D7*0.2+F7*0.15+H7*0.15+J7*0.1+L7*0.1)</f>
        <v>2.2</v>
      </c>
      <c r="P7" s="114" t="n">
        <v>3</v>
      </c>
      <c r="Q7" s="114" t="s">
        <v>329</v>
      </c>
      <c r="R7" s="114" t="n">
        <v>4</v>
      </c>
      <c r="S7" s="114" t="s">
        <v>329</v>
      </c>
      <c r="T7" s="114" t="n">
        <v>4</v>
      </c>
      <c r="U7" s="114" t="s">
        <v>329</v>
      </c>
      <c r="V7" s="114" t="n">
        <v>4</v>
      </c>
      <c r="W7" s="114" t="s">
        <v>329</v>
      </c>
      <c r="X7" s="116" t="n">
        <f aca="false">IF(COUNT(P7,R7,T7,V7)=0,"",P7*0.08+R7*0.06+T7*0.03+V7*0.08)</f>
        <v>0.92</v>
      </c>
      <c r="Y7" s="114" t="n">
        <v>4</v>
      </c>
      <c r="Z7" s="114" t="s">
        <v>329</v>
      </c>
      <c r="AA7" s="114" t="n">
        <v>5</v>
      </c>
      <c r="AB7" s="114" t="s">
        <v>330</v>
      </c>
      <c r="AC7" s="114" t="n">
        <v>3</v>
      </c>
      <c r="AD7" s="114" t="s">
        <v>331</v>
      </c>
      <c r="AE7" s="116" t="n">
        <f aca="false">IF(COUNT(Y7,AA7,AC7)=0,"",Y7*0.02+AA7*0.02+AC7*0.01)</f>
        <v>0.21</v>
      </c>
      <c r="AF7" s="96" t="n">
        <f aca="false">IF(OR(COUNT(D7,F7,H7,J7,L7)&lt;5,COUNT(P7,R7,T7,V7)&lt;4,COUNT(Y7,AA7,AC7)&lt;3),"",(O7+X7+AE7)*20)</f>
        <v>66.6</v>
      </c>
      <c r="AG7" s="92" t="str">
        <f aca="false">IF(AF7="","",IF(AF7&gt;=80,"STRONG BUY",IF(AF7&gt;=65,"BUY",IF(AF7&gt;=50,"WATCH LIST",IF(AF7&gt;=35,"AVOID","PASS")))))</f>
        <v>BUY</v>
      </c>
      <c r="AH7" s="92" t="str">
        <f aca="false">IF(N7="","",IF(N7&lt;3,"FAIL","OK"))</f>
        <v>OK</v>
      </c>
      <c r="AI7" s="92" t="str">
        <f aca="false">IF(COUNT(D7:L7)=0,"",IF(COUNTIF(D7:L7,1)&gt;0,"REVIEW","OK"))</f>
        <v>OK</v>
      </c>
      <c r="AJ7" s="92" t="str">
        <f aca="false">IF(COUNT(D7:L7)=0,"",IF(COUNTIF(D7:L7,"&lt;=2")&gt;=2,"AVOID","OK"))</f>
        <v>AVOID</v>
      </c>
      <c r="AK7" s="92" t="str">
        <f aca="false">IF(COUNTA(E7:M7)=0,"",IF(COUNTIF(E7:M7,"L")&gt;=2,"CAP AT BUY","OK"))</f>
        <v>OK</v>
      </c>
      <c r="AL7" s="117" t="s">
        <v>335</v>
      </c>
      <c r="AM7" s="118" t="s">
        <v>336</v>
      </c>
      <c r="AN7" s="119" t="n">
        <v>3631400000</v>
      </c>
      <c r="AO7" s="120" t="n">
        <v>3953200000</v>
      </c>
      <c r="AP7" s="114" t="str">
        <f aca="false">IF(OR(AN7="",AO7=""),"",IF(AN7&gt;AO7,"OK","LOW CONF"))</f>
        <v>LOW CONF</v>
      </c>
      <c r="AQ7" s="121" t="n">
        <v>0.636</v>
      </c>
      <c r="AR7" s="116" t="n">
        <v>-1.784</v>
      </c>
      <c r="AS7" s="122" t="str">
        <f aca="false">IF(OR(AQ7="",AR7=""),"",IF(AQ7&lt;AR7,"Decreased",IF(AQ7&gt;AR7,"Increased","Flat")))</f>
        <v>Increased</v>
      </c>
    </row>
    <row r="8" customFormat="false" ht="15" hidden="false" customHeight="true" outlineLevel="0" collapsed="false">
      <c r="A8" s="61" t="s">
        <v>170</v>
      </c>
      <c r="B8" s="112" t="s">
        <v>337</v>
      </c>
      <c r="C8" s="113" t="n">
        <v>46295</v>
      </c>
      <c r="D8" s="114" t="n">
        <v>4</v>
      </c>
      <c r="E8" s="114" t="s">
        <v>329</v>
      </c>
      <c r="F8" s="114" t="n">
        <v>2</v>
      </c>
      <c r="G8" s="114" t="s">
        <v>331</v>
      </c>
      <c r="H8" s="114" t="n">
        <v>5</v>
      </c>
      <c r="I8" s="114" t="s">
        <v>330</v>
      </c>
      <c r="J8" s="114" t="n">
        <v>4</v>
      </c>
      <c r="K8" s="114" t="s">
        <v>329</v>
      </c>
      <c r="L8" s="114" t="n">
        <v>5</v>
      </c>
      <c r="M8" s="114" t="s">
        <v>330</v>
      </c>
      <c r="N8" s="115" t="n">
        <f aca="false">IF(COUNT(D8,F8,H8,J8,L8)=0,"",(D8*0.2+F8*0.15+H8*0.15+J8*0.1+L8*0.1)/(IF(D8&lt;&gt;"",0.2,0)+IF(F8&lt;&gt;"",0.15,0)+IF(H8&lt;&gt;"",0.15,0)+IF(J8&lt;&gt;"",0.1,0)+IF(L8&lt;&gt;"",0.1,0)))</f>
        <v>3.92857142857143</v>
      </c>
      <c r="O8" s="116" t="n">
        <f aca="false">IF(COUNT(D8,F8,H8,J8,L8)=0,"",D8*0.2+F8*0.15+H8*0.15+J8*0.1+L8*0.1)</f>
        <v>2.75</v>
      </c>
      <c r="P8" s="114" t="n">
        <v>5</v>
      </c>
      <c r="Q8" s="114" t="s">
        <v>330</v>
      </c>
      <c r="R8" s="114" t="n">
        <v>3</v>
      </c>
      <c r="S8" s="114" t="s">
        <v>331</v>
      </c>
      <c r="T8" s="114" t="n">
        <v>4</v>
      </c>
      <c r="U8" s="114" t="s">
        <v>331</v>
      </c>
      <c r="V8" s="114" t="n">
        <v>2</v>
      </c>
      <c r="W8" s="114" t="s">
        <v>330</v>
      </c>
      <c r="X8" s="116" t="n">
        <f aca="false">IF(COUNT(P8,R8,T8,V8)=0,"",P8*0.08+R8*0.06+T8*0.03+V8*0.08)</f>
        <v>0.86</v>
      </c>
      <c r="Y8" s="114" t="n">
        <v>4</v>
      </c>
      <c r="Z8" s="114" t="s">
        <v>331</v>
      </c>
      <c r="AA8" s="114" t="n">
        <v>4</v>
      </c>
      <c r="AB8" s="114" t="s">
        <v>329</v>
      </c>
      <c r="AC8" s="114" t="n">
        <v>3</v>
      </c>
      <c r="AD8" s="114" t="s">
        <v>331</v>
      </c>
      <c r="AE8" s="116" t="n">
        <f aca="false">IF(COUNT(Y8,AA8,AC8)=0,"",Y8*0.02+AA8*0.02+AC8*0.01)</f>
        <v>0.19</v>
      </c>
      <c r="AF8" s="96" t="n">
        <f aca="false">IF(OR(COUNT(D8,F8,H8,J8,L8)&lt;5,COUNT(P8,R8,T8,V8)&lt;4,COUNT(Y8,AA8,AC8)&lt;3),"",(O8+X8+AE8)*20)</f>
        <v>76</v>
      </c>
      <c r="AG8" s="92" t="str">
        <f aca="false">IF(AF8="","",IF(AF8&gt;=80,"STRONG BUY",IF(AF8&gt;=65,"BUY",IF(AF8&gt;=50,"WATCH LIST",IF(AF8&gt;=35,"AVOID","PASS")))))</f>
        <v>BUY</v>
      </c>
      <c r="AH8" s="92" t="str">
        <f aca="false">IF(N8="","",IF(N8&lt;3,"FAIL","OK"))</f>
        <v>OK</v>
      </c>
      <c r="AI8" s="92" t="str">
        <f aca="false">IF(COUNT(D8:L8)=0,"",IF(COUNTIF(D8:L8,1)&gt;0,"REVIEW","OK"))</f>
        <v>OK</v>
      </c>
      <c r="AJ8" s="92" t="str">
        <f aca="false">IF(COUNT(D8:L8)=0,"",IF(COUNTIF(D8:L8,"&lt;=2")&gt;=2,"AVOID","OK"))</f>
        <v>OK</v>
      </c>
      <c r="AK8" s="92" t="str">
        <f aca="false">IF(COUNTA(E8:M8)=0,"",IF(COUNTIF(E8:M8,"L")&gt;=2,"CAP AT BUY","OK"))</f>
        <v>OK</v>
      </c>
      <c r="AL8" s="117" t="s">
        <v>338</v>
      </c>
      <c r="AM8" s="118" t="s">
        <v>339</v>
      </c>
      <c r="AN8" s="114"/>
      <c r="AO8" s="92"/>
      <c r="AP8" s="114" t="str">
        <f aca="false">IF(OR(AN8="",AO8=""),"",IF(AN8&gt;AO8,"OK","LOW CONF"))</f>
        <v/>
      </c>
      <c r="AQ8" s="114"/>
      <c r="AR8" s="92"/>
      <c r="AS8" s="122" t="str">
        <f aca="false">IF(OR(AQ8="",AR8=""),"",IF(AQ8&lt;AR8,"Decreased",IF(AQ8&gt;AR8,"Increased","Flat")))</f>
        <v/>
      </c>
    </row>
    <row r="9" customFormat="false" ht="15" hidden="true" customHeight="true" outlineLevel="1" collapsed="false">
      <c r="A9" s="61" t="s">
        <v>173</v>
      </c>
      <c r="B9" s="112" t="s">
        <v>174</v>
      </c>
      <c r="C9" s="113" t="n">
        <v>46240</v>
      </c>
      <c r="D9" s="114" t="n">
        <v>2</v>
      </c>
      <c r="E9" s="114" t="s">
        <v>329</v>
      </c>
      <c r="F9" s="114" t="n">
        <v>2</v>
      </c>
      <c r="G9" s="114" t="s">
        <v>329</v>
      </c>
      <c r="H9" s="114" t="n">
        <v>2</v>
      </c>
      <c r="I9" s="114" t="s">
        <v>329</v>
      </c>
      <c r="J9" s="114" t="n">
        <v>2</v>
      </c>
      <c r="K9" s="114" t="s">
        <v>329</v>
      </c>
      <c r="L9" s="114" t="n">
        <v>1</v>
      </c>
      <c r="M9" s="114" t="s">
        <v>330</v>
      </c>
      <c r="N9" s="115" t="n">
        <f aca="false">IF(COUNT(D9,F9,H9,J9,L9)=0,"",(D9*0.2+F9*0.15+H9*0.15+J9*0.1+L9*0.1)/(IF(D9&lt;&gt;"",0.2,0)+IF(F9&lt;&gt;"",0.15,0)+IF(H9&lt;&gt;"",0.15,0)+IF(J9&lt;&gt;"",0.1,0)+IF(L9&lt;&gt;"",0.1,0)))</f>
        <v>1.85714285714286</v>
      </c>
      <c r="O9" s="116" t="n">
        <f aca="false">IF(COUNT(D9,F9,H9,J9,L9)=0,"",D9*0.2+F9*0.15+H9*0.15+J9*0.1+L9*0.1)</f>
        <v>1.3</v>
      </c>
      <c r="P9" s="114"/>
      <c r="Q9" s="114"/>
      <c r="R9" s="114"/>
      <c r="S9" s="114"/>
      <c r="T9" s="114"/>
      <c r="U9" s="114"/>
      <c r="V9" s="114"/>
      <c r="W9" s="114"/>
      <c r="X9" s="116" t="str">
        <f aca="false">IF(COUNT(P9,R9,T9,V9)=0,"",P9*0.08+R9*0.06+T9*0.03+V9*0.08)</f>
        <v/>
      </c>
      <c r="Y9" s="114"/>
      <c r="Z9" s="114"/>
      <c r="AA9" s="114"/>
      <c r="AB9" s="114"/>
      <c r="AC9" s="114"/>
      <c r="AD9" s="114"/>
      <c r="AE9" s="116" t="str">
        <f aca="false">IF(COUNT(Y9,AA9,AC9)=0,"",Y9*0.02+AA9*0.02+AC9*0.01)</f>
        <v/>
      </c>
      <c r="AF9" s="96" t="str">
        <f aca="false">IF(OR(COUNT(D9,F9,H9,J9,L9)&lt;5,COUNT(P9,R9,T9,V9)&lt;4,COUNT(Y9,AA9,AC9)&lt;3),"",(O9+X9+AE9)*20)</f>
        <v/>
      </c>
      <c r="AG9" s="92" t="str">
        <f aca="false">IF(AF9="","",IF(AF9&gt;=80,"STRONG BUY",IF(AF9&gt;=65,"BUY",IF(AF9&gt;=50,"WATCH LIST",IF(AF9&gt;=35,"AVOID","PASS")))))</f>
        <v/>
      </c>
      <c r="AH9" s="92" t="str">
        <f aca="false">IF(N9="","",IF(N9&lt;3,"FAIL","OK"))</f>
        <v>FAIL</v>
      </c>
      <c r="AI9" s="92" t="str">
        <f aca="false">IF(COUNT(D9:L9)=0,"",IF(COUNTIF(D9:L9,1)&gt;0,"REVIEW","OK"))</f>
        <v>REVIEW</v>
      </c>
      <c r="AJ9" s="92" t="str">
        <f aca="false">IF(COUNT(D9:L9)=0,"",IF(COUNTIF(D9:L9,"&lt;=2")&gt;=2,"AVOID","OK"))</f>
        <v>AVOID</v>
      </c>
      <c r="AK9" s="92" t="str">
        <f aca="false">IF(COUNTA(E9:M9)=0,"",IF(COUNTIF(E9:M9,"L")&gt;=2,"CAP AT BUY","OK"))</f>
        <v>OK</v>
      </c>
      <c r="AL9" s="117" t="s">
        <v>340</v>
      </c>
      <c r="AM9" s="118" t="s">
        <v>341</v>
      </c>
      <c r="AN9" s="119" t="n">
        <v>715998000</v>
      </c>
      <c r="AO9" s="120" t="n">
        <v>523670000</v>
      </c>
      <c r="AP9" s="114" t="str">
        <f aca="false">IF(OR(AN9="",AO9=""),"",IF(AN9&gt;AO9,"OK","LOW CONF"))</f>
        <v>OK</v>
      </c>
      <c r="AQ9" s="121" t="n">
        <v>4.155</v>
      </c>
      <c r="AR9" s="116" t="n">
        <v>4.048</v>
      </c>
      <c r="AS9" s="122" t="str">
        <f aca="false">IF(OR(AQ9="",AR9=""),"",IF(AQ9&lt;AR9,"Decreased",IF(AQ9&gt;AR9,"Increased","Flat")))</f>
        <v>Increased</v>
      </c>
    </row>
    <row r="10" customFormat="false" ht="15" hidden="true" customHeight="true" outlineLevel="1" collapsed="false">
      <c r="A10" s="61" t="s">
        <v>184</v>
      </c>
      <c r="B10" s="112" t="s">
        <v>185</v>
      </c>
      <c r="C10" s="113" t="n">
        <v>46240</v>
      </c>
      <c r="D10" s="114" t="n">
        <v>2</v>
      </c>
      <c r="E10" s="114" t="s">
        <v>329</v>
      </c>
      <c r="F10" s="114" t="n">
        <v>4</v>
      </c>
      <c r="G10" s="114" t="s">
        <v>330</v>
      </c>
      <c r="H10" s="114" t="n">
        <v>3</v>
      </c>
      <c r="I10" s="114" t="s">
        <v>329</v>
      </c>
      <c r="J10" s="114" t="n">
        <v>2</v>
      </c>
      <c r="K10" s="114" t="s">
        <v>329</v>
      </c>
      <c r="L10" s="114" t="n">
        <v>2</v>
      </c>
      <c r="M10" s="114" t="s">
        <v>330</v>
      </c>
      <c r="N10" s="115" t="n">
        <f aca="false">IF(COUNT(D10,F10,H10,J10,L10)=0,"",(D10*0.2+F10*0.15+H10*0.15+J10*0.1+L10*0.1)/(IF(D10&lt;&gt;"",0.2,0)+IF(F10&lt;&gt;"",0.15,0)+IF(H10&lt;&gt;"",0.15,0)+IF(J10&lt;&gt;"",0.1,0)+IF(L10&lt;&gt;"",0.1,0)))</f>
        <v>2.64285714285714</v>
      </c>
      <c r="O10" s="116" t="n">
        <f aca="false">IF(COUNT(D10,F10,H10,J10,L10)=0,"",D10*0.2+F10*0.15+H10*0.15+J10*0.1+L10*0.1)</f>
        <v>1.85</v>
      </c>
      <c r="P10" s="114"/>
      <c r="Q10" s="114"/>
      <c r="R10" s="114"/>
      <c r="S10" s="114"/>
      <c r="T10" s="114"/>
      <c r="U10" s="114"/>
      <c r="V10" s="114"/>
      <c r="W10" s="114"/>
      <c r="X10" s="116" t="str">
        <f aca="false">IF(COUNT(P10,R10,T10,V10)=0,"",P10*0.08+R10*0.06+T10*0.03+V10*0.08)</f>
        <v/>
      </c>
      <c r="Y10" s="114"/>
      <c r="Z10" s="114"/>
      <c r="AA10" s="114"/>
      <c r="AB10" s="114"/>
      <c r="AC10" s="114"/>
      <c r="AD10" s="114"/>
      <c r="AE10" s="116" t="str">
        <f aca="false">IF(COUNT(Y10,AA10,AC10)=0,"",Y10*0.02+AA10*0.02+AC10*0.01)</f>
        <v/>
      </c>
      <c r="AF10" s="96" t="str">
        <f aca="false">IF(OR(COUNT(D10,F10,H10,J10,L10)&lt;5,COUNT(P10,R10,T10,V10)&lt;4,COUNT(Y10,AA10,AC10)&lt;3),"",(O10+X10+AE10)*20)</f>
        <v/>
      </c>
      <c r="AG10" s="92" t="str">
        <f aca="false">IF(AF10="","",IF(AF10&gt;=80,"STRONG BUY",IF(AF10&gt;=65,"BUY",IF(AF10&gt;=50,"WATCH LIST",IF(AF10&gt;=35,"AVOID","PASS")))))</f>
        <v/>
      </c>
      <c r="AH10" s="92" t="str">
        <f aca="false">IF(N10="","",IF(N10&lt;3,"FAIL","OK"))</f>
        <v>FAIL</v>
      </c>
      <c r="AI10" s="92" t="str">
        <f aca="false">IF(COUNT(D10:L10)=0,"",IF(COUNTIF(D10:L10,1)&gt;0,"REVIEW","OK"))</f>
        <v>OK</v>
      </c>
      <c r="AJ10" s="92" t="str">
        <f aca="false">IF(COUNT(D10:L10)=0,"",IF(COUNTIF(D10:L10,"&lt;=2")&gt;=2,"AVOID","OK"))</f>
        <v>AVOID</v>
      </c>
      <c r="AK10" s="92" t="str">
        <f aca="false">IF(COUNTA(E10:M10)=0,"",IF(COUNTIF(E10:M10,"L")&gt;=2,"CAP AT BUY","OK"))</f>
        <v>OK</v>
      </c>
      <c r="AL10" s="117" t="s">
        <v>342</v>
      </c>
      <c r="AM10" s="118" t="s">
        <v>343</v>
      </c>
      <c r="AN10" s="119" t="n">
        <v>359500000</v>
      </c>
      <c r="AO10" s="120" t="n">
        <v>203700000</v>
      </c>
      <c r="AP10" s="114" t="str">
        <f aca="false">IF(OR(AN10="",AO10=""),"",IF(AN10&gt;AO10,"OK","LOW CONF"))</f>
        <v>OK</v>
      </c>
      <c r="AQ10" s="121" t="n">
        <v>1.857</v>
      </c>
      <c r="AR10" s="116" t="n">
        <v>0.78</v>
      </c>
      <c r="AS10" s="122" t="str">
        <f aca="false">IF(OR(AQ10="",AR10=""),"",IF(AQ10&lt;AR10,"Decreased",IF(AQ10&gt;AR10,"Increased","Flat")))</f>
        <v>Increased</v>
      </c>
    </row>
    <row r="11" customFormat="false" ht="15" hidden="true" customHeight="true" outlineLevel="1" collapsed="false">
      <c r="A11" s="61" t="s">
        <v>176</v>
      </c>
      <c r="B11" s="112" t="s">
        <v>177</v>
      </c>
      <c r="C11" s="113" t="n">
        <v>46240</v>
      </c>
      <c r="D11" s="114" t="n">
        <v>1</v>
      </c>
      <c r="E11" s="114" t="s">
        <v>330</v>
      </c>
      <c r="F11" s="114" t="n">
        <v>2</v>
      </c>
      <c r="G11" s="114" t="s">
        <v>329</v>
      </c>
      <c r="H11" s="114" t="n">
        <v>3</v>
      </c>
      <c r="I11" s="114" t="s">
        <v>329</v>
      </c>
      <c r="J11" s="114" t="n">
        <v>3</v>
      </c>
      <c r="K11" s="114" t="s">
        <v>329</v>
      </c>
      <c r="L11" s="114" t="n">
        <v>1</v>
      </c>
      <c r="M11" s="114" t="s">
        <v>330</v>
      </c>
      <c r="N11" s="115" t="n">
        <f aca="false">IF(COUNT(D11,F11,H11,J11,L11)=0,"",(D11*0.2+F11*0.15+H11*0.15+J11*0.1+L11*0.1)/(IF(D11&lt;&gt;"",0.2,0)+IF(F11&lt;&gt;"",0.15,0)+IF(H11&lt;&gt;"",0.15,0)+IF(J11&lt;&gt;"",0.1,0)+IF(L11&lt;&gt;"",0.1,0)))</f>
        <v>1.92857142857143</v>
      </c>
      <c r="O11" s="116" t="n">
        <f aca="false">IF(COUNT(D11,F11,H11,J11,L11)=0,"",D11*0.2+F11*0.15+H11*0.15+J11*0.1+L11*0.1)</f>
        <v>1.35</v>
      </c>
      <c r="P11" s="114"/>
      <c r="Q11" s="114"/>
      <c r="R11" s="114"/>
      <c r="S11" s="114"/>
      <c r="T11" s="114"/>
      <c r="U11" s="114"/>
      <c r="V11" s="114"/>
      <c r="W11" s="114"/>
      <c r="X11" s="116" t="str">
        <f aca="false">IF(COUNT(P11,R11,T11,V11)=0,"",P11*0.08+R11*0.06+T11*0.03+V11*0.08)</f>
        <v/>
      </c>
      <c r="Y11" s="114"/>
      <c r="Z11" s="114"/>
      <c r="AA11" s="114"/>
      <c r="AB11" s="114"/>
      <c r="AC11" s="114"/>
      <c r="AD11" s="114"/>
      <c r="AE11" s="116" t="str">
        <f aca="false">IF(COUNT(Y11,AA11,AC11)=0,"",Y11*0.02+AA11*0.02+AC11*0.01)</f>
        <v/>
      </c>
      <c r="AF11" s="96" t="str">
        <f aca="false">IF(OR(COUNT(D11,F11,H11,J11,L11)&lt;5,COUNT(P11,R11,T11,V11)&lt;4,COUNT(Y11,AA11,AC11)&lt;3),"",(O11+X11+AE11)*20)</f>
        <v/>
      </c>
      <c r="AG11" s="92" t="str">
        <f aca="false">IF(AF11="","",IF(AF11&gt;=80,"STRONG BUY",IF(AF11&gt;=65,"BUY",IF(AF11&gt;=50,"WATCH LIST",IF(AF11&gt;=35,"AVOID","PASS")))))</f>
        <v/>
      </c>
      <c r="AH11" s="92" t="str">
        <f aca="false">IF(N11="","",IF(N11&lt;3,"FAIL","OK"))</f>
        <v>FAIL</v>
      </c>
      <c r="AI11" s="92" t="str">
        <f aca="false">IF(COUNT(D11:L11)=0,"",IF(COUNTIF(D11:L11,1)&gt;0,"REVIEW","OK"))</f>
        <v>REVIEW</v>
      </c>
      <c r="AJ11" s="92" t="str">
        <f aca="false">IF(COUNT(D11:L11)=0,"",IF(COUNTIF(D11:L11,"&lt;=2")&gt;=2,"AVOID","OK"))</f>
        <v>AVOID</v>
      </c>
      <c r="AK11" s="92" t="str">
        <f aca="false">IF(COUNTA(E11:M11)=0,"",IF(COUNTIF(E11:M11,"L")&gt;=2,"CAP AT BUY","OK"))</f>
        <v>OK</v>
      </c>
      <c r="AL11" s="117" t="s">
        <v>342</v>
      </c>
      <c r="AM11" s="118" t="s">
        <v>344</v>
      </c>
      <c r="AN11" s="119" t="n">
        <v>14747000000</v>
      </c>
      <c r="AO11" s="120" t="n">
        <v>3794000000</v>
      </c>
      <c r="AP11" s="114" t="str">
        <f aca="false">IF(OR(AN11="",AO11=""),"",IF(AN11&gt;AO11,"OK","LOW CONF"))</f>
        <v>OK</v>
      </c>
      <c r="AQ11" s="121" t="n">
        <v>2.366</v>
      </c>
      <c r="AR11" s="116" t="n">
        <v>3.804</v>
      </c>
      <c r="AS11" s="122" t="str">
        <f aca="false">IF(OR(AQ11="",AR11=""),"",IF(AQ11&lt;AR11,"Decreased",IF(AQ11&gt;AR11,"Increased","Flat")))</f>
        <v>Decreased</v>
      </c>
    </row>
    <row r="12" customFormat="false" ht="15" hidden="false" customHeight="true" outlineLevel="0" collapsed="false">
      <c r="A12" s="61" t="s">
        <v>95</v>
      </c>
      <c r="B12" s="112" t="s">
        <v>96</v>
      </c>
      <c r="C12" s="113" t="n">
        <v>46295</v>
      </c>
      <c r="D12" s="114" t="n">
        <v>5</v>
      </c>
      <c r="E12" s="114" t="s">
        <v>329</v>
      </c>
      <c r="F12" s="114" t="n">
        <v>4</v>
      </c>
      <c r="G12" s="114" t="s">
        <v>329</v>
      </c>
      <c r="H12" s="114" t="n">
        <v>4</v>
      </c>
      <c r="I12" s="114" t="s">
        <v>329</v>
      </c>
      <c r="J12" s="114" t="n">
        <v>5</v>
      </c>
      <c r="K12" s="114" t="s">
        <v>330</v>
      </c>
      <c r="L12" s="114" t="n">
        <v>5</v>
      </c>
      <c r="M12" s="114" t="s">
        <v>329</v>
      </c>
      <c r="N12" s="115" t="n">
        <f aca="false">IF(COUNT(D12,F12,H12,J12,L12)=0,"",(D12*0.2+F12*0.15+H12*0.15+J12*0.1+L12*0.1)/(IF(D12&lt;&gt;"",0.2,0)+IF(F12&lt;&gt;"",0.15,0)+IF(H12&lt;&gt;"",0.15,0)+IF(J12&lt;&gt;"",0.1,0)+IF(L12&lt;&gt;"",0.1,0)))</f>
        <v>4.57142857142857</v>
      </c>
      <c r="O12" s="116" t="n">
        <f aca="false">IF(COUNT(D12,F12,H12,J12,L12)=0,"",D12*0.2+F12*0.15+H12*0.15+J12*0.1+L12*0.1)</f>
        <v>3.2</v>
      </c>
      <c r="P12" s="114" t="n">
        <v>3</v>
      </c>
      <c r="Q12" s="114" t="s">
        <v>329</v>
      </c>
      <c r="R12" s="114" t="n">
        <v>5</v>
      </c>
      <c r="S12" s="114" t="s">
        <v>330</v>
      </c>
      <c r="T12" s="114" t="n">
        <v>1</v>
      </c>
      <c r="U12" s="114" t="s">
        <v>330</v>
      </c>
      <c r="V12" s="114" t="n">
        <v>5</v>
      </c>
      <c r="W12" s="114" t="s">
        <v>330</v>
      </c>
      <c r="X12" s="116" t="n">
        <f aca="false">IF(COUNT(P12,R12,T12,V12)=0,"",P12*0.08+R12*0.06+T12*0.03+V12*0.08)</f>
        <v>0.97</v>
      </c>
      <c r="Y12" s="114" t="n">
        <v>2</v>
      </c>
      <c r="Z12" s="114" t="s">
        <v>329</v>
      </c>
      <c r="AA12" s="114" t="n">
        <v>3</v>
      </c>
      <c r="AB12" s="114" t="s">
        <v>329</v>
      </c>
      <c r="AC12" s="114" t="n">
        <v>2</v>
      </c>
      <c r="AD12" s="114" t="s">
        <v>331</v>
      </c>
      <c r="AE12" s="116" t="n">
        <f aca="false">IF(COUNT(Y12,AA12,AC12)=0,"",Y12*0.02+AA12*0.02+AC12*0.01)</f>
        <v>0.12</v>
      </c>
      <c r="AF12" s="96" t="n">
        <f aca="false">IF(OR(COUNT(D12,F12,H12,J12,L12)&lt;5,COUNT(P12,R12,T12,V12)&lt;4,COUNT(Y12,AA12,AC12)&lt;3),"",(O12+X12+AE12)*20)</f>
        <v>85.8</v>
      </c>
      <c r="AG12" s="92" t="str">
        <f aca="false">IF(AF12="","",IF(AF12&gt;=80,"STRONG BUY",IF(AF12&gt;=65,"BUY",IF(AF12&gt;=50,"WATCH LIST",IF(AF12&gt;=35,"AVOID","PASS")))))</f>
        <v>STRONG BUY</v>
      </c>
      <c r="AH12" s="92" t="str">
        <f aca="false">IF(N12="","",IF(N12&lt;3,"FAIL","OK"))</f>
        <v>OK</v>
      </c>
      <c r="AI12" s="92" t="str">
        <f aca="false">IF(COUNT(D12:L12)=0,"",IF(COUNTIF(D12:L12,1)&gt;0,"REVIEW","OK"))</f>
        <v>OK</v>
      </c>
      <c r="AJ12" s="92" t="str">
        <f aca="false">IF(COUNT(D12:L12)=0,"",IF(COUNTIF(D12:L12,"&lt;=2")&gt;=2,"AVOID","OK"))</f>
        <v>OK</v>
      </c>
      <c r="AK12" s="92" t="str">
        <f aca="false">IF(COUNTA(E12:M12)=0,"",IF(COUNTIF(E12:M12,"L")&gt;=2,"CAP AT BUY","OK"))</f>
        <v>OK</v>
      </c>
      <c r="AL12" s="117" t="s">
        <v>332</v>
      </c>
      <c r="AM12" s="118" t="s">
        <v>345</v>
      </c>
      <c r="AN12" s="114"/>
      <c r="AO12" s="92"/>
      <c r="AP12" s="114" t="str">
        <f aca="false">IF(OR(AN12="",AO12=""),"",IF(AN12&gt;AO12,"OK","LOW CONF"))</f>
        <v/>
      </c>
      <c r="AQ12" s="114"/>
      <c r="AR12" s="92"/>
      <c r="AS12" s="122" t="str">
        <f aca="false">IF(OR(AQ12="",AR12=""),"",IF(AQ12&lt;AR12,"Decreased",IF(AQ12&gt;AR12,"Increased","Flat")))</f>
        <v/>
      </c>
    </row>
    <row r="13" customFormat="false" ht="15" hidden="false" customHeight="true" outlineLevel="0" collapsed="false">
      <c r="A13" s="61" t="s">
        <v>100</v>
      </c>
      <c r="B13" s="112" t="s">
        <v>101</v>
      </c>
      <c r="C13" s="113" t="n">
        <v>46295</v>
      </c>
      <c r="D13" s="114" t="n">
        <v>3</v>
      </c>
      <c r="E13" s="114" t="s">
        <v>329</v>
      </c>
      <c r="F13" s="114" t="n">
        <v>5</v>
      </c>
      <c r="G13" s="114" t="s">
        <v>329</v>
      </c>
      <c r="H13" s="114" t="n">
        <v>5</v>
      </c>
      <c r="I13" s="114" t="s">
        <v>330</v>
      </c>
      <c r="J13" s="114" t="n">
        <v>4</v>
      </c>
      <c r="K13" s="114" t="s">
        <v>329</v>
      </c>
      <c r="L13" s="114" t="n">
        <v>5</v>
      </c>
      <c r="M13" s="114" t="s">
        <v>329</v>
      </c>
      <c r="N13" s="115" t="n">
        <f aca="false">IF(COUNT(D13,F13,H13,J13,L13)=0,"",(D13*0.2+F13*0.15+H13*0.15+J13*0.1+L13*0.1)/(IF(D13&lt;&gt;"",0.2,0)+IF(F13&lt;&gt;"",0.15,0)+IF(H13&lt;&gt;"",0.15,0)+IF(J13&lt;&gt;"",0.1,0)+IF(L13&lt;&gt;"",0.1,0)))</f>
        <v>4.28571428571429</v>
      </c>
      <c r="O13" s="116" t="n">
        <f aca="false">IF(COUNT(D13,F13,H13,J13,L13)=0,"",D13*0.2+F13*0.15+H13*0.15+J13*0.1+L13*0.1)</f>
        <v>3</v>
      </c>
      <c r="P13" s="114" t="n">
        <v>4</v>
      </c>
      <c r="Q13" s="114" t="s">
        <v>330</v>
      </c>
      <c r="R13" s="114" t="n">
        <v>5</v>
      </c>
      <c r="S13" s="114" t="s">
        <v>330</v>
      </c>
      <c r="T13" s="114" t="n">
        <v>5</v>
      </c>
      <c r="U13" s="114" t="s">
        <v>329</v>
      </c>
      <c r="V13" s="114" t="n">
        <v>1</v>
      </c>
      <c r="W13" s="114" t="s">
        <v>330</v>
      </c>
      <c r="X13" s="116" t="n">
        <f aca="false">IF(COUNT(P13,R13,T13,V13)=0,"",P13*0.08+R13*0.06+T13*0.03+V13*0.08)</f>
        <v>0.85</v>
      </c>
      <c r="Y13" s="114" t="n">
        <v>4</v>
      </c>
      <c r="Z13" s="114" t="s">
        <v>329</v>
      </c>
      <c r="AA13" s="114" t="n">
        <v>5</v>
      </c>
      <c r="AB13" s="114" t="s">
        <v>330</v>
      </c>
      <c r="AC13" s="114" t="n">
        <v>2</v>
      </c>
      <c r="AD13" s="114" t="s">
        <v>329</v>
      </c>
      <c r="AE13" s="116" t="n">
        <f aca="false">IF(COUNT(Y13,AA13,AC13)=0,"",Y13*0.02+AA13*0.02+AC13*0.01)</f>
        <v>0.2</v>
      </c>
      <c r="AF13" s="96" t="n">
        <f aca="false">IF(OR(COUNT(D13,F13,H13,J13,L13)&lt;5,COUNT(P13,R13,T13,V13)&lt;4,COUNT(Y13,AA13,AC13)&lt;3),"",(O13+X13+AE13)*20)</f>
        <v>81</v>
      </c>
      <c r="AG13" s="92" t="str">
        <f aca="false">IF(AF13="","",IF(AF13&gt;=80,"STRONG BUY",IF(AF13&gt;=65,"BUY",IF(AF13&gt;=50,"WATCH LIST",IF(AF13&gt;=35,"AVOID","PASS")))))</f>
        <v>STRONG BUY</v>
      </c>
      <c r="AH13" s="92" t="str">
        <f aca="false">IF(N13="","",IF(N13&lt;3,"FAIL","OK"))</f>
        <v>OK</v>
      </c>
      <c r="AI13" s="92" t="str">
        <f aca="false">IF(COUNT(D13:L13)=0,"",IF(COUNTIF(D13:L13,1)&gt;0,"REVIEW","OK"))</f>
        <v>OK</v>
      </c>
      <c r="AJ13" s="92" t="str">
        <f aca="false">IF(COUNT(D13:L13)=0,"",IF(COUNTIF(D13:L13,"&lt;=2")&gt;=2,"AVOID","OK"))</f>
        <v>OK</v>
      </c>
      <c r="AK13" s="92" t="str">
        <f aca="false">IF(COUNTA(E13:M13)=0,"",IF(COUNTIF(E13:M13,"L")&gt;=2,"CAP AT BUY","OK"))</f>
        <v>OK</v>
      </c>
      <c r="AL13" s="117" t="s">
        <v>332</v>
      </c>
      <c r="AM13" s="118" t="s">
        <v>346</v>
      </c>
      <c r="AN13" s="114"/>
      <c r="AO13" s="92"/>
      <c r="AP13" s="114" t="str">
        <f aca="false">IF(OR(AN13="",AO13=""),"",IF(AN13&gt;AO13,"OK","LOW CONF"))</f>
        <v/>
      </c>
      <c r="AQ13" s="114"/>
      <c r="AR13" s="92"/>
      <c r="AS13" s="122" t="str">
        <f aca="false">IF(OR(AQ13="",AR13=""),"",IF(AQ13&lt;AR13,"Decreased",IF(AQ13&gt;AR13,"Increased","Flat")))</f>
        <v/>
      </c>
    </row>
    <row r="14" customFormat="false" ht="15" hidden="false" customHeight="true" outlineLevel="0" collapsed="false">
      <c r="A14" s="61" t="s">
        <v>102</v>
      </c>
      <c r="B14" s="112" t="s">
        <v>103</v>
      </c>
      <c r="C14" s="113" t="n">
        <v>46295</v>
      </c>
      <c r="D14" s="114" t="n">
        <v>3</v>
      </c>
      <c r="E14" s="114" t="s">
        <v>329</v>
      </c>
      <c r="F14" s="114" t="n">
        <v>3</v>
      </c>
      <c r="G14" s="114" t="s">
        <v>329</v>
      </c>
      <c r="H14" s="114" t="n">
        <v>5</v>
      </c>
      <c r="I14" s="114" t="s">
        <v>330</v>
      </c>
      <c r="J14" s="114" t="n">
        <v>4</v>
      </c>
      <c r="K14" s="114" t="s">
        <v>329</v>
      </c>
      <c r="L14" s="114" t="n">
        <v>5</v>
      </c>
      <c r="M14" s="114" t="s">
        <v>329</v>
      </c>
      <c r="N14" s="115" t="n">
        <f aca="false">IF(COUNT(D14,F14,H14,J14,L14)=0,"",(D14*0.2+F14*0.15+H14*0.15+J14*0.1+L14*0.1)/(IF(D14&lt;&gt;"",0.2,0)+IF(F14&lt;&gt;"",0.15,0)+IF(H14&lt;&gt;"",0.15,0)+IF(J14&lt;&gt;"",0.1,0)+IF(L14&lt;&gt;"",0.1,0)))</f>
        <v>3.85714285714286</v>
      </c>
      <c r="O14" s="116" t="n">
        <f aca="false">IF(COUNT(D14,F14,H14,J14,L14)=0,"",D14*0.2+F14*0.15+H14*0.15+J14*0.1+L14*0.1)</f>
        <v>2.7</v>
      </c>
      <c r="P14" s="114" t="n">
        <v>4</v>
      </c>
      <c r="Q14" s="114" t="s">
        <v>329</v>
      </c>
      <c r="R14" s="114" t="n">
        <v>5</v>
      </c>
      <c r="S14" s="114" t="s">
        <v>330</v>
      </c>
      <c r="T14" s="114" t="n">
        <v>5</v>
      </c>
      <c r="U14" s="114" t="s">
        <v>330</v>
      </c>
      <c r="V14" s="114" t="n">
        <v>2</v>
      </c>
      <c r="W14" s="114" t="s">
        <v>329</v>
      </c>
      <c r="X14" s="116" t="n">
        <f aca="false">IF(COUNT(P14,R14,T14,V14)=0,"",P14*0.08+R14*0.06+T14*0.03+V14*0.08)</f>
        <v>0.93</v>
      </c>
      <c r="Y14" s="114" t="n">
        <v>5</v>
      </c>
      <c r="Z14" s="114" t="s">
        <v>329</v>
      </c>
      <c r="AA14" s="114" t="n">
        <v>5</v>
      </c>
      <c r="AB14" s="114" t="s">
        <v>330</v>
      </c>
      <c r="AC14" s="114" t="n">
        <v>3</v>
      </c>
      <c r="AD14" s="114" t="s">
        <v>331</v>
      </c>
      <c r="AE14" s="116" t="n">
        <f aca="false">IF(COUNT(Y14,AA14,AC14)=0,"",Y14*0.02+AA14*0.02+AC14*0.01)</f>
        <v>0.23</v>
      </c>
      <c r="AF14" s="96" t="n">
        <f aca="false">IF(OR(COUNT(D14,F14,H14,J14,L14)&lt;5,COUNT(P14,R14,T14,V14)&lt;4,COUNT(Y14,AA14,AC14)&lt;3),"",(O14+X14+AE14)*20)</f>
        <v>77.2</v>
      </c>
      <c r="AG14" s="92" t="str">
        <f aca="false">IF(AF14="","",IF(AF14&gt;=80,"STRONG BUY",IF(AF14&gt;=65,"BUY",IF(AF14&gt;=50,"WATCH LIST",IF(AF14&gt;=35,"AVOID","PASS")))))</f>
        <v>BUY</v>
      </c>
      <c r="AH14" s="92" t="str">
        <f aca="false">IF(N14="","",IF(N14&lt;3,"FAIL","OK"))</f>
        <v>OK</v>
      </c>
      <c r="AI14" s="92" t="str">
        <f aca="false">IF(COUNT(D14:L14)=0,"",IF(COUNTIF(D14:L14,1)&gt;0,"REVIEW","OK"))</f>
        <v>OK</v>
      </c>
      <c r="AJ14" s="92" t="str">
        <f aca="false">IF(COUNT(D14:L14)=0,"",IF(COUNTIF(D14:L14,"&lt;=2")&gt;=2,"AVOID","OK"))</f>
        <v>OK</v>
      </c>
      <c r="AK14" s="92" t="str">
        <f aca="false">IF(COUNTA(E14:M14)=0,"",IF(COUNTIF(E14:M14,"L")&gt;=2,"CAP AT BUY","OK"))</f>
        <v>OK</v>
      </c>
      <c r="AL14" s="117" t="s">
        <v>332</v>
      </c>
      <c r="AM14" s="118" t="s">
        <v>347</v>
      </c>
      <c r="AN14" s="114"/>
      <c r="AO14" s="92"/>
      <c r="AP14" s="114" t="str">
        <f aca="false">IF(OR(AN14="",AO14=""),"",IF(AN14&gt;AO14,"OK","LOW CONF"))</f>
        <v/>
      </c>
      <c r="AQ14" s="114"/>
      <c r="AR14" s="92"/>
      <c r="AS14" s="122" t="str">
        <f aca="false">IF(OR(AQ14="",AR14=""),"",IF(AQ14&lt;AR14,"Decreased",IF(AQ14&gt;AR14,"Increased","Flat")))</f>
        <v/>
      </c>
    </row>
    <row r="15" customFormat="false" ht="15" hidden="false" customHeight="true" outlineLevel="0" collapsed="false">
      <c r="A15" s="61" t="s">
        <v>104</v>
      </c>
      <c r="B15" s="112" t="s">
        <v>105</v>
      </c>
      <c r="C15" s="113" t="n">
        <v>46295</v>
      </c>
      <c r="D15" s="114" t="n">
        <v>2</v>
      </c>
      <c r="E15" s="114" t="s">
        <v>329</v>
      </c>
      <c r="F15" s="114" t="n">
        <v>5</v>
      </c>
      <c r="G15" s="114" t="s">
        <v>329</v>
      </c>
      <c r="H15" s="114" t="n">
        <v>4</v>
      </c>
      <c r="I15" s="114" t="s">
        <v>329</v>
      </c>
      <c r="J15" s="114" t="n">
        <v>5</v>
      </c>
      <c r="K15" s="114" t="s">
        <v>330</v>
      </c>
      <c r="L15" s="114" t="n">
        <v>2</v>
      </c>
      <c r="M15" s="114" t="s">
        <v>329</v>
      </c>
      <c r="N15" s="115" t="n">
        <f aca="false">IF(COUNT(D15,F15,H15,J15,L15)=0,"",(D15*0.2+F15*0.15+H15*0.15+J15*0.1+L15*0.1)/(IF(D15&lt;&gt;"",0.2,0)+IF(F15&lt;&gt;"",0.15,0)+IF(H15&lt;&gt;"",0.15,0)+IF(J15&lt;&gt;"",0.1,0)+IF(L15&lt;&gt;"",0.1,0)))</f>
        <v>3.5</v>
      </c>
      <c r="O15" s="116" t="n">
        <f aca="false">IF(COUNT(D15,F15,H15,J15,L15)=0,"",D15*0.2+F15*0.15+H15*0.15+J15*0.1+L15*0.1)</f>
        <v>2.45</v>
      </c>
      <c r="P15" s="114" t="n">
        <v>3</v>
      </c>
      <c r="Q15" s="114" t="s">
        <v>329</v>
      </c>
      <c r="R15" s="114" t="n">
        <v>2</v>
      </c>
      <c r="S15" s="114" t="s">
        <v>329</v>
      </c>
      <c r="T15" s="114" t="n">
        <v>4</v>
      </c>
      <c r="U15" s="114" t="s">
        <v>330</v>
      </c>
      <c r="V15" s="114" t="n">
        <v>1</v>
      </c>
      <c r="W15" s="114" t="s">
        <v>330</v>
      </c>
      <c r="X15" s="116" t="n">
        <f aca="false">IF(COUNT(P15,R15,T15,V15)=0,"",P15*0.08+R15*0.06+T15*0.03+V15*0.08)</f>
        <v>0.56</v>
      </c>
      <c r="Y15" s="114" t="n">
        <v>4</v>
      </c>
      <c r="Z15" s="114" t="s">
        <v>329</v>
      </c>
      <c r="AA15" s="114" t="n">
        <v>3</v>
      </c>
      <c r="AB15" s="114" t="s">
        <v>329</v>
      </c>
      <c r="AC15" s="114" t="n">
        <v>2</v>
      </c>
      <c r="AD15" s="114" t="s">
        <v>329</v>
      </c>
      <c r="AE15" s="116" t="n">
        <f aca="false">IF(COUNT(Y15,AA15,AC15)=0,"",Y15*0.02+AA15*0.02+AC15*0.01)</f>
        <v>0.16</v>
      </c>
      <c r="AF15" s="96" t="n">
        <f aca="false">IF(OR(COUNT(D15,F15,H15,J15,L15)&lt;5,COUNT(P15,R15,T15,V15)&lt;4,COUNT(Y15,AA15,AC15)&lt;3),"",(O15+X15+AE15)*20)</f>
        <v>63.4</v>
      </c>
      <c r="AG15" s="92" t="str">
        <f aca="false">IF(AF15="","",IF(AF15&gt;=80,"STRONG BUY",IF(AF15&gt;=65,"BUY",IF(AF15&gt;=50,"WATCH LIST",IF(AF15&gt;=35,"AVOID","PASS")))))</f>
        <v>WATCH LIST</v>
      </c>
      <c r="AH15" s="92" t="str">
        <f aca="false">IF(N15="","",IF(N15&lt;3,"FAIL","OK"))</f>
        <v>OK</v>
      </c>
      <c r="AI15" s="92" t="str">
        <f aca="false">IF(COUNT(D15:L15)=0,"",IF(COUNTIF(D15:L15,1)&gt;0,"REVIEW","OK"))</f>
        <v>OK</v>
      </c>
      <c r="AJ15" s="92" t="str">
        <f aca="false">IF(COUNT(D15:L15)=0,"",IF(COUNTIF(D15:L15,"&lt;=2")&gt;=2,"AVOID","OK"))</f>
        <v>AVOID</v>
      </c>
      <c r="AK15" s="92" t="str">
        <f aca="false">IF(COUNTA(E15:M15)=0,"",IF(COUNTIF(E15:M15,"L")&gt;=2,"CAP AT BUY","OK"))</f>
        <v>OK</v>
      </c>
      <c r="AL15" s="117" t="s">
        <v>332</v>
      </c>
      <c r="AM15" s="118" t="s">
        <v>334</v>
      </c>
      <c r="AN15" s="114"/>
      <c r="AO15" s="92"/>
      <c r="AP15" s="114" t="str">
        <f aca="false">IF(OR(AN15="",AO15=""),"",IF(AN15&gt;AO15,"OK","LOW CONF"))</f>
        <v/>
      </c>
      <c r="AQ15" s="114"/>
      <c r="AR15" s="92"/>
      <c r="AS15" s="122" t="str">
        <f aca="false">IF(OR(AQ15="",AR15=""),"",IF(AQ15&lt;AR15,"Decreased",IF(AQ15&gt;AR15,"Increased","Flat")))</f>
        <v/>
      </c>
    </row>
    <row r="16" customFormat="false" ht="15" hidden="false" customHeight="true" outlineLevel="0" collapsed="false">
      <c r="A16" s="61" t="s">
        <v>106</v>
      </c>
      <c r="B16" s="112" t="s">
        <v>107</v>
      </c>
      <c r="C16" s="113" t="n">
        <v>46295</v>
      </c>
      <c r="D16" s="114" t="n">
        <v>3</v>
      </c>
      <c r="E16" s="114" t="s">
        <v>329</v>
      </c>
      <c r="F16" s="114" t="n">
        <v>3</v>
      </c>
      <c r="G16" s="114" t="s">
        <v>329</v>
      </c>
      <c r="H16" s="114" t="n">
        <v>5</v>
      </c>
      <c r="I16" s="114" t="s">
        <v>330</v>
      </c>
      <c r="J16" s="114" t="n">
        <v>3</v>
      </c>
      <c r="K16" s="114" t="s">
        <v>329</v>
      </c>
      <c r="L16" s="114" t="n">
        <v>5</v>
      </c>
      <c r="M16" s="114" t="s">
        <v>329</v>
      </c>
      <c r="N16" s="115" t="n">
        <f aca="false">IF(COUNT(D16,F16,H16,J16,L16)=0,"",(D16*0.2+F16*0.15+H16*0.15+J16*0.1+L16*0.1)/(IF(D16&lt;&gt;"",0.2,0)+IF(F16&lt;&gt;"",0.15,0)+IF(H16&lt;&gt;"",0.15,0)+IF(J16&lt;&gt;"",0.1,0)+IF(L16&lt;&gt;"",0.1,0)))</f>
        <v>3.71428571428572</v>
      </c>
      <c r="O16" s="116" t="n">
        <f aca="false">IF(COUNT(D16,F16,H16,J16,L16)=0,"",D16*0.2+F16*0.15+H16*0.15+J16*0.1+L16*0.1)</f>
        <v>2.6</v>
      </c>
      <c r="P16" s="114" t="n">
        <v>4</v>
      </c>
      <c r="Q16" s="114" t="s">
        <v>330</v>
      </c>
      <c r="R16" s="114" t="n">
        <v>5</v>
      </c>
      <c r="S16" s="114" t="s">
        <v>330</v>
      </c>
      <c r="T16" s="114" t="n">
        <v>3</v>
      </c>
      <c r="U16" s="114" t="s">
        <v>329</v>
      </c>
      <c r="V16" s="114" t="n">
        <v>2</v>
      </c>
      <c r="W16" s="114" t="s">
        <v>329</v>
      </c>
      <c r="X16" s="116" t="n">
        <f aca="false">IF(COUNT(P16,R16,T16,V16)=0,"",P16*0.08+R16*0.06+T16*0.03+V16*0.08)</f>
        <v>0.87</v>
      </c>
      <c r="Y16" s="114" t="n">
        <v>2</v>
      </c>
      <c r="Z16" s="114" t="s">
        <v>329</v>
      </c>
      <c r="AA16" s="114" t="n">
        <v>5</v>
      </c>
      <c r="AB16" s="114" t="s">
        <v>330</v>
      </c>
      <c r="AC16" s="114" t="n">
        <v>2</v>
      </c>
      <c r="AD16" s="114" t="s">
        <v>331</v>
      </c>
      <c r="AE16" s="116" t="n">
        <f aca="false">IF(COUNT(Y16,AA16,AC16)=0,"",Y16*0.02+AA16*0.02+AC16*0.01)</f>
        <v>0.16</v>
      </c>
      <c r="AF16" s="96" t="n">
        <f aca="false">IF(OR(COUNT(D16,F16,H16,J16,L16)&lt;5,COUNT(P16,R16,T16,V16)&lt;4,COUNT(Y16,AA16,AC16)&lt;3),"",(O16+X16+AE16)*20)</f>
        <v>72.6</v>
      </c>
      <c r="AG16" s="92" t="str">
        <f aca="false">IF(AF16="","",IF(AF16&gt;=80,"STRONG BUY",IF(AF16&gt;=65,"BUY",IF(AF16&gt;=50,"WATCH LIST",IF(AF16&gt;=35,"AVOID","PASS")))))</f>
        <v>BUY</v>
      </c>
      <c r="AH16" s="92" t="str">
        <f aca="false">IF(N16="","",IF(N16&lt;3,"FAIL","OK"))</f>
        <v>OK</v>
      </c>
      <c r="AI16" s="92" t="str">
        <f aca="false">IF(COUNT(D16:L16)=0,"",IF(COUNTIF(D16:L16,1)&gt;0,"REVIEW","OK"))</f>
        <v>OK</v>
      </c>
      <c r="AJ16" s="92" t="str">
        <f aca="false">IF(COUNT(D16:L16)=0,"",IF(COUNTIF(D16:L16,"&lt;=2")&gt;=2,"AVOID","OK"))</f>
        <v>OK</v>
      </c>
      <c r="AK16" s="92" t="str">
        <f aca="false">IF(COUNTA(E16:M16)=0,"",IF(COUNTIF(E16:M16,"L")&gt;=2,"CAP AT BUY","OK"))</f>
        <v>OK</v>
      </c>
      <c r="AL16" s="117" t="s">
        <v>332</v>
      </c>
      <c r="AM16" s="118" t="s">
        <v>347</v>
      </c>
      <c r="AN16" s="119" t="n">
        <v>4143079000</v>
      </c>
      <c r="AO16" s="120" t="n">
        <v>4830771000</v>
      </c>
      <c r="AP16" s="114" t="str">
        <f aca="false">IF(OR(AN16="",AO16=""),"",IF(AN16&gt;AO16,"OK","LOW CONF"))</f>
        <v>LOW CONF</v>
      </c>
      <c r="AQ16" s="121" t="n">
        <v>1.633</v>
      </c>
      <c r="AR16" s="116" t="n">
        <v>1.625</v>
      </c>
      <c r="AS16" s="122" t="str">
        <f aca="false">IF(OR(AQ16="",AR16=""),"",IF(AQ16&lt;AR16,"Decreased",IF(AQ16&gt;AR16,"Increased","Flat")))</f>
        <v>Increased</v>
      </c>
    </row>
    <row r="17" customFormat="false" ht="15" hidden="false" customHeight="true" outlineLevel="0" collapsed="false">
      <c r="A17" s="61" t="s">
        <v>114</v>
      </c>
      <c r="B17" s="112" t="s">
        <v>348</v>
      </c>
      <c r="C17" s="113" t="n">
        <v>46295</v>
      </c>
      <c r="D17" s="114" t="n">
        <v>5</v>
      </c>
      <c r="E17" s="114" t="s">
        <v>329</v>
      </c>
      <c r="F17" s="114" t="n">
        <v>2</v>
      </c>
      <c r="G17" s="114" t="s">
        <v>329</v>
      </c>
      <c r="H17" s="114" t="n">
        <v>5</v>
      </c>
      <c r="I17" s="114" t="s">
        <v>330</v>
      </c>
      <c r="J17" s="114" t="n">
        <v>4</v>
      </c>
      <c r="K17" s="114" t="s">
        <v>329</v>
      </c>
      <c r="L17" s="114" t="n">
        <v>5</v>
      </c>
      <c r="M17" s="114" t="s">
        <v>329</v>
      </c>
      <c r="N17" s="115" t="n">
        <f aca="false">IF(COUNT(D17,F17,H17,J17,L17)=0,"",(D17*0.2+F17*0.15+H17*0.15+J17*0.1+L17*0.1)/(IF(D17&lt;&gt;"",0.2,0)+IF(F17&lt;&gt;"",0.15,0)+IF(H17&lt;&gt;"",0.15,0)+IF(J17&lt;&gt;"",0.1,0)+IF(L17&lt;&gt;"",0.1,0)))</f>
        <v>4.21428571428571</v>
      </c>
      <c r="O17" s="116" t="n">
        <f aca="false">IF(COUNT(D17,F17,H17,J17,L17)=0,"",D17*0.2+F17*0.15+H17*0.15+J17*0.1+L17*0.1)</f>
        <v>2.95</v>
      </c>
      <c r="P17" s="114" t="n">
        <v>4</v>
      </c>
      <c r="Q17" s="114" t="s">
        <v>330</v>
      </c>
      <c r="R17" s="114" t="n">
        <v>5</v>
      </c>
      <c r="S17" s="114" t="s">
        <v>330</v>
      </c>
      <c r="T17" s="114" t="n">
        <v>4</v>
      </c>
      <c r="U17" s="114" t="s">
        <v>329</v>
      </c>
      <c r="V17" s="114" t="n">
        <v>4</v>
      </c>
      <c r="W17" s="114" t="s">
        <v>329</v>
      </c>
      <c r="X17" s="116" t="n">
        <f aca="false">IF(COUNT(P17,R17,T17,V17)=0,"",P17*0.08+R17*0.06+T17*0.03+V17*0.08)</f>
        <v>1.06</v>
      </c>
      <c r="Y17" s="114" t="n">
        <v>3</v>
      </c>
      <c r="Z17" s="114" t="s">
        <v>329</v>
      </c>
      <c r="AA17" s="114" t="n">
        <v>5</v>
      </c>
      <c r="AB17" s="114" t="s">
        <v>330</v>
      </c>
      <c r="AC17" s="114" t="n">
        <v>3</v>
      </c>
      <c r="AD17" s="114" t="s">
        <v>331</v>
      </c>
      <c r="AE17" s="116" t="n">
        <f aca="false">IF(COUNT(Y17,AA17,AC17)=0,"",Y17*0.02+AA17*0.02+AC17*0.01)</f>
        <v>0.19</v>
      </c>
      <c r="AF17" s="96" t="n">
        <f aca="false">IF(OR(COUNT(D17,F17,H17,J17,L17)&lt;5,COUNT(P17,R17,T17,V17)&lt;4,COUNT(Y17,AA17,AC17)&lt;3),"",(O17+X17+AE17)*20)</f>
        <v>84</v>
      </c>
      <c r="AG17" s="92" t="str">
        <f aca="false">IF(AF17="","",IF(AF17&gt;=80,"STRONG BUY",IF(AF17&gt;=65,"BUY",IF(AF17&gt;=50,"WATCH LIST",IF(AF17&gt;=35,"AVOID","PASS")))))</f>
        <v>STRONG BUY</v>
      </c>
      <c r="AH17" s="92" t="str">
        <f aca="false">IF(N17="","",IF(N17&lt;3,"FAIL","OK"))</f>
        <v>OK</v>
      </c>
      <c r="AI17" s="92" t="str">
        <f aca="false">IF(COUNT(D17:L17)=0,"",IF(COUNTIF(D17:L17,1)&gt;0,"REVIEW","OK"))</f>
        <v>OK</v>
      </c>
      <c r="AJ17" s="92" t="str">
        <f aca="false">IF(COUNT(D17:L17)=0,"",IF(COUNTIF(D17:L17,"&lt;=2")&gt;=2,"AVOID","OK"))</f>
        <v>OK</v>
      </c>
      <c r="AK17" s="92" t="str">
        <f aca="false">IF(COUNTA(E17:M17)=0,"",IF(COUNTIF(E17:M17,"L")&gt;=2,"CAP AT BUY","OK"))</f>
        <v>OK</v>
      </c>
      <c r="AL17" s="118" t="s">
        <v>332</v>
      </c>
      <c r="AM17" s="118" t="s">
        <v>333</v>
      </c>
      <c r="AN17" s="114"/>
      <c r="AO17" s="92"/>
      <c r="AP17" s="114" t="str">
        <f aca="false">IF(OR(AN17="",AO17=""),"",IF(AN17&gt;AO17,"OK","LOW CONF"))</f>
        <v/>
      </c>
      <c r="AQ17" s="114"/>
      <c r="AR17" s="92"/>
      <c r="AS17" s="122" t="str">
        <f aca="false">IF(OR(AQ17="",AR17=""),"",IF(AQ17&lt;AR17,"Decreased",IF(AQ17&gt;AR17,"Increased","Flat")))</f>
        <v/>
      </c>
    </row>
    <row r="18" customFormat="false" ht="15" hidden="false" customHeight="true" outlineLevel="0" collapsed="false">
      <c r="A18" s="61" t="s">
        <v>116</v>
      </c>
      <c r="B18" s="112" t="s">
        <v>117</v>
      </c>
      <c r="C18" s="113" t="n">
        <v>46295</v>
      </c>
      <c r="D18" s="114" t="n">
        <v>3</v>
      </c>
      <c r="E18" s="114" t="s">
        <v>329</v>
      </c>
      <c r="F18" s="114" t="n">
        <v>5</v>
      </c>
      <c r="G18" s="114" t="s">
        <v>329</v>
      </c>
      <c r="H18" s="114" t="n">
        <v>4</v>
      </c>
      <c r="I18" s="114" t="s">
        <v>329</v>
      </c>
      <c r="J18" s="114" t="n">
        <v>4</v>
      </c>
      <c r="K18" s="114" t="s">
        <v>329</v>
      </c>
      <c r="L18" s="114" t="n">
        <v>4</v>
      </c>
      <c r="M18" s="114" t="s">
        <v>329</v>
      </c>
      <c r="N18" s="115" t="n">
        <f aca="false">IF(COUNT(D18,F18,H18,J18,L18)=0,"",(D18*0.2+F18*0.15+H18*0.15+J18*0.1+L18*0.1)/(IF(D18&lt;&gt;"",0.2,0)+IF(F18&lt;&gt;"",0.15,0)+IF(H18&lt;&gt;"",0.15,0)+IF(J18&lt;&gt;"",0.1,0)+IF(L18&lt;&gt;"",0.1,0)))</f>
        <v>3.92857142857143</v>
      </c>
      <c r="O18" s="116" t="n">
        <f aca="false">IF(COUNT(D18,F18,H18,J18,L18)=0,"",D18*0.2+F18*0.15+H18*0.15+J18*0.1+L18*0.1)</f>
        <v>2.75</v>
      </c>
      <c r="P18" s="114" t="n">
        <v>4</v>
      </c>
      <c r="Q18" s="114" t="s">
        <v>329</v>
      </c>
      <c r="R18" s="114" t="n">
        <v>5</v>
      </c>
      <c r="S18" s="114" t="s">
        <v>330</v>
      </c>
      <c r="T18" s="114" t="n">
        <v>4</v>
      </c>
      <c r="U18" s="114" t="s">
        <v>329</v>
      </c>
      <c r="V18" s="114" t="n">
        <v>2</v>
      </c>
      <c r="W18" s="114" t="s">
        <v>329</v>
      </c>
      <c r="X18" s="116" t="n">
        <f aca="false">IF(COUNT(P18,R18,T18,V18)=0,"",P18*0.08+R18*0.06+T18*0.03+V18*0.08)</f>
        <v>0.9</v>
      </c>
      <c r="Y18" s="114" t="n">
        <v>4</v>
      </c>
      <c r="Z18" s="114" t="s">
        <v>329</v>
      </c>
      <c r="AA18" s="114" t="n">
        <v>4</v>
      </c>
      <c r="AB18" s="114" t="s">
        <v>329</v>
      </c>
      <c r="AC18" s="114" t="n">
        <v>3</v>
      </c>
      <c r="AD18" s="114" t="s">
        <v>331</v>
      </c>
      <c r="AE18" s="116" t="n">
        <f aca="false">IF(COUNT(Y18,AA18,AC18)=0,"",Y18*0.02+AA18*0.02+AC18*0.01)</f>
        <v>0.19</v>
      </c>
      <c r="AF18" s="96" t="n">
        <f aca="false">IF(OR(COUNT(D18,F18,H18,J18,L18)&lt;5,COUNT(P18,R18,T18,V18)&lt;4,COUNT(Y18,AA18,AC18)&lt;3),"",(O18+X18+AE18)*20)</f>
        <v>76.8</v>
      </c>
      <c r="AG18" s="92" t="str">
        <f aca="false">IF(AF18="","",IF(AF18&gt;=80,"STRONG BUY",IF(AF18&gt;=65,"BUY",IF(AF18&gt;=50,"WATCH LIST",IF(AF18&gt;=35,"AVOID","PASS")))))</f>
        <v>BUY</v>
      </c>
      <c r="AH18" s="92" t="str">
        <f aca="false">IF(N18="","",IF(N18&lt;3,"FAIL","OK"))</f>
        <v>OK</v>
      </c>
      <c r="AI18" s="92" t="str">
        <f aca="false">IF(COUNT(D18:L18)=0,"",IF(COUNTIF(D18:L18,1)&gt;0,"REVIEW","OK"))</f>
        <v>OK</v>
      </c>
      <c r="AJ18" s="92" t="str">
        <f aca="false">IF(COUNT(D18:L18)=0,"",IF(COUNTIF(D18:L18,"&lt;=2")&gt;=2,"AVOID","OK"))</f>
        <v>OK</v>
      </c>
      <c r="AK18" s="92" t="str">
        <f aca="false">IF(COUNTA(E18:M18)=0,"",IF(COUNTIF(E18:M18,"L")&gt;=2,"CAP AT BUY","OK"))</f>
        <v>OK</v>
      </c>
      <c r="AL18" s="118" t="s">
        <v>349</v>
      </c>
      <c r="AM18" s="118" t="s">
        <v>350</v>
      </c>
      <c r="AN18" s="119" t="n">
        <v>2113800000</v>
      </c>
      <c r="AO18" s="120" t="n">
        <v>1332800000</v>
      </c>
      <c r="AP18" s="114" t="str">
        <f aca="false">IF(OR(AN18="",AO18=""),"",IF(AN18&gt;AO18,"OK","LOW CONF"))</f>
        <v>OK</v>
      </c>
      <c r="AQ18" s="121" t="n">
        <v>1.71</v>
      </c>
      <c r="AR18" s="116" t="n">
        <v>2.771</v>
      </c>
      <c r="AS18" s="122" t="str">
        <f aca="false">IF(OR(AQ18="",AR18=""),"",IF(AQ18&lt;AR18,"Decreased",IF(AQ18&gt;AR18,"Increased","Flat")))</f>
        <v>Decreased</v>
      </c>
    </row>
    <row r="19" customFormat="false" ht="15" hidden="false" customHeight="true" outlineLevel="0" collapsed="false">
      <c r="A19" s="61" t="s">
        <v>233</v>
      </c>
      <c r="B19" s="112" t="s">
        <v>351</v>
      </c>
      <c r="C19" s="113" t="n">
        <v>46245</v>
      </c>
      <c r="D19" s="114" t="n">
        <v>3</v>
      </c>
      <c r="E19" s="114" t="s">
        <v>329</v>
      </c>
      <c r="F19" s="114" t="n">
        <v>5</v>
      </c>
      <c r="G19" s="114" t="s">
        <v>330</v>
      </c>
      <c r="H19" s="114" t="n">
        <v>5</v>
      </c>
      <c r="I19" s="114" t="s">
        <v>330</v>
      </c>
      <c r="J19" s="114" t="n">
        <v>4</v>
      </c>
      <c r="K19" s="114" t="s">
        <v>329</v>
      </c>
      <c r="L19" s="114" t="n">
        <v>4</v>
      </c>
      <c r="M19" s="114" t="s">
        <v>330</v>
      </c>
      <c r="N19" s="115" t="n">
        <f aca="false">IF(COUNT(D19,F19,H19,J19,L19)=0,"",(D19*0.2+F19*0.15+H19*0.15+J19*0.1+L19*0.1)/(IF(D19&lt;&gt;"",0.2,0)+IF(F19&lt;&gt;"",0.15,0)+IF(H19&lt;&gt;"",0.15,0)+IF(J19&lt;&gt;"",0.1,0)+IF(L19&lt;&gt;"",0.1,0)))</f>
        <v>4.14285714285714</v>
      </c>
      <c r="O19" s="116" t="n">
        <f aca="false">IF(COUNT(D19,F19,H19,J19,L19)=0,"",D19*0.2+F19*0.15+H19*0.15+J19*0.1+L19*0.1)</f>
        <v>2.9</v>
      </c>
      <c r="P19" s="114" t="n">
        <v>3</v>
      </c>
      <c r="Q19" s="114" t="s">
        <v>331</v>
      </c>
      <c r="R19" s="114" t="n">
        <v>5</v>
      </c>
      <c r="S19" s="114" t="s">
        <v>330</v>
      </c>
      <c r="T19" s="114" t="n">
        <v>5</v>
      </c>
      <c r="U19" s="114" t="s">
        <v>330</v>
      </c>
      <c r="V19" s="114" t="n">
        <v>1</v>
      </c>
      <c r="W19" s="114" t="s">
        <v>330</v>
      </c>
      <c r="X19" s="116" t="n">
        <f aca="false">IF(COUNT(P19,R19,T19,V19)=0,"",P19*0.08+R19*0.06+T19*0.03+V19*0.08)</f>
        <v>0.77</v>
      </c>
      <c r="Y19" s="114" t="n">
        <v>4</v>
      </c>
      <c r="Z19" s="114" t="s">
        <v>329</v>
      </c>
      <c r="AA19" s="114" t="n">
        <v>4</v>
      </c>
      <c r="AB19" s="114" t="s">
        <v>329</v>
      </c>
      <c r="AC19" s="114" t="n">
        <v>4</v>
      </c>
      <c r="AD19" s="114" t="s">
        <v>329</v>
      </c>
      <c r="AE19" s="116" t="n">
        <f aca="false">IF(COUNT(Y19,AA19,AC19)=0,"",Y19*0.02+AA19*0.02+AC19*0.01)</f>
        <v>0.2</v>
      </c>
      <c r="AF19" s="96" t="n">
        <f aca="false">IF(OR(COUNT(D19,F19,H19,J19,L19)&lt;5,COUNT(P19,R19,T19,V19)&lt;4,COUNT(Y19,AA19,AC19)&lt;3),"",(O19+X19+AE19)*20)</f>
        <v>77.4</v>
      </c>
      <c r="AG19" s="92" t="str">
        <f aca="false">IF(AF19="","",IF(AF19&gt;=80,"STRONG BUY",IF(AF19&gt;=65,"BUY",IF(AF19&gt;=50,"WATCH LIST",IF(AF19&gt;=35,"AVOID","PASS")))))</f>
        <v>BUY</v>
      </c>
      <c r="AH19" s="92" t="str">
        <f aca="false">IF(N19="","",IF(N19&lt;3,"FAIL","OK"))</f>
        <v>OK</v>
      </c>
      <c r="AI19" s="92" t="str">
        <f aca="false">IF(COUNT(D19:L19)=0,"",IF(COUNTIF(D19:L19,1)&gt;0,"REVIEW","OK"))</f>
        <v>OK</v>
      </c>
      <c r="AJ19" s="92" t="str">
        <f aca="false">IF(COUNT(D19:L19)=0,"",IF(COUNTIF(D19:L19,"&lt;=2")&gt;=2,"AVOID","OK"))</f>
        <v>OK</v>
      </c>
      <c r="AK19" s="92" t="str">
        <f aca="false">IF(COUNTA(E19:M19)=0,"",IF(COUNTIF(E19:M19,"L")&gt;=2,"CAP AT BUY","OK"))</f>
        <v>OK</v>
      </c>
      <c r="AL19" s="118" t="s">
        <v>340</v>
      </c>
      <c r="AM19" s="118" t="s">
        <v>352</v>
      </c>
      <c r="AN19" s="114"/>
      <c r="AO19" s="92"/>
      <c r="AP19" s="114" t="str">
        <f aca="false">IF(OR(AN19="",AO19=""),"",IF(AN19&gt;AO19,"OK","LOW CONF"))</f>
        <v/>
      </c>
      <c r="AQ19" s="114"/>
      <c r="AR19" s="92"/>
      <c r="AS19" s="122" t="str">
        <f aca="false">IF(OR(AQ19="",AR19=""),"",IF(AQ19&lt;AR19,"Decreased",IF(AQ19&gt;AR19,"Increased","Flat")))</f>
        <v/>
      </c>
    </row>
    <row r="20" customFormat="false" ht="15" hidden="false" customHeight="true" outlineLevel="0" collapsed="false">
      <c r="A20" s="61" t="s">
        <v>118</v>
      </c>
      <c r="B20" s="112" t="s">
        <v>119</v>
      </c>
      <c r="C20" s="113" t="n">
        <v>46295</v>
      </c>
      <c r="D20" s="114" t="n">
        <v>3</v>
      </c>
      <c r="E20" s="114" t="s">
        <v>329</v>
      </c>
      <c r="F20" s="114" t="n">
        <v>4</v>
      </c>
      <c r="G20" s="114" t="s">
        <v>329</v>
      </c>
      <c r="H20" s="114" t="n">
        <v>5</v>
      </c>
      <c r="I20" s="114" t="s">
        <v>330</v>
      </c>
      <c r="J20" s="114" t="n">
        <v>4</v>
      </c>
      <c r="K20" s="114" t="s">
        <v>329</v>
      </c>
      <c r="L20" s="114" t="n">
        <v>2</v>
      </c>
      <c r="M20" s="114" t="s">
        <v>329</v>
      </c>
      <c r="N20" s="115" t="n">
        <f aca="false">IF(COUNT(D20,F20,H20,J20,L20)=0,"",(D20*0.2+F20*0.15+H20*0.15+J20*0.1+L20*0.1)/(IF(D20&lt;&gt;"",0.2,0)+IF(F20&lt;&gt;"",0.15,0)+IF(H20&lt;&gt;"",0.15,0)+IF(J20&lt;&gt;"",0.1,0)+IF(L20&lt;&gt;"",0.1,0)))</f>
        <v>3.64285714285714</v>
      </c>
      <c r="O20" s="116" t="n">
        <f aca="false">IF(COUNT(D20,F20,H20,J20,L20)=0,"",D20*0.2+F20*0.15+H20*0.15+J20*0.1+L20*0.1)</f>
        <v>2.55</v>
      </c>
      <c r="P20" s="114" t="n">
        <v>4</v>
      </c>
      <c r="Q20" s="114" t="s">
        <v>329</v>
      </c>
      <c r="R20" s="114" t="n">
        <v>5</v>
      </c>
      <c r="S20" s="114" t="s">
        <v>330</v>
      </c>
      <c r="T20" s="114" t="n">
        <v>3</v>
      </c>
      <c r="U20" s="114" t="s">
        <v>329</v>
      </c>
      <c r="V20" s="114" t="n">
        <v>3</v>
      </c>
      <c r="W20" s="114" t="s">
        <v>329</v>
      </c>
      <c r="X20" s="116" t="n">
        <f aca="false">IF(COUNT(P20,R20,T20,V20)=0,"",P20*0.08+R20*0.06+T20*0.03+V20*0.08)</f>
        <v>0.95</v>
      </c>
      <c r="Y20" s="114" t="n">
        <v>3</v>
      </c>
      <c r="Z20" s="114" t="s">
        <v>329</v>
      </c>
      <c r="AA20" s="114" t="n">
        <v>4</v>
      </c>
      <c r="AB20" s="114" t="s">
        <v>329</v>
      </c>
      <c r="AC20" s="114" t="n">
        <v>3</v>
      </c>
      <c r="AD20" s="114" t="s">
        <v>331</v>
      </c>
      <c r="AE20" s="116" t="n">
        <f aca="false">IF(COUNT(Y20,AA20,AC20)=0,"",Y20*0.02+AA20*0.02+AC20*0.01)</f>
        <v>0.17</v>
      </c>
      <c r="AF20" s="96" t="n">
        <f aca="false">IF(OR(COUNT(D20,F20,H20,J20,L20)&lt;5,COUNT(P20,R20,T20,V20)&lt;4,COUNT(Y20,AA20,AC20)&lt;3),"",(O20+X20+AE20)*20)</f>
        <v>73.4</v>
      </c>
      <c r="AG20" s="92" t="str">
        <f aca="false">IF(AF20="","",IF(AF20&gt;=80,"STRONG BUY",IF(AF20&gt;=65,"BUY",IF(AF20&gt;=50,"WATCH LIST",IF(AF20&gt;=35,"AVOID","PASS")))))</f>
        <v>BUY</v>
      </c>
      <c r="AH20" s="92" t="str">
        <f aca="false">IF(N20="","",IF(N20&lt;3,"FAIL","OK"))</f>
        <v>OK</v>
      </c>
      <c r="AI20" s="92" t="str">
        <f aca="false">IF(COUNT(D20:L20)=0,"",IF(COUNTIF(D20:L20,1)&gt;0,"REVIEW","OK"))</f>
        <v>OK</v>
      </c>
      <c r="AJ20" s="92" t="str">
        <f aca="false">IF(COUNT(D20:L20)=0,"",IF(COUNTIF(D20:L20,"&lt;=2")&gt;=2,"AVOID","OK"))</f>
        <v>OK</v>
      </c>
      <c r="AK20" s="92" t="str">
        <f aca="false">IF(COUNTA(E20:M20)=0,"",IF(COUNTIF(E20:M20,"L")&gt;=2,"CAP AT BUY","OK"))</f>
        <v>OK</v>
      </c>
      <c r="AL20" s="118" t="s">
        <v>353</v>
      </c>
      <c r="AM20" s="118" t="s">
        <v>354</v>
      </c>
      <c r="AN20" s="119" t="n">
        <v>23059000000</v>
      </c>
      <c r="AO20" s="120" t="n">
        <v>20058000000</v>
      </c>
      <c r="AP20" s="114" t="str">
        <f aca="false">IF(OR(AN20="",AO20=""),"",IF(AN20&gt;AO20,"OK","LOW CONF"))</f>
        <v>OK</v>
      </c>
      <c r="AQ20" s="121" t="n">
        <v>1.167</v>
      </c>
      <c r="AR20" s="116" t="n">
        <v>1.115</v>
      </c>
      <c r="AS20" s="122" t="str">
        <f aca="false">IF(OR(AQ20="",AR20=""),"",IF(AQ20&lt;AR20,"Decreased",IF(AQ20&gt;AR20,"Increased","Flat")))</f>
        <v>Increased</v>
      </c>
    </row>
    <row r="21" customFormat="false" ht="15" hidden="true" customHeight="true" outlineLevel="1" collapsed="false">
      <c r="A21" s="61" t="s">
        <v>254</v>
      </c>
      <c r="B21" s="112" t="s">
        <v>355</v>
      </c>
      <c r="C21" s="113" t="n">
        <v>46245</v>
      </c>
      <c r="D21" s="114" t="n">
        <v>1</v>
      </c>
      <c r="E21" s="114" t="s">
        <v>330</v>
      </c>
      <c r="F21" s="114" t="n">
        <v>3</v>
      </c>
      <c r="G21" s="114" t="s">
        <v>329</v>
      </c>
      <c r="H21" s="114" t="n">
        <v>4</v>
      </c>
      <c r="I21" s="114" t="s">
        <v>329</v>
      </c>
      <c r="J21" s="114" t="n">
        <v>4</v>
      </c>
      <c r="K21" s="114" t="s">
        <v>329</v>
      </c>
      <c r="L21" s="114" t="n">
        <v>1</v>
      </c>
      <c r="M21" s="114" t="s">
        <v>330</v>
      </c>
      <c r="N21" s="115" t="n">
        <f aca="false">IF(COUNT(D21,F21,H21,J21,L21)=0,"",(D21*0.2+F21*0.15+H21*0.15+J21*0.1+L21*0.1)/(IF(D21&lt;&gt;"",0.2,0)+IF(F21&lt;&gt;"",0.15,0)+IF(H21&lt;&gt;"",0.15,0)+IF(J21&lt;&gt;"",0.1,0)+IF(L21&lt;&gt;"",0.1,0)))</f>
        <v>2.5</v>
      </c>
      <c r="O21" s="116" t="n">
        <f aca="false">IF(COUNT(D21,F21,H21,J21,L21)=0,"",D21*0.2+F21*0.15+H21*0.15+J21*0.1+L21*0.1)</f>
        <v>1.75</v>
      </c>
      <c r="P21" s="114"/>
      <c r="Q21" s="114"/>
      <c r="R21" s="114"/>
      <c r="S21" s="114"/>
      <c r="T21" s="114"/>
      <c r="U21" s="114"/>
      <c r="V21" s="114"/>
      <c r="W21" s="114"/>
      <c r="X21" s="116" t="str">
        <f aca="false">IF(COUNT(P21,R21,T21,V21)=0,"",P21*0.08+R21*0.06+T21*0.03+V21*0.08)</f>
        <v/>
      </c>
      <c r="Y21" s="114"/>
      <c r="Z21" s="114"/>
      <c r="AA21" s="114"/>
      <c r="AB21" s="114"/>
      <c r="AC21" s="114"/>
      <c r="AD21" s="114"/>
      <c r="AE21" s="116" t="str">
        <f aca="false">IF(COUNT(Y21,AA21,AC21)=0,"",Y21*0.02+AA21*0.02+AC21*0.01)</f>
        <v/>
      </c>
      <c r="AF21" s="96" t="str">
        <f aca="false">IF(OR(COUNT(D21,F21,H21,J21,L21)&lt;5,COUNT(P21,R21,T21,V21)&lt;4,COUNT(Y21,AA21,AC21)&lt;3),"",(O21+X21+AE21)*20)</f>
        <v/>
      </c>
      <c r="AG21" s="92" t="str">
        <f aca="false">IF(AF21="","",IF(AF21&gt;=80,"STRONG BUY",IF(AF21&gt;=65,"BUY",IF(AF21&gt;=50,"WATCH LIST",IF(AF21&gt;=35,"AVOID","PASS")))))</f>
        <v/>
      </c>
      <c r="AH21" s="92" t="str">
        <f aca="false">IF(N21="","",IF(N21&lt;3,"FAIL","OK"))</f>
        <v>FAIL</v>
      </c>
      <c r="AI21" s="92" t="str">
        <f aca="false">IF(COUNT(D21:L21)=0,"",IF(COUNTIF(D21:L21,1)&gt;0,"REVIEW","OK"))</f>
        <v>REVIEW</v>
      </c>
      <c r="AJ21" s="92" t="str">
        <f aca="false">IF(COUNT(D21:L21)=0,"",IF(COUNTIF(D21:L21,"&lt;=2")&gt;=2,"AVOID","OK"))</f>
        <v>AVOID</v>
      </c>
      <c r="AK21" s="92" t="str">
        <f aca="false">IF(COUNTA(E21:M21)=0,"",IF(COUNTIF(E21:M21,"L")&gt;=2,"CAP AT BUY","OK"))</f>
        <v>OK</v>
      </c>
      <c r="AL21" s="118" t="s">
        <v>356</v>
      </c>
      <c r="AM21" s="118" t="s">
        <v>357</v>
      </c>
      <c r="AN21" s="114"/>
      <c r="AO21" s="92"/>
      <c r="AP21" s="114" t="str">
        <f aca="false">IF(OR(AN21="",AO21=""),"",IF(AN21&gt;AO21,"OK","LOW CONF"))</f>
        <v/>
      </c>
      <c r="AQ21" s="114"/>
      <c r="AR21" s="92"/>
      <c r="AS21" s="122" t="str">
        <f aca="false">IF(OR(AQ21="",AR21=""),"",IF(AQ21&lt;AR21,"Decreased",IF(AQ21&gt;AR21,"Increased","Flat")))</f>
        <v/>
      </c>
    </row>
    <row r="22" customFormat="false" ht="15" hidden="true" customHeight="true" outlineLevel="1" collapsed="false">
      <c r="A22" s="61" t="s">
        <v>234</v>
      </c>
      <c r="B22" s="112" t="s">
        <v>358</v>
      </c>
      <c r="C22" s="113" t="n">
        <v>46245</v>
      </c>
      <c r="D22" s="114" t="n">
        <v>1</v>
      </c>
      <c r="E22" s="114" t="s">
        <v>330</v>
      </c>
      <c r="F22" s="114" t="n">
        <v>1</v>
      </c>
      <c r="G22" s="114" t="s">
        <v>330</v>
      </c>
      <c r="H22" s="114" t="n">
        <v>2</v>
      </c>
      <c r="I22" s="114" t="s">
        <v>329</v>
      </c>
      <c r="J22" s="114" t="n">
        <v>1</v>
      </c>
      <c r="K22" s="114" t="s">
        <v>330</v>
      </c>
      <c r="L22" s="114" t="n">
        <v>1</v>
      </c>
      <c r="M22" s="114" t="s">
        <v>330</v>
      </c>
      <c r="N22" s="115" t="n">
        <f aca="false">IF(COUNT(D22,F22,H22,J22,L22)=0,"",(D22*0.2+F22*0.15+H22*0.15+J22*0.1+L22*0.1)/(IF(D22&lt;&gt;"",0.2,0)+IF(F22&lt;&gt;"",0.15,0)+IF(H22&lt;&gt;"",0.15,0)+IF(J22&lt;&gt;"",0.1,0)+IF(L22&lt;&gt;"",0.1,0)))</f>
        <v>1.21428571428571</v>
      </c>
      <c r="O22" s="116" t="n">
        <f aca="false">IF(COUNT(D22,F22,H22,J22,L22)=0,"",D22*0.2+F22*0.15+H22*0.15+J22*0.1+L22*0.1)</f>
        <v>0.85</v>
      </c>
      <c r="P22" s="114"/>
      <c r="Q22" s="114"/>
      <c r="R22" s="114"/>
      <c r="S22" s="114"/>
      <c r="T22" s="114"/>
      <c r="U22" s="114"/>
      <c r="V22" s="114"/>
      <c r="W22" s="114"/>
      <c r="X22" s="116" t="str">
        <f aca="false">IF(COUNT(P22,R22,T22,V22)=0,"",P22*0.08+R22*0.06+T22*0.03+V22*0.08)</f>
        <v/>
      </c>
      <c r="Y22" s="114"/>
      <c r="Z22" s="114"/>
      <c r="AA22" s="114"/>
      <c r="AB22" s="114"/>
      <c r="AC22" s="114"/>
      <c r="AD22" s="114"/>
      <c r="AE22" s="116" t="str">
        <f aca="false">IF(COUNT(Y22,AA22,AC22)=0,"",Y22*0.02+AA22*0.02+AC22*0.01)</f>
        <v/>
      </c>
      <c r="AF22" s="96" t="str">
        <f aca="false">IF(OR(COUNT(D22,F22,H22,J22,L22)&lt;5,COUNT(P22,R22,T22,V22)&lt;4,COUNT(Y22,AA22,AC22)&lt;3),"",(O22+X22+AE22)*20)</f>
        <v/>
      </c>
      <c r="AG22" s="92" t="str">
        <f aca="false">IF(AF22="","",IF(AF22&gt;=80,"STRONG BUY",IF(AF22&gt;=65,"BUY",IF(AF22&gt;=50,"WATCH LIST",IF(AF22&gt;=35,"AVOID","PASS")))))</f>
        <v/>
      </c>
      <c r="AH22" s="92" t="str">
        <f aca="false">IF(N22="","",IF(N22&lt;3,"FAIL","OK"))</f>
        <v>FAIL</v>
      </c>
      <c r="AI22" s="92" t="str">
        <f aca="false">IF(COUNT(D22:L22)=0,"",IF(COUNTIF(D22:L22,1)&gt;0,"REVIEW","OK"))</f>
        <v>REVIEW</v>
      </c>
      <c r="AJ22" s="92" t="str">
        <f aca="false">IF(COUNT(D22:L22)=0,"",IF(COUNTIF(D22:L22,"&lt;=2")&gt;=2,"AVOID","OK"))</f>
        <v>AVOID</v>
      </c>
      <c r="AK22" s="92" t="str">
        <f aca="false">IF(COUNTA(E22:M22)=0,"",IF(COUNTIF(E22:M22,"L")&gt;=2,"CAP AT BUY","OK"))</f>
        <v>OK</v>
      </c>
      <c r="AL22" s="118" t="s">
        <v>359</v>
      </c>
      <c r="AM22" s="118" t="s">
        <v>360</v>
      </c>
      <c r="AN22" s="114"/>
      <c r="AO22" s="92"/>
      <c r="AP22" s="114" t="str">
        <f aca="false">IF(OR(AN22="",AO22=""),"",IF(AN22&gt;AO22,"OK","LOW CONF"))</f>
        <v/>
      </c>
      <c r="AQ22" s="114"/>
      <c r="AR22" s="92"/>
      <c r="AS22" s="122" t="str">
        <f aca="false">IF(OR(AQ22="",AR22=""),"",IF(AQ22&lt;AR22,"Decreased",IF(AQ22&gt;AR22,"Increased","Flat")))</f>
        <v/>
      </c>
    </row>
    <row r="23" customFormat="false" ht="15" hidden="false" customHeight="true" outlineLevel="0" collapsed="false">
      <c r="A23" s="61" t="s">
        <v>241</v>
      </c>
      <c r="B23" s="112" t="s">
        <v>361</v>
      </c>
      <c r="C23" s="113" t="n">
        <v>46276</v>
      </c>
      <c r="D23" s="114" t="n">
        <v>4</v>
      </c>
      <c r="E23" s="114" t="s">
        <v>329</v>
      </c>
      <c r="F23" s="114" t="n">
        <v>1</v>
      </c>
      <c r="G23" s="114" t="s">
        <v>329</v>
      </c>
      <c r="H23" s="114" t="n">
        <v>4</v>
      </c>
      <c r="I23" s="114" t="s">
        <v>329</v>
      </c>
      <c r="J23" s="114" t="n">
        <v>4</v>
      </c>
      <c r="K23" s="114" t="s">
        <v>329</v>
      </c>
      <c r="L23" s="114" t="n">
        <v>2</v>
      </c>
      <c r="M23" s="114" t="s">
        <v>329</v>
      </c>
      <c r="N23" s="115" t="n">
        <f aca="false">IF(COUNT(D23,F23,H23,J23,L23)=0,"",(D23*0.2+F23*0.15+H23*0.15+J23*0.1+L23*0.1)/(IF(D23&lt;&gt;"",0.2,0)+IF(F23&lt;&gt;"",0.15,0)+IF(H23&lt;&gt;"",0.15,0)+IF(J23&lt;&gt;"",0.1,0)+IF(L23&lt;&gt;"",0.1,0)))</f>
        <v>3.07142857142857</v>
      </c>
      <c r="O23" s="116" t="n">
        <f aca="false">IF(COUNT(D23,F23,H23,J23,L23)=0,"",D23*0.2+F23*0.15+H23*0.15+J23*0.1+L23*0.1)</f>
        <v>2.15</v>
      </c>
      <c r="P23" s="114"/>
      <c r="Q23" s="114"/>
      <c r="R23" s="114"/>
      <c r="S23" s="114"/>
      <c r="T23" s="114"/>
      <c r="U23" s="114"/>
      <c r="V23" s="114"/>
      <c r="W23" s="114"/>
      <c r="X23" s="116" t="str">
        <f aca="false">IF(COUNT(P23,R23,T23,V23)=0,"",P23*0.08+R23*0.06+T23*0.03+V23*0.08)</f>
        <v/>
      </c>
      <c r="Y23" s="114"/>
      <c r="Z23" s="114"/>
      <c r="AA23" s="114"/>
      <c r="AB23" s="114"/>
      <c r="AC23" s="114"/>
      <c r="AD23" s="114"/>
      <c r="AE23" s="116" t="str">
        <f aca="false">IF(COUNT(Y23,AA23,AC23)=0,"",Y23*0.02+AA23*0.02+AC23*0.01)</f>
        <v/>
      </c>
      <c r="AF23" s="96" t="str">
        <f aca="false">IF(OR(COUNT(D23,F23,H23,J23,L23)&lt;5,COUNT(P23,R23,T23,V23)&lt;4,COUNT(Y23,AA23,AC23)&lt;3),"",(O23+X23+AE23)*20)</f>
        <v/>
      </c>
      <c r="AG23" s="92" t="str">
        <f aca="false">IF(AF23="","",IF(AF23&gt;=80,"STRONG BUY",IF(AF23&gt;=65,"BUY",IF(AF23&gt;=50,"WATCH LIST",IF(AF23&gt;=35,"AVOID","PASS")))))</f>
        <v/>
      </c>
      <c r="AH23" s="92" t="str">
        <f aca="false">IF(N23="","",IF(N23&lt;3,"FAIL","OK"))</f>
        <v>OK</v>
      </c>
      <c r="AI23" s="92" t="str">
        <f aca="false">IF(COUNT(D23:L23)=0,"",IF(COUNTIF(D23:L23,1)&gt;0,"REVIEW","OK"))</f>
        <v>REVIEW</v>
      </c>
      <c r="AJ23" s="92" t="str">
        <f aca="false">IF(COUNT(D23:L23)=0,"",IF(COUNTIF(D23:L23,"&lt;=2")&gt;=2,"AVOID","OK"))</f>
        <v>AVOID</v>
      </c>
      <c r="AK23" s="92" t="str">
        <f aca="false">IF(COUNTA(E23:M23)=0,"",IF(COUNTIF(E23:M23,"L")&gt;=2,"CAP AT BUY","OK"))</f>
        <v>OK</v>
      </c>
      <c r="AL23" s="118" t="s">
        <v>359</v>
      </c>
      <c r="AM23" s="118" t="s">
        <v>362</v>
      </c>
      <c r="AN23" s="114"/>
      <c r="AO23" s="92"/>
      <c r="AP23" s="114" t="str">
        <f aca="false">IF(OR(AN23="",AO23=""),"",IF(AN23&gt;AO23,"OK","LOW CONF"))</f>
        <v/>
      </c>
      <c r="AQ23" s="114"/>
      <c r="AR23" s="92"/>
      <c r="AS23" s="122" t="str">
        <f aca="false">IF(OR(AQ23="",AR23=""),"",IF(AQ23&lt;AR23,"Decreased",IF(AQ23&gt;AR23,"Increased","Flat")))</f>
        <v/>
      </c>
    </row>
    <row r="24" customFormat="false" ht="15" hidden="true" customHeight="true" outlineLevel="1" collapsed="false">
      <c r="A24" s="61" t="s">
        <v>250</v>
      </c>
      <c r="B24" s="112" t="s">
        <v>363</v>
      </c>
      <c r="C24" s="113" t="n">
        <v>46245</v>
      </c>
      <c r="D24" s="114" t="n">
        <v>2</v>
      </c>
      <c r="E24" s="114" t="s">
        <v>331</v>
      </c>
      <c r="F24" s="114" t="n">
        <v>2</v>
      </c>
      <c r="G24" s="114" t="s">
        <v>329</v>
      </c>
      <c r="H24" s="114" t="n">
        <v>3</v>
      </c>
      <c r="I24" s="114" t="s">
        <v>329</v>
      </c>
      <c r="J24" s="114" t="n">
        <v>2</v>
      </c>
      <c r="K24" s="114" t="s">
        <v>329</v>
      </c>
      <c r="L24" s="114" t="n">
        <v>1</v>
      </c>
      <c r="M24" s="114" t="s">
        <v>330</v>
      </c>
      <c r="N24" s="115" t="n">
        <f aca="false">IF(COUNT(D24,F24,H24,J24,L24)=0,"",(D24*0.2+F24*0.15+H24*0.15+J24*0.1+L24*0.1)/(IF(D24&lt;&gt;"",0.2,0)+IF(F24&lt;&gt;"",0.15,0)+IF(H24&lt;&gt;"",0.15,0)+IF(J24&lt;&gt;"",0.1,0)+IF(L24&lt;&gt;"",0.1,0)))</f>
        <v>2.07142857142857</v>
      </c>
      <c r="O24" s="116" t="n">
        <f aca="false">IF(COUNT(D24,F24,H24,J24,L24)=0,"",D24*0.2+F24*0.15+H24*0.15+J24*0.1+L24*0.1)</f>
        <v>1.45</v>
      </c>
      <c r="P24" s="114"/>
      <c r="Q24" s="114"/>
      <c r="R24" s="114"/>
      <c r="S24" s="114"/>
      <c r="T24" s="114"/>
      <c r="U24" s="114"/>
      <c r="V24" s="114"/>
      <c r="W24" s="114"/>
      <c r="X24" s="116" t="str">
        <f aca="false">IF(COUNT(P24,R24,T24,V24)=0,"",P24*0.08+R24*0.06+T24*0.03+V24*0.08)</f>
        <v/>
      </c>
      <c r="Y24" s="114"/>
      <c r="Z24" s="114"/>
      <c r="AA24" s="114"/>
      <c r="AB24" s="114"/>
      <c r="AC24" s="114"/>
      <c r="AD24" s="114"/>
      <c r="AE24" s="116" t="str">
        <f aca="false">IF(COUNT(Y24,AA24,AC24)=0,"",Y24*0.02+AA24*0.02+AC24*0.01)</f>
        <v/>
      </c>
      <c r="AF24" s="96" t="str">
        <f aca="false">IF(OR(COUNT(D24,F24,H24,J24,L24)&lt;5,COUNT(P24,R24,T24,V24)&lt;4,COUNT(Y24,AA24,AC24)&lt;3),"",(O24+X24+AE24)*20)</f>
        <v/>
      </c>
      <c r="AG24" s="92" t="str">
        <f aca="false">IF(AF24="","",IF(AF24&gt;=80,"STRONG BUY",IF(AF24&gt;=65,"BUY",IF(AF24&gt;=50,"WATCH LIST",IF(AF24&gt;=35,"AVOID","PASS")))))</f>
        <v/>
      </c>
      <c r="AH24" s="92" t="str">
        <f aca="false">IF(N24="","",IF(N24&lt;3,"FAIL","OK"))</f>
        <v>FAIL</v>
      </c>
      <c r="AI24" s="92" t="str">
        <f aca="false">IF(COUNT(D24:L24)=0,"",IF(COUNTIF(D24:L24,1)&gt;0,"REVIEW","OK"))</f>
        <v>REVIEW</v>
      </c>
      <c r="AJ24" s="92" t="str">
        <f aca="false">IF(COUNT(D24:L24)=0,"",IF(COUNTIF(D24:L24,"&lt;=2")&gt;=2,"AVOID","OK"))</f>
        <v>AVOID</v>
      </c>
      <c r="AK24" s="92" t="str">
        <f aca="false">IF(COUNTA(E24:M24)=0,"",IF(COUNTIF(E24:M24,"L")&gt;=2,"CAP AT BUY","OK"))</f>
        <v>OK</v>
      </c>
      <c r="AL24" s="118" t="s">
        <v>359</v>
      </c>
      <c r="AM24" s="118" t="s">
        <v>364</v>
      </c>
      <c r="AN24" s="114"/>
      <c r="AO24" s="92"/>
      <c r="AP24" s="114" t="str">
        <f aca="false">IF(OR(AN24="",AO24=""),"",IF(AN24&gt;AO24,"OK","LOW CONF"))</f>
        <v/>
      </c>
      <c r="AQ24" s="114"/>
      <c r="AR24" s="92"/>
      <c r="AS24" s="122" t="str">
        <f aca="false">IF(OR(AQ24="",AR24=""),"",IF(AQ24&lt;AR24,"Decreased",IF(AQ24&gt;AR24,"Increased","Flat")))</f>
        <v/>
      </c>
    </row>
    <row r="25" customFormat="false" ht="15" hidden="true" customHeight="true" outlineLevel="1" collapsed="false">
      <c r="A25" s="61" t="s">
        <v>259</v>
      </c>
      <c r="B25" s="112" t="s">
        <v>365</v>
      </c>
      <c r="C25" s="113" t="n">
        <v>46245</v>
      </c>
      <c r="D25" s="114" t="n">
        <v>3</v>
      </c>
      <c r="E25" s="114" t="s">
        <v>329</v>
      </c>
      <c r="F25" s="114" t="n">
        <v>2</v>
      </c>
      <c r="G25" s="114" t="s">
        <v>330</v>
      </c>
      <c r="H25" s="114" t="n">
        <v>3</v>
      </c>
      <c r="I25" s="114" t="s">
        <v>329</v>
      </c>
      <c r="J25" s="114" t="n">
        <v>3</v>
      </c>
      <c r="K25" s="114" t="s">
        <v>329</v>
      </c>
      <c r="L25" s="114" t="n">
        <v>2</v>
      </c>
      <c r="M25" s="114" t="s">
        <v>330</v>
      </c>
      <c r="N25" s="115" t="n">
        <f aca="false">IF(COUNT(D25,F25,H25,J25,L25)=0,"",(D25*0.2+F25*0.15+H25*0.15+J25*0.1+L25*0.1)/(IF(D25&lt;&gt;"",0.2,0)+IF(F25&lt;&gt;"",0.15,0)+IF(H25&lt;&gt;"",0.15,0)+IF(J25&lt;&gt;"",0.1,0)+IF(L25&lt;&gt;"",0.1,0)))</f>
        <v>2.64285714285714</v>
      </c>
      <c r="O25" s="116" t="n">
        <f aca="false">IF(COUNT(D25,F25,H25,J25,L25)=0,"",D25*0.2+F25*0.15+H25*0.15+J25*0.1+L25*0.1)</f>
        <v>1.85</v>
      </c>
      <c r="P25" s="114"/>
      <c r="Q25" s="114"/>
      <c r="R25" s="114"/>
      <c r="S25" s="114"/>
      <c r="T25" s="114"/>
      <c r="U25" s="114"/>
      <c r="V25" s="114"/>
      <c r="W25" s="114"/>
      <c r="X25" s="116" t="str">
        <f aca="false">IF(COUNT(P25,R25,T25,V25)=0,"",P25*0.08+R25*0.06+T25*0.03+V25*0.08)</f>
        <v/>
      </c>
      <c r="Y25" s="114"/>
      <c r="Z25" s="114"/>
      <c r="AA25" s="114"/>
      <c r="AB25" s="114"/>
      <c r="AC25" s="114"/>
      <c r="AD25" s="114"/>
      <c r="AE25" s="116" t="str">
        <f aca="false">IF(COUNT(Y25,AA25,AC25)=0,"",Y25*0.02+AA25*0.02+AC25*0.01)</f>
        <v/>
      </c>
      <c r="AF25" s="96" t="str">
        <f aca="false">IF(OR(COUNT(D25,F25,H25,J25,L25)&lt;5,COUNT(P25,R25,T25,V25)&lt;4,COUNT(Y25,AA25,AC25)&lt;3),"",(O25+X25+AE25)*20)</f>
        <v/>
      </c>
      <c r="AG25" s="92" t="str">
        <f aca="false">IF(AF25="","",IF(AF25&gt;=80,"STRONG BUY",IF(AF25&gt;=65,"BUY",IF(AF25&gt;=50,"WATCH LIST",IF(AF25&gt;=35,"AVOID","PASS")))))</f>
        <v/>
      </c>
      <c r="AH25" s="92" t="str">
        <f aca="false">IF(N25="","",IF(N25&lt;3,"FAIL","OK"))</f>
        <v>FAIL</v>
      </c>
      <c r="AI25" s="92" t="str">
        <f aca="false">IF(COUNT(D25:L25)=0,"",IF(COUNTIF(D25:L25,1)&gt;0,"REVIEW","OK"))</f>
        <v>OK</v>
      </c>
      <c r="AJ25" s="92" t="str">
        <f aca="false">IF(COUNT(D25:L25)=0,"",IF(COUNTIF(D25:L25,"&lt;=2")&gt;=2,"AVOID","OK"))</f>
        <v>AVOID</v>
      </c>
      <c r="AK25" s="92" t="str">
        <f aca="false">IF(COUNTA(E25:M25)=0,"",IF(COUNTIF(E25:M25,"L")&gt;=2,"CAP AT BUY","OK"))</f>
        <v>OK</v>
      </c>
      <c r="AL25" s="118" t="s">
        <v>359</v>
      </c>
      <c r="AM25" s="118" t="s">
        <v>364</v>
      </c>
      <c r="AN25" s="114"/>
      <c r="AO25" s="92"/>
      <c r="AP25" s="114" t="str">
        <f aca="false">IF(OR(AN25="",AO25=""),"",IF(AN25&gt;AO25,"OK","LOW CONF"))</f>
        <v/>
      </c>
      <c r="AQ25" s="114"/>
      <c r="AR25" s="92"/>
      <c r="AS25" s="122" t="str">
        <f aca="false">IF(OR(AQ25="",AR25=""),"",IF(AQ25&lt;AR25,"Decreased",IF(AQ25&gt;AR25,"Increased","Flat")))</f>
        <v/>
      </c>
    </row>
    <row r="26" customFormat="false" ht="15" hidden="true" customHeight="true" outlineLevel="1" collapsed="false">
      <c r="A26" s="61" t="s">
        <v>229</v>
      </c>
      <c r="B26" s="112" t="s">
        <v>366</v>
      </c>
      <c r="C26" s="113" t="n">
        <v>46245</v>
      </c>
      <c r="D26" s="114" t="n">
        <v>2</v>
      </c>
      <c r="E26" s="114" t="s">
        <v>329</v>
      </c>
      <c r="F26" s="114" t="n">
        <v>1</v>
      </c>
      <c r="G26" s="114" t="s">
        <v>330</v>
      </c>
      <c r="H26" s="114" t="n">
        <v>2</v>
      </c>
      <c r="I26" s="114" t="s">
        <v>329</v>
      </c>
      <c r="J26" s="114" t="n">
        <v>2</v>
      </c>
      <c r="K26" s="114" t="s">
        <v>329</v>
      </c>
      <c r="L26" s="114" t="n">
        <v>2</v>
      </c>
      <c r="M26" s="114" t="s">
        <v>329</v>
      </c>
      <c r="N26" s="115" t="n">
        <f aca="false">IF(COUNT(D26,F26,H26,J26,L26)=0,"",(D26*0.2+F26*0.15+H26*0.15+J26*0.1+L26*0.1)/(IF(D26&lt;&gt;"",0.2,0)+IF(F26&lt;&gt;"",0.15,0)+IF(H26&lt;&gt;"",0.15,0)+IF(J26&lt;&gt;"",0.1,0)+IF(L26&lt;&gt;"",0.1,0)))</f>
        <v>1.78571428571429</v>
      </c>
      <c r="O26" s="116" t="n">
        <f aca="false">IF(COUNT(D26,F26,H26,J26,L26)=0,"",D26*0.2+F26*0.15+H26*0.15+J26*0.1+L26*0.1)</f>
        <v>1.25</v>
      </c>
      <c r="P26" s="114"/>
      <c r="Q26" s="114"/>
      <c r="R26" s="114"/>
      <c r="S26" s="114"/>
      <c r="T26" s="114"/>
      <c r="U26" s="114"/>
      <c r="V26" s="114"/>
      <c r="W26" s="114"/>
      <c r="X26" s="116" t="str">
        <f aca="false">IF(COUNT(P26,R26,T26,V26)=0,"",P26*0.08+R26*0.06+T26*0.03+V26*0.08)</f>
        <v/>
      </c>
      <c r="Y26" s="114"/>
      <c r="Z26" s="114"/>
      <c r="AA26" s="114"/>
      <c r="AB26" s="114"/>
      <c r="AC26" s="114"/>
      <c r="AD26" s="114"/>
      <c r="AE26" s="116" t="str">
        <f aca="false">IF(COUNT(Y26,AA26,AC26)=0,"",Y26*0.02+AA26*0.02+AC26*0.01)</f>
        <v/>
      </c>
      <c r="AF26" s="96" t="str">
        <f aca="false">IF(OR(COUNT(D26,F26,H26,J26,L26)&lt;5,COUNT(P26,R26,T26,V26)&lt;4,COUNT(Y26,AA26,AC26)&lt;3),"",(O26+X26+AE26)*20)</f>
        <v/>
      </c>
      <c r="AG26" s="92" t="str">
        <f aca="false">IF(AF26="","",IF(AF26&gt;=80,"STRONG BUY",IF(AF26&gt;=65,"BUY",IF(AF26&gt;=50,"WATCH LIST",IF(AF26&gt;=35,"AVOID","PASS")))))</f>
        <v/>
      </c>
      <c r="AH26" s="92" t="str">
        <f aca="false">IF(N26="","",IF(N26&lt;3,"FAIL","OK"))</f>
        <v>FAIL</v>
      </c>
      <c r="AI26" s="92" t="str">
        <f aca="false">IF(COUNT(D26:L26)=0,"",IF(COUNTIF(D26:L26,1)&gt;0,"REVIEW","OK"))</f>
        <v>REVIEW</v>
      </c>
      <c r="AJ26" s="92" t="str">
        <f aca="false">IF(COUNT(D26:L26)=0,"",IF(COUNTIF(D26:L26,"&lt;=2")&gt;=2,"AVOID","OK"))</f>
        <v>AVOID</v>
      </c>
      <c r="AK26" s="92" t="str">
        <f aca="false">IF(COUNTA(E26:M26)=0,"",IF(COUNTIF(E26:M26,"L")&gt;=2,"CAP AT BUY","OK"))</f>
        <v>OK</v>
      </c>
      <c r="AL26" s="118" t="s">
        <v>367</v>
      </c>
      <c r="AM26" s="118" t="s">
        <v>368</v>
      </c>
      <c r="AN26" s="114"/>
      <c r="AO26" s="92"/>
      <c r="AP26" s="114" t="str">
        <f aca="false">IF(OR(AN26="",AO26=""),"",IF(AN26&gt;AO26,"OK","LOW CONF"))</f>
        <v/>
      </c>
      <c r="AQ26" s="114"/>
      <c r="AR26" s="92"/>
      <c r="AS26" s="122" t="str">
        <f aca="false">IF(OR(AQ26="",AR26=""),"",IF(AQ26&lt;AR26,"Decreased",IF(AQ26&gt;AR26,"Increased","Flat")))</f>
        <v/>
      </c>
    </row>
    <row r="27" customFormat="false" ht="15" hidden="true" customHeight="true" outlineLevel="1" collapsed="false">
      <c r="A27" s="61" t="s">
        <v>230</v>
      </c>
      <c r="B27" s="112" t="s">
        <v>369</v>
      </c>
      <c r="C27" s="113" t="n">
        <v>46245</v>
      </c>
      <c r="D27" s="114" t="n">
        <v>2</v>
      </c>
      <c r="E27" s="114" t="s">
        <v>330</v>
      </c>
      <c r="F27" s="114" t="n">
        <v>2</v>
      </c>
      <c r="G27" s="114" t="s">
        <v>329</v>
      </c>
      <c r="H27" s="114" t="n">
        <v>2</v>
      </c>
      <c r="I27" s="114" t="s">
        <v>329</v>
      </c>
      <c r="J27" s="114" t="n">
        <v>2</v>
      </c>
      <c r="K27" s="114" t="s">
        <v>329</v>
      </c>
      <c r="L27" s="114" t="n">
        <v>1</v>
      </c>
      <c r="M27" s="114" t="s">
        <v>330</v>
      </c>
      <c r="N27" s="115" t="n">
        <f aca="false">IF(COUNT(D27,F27,H27,J27,L27)=0,"",(D27*0.2+F27*0.15+H27*0.15+J27*0.1+L27*0.1)/(IF(D27&lt;&gt;"",0.2,0)+IF(F27&lt;&gt;"",0.15,0)+IF(H27&lt;&gt;"",0.15,0)+IF(J27&lt;&gt;"",0.1,0)+IF(L27&lt;&gt;"",0.1,0)))</f>
        <v>1.85714285714286</v>
      </c>
      <c r="O27" s="116" t="n">
        <f aca="false">IF(COUNT(D27,F27,H27,J27,L27)=0,"",D27*0.2+F27*0.15+H27*0.15+J27*0.1+L27*0.1)</f>
        <v>1.3</v>
      </c>
      <c r="P27" s="114"/>
      <c r="Q27" s="114"/>
      <c r="R27" s="114"/>
      <c r="S27" s="114"/>
      <c r="T27" s="114"/>
      <c r="U27" s="114"/>
      <c r="V27" s="114"/>
      <c r="W27" s="114"/>
      <c r="X27" s="116" t="str">
        <f aca="false">IF(COUNT(P27,R27,T27,V27)=0,"",P27*0.08+R27*0.06+T27*0.03+V27*0.08)</f>
        <v/>
      </c>
      <c r="Y27" s="114"/>
      <c r="Z27" s="114"/>
      <c r="AA27" s="114"/>
      <c r="AB27" s="114"/>
      <c r="AC27" s="114"/>
      <c r="AD27" s="114"/>
      <c r="AE27" s="116" t="str">
        <f aca="false">IF(COUNT(Y27,AA27,AC27)=0,"",Y27*0.02+AA27*0.02+AC27*0.01)</f>
        <v/>
      </c>
      <c r="AF27" s="96" t="str">
        <f aca="false">IF(OR(COUNT(D27,F27,H27,J27,L27)&lt;5,COUNT(P27,R27,T27,V27)&lt;4,COUNT(Y27,AA27,AC27)&lt;3),"",(O27+X27+AE27)*20)</f>
        <v/>
      </c>
      <c r="AG27" s="92" t="str">
        <f aca="false">IF(AF27="","",IF(AF27&gt;=80,"STRONG BUY",IF(AF27&gt;=65,"BUY",IF(AF27&gt;=50,"WATCH LIST",IF(AF27&gt;=35,"AVOID","PASS")))))</f>
        <v/>
      </c>
      <c r="AH27" s="92" t="str">
        <f aca="false">IF(N27="","",IF(N27&lt;3,"FAIL","OK"))</f>
        <v>FAIL</v>
      </c>
      <c r="AI27" s="92" t="str">
        <f aca="false">IF(COUNT(D27:L27)=0,"",IF(COUNTIF(D27:L27,1)&gt;0,"REVIEW","OK"))</f>
        <v>REVIEW</v>
      </c>
      <c r="AJ27" s="92" t="str">
        <f aca="false">IF(COUNT(D27:L27)=0,"",IF(COUNTIF(D27:L27,"&lt;=2")&gt;=2,"AVOID","OK"))</f>
        <v>AVOID</v>
      </c>
      <c r="AK27" s="92" t="str">
        <f aca="false">IF(COUNTA(E27:M27)=0,"",IF(COUNTIF(E27:M27,"L")&gt;=2,"CAP AT BUY","OK"))</f>
        <v>OK</v>
      </c>
      <c r="AL27" s="118" t="s">
        <v>367</v>
      </c>
      <c r="AM27" s="118" t="s">
        <v>370</v>
      </c>
      <c r="AN27" s="114"/>
      <c r="AO27" s="92"/>
      <c r="AP27" s="114" t="str">
        <f aca="false">IF(OR(AN27="",AO27=""),"",IF(AN27&gt;AO27,"OK","LOW CONF"))</f>
        <v/>
      </c>
      <c r="AQ27" s="114"/>
      <c r="AR27" s="92"/>
      <c r="AS27" s="122" t="str">
        <f aca="false">IF(OR(AQ27="",AR27=""),"",IF(AQ27&lt;AR27,"Decreased",IF(AQ27&gt;AR27,"Increased","Flat")))</f>
        <v/>
      </c>
    </row>
    <row r="28" customFormat="false" ht="15" hidden="false" customHeight="true" outlineLevel="0" collapsed="false">
      <c r="A28" s="61" t="s">
        <v>252</v>
      </c>
      <c r="B28" s="112" t="s">
        <v>371</v>
      </c>
      <c r="C28" s="123" t="n">
        <v>46276</v>
      </c>
      <c r="D28" s="114" t="n">
        <v>2</v>
      </c>
      <c r="E28" s="114" t="s">
        <v>329</v>
      </c>
      <c r="F28" s="114" t="n">
        <v>2</v>
      </c>
      <c r="G28" s="114" t="s">
        <v>329</v>
      </c>
      <c r="H28" s="114" t="n">
        <v>5</v>
      </c>
      <c r="I28" s="114" t="s">
        <v>330</v>
      </c>
      <c r="J28" s="114" t="n">
        <v>5</v>
      </c>
      <c r="K28" s="114" t="s">
        <v>330</v>
      </c>
      <c r="L28" s="114" t="n">
        <v>2</v>
      </c>
      <c r="M28" s="114" t="s">
        <v>329</v>
      </c>
      <c r="N28" s="115" t="n">
        <f aca="false">IF(COUNT(D28,F28,H28,J28,L28)=0,"",(D28*0.2+F28*0.15+H28*0.15+J28*0.1+L28*0.1)/(IF(D28&lt;&gt;"",0.2,0)+IF(F28&lt;&gt;"",0.15,0)+IF(H28&lt;&gt;"",0.15,0)+IF(J28&lt;&gt;"",0.1,0)+IF(L28&lt;&gt;"",0.1,0)))</f>
        <v>3.07142857142857</v>
      </c>
      <c r="O28" s="92" t="n">
        <f aca="false">IF(COUNT(D28,F28,H28,J28,L28)=0,"",D28*0.2+F28*0.15+H28*0.15+J28*0.1+L28*0.1)</f>
        <v>2.15</v>
      </c>
      <c r="P28" s="114"/>
      <c r="Q28" s="114"/>
      <c r="R28" s="114"/>
      <c r="S28" s="114"/>
      <c r="T28" s="114"/>
      <c r="U28" s="114"/>
      <c r="V28" s="114"/>
      <c r="W28" s="114"/>
      <c r="X28" s="64" t="str">
        <f aca="false">IF(COUNT(P28,R28,T28,V28)=0,"",P28*0.08+R28*0.06+T28*0.03+V28*0.08)</f>
        <v/>
      </c>
      <c r="Y28" s="114"/>
      <c r="Z28" s="114"/>
      <c r="AA28" s="114"/>
      <c r="AB28" s="114"/>
      <c r="AC28" s="114"/>
      <c r="AD28" s="114"/>
      <c r="AE28" s="64" t="str">
        <f aca="false">IF(COUNT(Y28,AA28,AC28)=0,"",Y28*0.02+AA28*0.02+AC28*0.01)</f>
        <v/>
      </c>
      <c r="AF28" s="92" t="str">
        <f aca="false">IF(OR(COUNT(D28,F28,H28,J28,L28)&lt;5,COUNT(P28,R28,T28,V28)&lt;4,COUNT(Y28,AA28,AC28)&lt;3),"",(O28+X28+AE28)*20)</f>
        <v/>
      </c>
      <c r="AG28" s="92" t="str">
        <f aca="false">IF(AF28="","",IF(AF28&gt;=80,"STRONG BUY",IF(AF28&gt;=65,"BUY",IF(AF28&gt;=50,"WATCH LIST",IF(AF28&gt;=35,"AVOID","PASS")))))</f>
        <v/>
      </c>
      <c r="AH28" s="92" t="str">
        <f aca="false">IF(N28="","",IF(N28&lt;3,"FAIL","OK"))</f>
        <v>OK</v>
      </c>
      <c r="AI28" s="92" t="str">
        <f aca="false">IF(COUNT(D28:L28)=0,"",IF(COUNTIF(D28:L28,1)&gt;0,"REVIEW","OK"))</f>
        <v>OK</v>
      </c>
      <c r="AJ28" s="92" t="str">
        <f aca="false">IF(COUNT(D28:L28)=0,"",IF(COUNTIF(D28:L28,"&lt;=2")&gt;=2,"AVOID","OK"))</f>
        <v>AVOID</v>
      </c>
      <c r="AK28" s="92" t="str">
        <f aca="false">IF(COUNTA(E28:M28)=0,"",IF(COUNTIF(E28:M28,"L")&gt;=2,"CAP AT BUY","OK"))</f>
        <v>OK</v>
      </c>
      <c r="AL28" s="118" t="s">
        <v>367</v>
      </c>
      <c r="AM28" s="118" t="s">
        <v>372</v>
      </c>
      <c r="AN28" s="114"/>
      <c r="AO28" s="92"/>
      <c r="AP28" s="114" t="str">
        <f aca="false">IF(OR(AN28="",AO28=""),"",IF(AN28&gt;AO28,"OK","LOW CONF"))</f>
        <v/>
      </c>
      <c r="AQ28" s="114"/>
      <c r="AR28" s="92"/>
      <c r="AS28" s="124" t="str">
        <f aca="false">IF(OR(AQ28="",AR28=""),"",IF(AQ28&lt;AR28,"Decreased",IF(AQ28&gt;AR28,"Increased","Flat")))</f>
        <v/>
      </c>
    </row>
    <row r="29" customFormat="false" ht="15" hidden="true" customHeight="true" outlineLevel="1" collapsed="false">
      <c r="A29" s="61" t="s">
        <v>235</v>
      </c>
      <c r="B29" s="112" t="s">
        <v>373</v>
      </c>
      <c r="C29" s="123" t="n">
        <v>46245</v>
      </c>
      <c r="D29" s="114" t="n">
        <v>2</v>
      </c>
      <c r="E29" s="114" t="s">
        <v>329</v>
      </c>
      <c r="F29" s="114" t="n">
        <v>2</v>
      </c>
      <c r="G29" s="114" t="s">
        <v>329</v>
      </c>
      <c r="H29" s="114" t="n">
        <v>3</v>
      </c>
      <c r="I29" s="114" t="s">
        <v>329</v>
      </c>
      <c r="J29" s="114" t="n">
        <v>3</v>
      </c>
      <c r="K29" s="114" t="s">
        <v>329</v>
      </c>
      <c r="L29" s="114" t="n">
        <v>2</v>
      </c>
      <c r="M29" s="114" t="s">
        <v>330</v>
      </c>
      <c r="N29" s="115" t="n">
        <f aca="false">IF(COUNT(D29,F29,H29,J29,L29)=0,"",(D29*0.2+F29*0.15+H29*0.15+J29*0.1+L29*0.1)/(IF(D29&lt;&gt;"",0.2,0)+IF(F29&lt;&gt;"",0.15,0)+IF(H29&lt;&gt;"",0.15,0)+IF(J29&lt;&gt;"",0.1,0)+IF(L29&lt;&gt;"",0.1,0)))</f>
        <v>2.35714285714286</v>
      </c>
      <c r="O29" s="92" t="n">
        <f aca="false">IF(COUNT(D29,F29,H29,J29,L29)=0,"",D29*0.2+F29*0.15+H29*0.15+J29*0.1+L29*0.1)</f>
        <v>1.65</v>
      </c>
      <c r="P29" s="114"/>
      <c r="Q29" s="114"/>
      <c r="R29" s="114"/>
      <c r="S29" s="114"/>
      <c r="T29" s="114"/>
      <c r="U29" s="114"/>
      <c r="V29" s="114"/>
      <c r="W29" s="114"/>
      <c r="X29" s="64" t="str">
        <f aca="false">IF(COUNT(P29,R29,T29,V29)=0,"",P29*0.08+R29*0.06+T29*0.03+V29*0.08)</f>
        <v/>
      </c>
      <c r="Y29" s="114"/>
      <c r="Z29" s="114"/>
      <c r="AA29" s="114"/>
      <c r="AB29" s="114"/>
      <c r="AC29" s="114"/>
      <c r="AD29" s="114"/>
      <c r="AE29" s="64" t="str">
        <f aca="false">IF(COUNT(Y29,AA29,AC29)=0,"",Y29*0.02+AA29*0.02+AC29*0.01)</f>
        <v/>
      </c>
      <c r="AF29" s="92" t="str">
        <f aca="false">IF(OR(COUNT(D29,F29,H29,J29,L29)&lt;5,COUNT(P29,R29,T29,V29)&lt;4,COUNT(Y29,AA29,AC29)&lt;3),"",(O29+X29+AE29)*20)</f>
        <v/>
      </c>
      <c r="AG29" s="92" t="str">
        <f aca="false">IF(AF29="","",IF(AF29&gt;=80,"STRONG BUY",IF(AF29&gt;=65,"BUY",IF(AF29&gt;=50,"WATCH LIST",IF(AF29&gt;=35,"AVOID","PASS")))))</f>
        <v/>
      </c>
      <c r="AH29" s="92" t="str">
        <f aca="false">IF(N29="","",IF(N29&lt;3,"FAIL","OK"))</f>
        <v>FAIL</v>
      </c>
      <c r="AI29" s="92" t="str">
        <f aca="false">IF(COUNT(D29:L29)=0,"",IF(COUNTIF(D29:L29,1)&gt;0,"REVIEW","OK"))</f>
        <v>OK</v>
      </c>
      <c r="AJ29" s="92" t="str">
        <f aca="false">IF(COUNT(D29:L29)=0,"",IF(COUNTIF(D29:L29,"&lt;=2")&gt;=2,"AVOID","OK"))</f>
        <v>AVOID</v>
      </c>
      <c r="AK29" s="92" t="str">
        <f aca="false">IF(COUNTA(E29:M29)=0,"",IF(COUNTIF(E29:M29,"L")&gt;=2,"CAP AT BUY","OK"))</f>
        <v>OK</v>
      </c>
      <c r="AL29" s="118" t="s">
        <v>340</v>
      </c>
      <c r="AM29" s="118" t="s">
        <v>374</v>
      </c>
      <c r="AN29" s="114"/>
      <c r="AO29" s="92"/>
      <c r="AP29" s="114" t="str">
        <f aca="false">IF(OR(AN29="",AO29=""),"",IF(AN29&gt;AO29,"OK","LOW CONF"))</f>
        <v/>
      </c>
      <c r="AQ29" s="114"/>
      <c r="AR29" s="92"/>
      <c r="AS29" s="124" t="str">
        <f aca="false">IF(OR(AQ29="",AR29=""),"",IF(AQ29&lt;AR29,"Decreased",IF(AQ29&gt;AR29,"Increased","Flat")))</f>
        <v/>
      </c>
    </row>
    <row r="30" customFormat="false" ht="15" hidden="true" customHeight="true" outlineLevel="1" collapsed="false">
      <c r="A30" s="61" t="s">
        <v>239</v>
      </c>
      <c r="B30" s="112" t="s">
        <v>375</v>
      </c>
      <c r="C30" s="123" t="n">
        <v>46245</v>
      </c>
      <c r="D30" s="114" t="n">
        <v>2</v>
      </c>
      <c r="E30" s="114" t="s">
        <v>329</v>
      </c>
      <c r="F30" s="114" t="n">
        <v>1</v>
      </c>
      <c r="G30" s="114" t="s">
        <v>330</v>
      </c>
      <c r="H30" s="114" t="n">
        <v>3</v>
      </c>
      <c r="I30" s="114" t="s">
        <v>329</v>
      </c>
      <c r="J30" s="114" t="n">
        <v>2</v>
      </c>
      <c r="K30" s="114" t="s">
        <v>329</v>
      </c>
      <c r="L30" s="114" t="n">
        <v>3</v>
      </c>
      <c r="M30" s="114" t="s">
        <v>329</v>
      </c>
      <c r="N30" s="115" t="n">
        <f aca="false">IF(COUNT(D30,F30,H30,J30,L30)=0,"",(D30*0.2+F30*0.15+H30*0.15+J30*0.1+L30*0.1)/(IF(D30&lt;&gt;"",0.2,0)+IF(F30&lt;&gt;"",0.15,0)+IF(H30&lt;&gt;"",0.15,0)+IF(J30&lt;&gt;"",0.1,0)+IF(L30&lt;&gt;"",0.1,0)))</f>
        <v>2.14285714285714</v>
      </c>
      <c r="O30" s="92" t="n">
        <f aca="false">IF(COUNT(D30,F30,H30,J30,L30)=0,"",D30*0.2+F30*0.15+H30*0.15+J30*0.1+L30*0.1)</f>
        <v>1.5</v>
      </c>
      <c r="P30" s="114"/>
      <c r="Q30" s="114"/>
      <c r="R30" s="114"/>
      <c r="S30" s="114"/>
      <c r="T30" s="114"/>
      <c r="U30" s="114"/>
      <c r="V30" s="114"/>
      <c r="W30" s="114"/>
      <c r="X30" s="64" t="str">
        <f aca="false">IF(COUNT(P30,R30,T30,V30)=0,"",P30*0.08+R30*0.06+T30*0.03+V30*0.08)</f>
        <v/>
      </c>
      <c r="Y30" s="114"/>
      <c r="Z30" s="114"/>
      <c r="AA30" s="114"/>
      <c r="AB30" s="114"/>
      <c r="AC30" s="114"/>
      <c r="AD30" s="114"/>
      <c r="AE30" s="64" t="str">
        <f aca="false">IF(COUNT(Y30,AA30,AC30)=0,"",Y30*0.02+AA30*0.02+AC30*0.01)</f>
        <v/>
      </c>
      <c r="AF30" s="92" t="str">
        <f aca="false">IF(OR(COUNT(D30,F30,H30,J30,L30)&lt;5,COUNT(P30,R30,T30,V30)&lt;4,COUNT(Y30,AA30,AC30)&lt;3),"",(O30+X30+AE30)*20)</f>
        <v/>
      </c>
      <c r="AG30" s="92" t="str">
        <f aca="false">IF(AF30="","",IF(AF30&gt;=80,"STRONG BUY",IF(AF30&gt;=65,"BUY",IF(AF30&gt;=50,"WATCH LIST",IF(AF30&gt;=35,"AVOID","PASS")))))</f>
        <v/>
      </c>
      <c r="AH30" s="92" t="str">
        <f aca="false">IF(N30="","",IF(N30&lt;3,"FAIL","OK"))</f>
        <v>FAIL</v>
      </c>
      <c r="AI30" s="92" t="str">
        <f aca="false">IF(COUNT(D30:L30)=0,"",IF(COUNTIF(D30:L30,1)&gt;0,"REVIEW","OK"))</f>
        <v>REVIEW</v>
      </c>
      <c r="AJ30" s="92" t="str">
        <f aca="false">IF(COUNT(D30:L30)=0,"",IF(COUNTIF(D30:L30,"&lt;=2")&gt;=2,"AVOID","OK"))</f>
        <v>AVOID</v>
      </c>
      <c r="AK30" s="92" t="str">
        <f aca="false">IF(COUNTA(E30:M30)=0,"",IF(COUNTIF(E30:M30,"L")&gt;=2,"CAP AT BUY","OK"))</f>
        <v>OK</v>
      </c>
      <c r="AL30" s="118" t="s">
        <v>340</v>
      </c>
      <c r="AM30" s="118" t="s">
        <v>376</v>
      </c>
      <c r="AN30" s="114"/>
      <c r="AO30" s="92"/>
      <c r="AP30" s="114" t="str">
        <f aca="false">IF(OR(AN30="",AO30=""),"",IF(AN30&gt;AO30,"OK","LOW CONF"))</f>
        <v/>
      </c>
      <c r="AQ30" s="114"/>
      <c r="AR30" s="92"/>
      <c r="AS30" s="124" t="str">
        <f aca="false">IF(OR(AQ30="",AR30=""),"",IF(AQ30&lt;AR30,"Decreased",IF(AQ30&gt;AR30,"Increased","Flat")))</f>
        <v/>
      </c>
    </row>
    <row r="31" customFormat="false" ht="15" hidden="true" customHeight="true" outlineLevel="1" collapsed="false">
      <c r="A31" s="61" t="s">
        <v>249</v>
      </c>
      <c r="B31" s="112" t="s">
        <v>377</v>
      </c>
      <c r="C31" s="123" t="n">
        <v>46245</v>
      </c>
      <c r="D31" s="114" t="n">
        <v>1</v>
      </c>
      <c r="E31" s="114" t="s">
        <v>330</v>
      </c>
      <c r="F31" s="114" t="n">
        <v>2</v>
      </c>
      <c r="G31" s="114" t="s">
        <v>329</v>
      </c>
      <c r="H31" s="114" t="n">
        <v>3</v>
      </c>
      <c r="I31" s="114" t="s">
        <v>329</v>
      </c>
      <c r="J31" s="114" t="n">
        <v>3</v>
      </c>
      <c r="K31" s="114" t="s">
        <v>329</v>
      </c>
      <c r="L31" s="114" t="n">
        <v>1</v>
      </c>
      <c r="M31" s="114" t="s">
        <v>330</v>
      </c>
      <c r="N31" s="115" t="n">
        <f aca="false">IF(COUNT(D31,F31,H31,J31,L31)=0,"",(D31*0.2+F31*0.15+H31*0.15+J31*0.1+L31*0.1)/(IF(D31&lt;&gt;"",0.2,0)+IF(F31&lt;&gt;"",0.15,0)+IF(H31&lt;&gt;"",0.15,0)+IF(J31&lt;&gt;"",0.1,0)+IF(L31&lt;&gt;"",0.1,0)))</f>
        <v>1.92857142857143</v>
      </c>
      <c r="O31" s="92" t="n">
        <f aca="false">IF(COUNT(D31,F31,H31,J31,L31)=0,"",D31*0.2+F31*0.15+H31*0.15+J31*0.1+L31*0.1)</f>
        <v>1.35</v>
      </c>
      <c r="P31" s="114"/>
      <c r="Q31" s="114"/>
      <c r="R31" s="114"/>
      <c r="S31" s="114"/>
      <c r="T31" s="114"/>
      <c r="U31" s="114"/>
      <c r="V31" s="114"/>
      <c r="W31" s="114"/>
      <c r="X31" s="64" t="str">
        <f aca="false">IF(COUNT(P31,R31,T31,V31)=0,"",P31*0.08+R31*0.06+T31*0.03+V31*0.08)</f>
        <v/>
      </c>
      <c r="Y31" s="114"/>
      <c r="Z31" s="114"/>
      <c r="AA31" s="114"/>
      <c r="AB31" s="114"/>
      <c r="AC31" s="114"/>
      <c r="AD31" s="114"/>
      <c r="AE31" s="64" t="str">
        <f aca="false">IF(COUNT(Y31,AA31,AC31)=0,"",Y31*0.02+AA31*0.02+AC31*0.01)</f>
        <v/>
      </c>
      <c r="AF31" s="92" t="str">
        <f aca="false">IF(OR(COUNT(D31,F31,H31,J31,L31)&lt;5,COUNT(P31,R31,T31,V31)&lt;4,COUNT(Y31,AA31,AC31)&lt;3),"",(O31+X31+AE31)*20)</f>
        <v/>
      </c>
      <c r="AG31" s="92" t="str">
        <f aca="false">IF(AF31="","",IF(AF31&gt;=80,"STRONG BUY",IF(AF31&gt;=65,"BUY",IF(AF31&gt;=50,"WATCH LIST",IF(AF31&gt;=35,"AVOID","PASS")))))</f>
        <v/>
      </c>
      <c r="AH31" s="92" t="str">
        <f aca="false">IF(N31="","",IF(N31&lt;3,"FAIL","OK"))</f>
        <v>FAIL</v>
      </c>
      <c r="AI31" s="92" t="str">
        <f aca="false">IF(COUNT(D31:L31)=0,"",IF(COUNTIF(D31:L31,1)&gt;0,"REVIEW","OK"))</f>
        <v>REVIEW</v>
      </c>
      <c r="AJ31" s="92" t="str">
        <f aca="false">IF(COUNT(D31:L31)=0,"",IF(COUNTIF(D31:L31,"&lt;=2")&gt;=2,"AVOID","OK"))</f>
        <v>AVOID</v>
      </c>
      <c r="AK31" s="92" t="str">
        <f aca="false">IF(COUNTA(E31:M31)=0,"",IF(COUNTIF(E31:M31,"L")&gt;=2,"CAP AT BUY","OK"))</f>
        <v>OK</v>
      </c>
      <c r="AL31" s="118" t="s">
        <v>340</v>
      </c>
      <c r="AM31" s="118" t="s">
        <v>378</v>
      </c>
      <c r="AN31" s="114"/>
      <c r="AO31" s="92"/>
      <c r="AP31" s="114" t="str">
        <f aca="false">IF(OR(AN31="",AO31=""),"",IF(AN31&gt;AO31,"OK","LOW CONF"))</f>
        <v/>
      </c>
      <c r="AQ31" s="114"/>
      <c r="AR31" s="92"/>
      <c r="AS31" s="124" t="str">
        <f aca="false">IF(OR(AQ31="",AR31=""),"",IF(AQ31&lt;AR31,"Decreased",IF(AQ31&gt;AR31,"Increased","Flat")))</f>
        <v/>
      </c>
    </row>
    <row r="32" customFormat="false" ht="15" hidden="false" customHeight="true" outlineLevel="0" collapsed="false">
      <c r="A32" s="61" t="s">
        <v>263</v>
      </c>
      <c r="B32" s="112" t="s">
        <v>379</v>
      </c>
      <c r="C32" s="123" t="n">
        <v>46295</v>
      </c>
      <c r="D32" s="114" t="n">
        <v>4</v>
      </c>
      <c r="E32" s="114" t="s">
        <v>329</v>
      </c>
      <c r="F32" s="114" t="n">
        <v>3</v>
      </c>
      <c r="G32" s="114" t="s">
        <v>329</v>
      </c>
      <c r="H32" s="114" t="n">
        <v>5</v>
      </c>
      <c r="I32" s="114" t="s">
        <v>330</v>
      </c>
      <c r="J32" s="114" t="n">
        <v>4</v>
      </c>
      <c r="K32" s="114" t="s">
        <v>329</v>
      </c>
      <c r="L32" s="114" t="n">
        <v>4</v>
      </c>
      <c r="M32" s="114" t="s">
        <v>329</v>
      </c>
      <c r="N32" s="115" t="n">
        <f aca="false">IF(COUNT(D32,F32,H32,J32,L32)=0,"",(D32*0.2+F32*0.15+H32*0.15+J32*0.1+L32*0.1)/(IF(D32&lt;&gt;"",0.2,0)+IF(F32&lt;&gt;"",0.15,0)+IF(H32&lt;&gt;"",0.15,0)+IF(J32&lt;&gt;"",0.1,0)+IF(L32&lt;&gt;"",0.1,0)))</f>
        <v>4</v>
      </c>
      <c r="O32" s="92" t="n">
        <f aca="false">IF(COUNT(D32,F32,H32,J32,L32)=0,"",D32*0.2+F32*0.15+H32*0.15+J32*0.1+L32*0.1)</f>
        <v>2.8</v>
      </c>
      <c r="P32" s="114"/>
      <c r="Q32" s="114"/>
      <c r="R32" s="114"/>
      <c r="S32" s="114"/>
      <c r="T32" s="114"/>
      <c r="U32" s="114"/>
      <c r="V32" s="114"/>
      <c r="W32" s="114"/>
      <c r="X32" s="64" t="str">
        <f aca="false">IF(COUNT(P32,R32,T32,V32)=0,"",P32*0.08+R32*0.06+T32*0.03+V32*0.08)</f>
        <v/>
      </c>
      <c r="Y32" s="114"/>
      <c r="Z32" s="114"/>
      <c r="AA32" s="114"/>
      <c r="AB32" s="114"/>
      <c r="AC32" s="114"/>
      <c r="AD32" s="114"/>
      <c r="AE32" s="64" t="str">
        <f aca="false">IF(COUNT(Y32,AA32,AC32)=0,"",Y32*0.02+AA32*0.02+AC32*0.01)</f>
        <v/>
      </c>
      <c r="AF32" s="92" t="str">
        <f aca="false">IF(OR(COUNT(D32,F32,H32,J32,L32)&lt;5,COUNT(P32,R32,T32,V32)&lt;4,COUNT(Y32,AA32,AC32)&lt;3),"",(O32+X32+AE32)*20)</f>
        <v/>
      </c>
      <c r="AG32" s="92" t="str">
        <f aca="false">IF(AF32="","",IF(AF32&gt;=80,"STRONG BUY",IF(AF32&gt;=65,"BUY",IF(AF32&gt;=50,"WATCH LIST",IF(AF32&gt;=35,"AVOID","PASS")))))</f>
        <v/>
      </c>
      <c r="AH32" s="92" t="str">
        <f aca="false">IF(N32="","",IF(N32&lt;3,"FAIL","OK"))</f>
        <v>OK</v>
      </c>
      <c r="AI32" s="92" t="str">
        <f aca="false">IF(COUNT(D32:L32)=0,"",IF(COUNTIF(D32:L32,1)&gt;0,"REVIEW","OK"))</f>
        <v>OK</v>
      </c>
      <c r="AJ32" s="92" t="str">
        <f aca="false">IF(COUNT(D32:L32)=0,"",IF(COUNTIF(D32:L32,"&lt;=2")&gt;=2,"AVOID","OK"))</f>
        <v>OK</v>
      </c>
      <c r="AK32" s="92" t="str">
        <f aca="false">IF(COUNTA(E32:M32)=0,"",IF(COUNTIF(E32:M32,"L")&gt;=2,"CAP AT BUY","OK"))</f>
        <v>OK</v>
      </c>
      <c r="AL32" s="118" t="s">
        <v>340</v>
      </c>
      <c r="AM32" s="118" t="s">
        <v>376</v>
      </c>
      <c r="AN32" s="114"/>
      <c r="AO32" s="92"/>
      <c r="AP32" s="114" t="str">
        <f aca="false">IF(OR(AN32="",AO32=""),"",IF(AN32&gt;AO32,"OK","LOW CONF"))</f>
        <v/>
      </c>
      <c r="AQ32" s="114"/>
      <c r="AR32" s="92"/>
      <c r="AS32" s="124" t="str">
        <f aca="false">IF(OR(AQ32="",AR32=""),"",IF(AQ32&lt;AR32,"Decreased",IF(AQ32&gt;AR32,"Increased","Flat")))</f>
        <v/>
      </c>
    </row>
    <row r="33" customFormat="false" ht="15" hidden="false" customHeight="true" outlineLevel="0" collapsed="false">
      <c r="A33" s="61" t="s">
        <v>231</v>
      </c>
      <c r="B33" s="112" t="s">
        <v>380</v>
      </c>
      <c r="C33" s="123" t="n">
        <v>46245</v>
      </c>
      <c r="D33" s="114" t="n">
        <v>4</v>
      </c>
      <c r="E33" s="114" t="s">
        <v>330</v>
      </c>
      <c r="F33" s="114" t="n">
        <v>4</v>
      </c>
      <c r="G33" s="114" t="s">
        <v>330</v>
      </c>
      <c r="H33" s="114" t="n">
        <v>4</v>
      </c>
      <c r="I33" s="114" t="s">
        <v>330</v>
      </c>
      <c r="J33" s="114" t="n">
        <v>3</v>
      </c>
      <c r="K33" s="114" t="s">
        <v>329</v>
      </c>
      <c r="L33" s="114" t="n">
        <v>3</v>
      </c>
      <c r="M33" s="114" t="s">
        <v>330</v>
      </c>
      <c r="N33" s="115" t="n">
        <f aca="false">IF(COUNT(D33,F33,H33,J33,L33)=0,"",(D33*0.2+F33*0.15+H33*0.15+J33*0.1+L33*0.1)/(IF(D33&lt;&gt;"",0.2,0)+IF(F33&lt;&gt;"",0.15,0)+IF(H33&lt;&gt;"",0.15,0)+IF(J33&lt;&gt;"",0.1,0)+IF(L33&lt;&gt;"",0.1,0)))</f>
        <v>3.71428571428571</v>
      </c>
      <c r="O33" s="92" t="n">
        <f aca="false">IF(COUNT(D33,F33,H33,J33,L33)=0,"",D33*0.2+F33*0.15+H33*0.15+J33*0.1+L33*0.1)</f>
        <v>2.6</v>
      </c>
      <c r="P33" s="114"/>
      <c r="Q33" s="114"/>
      <c r="R33" s="114"/>
      <c r="S33" s="114"/>
      <c r="T33" s="114"/>
      <c r="U33" s="114"/>
      <c r="V33" s="114"/>
      <c r="W33" s="114"/>
      <c r="X33" s="64" t="str">
        <f aca="false">IF(COUNT(P33,R33,T33,V33)=0,"",P33*0.08+R33*0.06+T33*0.03+V33*0.08)</f>
        <v/>
      </c>
      <c r="Y33" s="114"/>
      <c r="Z33" s="114"/>
      <c r="AA33" s="114"/>
      <c r="AB33" s="114"/>
      <c r="AC33" s="114"/>
      <c r="AD33" s="114"/>
      <c r="AE33" s="64" t="str">
        <f aca="false">IF(COUNT(Y33,AA33,AC33)=0,"",Y33*0.02+AA33*0.02+AC33*0.01)</f>
        <v/>
      </c>
      <c r="AF33" s="92" t="str">
        <f aca="false">IF(OR(COUNT(D33,F33,H33,J33,L33)&lt;5,COUNT(P33,R33,T33,V33)&lt;4,COUNT(Y33,AA33,AC33)&lt;3),"",(O33+X33+AE33)*20)</f>
        <v/>
      </c>
      <c r="AG33" s="92" t="str">
        <f aca="false">IF(AF33="","",IF(AF33&gt;=80,"STRONG BUY",IF(AF33&gt;=65,"BUY",IF(AF33&gt;=50,"WATCH LIST",IF(AF33&gt;=35,"AVOID","PASS")))))</f>
        <v/>
      </c>
      <c r="AH33" s="92" t="str">
        <f aca="false">IF(N33="","",IF(N33&lt;3,"FAIL","OK"))</f>
        <v>OK</v>
      </c>
      <c r="AI33" s="92" t="str">
        <f aca="false">IF(COUNT(D33:L33)=0,"",IF(COUNTIF(D33:L33,1)&gt;0,"REVIEW","OK"))</f>
        <v>OK</v>
      </c>
      <c r="AJ33" s="92" t="str">
        <f aca="false">IF(COUNT(D33:L33)=0,"",IF(COUNTIF(D33:L33,"&lt;=2")&gt;=2,"AVOID","OK"))</f>
        <v>OK</v>
      </c>
      <c r="AK33" s="92" t="str">
        <f aca="false">IF(COUNTA(E33:M33)=0,"",IF(COUNTIF(E33:M33,"L")&gt;=2,"CAP AT BUY","OK"))</f>
        <v>OK</v>
      </c>
      <c r="AL33" s="118" t="s">
        <v>342</v>
      </c>
      <c r="AM33" s="118" t="s">
        <v>381</v>
      </c>
      <c r="AN33" s="114"/>
      <c r="AO33" s="92"/>
      <c r="AP33" s="114" t="str">
        <f aca="false">IF(OR(AN33="",AO33=""),"",IF(AN33&gt;AO33,"OK","LOW CONF"))</f>
        <v/>
      </c>
      <c r="AQ33" s="114"/>
      <c r="AR33" s="92"/>
      <c r="AS33" s="124" t="str">
        <f aca="false">IF(OR(AQ33="",AR33=""),"",IF(AQ33&lt;AR33,"Decreased",IF(AQ33&gt;AR33,"Increased","Flat")))</f>
        <v/>
      </c>
    </row>
    <row r="34" customFormat="false" ht="15" hidden="false" customHeight="true" outlineLevel="0" collapsed="false">
      <c r="A34" s="61" t="s">
        <v>238</v>
      </c>
      <c r="B34" s="112" t="s">
        <v>382</v>
      </c>
      <c r="C34" s="123" t="n">
        <v>46295</v>
      </c>
      <c r="D34" s="114" t="n">
        <v>5</v>
      </c>
      <c r="E34" s="114" t="s">
        <v>329</v>
      </c>
      <c r="F34" s="114" t="n">
        <v>2</v>
      </c>
      <c r="G34" s="114" t="s">
        <v>329</v>
      </c>
      <c r="H34" s="114" t="n">
        <v>5</v>
      </c>
      <c r="I34" s="114" t="s">
        <v>330</v>
      </c>
      <c r="J34" s="114" t="n">
        <v>4</v>
      </c>
      <c r="K34" s="114" t="s">
        <v>330</v>
      </c>
      <c r="L34" s="114" t="n">
        <v>3</v>
      </c>
      <c r="M34" s="114" t="s">
        <v>329</v>
      </c>
      <c r="N34" s="115" t="n">
        <f aca="false">IF(COUNT(D34,F34,H34,J34,L34)=0,"",(D34*0.2+F34*0.15+H34*0.15+J34*0.1+L34*0.1)/(IF(D34&lt;&gt;"",0.2,0)+IF(F34&lt;&gt;"",0.15,0)+IF(H34&lt;&gt;"",0.15,0)+IF(J34&lt;&gt;"",0.1,0)+IF(L34&lt;&gt;"",0.1,0)))</f>
        <v>3.92857142857143</v>
      </c>
      <c r="O34" s="92" t="n">
        <f aca="false">IF(COUNT(D34,F34,H34,J34,L34)=0,"",D34*0.2+F34*0.15+H34*0.15+J34*0.1+L34*0.1)</f>
        <v>2.75</v>
      </c>
      <c r="P34" s="114"/>
      <c r="Q34" s="114"/>
      <c r="R34" s="114"/>
      <c r="S34" s="114"/>
      <c r="T34" s="114"/>
      <c r="U34" s="114"/>
      <c r="V34" s="114"/>
      <c r="W34" s="114"/>
      <c r="X34" s="64" t="str">
        <f aca="false">IF(COUNT(P34,R34,T34,V34)=0,"",P34*0.08+R34*0.06+T34*0.03+V34*0.08)</f>
        <v/>
      </c>
      <c r="Y34" s="114"/>
      <c r="Z34" s="114"/>
      <c r="AA34" s="114"/>
      <c r="AB34" s="114"/>
      <c r="AC34" s="114"/>
      <c r="AD34" s="114"/>
      <c r="AE34" s="64" t="str">
        <f aca="false">IF(COUNT(Y34,AA34,AC34)=0,"",Y34*0.02+AA34*0.02+AC34*0.01)</f>
        <v/>
      </c>
      <c r="AF34" s="92" t="str">
        <f aca="false">IF(OR(COUNT(D34,F34,H34,J34,L34)&lt;5,COUNT(P34,R34,T34,V34)&lt;4,COUNT(Y34,AA34,AC34)&lt;3),"",(O34+X34+AE34)*20)</f>
        <v/>
      </c>
      <c r="AG34" s="92" t="str">
        <f aca="false">IF(AF34="","",IF(AF34&gt;=80,"STRONG BUY",IF(AF34&gt;=65,"BUY",IF(AF34&gt;=50,"WATCH LIST",IF(AF34&gt;=35,"AVOID","PASS")))))</f>
        <v/>
      </c>
      <c r="AH34" s="92" t="str">
        <f aca="false">IF(N34="","",IF(N34&lt;3,"FAIL","OK"))</f>
        <v>OK</v>
      </c>
      <c r="AI34" s="92" t="str">
        <f aca="false">IF(COUNT(D34:L34)=0,"",IF(COUNTIF(D34:L34,1)&gt;0,"REVIEW","OK"))</f>
        <v>OK</v>
      </c>
      <c r="AJ34" s="92" t="str">
        <f aca="false">IF(COUNT(D34:L34)=0,"",IF(COUNTIF(D34:L34,"&lt;=2")&gt;=2,"AVOID","OK"))</f>
        <v>OK</v>
      </c>
      <c r="AK34" s="92" t="str">
        <f aca="false">IF(COUNTA(E34:M34)=0,"",IF(COUNTIF(E34:M34,"L")&gt;=2,"CAP AT BUY","OK"))</f>
        <v>OK</v>
      </c>
      <c r="AL34" s="118" t="s">
        <v>342</v>
      </c>
      <c r="AM34" s="118" t="s">
        <v>381</v>
      </c>
      <c r="AN34" s="114"/>
      <c r="AO34" s="92"/>
      <c r="AP34" s="114" t="str">
        <f aca="false">IF(OR(AN34="",AO34=""),"",IF(AN34&gt;AO34,"OK","LOW CONF"))</f>
        <v/>
      </c>
      <c r="AQ34" s="114"/>
      <c r="AR34" s="92"/>
      <c r="AS34" s="124" t="str">
        <f aca="false">IF(OR(AQ34="",AR34=""),"",IF(AQ34&lt;AR34,"Decreased",IF(AQ34&gt;AR34,"Increased","Flat")))</f>
        <v/>
      </c>
    </row>
    <row r="35" customFormat="false" ht="15" hidden="true" customHeight="true" outlineLevel="1" collapsed="false">
      <c r="A35" s="61" t="s">
        <v>267</v>
      </c>
      <c r="B35" s="112" t="s">
        <v>383</v>
      </c>
      <c r="C35" s="123" t="n">
        <v>46245</v>
      </c>
      <c r="D35" s="114" t="n">
        <v>1</v>
      </c>
      <c r="E35" s="114" t="s">
        <v>330</v>
      </c>
      <c r="F35" s="114" t="n">
        <v>1</v>
      </c>
      <c r="G35" s="114" t="s">
        <v>330</v>
      </c>
      <c r="H35" s="114" t="n">
        <v>2</v>
      </c>
      <c r="I35" s="114" t="s">
        <v>329</v>
      </c>
      <c r="J35" s="114" t="n">
        <v>2</v>
      </c>
      <c r="K35" s="114" t="s">
        <v>329</v>
      </c>
      <c r="L35" s="114" t="n">
        <v>1</v>
      </c>
      <c r="M35" s="114" t="s">
        <v>330</v>
      </c>
      <c r="N35" s="115" t="n">
        <f aca="false">IF(COUNT(D35,F35,H35,J35,L35)=0,"",(D35*0.2+F35*0.15+H35*0.15+J35*0.1+L35*0.1)/(IF(D35&lt;&gt;"",0.2,0)+IF(F35&lt;&gt;"",0.15,0)+IF(H35&lt;&gt;"",0.15,0)+IF(J35&lt;&gt;"",0.1,0)+IF(L35&lt;&gt;"",0.1,0)))</f>
        <v>1.35714285714286</v>
      </c>
      <c r="O35" s="92" t="n">
        <f aca="false">IF(COUNT(D35,F35,H35,J35,L35)=0,"",D35*0.2+F35*0.15+H35*0.15+J35*0.1+L35*0.1)</f>
        <v>0.95</v>
      </c>
      <c r="P35" s="114"/>
      <c r="Q35" s="114"/>
      <c r="R35" s="114"/>
      <c r="S35" s="114"/>
      <c r="T35" s="114"/>
      <c r="U35" s="114"/>
      <c r="V35" s="114"/>
      <c r="W35" s="114"/>
      <c r="X35" s="64" t="str">
        <f aca="false">IF(COUNT(P35,R35,T35,V35)=0,"",P35*0.08+R35*0.06+T35*0.03+V35*0.08)</f>
        <v/>
      </c>
      <c r="Y35" s="114"/>
      <c r="Z35" s="114"/>
      <c r="AA35" s="114"/>
      <c r="AB35" s="114"/>
      <c r="AC35" s="114"/>
      <c r="AD35" s="114"/>
      <c r="AE35" s="64" t="str">
        <f aca="false">IF(COUNT(Y35,AA35,AC35)=0,"",Y35*0.02+AA35*0.02+AC35*0.01)</f>
        <v/>
      </c>
      <c r="AF35" s="92" t="str">
        <f aca="false">IF(OR(COUNT(D35,F35,H35,J35,L35)&lt;5,COUNT(P35,R35,T35,V35)&lt;4,COUNT(Y35,AA35,AC35)&lt;3),"",(O35+X35+AE35)*20)</f>
        <v/>
      </c>
      <c r="AG35" s="92" t="str">
        <f aca="false">IF(AF35="","",IF(AF35&gt;=80,"STRONG BUY",IF(AF35&gt;=65,"BUY",IF(AF35&gt;=50,"WATCH LIST",IF(AF35&gt;=35,"AVOID","PASS")))))</f>
        <v/>
      </c>
      <c r="AH35" s="92" t="str">
        <f aca="false">IF(N35="","",IF(N35&lt;3,"FAIL","OK"))</f>
        <v>FAIL</v>
      </c>
      <c r="AI35" s="92" t="str">
        <f aca="false">IF(COUNT(D35:L35)=0,"",IF(COUNTIF(D35:L35,1)&gt;0,"REVIEW","OK"))</f>
        <v>REVIEW</v>
      </c>
      <c r="AJ35" s="92" t="str">
        <f aca="false">IF(COUNT(D35:L35)=0,"",IF(COUNTIF(D35:L35,"&lt;=2")&gt;=2,"AVOID","OK"))</f>
        <v>AVOID</v>
      </c>
      <c r="AK35" s="92" t="str">
        <f aca="false">IF(COUNTA(E35:M35)=0,"",IF(COUNTIF(E35:M35,"L")&gt;=2,"CAP AT BUY","OK"))</f>
        <v>OK</v>
      </c>
      <c r="AL35" s="118" t="s">
        <v>342</v>
      </c>
      <c r="AM35" s="118" t="s">
        <v>381</v>
      </c>
      <c r="AN35" s="114"/>
      <c r="AO35" s="92"/>
      <c r="AP35" s="114" t="str">
        <f aca="false">IF(OR(AN35="",AO35=""),"",IF(AN35&gt;AO35,"OK","LOW CONF"))</f>
        <v/>
      </c>
      <c r="AQ35" s="114"/>
      <c r="AR35" s="92"/>
      <c r="AS35" s="124" t="str">
        <f aca="false">IF(OR(AQ35="",AR35=""),"",IF(AQ35&lt;AR35,"Decreased",IF(AQ35&gt;AR35,"Increased","Flat")))</f>
        <v/>
      </c>
    </row>
    <row r="36" customFormat="false" ht="15" hidden="false" customHeight="true" outlineLevel="0" collapsed="false">
      <c r="A36" s="61" t="s">
        <v>273</v>
      </c>
      <c r="B36" s="112" t="s">
        <v>384</v>
      </c>
      <c r="C36" s="123" t="n">
        <v>46295</v>
      </c>
      <c r="D36" s="114" t="n">
        <v>4</v>
      </c>
      <c r="E36" s="114" t="s">
        <v>329</v>
      </c>
      <c r="F36" s="114" t="n">
        <v>3</v>
      </c>
      <c r="G36" s="114" t="s">
        <v>329</v>
      </c>
      <c r="H36" s="114" t="n">
        <v>4</v>
      </c>
      <c r="I36" s="114" t="s">
        <v>329</v>
      </c>
      <c r="J36" s="114" t="n">
        <v>4</v>
      </c>
      <c r="K36" s="114" t="s">
        <v>330</v>
      </c>
      <c r="L36" s="114" t="n">
        <v>4</v>
      </c>
      <c r="M36" s="114" t="s">
        <v>329</v>
      </c>
      <c r="N36" s="115" t="n">
        <f aca="false">IF(COUNT(D36,F36,H36,J36,L36)=0,"",(D36*0.2+F36*0.15+H36*0.15+J36*0.1+L36*0.1)/(IF(D36&lt;&gt;"",0.2,0)+IF(F36&lt;&gt;"",0.15,0)+IF(H36&lt;&gt;"",0.15,0)+IF(J36&lt;&gt;"",0.1,0)+IF(L36&lt;&gt;"",0.1,0)))</f>
        <v>3.78571428571429</v>
      </c>
      <c r="O36" s="92" t="n">
        <f aca="false">IF(COUNT(D36,F36,H36,J36,L36)=0,"",D36*0.2+F36*0.15+H36*0.15+J36*0.1+L36*0.1)</f>
        <v>2.65</v>
      </c>
      <c r="P36" s="114"/>
      <c r="Q36" s="114"/>
      <c r="R36" s="114"/>
      <c r="S36" s="114"/>
      <c r="T36" s="114"/>
      <c r="U36" s="114"/>
      <c r="V36" s="114"/>
      <c r="W36" s="114"/>
      <c r="X36" s="64" t="str">
        <f aca="false">IF(COUNT(P36,R36,T36,V36)=0,"",P36*0.08+R36*0.06+T36*0.03+V36*0.08)</f>
        <v/>
      </c>
      <c r="Y36" s="114"/>
      <c r="Z36" s="114"/>
      <c r="AA36" s="114"/>
      <c r="AB36" s="114"/>
      <c r="AC36" s="114"/>
      <c r="AD36" s="114"/>
      <c r="AE36" s="64" t="str">
        <f aca="false">IF(COUNT(Y36,AA36,AC36)=0,"",Y36*0.02+AA36*0.02+AC36*0.01)</f>
        <v/>
      </c>
      <c r="AF36" s="92" t="str">
        <f aca="false">IF(OR(COUNT(D36,F36,H36,J36,L36)&lt;5,COUNT(P36,R36,T36,V36)&lt;4,COUNT(Y36,AA36,AC36)&lt;3),"",(O36+X36+AE36)*20)</f>
        <v/>
      </c>
      <c r="AG36" s="92" t="str">
        <f aca="false">IF(AF36="","",IF(AF36&gt;=80,"STRONG BUY",IF(AF36&gt;=65,"BUY",IF(AF36&gt;=50,"WATCH LIST",IF(AF36&gt;=35,"AVOID","PASS")))))</f>
        <v/>
      </c>
      <c r="AH36" s="92" t="str">
        <f aca="false">IF(N36="","",IF(N36&lt;3,"FAIL","OK"))</f>
        <v>OK</v>
      </c>
      <c r="AI36" s="92" t="str">
        <f aca="false">IF(COUNT(D36:L36)=0,"",IF(COUNTIF(D36:L36,1)&gt;0,"REVIEW","OK"))</f>
        <v>OK</v>
      </c>
      <c r="AJ36" s="92" t="str">
        <f aca="false">IF(COUNT(D36:L36)=0,"",IF(COUNTIF(D36:L36,"&lt;=2")&gt;=2,"AVOID","OK"))</f>
        <v>OK</v>
      </c>
      <c r="AK36" s="92" t="str">
        <f aca="false">IF(COUNTA(E36:M36)=0,"",IF(COUNTIF(E36:M36,"L")&gt;=2,"CAP AT BUY","OK"))</f>
        <v>OK</v>
      </c>
      <c r="AL36" s="118" t="s">
        <v>342</v>
      </c>
      <c r="AM36" s="118" t="s">
        <v>381</v>
      </c>
      <c r="AN36" s="114"/>
      <c r="AO36" s="92"/>
      <c r="AP36" s="114" t="str">
        <f aca="false">IF(OR(AN36="",AO36=""),"",IF(AN36&gt;AO36,"OK","LOW CONF"))</f>
        <v/>
      </c>
      <c r="AQ36" s="114"/>
      <c r="AR36" s="92"/>
      <c r="AS36" s="124" t="str">
        <f aca="false">IF(OR(AQ36="",AR36=""),"",IF(AQ36&lt;AR36,"Decreased",IF(AQ36&gt;AR36,"Increased","Flat")))</f>
        <v/>
      </c>
    </row>
    <row r="37" customFormat="false" ht="15" hidden="true" customHeight="true" outlineLevel="1" collapsed="false">
      <c r="A37" s="61" t="s">
        <v>256</v>
      </c>
      <c r="B37" s="112" t="s">
        <v>385</v>
      </c>
      <c r="C37" s="123" t="n">
        <v>46246</v>
      </c>
      <c r="D37" s="114" t="n">
        <v>1</v>
      </c>
      <c r="E37" s="114" t="s">
        <v>330</v>
      </c>
      <c r="F37" s="114" t="n">
        <v>1</v>
      </c>
      <c r="G37" s="114" t="s">
        <v>330</v>
      </c>
      <c r="H37" s="114" t="n">
        <v>3</v>
      </c>
      <c r="I37" s="114" t="s">
        <v>329</v>
      </c>
      <c r="J37" s="114" t="n">
        <v>2</v>
      </c>
      <c r="K37" s="114" t="s">
        <v>329</v>
      </c>
      <c r="L37" s="114" t="n">
        <v>1</v>
      </c>
      <c r="M37" s="114" t="s">
        <v>330</v>
      </c>
      <c r="N37" s="115" t="n">
        <f aca="false">IF(COUNT(D37,F37,H37,J37,L37)=0,"",(D37*0.2+F37*0.15+H37*0.15+J37*0.1+L37*0.1)/(IF(D37&lt;&gt;"",0.2,0)+IF(F37&lt;&gt;"",0.15,0)+IF(H37&lt;&gt;"",0.15,0)+IF(J37&lt;&gt;"",0.1,0)+IF(L37&lt;&gt;"",0.1,0)))</f>
        <v>1.57142857142857</v>
      </c>
      <c r="O37" s="92" t="n">
        <f aca="false">IF(COUNT(D37,F37,H37,J37,L37)=0,"",D37*0.2+F37*0.15+H37*0.15+J37*0.1+L37*0.1)</f>
        <v>1.1</v>
      </c>
      <c r="P37" s="114"/>
      <c r="Q37" s="114"/>
      <c r="R37" s="114"/>
      <c r="S37" s="114"/>
      <c r="T37" s="114"/>
      <c r="U37" s="114"/>
      <c r="V37" s="114"/>
      <c r="W37" s="114"/>
      <c r="X37" s="64" t="str">
        <f aca="false">IF(COUNT(P37,R37,T37,V37)=0,"",P37*0.08+R37*0.06+T37*0.03+V37*0.08)</f>
        <v/>
      </c>
      <c r="Y37" s="114"/>
      <c r="Z37" s="114"/>
      <c r="AA37" s="114"/>
      <c r="AB37" s="114"/>
      <c r="AC37" s="114"/>
      <c r="AD37" s="114"/>
      <c r="AE37" s="64" t="str">
        <f aca="false">IF(COUNT(Y37,AA37,AC37)=0,"",Y37*0.02+AA37*0.02+AC37*0.01)</f>
        <v/>
      </c>
      <c r="AF37" s="92" t="str">
        <f aca="false">IF(OR(COUNT(D37,F37,H37,J37,L37)&lt;5,COUNT(P37,R37,T37,V37)&lt;4,COUNT(Y37,AA37,AC37)&lt;3),"",(O37+X37+AE37)*20)</f>
        <v/>
      </c>
      <c r="AG37" s="92" t="str">
        <f aca="false">IF(AF37="","",IF(AF37&gt;=80,"STRONG BUY",IF(AF37&gt;=65,"BUY",IF(AF37&gt;=50,"WATCH LIST",IF(AF37&gt;=35,"AVOID","PASS")))))</f>
        <v/>
      </c>
      <c r="AH37" s="92" t="str">
        <f aca="false">IF(N37="","",IF(N37&lt;3,"FAIL","OK"))</f>
        <v>FAIL</v>
      </c>
      <c r="AI37" s="92" t="str">
        <f aca="false">IF(COUNT(D37:L37)=0,"",IF(COUNTIF(D37:L37,1)&gt;0,"REVIEW","OK"))</f>
        <v>REVIEW</v>
      </c>
      <c r="AJ37" s="92" t="str">
        <f aca="false">IF(COUNT(D37:L37)=0,"",IF(COUNTIF(D37:L37,"&lt;=2")&gt;=2,"AVOID","OK"))</f>
        <v>AVOID</v>
      </c>
      <c r="AK37" s="92" t="str">
        <f aca="false">IF(COUNTA(E37:M37)=0,"",IF(COUNTIF(E37:M37,"L")&gt;=2,"CAP AT BUY","OK"))</f>
        <v>OK</v>
      </c>
      <c r="AL37" s="118" t="s">
        <v>342</v>
      </c>
      <c r="AM37" s="118" t="s">
        <v>343</v>
      </c>
      <c r="AN37" s="114"/>
      <c r="AO37" s="92"/>
      <c r="AP37" s="114" t="str">
        <f aca="false">IF(OR(AN37="",AO37=""),"",IF(AN37&gt;AO37,"OK","LOW CONF"))</f>
        <v/>
      </c>
      <c r="AQ37" s="114"/>
      <c r="AR37" s="92"/>
      <c r="AS37" s="124" t="str">
        <f aca="false">IF(OR(AQ37="",AR37=""),"",IF(AQ37&lt;AR37,"Decreased",IF(AQ37&gt;AR37,"Increased","Flat")))</f>
        <v/>
      </c>
    </row>
    <row r="38" customFormat="false" ht="15" hidden="true" customHeight="true" outlineLevel="1" collapsed="false">
      <c r="A38" s="61" t="s">
        <v>271</v>
      </c>
      <c r="B38" s="112" t="s">
        <v>386</v>
      </c>
      <c r="C38" s="123" t="n">
        <v>46246</v>
      </c>
      <c r="D38" s="114" t="n">
        <v>3</v>
      </c>
      <c r="E38" s="114" t="s">
        <v>329</v>
      </c>
      <c r="F38" s="114" t="n">
        <v>3</v>
      </c>
      <c r="G38" s="114" t="s">
        <v>329</v>
      </c>
      <c r="H38" s="114" t="n">
        <v>3</v>
      </c>
      <c r="I38" s="114" t="s">
        <v>329</v>
      </c>
      <c r="J38" s="114" t="n">
        <v>2</v>
      </c>
      <c r="K38" s="114" t="s">
        <v>329</v>
      </c>
      <c r="L38" s="114" t="n">
        <v>3</v>
      </c>
      <c r="M38" s="114" t="s">
        <v>329</v>
      </c>
      <c r="N38" s="115" t="n">
        <f aca="false">IF(COUNT(D38,F38,H38,J38,L38)=0,"",(D38*0.2+F38*0.15+H38*0.15+J38*0.1+L38*0.1)/(IF(D38&lt;&gt;"",0.2,0)+IF(F38&lt;&gt;"",0.15,0)+IF(H38&lt;&gt;"",0.15,0)+IF(J38&lt;&gt;"",0.1,0)+IF(L38&lt;&gt;"",0.1,0)))</f>
        <v>2.85714285714286</v>
      </c>
      <c r="O38" s="92" t="n">
        <f aca="false">IF(COUNT(D38,F38,H38,J38,L38)=0,"",D38*0.2+F38*0.15+H38*0.15+J38*0.1+L38*0.1)</f>
        <v>2</v>
      </c>
      <c r="P38" s="114"/>
      <c r="Q38" s="114"/>
      <c r="R38" s="114"/>
      <c r="S38" s="114"/>
      <c r="T38" s="114"/>
      <c r="U38" s="114"/>
      <c r="V38" s="114"/>
      <c r="W38" s="114"/>
      <c r="X38" s="64" t="str">
        <f aca="false">IF(COUNT(P38,R38,T38,V38)=0,"",P38*0.08+R38*0.06+T38*0.03+V38*0.08)</f>
        <v/>
      </c>
      <c r="Y38" s="114"/>
      <c r="Z38" s="114"/>
      <c r="AA38" s="114"/>
      <c r="AB38" s="114"/>
      <c r="AC38" s="114"/>
      <c r="AD38" s="114"/>
      <c r="AE38" s="64" t="str">
        <f aca="false">IF(COUNT(Y38,AA38,AC38)=0,"",Y38*0.02+AA38*0.02+AC38*0.01)</f>
        <v/>
      </c>
      <c r="AF38" s="92" t="str">
        <f aca="false">IF(OR(COUNT(D38,F38,H38,J38,L38)&lt;5,COUNT(P38,R38,T38,V38)&lt;4,COUNT(Y38,AA38,AC38)&lt;3),"",(O38+X38+AE38)*20)</f>
        <v/>
      </c>
      <c r="AG38" s="92" t="str">
        <f aca="false">IF(AF38="","",IF(AF38&gt;=80,"STRONG BUY",IF(AF38&gt;=65,"BUY",IF(AF38&gt;=50,"WATCH LIST",IF(AF38&gt;=35,"AVOID","PASS")))))</f>
        <v/>
      </c>
      <c r="AH38" s="92" t="str">
        <f aca="false">IF(N38="","",IF(N38&lt;3,"FAIL","OK"))</f>
        <v>FAIL</v>
      </c>
      <c r="AI38" s="92" t="str">
        <f aca="false">IF(COUNT(D38:L38)=0,"",IF(COUNTIF(D38:L38,1)&gt;0,"REVIEW","OK"))</f>
        <v>OK</v>
      </c>
      <c r="AJ38" s="92" t="str">
        <f aca="false">IF(COUNT(D38:L38)=0,"",IF(COUNTIF(D38:L38,"&lt;=2")&gt;=2,"AVOID","OK"))</f>
        <v>OK</v>
      </c>
      <c r="AK38" s="92" t="str">
        <f aca="false">IF(COUNTA(E38:M38)=0,"",IF(COUNTIF(E38:M38,"L")&gt;=2,"CAP AT BUY","OK"))</f>
        <v>OK</v>
      </c>
      <c r="AL38" s="118" t="s">
        <v>342</v>
      </c>
      <c r="AM38" s="118" t="s">
        <v>387</v>
      </c>
      <c r="AN38" s="114"/>
      <c r="AO38" s="92"/>
      <c r="AP38" s="114" t="str">
        <f aca="false">IF(OR(AN38="",AO38=""),"",IF(AN38&gt;AO38,"OK","LOW CONF"))</f>
        <v/>
      </c>
      <c r="AQ38" s="114"/>
      <c r="AR38" s="92"/>
      <c r="AS38" s="124" t="str">
        <f aca="false">IF(OR(AQ38="",AR38=""),"",IF(AQ38&lt;AR38,"Decreased",IF(AQ38&gt;AR38,"Increased","Flat")))</f>
        <v/>
      </c>
    </row>
    <row r="39" customFormat="false" ht="15" hidden="true" customHeight="true" outlineLevel="1" collapsed="false">
      <c r="A39" s="61" t="s">
        <v>248</v>
      </c>
      <c r="B39" s="112" t="s">
        <v>388</v>
      </c>
      <c r="C39" s="123" t="n">
        <v>46246</v>
      </c>
      <c r="D39" s="114" t="n">
        <v>2</v>
      </c>
      <c r="E39" s="114" t="s">
        <v>331</v>
      </c>
      <c r="F39" s="114" t="n">
        <v>4</v>
      </c>
      <c r="G39" s="114" t="s">
        <v>330</v>
      </c>
      <c r="H39" s="114" t="n">
        <v>3</v>
      </c>
      <c r="I39" s="114" t="s">
        <v>329</v>
      </c>
      <c r="J39" s="114" t="n">
        <v>2</v>
      </c>
      <c r="K39" s="114" t="s">
        <v>329</v>
      </c>
      <c r="L39" s="114" t="n">
        <v>1</v>
      </c>
      <c r="M39" s="114" t="s">
        <v>330</v>
      </c>
      <c r="N39" s="115" t="n">
        <f aca="false">IF(COUNT(D39,F39,H39,J39,L39)=0,"",(D39*0.2+F39*0.15+H39*0.15+J39*0.1+L39*0.1)/(IF(D39&lt;&gt;"",0.2,0)+IF(F39&lt;&gt;"",0.15,0)+IF(H39&lt;&gt;"",0.15,0)+IF(J39&lt;&gt;"",0.1,0)+IF(L39&lt;&gt;"",0.1,0)))</f>
        <v>2.5</v>
      </c>
      <c r="O39" s="92" t="n">
        <f aca="false">IF(COUNT(D39,F39,H39,J39,L39)=0,"",D39*0.2+F39*0.15+H39*0.15+J39*0.1+L39*0.1)</f>
        <v>1.75</v>
      </c>
      <c r="P39" s="114"/>
      <c r="Q39" s="114"/>
      <c r="R39" s="114"/>
      <c r="S39" s="114"/>
      <c r="T39" s="114"/>
      <c r="U39" s="114"/>
      <c r="V39" s="114"/>
      <c r="W39" s="114"/>
      <c r="X39" s="64" t="str">
        <f aca="false">IF(COUNT(P39,R39,T39,V39)=0,"",P39*0.08+R39*0.06+T39*0.03+V39*0.08)</f>
        <v/>
      </c>
      <c r="Y39" s="114"/>
      <c r="Z39" s="114"/>
      <c r="AA39" s="114"/>
      <c r="AB39" s="114"/>
      <c r="AC39" s="114"/>
      <c r="AD39" s="114"/>
      <c r="AE39" s="64" t="str">
        <f aca="false">IF(COUNT(Y39,AA39,AC39)=0,"",Y39*0.02+AA39*0.02+AC39*0.01)</f>
        <v/>
      </c>
      <c r="AF39" s="92" t="str">
        <f aca="false">IF(OR(COUNT(D39,F39,H39,J39,L39)&lt;5,COUNT(P39,R39,T39,V39)&lt;4,COUNT(Y39,AA39,AC39)&lt;3),"",(O39+X39+AE39)*20)</f>
        <v/>
      </c>
      <c r="AG39" s="92" t="str">
        <f aca="false">IF(AF39="","",IF(AF39&gt;=80,"STRONG BUY",IF(AF39&gt;=65,"BUY",IF(AF39&gt;=50,"WATCH LIST",IF(AF39&gt;=35,"AVOID","PASS")))))</f>
        <v/>
      </c>
      <c r="AH39" s="92" t="str">
        <f aca="false">IF(N39="","",IF(N39&lt;3,"FAIL","OK"))</f>
        <v>FAIL</v>
      </c>
      <c r="AI39" s="92" t="str">
        <f aca="false">IF(COUNT(D39:L39)=0,"",IF(COUNTIF(D39:L39,1)&gt;0,"REVIEW","OK"))</f>
        <v>REVIEW</v>
      </c>
      <c r="AJ39" s="92" t="str">
        <f aca="false">IF(COUNT(D39:L39)=0,"",IF(COUNTIF(D39:L39,"&lt;=2")&gt;=2,"AVOID","OK"))</f>
        <v>AVOID</v>
      </c>
      <c r="AK39" s="92" t="str">
        <f aca="false">IF(COUNTA(E39:M39)=0,"",IF(COUNTIF(E39:M39,"L")&gt;=2,"CAP AT BUY","OK"))</f>
        <v>OK</v>
      </c>
      <c r="AL39" s="118" t="s">
        <v>342</v>
      </c>
      <c r="AM39" s="118" t="s">
        <v>387</v>
      </c>
      <c r="AN39" s="114"/>
      <c r="AO39" s="92"/>
      <c r="AP39" s="114" t="str">
        <f aca="false">IF(OR(AN39="",AO39=""),"",IF(AN39&gt;AO39,"OK","LOW CONF"))</f>
        <v/>
      </c>
      <c r="AQ39" s="114"/>
      <c r="AR39" s="92"/>
      <c r="AS39" s="124" t="str">
        <f aca="false">IF(OR(AQ39="",AR39=""),"",IF(AQ39&lt;AR39,"Decreased",IF(AQ39&gt;AR39,"Increased","Flat")))</f>
        <v/>
      </c>
    </row>
    <row r="40" customFormat="false" ht="15" hidden="true" customHeight="true" outlineLevel="1" collapsed="false">
      <c r="A40" s="61" t="s">
        <v>225</v>
      </c>
      <c r="B40" s="112" t="s">
        <v>389</v>
      </c>
      <c r="C40" s="123" t="n">
        <v>46246</v>
      </c>
      <c r="D40" s="114" t="n">
        <v>1</v>
      </c>
      <c r="E40" s="114" t="s">
        <v>330</v>
      </c>
      <c r="F40" s="114" t="n">
        <v>1</v>
      </c>
      <c r="G40" s="114" t="s">
        <v>330</v>
      </c>
      <c r="H40" s="114" t="n">
        <v>2</v>
      </c>
      <c r="I40" s="114" t="s">
        <v>329</v>
      </c>
      <c r="J40" s="114" t="n">
        <v>2</v>
      </c>
      <c r="K40" s="114" t="s">
        <v>329</v>
      </c>
      <c r="L40" s="114" t="n">
        <v>1</v>
      </c>
      <c r="M40" s="114" t="s">
        <v>330</v>
      </c>
      <c r="N40" s="115" t="n">
        <f aca="false">IF(COUNT(D40,F40,H40,J40,L40)=0,"",(D40*0.2+F40*0.15+H40*0.15+J40*0.1+L40*0.1)/(IF(D40&lt;&gt;"",0.2,0)+IF(F40&lt;&gt;"",0.15,0)+IF(H40&lt;&gt;"",0.15,0)+IF(J40&lt;&gt;"",0.1,0)+IF(L40&lt;&gt;"",0.1,0)))</f>
        <v>1.35714285714286</v>
      </c>
      <c r="O40" s="92" t="n">
        <f aca="false">IF(COUNT(D40,F40,H40,J40,L40)=0,"",D40*0.2+F40*0.15+H40*0.15+J40*0.1+L40*0.1)</f>
        <v>0.95</v>
      </c>
      <c r="P40" s="114"/>
      <c r="Q40" s="114"/>
      <c r="R40" s="114"/>
      <c r="S40" s="114"/>
      <c r="T40" s="114"/>
      <c r="U40" s="114"/>
      <c r="V40" s="114"/>
      <c r="W40" s="114"/>
      <c r="X40" s="64" t="str">
        <f aca="false">IF(COUNT(P40,R40,T40,V40)=0,"",P40*0.08+R40*0.06+T40*0.03+V40*0.08)</f>
        <v/>
      </c>
      <c r="Y40" s="114"/>
      <c r="Z40" s="114"/>
      <c r="AA40" s="114"/>
      <c r="AB40" s="114"/>
      <c r="AC40" s="114"/>
      <c r="AD40" s="114"/>
      <c r="AE40" s="64" t="str">
        <f aca="false">IF(COUNT(Y40,AA40,AC40)=0,"",Y40*0.02+AA40*0.02+AC40*0.01)</f>
        <v/>
      </c>
      <c r="AF40" s="92" t="str">
        <f aca="false">IF(OR(COUNT(D40,F40,H40,J40,L40)&lt;5,COUNT(P40,R40,T40,V40)&lt;4,COUNT(Y40,AA40,AC40)&lt;3),"",(O40+X40+AE40)*20)</f>
        <v/>
      </c>
      <c r="AG40" s="92" t="str">
        <f aca="false">IF(AF40="","",IF(AF40&gt;=80,"STRONG BUY",IF(AF40&gt;=65,"BUY",IF(AF40&gt;=50,"WATCH LIST",IF(AF40&gt;=35,"AVOID","PASS")))))</f>
        <v/>
      </c>
      <c r="AH40" s="92" t="str">
        <f aca="false">IF(N40="","",IF(N40&lt;3,"FAIL","OK"))</f>
        <v>FAIL</v>
      </c>
      <c r="AI40" s="92" t="str">
        <f aca="false">IF(COUNT(D40:L40)=0,"",IF(COUNTIF(D40:L40,1)&gt;0,"REVIEW","OK"))</f>
        <v>REVIEW</v>
      </c>
      <c r="AJ40" s="92" t="str">
        <f aca="false">IF(COUNT(D40:L40)=0,"",IF(COUNTIF(D40:L40,"&lt;=2")&gt;=2,"AVOID","OK"))</f>
        <v>AVOID</v>
      </c>
      <c r="AK40" s="92" t="str">
        <f aca="false">IF(COUNTA(E40:M40)=0,"",IF(COUNTIF(E40:M40,"L")&gt;=2,"CAP AT BUY","OK"))</f>
        <v>OK</v>
      </c>
      <c r="AL40" s="118" t="s">
        <v>342</v>
      </c>
      <c r="AM40" s="118" t="s">
        <v>390</v>
      </c>
      <c r="AN40" s="114"/>
      <c r="AO40" s="92"/>
      <c r="AP40" s="114" t="str">
        <f aca="false">IF(OR(AN40="",AO40=""),"",IF(AN40&gt;AO40,"OK","LOW CONF"))</f>
        <v/>
      </c>
      <c r="AQ40" s="114"/>
      <c r="AR40" s="92"/>
      <c r="AS40" s="124" t="str">
        <f aca="false">IF(OR(AQ40="",AR40=""),"",IF(AQ40&lt;AR40,"Decreased",IF(AQ40&gt;AR40,"Increased","Flat")))</f>
        <v/>
      </c>
    </row>
    <row r="41" customFormat="false" ht="15" hidden="true" customHeight="true" outlineLevel="1" collapsed="false">
      <c r="A41" s="61" t="s">
        <v>227</v>
      </c>
      <c r="B41" s="112" t="s">
        <v>391</v>
      </c>
      <c r="C41" s="123" t="n">
        <v>46246</v>
      </c>
      <c r="D41" s="114" t="n">
        <v>2</v>
      </c>
      <c r="E41" s="114" t="s">
        <v>329</v>
      </c>
      <c r="F41" s="114" t="n">
        <v>3</v>
      </c>
      <c r="G41" s="114" t="s">
        <v>330</v>
      </c>
      <c r="H41" s="114" t="n">
        <v>4</v>
      </c>
      <c r="I41" s="114" t="s">
        <v>329</v>
      </c>
      <c r="J41" s="114" t="n">
        <v>3</v>
      </c>
      <c r="K41" s="114" t="s">
        <v>329</v>
      </c>
      <c r="L41" s="114" t="n">
        <v>2</v>
      </c>
      <c r="M41" s="114" t="s">
        <v>330</v>
      </c>
      <c r="N41" s="115" t="n">
        <f aca="false">IF(COUNT(D41,F41,H41,J41,L41)=0,"",(D41*0.2+F41*0.15+H41*0.15+J41*0.1+L41*0.1)/(IF(D41&lt;&gt;"",0.2,0)+IF(F41&lt;&gt;"",0.15,0)+IF(H41&lt;&gt;"",0.15,0)+IF(J41&lt;&gt;"",0.1,0)+IF(L41&lt;&gt;"",0.1,0)))</f>
        <v>2.78571428571429</v>
      </c>
      <c r="O41" s="92" t="n">
        <f aca="false">IF(COUNT(D41,F41,H41,J41,L41)=0,"",D41*0.2+F41*0.15+H41*0.15+J41*0.1+L41*0.1)</f>
        <v>1.95</v>
      </c>
      <c r="P41" s="114"/>
      <c r="Q41" s="114"/>
      <c r="R41" s="114"/>
      <c r="S41" s="114"/>
      <c r="T41" s="114"/>
      <c r="U41" s="114"/>
      <c r="V41" s="114"/>
      <c r="W41" s="114"/>
      <c r="X41" s="64" t="str">
        <f aca="false">IF(COUNT(P41,R41,T41,V41)=0,"",P41*0.08+R41*0.06+T41*0.03+V41*0.08)</f>
        <v/>
      </c>
      <c r="Y41" s="114"/>
      <c r="Z41" s="114"/>
      <c r="AA41" s="114"/>
      <c r="AB41" s="114"/>
      <c r="AC41" s="114"/>
      <c r="AD41" s="114"/>
      <c r="AE41" s="64" t="str">
        <f aca="false">IF(COUNT(Y41,AA41,AC41)=0,"",Y41*0.02+AA41*0.02+AC41*0.01)</f>
        <v/>
      </c>
      <c r="AF41" s="92" t="str">
        <f aca="false">IF(OR(COUNT(D41,F41,H41,J41,L41)&lt;5,COUNT(P41,R41,T41,V41)&lt;4,COUNT(Y41,AA41,AC41)&lt;3),"",(O41+X41+AE41)*20)</f>
        <v/>
      </c>
      <c r="AG41" s="92" t="str">
        <f aca="false">IF(AF41="","",IF(AF41&gt;=80,"STRONG BUY",IF(AF41&gt;=65,"BUY",IF(AF41&gt;=50,"WATCH LIST",IF(AF41&gt;=35,"AVOID","PASS")))))</f>
        <v/>
      </c>
      <c r="AH41" s="92" t="str">
        <f aca="false">IF(N41="","",IF(N41&lt;3,"FAIL","OK"))</f>
        <v>FAIL</v>
      </c>
      <c r="AI41" s="92" t="str">
        <f aca="false">IF(COUNT(D41:L41)=0,"",IF(COUNTIF(D41:L41,1)&gt;0,"REVIEW","OK"))</f>
        <v>OK</v>
      </c>
      <c r="AJ41" s="92" t="str">
        <f aca="false">IF(COUNT(D41:L41)=0,"",IF(COUNTIF(D41:L41,"&lt;=2")&gt;=2,"AVOID","OK"))</f>
        <v>AVOID</v>
      </c>
      <c r="AK41" s="92" t="str">
        <f aca="false">IF(COUNTA(E41:M41)=0,"",IF(COUNTIF(E41:M41,"L")&gt;=2,"CAP AT BUY","OK"))</f>
        <v>OK</v>
      </c>
      <c r="AL41" s="118" t="s">
        <v>342</v>
      </c>
      <c r="AM41" s="118" t="s">
        <v>392</v>
      </c>
      <c r="AN41" s="114"/>
      <c r="AO41" s="92"/>
      <c r="AP41" s="114" t="str">
        <f aca="false">IF(OR(AN41="",AO41=""),"",IF(AN41&gt;AO41,"OK","LOW CONF"))</f>
        <v/>
      </c>
      <c r="AQ41" s="114"/>
      <c r="AR41" s="92"/>
      <c r="AS41" s="124" t="str">
        <f aca="false">IF(OR(AQ41="",AR41=""),"",IF(AQ41&lt;AR41,"Decreased",IF(AQ41&gt;AR41,"Increased","Flat")))</f>
        <v/>
      </c>
    </row>
    <row r="42" customFormat="false" ht="15" hidden="false" customHeight="true" outlineLevel="0" collapsed="false">
      <c r="A42" s="61" t="s">
        <v>245</v>
      </c>
      <c r="B42" s="112" t="s">
        <v>393</v>
      </c>
      <c r="C42" s="123" t="n">
        <v>46246</v>
      </c>
      <c r="D42" s="114" t="n">
        <v>4</v>
      </c>
      <c r="E42" s="114" t="s">
        <v>330</v>
      </c>
      <c r="F42" s="114" t="n">
        <v>3</v>
      </c>
      <c r="G42" s="114" t="s">
        <v>330</v>
      </c>
      <c r="H42" s="114" t="n">
        <v>3</v>
      </c>
      <c r="I42" s="114" t="s">
        <v>329</v>
      </c>
      <c r="J42" s="114" t="n">
        <v>3</v>
      </c>
      <c r="K42" s="114" t="s">
        <v>329</v>
      </c>
      <c r="L42" s="114" t="n">
        <v>4</v>
      </c>
      <c r="M42" s="114" t="s">
        <v>330</v>
      </c>
      <c r="N42" s="115" t="n">
        <f aca="false">IF(COUNT(D42,F42,H42,J42,L42)=0,"",(D42*0.2+F42*0.15+H42*0.15+J42*0.1+L42*0.1)/(IF(D42&lt;&gt;"",0.2,0)+IF(F42&lt;&gt;"",0.15,0)+IF(H42&lt;&gt;"",0.15,0)+IF(J42&lt;&gt;"",0.1,0)+IF(L42&lt;&gt;"",0.1,0)))</f>
        <v>3.42857142857143</v>
      </c>
      <c r="O42" s="92" t="n">
        <f aca="false">IF(COUNT(D42,F42,H42,J42,L42)=0,"",D42*0.2+F42*0.15+H42*0.15+J42*0.1+L42*0.1)</f>
        <v>2.4</v>
      </c>
      <c r="P42" s="114"/>
      <c r="Q42" s="114"/>
      <c r="R42" s="114"/>
      <c r="S42" s="114"/>
      <c r="T42" s="114"/>
      <c r="U42" s="114"/>
      <c r="V42" s="114"/>
      <c r="W42" s="114"/>
      <c r="X42" s="64" t="str">
        <f aca="false">IF(COUNT(P42,R42,T42,V42)=0,"",P42*0.08+R42*0.06+T42*0.03+V42*0.08)</f>
        <v/>
      </c>
      <c r="Y42" s="114"/>
      <c r="Z42" s="114"/>
      <c r="AA42" s="114"/>
      <c r="AB42" s="114"/>
      <c r="AC42" s="114"/>
      <c r="AD42" s="114"/>
      <c r="AE42" s="64" t="str">
        <f aca="false">IF(COUNT(Y42,AA42,AC42)=0,"",Y42*0.02+AA42*0.02+AC42*0.01)</f>
        <v/>
      </c>
      <c r="AF42" s="92" t="str">
        <f aca="false">IF(OR(COUNT(D42,F42,H42,J42,L42)&lt;5,COUNT(P42,R42,T42,V42)&lt;4,COUNT(Y42,AA42,AC42)&lt;3),"",(O42+X42+AE42)*20)</f>
        <v/>
      </c>
      <c r="AG42" s="92" t="str">
        <f aca="false">IF(AF42="","",IF(AF42&gt;=80,"STRONG BUY",IF(AF42&gt;=65,"BUY",IF(AF42&gt;=50,"WATCH LIST",IF(AF42&gt;=35,"AVOID","PASS")))))</f>
        <v/>
      </c>
      <c r="AH42" s="92" t="str">
        <f aca="false">IF(N42="","",IF(N42&lt;3,"FAIL","OK"))</f>
        <v>OK</v>
      </c>
      <c r="AI42" s="92" t="str">
        <f aca="false">IF(COUNT(D42:L42)=0,"",IF(COUNTIF(D42:L42,1)&gt;0,"REVIEW","OK"))</f>
        <v>OK</v>
      </c>
      <c r="AJ42" s="92" t="str">
        <f aca="false">IF(COUNT(D42:L42)=0,"",IF(COUNTIF(D42:L42,"&lt;=2")&gt;=2,"AVOID","OK"))</f>
        <v>OK</v>
      </c>
      <c r="AK42" s="92" t="str">
        <f aca="false">IF(COUNTA(E42:M42)=0,"",IF(COUNTIF(E42:M42,"L")&gt;=2,"CAP AT BUY","OK"))</f>
        <v>OK</v>
      </c>
      <c r="AL42" s="118" t="s">
        <v>342</v>
      </c>
      <c r="AM42" s="118" t="s">
        <v>392</v>
      </c>
      <c r="AN42" s="114"/>
      <c r="AO42" s="92"/>
      <c r="AP42" s="114" t="str">
        <f aca="false">IF(OR(AN42="",AO42=""),"",IF(AN42&gt;AO42,"OK","LOW CONF"))</f>
        <v/>
      </c>
      <c r="AQ42" s="114"/>
      <c r="AR42" s="92"/>
      <c r="AS42" s="124" t="str">
        <f aca="false">IF(OR(AQ42="",AR42=""),"",IF(AQ42&lt;AR42,"Decreased",IF(AQ42&gt;AR42,"Increased","Flat")))</f>
        <v/>
      </c>
    </row>
    <row r="43" customFormat="false" ht="15" hidden="false" customHeight="true" outlineLevel="0" collapsed="false">
      <c r="A43" s="61" t="s">
        <v>140</v>
      </c>
      <c r="B43" s="112" t="s">
        <v>141</v>
      </c>
      <c r="C43" s="123" t="n">
        <v>46295</v>
      </c>
      <c r="D43" s="114" t="n">
        <v>4</v>
      </c>
      <c r="E43" s="114" t="s">
        <v>329</v>
      </c>
      <c r="F43" s="114" t="n">
        <v>5</v>
      </c>
      <c r="G43" s="114" t="s">
        <v>329</v>
      </c>
      <c r="H43" s="114" t="n">
        <v>5</v>
      </c>
      <c r="I43" s="114" t="s">
        <v>329</v>
      </c>
      <c r="J43" s="114" t="n">
        <v>4</v>
      </c>
      <c r="K43" s="114" t="s">
        <v>329</v>
      </c>
      <c r="L43" s="114" t="n">
        <v>2</v>
      </c>
      <c r="M43" s="114" t="s">
        <v>329</v>
      </c>
      <c r="N43" s="115" t="n">
        <f aca="false">IF(COUNT(D43,F43,H43,J43,L43)=0,"",(D43*0.2+F43*0.15+H43*0.15+J43*0.1+L43*0.1)/(IF(D43&lt;&gt;"",0.2,0)+IF(F43&lt;&gt;"",0.15,0)+IF(H43&lt;&gt;"",0.15,0)+IF(J43&lt;&gt;"",0.1,0)+IF(L43&lt;&gt;"",0.1,0)))</f>
        <v>4.14285714285714</v>
      </c>
      <c r="O43" s="92" t="n">
        <f aca="false">IF(COUNT(D43,F43,H43,J43,L43)=0,"",D43*0.2+F43*0.15+H43*0.15+J43*0.1+L43*0.1)</f>
        <v>2.9</v>
      </c>
      <c r="P43" s="114" t="n">
        <v>5</v>
      </c>
      <c r="Q43" s="114" t="s">
        <v>330</v>
      </c>
      <c r="R43" s="114" t="n">
        <v>5</v>
      </c>
      <c r="S43" s="114" t="s">
        <v>331</v>
      </c>
      <c r="T43" s="114" t="n">
        <v>3</v>
      </c>
      <c r="U43" s="114" t="s">
        <v>329</v>
      </c>
      <c r="V43" s="114" t="n">
        <v>4</v>
      </c>
      <c r="W43" s="114" t="s">
        <v>329</v>
      </c>
      <c r="X43" s="64" t="n">
        <f aca="false">IF(COUNT(P43,R43,T43,V43)=0,"",P43*0.08+R43*0.06+T43*0.03+V43*0.08)</f>
        <v>1.11</v>
      </c>
      <c r="Y43" s="114" t="n">
        <v>5</v>
      </c>
      <c r="Z43" s="114" t="s">
        <v>329</v>
      </c>
      <c r="AA43" s="114" t="n">
        <v>4</v>
      </c>
      <c r="AB43" s="114" t="s">
        <v>329</v>
      </c>
      <c r="AC43" s="114" t="n">
        <v>2</v>
      </c>
      <c r="AD43" s="114" t="s">
        <v>329</v>
      </c>
      <c r="AE43" s="64" t="n">
        <f aca="false">IF(COUNT(Y43,AA43,AC43)=0,"",Y43*0.02+AA43*0.02+AC43*0.01)</f>
        <v>0.2</v>
      </c>
      <c r="AF43" s="92" t="n">
        <f aca="false">IF(OR(COUNT(D43,F43,H43,J43,L43)&lt;5,COUNT(P43,R43,T43,V43)&lt;4,COUNT(Y43,AA43,AC43)&lt;3),"",(O43+X43+AE43)*20)</f>
        <v>84.2</v>
      </c>
      <c r="AG43" s="92" t="str">
        <f aca="false">IF(AF43="","",IF(AF43&gt;=80,"STRONG BUY",IF(AF43&gt;=65,"BUY",IF(AF43&gt;=50,"WATCH LIST",IF(AF43&gt;=35,"AVOID","PASS")))))</f>
        <v>STRONG BUY</v>
      </c>
      <c r="AH43" s="92" t="str">
        <f aca="false">IF(N43="","",IF(N43&lt;3,"FAIL","OK"))</f>
        <v>OK</v>
      </c>
      <c r="AI43" s="92" t="str">
        <f aca="false">IF(COUNT(D43:L43)=0,"",IF(COUNTIF(D43:L43,1)&gt;0,"REVIEW","OK"))</f>
        <v>OK</v>
      </c>
      <c r="AJ43" s="92" t="str">
        <f aca="false">IF(COUNT(D43:L43)=0,"",IF(COUNTIF(D43:L43,"&lt;=2")&gt;=2,"AVOID","OK"))</f>
        <v>OK</v>
      </c>
      <c r="AK43" s="92" t="str">
        <f aca="false">IF(COUNTA(E43:M43)=0,"",IF(COUNTIF(E43:M43,"L")&gt;=2,"CAP AT BUY","OK"))</f>
        <v>OK</v>
      </c>
      <c r="AL43" s="118" t="s">
        <v>349</v>
      </c>
      <c r="AM43" s="118" t="s">
        <v>394</v>
      </c>
      <c r="AN43" s="114"/>
      <c r="AO43" s="92"/>
      <c r="AP43" s="114" t="str">
        <f aca="false">IF(OR(AN43="",AO43=""),"",IF(AN43&gt;AO43,"OK","LOW CONF"))</f>
        <v/>
      </c>
      <c r="AQ43" s="114"/>
      <c r="AR43" s="92"/>
      <c r="AS43" s="124" t="str">
        <f aca="false">IF(OR(AQ43="",AR43=""),"",IF(AQ43&lt;AR43,"Decreased",IF(AQ43&gt;AR43,"Increased","Flat")))</f>
        <v/>
      </c>
    </row>
    <row r="44" customFormat="false" ht="15" hidden="false" customHeight="true" outlineLevel="0" collapsed="false">
      <c r="A44" s="61" t="s">
        <v>265</v>
      </c>
      <c r="B44" s="112" t="s">
        <v>395</v>
      </c>
      <c r="C44" s="123" t="n">
        <v>46247</v>
      </c>
      <c r="D44" s="114" t="n">
        <v>4</v>
      </c>
      <c r="E44" s="114" t="s">
        <v>329</v>
      </c>
      <c r="F44" s="114" t="n">
        <v>3</v>
      </c>
      <c r="G44" s="114" t="s">
        <v>329</v>
      </c>
      <c r="H44" s="114" t="n">
        <v>3</v>
      </c>
      <c r="I44" s="114" t="s">
        <v>329</v>
      </c>
      <c r="J44" s="114" t="n">
        <v>2</v>
      </c>
      <c r="K44" s="114" t="s">
        <v>329</v>
      </c>
      <c r="L44" s="114" t="n">
        <v>4</v>
      </c>
      <c r="M44" s="114" t="s">
        <v>329</v>
      </c>
      <c r="N44" s="115" t="n">
        <f aca="false">IF(COUNT(D44,F44,H44,J44,L44)=0,"",(D44*0.2+F44*0.15+H44*0.15+J44*0.1+L44*0.1)/(IF(D44&lt;&gt;"",0.2,0)+IF(F44&lt;&gt;"",0.15,0)+IF(H44&lt;&gt;"",0.15,0)+IF(J44&lt;&gt;"",0.1,0)+IF(L44&lt;&gt;"",0.1,0)))</f>
        <v>3.28571428571429</v>
      </c>
      <c r="O44" s="92" t="n">
        <f aca="false">IF(COUNT(D44,F44,H44,J44,L44)=0,"",D44*0.2+F44*0.15+H44*0.15+J44*0.1+L44*0.1)</f>
        <v>2.3</v>
      </c>
      <c r="P44" s="114"/>
      <c r="Q44" s="114"/>
      <c r="R44" s="114"/>
      <c r="S44" s="114"/>
      <c r="T44" s="114"/>
      <c r="U44" s="114"/>
      <c r="V44" s="114"/>
      <c r="W44" s="114"/>
      <c r="X44" s="64" t="str">
        <f aca="false">IF(COUNT(P44,R44,T44,V44)=0,"",P44*0.08+R44*0.06+T44*0.03+V44*0.08)</f>
        <v/>
      </c>
      <c r="Y44" s="114"/>
      <c r="Z44" s="114"/>
      <c r="AA44" s="114" t="n">
        <v>4</v>
      </c>
      <c r="AB44" s="114" t="s">
        <v>329</v>
      </c>
      <c r="AC44" s="114"/>
      <c r="AD44" s="114"/>
      <c r="AE44" s="64" t="n">
        <f aca="false">IF(COUNT(Y44,AA44,AC44)=0,"",Y44*0.02+AA44*0.02+AC44*0.01)</f>
        <v>0.08</v>
      </c>
      <c r="AF44" s="92" t="str">
        <f aca="false">IF(OR(COUNT(D44,F44,H44,J44,L44)&lt;5,COUNT(P44,R44,T44,V44)&lt;4,COUNT(Y44,AA44,AC44)&lt;3),"",(O44+X44+AE44)*20)</f>
        <v/>
      </c>
      <c r="AG44" s="92" t="str">
        <f aca="false">IF(AF44="","",IF(AF44&gt;=80,"STRONG BUY",IF(AF44&gt;=65,"BUY",IF(AF44&gt;=50,"WATCH LIST",IF(AF44&gt;=35,"AVOID","PASS")))))</f>
        <v/>
      </c>
      <c r="AH44" s="92" t="str">
        <f aca="false">IF(N44="","",IF(N44&lt;3,"FAIL","OK"))</f>
        <v>OK</v>
      </c>
      <c r="AI44" s="92" t="str">
        <f aca="false">IF(COUNT(D44:L44)=0,"",IF(COUNTIF(D44:L44,1)&gt;0,"REVIEW","OK"))</f>
        <v>OK</v>
      </c>
      <c r="AJ44" s="92" t="str">
        <f aca="false">IF(COUNT(D44:L44)=0,"",IF(COUNTIF(D44:L44,"&lt;=2")&gt;=2,"AVOID","OK"))</f>
        <v>OK</v>
      </c>
      <c r="AK44" s="92" t="str">
        <f aca="false">IF(COUNTA(E44:M44)=0,"",IF(COUNTIF(E44:M44,"L")&gt;=2,"CAP AT BUY","OK"))</f>
        <v>OK</v>
      </c>
      <c r="AL44" s="118" t="s">
        <v>349</v>
      </c>
      <c r="AM44" s="118" t="s">
        <v>396</v>
      </c>
      <c r="AN44" s="114"/>
      <c r="AO44" s="92"/>
      <c r="AP44" s="114" t="str">
        <f aca="false">IF(OR(AN44="",AO44=""),"",IF(AN44&gt;AO44,"OK","LOW CONF"))</f>
        <v/>
      </c>
      <c r="AQ44" s="114"/>
      <c r="AR44" s="92"/>
      <c r="AS44" s="124" t="str">
        <f aca="false">IF(OR(AQ44="",AR44=""),"",IF(AQ44&lt;AR44,"Decreased",IF(AQ44&gt;AR44,"Increased","Flat")))</f>
        <v/>
      </c>
    </row>
    <row r="45" customFormat="false" ht="15" hidden="false" customHeight="true" outlineLevel="0" collapsed="false">
      <c r="A45" s="61" t="s">
        <v>243</v>
      </c>
      <c r="B45" s="112" t="s">
        <v>397</v>
      </c>
      <c r="C45" s="123" t="n">
        <v>46247</v>
      </c>
      <c r="D45" s="114" t="n">
        <v>4</v>
      </c>
      <c r="E45" s="114" t="s">
        <v>329</v>
      </c>
      <c r="F45" s="114" t="n">
        <v>3</v>
      </c>
      <c r="G45" s="114" t="s">
        <v>329</v>
      </c>
      <c r="H45" s="114" t="n">
        <v>4</v>
      </c>
      <c r="I45" s="114" t="s">
        <v>329</v>
      </c>
      <c r="J45" s="114" t="n">
        <v>3</v>
      </c>
      <c r="K45" s="114" t="s">
        <v>329</v>
      </c>
      <c r="L45" s="114" t="n">
        <v>3</v>
      </c>
      <c r="M45" s="114" t="s">
        <v>329</v>
      </c>
      <c r="N45" s="115" t="n">
        <f aca="false">IF(COUNT(D45,F45,H45,J45,L45)=0,"",(D45*0.2+F45*0.15+H45*0.15+J45*0.1+L45*0.1)/(IF(D45&lt;&gt;"",0.2,0)+IF(F45&lt;&gt;"",0.15,0)+IF(H45&lt;&gt;"",0.15,0)+IF(J45&lt;&gt;"",0.1,0)+IF(L45&lt;&gt;"",0.1,0)))</f>
        <v>3.5</v>
      </c>
      <c r="O45" s="92" t="n">
        <f aca="false">IF(COUNT(D45,F45,H45,J45,L45)=0,"",D45*0.2+F45*0.15+H45*0.15+J45*0.1+L45*0.1)</f>
        <v>2.45</v>
      </c>
      <c r="P45" s="114"/>
      <c r="Q45" s="114"/>
      <c r="R45" s="114"/>
      <c r="S45" s="114"/>
      <c r="T45" s="114"/>
      <c r="U45" s="114"/>
      <c r="V45" s="114"/>
      <c r="W45" s="114"/>
      <c r="X45" s="64" t="str">
        <f aca="false">IF(COUNT(P45,R45,T45,V45)=0,"",P45*0.08+R45*0.06+T45*0.03+V45*0.08)</f>
        <v/>
      </c>
      <c r="Y45" s="114"/>
      <c r="Z45" s="114"/>
      <c r="AA45" s="114" t="n">
        <v>4</v>
      </c>
      <c r="AB45" s="114" t="s">
        <v>329</v>
      </c>
      <c r="AC45" s="114"/>
      <c r="AD45" s="114"/>
      <c r="AE45" s="64" t="n">
        <f aca="false">IF(COUNT(Y45,AA45,AC45)=0,"",Y45*0.02+AA45*0.02+AC45*0.01)</f>
        <v>0.08</v>
      </c>
      <c r="AF45" s="92" t="str">
        <f aca="false">IF(OR(COUNT(D45,F45,H45,J45,L45)&lt;5,COUNT(P45,R45,T45,V45)&lt;4,COUNT(Y45,AA45,AC45)&lt;3),"",(O45+X45+AE45)*20)</f>
        <v/>
      </c>
      <c r="AG45" s="92" t="str">
        <f aca="false">IF(AF45="","",IF(AF45&gt;=80,"STRONG BUY",IF(AF45&gt;=65,"BUY",IF(AF45&gt;=50,"WATCH LIST",IF(AF45&gt;=35,"AVOID","PASS")))))</f>
        <v/>
      </c>
      <c r="AH45" s="92" t="str">
        <f aca="false">IF(N45="","",IF(N45&lt;3,"FAIL","OK"))</f>
        <v>OK</v>
      </c>
      <c r="AI45" s="92" t="str">
        <f aca="false">IF(COUNT(D45:L45)=0,"",IF(COUNTIF(D45:L45,1)&gt;0,"REVIEW","OK"))</f>
        <v>OK</v>
      </c>
      <c r="AJ45" s="92" t="str">
        <f aca="false">IF(COUNT(D45:L45)=0,"",IF(COUNTIF(D45:L45,"&lt;=2")&gt;=2,"AVOID","OK"))</f>
        <v>OK</v>
      </c>
      <c r="AK45" s="92" t="str">
        <f aca="false">IF(COUNTA(E45:M45)=0,"",IF(COUNTIF(E45:M45,"L")&gt;=2,"CAP AT BUY","OK"))</f>
        <v>OK</v>
      </c>
      <c r="AL45" s="118" t="s">
        <v>349</v>
      </c>
      <c r="AM45" s="118" t="s">
        <v>396</v>
      </c>
      <c r="AN45" s="114"/>
      <c r="AO45" s="92"/>
      <c r="AP45" s="114" t="str">
        <f aca="false">IF(OR(AN45="",AO45=""),"",IF(AN45&gt;AO45,"OK","LOW CONF"))</f>
        <v/>
      </c>
      <c r="AQ45" s="114"/>
      <c r="AR45" s="92"/>
      <c r="AS45" s="124" t="str">
        <f aca="false">IF(OR(AQ45="",AR45=""),"",IF(AQ45&lt;AR45,"Decreased",IF(AQ45&gt;AR45,"Increased","Flat")))</f>
        <v/>
      </c>
    </row>
    <row r="46" customFormat="false" ht="15" hidden="true" customHeight="true" outlineLevel="1" collapsed="false">
      <c r="A46" s="61" t="s">
        <v>236</v>
      </c>
      <c r="B46" s="112" t="s">
        <v>398</v>
      </c>
      <c r="C46" s="123" t="n">
        <v>46258</v>
      </c>
      <c r="D46" s="114" t="n">
        <v>4</v>
      </c>
      <c r="E46" s="114" t="s">
        <v>329</v>
      </c>
      <c r="F46" s="114" t="n">
        <v>2</v>
      </c>
      <c r="G46" s="114" t="s">
        <v>329</v>
      </c>
      <c r="H46" s="114" t="n">
        <v>3</v>
      </c>
      <c r="I46" s="114" t="s">
        <v>329</v>
      </c>
      <c r="J46" s="114" t="n">
        <v>2</v>
      </c>
      <c r="K46" s="114" t="s">
        <v>329</v>
      </c>
      <c r="L46" s="114" t="n">
        <v>3</v>
      </c>
      <c r="M46" s="114" t="s">
        <v>329</v>
      </c>
      <c r="N46" s="115" t="n">
        <f aca="false">IF(COUNT(D46,F46,H46,J46,L46)=0,"",(D46*0.2+F46*0.15+H46*0.15+J46*0.1+L46*0.1)/(IF(D46&lt;&gt;"",0.2,0)+IF(F46&lt;&gt;"",0.15,0)+IF(H46&lt;&gt;"",0.15,0)+IF(J46&lt;&gt;"",0.1,0)+IF(L46&lt;&gt;"",0.1,0)))</f>
        <v>2.92857142857143</v>
      </c>
      <c r="O46" s="92" t="n">
        <f aca="false">IF(COUNT(D46,F46,H46,J46,L46)=0,"",D46*0.2+F46*0.15+H46*0.15+J46*0.1+L46*0.1)</f>
        <v>2.05</v>
      </c>
      <c r="P46" s="114"/>
      <c r="Q46" s="114"/>
      <c r="R46" s="114"/>
      <c r="S46" s="114"/>
      <c r="T46" s="114"/>
      <c r="U46" s="114"/>
      <c r="V46" s="114"/>
      <c r="W46" s="114"/>
      <c r="X46" s="64" t="str">
        <f aca="false">IF(COUNT(P46,R46,T46,V46)=0,"",P46*0.08+R46*0.06+T46*0.03+V46*0.08)</f>
        <v/>
      </c>
      <c r="Y46" s="114"/>
      <c r="Z46" s="114"/>
      <c r="AA46" s="114"/>
      <c r="AB46" s="114"/>
      <c r="AC46" s="114"/>
      <c r="AD46" s="114"/>
      <c r="AE46" s="64" t="str">
        <f aca="false">IF(COUNT(Y46,AA46,AC46)=0,"",Y46*0.02+AA46*0.02+AC46*0.01)</f>
        <v/>
      </c>
      <c r="AF46" s="92" t="str">
        <f aca="false">IF(OR(COUNT(D46,F46,H46,J46,L46)&lt;5,COUNT(P46,R46,T46,V46)&lt;4,COUNT(Y46,AA46,AC46)&lt;3),"",(O46+X46+AE46)*20)</f>
        <v/>
      </c>
      <c r="AG46" s="92" t="str">
        <f aca="false">IF(AF46="","",IF(AF46&gt;=80,"STRONG BUY",IF(AF46&gt;=65,"BUY",IF(AF46&gt;=50,"WATCH LIST",IF(AF46&gt;=35,"AVOID","PASS")))))</f>
        <v/>
      </c>
      <c r="AH46" s="92" t="str">
        <f aca="false">IF(N46="","",IF(N46&lt;3,"FAIL","OK"))</f>
        <v>FAIL</v>
      </c>
      <c r="AI46" s="92" t="str">
        <f aca="false">IF(COUNT(D46:L46)=0,"",IF(COUNTIF(D46:L46,1)&gt;0,"REVIEW","OK"))</f>
        <v>OK</v>
      </c>
      <c r="AJ46" s="92" t="str">
        <f aca="false">IF(COUNT(D46:L46)=0,"",IF(COUNTIF(D46:L46,"&lt;=2")&gt;=2,"AVOID","OK"))</f>
        <v>AVOID</v>
      </c>
      <c r="AK46" s="92" t="str">
        <f aca="false">IF(COUNTA(E46:M46)=0,"",IF(COUNTIF(E46:M46,"L")&gt;=2,"CAP AT BUY","OK"))</f>
        <v>OK</v>
      </c>
      <c r="AL46" s="118" t="s">
        <v>399</v>
      </c>
      <c r="AM46" s="118" t="s">
        <v>400</v>
      </c>
      <c r="AN46" s="114"/>
      <c r="AO46" s="92"/>
      <c r="AP46" s="114" t="str">
        <f aca="false">IF(OR(AN46="",AO46=""),"",IF(AN46&gt;AO46,"OK","LOW CONF"))</f>
        <v/>
      </c>
      <c r="AQ46" s="114"/>
      <c r="AR46" s="92"/>
      <c r="AS46" s="124" t="str">
        <f aca="false">IF(OR(AQ46="",AR46=""),"",IF(AQ46&lt;AR46,"Decreased",IF(AQ46&gt;AR46,"Increased","Flat")))</f>
        <v/>
      </c>
    </row>
    <row r="47" customFormat="false" ht="15" hidden="false" customHeight="true" outlineLevel="0" collapsed="false">
      <c r="A47" s="61" t="s">
        <v>143</v>
      </c>
      <c r="B47" s="112" t="s">
        <v>144</v>
      </c>
      <c r="C47" s="123" t="n">
        <v>46295</v>
      </c>
      <c r="D47" s="114" t="n">
        <v>4</v>
      </c>
      <c r="E47" s="114" t="s">
        <v>329</v>
      </c>
      <c r="F47" s="114" t="n">
        <v>4</v>
      </c>
      <c r="G47" s="114" t="s">
        <v>329</v>
      </c>
      <c r="H47" s="114" t="n">
        <v>5</v>
      </c>
      <c r="I47" s="114" t="s">
        <v>329</v>
      </c>
      <c r="J47" s="114" t="n">
        <v>4</v>
      </c>
      <c r="K47" s="114" t="s">
        <v>329</v>
      </c>
      <c r="L47" s="114" t="n">
        <v>4</v>
      </c>
      <c r="M47" s="114" t="s">
        <v>329</v>
      </c>
      <c r="N47" s="115" t="n">
        <f aca="false">IF(COUNT(D47,F47,H47,J47,L47)=0,"",(D47*0.2+F47*0.15+H47*0.15+J47*0.1+L47*0.1)/(IF(D47&lt;&gt;"",0.2,0)+IF(F47&lt;&gt;"",0.15,0)+IF(H47&lt;&gt;"",0.15,0)+IF(J47&lt;&gt;"",0.1,0)+IF(L47&lt;&gt;"",0.1,0)))</f>
        <v>4.21428571428571</v>
      </c>
      <c r="O47" s="92" t="n">
        <f aca="false">IF(COUNT(D47,F47,H47,J47,L47)=0,"",D47*0.2+F47*0.15+H47*0.15+J47*0.1+L47*0.1)</f>
        <v>2.95</v>
      </c>
      <c r="P47" s="114" t="n">
        <v>5</v>
      </c>
      <c r="Q47" s="114" t="s">
        <v>330</v>
      </c>
      <c r="R47" s="114" t="n">
        <v>5</v>
      </c>
      <c r="S47" s="114" t="s">
        <v>331</v>
      </c>
      <c r="T47" s="114" t="n">
        <v>1</v>
      </c>
      <c r="U47" s="114" t="s">
        <v>329</v>
      </c>
      <c r="V47" s="114" t="n">
        <v>4</v>
      </c>
      <c r="W47" s="114" t="s">
        <v>329</v>
      </c>
      <c r="X47" s="64" t="n">
        <f aca="false">IF(COUNT(P47,R47,T47,V47)=0,"",P47*0.08+R47*0.06+T47*0.03+V47*0.08)</f>
        <v>1.05</v>
      </c>
      <c r="Y47" s="114" t="n">
        <v>4</v>
      </c>
      <c r="Z47" s="114" t="s">
        <v>329</v>
      </c>
      <c r="AA47" s="114" t="n">
        <v>4</v>
      </c>
      <c r="AB47" s="114" t="s">
        <v>329</v>
      </c>
      <c r="AC47" s="114" t="n">
        <v>3</v>
      </c>
      <c r="AD47" s="114" t="s">
        <v>329</v>
      </c>
      <c r="AE47" s="64" t="n">
        <f aca="false">IF(COUNT(Y47,AA47,AC47)=0,"",Y47*0.02+AA47*0.02+AC47*0.01)</f>
        <v>0.19</v>
      </c>
      <c r="AF47" s="92" t="n">
        <f aca="false">IF(OR(COUNT(D47,F47,H47,J47,L47)&lt;5,COUNT(P47,R47,T47,V47)&lt;4,COUNT(Y47,AA47,AC47)&lt;3),"",(O47+X47+AE47)*20)</f>
        <v>83.8</v>
      </c>
      <c r="AG47" s="92" t="str">
        <f aca="false">IF(AF47="","",IF(AF47&gt;=80,"STRONG BUY",IF(AF47&gt;=65,"BUY",IF(AF47&gt;=50,"WATCH LIST",IF(AF47&gt;=35,"AVOID","PASS")))))</f>
        <v>STRONG BUY</v>
      </c>
      <c r="AH47" s="92" t="str">
        <f aca="false">IF(N47="","",IF(N47&lt;3,"FAIL","OK"))</f>
        <v>OK</v>
      </c>
      <c r="AI47" s="92" t="str">
        <f aca="false">IF(COUNT(D47:L47)=0,"",IF(COUNTIF(D47:L47,1)&gt;0,"REVIEW","OK"))</f>
        <v>OK</v>
      </c>
      <c r="AJ47" s="92" t="str">
        <f aca="false">IF(COUNT(D47:L47)=0,"",IF(COUNTIF(D47:L47,"&lt;=2")&gt;=2,"AVOID","OK"))</f>
        <v>OK</v>
      </c>
      <c r="AK47" s="92" t="str">
        <f aca="false">IF(COUNTA(E47:M47)=0,"",IF(COUNTIF(E47:M47,"L")&gt;=2,"CAP AT BUY","OK"))</f>
        <v>OK</v>
      </c>
      <c r="AL47" s="118" t="s">
        <v>399</v>
      </c>
      <c r="AM47" s="118" t="s">
        <v>400</v>
      </c>
      <c r="AN47" s="114"/>
      <c r="AO47" s="92"/>
      <c r="AP47" s="114" t="str">
        <f aca="false">IF(OR(AN47="",AO47=""),"",IF(AN47&gt;AO47,"OK","LOW CONF"))</f>
        <v/>
      </c>
      <c r="AQ47" s="114"/>
      <c r="AR47" s="92"/>
      <c r="AS47" s="124" t="str">
        <f aca="false">IF(OR(AQ47="",AR47=""),"",IF(AQ47&lt;AR47,"Decreased",IF(AQ47&gt;AR47,"Increased","Flat")))</f>
        <v/>
      </c>
    </row>
    <row r="48" customFormat="false" ht="15" hidden="false" customHeight="true" outlineLevel="0" collapsed="false">
      <c r="A48" s="61" t="s">
        <v>275</v>
      </c>
      <c r="B48" s="112" t="s">
        <v>401</v>
      </c>
      <c r="C48" s="113" t="n">
        <v>46276</v>
      </c>
      <c r="D48" s="114" t="n">
        <v>4</v>
      </c>
      <c r="E48" s="114" t="s">
        <v>329</v>
      </c>
      <c r="F48" s="114" t="n">
        <v>4</v>
      </c>
      <c r="G48" s="114" t="s">
        <v>329</v>
      </c>
      <c r="H48" s="114"/>
      <c r="I48" s="114"/>
      <c r="J48" s="114"/>
      <c r="K48" s="114"/>
      <c r="L48" s="114" t="n">
        <v>4</v>
      </c>
      <c r="M48" s="114" t="s">
        <v>329</v>
      </c>
      <c r="N48" s="115" t="n">
        <f aca="false">IF(COUNT(D48,F48,H48,J48,L48)=0,"",(D48*0.2+F48*0.15+H48*0.15+J48*0.1+L48*0.1)/(IF(D48&lt;&gt;"",0.2,0)+IF(F48&lt;&gt;"",0.15,0)+IF(H48&lt;&gt;"",0.15,0)+IF(J48&lt;&gt;"",0.1,0)+IF(L48&lt;&gt;"",0.1,0)))</f>
        <v>4</v>
      </c>
      <c r="O48" s="116" t="n">
        <f aca="false">IF(COUNT(D48,F48,H48,J48,L48)=0,"",D48*0.2+F48*0.15+H48*0.15+J48*0.1+L48*0.1)</f>
        <v>1.8</v>
      </c>
      <c r="P48" s="114"/>
      <c r="Q48" s="114"/>
      <c r="R48" s="114"/>
      <c r="S48" s="114"/>
      <c r="T48" s="114"/>
      <c r="U48" s="114"/>
      <c r="V48" s="114"/>
      <c r="W48" s="114"/>
      <c r="X48" s="116" t="str">
        <f aca="false">IF(COUNT(P48,R48,T48,V48)=0,"",P48*0.08+R48*0.06+T48*0.03+V48*0.08)</f>
        <v/>
      </c>
      <c r="Y48" s="114"/>
      <c r="Z48" s="114"/>
      <c r="AA48" s="114"/>
      <c r="AB48" s="114"/>
      <c r="AC48" s="114"/>
      <c r="AD48" s="114"/>
      <c r="AE48" s="116" t="str">
        <f aca="false">IF(COUNT(Y48,AA48,AC48)=0,"",Y48*0.02+AA48*0.02+AC48*0.01)</f>
        <v/>
      </c>
      <c r="AF48" s="92" t="str">
        <f aca="false">IF(OR(COUNT(D48,F48,H48,J48,L48)&lt;5,COUNT(P48,R48,T48,V48)&lt;4,COUNT(Y48,AA48,AC48)&lt;3),"",(O48+X48+AE48)*20)</f>
        <v/>
      </c>
      <c r="AG48" s="92" t="str">
        <f aca="false">IF(AF48="","",IF(AF48&gt;=80,"STRONG BUY",IF(AF48&gt;=65,"BUY",IF(AF48&gt;=50,"WATCH LIST",IF(AF48&gt;=35,"AVOID","PASS")))))</f>
        <v/>
      </c>
      <c r="AH48" s="92" t="str">
        <f aca="false">IF(N48="","",IF(N48&lt;3,"FAIL","OK"))</f>
        <v>OK</v>
      </c>
      <c r="AI48" s="92" t="str">
        <f aca="false">IF(COUNT(D48:L48)=0,"",IF(COUNTIF(D48:L48,1)&gt;0,"REVIEW","OK"))</f>
        <v>OK</v>
      </c>
      <c r="AJ48" s="92" t="str">
        <f aca="false">IF(COUNT(D48:L48)=0,"",IF(COUNTIF(D48:L48,"&lt;=2")&gt;=2,"AVOID","OK"))</f>
        <v>OK</v>
      </c>
      <c r="AK48" s="92" t="str">
        <f aca="false">IF(COUNTA(E48:M48)=0,"",IF(COUNTIF(E48:M48,"L")&gt;=2,"CAP AT BUY","OK"))</f>
        <v>OK</v>
      </c>
      <c r="AL48" s="118" t="s">
        <v>359</v>
      </c>
      <c r="AM48" s="118" t="s">
        <v>364</v>
      </c>
      <c r="AN48" s="114"/>
      <c r="AO48" s="92"/>
      <c r="AP48" s="114" t="str">
        <f aca="false">IF(OR(AN48="",AO48=""),"",IF(AN48&gt;AO48,"OK","LOW CONF"))</f>
        <v/>
      </c>
      <c r="AQ48" s="114"/>
      <c r="AR48" s="92"/>
      <c r="AS48" s="124" t="str">
        <f aca="false">IF(OR(AQ48="",AR48=""),"",IF(AQ48&lt;AR48,"Decreased",IF(AQ48&gt;AR48,"Increased","Flat")))</f>
        <v/>
      </c>
    </row>
    <row r="49" customFormat="false" ht="15" hidden="false" customHeight="true" outlineLevel="0" collapsed="false">
      <c r="A49" s="61" t="s">
        <v>402</v>
      </c>
      <c r="B49" s="112" t="s">
        <v>403</v>
      </c>
      <c r="C49" s="123" t="n">
        <v>46295</v>
      </c>
      <c r="D49" s="114" t="n">
        <v>3</v>
      </c>
      <c r="E49" s="114" t="s">
        <v>329</v>
      </c>
      <c r="F49" s="114" t="n">
        <v>2</v>
      </c>
      <c r="G49" s="114" t="s">
        <v>329</v>
      </c>
      <c r="H49" s="114" t="n">
        <v>5</v>
      </c>
      <c r="I49" s="114" t="s">
        <v>330</v>
      </c>
      <c r="J49" s="114" t="n">
        <v>4</v>
      </c>
      <c r="K49" s="114" t="s">
        <v>329</v>
      </c>
      <c r="L49" s="114" t="n">
        <v>4</v>
      </c>
      <c r="M49" s="114" t="s">
        <v>329</v>
      </c>
      <c r="N49" s="115" t="n">
        <f aca="false">IF(COUNT(D49,F49,H49,J49,L49)=0,"",(D49*0.2+F49*0.15+H49*0.15+J49*0.1+L49*0.1)/(IF(D49&lt;&gt;"",0.2,0)+IF(F49&lt;&gt;"",0.15,0)+IF(H49&lt;&gt;"",0.15,0)+IF(J49&lt;&gt;"",0.1,0)+IF(L49&lt;&gt;"",0.1,0)))</f>
        <v>3.5</v>
      </c>
      <c r="O49" s="92" t="n">
        <f aca="false">IF(COUNT(D49,F49,H49,J49,L49)=0,"",D49*0.2+F49*0.15+H49*0.15+J49*0.1+L49*0.1)</f>
        <v>2.45</v>
      </c>
      <c r="P49" s="114" t="n">
        <v>5</v>
      </c>
      <c r="Q49" s="114" t="s">
        <v>330</v>
      </c>
      <c r="R49" s="114" t="n">
        <v>3</v>
      </c>
      <c r="S49" s="114" t="s">
        <v>331</v>
      </c>
      <c r="T49" s="114" t="n">
        <v>1</v>
      </c>
      <c r="U49" s="114" t="s">
        <v>329</v>
      </c>
      <c r="V49" s="114" t="n">
        <v>4</v>
      </c>
      <c r="W49" s="114" t="s">
        <v>329</v>
      </c>
      <c r="X49" s="64" t="n">
        <f aca="false">IF(COUNT(P49,R49,T49,V49)=0,"",P49*0.08+R49*0.06+T49*0.03+V49*0.08)</f>
        <v>0.93</v>
      </c>
      <c r="Y49" s="114" t="n">
        <v>2</v>
      </c>
      <c r="Z49" s="114" t="s">
        <v>329</v>
      </c>
      <c r="AA49" s="114" t="n">
        <v>5</v>
      </c>
      <c r="AB49" s="114" t="s">
        <v>329</v>
      </c>
      <c r="AC49" s="114" t="n">
        <v>2</v>
      </c>
      <c r="AD49" s="114" t="s">
        <v>329</v>
      </c>
      <c r="AE49" s="64" t="n">
        <f aca="false">IF(COUNT(Y49,AA49,AC49)=0,"",Y49*0.02+AA49*0.02+AC49*0.01)</f>
        <v>0.16</v>
      </c>
      <c r="AF49" s="92" t="n">
        <f aca="false">IF(OR(COUNT(D49,F49,H49,J49,L49)&lt;5,COUNT(P49,R49,T49,V49)&lt;4,COUNT(Y49,AA49,AC49)&lt;3),"",(O49+X49+AE49)*20)</f>
        <v>70.8</v>
      </c>
      <c r="AG49" s="92" t="str">
        <f aca="false">IF(AF49="","",IF(AF49&gt;=80,"STRONG BUY",IF(AF49&gt;=65,"BUY",IF(AF49&gt;=50,"WATCH LIST",IF(AF49&gt;=35,"AVOID","PASS")))))</f>
        <v>BUY</v>
      </c>
      <c r="AH49" s="92" t="str">
        <f aca="false">IF(N49="","",IF(N49&lt;3,"FAIL","OK"))</f>
        <v>OK</v>
      </c>
      <c r="AI49" s="92" t="str">
        <f aca="false">IF(COUNT(D49:L49)=0,"",IF(COUNTIF(D49:L49,1)&gt;0,"REVIEW","OK"))</f>
        <v>OK</v>
      </c>
      <c r="AJ49" s="92" t="str">
        <f aca="false">IF(COUNT(D49:L49)=0,"",IF(COUNTIF(D49:L49,"&lt;=2")&gt;=2,"AVOID","OK"))</f>
        <v>OK</v>
      </c>
      <c r="AK49" s="92" t="str">
        <f aca="false">IF(COUNTA(E49:M49)=0,"",IF(COUNTIF(E49:M49,"L")&gt;=2,"CAP AT BUY","OK"))</f>
        <v>OK</v>
      </c>
      <c r="AL49" s="118" t="s">
        <v>335</v>
      </c>
      <c r="AM49" s="118" t="s">
        <v>404</v>
      </c>
      <c r="AN49" s="114"/>
      <c r="AO49" s="92"/>
      <c r="AP49" s="114" t="str">
        <f aca="false">IF(OR(AN49="",AO49=""),"",IF(AN49&gt;AO49,"OK","LOW CONF"))</f>
        <v/>
      </c>
      <c r="AQ49" s="114"/>
      <c r="AR49" s="92"/>
      <c r="AS49" s="124" t="str">
        <f aca="false">IF(OR(AQ49="",AR49=""),"",IF(AQ49&lt;AR49,"Decreased",IF(AQ49&gt;AR49,"Increased","Flat")))</f>
        <v/>
      </c>
    </row>
    <row r="50" customFormat="false" ht="15" hidden="false" customHeight="true" outlineLevel="0" collapsed="false">
      <c r="A50" s="61" t="s">
        <v>405</v>
      </c>
      <c r="B50" s="112" t="s">
        <v>406</v>
      </c>
      <c r="C50" s="123" t="n">
        <v>46295</v>
      </c>
      <c r="D50" s="114" t="n">
        <v>4</v>
      </c>
      <c r="E50" s="114" t="s">
        <v>329</v>
      </c>
      <c r="F50" s="114" t="n">
        <v>3</v>
      </c>
      <c r="G50" s="114" t="s">
        <v>329</v>
      </c>
      <c r="H50" s="114" t="n">
        <v>4</v>
      </c>
      <c r="I50" s="114" t="s">
        <v>329</v>
      </c>
      <c r="J50" s="114" t="n">
        <v>3</v>
      </c>
      <c r="K50" s="114" t="s">
        <v>329</v>
      </c>
      <c r="L50" s="114" t="n">
        <v>3</v>
      </c>
      <c r="M50" s="114" t="s">
        <v>329</v>
      </c>
      <c r="N50" s="115" t="n">
        <f aca="false">IF(COUNT(D50,F50,H50,J50,L50)=0,"",(D50*0.2+F50*0.15+H50*0.15+J50*0.1+L50*0.1)/(IF(D50&lt;&gt;"",0.2,0)+IF(F50&lt;&gt;"",0.15,0)+IF(H50&lt;&gt;"",0.15,0)+IF(J50&lt;&gt;"",0.1,0)+IF(L50&lt;&gt;"",0.1,0)))</f>
        <v>3.5</v>
      </c>
      <c r="O50" s="92" t="n">
        <f aca="false">IF(COUNT(D50,F50,H50,J50,L50)=0,"",D50*0.2+F50*0.15+H50*0.15+J50*0.1+L50*0.1)</f>
        <v>2.45</v>
      </c>
      <c r="P50" s="114" t="n">
        <v>4</v>
      </c>
      <c r="Q50" s="114" t="s">
        <v>329</v>
      </c>
      <c r="R50" s="114" t="n">
        <v>3</v>
      </c>
      <c r="S50" s="114" t="s">
        <v>331</v>
      </c>
      <c r="T50" s="114" t="n">
        <v>5</v>
      </c>
      <c r="U50" s="114" t="s">
        <v>329</v>
      </c>
      <c r="V50" s="114" t="n">
        <v>4</v>
      </c>
      <c r="W50" s="114" t="s">
        <v>329</v>
      </c>
      <c r="X50" s="64" t="n">
        <f aca="false">IF(COUNT(P50,R50,T50,V50)=0,"",P50*0.08+R50*0.06+T50*0.03+V50*0.08)</f>
        <v>0.97</v>
      </c>
      <c r="Y50" s="114" t="n">
        <v>5</v>
      </c>
      <c r="Z50" s="114" t="s">
        <v>329</v>
      </c>
      <c r="AA50" s="114" t="n">
        <v>4</v>
      </c>
      <c r="AB50" s="114" t="s">
        <v>329</v>
      </c>
      <c r="AC50" s="114" t="n">
        <v>2</v>
      </c>
      <c r="AD50" s="114" t="s">
        <v>329</v>
      </c>
      <c r="AE50" s="64" t="n">
        <f aca="false">IF(COUNT(Y50,AA50,AC50)=0,"",Y50*0.02+AA50*0.02+AC50*0.01)</f>
        <v>0.2</v>
      </c>
      <c r="AF50" s="92" t="n">
        <f aca="false">IF(OR(COUNT(D50,F50,H50,J50,L50)&lt;5,COUNT(P50,R50,T50,V50)&lt;4,COUNT(Y50,AA50,AC50)&lt;3),"",(O50+X50+AE50)*20)</f>
        <v>72.4</v>
      </c>
      <c r="AG50" s="92" t="str">
        <f aca="false">IF(AF50="","",IF(AF50&gt;=80,"STRONG BUY",IF(AF50&gt;=65,"BUY",IF(AF50&gt;=50,"WATCH LIST",IF(AF50&gt;=35,"AVOID","PASS")))))</f>
        <v>BUY</v>
      </c>
      <c r="AH50" s="92" t="str">
        <f aca="false">IF(N50="","",IF(N50&lt;3,"FAIL","OK"))</f>
        <v>OK</v>
      </c>
      <c r="AI50" s="92" t="str">
        <f aca="false">IF(COUNT(D50:L50)=0,"",IF(COUNTIF(D50:L50,1)&gt;0,"REVIEW","OK"))</f>
        <v>OK</v>
      </c>
      <c r="AJ50" s="92" t="str">
        <f aca="false">IF(COUNT(D50:L50)=0,"",IF(COUNTIF(D50:L50,"&lt;=2")&gt;=2,"AVOID","OK"))</f>
        <v>OK</v>
      </c>
      <c r="AK50" s="92" t="str">
        <f aca="false">IF(COUNTA(E50:M50)=0,"",IF(COUNTIF(E50:M50,"L")&gt;=2,"CAP AT BUY","OK"))</f>
        <v>OK</v>
      </c>
      <c r="AL50" s="118" t="s">
        <v>359</v>
      </c>
      <c r="AM50" s="118" t="s">
        <v>364</v>
      </c>
      <c r="AN50" s="114"/>
      <c r="AO50" s="92"/>
      <c r="AP50" s="114" t="str">
        <f aca="false">IF(OR(AN50="",AO50=""),"",IF(AN50&gt;AO50,"OK","LOW CONF"))</f>
        <v/>
      </c>
      <c r="AQ50" s="114"/>
      <c r="AR50" s="92"/>
      <c r="AS50" s="124" t="str">
        <f aca="false">IF(OR(AQ50="",AR50=""),"",IF(AQ50&lt;AR50,"Decreased",IF(AQ50&gt;AR50,"Increased","Flat")))</f>
        <v/>
      </c>
    </row>
    <row r="51" customFormat="false" ht="15" hidden="false" customHeight="true" outlineLevel="0" collapsed="false">
      <c r="A51" s="61" t="s">
        <v>407</v>
      </c>
      <c r="B51" s="112" t="s">
        <v>408</v>
      </c>
      <c r="C51" s="123" t="n">
        <v>46297</v>
      </c>
      <c r="D51" s="114" t="n">
        <v>4</v>
      </c>
      <c r="E51" s="114" t="s">
        <v>329</v>
      </c>
      <c r="F51" s="114" t="n">
        <v>4</v>
      </c>
      <c r="G51" s="114" t="s">
        <v>329</v>
      </c>
      <c r="H51" s="114" t="n">
        <v>4</v>
      </c>
      <c r="I51" s="114" t="s">
        <v>329</v>
      </c>
      <c r="J51" s="114" t="n">
        <v>5</v>
      </c>
      <c r="K51" s="114" t="s">
        <v>329</v>
      </c>
      <c r="L51" s="114" t="n">
        <v>5</v>
      </c>
      <c r="M51" s="114" t="s">
        <v>329</v>
      </c>
      <c r="N51" s="115" t="n">
        <f aca="false">IF(COUNT(D51,F51,H51,J51,L51)=0,"",(D51*0.2+F51*0.15+H51*0.15+J51*0.1+L51*0.1)/(IF(D51&lt;&gt;"",0.2,0)+IF(F51&lt;&gt;"",0.15,0)+IF(H51&lt;&gt;"",0.15,0)+IF(J51&lt;&gt;"",0.1,0)+IF(L51&lt;&gt;"",0.1,0)))</f>
        <v>4.28571428571429</v>
      </c>
      <c r="O51" s="92" t="n">
        <f aca="false">IF(COUNT(D51,F51,H51,J51,L51)=0,"",D51*0.2+F51*0.15+H51*0.15+J51*0.1+L51*0.1)</f>
        <v>3</v>
      </c>
      <c r="P51" s="114" t="n">
        <v>4</v>
      </c>
      <c r="Q51" s="114" t="s">
        <v>329</v>
      </c>
      <c r="R51" s="114" t="n">
        <v>2</v>
      </c>
      <c r="S51" s="114" t="s">
        <v>331</v>
      </c>
      <c r="T51" s="114" t="n">
        <v>4</v>
      </c>
      <c r="U51" s="114" t="s">
        <v>329</v>
      </c>
      <c r="V51" s="114" t="n">
        <v>4</v>
      </c>
      <c r="W51" s="114" t="s">
        <v>329</v>
      </c>
      <c r="X51" s="64" t="n">
        <f aca="false">IF(COUNT(P51,R51,T51,V51)=0,"",P51*0.08+R51*0.06+T51*0.03+V51*0.08)</f>
        <v>0.88</v>
      </c>
      <c r="Y51" s="114" t="n">
        <v>5</v>
      </c>
      <c r="Z51" s="114" t="s">
        <v>329</v>
      </c>
      <c r="AA51" s="114" t="n">
        <v>4</v>
      </c>
      <c r="AB51" s="114" t="s">
        <v>329</v>
      </c>
      <c r="AC51" s="114" t="n">
        <v>2</v>
      </c>
      <c r="AD51" s="114" t="s">
        <v>329</v>
      </c>
      <c r="AE51" s="64" t="n">
        <f aca="false">IF(COUNT(Y51,AA51,AC51)=0,"",Y51*0.02+AA51*0.02+AC51*0.01)</f>
        <v>0.2</v>
      </c>
      <c r="AF51" s="92" t="n">
        <f aca="false">IF(OR(COUNT(D51,F51,H51,J51,L51)&lt;5,COUNT(P51,R51,T51,V51)&lt;4,COUNT(Y51,AA51,AC51)&lt;3),"",(O51+X51+AE51)*20)</f>
        <v>81.6</v>
      </c>
      <c r="AG51" s="92" t="str">
        <f aca="false">IF(AF51="","",IF(AF51&gt;=80,"STRONG BUY",IF(AF51&gt;=65,"BUY",IF(AF51&gt;=50,"WATCH LIST",IF(AF51&gt;=35,"AVOID","PASS")))))</f>
        <v>STRONG BUY</v>
      </c>
      <c r="AH51" s="92" t="str">
        <f aca="false">IF(N51="","",IF(N51&lt;3,"FAIL","OK"))</f>
        <v>OK</v>
      </c>
      <c r="AI51" s="92" t="str">
        <f aca="false">IF(COUNT(D51:L51)=0,"",IF(COUNTIF(D51:L51,1)&gt;0,"REVIEW","OK"))</f>
        <v>OK</v>
      </c>
      <c r="AJ51" s="92" t="str">
        <f aca="false">IF(COUNT(D51:L51)=0,"",IF(COUNTIF(D51:L51,"&lt;=2")&gt;=2,"AVOID","OK"))</f>
        <v>OK</v>
      </c>
      <c r="AK51" s="92" t="str">
        <f aca="false">IF(COUNTA(E51:M51)=0,"",IF(COUNTIF(E51:M51,"L")&gt;=2,"CAP AT BUY","OK"))</f>
        <v>OK</v>
      </c>
      <c r="AL51" s="118" t="s">
        <v>335</v>
      </c>
      <c r="AM51" s="118" t="s">
        <v>409</v>
      </c>
      <c r="AN51" s="114"/>
      <c r="AO51" s="92"/>
      <c r="AP51" s="114" t="str">
        <f aca="false">IF(OR(AN51="",AO51=""),"",IF(AN51&gt;AO51,"OK","LOW CONF"))</f>
        <v/>
      </c>
      <c r="AQ51" s="114"/>
      <c r="AR51" s="92"/>
      <c r="AS51" s="124" t="str">
        <f aca="false">IF(OR(AQ51="",AR51=""),"",IF(AQ51&lt;AR51,"Decreased",IF(AQ51&gt;AR51,"Increased","Flat")))</f>
        <v/>
      </c>
    </row>
    <row r="52" customFormat="false" ht="15" hidden="false" customHeight="true" outlineLevel="0" collapsed="false">
      <c r="A52" s="61"/>
      <c r="B52" s="112"/>
      <c r="C52" s="114"/>
      <c r="D52" s="114"/>
      <c r="E52" s="114"/>
      <c r="F52" s="114"/>
      <c r="G52" s="114"/>
      <c r="H52" s="114"/>
      <c r="I52" s="114"/>
      <c r="J52" s="114"/>
      <c r="K52" s="114"/>
      <c r="L52" s="114"/>
      <c r="M52" s="114"/>
      <c r="N52" s="115" t="str">
        <f aca="false">IF(COUNT(D52,F52,H52,J52,L52)=0,"",(D52*0.2+F52*0.15+H52*0.15+J52*0.1+L52*0.1)/(IF(D52&lt;&gt;"",0.2,0)+IF(F52&lt;&gt;"",0.15,0)+IF(H52&lt;&gt;"",0.15,0)+IF(J52&lt;&gt;"",0.1,0)+IF(L52&lt;&gt;"",0.1,0)))</f>
        <v/>
      </c>
      <c r="O52" s="92" t="str">
        <f aca="false">IF(COUNT(D52,F52,H52,J52,L52)=0,"",D52*0.2+F52*0.15+H52*0.15+J52*0.1+L52*0.1)</f>
        <v/>
      </c>
      <c r="P52" s="114"/>
      <c r="Q52" s="114"/>
      <c r="R52" s="114"/>
      <c r="S52" s="114"/>
      <c r="T52" s="114"/>
      <c r="U52" s="114"/>
      <c r="V52" s="114"/>
      <c r="W52" s="114"/>
      <c r="X52" s="64" t="str">
        <f aca="false">IF(COUNT(P52,R52,T52,V52)=0,"",P52*0.08+R52*0.06+T52*0.03+V52*0.08)</f>
        <v/>
      </c>
      <c r="Y52" s="114"/>
      <c r="Z52" s="114"/>
      <c r="AA52" s="114"/>
      <c r="AB52" s="114"/>
      <c r="AC52" s="114"/>
      <c r="AD52" s="114"/>
      <c r="AE52" s="64" t="str">
        <f aca="false">IF(COUNT(Y52,AA52,AC52)=0,"",Y52*0.02+AA52*0.02+AC52*0.01)</f>
        <v/>
      </c>
      <c r="AF52" s="92" t="str">
        <f aca="false">IF(OR(COUNT(D52,F52,H52,J52,L52)&lt;5,COUNT(P52,R52,T52,V52)&lt;4,COUNT(Y52,AA52,AC52)&lt;3),"",(O52+X52+AE52)*20)</f>
        <v/>
      </c>
      <c r="AG52" s="92" t="str">
        <f aca="false">IF(AF52="","",IF(AF52&gt;=80,"STRONG BUY",IF(AF52&gt;=65,"BUY",IF(AF52&gt;=50,"WATCH LIST",IF(AF52&gt;=35,"AVOID","PASS")))))</f>
        <v/>
      </c>
      <c r="AH52" s="92" t="str">
        <f aca="false">IF(N52="","",IF(N52&lt;3,"FAIL","OK"))</f>
        <v/>
      </c>
      <c r="AI52" s="92" t="str">
        <f aca="false">IF(COUNT(D52:L52)=0,"",IF(COUNTIF(D52:L52,1)&gt;0,"REVIEW","OK"))</f>
        <v/>
      </c>
      <c r="AJ52" s="92" t="str">
        <f aca="false">IF(COUNT(D52:L52)=0,"",IF(COUNTIF(D52:L52,"&lt;=2")&gt;=2,"AVOID","OK"))</f>
        <v/>
      </c>
      <c r="AK52" s="92" t="str">
        <f aca="false">IF(COUNTA(E52:M52)=0,"",IF(COUNTIF(E52:M52,"L")&gt;=2,"CAP AT BUY","OK"))</f>
        <v/>
      </c>
      <c r="AL52" s="118"/>
      <c r="AM52" s="118"/>
      <c r="AN52" s="114"/>
      <c r="AO52" s="92"/>
      <c r="AP52" s="114" t="str">
        <f aca="false">IF(OR(AN52="",AO52=""),"",IF(AN52&gt;AO52,"OK","LOW CONF"))</f>
        <v/>
      </c>
      <c r="AQ52" s="114"/>
      <c r="AR52" s="92"/>
      <c r="AS52" s="124" t="str">
        <f aca="false">IF(OR(AQ52="",AR52=""),"",IF(AQ52&lt;AR52,"Decreased",IF(AQ52&gt;AR52,"Increased","Flat")))</f>
        <v/>
      </c>
    </row>
    <row r="53" customFormat="false" ht="15" hidden="false" customHeight="true" outlineLevel="0" collapsed="false">
      <c r="A53" s="61"/>
      <c r="B53" s="112"/>
      <c r="C53" s="114"/>
      <c r="D53" s="114"/>
      <c r="E53" s="114"/>
      <c r="F53" s="114"/>
      <c r="G53" s="114"/>
      <c r="H53" s="114"/>
      <c r="I53" s="114"/>
      <c r="J53" s="114"/>
      <c r="K53" s="114"/>
      <c r="L53" s="114"/>
      <c r="M53" s="114"/>
      <c r="N53" s="115" t="str">
        <f aca="false">IF(COUNT(D53,F53,H53,J53,L53)=0,"",(D53*0.2+F53*0.15+H53*0.15+J53*0.1+L53*0.1)/(IF(D53&lt;&gt;"",0.2,0)+IF(F53&lt;&gt;"",0.15,0)+IF(H53&lt;&gt;"",0.15,0)+IF(J53&lt;&gt;"",0.1,0)+IF(L53&lt;&gt;"",0.1,0)))</f>
        <v/>
      </c>
      <c r="O53" s="92" t="str">
        <f aca="false">IF(COUNT(D53,F53,H53,J53,L53)=0,"",D53*0.2+F53*0.15+H53*0.15+J53*0.1+L53*0.1)</f>
        <v/>
      </c>
      <c r="P53" s="114"/>
      <c r="Q53" s="114"/>
      <c r="R53" s="114"/>
      <c r="S53" s="114"/>
      <c r="T53" s="114"/>
      <c r="U53" s="114"/>
      <c r="V53" s="114"/>
      <c r="W53" s="114"/>
      <c r="X53" s="64" t="str">
        <f aca="false">IF(COUNT(P53,R53,T53,V53)=0,"",P53*0.08+R53*0.06+T53*0.03+V53*0.08)</f>
        <v/>
      </c>
      <c r="Y53" s="114"/>
      <c r="Z53" s="114"/>
      <c r="AA53" s="114"/>
      <c r="AB53" s="114"/>
      <c r="AC53" s="114"/>
      <c r="AD53" s="114"/>
      <c r="AE53" s="64" t="str">
        <f aca="false">IF(COUNT(Y53,AA53,AC53)=0,"",Y53*0.02+AA53*0.02+AC53*0.01)</f>
        <v/>
      </c>
      <c r="AF53" s="92" t="str">
        <f aca="false">IF(OR(COUNT(D53,F53,H53,J53,L53)&lt;5,COUNT(P53,R53,T53,V53)&lt;4,COUNT(Y53,AA53,AC53)&lt;3),"",(O53+X53+AE53)*20)</f>
        <v/>
      </c>
      <c r="AG53" s="92" t="str">
        <f aca="false">IF(AF53="","",IF(AF53&gt;=80,"STRONG BUY",IF(AF53&gt;=65,"BUY",IF(AF53&gt;=50,"WATCH LIST",IF(AF53&gt;=35,"AVOID","PASS")))))</f>
        <v/>
      </c>
      <c r="AH53" s="92" t="str">
        <f aca="false">IF(N53="","",IF(N53&lt;3,"FAIL","OK"))</f>
        <v/>
      </c>
      <c r="AI53" s="92" t="str">
        <f aca="false">IF(COUNT(D53:L53)=0,"",IF(COUNTIF(D53:L53,1)&gt;0,"REVIEW","OK"))</f>
        <v/>
      </c>
      <c r="AJ53" s="92" t="str">
        <f aca="false">IF(COUNT(D53:L53)=0,"",IF(COUNTIF(D53:L53,"&lt;=2")&gt;=2,"AVOID","OK"))</f>
        <v/>
      </c>
      <c r="AK53" s="92" t="str">
        <f aca="false">IF(COUNTA(E53:M53)=0,"",IF(COUNTIF(E53:M53,"L")&gt;=2,"CAP AT BUY","OK"))</f>
        <v/>
      </c>
      <c r="AL53" s="118"/>
      <c r="AM53" s="118"/>
      <c r="AN53" s="114"/>
      <c r="AO53" s="92"/>
      <c r="AP53" s="114" t="str">
        <f aca="false">IF(OR(AN53="",AO53=""),"",IF(AN53&gt;AO53,"OK","LOW CONF"))</f>
        <v/>
      </c>
      <c r="AQ53" s="114"/>
      <c r="AR53" s="92"/>
      <c r="AS53" s="124" t="str">
        <f aca="false">IF(OR(AQ53="",AR53=""),"",IF(AQ53&lt;AR53,"Decreased",IF(AQ53&gt;AR53,"Increased","Flat")))</f>
        <v/>
      </c>
    </row>
    <row r="54" customFormat="false" ht="15" hidden="false" customHeight="true" outlineLevel="0" collapsed="false">
      <c r="A54" s="61"/>
      <c r="B54" s="112"/>
      <c r="C54" s="114"/>
      <c r="D54" s="114"/>
      <c r="E54" s="114"/>
      <c r="F54" s="114"/>
      <c r="G54" s="114"/>
      <c r="H54" s="114"/>
      <c r="I54" s="114"/>
      <c r="J54" s="114"/>
      <c r="K54" s="114"/>
      <c r="L54" s="114"/>
      <c r="M54" s="114"/>
      <c r="N54" s="115" t="str">
        <f aca="false">IF(COUNT(D54,F54,H54,J54,L54)=0,"",(D54*0.2+F54*0.15+H54*0.15+J54*0.1+L54*0.1)/(IF(D54&lt;&gt;"",0.2,0)+IF(F54&lt;&gt;"",0.15,0)+IF(H54&lt;&gt;"",0.15,0)+IF(J54&lt;&gt;"",0.1,0)+IF(L54&lt;&gt;"",0.1,0)))</f>
        <v/>
      </c>
      <c r="O54" s="92" t="str">
        <f aca="false">IF(COUNT(D54,F54,H54,J54,L54)=0,"",D54*0.2+F54*0.15+H54*0.15+J54*0.1+L54*0.1)</f>
        <v/>
      </c>
      <c r="P54" s="114"/>
      <c r="Q54" s="114"/>
      <c r="R54" s="114"/>
      <c r="S54" s="114"/>
      <c r="T54" s="114"/>
      <c r="U54" s="114"/>
      <c r="V54" s="114"/>
      <c r="W54" s="114"/>
      <c r="X54" s="64" t="str">
        <f aca="false">IF(COUNT(P54,R54,T54,V54)=0,"",P54*0.08+R54*0.06+T54*0.03+V54*0.08)</f>
        <v/>
      </c>
      <c r="Y54" s="114"/>
      <c r="Z54" s="114"/>
      <c r="AA54" s="114"/>
      <c r="AB54" s="114"/>
      <c r="AC54" s="114"/>
      <c r="AD54" s="114"/>
      <c r="AE54" s="64" t="str">
        <f aca="false">IF(COUNT(Y54,AA54,AC54)=0,"",Y54*0.02+AA54*0.02+AC54*0.01)</f>
        <v/>
      </c>
      <c r="AF54" s="92" t="str">
        <f aca="false">IF(OR(COUNT(D54,F54,H54,J54,L54)&lt;5,COUNT(P54,R54,T54,V54)&lt;4,COUNT(Y54,AA54,AC54)&lt;3),"",(O54+X54+AE54)*20)</f>
        <v/>
      </c>
      <c r="AG54" s="92" t="str">
        <f aca="false">IF(AF54="","",IF(AF54&gt;=80,"STRONG BUY",IF(AF54&gt;=65,"BUY",IF(AF54&gt;=50,"WATCH LIST",IF(AF54&gt;=35,"AVOID","PASS")))))</f>
        <v/>
      </c>
      <c r="AH54" s="92" t="str">
        <f aca="false">IF(N54="","",IF(N54&lt;3,"FAIL","OK"))</f>
        <v/>
      </c>
      <c r="AI54" s="92" t="str">
        <f aca="false">IF(COUNT(D54:L54)=0,"",IF(COUNTIF(D54:L54,1)&gt;0,"REVIEW","OK"))</f>
        <v/>
      </c>
      <c r="AJ54" s="92" t="str">
        <f aca="false">IF(COUNT(D54:L54)=0,"",IF(COUNTIF(D54:L54,"&lt;=2")&gt;=2,"AVOID","OK"))</f>
        <v/>
      </c>
      <c r="AK54" s="92" t="str">
        <f aca="false">IF(COUNTA(E54:M54)=0,"",IF(COUNTIF(E54:M54,"L")&gt;=2,"CAP AT BUY","OK"))</f>
        <v/>
      </c>
      <c r="AL54" s="118"/>
      <c r="AM54" s="118"/>
      <c r="AN54" s="114"/>
      <c r="AO54" s="92"/>
      <c r="AP54" s="114" t="str">
        <f aca="false">IF(OR(AN54="",AO54=""),"",IF(AN54&gt;AO54,"OK","LOW CONF"))</f>
        <v/>
      </c>
      <c r="AQ54" s="114"/>
      <c r="AR54" s="92"/>
      <c r="AS54" s="124" t="str">
        <f aca="false">IF(OR(AQ54="",AR54=""),"",IF(AQ54&lt;AR54,"Decreased",IF(AQ54&gt;AR54,"Increased","Flat")))</f>
        <v/>
      </c>
    </row>
    <row r="55" customFormat="false" ht="15" hidden="false" customHeight="true" outlineLevel="0" collapsed="false">
      <c r="A55" s="61"/>
      <c r="B55" s="112"/>
      <c r="C55" s="114"/>
      <c r="D55" s="114"/>
      <c r="E55" s="114"/>
      <c r="F55" s="114"/>
      <c r="G55" s="114"/>
      <c r="H55" s="114"/>
      <c r="I55" s="114"/>
      <c r="J55" s="114"/>
      <c r="K55" s="114"/>
      <c r="L55" s="114"/>
      <c r="M55" s="114"/>
      <c r="N55" s="115" t="str">
        <f aca="false">IF(COUNT(D55,F55,H55,J55,L55)=0,"",(D55*0.2+F55*0.15+H55*0.15+J55*0.1+L55*0.1)/(IF(D55&lt;&gt;"",0.2,0)+IF(F55&lt;&gt;"",0.15,0)+IF(H55&lt;&gt;"",0.15,0)+IF(J55&lt;&gt;"",0.1,0)+IF(L55&lt;&gt;"",0.1,0)))</f>
        <v/>
      </c>
      <c r="O55" s="92" t="str">
        <f aca="false">IF(COUNT(D55,F55,H55,J55,L55)=0,"",D55*0.2+F55*0.15+H55*0.15+J55*0.1+L55*0.1)</f>
        <v/>
      </c>
      <c r="P55" s="114"/>
      <c r="Q55" s="114"/>
      <c r="R55" s="114"/>
      <c r="S55" s="114"/>
      <c r="T55" s="114"/>
      <c r="U55" s="114"/>
      <c r="V55" s="114"/>
      <c r="W55" s="114"/>
      <c r="X55" s="64" t="str">
        <f aca="false">IF(COUNT(P55,R55,T55,V55)=0,"",P55*0.08+R55*0.06+T55*0.03+V55*0.08)</f>
        <v/>
      </c>
      <c r="Y55" s="114"/>
      <c r="Z55" s="114"/>
      <c r="AA55" s="114"/>
      <c r="AB55" s="114"/>
      <c r="AC55" s="114"/>
      <c r="AD55" s="114"/>
      <c r="AE55" s="64" t="str">
        <f aca="false">IF(COUNT(Y55,AA55,AC55)=0,"",Y55*0.02+AA55*0.02+AC55*0.01)</f>
        <v/>
      </c>
      <c r="AF55" s="92" t="str">
        <f aca="false">IF(OR(COUNT(D55,F55,H55,J55,L55)&lt;5,COUNT(P55,R55,T55,V55)&lt;4,COUNT(Y55,AA55,AC55)&lt;3),"",(O55+X55+AE55)*20)</f>
        <v/>
      </c>
      <c r="AG55" s="92" t="str">
        <f aca="false">IF(AF55="","",IF(AF55&gt;=80,"STRONG BUY",IF(AF55&gt;=65,"BUY",IF(AF55&gt;=50,"WATCH LIST",IF(AF55&gt;=35,"AVOID","PASS")))))</f>
        <v/>
      </c>
      <c r="AH55" s="92" t="str">
        <f aca="false">IF(N55="","",IF(N55&lt;3,"FAIL","OK"))</f>
        <v/>
      </c>
      <c r="AI55" s="92" t="str">
        <f aca="false">IF(COUNT(D55:L55)=0,"",IF(COUNTIF(D55:L55,1)&gt;0,"REVIEW","OK"))</f>
        <v/>
      </c>
      <c r="AJ55" s="92" t="str">
        <f aca="false">IF(COUNT(D55:L55)=0,"",IF(COUNTIF(D55:L55,"&lt;=2")&gt;=2,"AVOID","OK"))</f>
        <v/>
      </c>
      <c r="AK55" s="92" t="str">
        <f aca="false">IF(COUNTA(E55:M55)=0,"",IF(COUNTIF(E55:M55,"L")&gt;=2,"CAP AT BUY","OK"))</f>
        <v/>
      </c>
      <c r="AL55" s="118"/>
      <c r="AM55" s="118"/>
      <c r="AN55" s="114"/>
      <c r="AO55" s="92"/>
      <c r="AP55" s="114" t="str">
        <f aca="false">IF(OR(AN55="",AO55=""),"",IF(AN55&gt;AO55,"OK","LOW CONF"))</f>
        <v/>
      </c>
      <c r="AQ55" s="114"/>
      <c r="AR55" s="92"/>
      <c r="AS55" s="124" t="str">
        <f aca="false">IF(OR(AQ55="",AR55=""),"",IF(AQ55&lt;AR55,"Decreased",IF(AQ55&gt;AR55,"Increased","Flat")))</f>
        <v/>
      </c>
    </row>
    <row r="56" customFormat="false" ht="15" hidden="false" customHeight="true" outlineLevel="0" collapsed="false">
      <c r="A56" s="61"/>
      <c r="B56" s="112"/>
      <c r="C56" s="114"/>
      <c r="D56" s="114"/>
      <c r="E56" s="114"/>
      <c r="F56" s="114"/>
      <c r="G56" s="114"/>
      <c r="H56" s="114"/>
      <c r="I56" s="114"/>
      <c r="J56" s="114"/>
      <c r="K56" s="114"/>
      <c r="L56" s="114"/>
      <c r="M56" s="114"/>
      <c r="N56" s="115" t="str">
        <f aca="false">IF(COUNT(D56,F56,H56,J56,L56)=0,"",(D56*0.2+F56*0.15+H56*0.15+J56*0.1+L56*0.1)/(IF(D56&lt;&gt;"",0.2,0)+IF(F56&lt;&gt;"",0.15,0)+IF(H56&lt;&gt;"",0.15,0)+IF(J56&lt;&gt;"",0.1,0)+IF(L56&lt;&gt;"",0.1,0)))</f>
        <v/>
      </c>
      <c r="O56" s="92" t="str">
        <f aca="false">IF(COUNT(D56,F56,H56,J56,L56)=0,"",D56*0.2+F56*0.15+H56*0.15+J56*0.1+L56*0.1)</f>
        <v/>
      </c>
      <c r="P56" s="114"/>
      <c r="Q56" s="114"/>
      <c r="R56" s="114"/>
      <c r="S56" s="114"/>
      <c r="T56" s="114"/>
      <c r="U56" s="114"/>
      <c r="V56" s="114"/>
      <c r="W56" s="114"/>
      <c r="X56" s="64" t="str">
        <f aca="false">IF(COUNT(P56,R56,T56,V56)=0,"",P56*0.08+R56*0.06+T56*0.03+V56*0.08)</f>
        <v/>
      </c>
      <c r="Y56" s="114"/>
      <c r="Z56" s="114"/>
      <c r="AA56" s="114"/>
      <c r="AB56" s="114"/>
      <c r="AC56" s="114"/>
      <c r="AD56" s="114"/>
      <c r="AE56" s="64" t="str">
        <f aca="false">IF(COUNT(Y56,AA56,AC56)=0,"",Y56*0.02+AA56*0.02+AC56*0.01)</f>
        <v/>
      </c>
      <c r="AF56" s="92" t="str">
        <f aca="false">IF(OR(COUNT(D56,F56,H56,J56,L56)&lt;5,COUNT(P56,R56,T56,V56)&lt;4,COUNT(Y56,AA56,AC56)&lt;3),"",(O56+X56+AE56)*20)</f>
        <v/>
      </c>
      <c r="AG56" s="92" t="str">
        <f aca="false">IF(AF56="","",IF(AF56&gt;=80,"STRONG BUY",IF(AF56&gt;=65,"BUY",IF(AF56&gt;=50,"WATCH LIST",IF(AF56&gt;=35,"AVOID","PASS")))))</f>
        <v/>
      </c>
      <c r="AH56" s="92" t="str">
        <f aca="false">IF(N56="","",IF(N56&lt;3,"FAIL","OK"))</f>
        <v/>
      </c>
      <c r="AI56" s="92" t="str">
        <f aca="false">IF(COUNT(D56:L56)=0,"",IF(COUNTIF(D56:L56,1)&gt;0,"REVIEW","OK"))</f>
        <v/>
      </c>
      <c r="AJ56" s="92" t="str">
        <f aca="false">IF(COUNT(D56:L56)=0,"",IF(COUNTIF(D56:L56,"&lt;=2")&gt;=2,"AVOID","OK"))</f>
        <v/>
      </c>
      <c r="AK56" s="92" t="str">
        <f aca="false">IF(COUNTA(E56:M56)=0,"",IF(COUNTIF(E56:M56,"L")&gt;=2,"CAP AT BUY","OK"))</f>
        <v/>
      </c>
      <c r="AL56" s="118"/>
      <c r="AM56" s="118"/>
      <c r="AN56" s="114"/>
      <c r="AO56" s="92"/>
      <c r="AP56" s="114" t="str">
        <f aca="false">IF(OR(AN56="",AO56=""),"",IF(AN56&gt;AO56,"OK","LOW CONF"))</f>
        <v/>
      </c>
      <c r="AQ56" s="114"/>
      <c r="AR56" s="92"/>
      <c r="AS56" s="124" t="str">
        <f aca="false">IF(OR(AQ56="",AR56=""),"",IF(AQ56&lt;AR56,"Decreased",IF(AQ56&gt;AR56,"Increased","Flat")))</f>
        <v/>
      </c>
    </row>
    <row r="57" customFormat="false" ht="15" hidden="false" customHeight="true" outlineLevel="0" collapsed="false">
      <c r="A57" s="61"/>
      <c r="B57" s="112"/>
      <c r="C57" s="114"/>
      <c r="D57" s="114"/>
      <c r="E57" s="114"/>
      <c r="F57" s="114"/>
      <c r="G57" s="114"/>
      <c r="H57" s="114"/>
      <c r="I57" s="114"/>
      <c r="J57" s="114"/>
      <c r="K57" s="114"/>
      <c r="L57" s="114"/>
      <c r="M57" s="114"/>
      <c r="N57" s="115" t="str">
        <f aca="false">IF(COUNT(D57,F57,H57,J57,L57)=0,"",(D57*0.2+F57*0.15+H57*0.15+J57*0.1+L57*0.1)/(IF(D57&lt;&gt;"",0.2,0)+IF(F57&lt;&gt;"",0.15,0)+IF(H57&lt;&gt;"",0.15,0)+IF(J57&lt;&gt;"",0.1,0)+IF(L57&lt;&gt;"",0.1,0)))</f>
        <v/>
      </c>
      <c r="O57" s="92" t="str">
        <f aca="false">IF(COUNT(D57,F57,H57,J57,L57)=0,"",D57*0.2+F57*0.15+H57*0.15+J57*0.1+L57*0.1)</f>
        <v/>
      </c>
      <c r="P57" s="114"/>
      <c r="Q57" s="114"/>
      <c r="R57" s="114"/>
      <c r="S57" s="114"/>
      <c r="T57" s="114"/>
      <c r="U57" s="114"/>
      <c r="V57" s="114"/>
      <c r="W57" s="114"/>
      <c r="X57" s="64" t="str">
        <f aca="false">IF(COUNT(P57,R57,T57,V57)=0,"",P57*0.08+R57*0.06+T57*0.03+V57*0.08)</f>
        <v/>
      </c>
      <c r="Y57" s="114"/>
      <c r="Z57" s="114"/>
      <c r="AA57" s="114"/>
      <c r="AB57" s="114"/>
      <c r="AC57" s="114"/>
      <c r="AD57" s="114"/>
      <c r="AE57" s="64" t="str">
        <f aca="false">IF(COUNT(Y57,AA57,AC57)=0,"",Y57*0.02+AA57*0.02+AC57*0.01)</f>
        <v/>
      </c>
      <c r="AF57" s="92" t="str">
        <f aca="false">IF(OR(COUNT(D57,F57,H57,J57,L57)&lt;5,COUNT(P57,R57,T57,V57)&lt;4,COUNT(Y57,AA57,AC57)&lt;3),"",(O57+X57+AE57)*20)</f>
        <v/>
      </c>
      <c r="AG57" s="92" t="str">
        <f aca="false">IF(AF57="","",IF(AF57&gt;=80,"STRONG BUY",IF(AF57&gt;=65,"BUY",IF(AF57&gt;=50,"WATCH LIST",IF(AF57&gt;=35,"AVOID","PASS")))))</f>
        <v/>
      </c>
      <c r="AH57" s="92" t="str">
        <f aca="false">IF(N57="","",IF(N57&lt;3,"FAIL","OK"))</f>
        <v/>
      </c>
      <c r="AI57" s="92" t="str">
        <f aca="false">IF(COUNT(D57:L57)=0,"",IF(COUNTIF(D57:L57,1)&gt;0,"REVIEW","OK"))</f>
        <v/>
      </c>
      <c r="AJ57" s="92" t="str">
        <f aca="false">IF(COUNT(D57:L57)=0,"",IF(COUNTIF(D57:L57,"&lt;=2")&gt;=2,"AVOID","OK"))</f>
        <v/>
      </c>
      <c r="AK57" s="92" t="str">
        <f aca="false">IF(COUNTA(E57:M57)=0,"",IF(COUNTIF(E57:M57,"L")&gt;=2,"CAP AT BUY","OK"))</f>
        <v/>
      </c>
      <c r="AL57" s="118"/>
      <c r="AM57" s="118"/>
      <c r="AN57" s="114"/>
      <c r="AO57" s="92"/>
      <c r="AP57" s="114" t="str">
        <f aca="false">IF(OR(AN57="",AO57=""),"",IF(AN57&gt;AO57,"OK","LOW CONF"))</f>
        <v/>
      </c>
      <c r="AQ57" s="114"/>
      <c r="AR57" s="92"/>
      <c r="AS57" s="124" t="str">
        <f aca="false">IF(OR(AQ57="",AR57=""),"",IF(AQ57&lt;AR57,"Decreased",IF(AQ57&gt;AR57,"Increased","Flat")))</f>
        <v/>
      </c>
    </row>
    <row r="58" customFormat="false" ht="15" hidden="false" customHeight="true" outlineLevel="0" collapsed="false">
      <c r="A58" s="61"/>
      <c r="B58" s="112"/>
      <c r="C58" s="114"/>
      <c r="D58" s="114"/>
      <c r="E58" s="114"/>
      <c r="F58" s="114"/>
      <c r="G58" s="114"/>
      <c r="H58" s="114"/>
      <c r="I58" s="114"/>
      <c r="J58" s="114"/>
      <c r="K58" s="114"/>
      <c r="L58" s="114"/>
      <c r="M58" s="114"/>
      <c r="N58" s="115" t="str">
        <f aca="false">IF(COUNT(D58,F58,H58,J58,L58)=0,"",(D58*0.2+F58*0.15+H58*0.15+J58*0.1+L58*0.1)/(IF(D58&lt;&gt;"",0.2,0)+IF(F58&lt;&gt;"",0.15,0)+IF(H58&lt;&gt;"",0.15,0)+IF(J58&lt;&gt;"",0.1,0)+IF(L58&lt;&gt;"",0.1,0)))</f>
        <v/>
      </c>
      <c r="O58" s="92" t="str">
        <f aca="false">IF(COUNT(D58,F58,H58,J58,L58)=0,"",D58*0.2+F58*0.15+H58*0.15+J58*0.1+L58*0.1)</f>
        <v/>
      </c>
      <c r="P58" s="114"/>
      <c r="Q58" s="114"/>
      <c r="R58" s="114"/>
      <c r="S58" s="114"/>
      <c r="T58" s="114"/>
      <c r="U58" s="114"/>
      <c r="V58" s="114"/>
      <c r="W58" s="114"/>
      <c r="X58" s="64" t="str">
        <f aca="false">IF(COUNT(P58,R58,T58,V58)=0,"",P58*0.08+R58*0.06+T58*0.03+V58*0.08)</f>
        <v/>
      </c>
      <c r="Y58" s="114"/>
      <c r="Z58" s="114"/>
      <c r="AA58" s="114"/>
      <c r="AB58" s="114"/>
      <c r="AC58" s="114"/>
      <c r="AD58" s="114"/>
      <c r="AE58" s="64" t="str">
        <f aca="false">IF(COUNT(Y58,AA58,AC58)=0,"",Y58*0.02+AA58*0.02+AC58*0.01)</f>
        <v/>
      </c>
      <c r="AF58" s="92" t="str">
        <f aca="false">IF(OR(COUNT(D58,F58,H58,J58,L58)&lt;5,COUNT(P58,R58,T58,V58)&lt;4,COUNT(Y58,AA58,AC58)&lt;3),"",(O58+X58+AE58)*20)</f>
        <v/>
      </c>
      <c r="AG58" s="92" t="str">
        <f aca="false">IF(AF58="","",IF(AF58&gt;=80,"STRONG BUY",IF(AF58&gt;=65,"BUY",IF(AF58&gt;=50,"WATCH LIST",IF(AF58&gt;=35,"AVOID","PASS")))))</f>
        <v/>
      </c>
      <c r="AH58" s="92" t="str">
        <f aca="false">IF(N58="","",IF(N58&lt;3,"FAIL","OK"))</f>
        <v/>
      </c>
      <c r="AI58" s="92" t="str">
        <f aca="false">IF(COUNT(D58:L58)=0,"",IF(COUNTIF(D58:L58,1)&gt;0,"REVIEW","OK"))</f>
        <v/>
      </c>
      <c r="AJ58" s="92" t="str">
        <f aca="false">IF(COUNT(D58:L58)=0,"",IF(COUNTIF(D58:L58,"&lt;=2")&gt;=2,"AVOID","OK"))</f>
        <v/>
      </c>
      <c r="AK58" s="92" t="str">
        <f aca="false">IF(COUNTA(E58:M58)=0,"",IF(COUNTIF(E58:M58,"L")&gt;=2,"CAP AT BUY","OK"))</f>
        <v/>
      </c>
      <c r="AL58" s="118"/>
      <c r="AM58" s="118"/>
      <c r="AN58" s="114"/>
      <c r="AO58" s="92"/>
      <c r="AP58" s="114" t="str">
        <f aca="false">IF(OR(AN58="",AO58=""),"",IF(AN58&gt;AO58,"OK","LOW CONF"))</f>
        <v/>
      </c>
      <c r="AQ58" s="114"/>
      <c r="AR58" s="92"/>
      <c r="AS58" s="124" t="str">
        <f aca="false">IF(OR(AQ58="",AR58=""),"",IF(AQ58&lt;AR58,"Decreased",IF(AQ58&gt;AR58,"Increased","Flat")))</f>
        <v/>
      </c>
    </row>
    <row r="59" customFormat="false" ht="15" hidden="false" customHeight="true" outlineLevel="0" collapsed="false">
      <c r="A59" s="61"/>
      <c r="B59" s="112"/>
      <c r="C59" s="114"/>
      <c r="D59" s="114"/>
      <c r="E59" s="114"/>
      <c r="F59" s="114"/>
      <c r="G59" s="114"/>
      <c r="H59" s="114"/>
      <c r="I59" s="114"/>
      <c r="J59" s="114"/>
      <c r="K59" s="114"/>
      <c r="L59" s="114"/>
      <c r="M59" s="114"/>
      <c r="N59" s="115" t="str">
        <f aca="false">IF(COUNT(D59,F59,H59,J59,L59)=0,"",(D59*0.2+F59*0.15+H59*0.15+J59*0.1+L59*0.1)/(IF(D59&lt;&gt;"",0.2,0)+IF(F59&lt;&gt;"",0.15,0)+IF(H59&lt;&gt;"",0.15,0)+IF(J59&lt;&gt;"",0.1,0)+IF(L59&lt;&gt;"",0.1,0)))</f>
        <v/>
      </c>
      <c r="O59" s="92" t="str">
        <f aca="false">IF(COUNT(D59,F59,H59,J59,L59)=0,"",D59*0.2+F59*0.15+H59*0.15+J59*0.1+L59*0.1)</f>
        <v/>
      </c>
      <c r="P59" s="114"/>
      <c r="Q59" s="114"/>
      <c r="R59" s="114"/>
      <c r="S59" s="114"/>
      <c r="T59" s="114"/>
      <c r="U59" s="114"/>
      <c r="V59" s="114"/>
      <c r="W59" s="114"/>
      <c r="X59" s="64" t="str">
        <f aca="false">IF(COUNT(P59,R59,T59,V59)=0,"",P59*0.08+R59*0.06+T59*0.03+V59*0.08)</f>
        <v/>
      </c>
      <c r="Y59" s="114"/>
      <c r="Z59" s="114"/>
      <c r="AA59" s="114"/>
      <c r="AB59" s="114"/>
      <c r="AC59" s="114"/>
      <c r="AD59" s="114"/>
      <c r="AE59" s="64" t="str">
        <f aca="false">IF(COUNT(Y59,AA59,AC59)=0,"",Y59*0.02+AA59*0.02+AC59*0.01)</f>
        <v/>
      </c>
      <c r="AF59" s="92" t="str">
        <f aca="false">IF(OR(COUNT(D59,F59,H59,J59,L59)&lt;5,COUNT(P59,R59,T59,V59)&lt;4,COUNT(Y59,AA59,AC59)&lt;3),"",(O59+X59+AE59)*20)</f>
        <v/>
      </c>
      <c r="AG59" s="92" t="str">
        <f aca="false">IF(AF59="","",IF(AF59&gt;=80,"STRONG BUY",IF(AF59&gt;=65,"BUY",IF(AF59&gt;=50,"WATCH LIST",IF(AF59&gt;=35,"AVOID","PASS")))))</f>
        <v/>
      </c>
      <c r="AH59" s="92" t="str">
        <f aca="false">IF(N59="","",IF(N59&lt;3,"FAIL","OK"))</f>
        <v/>
      </c>
      <c r="AI59" s="92" t="str">
        <f aca="false">IF(COUNT(D59:L59)=0,"",IF(COUNTIF(D59:L59,1)&gt;0,"REVIEW","OK"))</f>
        <v/>
      </c>
      <c r="AJ59" s="92" t="str">
        <f aca="false">IF(COUNT(D59:L59)=0,"",IF(COUNTIF(D59:L59,"&lt;=2")&gt;=2,"AVOID","OK"))</f>
        <v/>
      </c>
      <c r="AK59" s="92" t="str">
        <f aca="false">IF(COUNTA(E59:M59)=0,"",IF(COUNTIF(E59:M59,"L")&gt;=2,"CAP AT BUY","OK"))</f>
        <v/>
      </c>
      <c r="AL59" s="118"/>
      <c r="AM59" s="118"/>
      <c r="AN59" s="114"/>
      <c r="AO59" s="92"/>
      <c r="AP59" s="114" t="str">
        <f aca="false">IF(OR(AN59="",AO59=""),"",IF(AN59&gt;AO59,"OK","LOW CONF"))</f>
        <v/>
      </c>
      <c r="AQ59" s="114"/>
      <c r="AR59" s="92"/>
      <c r="AS59" s="124" t="str">
        <f aca="false">IF(OR(AQ59="",AR59=""),"",IF(AQ59&lt;AR59,"Decreased",IF(AQ59&gt;AR59,"Increased","Flat")))</f>
        <v/>
      </c>
    </row>
    <row r="60" customFormat="false" ht="15" hidden="false" customHeight="true" outlineLevel="0" collapsed="false">
      <c r="A60" s="61"/>
      <c r="B60" s="112"/>
      <c r="C60" s="114"/>
      <c r="D60" s="114"/>
      <c r="E60" s="114"/>
      <c r="F60" s="114"/>
      <c r="G60" s="114"/>
      <c r="H60" s="114"/>
      <c r="I60" s="114"/>
      <c r="J60" s="114"/>
      <c r="K60" s="114"/>
      <c r="L60" s="114"/>
      <c r="M60" s="114"/>
      <c r="N60" s="115" t="str">
        <f aca="false">IF(COUNT(D60,F60,H60,J60,L60)=0,"",(D60*0.2+F60*0.15+H60*0.15+J60*0.1+L60*0.1)/(IF(D60&lt;&gt;"",0.2,0)+IF(F60&lt;&gt;"",0.15,0)+IF(H60&lt;&gt;"",0.15,0)+IF(J60&lt;&gt;"",0.1,0)+IF(L60&lt;&gt;"",0.1,0)))</f>
        <v/>
      </c>
      <c r="O60" s="92" t="str">
        <f aca="false">IF(COUNT(D60,F60,H60,J60,L60)=0,"",D60*0.2+F60*0.15+H60*0.15+J60*0.1+L60*0.1)</f>
        <v/>
      </c>
      <c r="P60" s="114"/>
      <c r="Q60" s="114"/>
      <c r="R60" s="114"/>
      <c r="S60" s="114"/>
      <c r="T60" s="114"/>
      <c r="U60" s="114"/>
      <c r="V60" s="114"/>
      <c r="W60" s="114"/>
      <c r="X60" s="64" t="str">
        <f aca="false">IF(COUNT(P60,R60,T60,V60)=0,"",P60*0.08+R60*0.06+T60*0.03+V60*0.08)</f>
        <v/>
      </c>
      <c r="Y60" s="114"/>
      <c r="Z60" s="114"/>
      <c r="AA60" s="114"/>
      <c r="AB60" s="114"/>
      <c r="AC60" s="114"/>
      <c r="AD60" s="114"/>
      <c r="AE60" s="64" t="str">
        <f aca="false">IF(COUNT(Y60,AA60,AC60)=0,"",Y60*0.02+AA60*0.02+AC60*0.01)</f>
        <v/>
      </c>
      <c r="AF60" s="92" t="str">
        <f aca="false">IF(OR(COUNT(D60,F60,H60,J60,L60)&lt;5,COUNT(P60,R60,T60,V60)&lt;4,COUNT(Y60,AA60,AC60)&lt;3),"",(O60+X60+AE60)*20)</f>
        <v/>
      </c>
      <c r="AG60" s="92" t="str">
        <f aca="false">IF(AF60="","",IF(AF60&gt;=80,"STRONG BUY",IF(AF60&gt;=65,"BUY",IF(AF60&gt;=50,"WATCH LIST",IF(AF60&gt;=35,"AVOID","PASS")))))</f>
        <v/>
      </c>
      <c r="AH60" s="92" t="str">
        <f aca="false">IF(N60="","",IF(N60&lt;3,"FAIL","OK"))</f>
        <v/>
      </c>
      <c r="AI60" s="92" t="str">
        <f aca="false">IF(COUNT(D60:L60)=0,"",IF(COUNTIF(D60:L60,1)&gt;0,"REVIEW","OK"))</f>
        <v/>
      </c>
      <c r="AJ60" s="92" t="str">
        <f aca="false">IF(COUNT(D60:L60)=0,"",IF(COUNTIF(D60:L60,"&lt;=2")&gt;=2,"AVOID","OK"))</f>
        <v/>
      </c>
      <c r="AK60" s="92" t="str">
        <f aca="false">IF(COUNTA(E60:M60)=0,"",IF(COUNTIF(E60:M60,"L")&gt;=2,"CAP AT BUY","OK"))</f>
        <v/>
      </c>
      <c r="AL60" s="118"/>
      <c r="AM60" s="118"/>
      <c r="AN60" s="114"/>
      <c r="AO60" s="92"/>
      <c r="AP60" s="114" t="str">
        <f aca="false">IF(OR(AN60="",AO60=""),"",IF(AN60&gt;AO60,"OK","LOW CONF"))</f>
        <v/>
      </c>
      <c r="AQ60" s="114"/>
      <c r="AR60" s="92"/>
      <c r="AS60" s="124" t="str">
        <f aca="false">IF(OR(AQ60="",AR60=""),"",IF(AQ60&lt;AR60,"Decreased",IF(AQ60&gt;AR60,"Increased","Flat")))</f>
        <v/>
      </c>
    </row>
    <row r="61" customFormat="false" ht="13.5" hidden="false" customHeight="true" outlineLevel="0" collapsed="false">
      <c r="AM61" s="125"/>
    </row>
    <row r="62" customFormat="false" ht="15.75" hidden="false" customHeight="true" outlineLevel="0" collapsed="false">
      <c r="A62" s="126" t="n">
        <f aca="false">SUBTOTAL(103,A3:A60)</f>
        <v>30</v>
      </c>
      <c r="B62" s="103" t="s">
        <v>290</v>
      </c>
    </row>
    <row r="63" customFormat="false" ht="13.5" hidden="false" customHeight="true" outlineLevel="0" collapsed="false">
      <c r="A63" s="1"/>
      <c r="C63" s="127"/>
      <c r="D63" s="1"/>
      <c r="E63" s="1"/>
      <c r="F63" s="1"/>
      <c r="G63" s="1"/>
      <c r="H63" s="1"/>
      <c r="I63" s="1"/>
      <c r="J63" s="1"/>
      <c r="K63" s="1"/>
      <c r="L63" s="1"/>
      <c r="M63" s="1"/>
      <c r="R63" s="1"/>
      <c r="S63" s="1"/>
      <c r="T63" s="1"/>
      <c r="U63" s="1"/>
      <c r="V63" s="1"/>
      <c r="W63" s="1"/>
      <c r="Y63" s="1"/>
      <c r="Z63" s="1"/>
      <c r="AA63" s="1"/>
      <c r="AB63" s="1"/>
      <c r="AC63" s="1"/>
      <c r="AD63" s="1"/>
    </row>
    <row r="64" customFormat="false" ht="13.5" hidden="false" customHeight="true" outlineLevel="0" collapsed="false">
      <c r="A64" s="1"/>
      <c r="C64" s="127"/>
      <c r="D64" s="1"/>
      <c r="E64" s="1"/>
      <c r="F64" s="1"/>
      <c r="G64" s="1"/>
      <c r="H64" s="1"/>
      <c r="I64" s="1"/>
      <c r="J64" s="1"/>
      <c r="K64" s="1"/>
      <c r="L64" s="1"/>
      <c r="M64" s="1"/>
      <c r="R64" s="1"/>
      <c r="S64" s="1"/>
      <c r="T64" s="1"/>
      <c r="U64" s="1"/>
      <c r="V64" s="1"/>
      <c r="W64" s="1"/>
      <c r="Y64" s="1"/>
      <c r="Z64" s="1"/>
      <c r="AA64" s="1"/>
      <c r="AB64" s="1"/>
      <c r="AC64" s="1"/>
      <c r="AD64" s="1"/>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21">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21">
      <formula>"OK"</formula>
    </cfRule>
  </conditionalFormatting>
  <conditionalFormatting sqref="AI3:AI60">
    <cfRule type="cellIs" priority="11" operator="equal" aboveAverage="0" equalAverage="0" bottom="0" percent="0" rank="0" text="" dxfId="19">
      <formula>"REVIEW"</formula>
    </cfRule>
  </conditionalFormatting>
  <conditionalFormatting sqref="AK3:AK60">
    <cfRule type="cellIs" priority="12" operator="equal" aboveAverage="0" equalAverage="0" bottom="0" percent="0" rank="0" text="" dxfId="19">
      <formula>"CAP AT BUY"</formula>
    </cfRule>
  </conditionalFormatting>
  <conditionalFormatting sqref="N3:N60">
    <cfRule type="cellIs" priority="13" operator="greaterThanOrEqual" aboveAverage="0" equalAverage="0" bottom="0" percent="0" rank="0" text="" dxfId="21">
      <formula>3</formula>
    </cfRule>
  </conditionalFormatting>
  <conditionalFormatting sqref="AP3:AP60">
    <cfRule type="cellIs" priority="14" operator="equal" aboveAverage="0" equalAverage="0" bottom="0" percent="0" rank="0" text="" dxfId="19">
      <formula>"LOW CONF"</formula>
    </cfRule>
    <cfRule type="cellIs" priority="15" operator="equal" aboveAverage="0" equalAverage="0" bottom="0" percent="0" rank="0" text="" dxfId="21">
      <formula>"OK"</formula>
    </cfRule>
  </conditionalFormatting>
  <conditionalFormatting sqref="AS3:AS60">
    <cfRule type="cellIs" priority="16" operator="equal" aboveAverage="0" equalAverage="0" bottom="0" percent="0" rank="0" text="" dxfId="19">
      <formula>"Increased"</formula>
    </cfRule>
    <cfRule type="cellIs" priority="17" operator="equal" aboveAverage="0" equalAverage="0" bottom="0" percent="0" rank="0" text="" dxfId="21">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G17" activePane="bottomRight" state="frozen"/>
      <selection pane="topLeft" activeCell="A1" activeCellId="0" sqref="A1"/>
      <selection pane="topRight" activeCell="G1" activeCellId="0" sqref="G1"/>
      <selection pane="bottomLeft" activeCell="A17" activeCellId="0" sqref="A17"/>
      <selection pane="bottomRight" activeCell="R9" activeCellId="0" sqref="R9"/>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24.78"/>
    <col collapsed="false" customWidth="true" hidden="false" outlineLevel="0" max="3" min="3" style="23" width="9"/>
    <col collapsed="false" customWidth="false" hidden="false" outlineLevel="0" max="5" min="4" style="23" width="8.67"/>
    <col collapsed="false" customWidth="true" hidden="false" outlineLevel="0" max="6" min="6" style="23" width="12.44"/>
    <col collapsed="false" customWidth="true" hidden="false" outlineLevel="0" max="7" min="7" style="23" width="13.34"/>
    <col collapsed="false" customWidth="true" hidden="false" outlineLevel="0" max="8" min="8" style="1" width="11.11"/>
    <col collapsed="false" customWidth="true" hidden="true" outlineLevel="0" max="9" min="9" style="23" width="10.88"/>
    <col collapsed="false" customWidth="true" hidden="false" outlineLevel="0" max="10" min="10" style="23" width="9"/>
    <col collapsed="false" customWidth="true" hidden="false" outlineLevel="0" max="11" min="11" style="23" width="8.56"/>
    <col collapsed="false" customWidth="true" hidden="false" outlineLevel="0" max="12" min="12" style="23" width="7.76"/>
    <col collapsed="false" customWidth="true" hidden="false" outlineLevel="0" max="13" min="13" style="23" width="6.77"/>
    <col collapsed="false" customWidth="true" hidden="false" outlineLevel="0" max="14" min="14" style="23" width="8"/>
    <col collapsed="false" customWidth="true" hidden="false" outlineLevel="0" max="15" min="15" style="23" width="7.44"/>
    <col collapsed="false" customWidth="true" hidden="false" outlineLevel="0" max="16" min="16" style="23" width="10.56"/>
    <col collapsed="false" customWidth="true" hidden="false" outlineLevel="0" max="18" min="18" style="1" width="28"/>
    <col collapsed="false" customWidth="true" hidden="false" outlineLevel="0" max="19" min="19" style="1" width="12.76"/>
  </cols>
  <sheetData>
    <row r="1" customFormat="false" ht="15" hidden="false" customHeight="true" outlineLevel="0" collapsed="false">
      <c r="A1" s="128" t="s">
        <v>410</v>
      </c>
      <c r="B1" s="128"/>
      <c r="C1" s="129"/>
      <c r="D1" s="129"/>
      <c r="E1" s="129"/>
      <c r="F1" s="129"/>
      <c r="G1" s="129"/>
      <c r="H1" s="128"/>
      <c r="I1" s="129"/>
      <c r="J1" s="129"/>
      <c r="K1" s="129"/>
      <c r="L1" s="129"/>
      <c r="M1" s="129"/>
      <c r="N1" s="129"/>
      <c r="O1" s="129"/>
      <c r="P1" s="129"/>
      <c r="Q1" s="128"/>
      <c r="R1" s="128"/>
      <c r="S1" s="128"/>
    </row>
    <row r="2" customFormat="false" ht="68.25" hidden="false" customHeight="true" outlineLevel="0" collapsed="false">
      <c r="A2" s="130" t="s">
        <v>81</v>
      </c>
      <c r="B2" s="130" t="s">
        <v>280</v>
      </c>
      <c r="C2" s="130" t="s">
        <v>411</v>
      </c>
      <c r="D2" s="130" t="s">
        <v>412</v>
      </c>
      <c r="E2" s="130" t="s">
        <v>413</v>
      </c>
      <c r="F2" s="130" t="s">
        <v>414</v>
      </c>
      <c r="G2" s="130" t="s">
        <v>415</v>
      </c>
      <c r="H2" s="130" t="s">
        <v>416</v>
      </c>
      <c r="I2" s="130" t="s">
        <v>417</v>
      </c>
      <c r="J2" s="130" t="s">
        <v>418</v>
      </c>
      <c r="K2" s="130" t="s">
        <v>419</v>
      </c>
      <c r="L2" s="130" t="s">
        <v>420</v>
      </c>
      <c r="M2" s="130" t="s">
        <v>421</v>
      </c>
      <c r="N2" s="130" t="s">
        <v>422</v>
      </c>
      <c r="O2" s="130" t="s">
        <v>423</v>
      </c>
      <c r="P2" s="130" t="s">
        <v>424</v>
      </c>
      <c r="Q2" s="130" t="s">
        <v>425</v>
      </c>
      <c r="R2" s="130" t="s">
        <v>426</v>
      </c>
      <c r="S2" s="130" t="s">
        <v>427</v>
      </c>
    </row>
    <row r="3" customFormat="false" ht="15" hidden="false" customHeight="true" outlineLevel="0" collapsed="false">
      <c r="A3" s="131" t="str">
        <f aca="false">IF(Scoring!A3="","",Scoring!A3)</f>
        <v>MU</v>
      </c>
      <c r="B3" s="131" t="str">
        <f aca="false">IF(Scoring!B3="","",Scoring!B3)</f>
        <v>Micron Technology</v>
      </c>
      <c r="C3" s="132" t="str">
        <f aca="false">IF(Scoring!AG3="","",IF(OR(Scoring!AG3="STRONG BUY",Scoring!AG3="BUY"),"PASS","FAIL"))</f>
        <v>PASS</v>
      </c>
      <c r="D3" s="132" t="str">
        <f aca="false">IF(Scoring!AH3="","",IF(Scoring!AH3="OK","PASS","FAIL"))</f>
        <v>PASS</v>
      </c>
      <c r="E3" s="132" t="str">
        <f aca="false">IF(Scoring!AI3="","",IF(Scoring!AI3="OK","PASS","FAIL — mandatory review required"))</f>
        <v>PASS</v>
      </c>
      <c r="F3" s="132"/>
      <c r="G3" s="132"/>
      <c r="H3" s="131" t="str">
        <f aca="false">IF(OR(F3="",G3=""),"",IF(AND(F3="Y",G3="Y"),"Standard initial size","50% of normal initial size + 90-day technical review"))</f>
        <v/>
      </c>
      <c r="I3" s="132"/>
      <c r="J3" s="132"/>
      <c r="K3" s="132" t="str">
        <f aca="false">IF(I3="","",IF(I3="N","PASS",IF(J3="Y","PASS — risk documented in thesis","FAIL — undocumented binary risk")))</f>
        <v/>
      </c>
      <c r="L3" s="132" t="str">
        <f aca="false">IF('Implied-Return Calculator'!S4="","",'Implied-Return Calculator'!S4)</f>
        <v/>
      </c>
      <c r="M3" s="132" t="str">
        <f aca="false">IF('Implied-Return Calculator'!T4="","",'Implied-Return Calculator'!T4)</f>
        <v/>
      </c>
      <c r="N3" s="132" t="str">
        <f aca="false">IF('Implied-Return Calculator'!U4="","",'Implied-Return Calculator'!U4)</f>
        <v/>
      </c>
      <c r="O3" s="132"/>
      <c r="P3" s="132"/>
      <c r="Q3" s="131" t="str">
        <f aca="false">IF(OR(N3="",O3=""),"",IF(N3&lt;=50,"PASS — within ceiling",IF(AND(O3&gt;0.3,L3="PASS"),"PASS — growth+bear case exception met","FAIL — exceeds 50x, exception not met")))</f>
        <v/>
      </c>
      <c r="R3" s="131" t="str">
        <f aca="false">IF(OR(C3="",D3="",E3="",K3="",L3="",M3="",N3="",Q3=""),"",IF(AND(C3="PASS",D3="PASS",LEFT(E3,4)="PASS",LEFT(K3,4)="PASS",L3="PASS",M3="PASS",N3="OK",LEFT(Q3,4)="PASS"),"YES","NO — see failing rule(s)"))</f>
        <v/>
      </c>
      <c r="S3" s="131" t="str">
        <f aca="false">IF(R3="","",IF(R3="YES","Initiate: "&amp;H3,"DO NOT ENTER — resolve failing Entry Rule(s) above first"))</f>
        <v/>
      </c>
    </row>
    <row r="4" customFormat="false" ht="15" hidden="false" customHeight="true" outlineLevel="0" collapsed="false">
      <c r="A4" s="131" t="str">
        <f aca="false">IF(Scoring!A4="","",Scoring!A4)</f>
        <v>AVGO</v>
      </c>
      <c r="B4" s="131" t="str">
        <f aca="false">IF(Scoring!B4="","",Scoring!B4)</f>
        <v>Broadcom Inc.</v>
      </c>
      <c r="C4" s="132" t="str">
        <f aca="false">IF(Scoring!AG4="","",IF(OR(Scoring!AG4="STRONG BUY",Scoring!AG4="BUY"),"PASS","FAIL"))</f>
        <v>PASS</v>
      </c>
      <c r="D4" s="132" t="str">
        <f aca="false">IF(Scoring!AH4="","",IF(Scoring!AH4="OK","PASS","FAIL"))</f>
        <v>PASS</v>
      </c>
      <c r="E4" s="132" t="str">
        <f aca="false">IF(Scoring!AI4="","",IF(Scoring!AI4="OK","PASS","FAIL — mandatory review required"))</f>
        <v>PASS</v>
      </c>
      <c r="F4" s="132"/>
      <c r="G4" s="132"/>
      <c r="H4" s="131" t="str">
        <f aca="false">IF(OR(F4="",G4=""),"",IF(AND(F4="Y",G4="Y"),"Standard initial size","50% of normal initial size + 90-day technical review"))</f>
        <v/>
      </c>
      <c r="I4" s="132"/>
      <c r="J4" s="132"/>
      <c r="K4" s="132" t="str">
        <f aca="false">IF(I4="","",IF(I4="N","PASS",IF(J4="Y","PASS — risk documented in thesis","FAIL — undocumented binary risk")))</f>
        <v/>
      </c>
      <c r="L4" s="132" t="str">
        <f aca="false">IF('Implied-Return Calculator'!S5="","",'Implied-Return Calculator'!S5)</f>
        <v/>
      </c>
      <c r="M4" s="132" t="str">
        <f aca="false">IF('Implied-Return Calculator'!T5="","",'Implied-Return Calculator'!T5)</f>
        <v/>
      </c>
      <c r="N4" s="132" t="str">
        <f aca="false">IF('Implied-Return Calculator'!U5="","",'Implied-Return Calculator'!U5)</f>
        <v/>
      </c>
      <c r="O4" s="132"/>
      <c r="P4" s="132"/>
      <c r="Q4" s="131" t="str">
        <f aca="false">IF(OR(N4="",O4=""),"",IF(N4&lt;=50,"PASS — within ceiling",IF(AND(O4&gt;0.3,L4="PASS"),"PASS — growth+bear case exception met","FAIL — exceeds 50x, exception not met")))</f>
        <v/>
      </c>
      <c r="R4" s="131" t="str">
        <f aca="false">IF(OR(C4="",D4="",E4="",K4="",L4="",M4="",N4="",Q4=""),"",IF(AND(C4="PASS",D4="PASS",LEFT(E4,4)="PASS",LEFT(K4,4)="PASS",L4="PASS",M4="PASS",N4="OK",LEFT(Q4,4)="PASS"),"YES","NO — see failing rule(s)"))</f>
        <v/>
      </c>
      <c r="S4" s="131" t="str">
        <f aca="false">IF(R4="","",IF(R4="YES","Initiate: "&amp;H4,"DO NOT ENTER — resolve failing Entry Rule(s) above first"))</f>
        <v/>
      </c>
    </row>
    <row r="5" customFormat="false" ht="15" hidden="false" customHeight="true" outlineLevel="0" collapsed="false">
      <c r="A5" s="131" t="str">
        <f aca="false">IF(Scoring!A5="","",Scoring!A5)</f>
        <v>PLTR</v>
      </c>
      <c r="B5" s="131" t="str">
        <f aca="false">IF(Scoring!B5="","",Scoring!B5)</f>
        <v>Palantir Technologies</v>
      </c>
      <c r="C5" s="132" t="str">
        <f aca="false">IF(Scoring!AG5="","",IF(OR(Scoring!AG5="STRONG BUY",Scoring!AG5="BUY"),"PASS","FAIL"))</f>
        <v>PASS</v>
      </c>
      <c r="D5" s="132" t="str">
        <f aca="false">IF(Scoring!AH5="","",IF(Scoring!AH5="OK","PASS","FAIL"))</f>
        <v>PASS</v>
      </c>
      <c r="E5" s="132" t="str">
        <f aca="false">IF(Scoring!AI5="","",IF(Scoring!AI5="OK","PASS","FAIL — mandatory review required"))</f>
        <v>PASS</v>
      </c>
      <c r="F5" s="132"/>
      <c r="G5" s="132"/>
      <c r="H5" s="131" t="str">
        <f aca="false">IF(OR(F5="",G5=""),"",IF(AND(F5="Y",G5="Y"),"Standard initial size","50% of normal initial size + 90-day technical review"))</f>
        <v/>
      </c>
      <c r="I5" s="132"/>
      <c r="J5" s="132"/>
      <c r="K5" s="132" t="str">
        <f aca="false">IF(I5="","",IF(I5="N","PASS",IF(J5="Y","PASS — risk documented in thesis","FAIL — undocumented binary risk")))</f>
        <v/>
      </c>
      <c r="L5" s="132" t="str">
        <f aca="false">IF('Implied-Return Calculator'!S6="","",'Implied-Return Calculator'!S6)</f>
        <v/>
      </c>
      <c r="M5" s="132" t="str">
        <f aca="false">IF('Implied-Return Calculator'!T6="","",'Implied-Return Calculator'!T6)</f>
        <v/>
      </c>
      <c r="N5" s="132" t="str">
        <f aca="false">IF('Implied-Return Calculator'!U6="","",'Implied-Return Calculator'!U6)</f>
        <v/>
      </c>
      <c r="O5" s="132"/>
      <c r="P5" s="132"/>
      <c r="Q5" s="131" t="str">
        <f aca="false">IF(OR(N5="",O5=""),"",IF(N5&lt;=50,"PASS — within ceiling",IF(AND(O5&gt;0.3,L5="PASS"),"PASS — growth+bear case exception met","FAIL — exceeds 50x, exception not met")))</f>
        <v/>
      </c>
      <c r="R5" s="131" t="str">
        <f aca="false">IF(OR(C5="",D5="",E5="",K5="",L5="",M5="",N5="",Q5=""),"",IF(AND(C5="PASS",D5="PASS",LEFT(E5,4)="PASS",LEFT(K5,4)="PASS",L5="PASS",M5="PASS",N5="OK",LEFT(Q5,4)="PASS"),"YES","NO — see failing rule(s)"))</f>
        <v/>
      </c>
      <c r="S5" s="131" t="str">
        <f aca="false">IF(R5="","",IF(R5="YES","Initiate: "&amp;H5,"DO NOT ENTER — resolve failing Entry Rule(s) above first"))</f>
        <v/>
      </c>
    </row>
    <row r="6" customFormat="false" ht="15" hidden="false" customHeight="true" outlineLevel="0" collapsed="false">
      <c r="A6" s="131" t="str">
        <f aca="false">IF(Scoring!A6="","",Scoring!A6)</f>
        <v>NVDA</v>
      </c>
      <c r="B6" s="131" t="str">
        <f aca="false">IF(Scoring!B6="","",Scoring!B6)</f>
        <v>NVIDIA Corporation</v>
      </c>
      <c r="C6" s="132" t="str">
        <f aca="false">IF(Scoring!AG6="","",IF(OR(Scoring!AG6="STRONG BUY",Scoring!AG6="BUY"),"PASS","FAIL"))</f>
        <v>PASS</v>
      </c>
      <c r="D6" s="132" t="str">
        <f aca="false">IF(Scoring!AH6="","",IF(Scoring!AH6="OK","PASS","FAIL"))</f>
        <v>PASS</v>
      </c>
      <c r="E6" s="132" t="str">
        <f aca="false">IF(Scoring!AI6="","",IF(Scoring!AI6="OK","PASS","FAIL — mandatory review required"))</f>
        <v>PASS</v>
      </c>
      <c r="F6" s="132"/>
      <c r="G6" s="132"/>
      <c r="H6" s="131" t="str">
        <f aca="false">IF(OR(F6="",G6=""),"",IF(AND(F6="Y",G6="Y"),"Standard initial size","50% of normal initial size + 90-day technical review"))</f>
        <v/>
      </c>
      <c r="I6" s="132"/>
      <c r="J6" s="132"/>
      <c r="K6" s="132" t="str">
        <f aca="false">IF(I6="","",IF(I6="N","PASS",IF(J6="Y","PASS — risk documented in thesis","FAIL — undocumented binary risk")))</f>
        <v/>
      </c>
      <c r="L6" s="132" t="str">
        <f aca="false">IF('Implied-Return Calculator'!S7="","",'Implied-Return Calculator'!S7)</f>
        <v/>
      </c>
      <c r="M6" s="132" t="str">
        <f aca="false">IF('Implied-Return Calculator'!T7="","",'Implied-Return Calculator'!T7)</f>
        <v/>
      </c>
      <c r="N6" s="132" t="str">
        <f aca="false">IF('Implied-Return Calculator'!U7="","",'Implied-Return Calculator'!U7)</f>
        <v/>
      </c>
      <c r="O6" s="132"/>
      <c r="P6" s="132"/>
      <c r="Q6" s="131" t="str">
        <f aca="false">IF(OR(N6="",O6=""),"",IF(N6&lt;=50,"PASS — within ceiling",IF(AND(O6&gt;0.3,L6="PASS"),"PASS — growth+bear case exception met","FAIL — exceeds 50x, exception not met")))</f>
        <v/>
      </c>
      <c r="R6" s="131" t="str">
        <f aca="false">IF(OR(C6="",D6="",E6="",K6="",L6="",M6="",N6="",Q6=""),"",IF(AND(C6="PASS",D6="PASS",LEFT(E6,4)="PASS",LEFT(K6,4)="PASS",L6="PASS",M6="PASS",N6="OK",LEFT(Q6,4)="PASS"),"YES","NO — see failing rule(s)"))</f>
        <v/>
      </c>
      <c r="S6" s="131" t="str">
        <f aca="false">IF(R6="","",IF(R6="YES","Initiate: "&amp;H6,"DO NOT ENTER — resolve failing Entry Rule(s) above first"))</f>
        <v/>
      </c>
    </row>
    <row r="7" customFormat="false" ht="15" hidden="false" customHeight="true" outlineLevel="0" collapsed="false">
      <c r="A7" s="131" t="str">
        <f aca="false">IF(Scoring!A7="","",Scoring!A7)</f>
        <v>VRTX</v>
      </c>
      <c r="B7" s="131" t="str">
        <f aca="false">IF(Scoring!B7="","",Scoring!B7)</f>
        <v>Vertex Pharmaceuticals</v>
      </c>
      <c r="C7" s="132" t="str">
        <f aca="false">IF(Scoring!AG7="","",IF(OR(Scoring!AG7="STRONG BUY",Scoring!AG7="BUY"),"PASS","FAIL"))</f>
        <v>PASS</v>
      </c>
      <c r="D7" s="132" t="str">
        <f aca="false">IF(Scoring!AH7="","",IF(Scoring!AH7="OK","PASS","FAIL"))</f>
        <v>PASS</v>
      </c>
      <c r="E7" s="132" t="str">
        <f aca="false">IF(Scoring!AI7="","",IF(Scoring!AI7="OK","PASS","FAIL — mandatory review required"))</f>
        <v>PASS</v>
      </c>
      <c r="F7" s="132"/>
      <c r="G7" s="132"/>
      <c r="H7" s="131" t="str">
        <f aca="false">IF(OR(F7="",G7=""),"",IF(AND(F7="Y",G7="Y"),"Standard initial size","50% of normal initial size + 90-day technical review"))</f>
        <v/>
      </c>
      <c r="I7" s="132"/>
      <c r="J7" s="132"/>
      <c r="K7" s="132" t="str">
        <f aca="false">IF(I7="","",IF(I7="N","PASS",IF(J7="Y","PASS — risk documented in thesis","FAIL — undocumented binary risk")))</f>
        <v/>
      </c>
      <c r="L7" s="132" t="str">
        <f aca="false">IF('Implied-Return Calculator'!S8="","",'Implied-Return Calculator'!S8)</f>
        <v/>
      </c>
      <c r="M7" s="132" t="str">
        <f aca="false">IF('Implied-Return Calculator'!T8="","",'Implied-Return Calculator'!T8)</f>
        <v/>
      </c>
      <c r="N7" s="132" t="str">
        <f aca="false">IF('Implied-Return Calculator'!U8="","",'Implied-Return Calculator'!U8)</f>
        <v/>
      </c>
      <c r="O7" s="132"/>
      <c r="P7" s="132"/>
      <c r="Q7" s="131" t="str">
        <f aca="false">IF(OR(N7="",O7=""),"",IF(N7&lt;=50,"PASS — within ceiling",IF(AND(O7&gt;0.3,L7="PASS"),"PASS — growth+bear case exception met","FAIL — exceeds 50x, exception not met")))</f>
        <v/>
      </c>
      <c r="R7" s="131" t="str">
        <f aca="false">IF(OR(C7="",D7="",E7="",K7="",L7="",M7="",N7="",Q7=""),"",IF(AND(C7="PASS",D7="PASS",LEFT(E7,4)="PASS",LEFT(K7,4)="PASS",L7="PASS",M7="PASS",N7="OK",LEFT(Q7,4)="PASS"),"YES","NO — see failing rule(s)"))</f>
        <v/>
      </c>
      <c r="S7" s="131" t="str">
        <f aca="false">IF(R7="","",IF(R7="YES","Initiate: "&amp;H7,"DO NOT ENTER — resolve failing Entry Rule(s) above first"))</f>
        <v/>
      </c>
    </row>
    <row r="8" customFormat="false" ht="15" hidden="false" customHeight="true" outlineLevel="0" collapsed="false">
      <c r="A8" s="131" t="str">
        <f aca="false">IF(Scoring!A8="","",Scoring!A8)</f>
        <v>PLD</v>
      </c>
      <c r="B8" s="131" t="str">
        <f aca="false">IF(Scoring!B8="","",Scoring!B8)</f>
        <v>Prologis Inc. (REIT-adapted)</v>
      </c>
      <c r="C8" s="132" t="str">
        <f aca="false">IF(Scoring!AG8="","",IF(OR(Scoring!AG8="STRONG BUY",Scoring!AG8="BUY"),"PASS","FAIL"))</f>
        <v>PASS</v>
      </c>
      <c r="D8" s="132" t="str">
        <f aca="false">IF(Scoring!AH8="","",IF(Scoring!AH8="OK","PASS","FAIL"))</f>
        <v>PASS</v>
      </c>
      <c r="E8" s="132" t="str">
        <f aca="false">IF(Scoring!AI8="","",IF(Scoring!AI8="OK","PASS","FAIL — mandatory review required"))</f>
        <v>PASS</v>
      </c>
      <c r="F8" s="132"/>
      <c r="G8" s="132"/>
      <c r="H8" s="131" t="str">
        <f aca="false">IF(OR(F8="",G8=""),"",IF(AND(F8="Y",G8="Y"),"Standard initial size","50% of normal initial size + 90-day technical review"))</f>
        <v/>
      </c>
      <c r="I8" s="132"/>
      <c r="J8" s="132"/>
      <c r="K8" s="132" t="str">
        <f aca="false">IF(I8="","",IF(I8="N","PASS",IF(J8="Y","PASS — risk documented in thesis","FAIL — undocumented binary risk")))</f>
        <v/>
      </c>
      <c r="L8" s="132" t="str">
        <f aca="false">IF('Implied-Return Calculator'!S9="","",'Implied-Return Calculator'!S9)</f>
        <v/>
      </c>
      <c r="M8" s="132" t="str">
        <f aca="false">IF('Implied-Return Calculator'!T9="","",'Implied-Return Calculator'!T9)</f>
        <v/>
      </c>
      <c r="N8" s="132" t="str">
        <f aca="false">IF('Implied-Return Calculator'!U9="","",'Implied-Return Calculator'!U9)</f>
        <v/>
      </c>
      <c r="O8" s="132"/>
      <c r="P8" s="132"/>
      <c r="Q8" s="131" t="str">
        <f aca="false">IF(OR(N8="",O8=""),"",IF(N8&lt;=50,"PASS — within ceiling",IF(AND(O8&gt;0.3,L8="PASS"),"PASS — growth+bear case exception met","FAIL — exceeds 50x, exception not met")))</f>
        <v/>
      </c>
      <c r="R8" s="131" t="str">
        <f aca="false">IF(OR(C8="",D8="",E8="",K8="",L8="",M8="",N8="",Q8=""),"",IF(AND(C8="PASS",D8="PASS",LEFT(E8,4)="PASS",LEFT(K8,4)="PASS",L8="PASS",M8="PASS",N8="OK",LEFT(Q8,4)="PASS"),"YES","NO — see failing rule(s)"))</f>
        <v/>
      </c>
      <c r="S8" s="131" t="str">
        <f aca="false">IF(R8="","",IF(R8="YES","Initiate: "&amp;H8,"DO NOT ENTER — resolve failing Entry Rule(s) above first"))</f>
        <v/>
      </c>
    </row>
    <row r="9" customFormat="false" ht="15" hidden="false" customHeight="true" outlineLevel="0" collapsed="false">
      <c r="A9" s="131" t="str">
        <f aca="false">IF(Scoring!A9="","",Scoring!A9)</f>
        <v>SFM</v>
      </c>
      <c r="B9" s="131" t="str">
        <f aca="false">IF(Scoring!B9="","",Scoring!B9)</f>
        <v>Sprouts Farmers Market</v>
      </c>
      <c r="C9" s="132" t="str">
        <f aca="false">IF(Scoring!AG9="","",IF(OR(Scoring!AG9="STRONG BUY",Scoring!AG9="BUY"),"PASS","FAIL"))</f>
        <v/>
      </c>
      <c r="D9" s="132" t="str">
        <f aca="false">IF(Scoring!AH9="","",IF(Scoring!AH9="OK","PASS","FAIL"))</f>
        <v>FAIL</v>
      </c>
      <c r="E9" s="132" t="str">
        <f aca="false">IF(Scoring!AI9="","",IF(Scoring!AI9="OK","PASS","FAIL — mandatory review required"))</f>
        <v>FAIL — mandatory review required</v>
      </c>
      <c r="F9" s="132"/>
      <c r="G9" s="132"/>
      <c r="H9" s="131" t="str">
        <f aca="false">IF(OR(F9="",G9=""),"",IF(AND(F9="Y",G9="Y"),"Standard initial size","50% of normal initial size + 90-day technical review"))</f>
        <v/>
      </c>
      <c r="I9" s="132"/>
      <c r="J9" s="132"/>
      <c r="K9" s="132" t="str">
        <f aca="false">IF(I9="","",IF(I9="N","PASS",IF(J9="Y","PASS — risk documented in thesis","FAIL — undocumented binary risk")))</f>
        <v/>
      </c>
      <c r="L9" s="132" t="str">
        <f aca="false">IF('Implied-Return Calculator'!S10="","",'Implied-Return Calculator'!S10)</f>
        <v/>
      </c>
      <c r="M9" s="132" t="str">
        <f aca="false">IF('Implied-Return Calculator'!T10="","",'Implied-Return Calculator'!T10)</f>
        <v/>
      </c>
      <c r="N9" s="132" t="str">
        <f aca="false">IF('Implied-Return Calculator'!U10="","",'Implied-Return Calculator'!U10)</f>
        <v/>
      </c>
      <c r="O9" s="132"/>
      <c r="P9" s="132"/>
      <c r="Q9" s="131" t="str">
        <f aca="false">IF(OR(N9="",O9=""),"",IF(N9&lt;=50,"PASS — within ceiling",IF(AND(O9&gt;0.3,L9="PASS"),"PASS — growth+bear case exception met","FAIL — exceeds 50x, exception not met")))</f>
        <v/>
      </c>
      <c r="R9" s="131" t="str">
        <f aca="false">IF(OR(C9="",D9="",E9="",K9="",L9="",M9="",N9="",Q9=""),"",IF(AND(C9="PASS",D9="PASS",LEFT(E9,4)="PASS",LEFT(K9,4)="PASS",L9="PASS",M9="PASS",N9="OK",LEFT(Q9,4)="PASS"),"YES","NO — see failing rule(s)"))</f>
        <v/>
      </c>
      <c r="S9" s="131" t="str">
        <f aca="false">IF(R9="","",IF(R9="YES","Initiate: "&amp;H9,"DO NOT ENTER — resolve failing Entry Rule(s) above first"))</f>
        <v/>
      </c>
    </row>
    <row r="10" customFormat="false" ht="15" hidden="false" customHeight="true" outlineLevel="0" collapsed="false">
      <c r="A10" s="131" t="str">
        <f aca="false">IF(Scoring!A10="","",Scoring!A10)</f>
        <v>ONON</v>
      </c>
      <c r="B10" s="131" t="str">
        <f aca="false">IF(Scoring!B10="","",Scoring!B10)</f>
        <v>On Holding AG</v>
      </c>
      <c r="C10" s="132" t="str">
        <f aca="false">IF(Scoring!AG10="","",IF(OR(Scoring!AG10="STRONG BUY",Scoring!AG10="BUY"),"PASS","FAIL"))</f>
        <v/>
      </c>
      <c r="D10" s="132" t="str">
        <f aca="false">IF(Scoring!AH10="","",IF(Scoring!AH10="OK","PASS","FAIL"))</f>
        <v>FAIL</v>
      </c>
      <c r="E10" s="132" t="str">
        <f aca="false">IF(Scoring!AI10="","",IF(Scoring!AI10="OK","PASS","FAIL — mandatory review required"))</f>
        <v>PASS</v>
      </c>
      <c r="F10" s="132"/>
      <c r="G10" s="132"/>
      <c r="H10" s="131" t="str">
        <f aca="false">IF(OR(F10="",G10=""),"",IF(AND(F10="Y",G10="Y"),"Standard initial size","50% of normal initial size + 90-day technical review"))</f>
        <v/>
      </c>
      <c r="I10" s="132"/>
      <c r="J10" s="132"/>
      <c r="K10" s="132" t="str">
        <f aca="false">IF(I10="","",IF(I10="N","PASS",IF(J10="Y","PASS — risk documented in thesis","FAIL — undocumented binary risk")))</f>
        <v/>
      </c>
      <c r="L10" s="132" t="str">
        <f aca="false">IF('Implied-Return Calculator'!S11="","",'Implied-Return Calculator'!S11)</f>
        <v/>
      </c>
      <c r="M10" s="132" t="str">
        <f aca="false">IF('Implied-Return Calculator'!T11="","",'Implied-Return Calculator'!T11)</f>
        <v/>
      </c>
      <c r="N10" s="132" t="str">
        <f aca="false">IF('Implied-Return Calculator'!U11="","",'Implied-Return Calculator'!U11)</f>
        <v/>
      </c>
      <c r="O10" s="132"/>
      <c r="P10" s="132"/>
      <c r="Q10" s="131" t="str">
        <f aca="false">IF(OR(N10="",O10=""),"",IF(N10&lt;=50,"PASS — within ceiling",IF(AND(O10&gt;0.3,L10="PASS"),"PASS — growth+bear case exception met","FAIL — exceeds 50x, exception not met")))</f>
        <v/>
      </c>
      <c r="R10" s="131" t="str">
        <f aca="false">IF(OR(C10="",D10="",E10="",K10="",L10="",M10="",N10="",Q10=""),"",IF(AND(C10="PASS",D10="PASS",LEFT(E10,4)="PASS",LEFT(K10,4)="PASS",L10="PASS",M10="PASS",N10="OK",LEFT(Q10,4)="PASS"),"YES","NO — see failing rule(s)"))</f>
        <v/>
      </c>
      <c r="S10" s="131" t="str">
        <f aca="false">IF(R10="","",IF(R10="YES","Initiate: "&amp;H10,"DO NOT ENTER — resolve failing Entry Rule(s) above first"))</f>
        <v/>
      </c>
    </row>
    <row r="11" customFormat="false" ht="15" hidden="false" customHeight="true" outlineLevel="0" collapsed="false">
      <c r="A11" s="131" t="str">
        <f aca="false">IF(Scoring!A11="","",Scoring!A11)</f>
        <v>TSLA</v>
      </c>
      <c r="B11" s="131" t="str">
        <f aca="false">IF(Scoring!B11="","",Scoring!B11)</f>
        <v>Tesla Inc.</v>
      </c>
      <c r="C11" s="132" t="str">
        <f aca="false">IF(Scoring!AG11="","",IF(OR(Scoring!AG11="STRONG BUY",Scoring!AG11="BUY"),"PASS","FAIL"))</f>
        <v/>
      </c>
      <c r="D11" s="132" t="str">
        <f aca="false">IF(Scoring!AH11="","",IF(Scoring!AH11="OK","PASS","FAIL"))</f>
        <v>FAIL</v>
      </c>
      <c r="E11" s="132" t="str">
        <f aca="false">IF(Scoring!AI11="","",IF(Scoring!AI11="OK","PASS","FAIL — mandatory review required"))</f>
        <v>FAIL — mandatory review required</v>
      </c>
      <c r="F11" s="132"/>
      <c r="G11" s="132"/>
      <c r="H11" s="131" t="str">
        <f aca="false">IF(OR(F11="",G11=""),"",IF(AND(F11="Y",G11="Y"),"Standard initial size","50% of normal initial size + 90-day technical review"))</f>
        <v/>
      </c>
      <c r="I11" s="132"/>
      <c r="J11" s="132"/>
      <c r="K11" s="132" t="str">
        <f aca="false">IF(I11="","",IF(I11="N","PASS",IF(J11="Y","PASS — risk documented in thesis","FAIL — undocumented binary risk")))</f>
        <v/>
      </c>
      <c r="L11" s="132" t="str">
        <f aca="false">IF('Implied-Return Calculator'!S12="","",'Implied-Return Calculator'!S12)</f>
        <v/>
      </c>
      <c r="M11" s="132" t="str">
        <f aca="false">IF('Implied-Return Calculator'!T12="","",'Implied-Return Calculator'!T12)</f>
        <v/>
      </c>
      <c r="N11" s="132" t="str">
        <f aca="false">IF('Implied-Return Calculator'!U12="","",'Implied-Return Calculator'!U12)</f>
        <v/>
      </c>
      <c r="O11" s="132"/>
      <c r="P11" s="132"/>
      <c r="Q11" s="131" t="str">
        <f aca="false">IF(OR(N11="",O11=""),"",IF(N11&lt;=50,"PASS — within ceiling",IF(AND(O11&gt;0.3,L11="PASS"),"PASS — growth+bear case exception met","FAIL — exceeds 50x, exception not met")))</f>
        <v/>
      </c>
      <c r="R11" s="131" t="str">
        <f aca="false">IF(OR(C11="",D11="",E11="",K11="",L11="",M11="",N11="",Q11=""),"",IF(AND(C11="PASS",D11="PASS",LEFT(E11,4)="PASS",LEFT(K11,4)="PASS",L11="PASS",M11="PASS",N11="OK",LEFT(Q11,4)="PASS"),"YES","NO — see failing rule(s)"))</f>
        <v/>
      </c>
      <c r="S11" s="131" t="str">
        <f aca="false">IF(R11="","",IF(R11="YES","Initiate: "&amp;H11,"DO NOT ENTER — resolve failing Entry Rule(s) above first"))</f>
        <v/>
      </c>
    </row>
    <row r="12" customFormat="false" ht="15" hidden="false" customHeight="true" outlineLevel="0" collapsed="false">
      <c r="A12" s="131" t="str">
        <f aca="false">IF(Scoring!A12="","",Scoring!A12)</f>
        <v>ADBE</v>
      </c>
      <c r="B12" s="131" t="str">
        <f aca="false">IF(Scoring!B12="","",Scoring!B12)</f>
        <v>Adobe Inc.</v>
      </c>
      <c r="C12" s="132" t="str">
        <f aca="false">IF(Scoring!AG12="","",IF(OR(Scoring!AG12="STRONG BUY",Scoring!AG12="BUY"),"PASS","FAIL"))</f>
        <v>PASS</v>
      </c>
      <c r="D12" s="132" t="str">
        <f aca="false">IF(Scoring!AH12="","",IF(Scoring!AH12="OK","PASS","FAIL"))</f>
        <v>PASS</v>
      </c>
      <c r="E12" s="132" t="str">
        <f aca="false">IF(Scoring!AI12="","",IF(Scoring!AI12="OK","PASS","FAIL — mandatory review required"))</f>
        <v>PASS</v>
      </c>
      <c r="F12" s="132"/>
      <c r="G12" s="132"/>
      <c r="H12" s="131" t="str">
        <f aca="false">IF(OR(F12="",G12=""),"",IF(AND(F12="Y",G12="Y"),"Standard initial size","50% of normal initial size + 90-day technical review"))</f>
        <v/>
      </c>
      <c r="I12" s="132"/>
      <c r="J12" s="132"/>
      <c r="K12" s="132" t="str">
        <f aca="false">IF(I12="","",IF(I12="N","PASS",IF(J12="Y","PASS — risk documented in thesis","FAIL — undocumented binary risk")))</f>
        <v/>
      </c>
      <c r="L12" s="132" t="str">
        <f aca="false">IF('Implied-Return Calculator'!S13="","",'Implied-Return Calculator'!S13)</f>
        <v/>
      </c>
      <c r="M12" s="132" t="str">
        <f aca="false">IF('Implied-Return Calculator'!T13="","",'Implied-Return Calculator'!T13)</f>
        <v/>
      </c>
      <c r="N12" s="132" t="str">
        <f aca="false">IF('Implied-Return Calculator'!U13="","",'Implied-Return Calculator'!U13)</f>
        <v/>
      </c>
      <c r="O12" s="132"/>
      <c r="P12" s="132"/>
      <c r="Q12" s="131" t="str">
        <f aca="false">IF(OR(N12="",O12=""),"",IF(N12&lt;=50,"PASS — within ceiling",IF(AND(O12&gt;0.3,L12="PASS"),"PASS — growth+bear case exception met","FAIL — exceeds 50x, exception not met")))</f>
        <v/>
      </c>
      <c r="R12" s="131" t="str">
        <f aca="false">IF(OR(C12="",D12="",E12="",K12="",L12="",M12="",N12="",Q12=""),"",IF(AND(C12="PASS",D12="PASS",LEFT(E12,4)="PASS",LEFT(K12,4)="PASS",L12="PASS",M12="PASS",N12="OK",LEFT(Q12,4)="PASS"),"YES","NO — see failing rule(s)"))</f>
        <v/>
      </c>
      <c r="S12" s="131" t="str">
        <f aca="false">IF(R12="","",IF(R12="YES","Initiate: "&amp;H12,"DO NOT ENTER — resolve failing Entry Rule(s) above first"))</f>
        <v/>
      </c>
    </row>
    <row r="13" customFormat="false" ht="15" hidden="false" customHeight="true" outlineLevel="0" collapsed="false">
      <c r="A13" s="131" t="str">
        <f aca="false">IF(Scoring!A13="","",Scoring!A13)</f>
        <v>ANET</v>
      </c>
      <c r="B13" s="131" t="str">
        <f aca="false">IF(Scoring!B13="","",Scoring!B13)</f>
        <v>Arista Networks</v>
      </c>
      <c r="C13" s="132" t="str">
        <f aca="false">IF(Scoring!AG13="","",IF(OR(Scoring!AG13="STRONG BUY",Scoring!AG13="BUY"),"PASS","FAIL"))</f>
        <v>PASS</v>
      </c>
      <c r="D13" s="132" t="str">
        <f aca="false">IF(Scoring!AH13="","",IF(Scoring!AH13="OK","PASS","FAIL"))</f>
        <v>PASS</v>
      </c>
      <c r="E13" s="132" t="str">
        <f aca="false">IF(Scoring!AI13="","",IF(Scoring!AI13="OK","PASS","FAIL — mandatory review required"))</f>
        <v>PASS</v>
      </c>
      <c r="F13" s="132"/>
      <c r="G13" s="132"/>
      <c r="H13" s="131" t="str">
        <f aca="false">IF(OR(F13="",G13=""),"",IF(AND(F13="Y",G13="Y"),"Standard initial size","50% of normal initial size + 90-day technical review"))</f>
        <v/>
      </c>
      <c r="I13" s="132"/>
      <c r="J13" s="132"/>
      <c r="K13" s="132" t="str">
        <f aca="false">IF(I13="","",IF(I13="N","PASS",IF(J13="Y","PASS — risk documented in thesis","FAIL — undocumented binary risk")))</f>
        <v/>
      </c>
      <c r="L13" s="132" t="str">
        <f aca="false">IF('Implied-Return Calculator'!S14="","",'Implied-Return Calculator'!S14)</f>
        <v/>
      </c>
      <c r="M13" s="132" t="str">
        <f aca="false">IF('Implied-Return Calculator'!T14="","",'Implied-Return Calculator'!T14)</f>
        <v/>
      </c>
      <c r="N13" s="132" t="str">
        <f aca="false">IF('Implied-Return Calculator'!U14="","",'Implied-Return Calculator'!U14)</f>
        <v/>
      </c>
      <c r="O13" s="132"/>
      <c r="P13" s="132"/>
      <c r="Q13" s="131" t="str">
        <f aca="false">IF(OR(N13="",O13=""),"",IF(N13&lt;=50,"PASS — within ceiling",IF(AND(O13&gt;0.3,L13="PASS"),"PASS — growth+bear case exception met","FAIL — exceeds 50x, exception not met")))</f>
        <v/>
      </c>
      <c r="R13" s="131" t="str">
        <f aca="false">IF(OR(C13="",D13="",E13="",K13="",L13="",M13="",N13="",Q13=""),"",IF(AND(C13="PASS",D13="PASS",LEFT(E13,4)="PASS",LEFT(K13,4)="PASS",L13="PASS",M13="PASS",N13="OK",LEFT(Q13,4)="PASS"),"YES","NO — see failing rule(s)"))</f>
        <v/>
      </c>
      <c r="S13" s="131" t="str">
        <f aca="false">IF(R13="","",IF(R13="YES","Initiate: "&amp;H13,"DO NOT ENTER — resolve failing Entry Rule(s) above first"))</f>
        <v/>
      </c>
    </row>
    <row r="14" customFormat="false" ht="15" hidden="false" customHeight="true" outlineLevel="0" collapsed="false">
      <c r="A14" s="131" t="str">
        <f aca="false">IF(Scoring!A14="","",Scoring!A14)</f>
        <v>ASML</v>
      </c>
      <c r="B14" s="131" t="str">
        <f aca="false">IF(Scoring!B14="","",Scoring!B14)</f>
        <v>ASML Holding</v>
      </c>
      <c r="C14" s="132" t="str">
        <f aca="false">IF(Scoring!AG14="","",IF(OR(Scoring!AG14="STRONG BUY",Scoring!AG14="BUY"),"PASS","FAIL"))</f>
        <v>PASS</v>
      </c>
      <c r="D14" s="132" t="str">
        <f aca="false">IF(Scoring!AH14="","",IF(Scoring!AH14="OK","PASS","FAIL"))</f>
        <v>PASS</v>
      </c>
      <c r="E14" s="132" t="str">
        <f aca="false">IF(Scoring!AI14="","",IF(Scoring!AI14="OK","PASS","FAIL — mandatory review required"))</f>
        <v>PASS</v>
      </c>
      <c r="F14" s="132"/>
      <c r="G14" s="132"/>
      <c r="H14" s="131" t="str">
        <f aca="false">IF(OR(F14="",G14=""),"",IF(AND(F14="Y",G14="Y"),"Standard initial size","50% of normal initial size + 90-day technical review"))</f>
        <v/>
      </c>
      <c r="I14" s="132"/>
      <c r="J14" s="132"/>
      <c r="K14" s="132" t="str">
        <f aca="false">IF(I14="","",IF(I14="N","PASS",IF(J14="Y","PASS — risk documented in thesis","FAIL — undocumented binary risk")))</f>
        <v/>
      </c>
      <c r="L14" s="132" t="str">
        <f aca="false">IF('Implied-Return Calculator'!S15="","",'Implied-Return Calculator'!S15)</f>
        <v/>
      </c>
      <c r="M14" s="132" t="str">
        <f aca="false">IF('Implied-Return Calculator'!T15="","",'Implied-Return Calculator'!T15)</f>
        <v/>
      </c>
      <c r="N14" s="132" t="str">
        <f aca="false">IF('Implied-Return Calculator'!U15="","",'Implied-Return Calculator'!U15)</f>
        <v/>
      </c>
      <c r="O14" s="132"/>
      <c r="P14" s="132"/>
      <c r="Q14" s="131" t="str">
        <f aca="false">IF(OR(N14="",O14=""),"",IF(N14&lt;=50,"PASS — within ceiling",IF(AND(O14&gt;0.3,L14="PASS"),"PASS — growth+bear case exception met","FAIL — exceeds 50x, exception not met")))</f>
        <v/>
      </c>
      <c r="R14" s="131" t="str">
        <f aca="false">IF(OR(C14="",D14="",E14="",K14="",L14="",M14="",N14="",Q14=""),"",IF(AND(C14="PASS",D14="PASS",LEFT(E14,4)="PASS",LEFT(K14,4)="PASS",L14="PASS",M14="PASS",N14="OK",LEFT(Q14,4)="PASS"),"YES","NO — see failing rule(s)"))</f>
        <v/>
      </c>
      <c r="S14" s="131" t="str">
        <f aca="false">IF(R14="","",IF(R14="YES","Initiate: "&amp;H14,"DO NOT ENTER — resolve failing Entry Rule(s) above first"))</f>
        <v/>
      </c>
    </row>
    <row r="15" customFormat="false" ht="15" hidden="false" customHeight="true" outlineLevel="0" collapsed="false">
      <c r="A15" s="131" t="str">
        <f aca="false">IF(Scoring!A15="","",Scoring!A15)</f>
        <v>CRWD</v>
      </c>
      <c r="B15" s="131" t="str">
        <f aca="false">IF(Scoring!B15="","",Scoring!B15)</f>
        <v>CrowdStrike Holdings</v>
      </c>
      <c r="C15" s="132" t="str">
        <f aca="false">IF(Scoring!AG15="","",IF(OR(Scoring!AG15="STRONG BUY",Scoring!AG15="BUY"),"PASS","FAIL"))</f>
        <v>FAIL</v>
      </c>
      <c r="D15" s="132" t="str">
        <f aca="false">IF(Scoring!AH15="","",IF(Scoring!AH15="OK","PASS","FAIL"))</f>
        <v>PASS</v>
      </c>
      <c r="E15" s="132" t="str">
        <f aca="false">IF(Scoring!AI15="","",IF(Scoring!AI15="OK","PASS","FAIL — mandatory review required"))</f>
        <v>PASS</v>
      </c>
      <c r="F15" s="132"/>
      <c r="G15" s="132"/>
      <c r="H15" s="131" t="str">
        <f aca="false">IF(OR(F15="",G15=""),"",IF(AND(F15="Y",G15="Y"),"Standard initial size","50% of normal initial size + 90-day technical review"))</f>
        <v/>
      </c>
      <c r="I15" s="132"/>
      <c r="J15" s="132"/>
      <c r="K15" s="132" t="str">
        <f aca="false">IF(I15="","",IF(I15="N","PASS",IF(J15="Y","PASS — risk documented in thesis","FAIL — undocumented binary risk")))</f>
        <v/>
      </c>
      <c r="L15" s="132" t="str">
        <f aca="false">IF('Implied-Return Calculator'!S16="","",'Implied-Return Calculator'!S16)</f>
        <v/>
      </c>
      <c r="M15" s="132" t="str">
        <f aca="false">IF('Implied-Return Calculator'!T16="","",'Implied-Return Calculator'!T16)</f>
        <v/>
      </c>
      <c r="N15" s="132" t="str">
        <f aca="false">IF('Implied-Return Calculator'!U16="","",'Implied-Return Calculator'!U16)</f>
        <v/>
      </c>
      <c r="O15" s="132"/>
      <c r="P15" s="132"/>
      <c r="Q15" s="131" t="str">
        <f aca="false">IF(OR(N15="",O15=""),"",IF(N15&lt;=50,"PASS — within ceiling",IF(AND(O15&gt;0.3,L15="PASS"),"PASS — growth+bear case exception met","FAIL — exceeds 50x, exception not met")))</f>
        <v/>
      </c>
      <c r="R15" s="131" t="str">
        <f aca="false">IF(OR(C15="",D15="",E15="",K15="",L15="",M15="",N15="",Q15=""),"",IF(AND(C15="PASS",D15="PASS",LEFT(E15,4)="PASS",LEFT(K15,4)="PASS",L15="PASS",M15="PASS",N15="OK",LEFT(Q15,4)="PASS"),"YES","NO — see failing rule(s)"))</f>
        <v/>
      </c>
      <c r="S15" s="131" t="str">
        <f aca="false">IF(R15="","",IF(R15="YES","Initiate: "&amp;H15,"DO NOT ENTER — resolve failing Entry Rule(s) above first"))</f>
        <v/>
      </c>
    </row>
    <row r="16" customFormat="false" ht="15" hidden="false" customHeight="true" outlineLevel="0" collapsed="false">
      <c r="A16" s="131" t="str">
        <f aca="false">IF(Scoring!A16="","",Scoring!A16)</f>
        <v>KLAC</v>
      </c>
      <c r="B16" s="131" t="str">
        <f aca="false">IF(Scoring!B16="","",Scoring!B16)</f>
        <v>KLA Corporation</v>
      </c>
      <c r="C16" s="132" t="str">
        <f aca="false">IF(Scoring!AG16="","",IF(OR(Scoring!AG16="STRONG BUY",Scoring!AG16="BUY"),"PASS","FAIL"))</f>
        <v>PASS</v>
      </c>
      <c r="D16" s="132" t="str">
        <f aca="false">IF(Scoring!AH16="","",IF(Scoring!AH16="OK","PASS","FAIL"))</f>
        <v>PASS</v>
      </c>
      <c r="E16" s="132" t="str">
        <f aca="false">IF(Scoring!AI16="","",IF(Scoring!AI16="OK","PASS","FAIL — mandatory review required"))</f>
        <v>PASS</v>
      </c>
      <c r="F16" s="132"/>
      <c r="G16" s="132"/>
      <c r="H16" s="131" t="str">
        <f aca="false">IF(OR(F16="",G16=""),"",IF(AND(F16="Y",G16="Y"),"Standard initial size","50% of normal initial size + 90-day technical review"))</f>
        <v/>
      </c>
      <c r="I16" s="132"/>
      <c r="J16" s="132"/>
      <c r="K16" s="132" t="str">
        <f aca="false">IF(I16="","",IF(I16="N","PASS",IF(J16="Y","PASS — risk documented in thesis","FAIL — undocumented binary risk")))</f>
        <v/>
      </c>
      <c r="L16" s="132" t="str">
        <f aca="false">IF('Implied-Return Calculator'!S17="","",'Implied-Return Calculator'!S17)</f>
        <v/>
      </c>
      <c r="M16" s="132" t="str">
        <f aca="false">IF('Implied-Return Calculator'!T17="","",'Implied-Return Calculator'!T17)</f>
        <v/>
      </c>
      <c r="N16" s="132" t="str">
        <f aca="false">IF('Implied-Return Calculator'!U17="","",'Implied-Return Calculator'!U17)</f>
        <v/>
      </c>
      <c r="O16" s="132"/>
      <c r="P16" s="132"/>
      <c r="Q16" s="131" t="str">
        <f aca="false">IF(OR(N16="",O16=""),"",IF(N16&lt;=50,"PASS — within ceiling",IF(AND(O16&gt;0.3,L16="PASS"),"PASS — growth+bear case exception met","FAIL — exceeds 50x, exception not met")))</f>
        <v/>
      </c>
      <c r="R16" s="131" t="str">
        <f aca="false">IF(OR(C16="",D16="",E16="",K16="",L16="",M16="",N16="",Q16=""),"",IF(AND(C16="PASS",D16="PASS",LEFT(E16,4)="PASS",LEFT(K16,4)="PASS",L16="PASS",M16="PASS",N16="OK",LEFT(Q16,4)="PASS"),"YES","NO — see failing rule(s)"))</f>
        <v/>
      </c>
      <c r="S16" s="131" t="str">
        <f aca="false">IF(R16="","",IF(R16="YES","Initiate: "&amp;H16,"DO NOT ENTER — resolve failing Entry Rule(s) above first"))</f>
        <v/>
      </c>
    </row>
    <row r="17" customFormat="false" ht="15" hidden="false" customHeight="true" outlineLevel="0" collapsed="false">
      <c r="A17" s="131" t="str">
        <f aca="false">IF(Scoring!A17="","",Scoring!A17)</f>
        <v>TSM</v>
      </c>
      <c r="B17" s="131" t="str">
        <f aca="false">IF(Scoring!B17="","",Scoring!B17)</f>
        <v>Taiwan Semiconductor Mfg.</v>
      </c>
      <c r="C17" s="132" t="str">
        <f aca="false">IF(Scoring!AG17="","",IF(OR(Scoring!AG17="STRONG BUY",Scoring!AG17="BUY"),"PASS","FAIL"))</f>
        <v>PASS</v>
      </c>
      <c r="D17" s="132" t="str">
        <f aca="false">IF(Scoring!AH17="","",IF(Scoring!AH17="OK","PASS","FAIL"))</f>
        <v>PASS</v>
      </c>
      <c r="E17" s="132" t="str">
        <f aca="false">IF(Scoring!AI17="","",IF(Scoring!AI17="OK","PASS","FAIL — mandatory review required"))</f>
        <v>PASS</v>
      </c>
      <c r="F17" s="132"/>
      <c r="G17" s="132"/>
      <c r="H17" s="131" t="str">
        <f aca="false">IF(OR(F17="",G17=""),"",IF(AND(F17="Y",G17="Y"),"Standard initial size","50% of normal initial size + 90-day technical review"))</f>
        <v/>
      </c>
      <c r="I17" s="132"/>
      <c r="J17" s="132"/>
      <c r="K17" s="132" t="str">
        <f aca="false">IF(I17="","",IF(I17="N","PASS",IF(J17="Y","PASS — risk documented in thesis","FAIL — undocumented binary risk")))</f>
        <v/>
      </c>
      <c r="L17" s="132" t="str">
        <f aca="false">IF('Implied-Return Calculator'!S18="","",'Implied-Return Calculator'!S18)</f>
        <v/>
      </c>
      <c r="M17" s="132" t="str">
        <f aca="false">IF('Implied-Return Calculator'!T18="","",'Implied-Return Calculator'!T18)</f>
        <v/>
      </c>
      <c r="N17" s="132" t="str">
        <f aca="false">IF('Implied-Return Calculator'!U18="","",'Implied-Return Calculator'!U18)</f>
        <v/>
      </c>
      <c r="O17" s="132"/>
      <c r="P17" s="132"/>
      <c r="Q17" s="131" t="str">
        <f aca="false">IF(OR(N17="",O17=""),"",IF(N17&lt;=50,"PASS — within ceiling",IF(AND(O17&gt;0.3,L17="PASS"),"PASS — growth+bear case exception met","FAIL — exceeds 50x, exception not met")))</f>
        <v/>
      </c>
      <c r="R17" s="131" t="str">
        <f aca="false">IF(OR(C17="",D17="",E17="",K17="",L17="",M17="",N17="",Q17=""),"",IF(AND(C17="PASS",D17="PASS",LEFT(E17,4)="PASS",LEFT(K17,4)="PASS",L17="PASS",M17="PASS",N17="OK",LEFT(Q17,4)="PASS"),"YES","NO — see failing rule(s)"))</f>
        <v/>
      </c>
      <c r="S17" s="131" t="str">
        <f aca="false">IF(R17="","",IF(R17="YES","Initiate: "&amp;H17,"DO NOT ENTER — resolve failing Entry Rule(s) above first"))</f>
        <v/>
      </c>
    </row>
    <row r="18" customFormat="false" ht="15" hidden="false" customHeight="true" outlineLevel="0" collapsed="false">
      <c r="A18" s="131" t="str">
        <f aca="false">IF(Scoring!A18="","",Scoring!A18)</f>
        <v>VRT</v>
      </c>
      <c r="B18" s="131" t="str">
        <f aca="false">IF(Scoring!B18="","",Scoring!B18)</f>
        <v>Vertiv Holdings</v>
      </c>
      <c r="C18" s="132" t="str">
        <f aca="false">IF(Scoring!AG18="","",IF(OR(Scoring!AG18="STRONG BUY",Scoring!AG18="BUY"),"PASS","FAIL"))</f>
        <v>PASS</v>
      </c>
      <c r="D18" s="132" t="str">
        <f aca="false">IF(Scoring!AH18="","",IF(Scoring!AH18="OK","PASS","FAIL"))</f>
        <v>PASS</v>
      </c>
      <c r="E18" s="132" t="str">
        <f aca="false">IF(Scoring!AI18="","",IF(Scoring!AI18="OK","PASS","FAIL — mandatory review required"))</f>
        <v>PASS</v>
      </c>
      <c r="F18" s="132"/>
      <c r="G18" s="132"/>
      <c r="H18" s="131" t="str">
        <f aca="false">IF(OR(F18="",G18=""),"",IF(AND(F18="Y",G18="Y"),"Standard initial size","50% of normal initial size + 90-day technical review"))</f>
        <v/>
      </c>
      <c r="I18" s="132"/>
      <c r="J18" s="132"/>
      <c r="K18" s="132" t="str">
        <f aca="false">IF(I18="","",IF(I18="N","PASS",IF(J18="Y","PASS — risk documented in thesis","FAIL — undocumented binary risk")))</f>
        <v/>
      </c>
      <c r="L18" s="132" t="str">
        <f aca="false">IF('Implied-Return Calculator'!S19="","",'Implied-Return Calculator'!S19)</f>
        <v/>
      </c>
      <c r="M18" s="132" t="str">
        <f aca="false">IF('Implied-Return Calculator'!T19="","",'Implied-Return Calculator'!T19)</f>
        <v/>
      </c>
      <c r="N18" s="132" t="str">
        <f aca="false">IF('Implied-Return Calculator'!U19="","",'Implied-Return Calculator'!U19)</f>
        <v/>
      </c>
      <c r="O18" s="132"/>
      <c r="P18" s="132"/>
      <c r="Q18" s="131" t="str">
        <f aca="false">IF(OR(N18="",O18=""),"",IF(N18&lt;=50,"PASS — within ceiling",IF(AND(O18&gt;0.3,L18="PASS"),"PASS — growth+bear case exception met","FAIL — exceeds 50x, exception not met")))</f>
        <v/>
      </c>
      <c r="R18" s="131" t="str">
        <f aca="false">IF(OR(C18="",D18="",E18="",K18="",L18="",M18="",N18="",Q18=""),"",IF(AND(C18="PASS",D18="PASS",LEFT(E18,4)="PASS",LEFT(K18,4)="PASS",L18="PASS",M18="PASS",N18="OK",LEFT(Q18,4)="PASS"),"YES","NO — see failing rule(s)"))</f>
        <v/>
      </c>
      <c r="S18" s="131" t="str">
        <f aca="false">IF(R18="","",IF(R18="YES","Initiate: "&amp;H18,"DO NOT ENTER — resolve failing Entry Rule(s) above first"))</f>
        <v/>
      </c>
    </row>
    <row r="19" customFormat="false" ht="15" hidden="false" customHeight="true" outlineLevel="0" collapsed="false">
      <c r="A19" s="131" t="str">
        <f aca="false">IF(Scoring!A19="","",Scoring!A19)</f>
        <v>COST</v>
      </c>
      <c r="B19" s="131" t="str">
        <f aca="false">IF(Scoring!B19="","",Scoring!B19)</f>
        <v>Costco Wholesale Corp.</v>
      </c>
      <c r="C19" s="132" t="str">
        <f aca="false">IF(Scoring!AG19="","",IF(OR(Scoring!AG19="STRONG BUY",Scoring!AG19="BUY"),"PASS","FAIL"))</f>
        <v>PASS</v>
      </c>
      <c r="D19" s="132" t="str">
        <f aca="false">IF(Scoring!AH19="","",IF(Scoring!AH19="OK","PASS","FAIL"))</f>
        <v>PASS</v>
      </c>
      <c r="E19" s="132" t="str">
        <f aca="false">IF(Scoring!AI19="","",IF(Scoring!AI19="OK","PASS","FAIL — mandatory review required"))</f>
        <v>PASS</v>
      </c>
      <c r="F19" s="132" t="s">
        <v>214</v>
      </c>
      <c r="G19" s="132" t="s">
        <v>214</v>
      </c>
      <c r="H19" s="131" t="str">
        <f aca="false">IF(OR(F19="",G19=""),"",IF(AND(F19="Y",G19="Y"),"Standard initial size","50% of normal initial size + 90-day technical review"))</f>
        <v>Standard initial size</v>
      </c>
      <c r="I19" s="132" t="s">
        <v>213</v>
      </c>
      <c r="J19" s="132"/>
      <c r="K19" s="132" t="str">
        <f aca="false">IF(I19="","",IF(I19="N","PASS",IF(J19="Y","PASS — risk documented in thesis","FAIL — undocumented binary risk")))</f>
        <v>PASS</v>
      </c>
      <c r="L19" s="132" t="str">
        <f aca="false">IF('Implied-Return Calculator'!S20="","",'Implied-Return Calculator'!S20)</f>
        <v>FAIL</v>
      </c>
      <c r="M19" s="132" t="str">
        <f aca="false">IF('Implied-Return Calculator'!T20="","",'Implied-Return Calculator'!T20)</f>
        <v>PASS</v>
      </c>
      <c r="N19" s="132" t="str">
        <f aca="false">IF('Implied-Return Calculator'!U20="","",'Implied-Return Calculator'!U20)</f>
        <v>OK</v>
      </c>
      <c r="O19" s="132" t="n">
        <v>61.48</v>
      </c>
      <c r="P19" s="132" t="n">
        <v>0.07</v>
      </c>
      <c r="Q19" s="131" t="str">
        <f aca="false">IF(OR(N19="",O19=""),"",IF(N19&lt;=50,"PASS — within ceiling",IF(AND(O19&gt;0.3,L19="PASS"),"PASS — growth+bear case exception met","FAIL — exceeds 50x, exception not met")))</f>
        <v>FAIL — exceeds 50x, exception not met</v>
      </c>
      <c r="R19" s="131" t="str">
        <f aca="false">IF(OR(C19="",D19="",E19="",K19="",L19="",M19="",N19="",Q19=""),"",IF(AND(C19="PASS",D19="PASS",LEFT(E19,4)="PASS",LEFT(K19,4)="PASS",L19="PASS",M19="PASS",N19="OK",LEFT(Q19,4)="PASS"),"YES","NO — see failing rule(s)"))</f>
        <v>NO — see failing rule(s)</v>
      </c>
      <c r="S19" s="131" t="str">
        <f aca="false">IF(R19="","",IF(R19="YES","Initiate: "&amp;H19,"DO NOT ENTER — resolve failing Entry Rule(s) above first"))</f>
        <v>DO NOT ENTER — resolve failing Entry Rule(s) above first</v>
      </c>
    </row>
    <row r="20" customFormat="false" ht="15" hidden="false" customHeight="true" outlineLevel="0" collapsed="false">
      <c r="A20" s="131" t="str">
        <f aca="false">IF(Scoring!A20="","",Scoring!A20)</f>
        <v>V</v>
      </c>
      <c r="B20" s="131" t="str">
        <f aca="false">IF(Scoring!B20="","",Scoring!B20)</f>
        <v>Visa Inc.</v>
      </c>
      <c r="C20" s="132" t="str">
        <f aca="false">IF(Scoring!AG20="","",IF(OR(Scoring!AG20="STRONG BUY",Scoring!AG20="BUY"),"PASS","FAIL"))</f>
        <v>PASS</v>
      </c>
      <c r="D20" s="132" t="str">
        <f aca="false">IF(Scoring!AH20="","",IF(Scoring!AH20="OK","PASS","FAIL"))</f>
        <v>PASS</v>
      </c>
      <c r="E20" s="132" t="str">
        <f aca="false">IF(Scoring!AI20="","",IF(Scoring!AI20="OK","PASS","FAIL — mandatory review required"))</f>
        <v>PASS</v>
      </c>
      <c r="F20" s="132" t="s">
        <v>214</v>
      </c>
      <c r="G20" s="132" t="s">
        <v>214</v>
      </c>
      <c r="H20" s="131" t="str">
        <f aca="false">IF(OR(F20="",G20=""),"",IF(AND(F20="Y",G20="Y"),"Standard initial size","50% of normal initial size + 90-day technical review"))</f>
        <v>Standard initial size</v>
      </c>
      <c r="I20" s="132" t="s">
        <v>214</v>
      </c>
      <c r="J20" s="132" t="s">
        <v>214</v>
      </c>
      <c r="K20" s="132" t="str">
        <f aca="false">IF(I20="","",IF(I20="N","PASS",IF(J20="Y","PASS — risk documented in thesis","FAIL — undocumented binary risk")))</f>
        <v>PASS — risk documented in thesis</v>
      </c>
      <c r="L20" s="132" t="str">
        <f aca="false">IF('Implied-Return Calculator'!S21="","",'Implied-Return Calculator'!S21)</f>
        <v>PASS</v>
      </c>
      <c r="M20" s="132" t="str">
        <f aca="false">IF('Implied-Return Calculator'!T21="","",'Implied-Return Calculator'!T21)</f>
        <v>PASS</v>
      </c>
      <c r="N20" s="132" t="str">
        <f aca="false">IF('Implied-Return Calculator'!U21="","",'Implied-Return Calculator'!U21)</f>
        <v>OK</v>
      </c>
      <c r="O20" s="132" t="n">
        <v>34.36</v>
      </c>
      <c r="P20" s="132" t="n">
        <v>0.11</v>
      </c>
      <c r="Q20" s="131" t="str">
        <f aca="false">IF(OR(N20="",O20=""),"",IF(N20&lt;=50,"PASS — within ceiling",IF(AND(O20&gt;0.3,L20="PASS"),"PASS — growth+bear case exception met","FAIL — exceeds 50x, exception not met")))</f>
        <v>PASS — growth+bear case exception met</v>
      </c>
      <c r="R20" s="131" t="str">
        <f aca="false">IF(OR(C20="",D20="",E20="",K20="",L20="",M20="",N20="",Q20=""),"",IF(AND(C20="PASS",D20="PASS",LEFT(E20,4)="PASS",LEFT(K20,4)="PASS",L20="PASS",M20="PASS",N20="OK",LEFT(Q20,4)="PASS"),"YES","NO — see failing rule(s)"))</f>
        <v>YES</v>
      </c>
      <c r="S20" s="131" t="str">
        <f aca="false">IF(R20="","",IF(R20="YES","Initiate: "&amp;H20,"DO NOT ENTER — resolve failing Entry Rule(s) above first"))</f>
        <v>Initiate: Standard initial size</v>
      </c>
    </row>
    <row r="21" customFormat="false" ht="15" hidden="false" customHeight="true" outlineLevel="0" collapsed="false">
      <c r="A21" s="131" t="str">
        <f aca="false">IF(Scoring!A21="","",Scoring!A21)</f>
        <v>NEE</v>
      </c>
      <c r="B21" s="131" t="str">
        <f aca="false">IF(Scoring!B21="","",Scoring!B21)</f>
        <v>NextEra Energy Inc.</v>
      </c>
      <c r="C21" s="132" t="str">
        <f aca="false">IF(Scoring!AG21="","",IF(OR(Scoring!AG21="STRONG BUY",Scoring!AG21="BUY"),"PASS","FAIL"))</f>
        <v/>
      </c>
      <c r="D21" s="132" t="str">
        <f aca="false">IF(Scoring!AH21="","",IF(Scoring!AH21="OK","PASS","FAIL"))</f>
        <v>FAIL</v>
      </c>
      <c r="E21" s="132" t="str">
        <f aca="false">IF(Scoring!AI21="","",IF(Scoring!AI21="OK","PASS","FAIL — mandatory review required"))</f>
        <v>FAIL — mandatory review required</v>
      </c>
      <c r="F21" s="132"/>
      <c r="G21" s="132"/>
      <c r="H21" s="131" t="str">
        <f aca="false">IF(OR(F21="",G21=""),"",IF(AND(F21="Y",G21="Y"),"Standard initial size","50% of normal initial size + 90-day technical review"))</f>
        <v/>
      </c>
      <c r="I21" s="132"/>
      <c r="J21" s="132"/>
      <c r="K21" s="132" t="str">
        <f aca="false">IF(I21="","",IF(I21="N","PASS",IF(J21="Y","PASS — risk documented in thesis","FAIL — undocumented binary risk")))</f>
        <v/>
      </c>
      <c r="L21" s="132" t="str">
        <f aca="false">IF('Implied-Return Calculator'!S22="","",'Implied-Return Calculator'!S22)</f>
        <v/>
      </c>
      <c r="M21" s="132" t="str">
        <f aca="false">IF('Implied-Return Calculator'!T22="","",'Implied-Return Calculator'!T22)</f>
        <v/>
      </c>
      <c r="N21" s="132" t="str">
        <f aca="false">IF('Implied-Return Calculator'!U22="","",'Implied-Return Calculator'!U22)</f>
        <v/>
      </c>
      <c r="O21" s="132"/>
      <c r="P21" s="132"/>
      <c r="Q21" s="131" t="str">
        <f aca="false">IF(OR(N21="",O21=""),"",IF(N21&lt;=50,"PASS — within ceiling",IF(AND(O21&gt;0.3,L21="PASS"),"PASS — growth+bear case exception met","FAIL — exceeds 50x, exception not met")))</f>
        <v/>
      </c>
      <c r="R21" s="131" t="str">
        <f aca="false">IF(OR(C21="",D21="",E21="",K21="",L21="",M21="",N21="",Q21=""),"",IF(AND(C21="PASS",D21="PASS",LEFT(E21,4)="PASS",LEFT(K21,4)="PASS",L21="PASS",M21="PASS",N21="OK",LEFT(Q21,4)="PASS"),"YES","NO — see failing rule(s)"))</f>
        <v/>
      </c>
      <c r="S21" s="131" t="str">
        <f aca="false">IF(R21="","",IF(R21="YES","Initiate: "&amp;H21,"DO NOT ENTER — resolve failing Entry Rule(s) above first"))</f>
        <v/>
      </c>
    </row>
    <row r="22" customFormat="false" ht="15" hidden="false" customHeight="true" outlineLevel="0" collapsed="false">
      <c r="A22" s="131" t="str">
        <f aca="false">IF(Scoring!A22="","",Scoring!A22)</f>
        <v>CRK</v>
      </c>
      <c r="B22" s="131" t="str">
        <f aca="false">IF(Scoring!B22="","",Scoring!B22)</f>
        <v>Comstock Resources Inc.</v>
      </c>
      <c r="C22" s="132" t="str">
        <f aca="false">IF(Scoring!AG22="","",IF(OR(Scoring!AG22="STRONG BUY",Scoring!AG22="BUY"),"PASS","FAIL"))</f>
        <v/>
      </c>
      <c r="D22" s="132" t="str">
        <f aca="false">IF(Scoring!AH22="","",IF(Scoring!AH22="OK","PASS","FAIL"))</f>
        <v>FAIL</v>
      </c>
      <c r="E22" s="132" t="str">
        <f aca="false">IF(Scoring!AI22="","",IF(Scoring!AI22="OK","PASS","FAIL — mandatory review required"))</f>
        <v>FAIL — mandatory review required</v>
      </c>
      <c r="F22" s="132"/>
      <c r="G22" s="132"/>
      <c r="H22" s="131" t="str">
        <f aca="false">IF(OR(F22="",G22=""),"",IF(AND(F22="Y",G22="Y"),"Standard initial size","50% of normal initial size + 90-day technical review"))</f>
        <v/>
      </c>
      <c r="I22" s="132"/>
      <c r="J22" s="132"/>
      <c r="K22" s="132" t="str">
        <f aca="false">IF(I22="","",IF(I22="N","PASS",IF(J22="Y","PASS — risk documented in thesis","FAIL — undocumented binary risk")))</f>
        <v/>
      </c>
      <c r="L22" s="132" t="str">
        <f aca="false">IF('Implied-Return Calculator'!S23="","",'Implied-Return Calculator'!S23)</f>
        <v/>
      </c>
      <c r="M22" s="132" t="str">
        <f aca="false">IF('Implied-Return Calculator'!T23="","",'Implied-Return Calculator'!T23)</f>
        <v/>
      </c>
      <c r="N22" s="132" t="str">
        <f aca="false">IF('Implied-Return Calculator'!U23="","",'Implied-Return Calculator'!U23)</f>
        <v/>
      </c>
      <c r="O22" s="132"/>
      <c r="P22" s="132"/>
      <c r="Q22" s="131" t="str">
        <f aca="false">IF(OR(N22="",O22=""),"",IF(N22&lt;=50,"PASS — within ceiling",IF(AND(O22&gt;0.3,L22="PASS"),"PASS — growth+bear case exception met","FAIL — exceeds 50x, exception not met")))</f>
        <v/>
      </c>
      <c r="R22" s="131" t="str">
        <f aca="false">IF(OR(C22="",D22="",E22="",K22="",L22="",M22="",N22="",Q22=""),"",IF(AND(C22="PASS",D22="PASS",LEFT(E22,4)="PASS",LEFT(K22,4)="PASS",L22="PASS",M22="PASS",N22="OK",LEFT(Q22,4)="PASS"),"YES","NO — see failing rule(s)"))</f>
        <v/>
      </c>
      <c r="S22" s="131" t="str">
        <f aca="false">IF(R22="","",IF(R22="YES","Initiate: "&amp;H22,"DO NOT ENTER — resolve failing Entry Rule(s) above first"))</f>
        <v/>
      </c>
    </row>
    <row r="23" customFormat="false" ht="15" hidden="false" customHeight="true" outlineLevel="0" collapsed="false">
      <c r="A23" s="131" t="str">
        <f aca="false">IF(Scoring!A23="","",Scoring!A23)</f>
        <v>ET</v>
      </c>
      <c r="B23" s="131" t="str">
        <f aca="false">IF(Scoring!B23="","",Scoring!B23)</f>
        <v>Energy Transfer LP</v>
      </c>
      <c r="C23" s="132" t="str">
        <f aca="false">IF(Scoring!AG23="","",IF(OR(Scoring!AG23="STRONG BUY",Scoring!AG23="BUY"),"PASS","FAIL"))</f>
        <v/>
      </c>
      <c r="D23" s="132" t="str">
        <f aca="false">IF(Scoring!AH23="","",IF(Scoring!AH23="OK","PASS","FAIL"))</f>
        <v>PASS</v>
      </c>
      <c r="E23" s="132" t="str">
        <f aca="false">IF(Scoring!AI23="","",IF(Scoring!AI23="OK","PASS","FAIL — mandatory review required"))</f>
        <v>FAIL — mandatory review required</v>
      </c>
      <c r="F23" s="132"/>
      <c r="G23" s="132"/>
      <c r="H23" s="131" t="str">
        <f aca="false">IF(OR(F23="",G23=""),"",IF(AND(F23="Y",G23="Y"),"Standard initial size","50% of normal initial size + 90-day technical review"))</f>
        <v/>
      </c>
      <c r="I23" s="132"/>
      <c r="J23" s="132"/>
      <c r="K23" s="132" t="str">
        <f aca="false">IF(I23="","",IF(I23="N","PASS",IF(J23="Y","PASS — risk documented in thesis","FAIL — undocumented binary risk")))</f>
        <v/>
      </c>
      <c r="L23" s="132" t="str">
        <f aca="false">IF('Implied-Return Calculator'!S24="","",'Implied-Return Calculator'!S24)</f>
        <v/>
      </c>
      <c r="M23" s="132" t="str">
        <f aca="false">IF('Implied-Return Calculator'!T24="","",'Implied-Return Calculator'!T24)</f>
        <v/>
      </c>
      <c r="N23" s="132" t="str">
        <f aca="false">IF('Implied-Return Calculator'!U24="","",'Implied-Return Calculator'!U24)</f>
        <v/>
      </c>
      <c r="O23" s="132"/>
      <c r="P23" s="132"/>
      <c r="Q23" s="131" t="str">
        <f aca="false">IF(OR(N23="",O23=""),"",IF(N23&lt;=50,"PASS — within ceiling",IF(AND(O23&gt;0.3,L23="PASS"),"PASS — growth+bear case exception met","FAIL — exceeds 50x, exception not met")))</f>
        <v/>
      </c>
      <c r="R23" s="131" t="str">
        <f aca="false">IF(OR(C23="",D23="",E23="",K23="",L23="",M23="",N23="",Q23=""),"",IF(AND(C23="PASS",D23="PASS",LEFT(E23,4)="PASS",LEFT(K23,4)="PASS",L23="PASS",M23="PASS",N23="OK",LEFT(Q23,4)="PASS"),"YES","NO — see failing rule(s)"))</f>
        <v/>
      </c>
      <c r="S23" s="131" t="str">
        <f aca="false">IF(R23="","",IF(R23="YES","Initiate: "&amp;H23,"DO NOT ENTER — resolve failing Entry Rule(s) above first"))</f>
        <v/>
      </c>
    </row>
    <row r="24" customFormat="false" ht="15" hidden="false" customHeight="true" outlineLevel="0" collapsed="false">
      <c r="A24" s="131" t="str">
        <f aca="false">IF(Scoring!A24="","",Scoring!A24)</f>
        <v>LBRT</v>
      </c>
      <c r="B24" s="131" t="str">
        <f aca="false">IF(Scoring!B24="","",Scoring!B24)</f>
        <v>Liberty Energy Inc.</v>
      </c>
      <c r="C24" s="132" t="str">
        <f aca="false">IF(Scoring!AG24="","",IF(OR(Scoring!AG24="STRONG BUY",Scoring!AG24="BUY"),"PASS","FAIL"))</f>
        <v/>
      </c>
      <c r="D24" s="132" t="str">
        <f aca="false">IF(Scoring!AH24="","",IF(Scoring!AH24="OK","PASS","FAIL"))</f>
        <v>FAIL</v>
      </c>
      <c r="E24" s="132" t="str">
        <f aca="false">IF(Scoring!AI24="","",IF(Scoring!AI24="OK","PASS","FAIL — mandatory review required"))</f>
        <v>FAIL — mandatory review required</v>
      </c>
      <c r="F24" s="132"/>
      <c r="G24" s="132"/>
      <c r="H24" s="131" t="str">
        <f aca="false">IF(OR(F24="",G24=""),"",IF(AND(F24="Y",G24="Y"),"Standard initial size","50% of normal initial size + 90-day technical review"))</f>
        <v/>
      </c>
      <c r="I24" s="132"/>
      <c r="J24" s="132"/>
      <c r="K24" s="132" t="str">
        <f aca="false">IF(I24="","",IF(I24="N","PASS",IF(J24="Y","PASS — risk documented in thesis","FAIL — undocumented binary risk")))</f>
        <v/>
      </c>
      <c r="L24" s="132" t="str">
        <f aca="false">IF('Implied-Return Calculator'!S25="","",'Implied-Return Calculator'!S25)</f>
        <v/>
      </c>
      <c r="M24" s="132" t="str">
        <f aca="false">IF('Implied-Return Calculator'!T25="","",'Implied-Return Calculator'!T25)</f>
        <v/>
      </c>
      <c r="N24" s="132" t="str">
        <f aca="false">IF('Implied-Return Calculator'!U25="","",'Implied-Return Calculator'!U25)</f>
        <v/>
      </c>
      <c r="O24" s="132"/>
      <c r="P24" s="132"/>
      <c r="Q24" s="131" t="str">
        <f aca="false">IF(OR(N24="",O24=""),"",IF(N24&lt;=50,"PASS — within ceiling",IF(AND(O24&gt;0.3,L24="PASS"),"PASS — growth+bear case exception met","FAIL — exceeds 50x, exception not met")))</f>
        <v/>
      </c>
      <c r="R24" s="131" t="str">
        <f aca="false">IF(OR(C24="",D24="",E24="",K24="",L24="",M24="",N24="",Q24=""),"",IF(AND(C24="PASS",D24="PASS",LEFT(E24,4)="PASS",LEFT(K24,4)="PASS",L24="PASS",M24="PASS",N24="OK",LEFT(Q24,4)="PASS"),"YES","NO — see failing rule(s)"))</f>
        <v/>
      </c>
      <c r="S24" s="131" t="str">
        <f aca="false">IF(R24="","",IF(R24="YES","Initiate: "&amp;H24,"DO NOT ENTER — resolve failing Entry Rule(s) above first"))</f>
        <v/>
      </c>
    </row>
    <row r="25" customFormat="false" ht="15" hidden="false" customHeight="true" outlineLevel="0" collapsed="false">
      <c r="A25" s="131" t="str">
        <f aca="false">IF(Scoring!A25="","",Scoring!A25)</f>
        <v>NOV</v>
      </c>
      <c r="B25" s="131" t="str">
        <f aca="false">IF(Scoring!B25="","",Scoring!B25)</f>
        <v>NOV Inc.</v>
      </c>
      <c r="C25" s="132" t="str">
        <f aca="false">IF(Scoring!AG25="","",IF(OR(Scoring!AG25="STRONG BUY",Scoring!AG25="BUY"),"PASS","FAIL"))</f>
        <v/>
      </c>
      <c r="D25" s="132" t="str">
        <f aca="false">IF(Scoring!AH25="","",IF(Scoring!AH25="OK","PASS","FAIL"))</f>
        <v>FAIL</v>
      </c>
      <c r="E25" s="132" t="str">
        <f aca="false">IF(Scoring!AI25="","",IF(Scoring!AI25="OK","PASS","FAIL — mandatory review required"))</f>
        <v>PASS</v>
      </c>
      <c r="F25" s="132"/>
      <c r="G25" s="132"/>
      <c r="H25" s="131" t="str">
        <f aca="false">IF(OR(F25="",G25=""),"",IF(AND(F25="Y",G25="Y"),"Standard initial size","50% of normal initial size + 90-day technical review"))</f>
        <v/>
      </c>
      <c r="I25" s="132"/>
      <c r="J25" s="132"/>
      <c r="K25" s="132" t="str">
        <f aca="false">IF(I25="","",IF(I25="N","PASS",IF(J25="Y","PASS — risk documented in thesis","FAIL — undocumented binary risk")))</f>
        <v/>
      </c>
      <c r="L25" s="132" t="str">
        <f aca="false">IF('Implied-Return Calculator'!S26="","",'Implied-Return Calculator'!S26)</f>
        <v/>
      </c>
      <c r="M25" s="132" t="str">
        <f aca="false">IF('Implied-Return Calculator'!T26="","",'Implied-Return Calculator'!T26)</f>
        <v/>
      </c>
      <c r="N25" s="132" t="str">
        <f aca="false">IF('Implied-Return Calculator'!U26="","",'Implied-Return Calculator'!U26)</f>
        <v/>
      </c>
      <c r="O25" s="132"/>
      <c r="P25" s="132"/>
      <c r="Q25" s="131" t="str">
        <f aca="false">IF(OR(N25="",O25=""),"",IF(N25&lt;=50,"PASS — within ceiling",IF(AND(O25&gt;0.3,L25="PASS"),"PASS — growth+bear case exception met","FAIL — exceeds 50x, exception not met")))</f>
        <v/>
      </c>
      <c r="R25" s="131" t="str">
        <f aca="false">IF(OR(C25="",D25="",E25="",K25="",L25="",M25="",N25="",Q25=""),"",IF(AND(C25="PASS",D25="PASS",LEFT(E25,4)="PASS",LEFT(K25,4)="PASS",L25="PASS",M25="PASS",N25="OK",LEFT(Q25,4)="PASS"),"YES","NO — see failing rule(s)"))</f>
        <v/>
      </c>
      <c r="S25" s="131" t="str">
        <f aca="false">IF(R25="","",IF(R25="YES","Initiate: "&amp;H25,"DO NOT ENTER — resolve failing Entry Rule(s) above first"))</f>
        <v/>
      </c>
    </row>
    <row r="26" customFormat="false" ht="15" hidden="false" customHeight="true" outlineLevel="0" collapsed="false">
      <c r="A26" s="131" t="str">
        <f aca="false">IF(Scoring!A26="","",Scoring!A26)</f>
        <v>CE</v>
      </c>
      <c r="B26" s="131" t="str">
        <f aca="false">IF(Scoring!B26="","",Scoring!B26)</f>
        <v>Celanese Corp.</v>
      </c>
      <c r="C26" s="132" t="str">
        <f aca="false">IF(Scoring!AG26="","",IF(OR(Scoring!AG26="STRONG BUY",Scoring!AG26="BUY"),"PASS","FAIL"))</f>
        <v/>
      </c>
      <c r="D26" s="132" t="str">
        <f aca="false">IF(Scoring!AH26="","",IF(Scoring!AH26="OK","PASS","FAIL"))</f>
        <v>FAIL</v>
      </c>
      <c r="E26" s="132" t="str">
        <f aca="false">IF(Scoring!AI26="","",IF(Scoring!AI26="OK","PASS","FAIL — mandatory review required"))</f>
        <v>FAIL — mandatory review required</v>
      </c>
      <c r="F26" s="132"/>
      <c r="G26" s="132"/>
      <c r="H26" s="131" t="str">
        <f aca="false">IF(OR(F26="",G26=""),"",IF(AND(F26="Y",G26="Y"),"Standard initial size","50% of normal initial size + 90-day technical review"))</f>
        <v/>
      </c>
      <c r="I26" s="132"/>
      <c r="J26" s="132"/>
      <c r="K26" s="132" t="str">
        <f aca="false">IF(I26="","",IF(I26="N","PASS",IF(J26="Y","PASS — risk documented in thesis","FAIL — undocumented binary risk")))</f>
        <v/>
      </c>
      <c r="L26" s="132" t="str">
        <f aca="false">IF('Implied-Return Calculator'!S27="","",'Implied-Return Calculator'!S27)</f>
        <v/>
      </c>
      <c r="M26" s="132" t="str">
        <f aca="false">IF('Implied-Return Calculator'!T27="","",'Implied-Return Calculator'!T27)</f>
        <v/>
      </c>
      <c r="N26" s="132" t="str">
        <f aca="false">IF('Implied-Return Calculator'!U27="","",'Implied-Return Calculator'!U27)</f>
        <v/>
      </c>
      <c r="O26" s="132"/>
      <c r="P26" s="132"/>
      <c r="Q26" s="131" t="str">
        <f aca="false">IF(OR(N26="",O26=""),"",IF(N26&lt;=50,"PASS — within ceiling",IF(AND(O26&gt;0.3,L26="PASS"),"PASS — growth+bear case exception met","FAIL — exceeds 50x, exception not met")))</f>
        <v/>
      </c>
      <c r="R26" s="131" t="str">
        <f aca="false">IF(OR(C26="",D26="",E26="",K26="",L26="",M26="",N26="",Q26=""),"",IF(AND(C26="PASS",D26="PASS",LEFT(E26,4)="PASS",LEFT(K26,4)="PASS",L26="PASS",M26="PASS",N26="OK",LEFT(Q26,4)="PASS"),"YES","NO — see failing rule(s)"))</f>
        <v/>
      </c>
      <c r="S26" s="131" t="str">
        <f aca="false">IF(R26="","",IF(R26="YES","Initiate: "&amp;H26,"DO NOT ENTER — resolve failing Entry Rule(s) above first"))</f>
        <v/>
      </c>
    </row>
    <row r="27" customFormat="false" ht="15" hidden="false" customHeight="true" outlineLevel="0" collapsed="false">
      <c r="A27" s="131" t="str">
        <f aca="false">IF(Scoring!A27="","",Scoring!A27)</f>
        <v>CLF</v>
      </c>
      <c r="B27" s="131" t="str">
        <f aca="false">IF(Scoring!B27="","",Scoring!B27)</f>
        <v>Cleveland-Cliffs Inc.</v>
      </c>
      <c r="C27" s="132" t="str">
        <f aca="false">IF(Scoring!AG27="","",IF(OR(Scoring!AG27="STRONG BUY",Scoring!AG27="BUY"),"PASS","FAIL"))</f>
        <v/>
      </c>
      <c r="D27" s="132" t="str">
        <f aca="false">IF(Scoring!AH27="","",IF(Scoring!AH27="OK","PASS","FAIL"))</f>
        <v>FAIL</v>
      </c>
      <c r="E27" s="132" t="str">
        <f aca="false">IF(Scoring!AI27="","",IF(Scoring!AI27="OK","PASS","FAIL — mandatory review required"))</f>
        <v>FAIL — mandatory review required</v>
      </c>
      <c r="F27" s="132"/>
      <c r="G27" s="132"/>
      <c r="H27" s="131" t="str">
        <f aca="false">IF(OR(F27="",G27=""),"",IF(AND(F27="Y",G27="Y"),"Standard initial size","50% of normal initial size + 90-day technical review"))</f>
        <v/>
      </c>
      <c r="I27" s="132"/>
      <c r="J27" s="132"/>
      <c r="K27" s="132" t="str">
        <f aca="false">IF(I27="","",IF(I27="N","PASS",IF(J27="Y","PASS — risk documented in thesis","FAIL — undocumented binary risk")))</f>
        <v/>
      </c>
      <c r="L27" s="132" t="str">
        <f aca="false">IF('Implied-Return Calculator'!S28="","",'Implied-Return Calculator'!S28)</f>
        <v/>
      </c>
      <c r="M27" s="132" t="str">
        <f aca="false">IF('Implied-Return Calculator'!T28="","",'Implied-Return Calculator'!T28)</f>
        <v/>
      </c>
      <c r="N27" s="132" t="str">
        <f aca="false">IF('Implied-Return Calculator'!U28="","",'Implied-Return Calculator'!U28)</f>
        <v/>
      </c>
      <c r="O27" s="132"/>
      <c r="P27" s="132"/>
      <c r="Q27" s="131" t="str">
        <f aca="false">IF(OR(N27="",O27=""),"",IF(N27&lt;=50,"PASS — within ceiling",IF(AND(O27&gt;0.3,L27="PASS"),"PASS — growth+bear case exception met","FAIL — exceeds 50x, exception not met")))</f>
        <v/>
      </c>
      <c r="R27" s="131" t="str">
        <f aca="false">IF(OR(C27="",D27="",E27="",K27="",L27="",M27="",N27="",Q27=""),"",IF(AND(C27="PASS",D27="PASS",LEFT(E27,4)="PASS",LEFT(K27,4)="PASS",L27="PASS",M27="PASS",N27="OK",LEFT(Q27,4)="PASS"),"YES","NO — see failing rule(s)"))</f>
        <v/>
      </c>
      <c r="S27" s="131" t="str">
        <f aca="false">IF(R27="","",IF(R27="YES","Initiate: "&amp;H27,"DO NOT ENTER — resolve failing Entry Rule(s) above first"))</f>
        <v/>
      </c>
    </row>
    <row r="28" customFormat="false" ht="15" hidden="false" customHeight="true" outlineLevel="0" collapsed="false">
      <c r="A28" s="131" t="str">
        <f aca="false">IF(Scoring!A28="","",Scoring!A28)</f>
        <v>LIN</v>
      </c>
      <c r="B28" s="131" t="str">
        <f aca="false">IF(Scoring!B28="","",Scoring!B28)</f>
        <v>Linde plc</v>
      </c>
      <c r="C28" s="132" t="str">
        <f aca="false">IF(Scoring!AG28="","",IF(OR(Scoring!AG28="STRONG BUY",Scoring!AG28="BUY"),"PASS","FAIL"))</f>
        <v/>
      </c>
      <c r="D28" s="132" t="str">
        <f aca="false">IF(Scoring!AH28="","",IF(Scoring!AH28="OK","PASS","FAIL"))</f>
        <v>PASS</v>
      </c>
      <c r="E28" s="132" t="str">
        <f aca="false">IF(Scoring!AI28="","",IF(Scoring!AI28="OK","PASS","FAIL — mandatory review required"))</f>
        <v>PASS</v>
      </c>
      <c r="F28" s="132"/>
      <c r="G28" s="132"/>
      <c r="H28" s="131" t="str">
        <f aca="false">IF(OR(F28="",G28=""),"",IF(AND(F28="Y",G28="Y"),"Standard initial size","50% of normal initial size + 90-day technical review"))</f>
        <v/>
      </c>
      <c r="I28" s="132"/>
      <c r="J28" s="132"/>
      <c r="K28" s="132" t="str">
        <f aca="false">IF(I28="","",IF(I28="N","PASS",IF(J28="Y","PASS — risk documented in thesis","FAIL — undocumented binary risk")))</f>
        <v/>
      </c>
      <c r="L28" s="132" t="str">
        <f aca="false">IF('Implied-Return Calculator'!S29="","",'Implied-Return Calculator'!S29)</f>
        <v/>
      </c>
      <c r="M28" s="132" t="str">
        <f aca="false">IF('Implied-Return Calculator'!T29="","",'Implied-Return Calculator'!T29)</f>
        <v/>
      </c>
      <c r="N28" s="132" t="str">
        <f aca="false">IF('Implied-Return Calculator'!U29="","",'Implied-Return Calculator'!U29)</f>
        <v/>
      </c>
      <c r="O28" s="132"/>
      <c r="P28" s="132"/>
      <c r="Q28" s="131" t="str">
        <f aca="false">IF(OR(N28="",O28=""),"",IF(N28&lt;=50,"PASS — within ceiling",IF(AND(O28&gt;0.3,L28="PASS"),"PASS — growth+bear case exception met","FAIL — exceeds 50x, exception not met")))</f>
        <v/>
      </c>
      <c r="R28" s="131" t="str">
        <f aca="false">IF(OR(C28="",D28="",E28="",K28="",L28="",M28="",N28="",Q28=""),"",IF(AND(C28="PASS",D28="PASS",LEFT(E28,4)="PASS",LEFT(K28,4)="PASS",L28="PASS",M28="PASS",N28="OK",LEFT(Q28,4)="PASS"),"YES","NO — see failing rule(s)"))</f>
        <v/>
      </c>
      <c r="S28" s="131" t="str">
        <f aca="false">IF(R28="","",IF(R28="YES","Initiate: "&amp;H28,"DO NOT ENTER — resolve failing Entry Rule(s) above first"))</f>
        <v/>
      </c>
    </row>
    <row r="29" customFormat="false" ht="15" hidden="false" customHeight="true" outlineLevel="0" collapsed="false">
      <c r="A29" s="131" t="str">
        <f aca="false">IF(Scoring!A29="","",Scoring!A29)</f>
        <v>DEO</v>
      </c>
      <c r="B29" s="131" t="str">
        <f aca="false">IF(Scoring!B29="","",Scoring!B29)</f>
        <v>Diageo plc</v>
      </c>
      <c r="C29" s="132" t="str">
        <f aca="false">IF(Scoring!AG29="","",IF(OR(Scoring!AG29="STRONG BUY",Scoring!AG29="BUY"),"PASS","FAIL"))</f>
        <v/>
      </c>
      <c r="D29" s="132" t="str">
        <f aca="false">IF(Scoring!AH29="","",IF(Scoring!AH29="OK","PASS","FAIL"))</f>
        <v>FAIL</v>
      </c>
      <c r="E29" s="132" t="str">
        <f aca="false">IF(Scoring!AI29="","",IF(Scoring!AI29="OK","PASS","FAIL — mandatory review required"))</f>
        <v>PASS</v>
      </c>
      <c r="F29" s="132"/>
      <c r="G29" s="132"/>
      <c r="H29" s="131" t="str">
        <f aca="false">IF(OR(F29="",G29=""),"",IF(AND(F29="Y",G29="Y"),"Standard initial size","50% of normal initial size + 90-day technical review"))</f>
        <v/>
      </c>
      <c r="I29" s="132"/>
      <c r="J29" s="132"/>
      <c r="K29" s="132" t="str">
        <f aca="false">IF(I29="","",IF(I29="N","PASS",IF(J29="Y","PASS — risk documented in thesis","FAIL — undocumented binary risk")))</f>
        <v/>
      </c>
      <c r="L29" s="132" t="str">
        <f aca="false">IF('Implied-Return Calculator'!S30="","",'Implied-Return Calculator'!S30)</f>
        <v/>
      </c>
      <c r="M29" s="132" t="str">
        <f aca="false">IF('Implied-Return Calculator'!T30="","",'Implied-Return Calculator'!T30)</f>
        <v/>
      </c>
      <c r="N29" s="132" t="str">
        <f aca="false">IF('Implied-Return Calculator'!U30="","",'Implied-Return Calculator'!U30)</f>
        <v/>
      </c>
      <c r="O29" s="132"/>
      <c r="P29" s="132"/>
      <c r="Q29" s="131" t="str">
        <f aca="false">IF(OR(N29="",O29=""),"",IF(N29&lt;=50,"PASS — within ceiling",IF(AND(O29&gt;0.3,L29="PASS"),"PASS — growth+bear case exception met","FAIL — exceeds 50x, exception not met")))</f>
        <v/>
      </c>
      <c r="R29" s="131" t="str">
        <f aca="false">IF(OR(C29="",D29="",E29="",K29="",L29="",M29="",N29="",Q29=""),"",IF(AND(C29="PASS",D29="PASS",LEFT(E29,4)="PASS",LEFT(K29,4)="PASS",L29="PASS",M29="PASS",N29="OK",LEFT(Q29,4)="PASS"),"YES","NO — see failing rule(s)"))</f>
        <v/>
      </c>
      <c r="S29" s="131" t="str">
        <f aca="false">IF(R29="","",IF(R29="YES","Initiate: "&amp;H29,"DO NOT ENTER — resolve failing Entry Rule(s) above first"))</f>
        <v/>
      </c>
    </row>
    <row r="30" customFormat="false" ht="15" hidden="false" customHeight="true" outlineLevel="0" collapsed="false">
      <c r="A30" s="131" t="str">
        <f aca="false">IF(Scoring!A30="","",Scoring!A30)</f>
        <v>EL</v>
      </c>
      <c r="B30" s="131" t="str">
        <f aca="false">IF(Scoring!B30="","",Scoring!B30)</f>
        <v>Estee Lauder Companies</v>
      </c>
      <c r="C30" s="132" t="str">
        <f aca="false">IF(Scoring!AG30="","",IF(OR(Scoring!AG30="STRONG BUY",Scoring!AG30="BUY"),"PASS","FAIL"))</f>
        <v/>
      </c>
      <c r="D30" s="132" t="str">
        <f aca="false">IF(Scoring!AH30="","",IF(Scoring!AH30="OK","PASS","FAIL"))</f>
        <v>FAIL</v>
      </c>
      <c r="E30" s="132" t="str">
        <f aca="false">IF(Scoring!AI30="","",IF(Scoring!AI30="OK","PASS","FAIL — mandatory review required"))</f>
        <v>FAIL — mandatory review required</v>
      </c>
      <c r="F30" s="132"/>
      <c r="G30" s="132"/>
      <c r="H30" s="131" t="str">
        <f aca="false">IF(OR(F30="",G30=""),"",IF(AND(F30="Y",G30="Y"),"Standard initial size","50% of normal initial size + 90-day technical review"))</f>
        <v/>
      </c>
      <c r="I30" s="132"/>
      <c r="J30" s="132"/>
      <c r="K30" s="132" t="str">
        <f aca="false">IF(I30="","",IF(I30="N","PASS",IF(J30="Y","PASS — risk documented in thesis","FAIL — undocumented binary risk")))</f>
        <v/>
      </c>
      <c r="L30" s="132" t="str">
        <f aca="false">IF('Implied-Return Calculator'!S31="","",'Implied-Return Calculator'!S31)</f>
        <v/>
      </c>
      <c r="M30" s="132" t="str">
        <f aca="false">IF('Implied-Return Calculator'!T31="","",'Implied-Return Calculator'!T31)</f>
        <v/>
      </c>
      <c r="N30" s="132" t="str">
        <f aca="false">IF('Implied-Return Calculator'!U31="","",'Implied-Return Calculator'!U31)</f>
        <v/>
      </c>
      <c r="O30" s="132"/>
      <c r="P30" s="132"/>
      <c r="Q30" s="131" t="str">
        <f aca="false">IF(OR(N30="",O30=""),"",IF(N30&lt;=50,"PASS — within ceiling",IF(AND(O30&gt;0.3,L30="PASS"),"PASS — growth+bear case exception met","FAIL — exceeds 50x, exception not met")))</f>
        <v/>
      </c>
      <c r="R30" s="131" t="str">
        <f aca="false">IF(OR(C30="",D30="",E30="",K30="",L30="",M30="",N30="",Q30=""),"",IF(AND(C30="PASS",D30="PASS",LEFT(E30,4)="PASS",LEFT(K30,4)="PASS",L30="PASS",M30="PASS",N30="OK",LEFT(Q30,4)="PASS"),"YES","NO — see failing rule(s)"))</f>
        <v/>
      </c>
      <c r="S30" s="131" t="str">
        <f aca="false">IF(R30="","",IF(R30="YES","Initiate: "&amp;H30,"DO NOT ENTER — resolve failing Entry Rule(s) above first"))</f>
        <v/>
      </c>
    </row>
    <row r="31" customFormat="false" ht="15" hidden="false" customHeight="true" outlineLevel="0" collapsed="false">
      <c r="A31" s="131" t="str">
        <f aca="false">IF(Scoring!A31="","",Scoring!A31)</f>
        <v>HRL</v>
      </c>
      <c r="B31" s="131" t="str">
        <f aca="false">IF(Scoring!B31="","",Scoring!B31)</f>
        <v>Hormel Foods Corp.</v>
      </c>
      <c r="C31" s="132" t="str">
        <f aca="false">IF(Scoring!AG31="","",IF(OR(Scoring!AG31="STRONG BUY",Scoring!AG31="BUY"),"PASS","FAIL"))</f>
        <v/>
      </c>
      <c r="D31" s="132" t="str">
        <f aca="false">IF(Scoring!AH31="","",IF(Scoring!AH31="OK","PASS","FAIL"))</f>
        <v>FAIL</v>
      </c>
      <c r="E31" s="132" t="str">
        <f aca="false">IF(Scoring!AI31="","",IF(Scoring!AI31="OK","PASS","FAIL — mandatory review required"))</f>
        <v>FAIL — mandatory review required</v>
      </c>
      <c r="F31" s="132"/>
      <c r="G31" s="132"/>
      <c r="H31" s="131" t="str">
        <f aca="false">IF(OR(F31="",G31=""),"",IF(AND(F31="Y",G31="Y"),"Standard initial size","50% of normal initial size + 90-day technical review"))</f>
        <v/>
      </c>
      <c r="I31" s="132"/>
      <c r="J31" s="132"/>
      <c r="K31" s="132" t="str">
        <f aca="false">IF(I31="","",IF(I31="N","PASS",IF(J31="Y","PASS — risk documented in thesis","FAIL — undocumented binary risk")))</f>
        <v/>
      </c>
      <c r="L31" s="132" t="str">
        <f aca="false">IF('Implied-Return Calculator'!S32="","",'Implied-Return Calculator'!S32)</f>
        <v/>
      </c>
      <c r="M31" s="132" t="str">
        <f aca="false">IF('Implied-Return Calculator'!T32="","",'Implied-Return Calculator'!T32)</f>
        <v/>
      </c>
      <c r="N31" s="132" t="str">
        <f aca="false">IF('Implied-Return Calculator'!U32="","",'Implied-Return Calculator'!U32)</f>
        <v/>
      </c>
      <c r="O31" s="132"/>
      <c r="P31" s="132"/>
      <c r="Q31" s="131" t="str">
        <f aca="false">IF(OR(N31="",O31=""),"",IF(N31&lt;=50,"PASS — within ceiling",IF(AND(O31&gt;0.3,L31="PASS"),"PASS — growth+bear case exception met","FAIL — exceeds 50x, exception not met")))</f>
        <v/>
      </c>
      <c r="R31" s="131" t="str">
        <f aca="false">IF(OR(C31="",D31="",E31="",K31="",L31="",M31="",N31="",Q31=""),"",IF(AND(C31="PASS",D31="PASS",LEFT(E31,4)="PASS",LEFT(K31,4)="PASS",L31="PASS",M31="PASS",N31="OK",LEFT(Q31,4)="PASS"),"YES","NO — see failing rule(s)"))</f>
        <v/>
      </c>
      <c r="S31" s="131" t="str">
        <f aca="false">IF(R31="","",IF(R31="YES","Initiate: "&amp;H31,"DO NOT ENTER — resolve failing Entry Rule(s) above first"))</f>
        <v/>
      </c>
    </row>
    <row r="32" customFormat="false" ht="15" hidden="false" customHeight="true" outlineLevel="0" collapsed="false">
      <c r="A32" s="131" t="str">
        <f aca="false">IF(Scoring!A32="","",Scoring!A32)</f>
        <v>PG</v>
      </c>
      <c r="B32" s="131" t="str">
        <f aca="false">IF(Scoring!B32="","",Scoring!B32)</f>
        <v>Procter &amp; Gamble Co.</v>
      </c>
      <c r="C32" s="132" t="str">
        <f aca="false">IF(Scoring!AG32="","",IF(OR(Scoring!AG32="STRONG BUY",Scoring!AG32="BUY"),"PASS","FAIL"))</f>
        <v/>
      </c>
      <c r="D32" s="132" t="str">
        <f aca="false">IF(Scoring!AH32="","",IF(Scoring!AH32="OK","PASS","FAIL"))</f>
        <v>PASS</v>
      </c>
      <c r="E32" s="132" t="str">
        <f aca="false">IF(Scoring!AI32="","",IF(Scoring!AI32="OK","PASS","FAIL — mandatory review required"))</f>
        <v>PASS</v>
      </c>
      <c r="F32" s="132"/>
      <c r="G32" s="132"/>
      <c r="H32" s="131" t="str">
        <f aca="false">IF(OR(F32="",G32=""),"",IF(AND(F32="Y",G32="Y"),"Standard initial size","50% of normal initial size + 90-day technical review"))</f>
        <v/>
      </c>
      <c r="I32" s="132"/>
      <c r="J32" s="132"/>
      <c r="K32" s="132" t="str">
        <f aca="false">IF(I32="","",IF(I32="N","PASS",IF(J32="Y","PASS — risk documented in thesis","FAIL — undocumented binary risk")))</f>
        <v/>
      </c>
      <c r="L32" s="132" t="str">
        <f aca="false">IF('Implied-Return Calculator'!S33="","",'Implied-Return Calculator'!S33)</f>
        <v/>
      </c>
      <c r="M32" s="132" t="str">
        <f aca="false">IF('Implied-Return Calculator'!T33="","",'Implied-Return Calculator'!T33)</f>
        <v/>
      </c>
      <c r="N32" s="132" t="str">
        <f aca="false">IF('Implied-Return Calculator'!U33="","",'Implied-Return Calculator'!U33)</f>
        <v/>
      </c>
      <c r="O32" s="132"/>
      <c r="P32" s="132"/>
      <c r="Q32" s="131" t="str">
        <f aca="false">IF(OR(N32="",O32=""),"",IF(N32&lt;=50,"PASS — within ceiling",IF(AND(O32&gt;0.3,L32="PASS"),"PASS — growth+bear case exception met","FAIL — exceeds 50x, exception not met")))</f>
        <v/>
      </c>
      <c r="R32" s="131" t="str">
        <f aca="false">IF(OR(C32="",D32="",E32="",K32="",L32="",M32="",N32="",Q32=""),"",IF(AND(C32="PASS",D32="PASS",LEFT(E32,4)="PASS",LEFT(K32,4)="PASS",L32="PASS",M32="PASS",N32="OK",LEFT(Q32,4)="PASS"),"YES","NO — see failing rule(s)"))</f>
        <v/>
      </c>
      <c r="S32" s="131" t="str">
        <f aca="false">IF(R32="","",IF(R32="YES","Initiate: "&amp;H32,"DO NOT ENTER — resolve failing Entry Rule(s) above first"))</f>
        <v/>
      </c>
    </row>
    <row r="33" customFormat="false" ht="15" hidden="false" customHeight="true" outlineLevel="0" collapsed="false">
      <c r="A33" s="131" t="str">
        <f aca="false">IF(Scoring!A33="","",Scoring!A33)</f>
        <v>CMG</v>
      </c>
      <c r="B33" s="131" t="str">
        <f aca="false">IF(Scoring!B33="","",Scoring!B33)</f>
        <v>Chipotle Mexican Grill</v>
      </c>
      <c r="C33" s="132" t="str">
        <f aca="false">IF(Scoring!AG33="","",IF(OR(Scoring!AG33="STRONG BUY",Scoring!AG33="BUY"),"PASS","FAIL"))</f>
        <v/>
      </c>
      <c r="D33" s="132" t="str">
        <f aca="false">IF(Scoring!AH33="","",IF(Scoring!AH33="OK","PASS","FAIL"))</f>
        <v>PASS</v>
      </c>
      <c r="E33" s="132" t="str">
        <f aca="false">IF(Scoring!AI33="","",IF(Scoring!AI33="OK","PASS","FAIL — mandatory review required"))</f>
        <v>PASS</v>
      </c>
      <c r="F33" s="132"/>
      <c r="G33" s="132"/>
      <c r="H33" s="131" t="str">
        <f aca="false">IF(OR(F33="",G33=""),"",IF(AND(F33="Y",G33="Y"),"Standard initial size","50% of normal initial size + 90-day technical review"))</f>
        <v/>
      </c>
      <c r="I33" s="132"/>
      <c r="J33" s="132"/>
      <c r="K33" s="132" t="str">
        <f aca="false">IF(I33="","",IF(I33="N","PASS",IF(J33="Y","PASS — risk documented in thesis","FAIL — undocumented binary risk")))</f>
        <v/>
      </c>
      <c r="L33" s="132" t="str">
        <f aca="false">IF('Implied-Return Calculator'!S34="","",'Implied-Return Calculator'!S34)</f>
        <v/>
      </c>
      <c r="M33" s="132" t="str">
        <f aca="false">IF('Implied-Return Calculator'!T34="","",'Implied-Return Calculator'!T34)</f>
        <v/>
      </c>
      <c r="N33" s="132" t="str">
        <f aca="false">IF('Implied-Return Calculator'!U34="","",'Implied-Return Calculator'!U34)</f>
        <v/>
      </c>
      <c r="O33" s="132"/>
      <c r="P33" s="132"/>
      <c r="Q33" s="131" t="str">
        <f aca="false">IF(OR(N33="",O33=""),"",IF(N33&lt;=50,"PASS — within ceiling",IF(AND(O33&gt;0.3,L33="PASS"),"PASS — growth+bear case exception met","FAIL — exceeds 50x, exception not met")))</f>
        <v/>
      </c>
      <c r="R33" s="131" t="str">
        <f aca="false">IF(OR(C33="",D33="",E33="",K33="",L33="",M33="",N33="",Q33=""),"",IF(AND(C33="PASS",D33="PASS",LEFT(E33,4)="PASS",LEFT(K33,4)="PASS",L33="PASS",M33="PASS",N33="OK",LEFT(Q33,4)="PASS"),"YES","NO — see failing rule(s)"))</f>
        <v/>
      </c>
      <c r="S33" s="131" t="str">
        <f aca="false">IF(R33="","",IF(R33="YES","Initiate: "&amp;H33,"DO NOT ENTER — resolve failing Entry Rule(s) above first"))</f>
        <v/>
      </c>
    </row>
    <row r="34" customFormat="false" ht="15" hidden="false" customHeight="true" outlineLevel="0" collapsed="false">
      <c r="A34" s="131" t="str">
        <f aca="false">IF(Scoring!A34="","",Scoring!A34)</f>
        <v>DPZ</v>
      </c>
      <c r="B34" s="131" t="str">
        <f aca="false">IF(Scoring!B34="","",Scoring!B34)</f>
        <v>Domino's Pizza Inc.</v>
      </c>
      <c r="C34" s="132" t="str">
        <f aca="false">IF(Scoring!AG34="","",IF(OR(Scoring!AG34="STRONG BUY",Scoring!AG34="BUY"),"PASS","FAIL"))</f>
        <v/>
      </c>
      <c r="D34" s="132" t="str">
        <f aca="false">IF(Scoring!AH34="","",IF(Scoring!AH34="OK","PASS","FAIL"))</f>
        <v>PASS</v>
      </c>
      <c r="E34" s="132" t="str">
        <f aca="false">IF(Scoring!AI34="","",IF(Scoring!AI34="OK","PASS","FAIL — mandatory review required"))</f>
        <v>PASS</v>
      </c>
      <c r="F34" s="132"/>
      <c r="G34" s="132"/>
      <c r="H34" s="131" t="str">
        <f aca="false">IF(OR(F34="",G34=""),"",IF(AND(F34="Y",G34="Y"),"Standard initial size","50% of normal initial size + 90-day technical review"))</f>
        <v/>
      </c>
      <c r="I34" s="132"/>
      <c r="J34" s="132"/>
      <c r="K34" s="132" t="str">
        <f aca="false">IF(I34="","",IF(I34="N","PASS",IF(J34="Y","PASS — risk documented in thesis","FAIL — undocumented binary risk")))</f>
        <v/>
      </c>
      <c r="L34" s="132" t="str">
        <f aca="false">IF('Implied-Return Calculator'!S35="","",'Implied-Return Calculator'!S35)</f>
        <v/>
      </c>
      <c r="M34" s="132" t="str">
        <f aca="false">IF('Implied-Return Calculator'!T35="","",'Implied-Return Calculator'!T35)</f>
        <v/>
      </c>
      <c r="N34" s="132" t="str">
        <f aca="false">IF('Implied-Return Calculator'!U35="","",'Implied-Return Calculator'!U35)</f>
        <v/>
      </c>
      <c r="O34" s="132"/>
      <c r="P34" s="132"/>
      <c r="Q34" s="131" t="str">
        <f aca="false">IF(OR(N34="",O34=""),"",IF(N34&lt;=50,"PASS — within ceiling",IF(AND(O34&gt;0.3,L34="PASS"),"PASS — growth+bear case exception met","FAIL — exceeds 50x, exception not met")))</f>
        <v/>
      </c>
      <c r="R34" s="131" t="str">
        <f aca="false">IF(OR(C34="",D34="",E34="",K34="",L34="",M34="",N34="",Q34=""),"",IF(AND(C34="PASS",D34="PASS",LEFT(E34,4)="PASS",LEFT(K34,4)="PASS",L34="PASS",M34="PASS",N34="OK",LEFT(Q34,4)="PASS"),"YES","NO — see failing rule(s)"))</f>
        <v/>
      </c>
      <c r="S34" s="131" t="str">
        <f aca="false">IF(R34="","",IF(R34="YES","Initiate: "&amp;H34,"DO NOT ENTER — resolve failing Entry Rule(s) above first"))</f>
        <v/>
      </c>
    </row>
    <row r="35" customFormat="false" ht="15" hidden="false" customHeight="true" outlineLevel="0" collapsed="false">
      <c r="A35" s="131" t="str">
        <f aca="false">IF(Scoring!A35="","",Scoring!A35)</f>
        <v>PZZA</v>
      </c>
      <c r="B35" s="131" t="str">
        <f aca="false">IF(Scoring!B35="","",Scoring!B35)</f>
        <v>Papa John's Intl.</v>
      </c>
      <c r="C35" s="132" t="str">
        <f aca="false">IF(Scoring!AG35="","",IF(OR(Scoring!AG35="STRONG BUY",Scoring!AG35="BUY"),"PASS","FAIL"))</f>
        <v/>
      </c>
      <c r="D35" s="132" t="str">
        <f aca="false">IF(Scoring!AH35="","",IF(Scoring!AH35="OK","PASS","FAIL"))</f>
        <v>FAIL</v>
      </c>
      <c r="E35" s="132" t="str">
        <f aca="false">IF(Scoring!AI35="","",IF(Scoring!AI35="OK","PASS","FAIL — mandatory review required"))</f>
        <v>FAIL — mandatory review required</v>
      </c>
      <c r="F35" s="132"/>
      <c r="G35" s="132"/>
      <c r="H35" s="131" t="str">
        <f aca="false">IF(OR(F35="",G35=""),"",IF(AND(F35="Y",G35="Y"),"Standard initial size","50% of normal initial size + 90-day technical review"))</f>
        <v/>
      </c>
      <c r="I35" s="132"/>
      <c r="J35" s="132"/>
      <c r="K35" s="132" t="str">
        <f aca="false">IF(I35="","",IF(I35="N","PASS",IF(J35="Y","PASS — risk documented in thesis","FAIL — undocumented binary risk")))</f>
        <v/>
      </c>
      <c r="L35" s="132" t="str">
        <f aca="false">IF('Implied-Return Calculator'!S36="","",'Implied-Return Calculator'!S36)</f>
        <v/>
      </c>
      <c r="M35" s="132" t="str">
        <f aca="false">IF('Implied-Return Calculator'!T36="","",'Implied-Return Calculator'!T36)</f>
        <v/>
      </c>
      <c r="N35" s="132" t="str">
        <f aca="false">IF('Implied-Return Calculator'!U36="","",'Implied-Return Calculator'!U36)</f>
        <v/>
      </c>
      <c r="O35" s="132"/>
      <c r="P35" s="132"/>
      <c r="Q35" s="131" t="str">
        <f aca="false">IF(OR(N35="",O35=""),"",IF(N35&lt;=50,"PASS — within ceiling",IF(AND(O35&gt;0.3,L35="PASS"),"PASS — growth+bear case exception met","FAIL — exceeds 50x, exception not met")))</f>
        <v/>
      </c>
      <c r="R35" s="131" t="str">
        <f aca="false">IF(OR(C35="",D35="",E35="",K35="",L35="",M35="",N35="",Q35=""),"",IF(AND(C35="PASS",D35="PASS",LEFT(E35,4)="PASS",LEFT(K35,4)="PASS",L35="PASS",M35="PASS",N35="OK",LEFT(Q35,4)="PASS"),"YES","NO — see failing rule(s)"))</f>
        <v/>
      </c>
      <c r="S35" s="131" t="str">
        <f aca="false">IF(R35="","",IF(R35="YES","Initiate: "&amp;H35,"DO NOT ENTER — resolve failing Entry Rule(s) above first"))</f>
        <v/>
      </c>
    </row>
    <row r="36" customFormat="false" ht="15" hidden="false" customHeight="true" outlineLevel="0" collapsed="false">
      <c r="A36" s="131" t="str">
        <f aca="false">IF(Scoring!A36="","",Scoring!A36)</f>
        <v>YUM</v>
      </c>
      <c r="B36" s="131" t="str">
        <f aca="false">IF(Scoring!B36="","",Scoring!B36)</f>
        <v>Yum! Brands Inc.</v>
      </c>
      <c r="C36" s="132" t="str">
        <f aca="false">IF(Scoring!AG36="","",IF(OR(Scoring!AG36="STRONG BUY",Scoring!AG36="BUY"),"PASS","FAIL"))</f>
        <v/>
      </c>
      <c r="D36" s="132" t="str">
        <f aca="false">IF(Scoring!AH36="","",IF(Scoring!AH36="OK","PASS","FAIL"))</f>
        <v>PASS</v>
      </c>
      <c r="E36" s="132" t="str">
        <f aca="false">IF(Scoring!AI36="","",IF(Scoring!AI36="OK","PASS","FAIL — mandatory review required"))</f>
        <v>PASS</v>
      </c>
      <c r="F36" s="132"/>
      <c r="G36" s="132"/>
      <c r="H36" s="131" t="str">
        <f aca="false">IF(OR(F36="",G36=""),"",IF(AND(F36="Y",G36="Y"),"Standard initial size","50% of normal initial size + 90-day technical review"))</f>
        <v/>
      </c>
      <c r="I36" s="132"/>
      <c r="J36" s="132"/>
      <c r="K36" s="132" t="str">
        <f aca="false">IF(I36="","",IF(I36="N","PASS",IF(J36="Y","PASS — risk documented in thesis","FAIL — undocumented binary risk")))</f>
        <v/>
      </c>
      <c r="L36" s="132" t="str">
        <f aca="false">IF('Implied-Return Calculator'!S37="","",'Implied-Return Calculator'!S37)</f>
        <v/>
      </c>
      <c r="M36" s="132" t="str">
        <f aca="false">IF('Implied-Return Calculator'!T37="","",'Implied-Return Calculator'!T37)</f>
        <v/>
      </c>
      <c r="N36" s="132" t="str">
        <f aca="false">IF('Implied-Return Calculator'!U37="","",'Implied-Return Calculator'!U37)</f>
        <v/>
      </c>
      <c r="O36" s="132"/>
      <c r="P36" s="132"/>
      <c r="Q36" s="131" t="str">
        <f aca="false">IF(OR(N36="",O36=""),"",IF(N36&lt;=50,"PASS — within ceiling",IF(AND(O36&gt;0.3,L36="PASS"),"PASS — growth+bear case exception met","FAIL — exceeds 50x, exception not met")))</f>
        <v/>
      </c>
      <c r="R36" s="131" t="str">
        <f aca="false">IF(OR(C36="",D36="",E36="",K36="",L36="",M36="",N36="",Q36=""),"",IF(AND(C36="PASS",D36="PASS",LEFT(E36,4)="PASS",LEFT(K36,4)="PASS",L36="PASS",M36="PASS",N36="OK",LEFT(Q36,4)="PASS"),"YES","NO — see failing rule(s)"))</f>
        <v/>
      </c>
      <c r="S36" s="131" t="str">
        <f aca="false">IF(R36="","",IF(R36="YES","Initiate: "&amp;H36,"DO NOT ENTER — resolve failing Entry Rule(s) above first"))</f>
        <v/>
      </c>
    </row>
    <row r="37" customFormat="false" ht="15" hidden="false" customHeight="true" outlineLevel="0" collapsed="false">
      <c r="A37" s="131" t="str">
        <f aca="false">IF(Scoring!A37="","",Scoring!A37)</f>
        <v>NKE</v>
      </c>
      <c r="B37" s="131" t="str">
        <f aca="false">IF(Scoring!B37="","",Scoring!B37)</f>
        <v>Nike Inc.</v>
      </c>
      <c r="C37" s="132" t="str">
        <f aca="false">IF(Scoring!AG37="","",IF(OR(Scoring!AG37="STRONG BUY",Scoring!AG37="BUY"),"PASS","FAIL"))</f>
        <v/>
      </c>
      <c r="D37" s="132" t="str">
        <f aca="false">IF(Scoring!AH37="","",IF(Scoring!AH37="OK","PASS","FAIL"))</f>
        <v>FAIL</v>
      </c>
      <c r="E37" s="132" t="str">
        <f aca="false">IF(Scoring!AI37="","",IF(Scoring!AI37="OK","PASS","FAIL — mandatory review required"))</f>
        <v>FAIL — mandatory review required</v>
      </c>
      <c r="F37" s="132"/>
      <c r="G37" s="132"/>
      <c r="H37" s="131" t="str">
        <f aca="false">IF(OR(F37="",G37=""),"",IF(AND(F37="Y",G37="Y"),"Standard initial size","50% of normal initial size + 90-day technical review"))</f>
        <v/>
      </c>
      <c r="I37" s="132"/>
      <c r="J37" s="132"/>
      <c r="K37" s="132" t="str">
        <f aca="false">IF(I37="","",IF(I37="N","PASS",IF(J37="Y","PASS — risk documented in thesis","FAIL — undocumented binary risk")))</f>
        <v/>
      </c>
      <c r="L37" s="132" t="str">
        <f aca="false">IF('Implied-Return Calculator'!S38="","",'Implied-Return Calculator'!S38)</f>
        <v/>
      </c>
      <c r="M37" s="132" t="str">
        <f aca="false">IF('Implied-Return Calculator'!T38="","",'Implied-Return Calculator'!T38)</f>
        <v/>
      </c>
      <c r="N37" s="132" t="str">
        <f aca="false">IF('Implied-Return Calculator'!U38="","",'Implied-Return Calculator'!U38)</f>
        <v/>
      </c>
      <c r="O37" s="132"/>
      <c r="P37" s="132"/>
      <c r="Q37" s="131" t="str">
        <f aca="false">IF(OR(N37="",O37=""),"",IF(N37&lt;=50,"PASS — within ceiling",IF(AND(O37&gt;0.3,L37="PASS"),"PASS — growth+bear case exception met","FAIL — exceeds 50x, exception not met")))</f>
        <v/>
      </c>
      <c r="R37" s="131" t="str">
        <f aca="false">IF(OR(C37="",D37="",E37="",K37="",L37="",M37="",N37="",Q37=""),"",IF(AND(C37="PASS",D37="PASS",LEFT(E37,4)="PASS",LEFT(K37,4)="PASS",L37="PASS",M37="PASS",N37="OK",LEFT(Q37,4)="PASS"),"YES","NO — see failing rule(s)"))</f>
        <v/>
      </c>
      <c r="S37" s="131" t="str">
        <f aca="false">IF(R37="","",IF(R37="YES","Initiate: "&amp;H37,"DO NOT ENTER — resolve failing Entry Rule(s) above first"))</f>
        <v/>
      </c>
    </row>
    <row r="38" customFormat="false" ht="15" hidden="false" customHeight="true" outlineLevel="0" collapsed="false">
      <c r="A38" s="131" t="str">
        <f aca="false">IF(Scoring!A38="","",Scoring!A38)</f>
        <v>VFC</v>
      </c>
      <c r="B38" s="131" t="str">
        <f aca="false">IF(Scoring!B38="","",Scoring!B38)</f>
        <v>V.F. Corporation</v>
      </c>
      <c r="C38" s="132" t="str">
        <f aca="false">IF(Scoring!AG38="","",IF(OR(Scoring!AG38="STRONG BUY",Scoring!AG38="BUY"),"PASS","FAIL"))</f>
        <v/>
      </c>
      <c r="D38" s="132" t="str">
        <f aca="false">IF(Scoring!AH38="","",IF(Scoring!AH38="OK","PASS","FAIL"))</f>
        <v>FAIL</v>
      </c>
      <c r="E38" s="132" t="str">
        <f aca="false">IF(Scoring!AI38="","",IF(Scoring!AI38="OK","PASS","FAIL — mandatory review required"))</f>
        <v>PASS</v>
      </c>
      <c r="F38" s="132"/>
      <c r="G38" s="132"/>
      <c r="H38" s="131" t="str">
        <f aca="false">IF(OR(F38="",G38=""),"",IF(AND(F38="Y",G38="Y"),"Standard initial size","50% of normal initial size + 90-day technical review"))</f>
        <v/>
      </c>
      <c r="I38" s="132"/>
      <c r="J38" s="132"/>
      <c r="K38" s="132" t="str">
        <f aca="false">IF(I38="","",IF(I38="N","PASS",IF(J38="Y","PASS — risk documented in thesis","FAIL — undocumented binary risk")))</f>
        <v/>
      </c>
      <c r="L38" s="132" t="str">
        <f aca="false">IF('Implied-Return Calculator'!S39="","",'Implied-Return Calculator'!S39)</f>
        <v/>
      </c>
      <c r="M38" s="132" t="str">
        <f aca="false">IF('Implied-Return Calculator'!T39="","",'Implied-Return Calculator'!T39)</f>
        <v/>
      </c>
      <c r="N38" s="132" t="str">
        <f aca="false">IF('Implied-Return Calculator'!U39="","",'Implied-Return Calculator'!U39)</f>
        <v/>
      </c>
      <c r="O38" s="132"/>
      <c r="P38" s="132"/>
      <c r="Q38" s="131" t="str">
        <f aca="false">IF(OR(N38="",O38=""),"",IF(N38&lt;=50,"PASS — within ceiling",IF(AND(O38&gt;0.3,L38="PASS"),"PASS — growth+bear case exception met","FAIL — exceeds 50x, exception not met")))</f>
        <v/>
      </c>
      <c r="R38" s="131" t="str">
        <f aca="false">IF(OR(C38="",D38="",E38="",K38="",L38="",M38="",N38="",Q38=""),"",IF(AND(C38="PASS",D38="PASS",LEFT(E38,4)="PASS",LEFT(K38,4)="PASS",L38="PASS",M38="PASS",N38="OK",LEFT(Q38,4)="PASS"),"YES","NO — see failing rule(s)"))</f>
        <v/>
      </c>
      <c r="S38" s="131" t="str">
        <f aca="false">IF(R38="","",IF(R38="YES","Initiate: "&amp;H38,"DO NOT ENTER — resolve failing Entry Rule(s) above first"))</f>
        <v/>
      </c>
    </row>
    <row r="39" customFormat="false" ht="15" hidden="false" customHeight="true" outlineLevel="0" collapsed="false">
      <c r="A39" s="131" t="str">
        <f aca="false">IF(Scoring!A39="","",Scoring!A39)</f>
        <v>GOOS</v>
      </c>
      <c r="B39" s="131" t="str">
        <f aca="false">IF(Scoring!B39="","",Scoring!B39)</f>
        <v>Canada Goose Holdings</v>
      </c>
      <c r="C39" s="132" t="str">
        <f aca="false">IF(Scoring!AG39="","",IF(OR(Scoring!AG39="STRONG BUY",Scoring!AG39="BUY"),"PASS","FAIL"))</f>
        <v/>
      </c>
      <c r="D39" s="132" t="str">
        <f aca="false">IF(Scoring!AH39="","",IF(Scoring!AH39="OK","PASS","FAIL"))</f>
        <v>FAIL</v>
      </c>
      <c r="E39" s="132" t="str">
        <f aca="false">IF(Scoring!AI39="","",IF(Scoring!AI39="OK","PASS","FAIL — mandatory review required"))</f>
        <v>FAIL — mandatory review required</v>
      </c>
      <c r="F39" s="132"/>
      <c r="G39" s="132"/>
      <c r="H39" s="131" t="str">
        <f aca="false">IF(OR(F39="",G39=""),"",IF(AND(F39="Y",G39="Y"),"Standard initial size","50% of normal initial size + 90-day technical review"))</f>
        <v/>
      </c>
      <c r="I39" s="132"/>
      <c r="J39" s="132"/>
      <c r="K39" s="132" t="str">
        <f aca="false">IF(I39="","",IF(I39="N","PASS",IF(J39="Y","PASS — risk documented in thesis","FAIL — undocumented binary risk")))</f>
        <v/>
      </c>
      <c r="L39" s="132" t="str">
        <f aca="false">IF('Implied-Return Calculator'!S40="","",'Implied-Return Calculator'!S40)</f>
        <v/>
      </c>
      <c r="M39" s="132" t="str">
        <f aca="false">IF('Implied-Return Calculator'!T40="","",'Implied-Return Calculator'!T40)</f>
        <v/>
      </c>
      <c r="N39" s="132" t="str">
        <f aca="false">IF('Implied-Return Calculator'!U40="","",'Implied-Return Calculator'!U40)</f>
        <v/>
      </c>
      <c r="O39" s="132"/>
      <c r="P39" s="132"/>
      <c r="Q39" s="131" t="str">
        <f aca="false">IF(OR(N39="",O39=""),"",IF(N39&lt;=50,"PASS — within ceiling",IF(AND(O39&gt;0.3,L39="PASS"),"PASS — growth+bear case exception met","FAIL — exceeds 50x, exception not met")))</f>
        <v/>
      </c>
      <c r="R39" s="131" t="str">
        <f aca="false">IF(OR(C39="",D39="",E39="",K39="",L39="",M39="",N39="",Q39=""),"",IF(AND(C39="PASS",D39="PASS",LEFT(E39,4)="PASS",LEFT(K39,4)="PASS",L39="PASS",M39="PASS",N39="OK",LEFT(Q39,4)="PASS"),"YES","NO — see failing rule(s)"))</f>
        <v/>
      </c>
      <c r="S39" s="131" t="str">
        <f aca="false">IF(R39="","",IF(R39="YES","Initiate: "&amp;H39,"DO NOT ENTER — resolve failing Entry Rule(s) above first"))</f>
        <v/>
      </c>
    </row>
    <row r="40" customFormat="false" ht="15" hidden="false" customHeight="true" outlineLevel="0" collapsed="false">
      <c r="A40" s="131" t="str">
        <f aca="false">IF(Scoring!A40="","",Scoring!A40)</f>
        <v>AAP</v>
      </c>
      <c r="B40" s="131" t="str">
        <f aca="false">IF(Scoring!B40="","",Scoring!B40)</f>
        <v>Advance Auto Parts Inc.</v>
      </c>
      <c r="C40" s="132" t="str">
        <f aca="false">IF(Scoring!AG40="","",IF(OR(Scoring!AG40="STRONG BUY",Scoring!AG40="BUY"),"PASS","FAIL"))</f>
        <v/>
      </c>
      <c r="D40" s="132" t="str">
        <f aca="false">IF(Scoring!AH40="","",IF(Scoring!AH40="OK","PASS","FAIL"))</f>
        <v>FAIL</v>
      </c>
      <c r="E40" s="132" t="str">
        <f aca="false">IF(Scoring!AI40="","",IF(Scoring!AI40="OK","PASS","FAIL — mandatory review required"))</f>
        <v>FAIL — mandatory review required</v>
      </c>
      <c r="F40" s="132"/>
      <c r="G40" s="132"/>
      <c r="H40" s="131" t="str">
        <f aca="false">IF(OR(F40="",G40=""),"",IF(AND(F40="Y",G40="Y"),"Standard initial size","50% of normal initial size + 90-day technical review"))</f>
        <v/>
      </c>
      <c r="I40" s="132"/>
      <c r="J40" s="132"/>
      <c r="K40" s="132" t="str">
        <f aca="false">IF(I40="","",IF(I40="N","PASS",IF(J40="Y","PASS — risk documented in thesis","FAIL — undocumented binary risk")))</f>
        <v/>
      </c>
      <c r="L40" s="132" t="str">
        <f aca="false">IF('Implied-Return Calculator'!S41="","",'Implied-Return Calculator'!S41)</f>
        <v/>
      </c>
      <c r="M40" s="132" t="str">
        <f aca="false">IF('Implied-Return Calculator'!T41="","",'Implied-Return Calculator'!T41)</f>
        <v/>
      </c>
      <c r="N40" s="132" t="str">
        <f aca="false">IF('Implied-Return Calculator'!U41="","",'Implied-Return Calculator'!U41)</f>
        <v/>
      </c>
      <c r="O40" s="132"/>
      <c r="P40" s="132"/>
      <c r="Q40" s="131" t="str">
        <f aca="false">IF(OR(N40="",O40=""),"",IF(N40&lt;=50,"PASS — within ceiling",IF(AND(O40&gt;0.3,L40="PASS"),"PASS — growth+bear case exception met","FAIL — exceeds 50x, exception not met")))</f>
        <v/>
      </c>
      <c r="R40" s="131" t="str">
        <f aca="false">IF(OR(C40="",D40="",E40="",K40="",L40="",M40="",N40="",Q40=""),"",IF(AND(C40="PASS",D40="PASS",LEFT(E40,4)="PASS",LEFT(K40,4)="PASS",L40="PASS",M40="PASS",N40="OK",LEFT(Q40,4)="PASS"),"YES","NO — see failing rule(s)"))</f>
        <v/>
      </c>
      <c r="S40" s="131" t="str">
        <f aca="false">IF(R40="","",IF(R40="YES","Initiate: "&amp;H40,"DO NOT ENTER — resolve failing Entry Rule(s) above first"))</f>
        <v/>
      </c>
    </row>
    <row r="41" customFormat="false" ht="15" hidden="false" customHeight="true" outlineLevel="0" collapsed="false">
      <c r="A41" s="131" t="str">
        <f aca="false">IF(Scoring!A41="","",Scoring!A41)</f>
        <v>BABA</v>
      </c>
      <c r="B41" s="131" t="str">
        <f aca="false">IF(Scoring!B41="","",Scoring!B41)</f>
        <v>Alibaba Group Holding Ltd.</v>
      </c>
      <c r="C41" s="132" t="str">
        <f aca="false">IF(Scoring!AG41="","",IF(OR(Scoring!AG41="STRONG BUY",Scoring!AG41="BUY"),"PASS","FAIL"))</f>
        <v/>
      </c>
      <c r="D41" s="132" t="str">
        <f aca="false">IF(Scoring!AH41="","",IF(Scoring!AH41="OK","PASS","FAIL"))</f>
        <v>FAIL</v>
      </c>
      <c r="E41" s="132" t="str">
        <f aca="false">IF(Scoring!AI41="","",IF(Scoring!AI41="OK","PASS","FAIL — mandatory review required"))</f>
        <v>PASS</v>
      </c>
      <c r="F41" s="132"/>
      <c r="G41" s="132"/>
      <c r="H41" s="131" t="str">
        <f aca="false">IF(OR(F41="",G41=""),"",IF(AND(F41="Y",G41="Y"),"Standard initial size","50% of normal initial size + 90-day technical review"))</f>
        <v/>
      </c>
      <c r="I41" s="132"/>
      <c r="J41" s="132"/>
      <c r="K41" s="132" t="str">
        <f aca="false">IF(I41="","",IF(I41="N","PASS",IF(J41="Y","PASS — risk documented in thesis","FAIL — undocumented binary risk")))</f>
        <v/>
      </c>
      <c r="L41" s="132" t="str">
        <f aca="false">IF('Implied-Return Calculator'!S42="","",'Implied-Return Calculator'!S42)</f>
        <v/>
      </c>
      <c r="M41" s="132" t="str">
        <f aca="false">IF('Implied-Return Calculator'!T42="","",'Implied-Return Calculator'!T42)</f>
        <v/>
      </c>
      <c r="N41" s="132" t="str">
        <f aca="false">IF('Implied-Return Calculator'!U42="","",'Implied-Return Calculator'!U42)</f>
        <v/>
      </c>
      <c r="O41" s="132"/>
      <c r="P41" s="132"/>
      <c r="Q41" s="131" t="str">
        <f aca="false">IF(OR(N41="",O41=""),"",IF(N41&lt;=50,"PASS — within ceiling",IF(AND(O41&gt;0.3,L41="PASS"),"PASS — growth+bear case exception met","FAIL — exceeds 50x, exception not met")))</f>
        <v/>
      </c>
      <c r="R41" s="131" t="str">
        <f aca="false">IF(OR(C41="",D41="",E41="",K41="",L41="",M41="",N41="",Q41=""),"",IF(AND(C41="PASS",D41="PASS",LEFT(E41,4)="PASS",LEFT(K41,4)="PASS",L41="PASS",M41="PASS",N41="OK",LEFT(Q41,4)="PASS"),"YES","NO — see failing rule(s)"))</f>
        <v/>
      </c>
      <c r="S41" s="131" t="str">
        <f aca="false">IF(R41="","",IF(R41="YES","Initiate: "&amp;H41,"DO NOT ENTER — resolve failing Entry Rule(s) above first"))</f>
        <v/>
      </c>
    </row>
    <row r="42" customFormat="false" ht="15" hidden="false" customHeight="true" outlineLevel="0" collapsed="false">
      <c r="A42" s="131" t="str">
        <f aca="false">IF(Scoring!A42="","",Scoring!A42)</f>
        <v>ETSY</v>
      </c>
      <c r="B42" s="131" t="str">
        <f aca="false">IF(Scoring!B42="","",Scoring!B42)</f>
        <v>Etsy Inc.</v>
      </c>
      <c r="C42" s="132" t="str">
        <f aca="false">IF(Scoring!AG42="","",IF(OR(Scoring!AG42="STRONG BUY",Scoring!AG42="BUY"),"PASS","FAIL"))</f>
        <v/>
      </c>
      <c r="D42" s="132" t="str">
        <f aca="false">IF(Scoring!AH42="","",IF(Scoring!AH42="OK","PASS","FAIL"))</f>
        <v>PASS</v>
      </c>
      <c r="E42" s="132" t="str">
        <f aca="false">IF(Scoring!AI42="","",IF(Scoring!AI42="OK","PASS","FAIL — mandatory review required"))</f>
        <v>PASS</v>
      </c>
      <c r="F42" s="132"/>
      <c r="G42" s="132"/>
      <c r="H42" s="131" t="str">
        <f aca="false">IF(OR(F42="",G42=""),"",IF(AND(F42="Y",G42="Y"),"Standard initial size","50% of normal initial size + 90-day technical review"))</f>
        <v/>
      </c>
      <c r="I42" s="132"/>
      <c r="J42" s="132"/>
      <c r="K42" s="132" t="str">
        <f aca="false">IF(I42="","",IF(I42="N","PASS",IF(J42="Y","PASS — risk documented in thesis","FAIL — undocumented binary risk")))</f>
        <v/>
      </c>
      <c r="L42" s="132" t="str">
        <f aca="false">IF('Implied-Return Calculator'!S43="","",'Implied-Return Calculator'!S43)</f>
        <v/>
      </c>
      <c r="M42" s="132" t="str">
        <f aca="false">IF('Implied-Return Calculator'!T43="","",'Implied-Return Calculator'!T43)</f>
        <v/>
      </c>
      <c r="N42" s="132" t="str">
        <f aca="false">IF('Implied-Return Calculator'!U43="","",'Implied-Return Calculator'!U43)</f>
        <v/>
      </c>
      <c r="O42" s="132"/>
      <c r="P42" s="132"/>
      <c r="Q42" s="131" t="str">
        <f aca="false">IF(OR(N42="",O42=""),"",IF(N42&lt;=50,"PASS — within ceiling",IF(AND(O42&gt;0.3,L42="PASS"),"PASS — growth+bear case exception met","FAIL — exceeds 50x, exception not met")))</f>
        <v/>
      </c>
      <c r="R42" s="131" t="str">
        <f aca="false">IF(OR(C42="",D42="",E42="",K42="",L42="",M42="",N42="",Q42=""),"",IF(AND(C42="PASS",D42="PASS",LEFT(E42,4)="PASS",LEFT(K42,4)="PASS",L42="PASS",M42="PASS",N42="OK",LEFT(Q42,4)="PASS"),"YES","NO — see failing rule(s)"))</f>
        <v/>
      </c>
      <c r="S42" s="131" t="str">
        <f aca="false">IF(R42="","",IF(R42="YES","Initiate: "&amp;H42,"DO NOT ENTER — resolve failing Entry Rule(s) above first"))</f>
        <v/>
      </c>
    </row>
    <row r="43" customFormat="false" ht="15" hidden="false" customHeight="true" outlineLevel="0" collapsed="false">
      <c r="A43" s="131" t="str">
        <f aca="false">IF(Scoring!A43="","",Scoring!A43)</f>
        <v>GE</v>
      </c>
      <c r="B43" s="131" t="str">
        <f aca="false">IF(Scoring!B43="","",Scoring!B43)</f>
        <v>GE Aerospace</v>
      </c>
      <c r="C43" s="132" t="str">
        <f aca="false">IF(Scoring!AG43="","",IF(OR(Scoring!AG43="STRONG BUY",Scoring!AG43="BUY"),"PASS","FAIL"))</f>
        <v>PASS</v>
      </c>
      <c r="D43" s="132" t="str">
        <f aca="false">IF(Scoring!AH43="","",IF(Scoring!AH43="OK","PASS","FAIL"))</f>
        <v>PASS</v>
      </c>
      <c r="E43" s="132" t="str">
        <f aca="false">IF(Scoring!AI43="","",IF(Scoring!AI43="OK","PASS","FAIL — mandatory review required"))</f>
        <v>PASS</v>
      </c>
      <c r="F43" s="132"/>
      <c r="G43" s="132"/>
      <c r="H43" s="131" t="str">
        <f aca="false">IF(OR(F43="",G43=""),"",IF(AND(F43="Y",G43="Y"),"Standard initial size","50% of normal initial size + 90-day technical review"))</f>
        <v/>
      </c>
      <c r="I43" s="132"/>
      <c r="J43" s="132"/>
      <c r="K43" s="132" t="str">
        <f aca="false">IF(I43="","",IF(I43="N","PASS",IF(J43="Y","PASS — risk documented in thesis","FAIL — undocumented binary risk")))</f>
        <v/>
      </c>
      <c r="L43" s="132" t="str">
        <f aca="false">IF('Implied-Return Calculator'!S44="","",'Implied-Return Calculator'!S44)</f>
        <v/>
      </c>
      <c r="M43" s="132" t="str">
        <f aca="false">IF('Implied-Return Calculator'!T44="","",'Implied-Return Calculator'!T44)</f>
        <v/>
      </c>
      <c r="N43" s="132" t="str">
        <f aca="false">IF('Implied-Return Calculator'!U44="","",'Implied-Return Calculator'!U44)</f>
        <v/>
      </c>
      <c r="O43" s="132"/>
      <c r="P43" s="132"/>
      <c r="Q43" s="131" t="str">
        <f aca="false">IF(OR(N43="",O43=""),"",IF(N43&lt;=50,"PASS — within ceiling",IF(AND(O43&gt;0.3,L43="PASS"),"PASS — growth+bear case exception met","FAIL — exceeds 50x, exception not met")))</f>
        <v/>
      </c>
      <c r="R43" s="131" t="str">
        <f aca="false">IF(OR(C43="",D43="",E43="",K43="",L43="",M43="",N43="",Q43=""),"",IF(AND(C43="PASS",D43="PASS",LEFT(E43,4)="PASS",LEFT(K43,4)="PASS",L43="PASS",M43="PASS",N43="OK",LEFT(Q43,4)="PASS"),"YES","NO — see failing rule(s)"))</f>
        <v/>
      </c>
      <c r="S43" s="131" t="str">
        <f aca="false">IF(R43="","",IF(R43="YES","Initiate: "&amp;H43,"DO NOT ENTER — resolve failing Entry Rule(s) above first"))</f>
        <v/>
      </c>
    </row>
    <row r="44" customFormat="false" ht="15" hidden="false" customHeight="true" outlineLevel="0" collapsed="false">
      <c r="A44" s="131" t="str">
        <f aca="false">IF(Scoring!A44="","",Scoring!A44)</f>
        <v>PH</v>
      </c>
      <c r="B44" s="131" t="str">
        <f aca="false">IF(Scoring!B44="","",Scoring!B44)</f>
        <v>Parker-Hannifin Corporation</v>
      </c>
      <c r="C44" s="132" t="str">
        <f aca="false">IF(Scoring!AG44="","",IF(OR(Scoring!AG44="STRONG BUY",Scoring!AG44="BUY"),"PASS","FAIL"))</f>
        <v/>
      </c>
      <c r="D44" s="132" t="str">
        <f aca="false">IF(Scoring!AH44="","",IF(Scoring!AH44="OK","PASS","FAIL"))</f>
        <v>PASS</v>
      </c>
      <c r="E44" s="132" t="str">
        <f aca="false">IF(Scoring!AI44="","",IF(Scoring!AI44="OK","PASS","FAIL — mandatory review required"))</f>
        <v>PASS</v>
      </c>
      <c r="F44" s="132"/>
      <c r="G44" s="132"/>
      <c r="H44" s="131" t="str">
        <f aca="false">IF(OR(F44="",G44=""),"",IF(AND(F44="Y",G44="Y"),"Standard initial size","50% of normal initial size + 90-day technical review"))</f>
        <v/>
      </c>
      <c r="I44" s="132"/>
      <c r="J44" s="132"/>
      <c r="K44" s="132" t="str">
        <f aca="false">IF(I44="","",IF(I44="N","PASS",IF(J44="Y","PASS — risk documented in thesis","FAIL — undocumented binary risk")))</f>
        <v/>
      </c>
      <c r="L44" s="132" t="str">
        <f aca="false">IF('Implied-Return Calculator'!S45="","",'Implied-Return Calculator'!S45)</f>
        <v/>
      </c>
      <c r="M44" s="132" t="str">
        <f aca="false">IF('Implied-Return Calculator'!T45="","",'Implied-Return Calculator'!T45)</f>
        <v/>
      </c>
      <c r="N44" s="132" t="str">
        <f aca="false">IF('Implied-Return Calculator'!U45="","",'Implied-Return Calculator'!U45)</f>
        <v/>
      </c>
      <c r="O44" s="132"/>
      <c r="P44" s="132"/>
      <c r="Q44" s="131" t="str">
        <f aca="false">IF(OR(N44="",O44=""),"",IF(N44&lt;=50,"PASS — within ceiling",IF(AND(O44&gt;0.3,L44="PASS"),"PASS — growth+bear case exception met","FAIL — exceeds 50x, exception not met")))</f>
        <v/>
      </c>
      <c r="R44" s="131" t="str">
        <f aca="false">IF(OR(C44="",D44="",E44="",K44="",L44="",M44="",N44="",Q44=""),"",IF(AND(C44="PASS",D44="PASS",LEFT(E44,4)="PASS",LEFT(K44,4)="PASS",L44="PASS",M44="PASS",N44="OK",LEFT(Q44,4)="PASS"),"YES","NO — see failing rule(s)"))</f>
        <v/>
      </c>
      <c r="S44" s="131" t="str">
        <f aca="false">IF(R44="","",IF(R44="YES","Initiate: "&amp;H44,"DO NOT ENTER — resolve failing Entry Rule(s) above first"))</f>
        <v/>
      </c>
    </row>
    <row r="45" customFormat="false" ht="15" hidden="false" customHeight="true" outlineLevel="0" collapsed="false">
      <c r="A45" s="131" t="str">
        <f aca="false">IF(Scoring!A45="","",Scoring!A45)</f>
        <v>ETN</v>
      </c>
      <c r="B45" s="131" t="str">
        <f aca="false">IF(Scoring!B45="","",Scoring!B45)</f>
        <v>Eaton Corporation plc</v>
      </c>
      <c r="C45" s="132" t="str">
        <f aca="false">IF(Scoring!AG45="","",IF(OR(Scoring!AG45="STRONG BUY",Scoring!AG45="BUY"),"PASS","FAIL"))</f>
        <v/>
      </c>
      <c r="D45" s="132" t="str">
        <f aca="false">IF(Scoring!AH45="","",IF(Scoring!AH45="OK","PASS","FAIL"))</f>
        <v>PASS</v>
      </c>
      <c r="E45" s="132" t="str">
        <f aca="false">IF(Scoring!AI45="","",IF(Scoring!AI45="OK","PASS","FAIL — mandatory review required"))</f>
        <v>PASS</v>
      </c>
      <c r="F45" s="132"/>
      <c r="G45" s="132"/>
      <c r="H45" s="131" t="str">
        <f aca="false">IF(OR(F45="",G45=""),"",IF(AND(F45="Y",G45="Y"),"Standard initial size","50% of normal initial size + 90-day technical review"))</f>
        <v/>
      </c>
      <c r="I45" s="132"/>
      <c r="J45" s="132"/>
      <c r="K45" s="132" t="str">
        <f aca="false">IF(I45="","",IF(I45="N","PASS",IF(J45="Y","PASS — risk documented in thesis","FAIL — undocumented binary risk")))</f>
        <v/>
      </c>
      <c r="L45" s="132" t="str">
        <f aca="false">IF('Implied-Return Calculator'!S46="","",'Implied-Return Calculator'!S46)</f>
        <v/>
      </c>
      <c r="M45" s="132" t="str">
        <f aca="false">IF('Implied-Return Calculator'!T46="","",'Implied-Return Calculator'!T46)</f>
        <v/>
      </c>
      <c r="N45" s="132" t="str">
        <f aca="false">IF('Implied-Return Calculator'!U46="","",'Implied-Return Calculator'!U46)</f>
        <v/>
      </c>
      <c r="O45" s="132"/>
      <c r="P45" s="132"/>
      <c r="Q45" s="131" t="str">
        <f aca="false">IF(OR(N45="",O45=""),"",IF(N45&lt;=50,"PASS — within ceiling",IF(AND(O45&gt;0.3,L45="PASS"),"PASS — growth+bear case exception met","FAIL — exceeds 50x, exception not met")))</f>
        <v/>
      </c>
      <c r="R45" s="131" t="str">
        <f aca="false">IF(OR(C45="",D45="",E45="",K45="",L45="",M45="",N45="",Q45=""),"",IF(AND(C45="PASS",D45="PASS",LEFT(E45,4)="PASS",LEFT(K45,4)="PASS",L45="PASS",M45="PASS",N45="OK",LEFT(Q45,4)="PASS"),"YES","NO — see failing rule(s)"))</f>
        <v/>
      </c>
      <c r="S45" s="131" t="str">
        <f aca="false">IF(R45="","",IF(R45="YES","Initiate: "&amp;H45,"DO NOT ENTER — resolve failing Entry Rule(s) above first"))</f>
        <v/>
      </c>
    </row>
    <row r="46" customFormat="false" ht="15" hidden="false" customHeight="true" outlineLevel="0" collapsed="false">
      <c r="A46" s="131" t="str">
        <f aca="false">IF(Scoring!A46="","",Scoring!A46)</f>
        <v>DIS</v>
      </c>
      <c r="B46" s="131" t="str">
        <f aca="false">IF(Scoring!B46="","",Scoring!B46)</f>
        <v>The Walt Disney Company</v>
      </c>
      <c r="C46" s="132" t="str">
        <f aca="false">IF(Scoring!AG46="","",IF(OR(Scoring!AG46="STRONG BUY",Scoring!AG46="BUY"),"PASS","FAIL"))</f>
        <v/>
      </c>
      <c r="D46" s="132" t="str">
        <f aca="false">IF(Scoring!AH46="","",IF(Scoring!AH46="OK","PASS","FAIL"))</f>
        <v>FAIL</v>
      </c>
      <c r="E46" s="132" t="str">
        <f aca="false">IF(Scoring!AI46="","",IF(Scoring!AI46="OK","PASS","FAIL — mandatory review required"))</f>
        <v>PASS</v>
      </c>
      <c r="F46" s="132"/>
      <c r="G46" s="132"/>
      <c r="H46" s="131" t="str">
        <f aca="false">IF(OR(F46="",G46=""),"",IF(AND(F46="Y",G46="Y"),"Standard initial size","50% of normal initial size + 90-day technical review"))</f>
        <v/>
      </c>
      <c r="I46" s="132"/>
      <c r="J46" s="132"/>
      <c r="K46" s="132" t="str">
        <f aca="false">IF(I46="","",IF(I46="N","PASS",IF(J46="Y","PASS — risk documented in thesis","FAIL — undocumented binary risk")))</f>
        <v/>
      </c>
      <c r="L46" s="132" t="str">
        <f aca="false">IF('Implied-Return Calculator'!S47="","",'Implied-Return Calculator'!S47)</f>
        <v/>
      </c>
      <c r="M46" s="132" t="str">
        <f aca="false">IF('Implied-Return Calculator'!T47="","",'Implied-Return Calculator'!T47)</f>
        <v/>
      </c>
      <c r="N46" s="132" t="str">
        <f aca="false">IF('Implied-Return Calculator'!U47="","",'Implied-Return Calculator'!U47)</f>
        <v/>
      </c>
      <c r="O46" s="132"/>
      <c r="P46" s="132"/>
      <c r="Q46" s="131" t="str">
        <f aca="false">IF(OR(N46="",O46=""),"",IF(N46&lt;=50,"PASS — within ceiling",IF(AND(O46&gt;0.3,L46="PASS"),"PASS — growth+bear case exception met","FAIL — exceeds 50x, exception not met")))</f>
        <v/>
      </c>
      <c r="R46" s="131" t="str">
        <f aca="false">IF(OR(C46="",D46="",E46="",K46="",L46="",M46="",N46="",Q46=""),"",IF(AND(C46="PASS",D46="PASS",LEFT(E46,4)="PASS",LEFT(K46,4)="PASS",L46="PASS",M46="PASS",N46="OK",LEFT(Q46,4)="PASS"),"YES","NO — see failing rule(s)"))</f>
        <v/>
      </c>
      <c r="S46" s="131" t="str">
        <f aca="false">IF(R46="","",IF(R46="YES","Initiate: "&amp;H46,"DO NOT ENTER — resolve failing Entry Rule(s) above first"))</f>
        <v/>
      </c>
    </row>
    <row r="47" customFormat="false" ht="15" hidden="false" customHeight="true" outlineLevel="0" collapsed="false">
      <c r="A47" s="131" t="str">
        <f aca="false">IF(Scoring!A47="","",Scoring!A47)</f>
        <v>NFLX</v>
      </c>
      <c r="B47" s="131" t="str">
        <f aca="false">IF(Scoring!B47="","",Scoring!B47)</f>
        <v>Netflix, Inc.</v>
      </c>
      <c r="C47" s="132" t="str">
        <f aca="false">IF(Scoring!AG47="","",IF(OR(Scoring!AG47="STRONG BUY",Scoring!AG47="BUY"),"PASS","FAIL"))</f>
        <v>PASS</v>
      </c>
      <c r="D47" s="132" t="str">
        <f aca="false">IF(Scoring!AH47="","",IF(Scoring!AH47="OK","PASS","FAIL"))</f>
        <v>PASS</v>
      </c>
      <c r="E47" s="132" t="str">
        <f aca="false">IF(Scoring!AI47="","",IF(Scoring!AI47="OK","PASS","FAIL — mandatory review required"))</f>
        <v>PASS</v>
      </c>
      <c r="F47" s="132"/>
      <c r="G47" s="132"/>
      <c r="H47" s="131" t="str">
        <f aca="false">IF(OR(F47="",G47=""),"",IF(AND(F47="Y",G47="Y"),"Standard initial size","50% of normal initial size + 90-day technical review"))</f>
        <v/>
      </c>
      <c r="I47" s="132"/>
      <c r="J47" s="132"/>
      <c r="K47" s="132" t="str">
        <f aca="false">IF(I47="","",IF(I47="N","PASS",IF(J47="Y","PASS — risk documented in thesis","FAIL — undocumented binary risk")))</f>
        <v/>
      </c>
      <c r="L47" s="132" t="str">
        <f aca="false">IF('Implied-Return Calculator'!S48="","",'Implied-Return Calculator'!S48)</f>
        <v/>
      </c>
      <c r="M47" s="132" t="str">
        <f aca="false">IF('Implied-Return Calculator'!T48="","",'Implied-Return Calculator'!T48)</f>
        <v/>
      </c>
      <c r="N47" s="132" t="str">
        <f aca="false">IF('Implied-Return Calculator'!U48="","",'Implied-Return Calculator'!U48)</f>
        <v/>
      </c>
      <c r="O47" s="132"/>
      <c r="P47" s="132"/>
      <c r="Q47" s="131" t="str">
        <f aca="false">IF(OR(N47="",O47=""),"",IF(N47&lt;=50,"PASS — within ceiling",IF(AND(O47&gt;0.3,L47="PASS"),"PASS — growth+bear case exception met","FAIL — exceeds 50x, exception not met")))</f>
        <v/>
      </c>
      <c r="R47" s="131" t="str">
        <f aca="false">IF(OR(C47="",D47="",E47="",K47="",L47="",M47="",N47="",Q47=""),"",IF(AND(C47="PASS",D47="PASS",LEFT(E47,4)="PASS",LEFT(K47,4)="PASS",L47="PASS",M47="PASS",N47="OK",LEFT(Q47,4)="PASS"),"YES","NO — see failing rule(s)"))</f>
        <v/>
      </c>
      <c r="S47" s="131" t="str">
        <f aca="false">IF(R47="","",IF(R47="YES","Initiate: "&amp;H47,"DO NOT ENTER — resolve failing Entry Rule(s) above first"))</f>
        <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20" activePane="bottomLeft" state="frozen"/>
      <selection pane="topLeft" activeCell="A1" activeCellId="0" sqref="A1"/>
      <selection pane="bottomLeft" activeCell="L31" activeCellId="0" sqref="L31"/>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133" width="20"/>
    <col collapsed="false" customWidth="true" hidden="false" outlineLevel="0" max="3" min="3" style="1" width="9.33"/>
    <col collapsed="false" customWidth="true" hidden="false" outlineLevel="0" max="4" min="4" style="1" width="13"/>
    <col collapsed="false" customWidth="true" hidden="false" outlineLevel="0" max="5" min="5" style="1" width="15"/>
    <col collapsed="false" customWidth="true" hidden="false" outlineLevel="0" max="6" min="6" style="1" width="6.33"/>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134" t="s">
        <v>428</v>
      </c>
      <c r="B1" s="134"/>
      <c r="C1" s="134"/>
      <c r="D1" s="134"/>
      <c r="E1" s="134"/>
      <c r="F1" s="134"/>
      <c r="G1" s="134"/>
      <c r="H1" s="134"/>
      <c r="I1" s="134"/>
    </row>
    <row r="2" customFormat="false" ht="25.5" hidden="false" customHeight="true" outlineLevel="0" collapsed="false">
      <c r="A2" s="110" t="s">
        <v>81</v>
      </c>
      <c r="B2" s="110" t="s">
        <v>280</v>
      </c>
      <c r="C2" s="110" t="s">
        <v>429</v>
      </c>
      <c r="D2" s="110" t="s">
        <v>430</v>
      </c>
      <c r="E2" s="110" t="s">
        <v>431</v>
      </c>
      <c r="F2" s="110" t="s">
        <v>432</v>
      </c>
      <c r="G2" s="110" t="s">
        <v>433</v>
      </c>
      <c r="H2" s="110" t="s">
        <v>434</v>
      </c>
      <c r="I2" s="110" t="s">
        <v>435</v>
      </c>
    </row>
    <row r="3" customFormat="false" ht="15" hidden="false" customHeight="true" outlineLevel="0" collapsed="false">
      <c r="A3" s="114" t="s">
        <v>95</v>
      </c>
      <c r="B3" s="112" t="s">
        <v>96</v>
      </c>
      <c r="C3" s="135" t="n">
        <v>233.17</v>
      </c>
      <c r="D3" s="119" t="n">
        <v>3955803</v>
      </c>
      <c r="E3" s="136" t="n">
        <v>92685.074432</v>
      </c>
      <c r="F3" s="137" t="n">
        <v>13.0262575</v>
      </c>
      <c r="G3" s="135" t="n">
        <v>190.12</v>
      </c>
      <c r="H3" s="135" t="n">
        <v>363.7</v>
      </c>
      <c r="I3" s="121"/>
    </row>
    <row r="4" customFormat="false" ht="15" hidden="false" customHeight="true" outlineLevel="0" collapsed="false">
      <c r="A4" s="114" t="s">
        <v>100</v>
      </c>
      <c r="B4" s="112" t="s">
        <v>101</v>
      </c>
      <c r="C4" s="135" t="n">
        <v>202.805</v>
      </c>
      <c r="D4" s="119" t="n">
        <v>3645350</v>
      </c>
      <c r="E4" s="136" t="n">
        <v>255782.66624</v>
      </c>
      <c r="F4" s="137" t="n">
        <v>64.38254</v>
      </c>
      <c r="G4" s="135" t="n">
        <v>114.52</v>
      </c>
      <c r="H4" s="135" t="n">
        <v>214.89</v>
      </c>
      <c r="I4" s="121"/>
    </row>
    <row r="5" customFormat="false" ht="15" hidden="false" customHeight="true" outlineLevel="0" collapsed="false">
      <c r="A5" s="114" t="s">
        <v>102</v>
      </c>
      <c r="B5" s="112" t="s">
        <v>103</v>
      </c>
      <c r="C5" s="135" t="n">
        <v>1834.39</v>
      </c>
      <c r="D5" s="119" t="n">
        <v>1633836</v>
      </c>
      <c r="E5" s="136" t="n">
        <v>704589.201408</v>
      </c>
      <c r="F5" s="137" t="n">
        <v>63.539658</v>
      </c>
      <c r="G5" s="135" t="n">
        <v>935.41</v>
      </c>
      <c r="H5" s="135" t="n">
        <v>1999.96</v>
      </c>
      <c r="I5" s="121" t="n">
        <v>0.51</v>
      </c>
    </row>
    <row r="6" customFormat="false" ht="15" hidden="false" customHeight="true" outlineLevel="0" collapsed="false">
      <c r="A6" s="114" t="s">
        <v>165</v>
      </c>
      <c r="B6" s="112" t="s">
        <v>166</v>
      </c>
      <c r="C6" s="135" t="n">
        <v>355.1</v>
      </c>
      <c r="D6" s="119" t="n">
        <v>17377536</v>
      </c>
      <c r="E6" s="136" t="n">
        <v>1695116.034048</v>
      </c>
      <c r="F6" s="137" t="n">
        <v>45.760307</v>
      </c>
      <c r="G6" s="135" t="n">
        <v>289.96</v>
      </c>
      <c r="H6" s="135" t="n">
        <v>495</v>
      </c>
      <c r="I6" s="121" t="n">
        <v>0.74</v>
      </c>
    </row>
    <row r="7" customFormat="false" ht="15" hidden="false" customHeight="true" outlineLevel="0" collapsed="false">
      <c r="A7" s="114" t="s">
        <v>156</v>
      </c>
      <c r="B7" s="112" t="s">
        <v>157</v>
      </c>
      <c r="C7" s="135" t="n">
        <v>118.77</v>
      </c>
      <c r="D7" s="119" t="n">
        <v>1735494</v>
      </c>
      <c r="E7" s="136"/>
      <c r="F7" s="137" t="n">
        <v>11.794926</v>
      </c>
      <c r="G7" s="135" t="n">
        <v>93.87</v>
      </c>
      <c r="H7" s="135" t="n">
        <v>129.05</v>
      </c>
      <c r="I7" s="121" t="n">
        <v>1.25</v>
      </c>
    </row>
    <row r="8" customFormat="false" ht="15" hidden="false" customHeight="true" outlineLevel="0" collapsed="false">
      <c r="A8" s="114" t="s">
        <v>231</v>
      </c>
      <c r="B8" s="112" t="s">
        <v>380</v>
      </c>
      <c r="C8" s="135" t="n">
        <v>36.96</v>
      </c>
      <c r="D8" s="119" t="n">
        <v>9787856</v>
      </c>
      <c r="E8" s="136" t="n">
        <v>46769.8</v>
      </c>
      <c r="F8" s="137" t="n">
        <v>34.22222</v>
      </c>
      <c r="G8" s="135" t="n">
        <v>28.04</v>
      </c>
      <c r="H8" s="135" t="n">
        <v>42.82</v>
      </c>
      <c r="I8" s="121"/>
    </row>
    <row r="9" customFormat="false" ht="15" hidden="false" customHeight="true" outlineLevel="0" collapsed="false">
      <c r="A9" s="114" t="s">
        <v>233</v>
      </c>
      <c r="B9" s="112" t="s">
        <v>351</v>
      </c>
      <c r="C9" s="135" t="n">
        <v>910.18</v>
      </c>
      <c r="D9" s="119" t="n">
        <v>2225742</v>
      </c>
      <c r="E9" s="136" t="n">
        <v>403645.5</v>
      </c>
      <c r="F9" s="137" t="n">
        <v>45.80674</v>
      </c>
      <c r="G9" s="135" t="n">
        <v>844.06</v>
      </c>
      <c r="H9" s="135" t="n">
        <v>1096.5</v>
      </c>
      <c r="I9" s="121" t="n">
        <v>0.64</v>
      </c>
    </row>
    <row r="10" customFormat="false" ht="15" hidden="false" customHeight="true" outlineLevel="0" collapsed="false">
      <c r="A10" s="114" t="s">
        <v>104</v>
      </c>
      <c r="B10" s="112" t="s">
        <v>105</v>
      </c>
      <c r="C10" s="135" t="n">
        <v>262.74</v>
      </c>
      <c r="D10" s="119" t="n">
        <v>6775435</v>
      </c>
      <c r="E10" s="136" t="n">
        <v>269028.63872</v>
      </c>
      <c r="F10" s="137" t="n">
        <v>8758</v>
      </c>
      <c r="G10" s="135" t="n">
        <v>85.68</v>
      </c>
      <c r="H10" s="135" t="n">
        <v>263.87</v>
      </c>
      <c r="I10" s="121"/>
    </row>
    <row r="11" customFormat="false" ht="15" hidden="false" customHeight="true" outlineLevel="0" collapsed="false">
      <c r="A11" s="114" t="s">
        <v>238</v>
      </c>
      <c r="B11" s="112" t="s">
        <v>382</v>
      </c>
      <c r="C11" s="135" t="n">
        <v>335.41</v>
      </c>
      <c r="D11" s="119" t="n">
        <v>556220</v>
      </c>
      <c r="E11" s="136" t="n">
        <v>11095.9</v>
      </c>
      <c r="F11" s="137" t="n">
        <v>19.024958</v>
      </c>
      <c r="G11" s="135" t="n">
        <v>282</v>
      </c>
      <c r="H11" s="135" t="n">
        <v>464.23</v>
      </c>
      <c r="I11" s="121" t="n">
        <v>2.33</v>
      </c>
    </row>
    <row r="12" customFormat="false" ht="15" hidden="false" customHeight="true" outlineLevel="0" collapsed="false">
      <c r="A12" s="114" t="s">
        <v>126</v>
      </c>
      <c r="B12" s="112" t="s">
        <v>127</v>
      </c>
      <c r="C12" s="135" t="n">
        <v>153.17</v>
      </c>
      <c r="D12" s="119" t="n">
        <v>281494</v>
      </c>
      <c r="E12" s="136"/>
      <c r="F12" s="137" t="n">
        <v>14.566291</v>
      </c>
      <c r="G12" s="135" t="n">
        <v>137.16</v>
      </c>
      <c r="H12" s="135" t="n">
        <v>167.06</v>
      </c>
      <c r="I12" s="121" t="n">
        <v>3.24</v>
      </c>
    </row>
    <row r="13" customFormat="false" ht="15" hidden="false" customHeight="true" outlineLevel="0" collapsed="false">
      <c r="A13" s="114" t="s">
        <v>241</v>
      </c>
      <c r="B13" s="112" t="s">
        <v>361</v>
      </c>
      <c r="C13" s="135" t="n">
        <v>21.51</v>
      </c>
      <c r="D13" s="119" t="n">
        <v>6978880</v>
      </c>
      <c r="E13" s="136" t="n">
        <v>74065.4</v>
      </c>
      <c r="F13" s="137" t="n">
        <v>14.732877</v>
      </c>
      <c r="G13" s="135" t="n">
        <v>16.18</v>
      </c>
      <c r="H13" s="135" t="n">
        <v>21.77</v>
      </c>
      <c r="I13" s="121" t="n">
        <v>6.33</v>
      </c>
    </row>
    <row r="14" customFormat="false" ht="15" hidden="false" customHeight="true" outlineLevel="0" collapsed="false">
      <c r="A14" s="114" t="s">
        <v>243</v>
      </c>
      <c r="B14" s="112" t="s">
        <v>397</v>
      </c>
      <c r="C14" s="135" t="n">
        <v>422.13</v>
      </c>
      <c r="D14" s="119" t="n">
        <v>2032961</v>
      </c>
      <c r="E14" s="136" t="n">
        <v>163955.3</v>
      </c>
      <c r="F14" s="137" t="n">
        <v>42.986763</v>
      </c>
      <c r="G14" s="135" t="n">
        <v>311.92</v>
      </c>
      <c r="H14" s="135" t="n">
        <v>478</v>
      </c>
      <c r="I14" s="121" t="n">
        <v>1.07</v>
      </c>
    </row>
    <row r="15" customFormat="false" ht="15" hidden="false" customHeight="true" outlineLevel="0" collapsed="false">
      <c r="A15" s="114" t="s">
        <v>245</v>
      </c>
      <c r="B15" s="112" t="s">
        <v>393</v>
      </c>
      <c r="C15" s="135" t="n">
        <v>72.82</v>
      </c>
      <c r="D15" s="119" t="n">
        <v>4895271</v>
      </c>
      <c r="E15" s="136" t="n">
        <v>6683.5</v>
      </c>
      <c r="F15" s="137" t="n">
        <v>23.044304</v>
      </c>
      <c r="G15" s="135" t="n">
        <v>44</v>
      </c>
      <c r="H15" s="135" t="n">
        <v>87.974</v>
      </c>
      <c r="I15" s="121" t="n">
        <v>0.54</v>
      </c>
    </row>
    <row r="16" customFormat="false" ht="15" hidden="false" customHeight="true" outlineLevel="0" collapsed="false">
      <c r="A16" s="114" t="s">
        <v>140</v>
      </c>
      <c r="B16" s="112" t="s">
        <v>141</v>
      </c>
      <c r="C16" s="135" t="n">
        <v>334.91</v>
      </c>
      <c r="D16" s="119" t="n">
        <v>3059378</v>
      </c>
      <c r="E16" s="136" t="n">
        <v>347490.1</v>
      </c>
      <c r="F16" s="137" t="n">
        <v>39.401176</v>
      </c>
      <c r="G16" s="135" t="n">
        <v>268.91</v>
      </c>
      <c r="H16" s="135" t="n">
        <v>388.84</v>
      </c>
      <c r="I16" s="121" t="n">
        <v>0.56</v>
      </c>
    </row>
    <row r="17" customFormat="false" ht="15" hidden="false" customHeight="true" outlineLevel="0" collapsed="false">
      <c r="A17" s="114" t="s">
        <v>162</v>
      </c>
      <c r="B17" s="112" t="s">
        <v>163</v>
      </c>
      <c r="C17" s="135" t="n">
        <v>69.39</v>
      </c>
      <c r="D17" s="119" t="n">
        <v>203268</v>
      </c>
      <c r="E17" s="136"/>
      <c r="F17" s="137" t="n">
        <v>24.4576</v>
      </c>
      <c r="G17" s="135" t="n">
        <v>63.24</v>
      </c>
      <c r="H17" s="135" t="n">
        <v>70.23</v>
      </c>
      <c r="I17" s="121" t="n">
        <v>0.62</v>
      </c>
    </row>
    <row r="18" customFormat="false" ht="15" hidden="false" customHeight="true" outlineLevel="0" collapsed="false">
      <c r="A18" s="114" t="s">
        <v>187</v>
      </c>
      <c r="B18" s="112" t="s">
        <v>188</v>
      </c>
      <c r="C18" s="135" t="n">
        <v>56.87</v>
      </c>
      <c r="D18" s="119" t="n">
        <v>4759638</v>
      </c>
      <c r="E18" s="136"/>
      <c r="F18" s="137" t="n">
        <v>25.282299</v>
      </c>
      <c r="G18" s="135" t="n">
        <v>55.1</v>
      </c>
      <c r="H18" s="135" t="n">
        <v>59.9</v>
      </c>
      <c r="I18" s="121" t="n">
        <v>7.97</v>
      </c>
    </row>
    <row r="19" customFormat="false" ht="15" hidden="false" customHeight="true" outlineLevel="0" collapsed="false">
      <c r="A19" s="114" t="s">
        <v>152</v>
      </c>
      <c r="B19" s="112" t="s">
        <v>153</v>
      </c>
      <c r="C19" s="135" t="n">
        <v>59.85</v>
      </c>
      <c r="D19" s="119" t="n">
        <v>5120618</v>
      </c>
      <c r="E19" s="136" t="n">
        <v>225986.3</v>
      </c>
      <c r="F19" s="137" t="n">
        <v>28.95007</v>
      </c>
      <c r="G19" s="135" t="n">
        <v>53.51</v>
      </c>
      <c r="H19" s="135" t="n">
        <v>61.72</v>
      </c>
      <c r="I19" s="121" t="n">
        <v>10.84</v>
      </c>
    </row>
    <row r="20" customFormat="false" ht="15" hidden="false" customHeight="true" outlineLevel="0" collapsed="false">
      <c r="A20" s="114" t="s">
        <v>106</v>
      </c>
      <c r="B20" s="112" t="s">
        <v>107</v>
      </c>
      <c r="C20" s="135" t="n">
        <v>196.53</v>
      </c>
      <c r="D20" s="119" t="n">
        <v>7447910</v>
      </c>
      <c r="E20" s="136" t="n">
        <v>256472.92416</v>
      </c>
      <c r="F20" s="137" t="n">
        <v>53.843834</v>
      </c>
      <c r="G20" s="135" t="n">
        <v>98.097</v>
      </c>
      <c r="H20" s="135" t="n">
        <v>307.37</v>
      </c>
      <c r="I20" s="121" t="n">
        <v>0.49</v>
      </c>
    </row>
    <row r="21" customFormat="false" ht="15" hidden="false" customHeight="true" outlineLevel="0" collapsed="false">
      <c r="A21" s="114" t="s">
        <v>252</v>
      </c>
      <c r="B21" s="112" t="s">
        <v>371</v>
      </c>
      <c r="C21" s="135" t="n">
        <v>468.38</v>
      </c>
      <c r="D21" s="119" t="n">
        <v>2533696</v>
      </c>
      <c r="E21" s="136" t="n">
        <v>215913.9</v>
      </c>
      <c r="F21" s="137" t="n">
        <v>30.179123</v>
      </c>
      <c r="G21" s="135" t="n">
        <v>387.78</v>
      </c>
      <c r="H21" s="135" t="n">
        <v>548.2</v>
      </c>
      <c r="I21" s="121" t="n">
        <v>1.34</v>
      </c>
    </row>
    <row r="22" customFormat="false" ht="15" hidden="false" customHeight="true" outlineLevel="0" collapsed="false">
      <c r="A22" s="114" t="s">
        <v>136</v>
      </c>
      <c r="B22" s="112" t="s">
        <v>137</v>
      </c>
      <c r="C22" s="135" t="n">
        <v>54.93</v>
      </c>
      <c r="D22" s="119" t="n">
        <v>350807</v>
      </c>
      <c r="E22" s="136"/>
      <c r="F22" s="137" t="n">
        <v>18.950302</v>
      </c>
      <c r="G22" s="135" t="n">
        <v>49.15</v>
      </c>
      <c r="H22" s="135" t="n">
        <v>58.47</v>
      </c>
      <c r="I22" s="121" t="n">
        <v>0.47</v>
      </c>
    </row>
    <row r="23" customFormat="false" ht="15" hidden="false" customHeight="true" outlineLevel="0" collapsed="false">
      <c r="A23" s="114" t="s">
        <v>108</v>
      </c>
      <c r="B23" s="112" t="s">
        <v>109</v>
      </c>
      <c r="C23" s="135" t="n">
        <v>1065.08</v>
      </c>
      <c r="D23" s="119" t="n">
        <v>17447896</v>
      </c>
      <c r="E23" s="136" t="n">
        <v>1202894.012416</v>
      </c>
      <c r="F23" s="137" t="n">
        <v>24.05873</v>
      </c>
      <c r="G23" s="135" t="n">
        <v>163.96</v>
      </c>
      <c r="H23" s="135" t="n">
        <v>1255</v>
      </c>
      <c r="I23" s="121" t="n">
        <v>0.05</v>
      </c>
    </row>
    <row r="24" customFormat="false" ht="15" hidden="false" customHeight="true" outlineLevel="0" collapsed="false">
      <c r="A24" s="114" t="s">
        <v>143</v>
      </c>
      <c r="B24" s="112" t="s">
        <v>144</v>
      </c>
      <c r="C24" s="135" t="n">
        <v>76.77</v>
      </c>
      <c r="D24" s="119" t="n">
        <v>33613528</v>
      </c>
      <c r="E24" s="136" t="n">
        <v>319665.6</v>
      </c>
      <c r="F24" s="137" t="n">
        <v>24.141508</v>
      </c>
      <c r="G24" s="135" t="n">
        <v>65.08</v>
      </c>
      <c r="H24" s="135" t="n">
        <v>126.7</v>
      </c>
      <c r="I24" s="121" t="n">
        <v>0.79</v>
      </c>
    </row>
    <row r="25" customFormat="false" ht="15" hidden="false" customHeight="true" outlineLevel="0" collapsed="false">
      <c r="A25" s="114" t="s">
        <v>110</v>
      </c>
      <c r="B25" s="112" t="s">
        <v>111</v>
      </c>
      <c r="C25" s="135" t="n">
        <v>227.21</v>
      </c>
      <c r="D25" s="119" t="n">
        <v>93878615</v>
      </c>
      <c r="E25" s="136" t="n">
        <v>5486440.087552</v>
      </c>
      <c r="F25" s="137" t="n">
        <v>28.688131</v>
      </c>
      <c r="G25" s="135" t="n">
        <v>164.27</v>
      </c>
      <c r="H25" s="135" t="n">
        <v>236.54</v>
      </c>
      <c r="I25" s="121" t="n">
        <v>0.44</v>
      </c>
    </row>
    <row r="26" customFormat="false" ht="15" hidden="false" customHeight="true" outlineLevel="0" collapsed="false">
      <c r="A26" s="114" t="s">
        <v>263</v>
      </c>
      <c r="B26" s="112" t="s">
        <v>379</v>
      </c>
      <c r="C26" s="135" t="n">
        <v>145.58</v>
      </c>
      <c r="D26" s="119" t="n">
        <v>6281928</v>
      </c>
      <c r="E26" s="136" t="n">
        <v>338134.7</v>
      </c>
      <c r="F26" s="137" t="n">
        <v>21.990936</v>
      </c>
      <c r="G26" s="135" t="n">
        <v>137.62</v>
      </c>
      <c r="H26" s="135" t="n">
        <v>167.25</v>
      </c>
      <c r="I26" s="121" t="n">
        <v>2.97</v>
      </c>
    </row>
    <row r="27" customFormat="false" ht="15" hidden="false" customHeight="true" outlineLevel="0" collapsed="false">
      <c r="A27" s="114" t="s">
        <v>265</v>
      </c>
      <c r="B27" s="112" t="s">
        <v>395</v>
      </c>
      <c r="C27" s="135" t="n">
        <v>955.87</v>
      </c>
      <c r="D27" s="119" t="n">
        <v>437579</v>
      </c>
      <c r="E27" s="136" t="n">
        <v>120485</v>
      </c>
      <c r="F27" s="137" t="n">
        <v>33.55107</v>
      </c>
      <c r="G27" s="135" t="n">
        <v>715.37</v>
      </c>
      <c r="H27" s="135" t="n">
        <v>1099.94</v>
      </c>
      <c r="I27" s="121" t="n">
        <v>0.83</v>
      </c>
    </row>
    <row r="28" customFormat="false" ht="15" hidden="false" customHeight="true" outlineLevel="0" collapsed="false">
      <c r="A28" s="114" t="s">
        <v>170</v>
      </c>
      <c r="B28" s="112" t="s">
        <v>337</v>
      </c>
      <c r="C28" s="135" t="n">
        <v>132.62</v>
      </c>
      <c r="D28" s="119" t="n">
        <v>2857085</v>
      </c>
      <c r="E28" s="136" t="n">
        <v>128918.757376</v>
      </c>
      <c r="F28" s="137" t="n">
        <v>29.536749</v>
      </c>
      <c r="G28" s="135" t="n">
        <v>111.03</v>
      </c>
      <c r="H28" s="135" t="n">
        <v>153.35</v>
      </c>
      <c r="I28" s="121" t="n">
        <v>3.23</v>
      </c>
    </row>
    <row r="29" customFormat="false" ht="15" hidden="false" customHeight="true" outlineLevel="0" collapsed="false">
      <c r="A29" s="114" t="s">
        <v>112</v>
      </c>
      <c r="B29" s="112" t="s">
        <v>113</v>
      </c>
      <c r="C29" s="135" t="n">
        <v>186.97</v>
      </c>
      <c r="D29" s="119" t="n">
        <v>12022739</v>
      </c>
      <c r="E29" s="136" t="n">
        <v>449299.841024</v>
      </c>
      <c r="F29" s="137" t="n">
        <v>158.44916</v>
      </c>
      <c r="G29" s="135" t="n">
        <v>106.37</v>
      </c>
      <c r="H29" s="135" t="n">
        <v>207.52</v>
      </c>
      <c r="I29" s="121" t="n">
        <v>0.7</v>
      </c>
    </row>
    <row r="30" customFormat="false" ht="15" hidden="false" customHeight="true" outlineLevel="0" collapsed="false">
      <c r="A30" s="114" t="s">
        <v>132</v>
      </c>
      <c r="B30" s="112" t="s">
        <v>133</v>
      </c>
      <c r="C30" s="135" t="n">
        <v>32.85</v>
      </c>
      <c r="D30" s="119" t="n">
        <v>24557259</v>
      </c>
      <c r="E30" s="136"/>
      <c r="F30" s="137" t="n">
        <v>18.129059</v>
      </c>
      <c r="G30" s="135" t="n">
        <v>26.32</v>
      </c>
      <c r="H30" s="135" t="n">
        <v>35.31</v>
      </c>
      <c r="I30" s="121" t="n">
        <v>3</v>
      </c>
    </row>
    <row r="31" customFormat="false" ht="15" hidden="false" customHeight="true" outlineLevel="0" collapsed="false">
      <c r="A31" s="114" t="s">
        <v>138</v>
      </c>
      <c r="B31" s="112" t="s">
        <v>139</v>
      </c>
      <c r="C31" s="135" t="n">
        <v>151.235</v>
      </c>
      <c r="D31" s="119" t="n">
        <v>1582352</v>
      </c>
      <c r="E31" s="136" t="n">
        <v>100824.6</v>
      </c>
      <c r="F31" s="137" t="n">
        <v>27.9245</v>
      </c>
      <c r="G31" s="135" t="n">
        <v>107.24</v>
      </c>
      <c r="H31" s="135" t="n">
        <v>162.3</v>
      </c>
      <c r="I31" s="121" t="n">
        <v>0.71</v>
      </c>
    </row>
    <row r="32" customFormat="false" ht="15" hidden="false" customHeight="true" outlineLevel="0" collapsed="false">
      <c r="A32" s="114" t="s">
        <v>114</v>
      </c>
      <c r="B32" s="112" t="s">
        <v>348</v>
      </c>
      <c r="C32" s="135" t="n">
        <v>457.005</v>
      </c>
      <c r="D32" s="119" t="n">
        <v>8345842</v>
      </c>
      <c r="E32" s="136" t="n">
        <v>2370244.44416</v>
      </c>
      <c r="F32" s="137" t="n">
        <v>33.97807</v>
      </c>
      <c r="G32" s="135" t="n">
        <v>266.82</v>
      </c>
      <c r="H32" s="135" t="n">
        <v>479</v>
      </c>
      <c r="I32" s="121" t="n">
        <v>0.9</v>
      </c>
    </row>
    <row r="33" customFormat="false" ht="15" hidden="false" customHeight="true" outlineLevel="0" collapsed="false">
      <c r="A33" s="114" t="s">
        <v>118</v>
      </c>
      <c r="B33" s="112" t="s">
        <v>119</v>
      </c>
      <c r="C33" s="135" t="n">
        <v>366.03</v>
      </c>
      <c r="D33" s="119" t="n">
        <v>3385491</v>
      </c>
      <c r="E33" s="136" t="n">
        <v>687168.356352</v>
      </c>
      <c r="F33" s="137" t="n">
        <v>31.098555</v>
      </c>
      <c r="G33" s="135" t="n">
        <v>293.89</v>
      </c>
      <c r="H33" s="135" t="n">
        <v>385.57</v>
      </c>
      <c r="I33" s="121" t="n">
        <v>0.73</v>
      </c>
    </row>
    <row r="34" customFormat="false" ht="15" hidden="false" customHeight="true" outlineLevel="0" collapsed="false">
      <c r="A34" s="114" t="s">
        <v>129</v>
      </c>
      <c r="B34" s="112" t="s">
        <v>130</v>
      </c>
      <c r="C34" s="135" t="n">
        <v>51.01</v>
      </c>
      <c r="D34" s="119" t="n">
        <v>2136556</v>
      </c>
      <c r="E34" s="136"/>
      <c r="F34" s="137" t="n">
        <v>16.20076</v>
      </c>
      <c r="G34" s="135" t="n">
        <v>36.56</v>
      </c>
      <c r="H34" s="135" t="n">
        <v>56.44</v>
      </c>
      <c r="I34" s="121" t="n">
        <v>1.01</v>
      </c>
    </row>
    <row r="35" customFormat="false" ht="15" hidden="false" customHeight="true" outlineLevel="0" collapsed="false">
      <c r="A35" s="114" t="s">
        <v>116</v>
      </c>
      <c r="B35" s="112" t="s">
        <v>117</v>
      </c>
      <c r="C35" s="135" t="n">
        <v>248.43</v>
      </c>
      <c r="D35" s="119" t="n">
        <v>2871756</v>
      </c>
      <c r="E35" s="136" t="n">
        <v>95642.607616</v>
      </c>
      <c r="F35" s="137" t="n">
        <v>56.079006</v>
      </c>
      <c r="G35" s="135" t="n">
        <v>144</v>
      </c>
      <c r="H35" s="135" t="n">
        <v>379.935</v>
      </c>
      <c r="I35" s="121" t="n">
        <v>0.1</v>
      </c>
    </row>
    <row r="36" customFormat="false" ht="15" hidden="false" customHeight="true" outlineLevel="0" collapsed="false">
      <c r="A36" s="114" t="s">
        <v>167</v>
      </c>
      <c r="B36" s="112" t="s">
        <v>168</v>
      </c>
      <c r="C36" s="135" t="n">
        <v>526.73</v>
      </c>
      <c r="D36" s="119" t="n">
        <v>630441</v>
      </c>
      <c r="E36" s="136" t="n">
        <v>133505.466368</v>
      </c>
      <c r="F36" s="137" t="n">
        <v>30.71312</v>
      </c>
      <c r="G36" s="135" t="n">
        <v>385.86</v>
      </c>
      <c r="H36" s="135" t="n">
        <v>560.25</v>
      </c>
      <c r="I36" s="121"/>
    </row>
    <row r="37" customFormat="false" ht="15" hidden="false" customHeight="true" outlineLevel="0" collapsed="false">
      <c r="A37" s="114" t="s">
        <v>134</v>
      </c>
      <c r="B37" s="112" t="s">
        <v>135</v>
      </c>
      <c r="C37" s="135" t="n">
        <v>156.45</v>
      </c>
      <c r="D37" s="119" t="n">
        <v>975438</v>
      </c>
      <c r="E37" s="136"/>
      <c r="F37" s="137" t="n">
        <v>19.652536</v>
      </c>
      <c r="G37" s="135" t="n">
        <v>137.42</v>
      </c>
      <c r="H37" s="135" t="n">
        <v>167.61</v>
      </c>
      <c r="I37" s="121" t="n">
        <v>2.22</v>
      </c>
    </row>
    <row r="38" customFormat="false" ht="15" hidden="false" customHeight="true" outlineLevel="0" collapsed="false">
      <c r="A38" s="114" t="s">
        <v>273</v>
      </c>
      <c r="B38" s="112" t="s">
        <v>384</v>
      </c>
      <c r="C38" s="135" t="n">
        <v>149.51</v>
      </c>
      <c r="D38" s="119" t="n">
        <v>1616462</v>
      </c>
      <c r="E38" s="136" t="n">
        <v>40801.4</v>
      </c>
      <c r="F38" s="137" t="n">
        <v>18.829973</v>
      </c>
      <c r="G38" s="135" t="n">
        <v>137.33</v>
      </c>
      <c r="H38" s="135" t="n">
        <v>170.14</v>
      </c>
      <c r="I38" s="121" t="n">
        <v>1.99</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1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V7" activeCellId="0" sqref="V7"/>
    </sheetView>
  </sheetViews>
  <sheetFormatPr defaultColWidth="8.66796875" defaultRowHeight="14.25" customHeight="false" zeroHeight="false" outlineLevelRow="0" outlineLevelCol="0"/>
  <cols>
    <col collapsed="false" customWidth="true" hidden="false" outlineLevel="0" max="1" min="1" style="1" width="10.78"/>
    <col collapsed="false" customWidth="true" hidden="false" outlineLevel="0" max="21" min="2" style="1" width="5.66"/>
    <col collapsed="false" customWidth="true" hidden="false" outlineLevel="0" max="22" min="22" style="1" width="4.11"/>
    <col collapsed="false" customWidth="true" hidden="false" outlineLevel="0" max="40" min="23" style="1" width="10.11"/>
  </cols>
  <sheetData>
    <row r="1" customFormat="false" ht="27" hidden="false" customHeight="true" outlineLevel="0" collapsed="false">
      <c r="A1" s="138" t="s">
        <v>436</v>
      </c>
      <c r="B1" s="138"/>
      <c r="C1" s="138"/>
      <c r="D1" s="138"/>
      <c r="E1" s="138"/>
      <c r="F1" s="138"/>
      <c r="G1" s="138"/>
      <c r="H1" s="138"/>
      <c r="I1" s="138"/>
      <c r="J1" s="138"/>
      <c r="K1" s="138"/>
      <c r="L1" s="138"/>
      <c r="M1" s="138"/>
      <c r="N1" s="138"/>
      <c r="O1" s="138"/>
      <c r="P1" s="138"/>
      <c r="Q1" s="138"/>
      <c r="R1" s="138"/>
      <c r="S1" s="138"/>
      <c r="T1" s="138"/>
      <c r="U1" s="138"/>
    </row>
    <row r="2" customFormat="false" ht="15" hidden="false" customHeight="true" outlineLevel="0" collapsed="false">
      <c r="A2" s="110" t="s">
        <v>278</v>
      </c>
      <c r="B2" s="110" t="str">
        <f aca="false">'Price History'!B2</f>
        <v>ADBE</v>
      </c>
      <c r="C2" s="110" t="str">
        <f aca="false">'Price History'!C2</f>
        <v>ANET</v>
      </c>
      <c r="D2" s="110" t="str">
        <f aca="false">'Price History'!D2</f>
        <v>ASML</v>
      </c>
      <c r="E2" s="110" t="str">
        <f aca="false">'Price History'!E2</f>
        <v>AVGO</v>
      </c>
      <c r="F2" s="110" t="str">
        <f aca="false">'Price History'!F2</f>
        <v>AVUV</v>
      </c>
      <c r="G2" s="110" t="str">
        <f aca="false">'Price History'!G2</f>
        <v>CRWD</v>
      </c>
      <c r="H2" s="110" t="str">
        <f aca="false">'Price History'!H2</f>
        <v>DVY</v>
      </c>
      <c r="I2" s="110" t="str">
        <f aca="false">'Price History'!I2</f>
        <v>KLAC</v>
      </c>
      <c r="J2" s="110" t="str">
        <f aca="false">'Price History'!J2</f>
        <v>MU</v>
      </c>
      <c r="K2" s="110" t="str">
        <f aca="false">'Price History'!K2</f>
        <v>NVDA</v>
      </c>
      <c r="L2" s="110" t="str">
        <f aca="false">'Price History'!L2</f>
        <v>PLD</v>
      </c>
      <c r="M2" s="110" t="str">
        <f aca="false">'Price History'!M2</f>
        <v>PLTR</v>
      </c>
      <c r="N2" s="110" t="str">
        <f aca="false">'Price History'!N2</f>
        <v>SCHD</v>
      </c>
      <c r="O2" s="110" t="str">
        <f aca="false">'Price History'!O2</f>
        <v>SPMO</v>
      </c>
      <c r="P2" s="110" t="str">
        <f aca="false">'Price History'!P2</f>
        <v>TSM</v>
      </c>
      <c r="Q2" s="110" t="str">
        <f aca="false">'Price History'!Q2</f>
        <v>V</v>
      </c>
      <c r="R2" s="110" t="str">
        <f aca="false">'Price History'!R2</f>
        <v>JEPQ</v>
      </c>
      <c r="S2" s="110" t="str">
        <f aca="false">'Price History'!S2</f>
        <v>SPMO</v>
      </c>
      <c r="T2" s="110" t="str">
        <f aca="false">'Price History'!T2</f>
        <v>VFLO</v>
      </c>
      <c r="U2" s="110" t="n">
        <f aca="false">'Price History'!U2</f>
        <v>0</v>
      </c>
      <c r="V2" s="139" t="str">
        <f aca="false">'Price History'!V2</f>
        <v>V</v>
      </c>
      <c r="W2" s="140" t="s">
        <v>437</v>
      </c>
      <c r="X2" s="140" t="s">
        <v>438</v>
      </c>
      <c r="Y2" s="140" t="s">
        <v>439</v>
      </c>
      <c r="Z2" s="140" t="s">
        <v>440</v>
      </c>
      <c r="AA2" s="140" t="s">
        <v>441</v>
      </c>
      <c r="AB2" s="140" t="s">
        <v>442</v>
      </c>
      <c r="AC2" s="140" t="s">
        <v>443</v>
      </c>
      <c r="AD2" s="140" t="s">
        <v>444</v>
      </c>
      <c r="AE2" s="140" t="s">
        <v>445</v>
      </c>
      <c r="AF2" s="140" t="s">
        <v>446</v>
      </c>
      <c r="AG2" s="140" t="s">
        <v>447</v>
      </c>
      <c r="AH2" s="140" t="s">
        <v>448</v>
      </c>
      <c r="AI2" s="140" t="s">
        <v>449</v>
      </c>
      <c r="AJ2" s="140" t="s">
        <v>450</v>
      </c>
      <c r="AK2" s="140" t="s">
        <v>451</v>
      </c>
      <c r="AL2" s="140" t="s">
        <v>452</v>
      </c>
      <c r="AM2" s="140" t="s">
        <v>453</v>
      </c>
      <c r="AN2" s="140" t="s">
        <v>454</v>
      </c>
      <c r="AO2" s="139" t="s">
        <v>455</v>
      </c>
    </row>
    <row r="3" customFormat="false" ht="15" hidden="false" customHeight="true" outlineLevel="0" collapsed="false">
      <c r="A3" s="141" t="n">
        <f aca="false">IF('Price History'!A4="","",'Price History'!A4)</f>
        <v>45191</v>
      </c>
      <c r="B3" s="142" t="n">
        <f aca="false">IFERROR(IF(OR(NOT(ISNUMBER('Price History'!B4)),NOT(ISNUMBER('Price History'!B3)),'Price History'!B3=0),"",'Price History'!B4/'Price History'!B3-1),"")</f>
        <v>-0.0302331297623325</v>
      </c>
      <c r="C3" s="142" t="n">
        <f aca="false">IFERROR(IF(OR(NOT(ISNUMBER('Price History'!C4)),NOT(ISNUMBER('Price History'!C3)),'Price History'!C3=0),"",'Price History'!C4/'Price History'!C3-1),"")</f>
        <v>-0.0238198354265916</v>
      </c>
      <c r="D3" s="142" t="n">
        <f aca="false">IFERROR(IF(OR(NOT(ISNUMBER('Price History'!D4)),NOT(ISNUMBER('Price History'!D3)),'Price History'!D3=0),"",'Price History'!D4/'Price History'!D3-1),"")</f>
        <v>-0.016013470558925</v>
      </c>
      <c r="E3" s="142" t="n">
        <f aca="false">IFERROR(IF(OR(NOT(ISNUMBER('Price History'!E4)),NOT(ISNUMBER('Price History'!E3)),'Price History'!E3=0),"",'Price History'!E4/'Price History'!E3-1),"")</f>
        <v>-0.0212195121951219</v>
      </c>
      <c r="F3" s="142" t="n">
        <f aca="false">IFERROR(IF(OR(NOT(ISNUMBER('Price History'!F4)),NOT(ISNUMBER('Price History'!F3)),'Price History'!F3=0),"",'Price History'!F4/'Price History'!F3-1),"")</f>
        <v>-0.0292125879697251</v>
      </c>
      <c r="G3" s="142" t="n">
        <f aca="false">IFERROR(IF(OR(NOT(ISNUMBER('Price History'!G4)),NOT(ISNUMBER('Price History'!G3)),'Price History'!G3=0),"",'Price History'!G4/'Price History'!G3-1),"")</f>
        <v>-0.0174081237911025</v>
      </c>
      <c r="H3" s="142" t="n">
        <f aca="false">IFERROR(IF(OR(NOT(ISNUMBER('Price History'!H4)),NOT(ISNUMBER('Price History'!H3)),'Price History'!H3=0),"",'Price History'!H4/'Price History'!H3-1),"")</f>
        <v>-0.021373894025251</v>
      </c>
      <c r="I3" s="142" t="n">
        <f aca="false">IFERROR(IF(OR(NOT(ISNUMBER('Price History'!I4)),NOT(ISNUMBER('Price History'!I3)),'Price History'!I3=0),"",'Price History'!I4/'Price History'!I3-1),"")</f>
        <v>-0.00518602029312298</v>
      </c>
      <c r="J3" s="142" t="n">
        <f aca="false">IFERROR(IF(OR(NOT(ISNUMBER('Price History'!J4)),NOT(ISNUMBER('Price History'!J3)),'Price History'!J3=0),"",'Price History'!J4/'Price History'!J3-1),"")</f>
        <v>-0.0143249891477354</v>
      </c>
      <c r="K3" s="142" t="n">
        <f aca="false">IFERROR(IF(OR(NOT(ISNUMBER('Price History'!K4)),NOT(ISNUMBER('Price History'!K3)),'Price History'!K3=0),"",'Price History'!K4/'Price History'!K3-1),"")</f>
        <v>-0.0520904729266621</v>
      </c>
      <c r="L3" s="142" t="n">
        <f aca="false">IFERROR(IF(OR(NOT(ISNUMBER('Price History'!L4)),NOT(ISNUMBER('Price History'!L3)),'Price History'!L3=0),"",'Price History'!L4/'Price History'!L3-1),"")</f>
        <v>-0.073944921316166</v>
      </c>
      <c r="M3" s="142" t="n">
        <f aca="false">IFERROR(IF(OR(NOT(ISNUMBER('Price History'!M4)),NOT(ISNUMBER('Price History'!M3)),'Price History'!M3=0),"",'Price History'!M4/'Price History'!M3-1),"")</f>
        <v>-0.0782778864970646</v>
      </c>
      <c r="N3" s="142" t="n">
        <f aca="false">IFERROR(IF(OR(NOT(ISNUMBER('Price History'!N4)),NOT(ISNUMBER('Price History'!N3)),'Price History'!N3=0),"",'Price History'!N4/'Price History'!N3-1),"")</f>
        <v>-0.0229357798165137</v>
      </c>
      <c r="O3" s="142" t="n">
        <f aca="false">IFERROR(IF(OR(NOT(ISNUMBER('Price History'!O4)),NOT(ISNUMBER('Price History'!O3)),'Price History'!O3=0),"",'Price History'!O4/'Price History'!O3-1),"")</f>
        <v>-0.0242929030019088</v>
      </c>
      <c r="P3" s="142" t="n">
        <f aca="false">IFERROR(IF(OR(NOT(ISNUMBER('Price History'!P4)),NOT(ISNUMBER('Price History'!P3)),'Price History'!P3=0),"",'Price History'!P4/'Price History'!P3-1),"")</f>
        <v>-0.040466472303207</v>
      </c>
      <c r="Q3" s="142" t="n">
        <f aca="false">IFERROR(IF(OR(NOT(ISNUMBER('Price History'!Q4)),NOT(ISNUMBER('Price History'!Q3)),'Price History'!Q3=0),"",'Price History'!Q4/'Price History'!Q3-1),"")</f>
        <v>-0.0248270593727454</v>
      </c>
      <c r="R3" s="142" t="n">
        <f aca="false">IFERROR(IF(OR(NOT(ISNUMBER('Price History'!R4)),NOT(ISNUMBER('Price History'!R3)),'Price History'!R3=0),"",'Price History'!R4/'Price History'!R3-1),"")</f>
        <v>-0.0186114596403179</v>
      </c>
      <c r="S3" s="142" t="n">
        <f aca="false">IFERROR(IF(OR(NOT(ISNUMBER('Price History'!S4)),NOT(ISNUMBER('Price History'!S3)),'Price History'!S3=0),"",'Price History'!S4/'Price History'!S3-1),"")</f>
        <v>-0.00837034506320467</v>
      </c>
      <c r="T3" s="142" t="n">
        <f aca="false">IFERROR(IF(OR(NOT(ISNUMBER('Price History'!T4)),NOT(ISNUMBER('Price History'!T3)),'Price History'!T3=0),"",'Price History'!T4/'Price History'!T3-1),"")</f>
        <v>-0.0267558528428093</v>
      </c>
      <c r="U3" s="142" t="str">
        <f aca="false">IFERROR(IF(OR(NOT(ISNUMBER('Price History'!U4)),NOT(ISNUMBER('Price History'!U3)),'Price History'!U3=0),"",'Price History'!U4/'Price History'!U3-1),"")</f>
        <v/>
      </c>
      <c r="V3" s="143" t="str">
        <f aca="false">IFERROR(IF(OR(NOT(ISNUMBER('Price History'!V4)),NOT(ISNUMBER('Price History'!V3)),'Price History'!V3=0),"",'Price History'!V4/'Price History'!V3-1),"")</f>
        <v/>
      </c>
      <c r="W3" s="144" t="str">
        <f aca="false">IFERROR('Price History'!B3+(INDEX('Price History'!B:B,MATCH(9.99E+307,'Price History'!$A:$A))-'Price History'!B3)*(ROW()-3)/(MATCH(9.99E+307,'Returns (Calc)'!$A:$A)-3),"")</f>
        <v/>
      </c>
      <c r="X3" s="144" t="n">
        <f aca="false">IFERROR('Price History'!C3+(INDEX('Price History'!C:C,MATCH(9.99E+307,'Price History'!$A:$A))-'Price History'!C3)*(ROW()-3)/(MATCH(9.99E+307,'Returns (Calc)'!$A:$A)-3),"")</f>
        <v>46.18</v>
      </c>
      <c r="Y3" s="144" t="n">
        <f aca="false">IFERROR('Price History'!D3+(INDEX('Price History'!D:D,MATCH(9.99E+307,'Price History'!$A:$A))-'Price History'!D3)*(ROW()-3)/(MATCH(9.99E+307,'Returns (Calc)'!$A:$A)-3),"")</f>
        <v>582.01</v>
      </c>
      <c r="Z3" s="144" t="n">
        <f aca="false">IFERROR('Price History'!E3+(INDEX('Price History'!E:E,MATCH(9.99E+307,'Price History'!$A:$A))-'Price History'!E3)*(ROW()-3)/(MATCH(9.99E+307,'Returns (Calc)'!$A:$A)-3),"")</f>
        <v>82</v>
      </c>
      <c r="AA3" s="144" t="n">
        <f aca="false">IFERROR('Price History'!F3+(INDEX('Price History'!F:F,MATCH(9.99E+307,'Price History'!$A:$A))-'Price History'!F3)*(ROW()-3)/(MATCH(9.99E+307,'Returns (Calc)'!$A:$A)-3),"")</f>
        <v>75.31</v>
      </c>
      <c r="AB3" s="144" t="n">
        <f aca="false">IFERROR('Price History'!G3+(INDEX('Price History'!G:G,MATCH(9.99E+307,'Price History'!$A:$A))-'Price History'!G3)*(ROW()-3)/(MATCH(9.99E+307,'Returns (Calc)'!$A:$A)-3),"")</f>
        <v>41.36</v>
      </c>
      <c r="AC3" s="144" t="n">
        <f aca="false">IFERROR('Price History'!H3+(INDEX('Price History'!H:H,MATCH(9.99E+307,'Price History'!$A:$A))-'Price History'!H3)*(ROW()-3)/(MATCH(9.99E+307,'Returns (Calc)'!$A:$A)-3),"")</f>
        <v>100.59</v>
      </c>
      <c r="AD3" s="144" t="n">
        <f aca="false">IFERROR('Price History'!I3+(INDEX('Price History'!I:I,MATCH(9.99E+307,'Price History'!$A:$A))-'Price History'!I3)*(ROW()-3)/(MATCH(9.99E+307,'Returns (Calc)'!$A:$A)-3),"")</f>
        <v>44.35</v>
      </c>
      <c r="AE3" s="144" t="n">
        <f aca="false">IFERROR('Price History'!J3+(INDEX('Price History'!J:J,MATCH(9.99E+307,'Price History'!$A:$A))-'Price History'!J3)*(ROW()-3)/(MATCH(9.99E+307,'Returns (Calc)'!$A:$A)-3),"")</f>
        <v>69.11</v>
      </c>
      <c r="AF3" s="144" t="n">
        <f aca="false">IFERROR('Price History'!K3+(INDEX('Price History'!K:K,MATCH(9.99E+307,'Price History'!$A:$A))-'Price History'!K3)*(ROW()-3)/(MATCH(9.99E+307,'Returns (Calc)'!$A:$A)-3),"")</f>
        <v>43.77</v>
      </c>
      <c r="AG3" s="144" t="n">
        <f aca="false">IFERROR('Price History'!L3+(INDEX('Price History'!L:L,MATCH(9.99E+307,'Price History'!$A:$A))-'Price History'!L3)*(ROW()-3)/(MATCH(9.99E+307,'Returns (Calc)'!$A:$A)-3),"")</f>
        <v>111.84</v>
      </c>
      <c r="AH3" s="144" t="n">
        <f aca="false">IFERROR('Price History'!M3+(INDEX('Price History'!M:M,MATCH(9.99E+307,'Price History'!$A:$A))-'Price History'!M3)*(ROW()-3)/(MATCH(9.99E+307,'Returns (Calc)'!$A:$A)-3),"")</f>
        <v>15.33</v>
      </c>
      <c r="AI3" s="144" t="n">
        <f aca="false">IFERROR('Price History'!N3+(INDEX('Price History'!N:N,MATCH(9.99E+307,'Price History'!$A:$A))-'Price History'!N3)*(ROW()-3)/(MATCH(9.99E+307,'Returns (Calc)'!$A:$A)-3),"")</f>
        <v>21.8</v>
      </c>
      <c r="AJ3" s="144" t="n">
        <f aca="false">IFERROR('Price History'!O3+(INDEX('Price History'!O:O,MATCH(9.99E+307,'Price History'!$A:$A))-'Price History'!O3)*(ROW()-3)/(MATCH(9.99E+307,'Returns (Calc)'!$A:$A)-3),"")</f>
        <v>57.63</v>
      </c>
      <c r="AK3" s="144" t="n">
        <f aca="false">IFERROR('Price History'!Q3+(INDEX('Price History'!Q:Q,MATCH(9.99E+307,'Price History'!$A:$A))-'Price History'!Q3)*(ROW()-3)/(MATCH(9.99E+307,'Returns (Calc)'!$A:$A)-3),"")</f>
        <v>235.63</v>
      </c>
      <c r="AL3" s="144" t="n">
        <f aca="false">IFERROR('Price History'!R3+(INDEX('Price History'!R:R,MATCH(9.99E+307,'Price History'!$A:$A))-'Price History'!R3)*(ROW()-3)/(MATCH(9.99E+307,'Returns (Calc)'!$A:$A)-3),"")</f>
        <v>47.82</v>
      </c>
      <c r="AM3" s="144" t="n">
        <f aca="false">IFERROR('Price History'!S3+(INDEX('Price History'!S:S,MATCH(9.99E+307,'Price History'!$A:$A))-'Price History'!S3)*(ROW()-3)/(MATCH(9.99E+307,'Returns (Calc)'!$A:$A)-3),"")</f>
        <v>58.54</v>
      </c>
      <c r="AN3" s="144" t="n">
        <f aca="false">IFERROR('Price History'!T3+(INDEX('Price History'!T:T,MATCH(9.99E+307,'Price History'!$A:$A))-'Price History'!T3)*(ROW()-3)/(MATCH(9.99E+307,'Returns (Calc)'!$A:$A)-3),"")</f>
        <v>26.91</v>
      </c>
      <c r="AO3" s="145" t="n">
        <f aca="false">IFERROR('Price History'!V3+(INDEX('Price History'!V:V,MATCH(9.99E+307,'Price History'!$A:$A))-'Price History'!V3)*(ROW()-3)/(MATCH(9.99E+307,'Returns (Calc)'!$A:$A)-3),"")</f>
        <v>0</v>
      </c>
    </row>
    <row r="4" customFormat="false" ht="15" hidden="false" customHeight="true" outlineLevel="0" collapsed="false">
      <c r="A4" s="141" t="n">
        <f aca="false">IF('Price History'!A5="","",'Price History'!A5)</f>
        <v>45198</v>
      </c>
      <c r="B4" s="142" t="n">
        <f aca="false">IFERROR(IF(OR(NOT(ISNUMBER('Price History'!B5)),NOT(ISNUMBER('Price History'!B4)),'Price History'!B4=0),"",'Price History'!B5/'Price History'!B4-1),"")</f>
        <v>-0.00584909339052442</v>
      </c>
      <c r="C4" s="142" t="n">
        <f aca="false">IFERROR(IF(OR(NOT(ISNUMBER('Price History'!C5)),NOT(ISNUMBER('Price History'!C4)),'Price History'!C4=0),"",'Price History'!C5/'Price History'!C4-1),"")</f>
        <v>0.0199645075421473</v>
      </c>
      <c r="D4" s="142" t="n">
        <f aca="false">IFERROR(IF(OR(NOT(ISNUMBER('Price History'!D5)),NOT(ISNUMBER('Price History'!D4)),'Price History'!D4=0),"",'Price History'!D5/'Price History'!D4-1),"")</f>
        <v>0.00265414098377836</v>
      </c>
      <c r="E4" s="142" t="n">
        <f aca="false">IFERROR(IF(OR(NOT(ISNUMBER('Price History'!E5)),NOT(ISNUMBER('Price History'!E4)),'Price History'!E4=0),"",'Price History'!E5/'Price History'!E4-1),"")</f>
        <v>0.00186892599053068</v>
      </c>
      <c r="F4" s="142" t="n">
        <f aca="false">IFERROR(IF(OR(NOT(ISNUMBER('Price History'!F5)),NOT(ISNUMBER('Price History'!F4)),'Price History'!F4=0),"",'Price History'!F5/'Price History'!F4-1),"")</f>
        <v>0.0164136233073451</v>
      </c>
      <c r="G4" s="142" t="n">
        <f aca="false">IFERROR(IF(OR(NOT(ISNUMBER('Price History'!G5)),NOT(ISNUMBER('Price History'!G4)),'Price History'!G4=0),"",'Price History'!G5/'Price History'!G4-1),"")</f>
        <v>0.0297736220472442</v>
      </c>
      <c r="H4" s="142" t="n">
        <f aca="false">IFERROR(IF(OR(NOT(ISNUMBER('Price History'!H5)),NOT(ISNUMBER('Price History'!H4)),'Price History'!H4=0),"",'Price History'!H5/'Price History'!H4-1),"")</f>
        <v>-0.0187931735067045</v>
      </c>
      <c r="I4" s="142" t="n">
        <f aca="false">IFERROR(IF(OR(NOT(ISNUMBER('Price History'!I5)),NOT(ISNUMBER('Price History'!I4)),'Price History'!I4=0),"",'Price History'!I5/'Price History'!I4-1),"")</f>
        <v>0.0151858567543064</v>
      </c>
      <c r="J4" s="142" t="n">
        <f aca="false">IFERROR(IF(OR(NOT(ISNUMBER('Price History'!J5)),NOT(ISNUMBER('Price History'!J4)),'Price History'!J4=0),"",'Price History'!J5/'Price History'!J4-1),"")</f>
        <v>-0.0123311802701116</v>
      </c>
      <c r="K4" s="142" t="n">
        <f aca="false">IFERROR(IF(OR(NOT(ISNUMBER('Price History'!K5)),NOT(ISNUMBER('Price History'!K4)),'Price History'!K4=0),"",'Price History'!K5/'Price History'!K4-1),"")</f>
        <v>0.0453121234032297</v>
      </c>
      <c r="L4" s="142" t="n">
        <f aca="false">IFERROR(IF(OR(NOT(ISNUMBER('Price History'!L5)),NOT(ISNUMBER('Price History'!L4)),'Price History'!L4=0),"",'Price History'!L5/'Price History'!L4-1),"")</f>
        <v>-0.0163174664478131</v>
      </c>
      <c r="M4" s="142" t="n">
        <f aca="false">IFERROR(IF(OR(NOT(ISNUMBER('Price History'!M5)),NOT(ISNUMBER('Price History'!M4)),'Price History'!M4=0),"",'Price History'!M5/'Price History'!M4-1),"")</f>
        <v>0.132342533616419</v>
      </c>
      <c r="N4" s="142" t="n">
        <f aca="false">IFERROR(IF(OR(NOT(ISNUMBER('Price History'!N5)),NOT(ISNUMBER('Price History'!N4)),'Price History'!N4=0),"",'Price History'!N5/'Price History'!N4-1),"")</f>
        <v>-0.00751173708920183</v>
      </c>
      <c r="O4" s="142" t="n">
        <f aca="false">IFERROR(IF(OR(NOT(ISNUMBER('Price History'!O5)),NOT(ISNUMBER('Price History'!O4)),'Price History'!O4=0),"",'Price History'!O5/'Price History'!O4-1),"")</f>
        <v>-0.00302329717232785</v>
      </c>
      <c r="P4" s="142" t="n">
        <f aca="false">IFERROR(IF(OR(NOT(ISNUMBER('Price History'!P5)),NOT(ISNUMBER('Price History'!P4)),'Price History'!P4=0),"",'Price History'!P5/'Price History'!P4-1),"")</f>
        <v>0.0147058823529411</v>
      </c>
      <c r="Q4" s="142" t="n">
        <f aca="false">IFERROR(IF(OR(NOT(ISNUMBER('Price History'!Q5)),NOT(ISNUMBER('Price History'!Q4)),'Price History'!Q4=0),"",'Price History'!Q5/'Price History'!Q4-1),"")</f>
        <v>-0.0215858647401863</v>
      </c>
      <c r="R4" s="142" t="n">
        <f aca="false">IFERROR(IF(OR(NOT(ISNUMBER('Price History'!R5)),NOT(ISNUMBER('Price History'!R4)),'Price History'!R4=0),"",'Price History'!R5/'Price History'!R4-1),"")</f>
        <v>0.0159812486682294</v>
      </c>
      <c r="S4" s="142" t="n">
        <f aca="false">IFERROR(IF(OR(NOT(ISNUMBER('Price History'!S5)),NOT(ISNUMBER('Price History'!S4)),'Price History'!S4=0),"",'Price History'!S5/'Price History'!S4-1),"")</f>
        <v>-0.00275624461670965</v>
      </c>
      <c r="T4" s="142" t="n">
        <f aca="false">IFERROR(IF(OR(NOT(ISNUMBER('Price History'!T5)),NOT(ISNUMBER('Price History'!T4)),'Price History'!T4=0),"",'Price History'!T5/'Price History'!T4-1),"")</f>
        <v>-0.00801832760595655</v>
      </c>
      <c r="U4" s="142" t="str">
        <f aca="false">IFERROR(IF(OR(NOT(ISNUMBER('Price History'!U5)),NOT(ISNUMBER('Price History'!U4)),'Price History'!U4=0),"",'Price History'!U5/'Price History'!U4-1),"")</f>
        <v/>
      </c>
      <c r="V4" s="143" t="str">
        <f aca="false">IFERROR(IF(OR(NOT(ISNUMBER('Price History'!V5)),NOT(ISNUMBER('Price History'!V4)),'Price History'!V4=0),"",'Price History'!V5/'Price History'!V4-1),"")</f>
        <v/>
      </c>
      <c r="W4" s="144" t="str">
        <f aca="false">IFERROR('Price History'!B3+(INDEX('Price History'!B:B,MATCH(9.99E+307,'Price History'!$A:$A))-'Price History'!B3)*(ROW()-3)/(MATCH(9.99E+307,'Returns (Calc)'!$A:$A)-3),"")</f>
        <v/>
      </c>
      <c r="X4" s="144" t="n">
        <f aca="false">IFERROR('Price History'!C3+(INDEX('Price History'!C:C,MATCH(9.99E+307,'Price History'!$A:$A))-'Price History'!C3)*(ROW()-3)/(MATCH(9.99E+307,'Returns (Calc)'!$A:$A)-3),"")</f>
        <v>45.8877215189873</v>
      </c>
      <c r="Y4" s="144" t="n">
        <f aca="false">IFERROR('Price History'!D3+(INDEX('Price History'!D:D,MATCH(9.99E+307,'Price History'!$A:$A))-'Price History'!D3)*(ROW()-3)/(MATCH(9.99E+307,'Returns (Calc)'!$A:$A)-3),"")</f>
        <v>578.326392405063</v>
      </c>
      <c r="Z4" s="144" t="n">
        <f aca="false">IFERROR('Price History'!E3+(INDEX('Price History'!E:E,MATCH(9.99E+307,'Price History'!$A:$A))-'Price History'!E3)*(ROW()-3)/(MATCH(9.99E+307,'Returns (Calc)'!$A:$A)-3),"")</f>
        <v>81.4810126582279</v>
      </c>
      <c r="AA4" s="144" t="n">
        <f aca="false">IFERROR('Price History'!F3+(INDEX('Price History'!F:F,MATCH(9.99E+307,'Price History'!$A:$A))-'Price History'!F3)*(ROW()-3)/(MATCH(9.99E+307,'Returns (Calc)'!$A:$A)-3),"")</f>
        <v>74.8333544303797</v>
      </c>
      <c r="AB4" s="144" t="n">
        <f aca="false">IFERROR('Price History'!G3+(INDEX('Price History'!G:G,MATCH(9.99E+307,'Price History'!$A:$A))-'Price History'!G3)*(ROW()-3)/(MATCH(9.99E+307,'Returns (Calc)'!$A:$A)-3),"")</f>
        <v>41.0982278481013</v>
      </c>
      <c r="AC4" s="144" t="n">
        <f aca="false">IFERROR('Price History'!H3+(INDEX('Price History'!H:H,MATCH(9.99E+307,'Price History'!$A:$A))-'Price History'!H3)*(ROW()-3)/(MATCH(9.99E+307,'Returns (Calc)'!$A:$A)-3),"")</f>
        <v>99.9533544303798</v>
      </c>
      <c r="AD4" s="144" t="n">
        <f aca="false">IFERROR('Price History'!I3+(INDEX('Price History'!I:I,MATCH(9.99E+307,'Price History'!$A:$A))-'Price History'!I3)*(ROW()-3)/(MATCH(9.99E+307,'Returns (Calc)'!$A:$A)-3),"")</f>
        <v>44.0693037974684</v>
      </c>
      <c r="AE4" s="144" t="n">
        <f aca="false">IFERROR('Price History'!J3+(INDEX('Price History'!J:J,MATCH(9.99E+307,'Price History'!$A:$A))-'Price History'!J3)*(ROW()-3)/(MATCH(9.99E+307,'Returns (Calc)'!$A:$A)-3),"")</f>
        <v>68.6725949367089</v>
      </c>
      <c r="AF4" s="144" t="n">
        <f aca="false">IFERROR('Price History'!K3+(INDEX('Price History'!K:K,MATCH(9.99E+307,'Price History'!$A:$A))-'Price History'!K3)*(ROW()-3)/(MATCH(9.99E+307,'Returns (Calc)'!$A:$A)-3),"")</f>
        <v>43.4929746835443</v>
      </c>
      <c r="AG4" s="144" t="n">
        <f aca="false">IFERROR('Price History'!L3+(INDEX('Price History'!L:L,MATCH(9.99E+307,'Price History'!$A:$A))-'Price History'!L3)*(ROW()-3)/(MATCH(9.99E+307,'Returns (Calc)'!$A:$A)-3),"")</f>
        <v>111.132151898734</v>
      </c>
      <c r="AH4" s="144" t="n">
        <f aca="false">IFERROR('Price History'!M3+(INDEX('Price History'!M:M,MATCH(9.99E+307,'Price History'!$A:$A))-'Price History'!M3)*(ROW()-3)/(MATCH(9.99E+307,'Returns (Calc)'!$A:$A)-3),"")</f>
        <v>15.2329746835443</v>
      </c>
      <c r="AI4" s="144" t="n">
        <f aca="false">IFERROR('Price History'!N3+(INDEX('Price History'!N:N,MATCH(9.99E+307,'Price History'!$A:$A))-'Price History'!N3)*(ROW()-3)/(MATCH(9.99E+307,'Returns (Calc)'!$A:$A)-3),"")</f>
        <v>21.6620253164557</v>
      </c>
      <c r="AJ4" s="144" t="n">
        <f aca="false">IFERROR('Price History'!O3+(INDEX('Price History'!O:O,MATCH(9.99E+307,'Price History'!$A:$A))-'Price History'!O3)*(ROW()-3)/(MATCH(9.99E+307,'Returns (Calc)'!$A:$A)-3),"")</f>
        <v>57.265253164557</v>
      </c>
      <c r="AK4" s="144" t="n">
        <f aca="false">IFERROR('Price History'!Q3+(INDEX('Price History'!Q:Q,MATCH(9.99E+307,'Price History'!$A:$A))-'Price History'!Q3)*(ROW()-3)/(MATCH(9.99E+307,'Returns (Calc)'!$A:$A)-3),"")</f>
        <v>234.138670886076</v>
      </c>
      <c r="AL4" s="144" t="n">
        <f aca="false">IFERROR('Price History'!R3+(INDEX('Price History'!R:R,MATCH(9.99E+307,'Price History'!$A:$A))-'Price History'!R3)*(ROW()-3)/(MATCH(9.99E+307,'Returns (Calc)'!$A:$A)-3),"")</f>
        <v>47.5173417721519</v>
      </c>
      <c r="AM4" s="144" t="n">
        <f aca="false">IFERROR('Price History'!S3+(INDEX('Price History'!S:S,MATCH(9.99E+307,'Price History'!$A:$A))-'Price History'!S3)*(ROW()-3)/(MATCH(9.99E+307,'Returns (Calc)'!$A:$A)-3),"")</f>
        <v>58.1694936708861</v>
      </c>
      <c r="AN4" s="144" t="n">
        <f aca="false">IFERROR('Price History'!T3+(INDEX('Price History'!T:T,MATCH(9.99E+307,'Price History'!$A:$A))-'Price History'!T3)*(ROW()-3)/(MATCH(9.99E+307,'Returns (Calc)'!$A:$A)-3),"")</f>
        <v>26.7396835443038</v>
      </c>
      <c r="AO4" s="145" t="n">
        <f aca="false">IFERROR('Price History'!V3+(INDEX('Price History'!V:V,MATCH(9.99E+307,'Price History'!$A:$A))-'Price History'!V3)*(ROW()-3)/(MATCH(9.99E+307,'Returns (Calc)'!$A:$A)-3),"")</f>
        <v>0</v>
      </c>
    </row>
    <row r="5" customFormat="false" ht="15" hidden="false" customHeight="true" outlineLevel="0" collapsed="false">
      <c r="A5" s="141" t="n">
        <f aca="false">IF('Price History'!A6="","",'Price History'!A6)</f>
        <v>45205</v>
      </c>
      <c r="B5" s="142" t="n">
        <f aca="false">IFERROR(IF(OR(NOT(ISNUMBER('Price History'!B6)),NOT(ISNUMBER('Price History'!B5)),'Price History'!B5=0),"",'Price History'!B6/'Price History'!B5-1),"")</f>
        <v>0.0329084134143949</v>
      </c>
      <c r="C5" s="142" t="n">
        <f aca="false">IFERROR(IF(OR(NOT(ISNUMBER('Price History'!C6)),NOT(ISNUMBER('Price History'!C5)),'Price History'!C5=0),"",'Price History'!C6/'Price History'!C5-1),"")</f>
        <v>0.0550239234449761</v>
      </c>
      <c r="D5" s="142" t="n">
        <f aca="false">IFERROR(IF(OR(NOT(ISNUMBER('Price History'!D6)),NOT(ISNUMBER('Price History'!D5)),'Price History'!D5=0),"",'Price History'!D6/'Price History'!D5-1),"")</f>
        <v>0.0147681161944238</v>
      </c>
      <c r="E5" s="142" t="n">
        <f aca="false">IFERROR(IF(OR(NOT(ISNUMBER('Price History'!E6)),NOT(ISNUMBER('Price History'!E5)),'Price History'!E5=0),"",'Price History'!E6/'Price History'!E5-1),"")</f>
        <v>0.0176594950876756</v>
      </c>
      <c r="F5" s="142" t="n">
        <f aca="false">IFERROR(IF(OR(NOT(ISNUMBER('Price History'!F6)),NOT(ISNUMBER('Price History'!F5)),'Price History'!F5=0),"",'Price History'!F6/'Price History'!F5-1),"")</f>
        <v>-0.0301439913874312</v>
      </c>
      <c r="G5" s="142" t="n">
        <f aca="false">IFERROR(IF(OR(NOT(ISNUMBER('Price History'!G6)),NOT(ISNUMBER('Price History'!G5)),'Price History'!G5=0),"",'Price History'!G6/'Price History'!G5-1),"")</f>
        <v>0.055436081242533</v>
      </c>
      <c r="H5" s="142" t="n">
        <f aca="false">IFERROR(IF(OR(NOT(ISNUMBER('Price History'!H6)),NOT(ISNUMBER('Price History'!H5)),'Price History'!H5=0),"",'Price History'!H6/'Price History'!H5-1),"")</f>
        <v>-0.0222590330261933</v>
      </c>
      <c r="I5" s="142" t="n">
        <f aca="false">IFERROR(IF(OR(NOT(ISNUMBER('Price History'!I6)),NOT(ISNUMBER('Price History'!I5)),'Price History'!I5=0),"",'Price History'!I6/'Price History'!I5-1),"")</f>
        <v>0.0203170350524671</v>
      </c>
      <c r="J5" s="142" t="n">
        <f aca="false">IFERROR(IF(OR(NOT(ISNUMBER('Price History'!J6)),NOT(ISNUMBER('Price History'!J5)),'Price History'!J5=0),"",'Price History'!J6/'Price History'!J5-1),"")</f>
        <v>0.0300237812128419</v>
      </c>
      <c r="K5" s="142" t="n">
        <f aca="false">IFERROR(IF(OR(NOT(ISNUMBER('Price History'!K6)),NOT(ISNUMBER('Price History'!K5)),'Price History'!K5=0),"",'Price History'!K6/'Price History'!K5-1),"")</f>
        <v>0.0521097532856816</v>
      </c>
      <c r="L5" s="142" t="n">
        <f aca="false">IFERROR(IF(OR(NOT(ISNUMBER('Price History'!L6)),NOT(ISNUMBER('Price History'!L5)),'Price History'!L5=0),"",'Price History'!L6/'Price History'!L5-1),"")</f>
        <v>-0.0294464075382803</v>
      </c>
      <c r="M5" s="142" t="n">
        <f aca="false">IFERROR(IF(OR(NOT(ISNUMBER('Price History'!M6)),NOT(ISNUMBER('Price History'!M5)),'Price History'!M5=0),"",'Price History'!M6/'Price History'!M5-1),"")</f>
        <v>0.038125</v>
      </c>
      <c r="N5" s="142" t="n">
        <f aca="false">IFERROR(IF(OR(NOT(ISNUMBER('Price History'!N6)),NOT(ISNUMBER('Price History'!N5)),'Price History'!N5=0),"",'Price History'!N6/'Price History'!N5-1),"")</f>
        <v>-0.0160832544938505</v>
      </c>
      <c r="O5" s="142" t="n">
        <f aca="false">IFERROR(IF(OR(NOT(ISNUMBER('Price History'!O6)),NOT(ISNUMBER('Price History'!O5)),'Price History'!O5=0),"",'Price History'!O6/'Price History'!O5-1),"")</f>
        <v>0.0110595790224759</v>
      </c>
      <c r="P5" s="142" t="n">
        <f aca="false">IFERROR(IF(OR(NOT(ISNUMBER('Price History'!P6)),NOT(ISNUMBER('Price History'!P5)),'Price History'!P5=0),"",'Price History'!P6/'Price History'!P5-1),"")</f>
        <v>0.0275482093663912</v>
      </c>
      <c r="Q5" s="142" t="n">
        <f aca="false">IFERROR(IF(OR(NOT(ISNUMBER('Price History'!Q6)),NOT(ISNUMBER('Price History'!Q5)),'Price History'!Q5=0),"",'Price History'!Q6/'Price History'!Q5-1),"")</f>
        <v>0.0218841740058715</v>
      </c>
      <c r="R5" s="142" t="n">
        <f aca="false">IFERROR(IF(OR(NOT(ISNUMBER('Price History'!R6)),NOT(ISNUMBER('Price History'!R5)),'Price History'!R5=0),"",'Price History'!R6/'Price History'!R5-1),"")</f>
        <v>0.018246644295302</v>
      </c>
      <c r="S5" s="142" t="n">
        <f aca="false">IFERROR(IF(OR(NOT(ISNUMBER('Price History'!S6)),NOT(ISNUMBER('Price History'!S5)),'Price History'!S5=0),"",'Price History'!S6/'Price History'!S5-1),"")</f>
        <v>0.0160649507686992</v>
      </c>
      <c r="T5" s="142" t="n">
        <f aca="false">IFERROR(IF(OR(NOT(ISNUMBER('Price History'!T6)),NOT(ISNUMBER('Price History'!T5)),'Price History'!T5=0),"",'Price History'!T6/'Price History'!T5-1),"")</f>
        <v>0.0261739799846035</v>
      </c>
      <c r="U5" s="142" t="str">
        <f aca="false">IFERROR(IF(OR(NOT(ISNUMBER('Price History'!U6)),NOT(ISNUMBER('Price History'!U5)),'Price History'!U5=0),"",'Price History'!U6/'Price History'!U5-1),"")</f>
        <v/>
      </c>
      <c r="V5" s="143" t="str">
        <f aca="false">IFERROR(IF(OR(NOT(ISNUMBER('Price History'!V6)),NOT(ISNUMBER('Price History'!V5)),'Price History'!V5=0),"",'Price History'!V6/'Price History'!V5-1),"")</f>
        <v/>
      </c>
      <c r="W5" s="144" t="str">
        <f aca="false">IFERROR('Price History'!B3+(INDEX('Price History'!B:B,MATCH(9.99E+307,'Price History'!$A:$A))-'Price History'!B3)*(ROW()-3)/(MATCH(9.99E+307,'Returns (Calc)'!$A:$A)-3),"")</f>
        <v/>
      </c>
      <c r="X5" s="144" t="n">
        <f aca="false">IFERROR('Price History'!C3+(INDEX('Price History'!C:C,MATCH(9.99E+307,'Price History'!$A:$A))-'Price History'!C3)*(ROW()-3)/(MATCH(9.99E+307,'Returns (Calc)'!$A:$A)-3),"")</f>
        <v>45.5954430379747</v>
      </c>
      <c r="Y5" s="144" t="n">
        <f aca="false">IFERROR('Price History'!D3+(INDEX('Price History'!D:D,MATCH(9.99E+307,'Price History'!$A:$A))-'Price History'!D3)*(ROW()-3)/(MATCH(9.99E+307,'Returns (Calc)'!$A:$A)-3),"")</f>
        <v>574.642784810127</v>
      </c>
      <c r="Z5" s="144" t="n">
        <f aca="false">IFERROR('Price History'!E3+(INDEX('Price History'!E:E,MATCH(9.99E+307,'Price History'!$A:$A))-'Price History'!E3)*(ROW()-3)/(MATCH(9.99E+307,'Returns (Calc)'!$A:$A)-3),"")</f>
        <v>80.9620253164557</v>
      </c>
      <c r="AA5" s="144" t="n">
        <f aca="false">IFERROR('Price History'!F3+(INDEX('Price History'!F:F,MATCH(9.99E+307,'Price History'!$A:$A))-'Price History'!F3)*(ROW()-3)/(MATCH(9.99E+307,'Returns (Calc)'!$A:$A)-3),"")</f>
        <v>74.3567088607595</v>
      </c>
      <c r="AB5" s="144" t="n">
        <f aca="false">IFERROR('Price History'!G3+(INDEX('Price History'!G:G,MATCH(9.99E+307,'Price History'!$A:$A))-'Price History'!G3)*(ROW()-3)/(MATCH(9.99E+307,'Returns (Calc)'!$A:$A)-3),"")</f>
        <v>40.8364556962025</v>
      </c>
      <c r="AC5" s="144" t="n">
        <f aca="false">IFERROR('Price History'!H3+(INDEX('Price History'!H:H,MATCH(9.99E+307,'Price History'!$A:$A))-'Price History'!H3)*(ROW()-3)/(MATCH(9.99E+307,'Returns (Calc)'!$A:$A)-3),"")</f>
        <v>99.3167088607595</v>
      </c>
      <c r="AD5" s="144" t="n">
        <f aca="false">IFERROR('Price History'!I3+(INDEX('Price History'!I:I,MATCH(9.99E+307,'Price History'!$A:$A))-'Price History'!I3)*(ROW()-3)/(MATCH(9.99E+307,'Returns (Calc)'!$A:$A)-3),"")</f>
        <v>43.7886075949367</v>
      </c>
      <c r="AE5" s="144" t="n">
        <f aca="false">IFERROR('Price History'!J3+(INDEX('Price History'!J:J,MATCH(9.99E+307,'Price History'!$A:$A))-'Price History'!J3)*(ROW()-3)/(MATCH(9.99E+307,'Returns (Calc)'!$A:$A)-3),"")</f>
        <v>68.2351898734177</v>
      </c>
      <c r="AF5" s="144" t="n">
        <f aca="false">IFERROR('Price History'!K3+(INDEX('Price History'!K:K,MATCH(9.99E+307,'Price History'!$A:$A))-'Price History'!K3)*(ROW()-3)/(MATCH(9.99E+307,'Returns (Calc)'!$A:$A)-3),"")</f>
        <v>43.2159493670886</v>
      </c>
      <c r="AG5" s="144" t="n">
        <f aca="false">IFERROR('Price History'!L3+(INDEX('Price History'!L:L,MATCH(9.99E+307,'Price History'!$A:$A))-'Price History'!L3)*(ROW()-3)/(MATCH(9.99E+307,'Returns (Calc)'!$A:$A)-3),"")</f>
        <v>110.424303797468</v>
      </c>
      <c r="AH5" s="144" t="n">
        <f aca="false">IFERROR('Price History'!M3+(INDEX('Price History'!M:M,MATCH(9.99E+307,'Price History'!$A:$A))-'Price History'!M3)*(ROW()-3)/(MATCH(9.99E+307,'Returns (Calc)'!$A:$A)-3),"")</f>
        <v>15.1359493670886</v>
      </c>
      <c r="AI5" s="144" t="n">
        <f aca="false">IFERROR('Price History'!N3+(INDEX('Price History'!N:N,MATCH(9.99E+307,'Price History'!$A:$A))-'Price History'!N3)*(ROW()-3)/(MATCH(9.99E+307,'Returns (Calc)'!$A:$A)-3),"")</f>
        <v>21.5240506329114</v>
      </c>
      <c r="AJ5" s="144" t="n">
        <f aca="false">IFERROR('Price History'!O3+(INDEX('Price History'!O:O,MATCH(9.99E+307,'Price History'!$A:$A))-'Price History'!O3)*(ROW()-3)/(MATCH(9.99E+307,'Returns (Calc)'!$A:$A)-3),"")</f>
        <v>56.9005063291139</v>
      </c>
      <c r="AK5" s="144" t="n">
        <f aca="false">IFERROR('Price History'!Q3+(INDEX('Price History'!Q:Q,MATCH(9.99E+307,'Price History'!$A:$A))-'Price History'!Q3)*(ROW()-3)/(MATCH(9.99E+307,'Returns (Calc)'!$A:$A)-3),"")</f>
        <v>232.647341772152</v>
      </c>
      <c r="AL5" s="144" t="n">
        <f aca="false">IFERROR('Price History'!R3+(INDEX('Price History'!R:R,MATCH(9.99E+307,'Price History'!$A:$A))-'Price History'!R3)*(ROW()-3)/(MATCH(9.99E+307,'Returns (Calc)'!$A:$A)-3),"")</f>
        <v>47.2146835443038</v>
      </c>
      <c r="AM5" s="144" t="n">
        <f aca="false">IFERROR('Price History'!S3+(INDEX('Price History'!S:S,MATCH(9.99E+307,'Price History'!$A:$A))-'Price History'!S3)*(ROW()-3)/(MATCH(9.99E+307,'Returns (Calc)'!$A:$A)-3),"")</f>
        <v>57.7989873417722</v>
      </c>
      <c r="AN5" s="144" t="n">
        <f aca="false">IFERROR('Price History'!T3+(INDEX('Price History'!T:T,MATCH(9.99E+307,'Price History'!$A:$A))-'Price History'!T3)*(ROW()-3)/(MATCH(9.99E+307,'Returns (Calc)'!$A:$A)-3),"")</f>
        <v>26.5693670886076</v>
      </c>
      <c r="AO5" s="145" t="n">
        <f aca="false">IFERROR('Price History'!V3+(INDEX('Price History'!V:V,MATCH(9.99E+307,'Price History'!$A:$A))-'Price History'!V3)*(ROW()-3)/(MATCH(9.99E+307,'Returns (Calc)'!$A:$A)-3),"")</f>
        <v>0</v>
      </c>
    </row>
    <row r="6" customFormat="false" ht="15" hidden="false" customHeight="true" outlineLevel="0" collapsed="false">
      <c r="A6" s="141" t="n">
        <f aca="false">IF('Price History'!A7="","",'Price History'!A7)</f>
        <v>45212</v>
      </c>
      <c r="B6" s="142" t="n">
        <f aca="false">IFERROR(IF(OR(NOT(ISNUMBER('Price History'!B7)),NOT(ISNUMBER('Price History'!B6)),'Price History'!B6=0),"",'Price History'!B7/'Price History'!B6-1),"")</f>
        <v>0.0419229892914104</v>
      </c>
      <c r="C6" s="142" t="n">
        <f aca="false">IFERROR(IF(OR(NOT(ISNUMBER('Price History'!C7)),NOT(ISNUMBER('Price History'!C6)),'Price History'!C6=0),"",'Price History'!C7/'Price History'!C6-1),"")</f>
        <v>-0.0216450216450216</v>
      </c>
      <c r="D6" s="142" t="n">
        <f aca="false">IFERROR(IF(OR(NOT(ISNUMBER('Price History'!D7)),NOT(ISNUMBER('Price History'!D6)),'Price History'!D6=0),"",'Price History'!D7/'Price History'!D6-1),"")</f>
        <v>0.00401585748854427</v>
      </c>
      <c r="E6" s="142" t="n">
        <f aca="false">IFERROR(IF(OR(NOT(ISNUMBER('Price History'!E7)),NOT(ISNUMBER('Price History'!E6)),'Price History'!E6=0),"",'Price History'!E7/'Price History'!E6-1),"")</f>
        <v>0.044849077355493</v>
      </c>
      <c r="F6" s="142" t="n">
        <f aca="false">IFERROR(IF(OR(NOT(ISNUMBER('Price History'!F7)),NOT(ISNUMBER('Price History'!F6)),'Price History'!F6=0),"",'Price History'!F7/'Price History'!F6-1),"")</f>
        <v>0.00263632579436668</v>
      </c>
      <c r="G6" s="142" t="n">
        <f aca="false">IFERROR(IF(OR(NOT(ISNUMBER('Price History'!G7)),NOT(ISNUMBER('Price History'!G6)),'Price History'!G6=0),"",'Price History'!G7/'Price History'!G6-1),"")</f>
        <v>0.0511659497396422</v>
      </c>
      <c r="H6" s="142" t="n">
        <f aca="false">IFERROR(IF(OR(NOT(ISNUMBER('Price History'!H7)),NOT(ISNUMBER('Price History'!H6)),'Price History'!H6=0),"",'Price History'!H7/'Price History'!H6-1),"")</f>
        <v>0.0136594663278273</v>
      </c>
      <c r="I6" s="142" t="n">
        <f aca="false">IFERROR(IF(OR(NOT(ISNUMBER('Price History'!I7)),NOT(ISNUMBER('Price History'!I6)),'Price History'!I6=0),"",'Price History'!I7/'Price History'!I6-1),"")</f>
        <v>0.0402625820568927</v>
      </c>
      <c r="J6" s="142" t="n">
        <f aca="false">IFERROR(IF(OR(NOT(ISNUMBER('Price History'!J7)),NOT(ISNUMBER('Price History'!J6)),'Price History'!J6=0),"",'Price History'!J7/'Price History'!J6-1),"")</f>
        <v>-0.0106782106782106</v>
      </c>
      <c r="K6" s="142" t="n">
        <f aca="false">IFERROR(IF(OR(NOT(ISNUMBER('Price History'!K7)),NOT(ISNUMBER('Price History'!K6)),'Price History'!K6=0),"",'Price History'!K7/'Price History'!K6-1),"")</f>
        <v>-0.00657462195923741</v>
      </c>
      <c r="L6" s="142" t="n">
        <f aca="false">IFERROR(IF(OR(NOT(ISNUMBER('Price History'!L7)),NOT(ISNUMBER('Price History'!L6)),'Price History'!L6=0),"",'Price History'!L7/'Price History'!L6-1),"")</f>
        <v>0.00687702265372181</v>
      </c>
      <c r="M6" s="142" t="n">
        <f aca="false">IFERROR(IF(OR(NOT(ISNUMBER('Price History'!M7)),NOT(ISNUMBER('Price History'!M6)),'Price History'!M6=0),"",'Price History'!M7/'Price History'!M6-1),"")</f>
        <v>0.0451535219747141</v>
      </c>
      <c r="N6" s="142" t="n">
        <f aca="false">IFERROR(IF(OR(NOT(ISNUMBER('Price History'!N7)),NOT(ISNUMBER('Price History'!N6)),'Price History'!N6=0),"",'Price History'!N7/'Price History'!N6-1),"")</f>
        <v>0.0100961538461539</v>
      </c>
      <c r="O6" s="142" t="n">
        <f aca="false">IFERROR(IF(OR(NOT(ISNUMBER('Price History'!O7)),NOT(ISNUMBER('Price History'!O6)),'Price History'!O6=0),"",'Price History'!O7/'Price History'!O6-1),"")</f>
        <v>0.00564573041637262</v>
      </c>
      <c r="P6" s="142" t="n">
        <f aca="false">IFERROR(IF(OR(NOT(ISNUMBER('Price History'!P7)),NOT(ISNUMBER('Price History'!P6)),'Price History'!P6=0),"",'Price History'!P7/'Price History'!P6-1),"")</f>
        <v>0.0131716983331389</v>
      </c>
      <c r="Q6" s="142" t="n">
        <f aca="false">IFERROR(IF(OR(NOT(ISNUMBER('Price History'!Q7)),NOT(ISNUMBER('Price History'!Q6)),'Price History'!Q6=0),"",'Price History'!Q7/'Price History'!Q6-1),"")</f>
        <v>0.0111865587185513</v>
      </c>
      <c r="R6" s="142" t="n">
        <f aca="false">IFERROR(IF(OR(NOT(ISNUMBER('Price History'!R7)),NOT(ISNUMBER('Price History'!R6)),'Price History'!R6=0),"",'Price History'!R7/'Price History'!R6-1),"")</f>
        <v>-0.00659114315139031</v>
      </c>
      <c r="S6" s="142" t="n">
        <f aca="false">IFERROR(IF(OR(NOT(ISNUMBER('Price History'!S7)),NOT(ISNUMBER('Price History'!S6)),'Price History'!S6=0),"",'Price History'!S7/'Price History'!S6-1),"")</f>
        <v>0.00595035702142122</v>
      </c>
      <c r="T6" s="142" t="n">
        <f aca="false">IFERROR(IF(OR(NOT(ISNUMBER('Price History'!T7)),NOT(ISNUMBER('Price History'!T6)),'Price History'!T6=0),"",'Price History'!T7/'Price History'!T6-1),"")</f>
        <v>-0.00712678169542391</v>
      </c>
      <c r="U6" s="142" t="str">
        <f aca="false">IFERROR(IF(OR(NOT(ISNUMBER('Price History'!U7)),NOT(ISNUMBER('Price History'!U6)),'Price History'!U6=0),"",'Price History'!U7/'Price History'!U6-1),"")</f>
        <v/>
      </c>
      <c r="V6" s="143" t="str">
        <f aca="false">IFERROR(IF(OR(NOT(ISNUMBER('Price History'!V7)),NOT(ISNUMBER('Price History'!V6)),'Price History'!V6=0),"",'Price History'!V7/'Price History'!V6-1),"")</f>
        <v/>
      </c>
      <c r="W6" s="144" t="str">
        <f aca="false">IFERROR('Price History'!B3+(INDEX('Price History'!B:B,MATCH(9.99E+307,'Price History'!$A:$A))-'Price History'!B3)*(ROW()-3)/(MATCH(9.99E+307,'Returns (Calc)'!$A:$A)-3),"")</f>
        <v/>
      </c>
      <c r="X6" s="144" t="n">
        <f aca="false">IFERROR('Price History'!C3+(INDEX('Price History'!C:C,MATCH(9.99E+307,'Price History'!$A:$A))-'Price History'!C3)*(ROW()-3)/(MATCH(9.99E+307,'Returns (Calc)'!$A:$A)-3),"")</f>
        <v>45.303164556962</v>
      </c>
      <c r="Y6" s="144" t="n">
        <f aca="false">IFERROR('Price History'!D3+(INDEX('Price History'!D:D,MATCH(9.99E+307,'Price History'!$A:$A))-'Price History'!D3)*(ROW()-3)/(MATCH(9.99E+307,'Returns (Calc)'!$A:$A)-3),"")</f>
        <v>570.95917721519</v>
      </c>
      <c r="Z6" s="144" t="n">
        <f aca="false">IFERROR('Price History'!E3+(INDEX('Price History'!E:E,MATCH(9.99E+307,'Price History'!$A:$A))-'Price History'!E3)*(ROW()-3)/(MATCH(9.99E+307,'Returns (Calc)'!$A:$A)-3),"")</f>
        <v>80.4430379746836</v>
      </c>
      <c r="AA6" s="144" t="n">
        <f aca="false">IFERROR('Price History'!F3+(INDEX('Price History'!F:F,MATCH(9.99E+307,'Price History'!$A:$A))-'Price History'!F3)*(ROW()-3)/(MATCH(9.99E+307,'Returns (Calc)'!$A:$A)-3),"")</f>
        <v>73.8800632911392</v>
      </c>
      <c r="AB6" s="144" t="n">
        <f aca="false">IFERROR('Price History'!G3+(INDEX('Price History'!G:G,MATCH(9.99E+307,'Price History'!$A:$A))-'Price History'!G3)*(ROW()-3)/(MATCH(9.99E+307,'Returns (Calc)'!$A:$A)-3),"")</f>
        <v>40.5746835443038</v>
      </c>
      <c r="AC6" s="144" t="n">
        <f aca="false">IFERROR('Price History'!H3+(INDEX('Price History'!H:H,MATCH(9.99E+307,'Price History'!$A:$A))-'Price History'!H3)*(ROW()-3)/(MATCH(9.99E+307,'Returns (Calc)'!$A:$A)-3),"")</f>
        <v>98.6800632911393</v>
      </c>
      <c r="AD6" s="144" t="n">
        <f aca="false">IFERROR('Price History'!I3+(INDEX('Price History'!I:I,MATCH(9.99E+307,'Price History'!$A:$A))-'Price History'!I3)*(ROW()-3)/(MATCH(9.99E+307,'Returns (Calc)'!$A:$A)-3),"")</f>
        <v>43.5079113924051</v>
      </c>
      <c r="AE6" s="144" t="n">
        <f aca="false">IFERROR('Price History'!J3+(INDEX('Price History'!J:J,MATCH(9.99E+307,'Price History'!$A:$A))-'Price History'!J3)*(ROW()-3)/(MATCH(9.99E+307,'Returns (Calc)'!$A:$A)-3),"")</f>
        <v>67.7977848101266</v>
      </c>
      <c r="AF6" s="144" t="n">
        <f aca="false">IFERROR('Price History'!K3+(INDEX('Price History'!K:K,MATCH(9.99E+307,'Price History'!$A:$A))-'Price History'!K3)*(ROW()-3)/(MATCH(9.99E+307,'Returns (Calc)'!$A:$A)-3),"")</f>
        <v>42.9389240506329</v>
      </c>
      <c r="AG6" s="144" t="n">
        <f aca="false">IFERROR('Price History'!L3+(INDEX('Price History'!L:L,MATCH(9.99E+307,'Price History'!$A:$A))-'Price History'!L3)*(ROW()-3)/(MATCH(9.99E+307,'Returns (Calc)'!$A:$A)-3),"")</f>
        <v>109.716455696203</v>
      </c>
      <c r="AH6" s="144" t="n">
        <f aca="false">IFERROR('Price History'!M3+(INDEX('Price History'!M:M,MATCH(9.99E+307,'Price History'!$A:$A))-'Price History'!M3)*(ROW()-3)/(MATCH(9.99E+307,'Returns (Calc)'!$A:$A)-3),"")</f>
        <v>15.0389240506329</v>
      </c>
      <c r="AI6" s="144" t="n">
        <f aca="false">IFERROR('Price History'!N3+(INDEX('Price History'!N:N,MATCH(9.99E+307,'Price History'!$A:$A))-'Price History'!N3)*(ROW()-3)/(MATCH(9.99E+307,'Returns (Calc)'!$A:$A)-3),"")</f>
        <v>21.3860759493671</v>
      </c>
      <c r="AJ6" s="144" t="n">
        <f aca="false">IFERROR('Price History'!O3+(INDEX('Price History'!O:O,MATCH(9.99E+307,'Price History'!$A:$A))-'Price History'!O3)*(ROW()-3)/(MATCH(9.99E+307,'Returns (Calc)'!$A:$A)-3),"")</f>
        <v>56.5357594936709</v>
      </c>
      <c r="AK6" s="144" t="n">
        <f aca="false">IFERROR('Price History'!Q3+(INDEX('Price History'!Q:Q,MATCH(9.99E+307,'Price History'!$A:$A))-'Price History'!Q3)*(ROW()-3)/(MATCH(9.99E+307,'Returns (Calc)'!$A:$A)-3),"")</f>
        <v>231.156012658228</v>
      </c>
      <c r="AL6" s="144" t="n">
        <f aca="false">IFERROR('Price History'!R3+(INDEX('Price History'!R:R,MATCH(9.99E+307,'Price History'!$A:$A))-'Price History'!R3)*(ROW()-3)/(MATCH(9.99E+307,'Returns (Calc)'!$A:$A)-3),"")</f>
        <v>46.9120253164557</v>
      </c>
      <c r="AM6" s="144" t="n">
        <f aca="false">IFERROR('Price History'!S3+(INDEX('Price History'!S:S,MATCH(9.99E+307,'Price History'!$A:$A))-'Price History'!S3)*(ROW()-3)/(MATCH(9.99E+307,'Returns (Calc)'!$A:$A)-3),"")</f>
        <v>57.4284810126582</v>
      </c>
      <c r="AN6" s="144" t="n">
        <f aca="false">IFERROR('Price History'!T3+(INDEX('Price History'!T:T,MATCH(9.99E+307,'Price History'!$A:$A))-'Price History'!T3)*(ROW()-3)/(MATCH(9.99E+307,'Returns (Calc)'!$A:$A)-3),"")</f>
        <v>26.3990506329114</v>
      </c>
      <c r="AO6" s="145" t="n">
        <f aca="false">IFERROR('Price History'!V3+(INDEX('Price History'!V:V,MATCH(9.99E+307,'Price History'!$A:$A))-'Price History'!V3)*(ROW()-3)/(MATCH(9.99E+307,'Returns (Calc)'!$A:$A)-3),"")</f>
        <v>0</v>
      </c>
    </row>
    <row r="7" customFormat="false" ht="15" hidden="false" customHeight="true" outlineLevel="0" collapsed="false">
      <c r="A7" s="141" t="n">
        <f aca="false">IF('Price History'!A8="","",'Price History'!A8)</f>
        <v>45219</v>
      </c>
      <c r="B7" s="142" t="n">
        <f aca="false">IFERROR(IF(OR(NOT(ISNUMBER('Price History'!B8)),NOT(ISNUMBER('Price History'!B7)),'Price History'!B7=0),"",'Price History'!B8/'Price History'!B7-1),"")</f>
        <v>-0.0142138639842553</v>
      </c>
      <c r="C7" s="142" t="n">
        <f aca="false">IFERROR(IF(OR(NOT(ISNUMBER('Price History'!C8)),NOT(ISNUMBER('Price History'!C7)),'Price History'!C7=0),"",'Price History'!C8/'Price History'!C7-1),"")</f>
        <v>-0.0195954487989887</v>
      </c>
      <c r="D7" s="142" t="n">
        <f aca="false">IFERROR(IF(OR(NOT(ISNUMBER('Price History'!D8)),NOT(ISNUMBER('Price History'!D7)),'Price History'!D7=0),"",'Price History'!D8/'Price History'!D7-1),"")</f>
        <v>-0.0327675503820316</v>
      </c>
      <c r="E7" s="142" t="n">
        <f aca="false">IFERROR(IF(OR(NOT(ISNUMBER('Price History'!E8)),NOT(ISNUMBER('Price History'!E7)),'Price History'!E7=0),"",'Price History'!E8/'Price History'!E7-1),"")</f>
        <v>-0.0334502923976608</v>
      </c>
      <c r="F7" s="142" t="n">
        <f aca="false">IFERROR(IF(OR(NOT(ISNUMBER('Price History'!F8)),NOT(ISNUMBER('Price History'!F7)),'Price History'!F7=0),"",'Price History'!F8/'Price History'!F7-1),"")</f>
        <v>-0.0167450871851648</v>
      </c>
      <c r="G7" s="142" t="n">
        <f aca="false">IFERROR(IF(OR(NOT(ISNUMBER('Price History'!G8)),NOT(ISNUMBER('Price History'!G7)),'Price History'!G7=0),"",'Price History'!G8/'Price History'!G7-1),"")</f>
        <v>-0.0374757699763084</v>
      </c>
      <c r="H7" s="142" t="n">
        <f aca="false">IFERROR(IF(OR(NOT(ISNUMBER('Price History'!H8)),NOT(ISNUMBER('Price History'!H7)),'Price History'!H7=0),"",'Price History'!H8/'Price History'!H7-1),"")</f>
        <v>-0.019011804032174</v>
      </c>
      <c r="I7" s="142" t="n">
        <f aca="false">IFERROR(IF(OR(NOT(ISNUMBER('Price History'!I8)),NOT(ISNUMBER('Price History'!I7)),'Price History'!I7=0),"",'Price History'!I8/'Price History'!I7-1),"")</f>
        <v>-0.0500631047538915</v>
      </c>
      <c r="J7" s="142" t="n">
        <f aca="false">IFERROR(IF(OR(NOT(ISNUMBER('Price History'!J8)),NOT(ISNUMBER('Price History'!J7)),'Price History'!J7=0),"",'Price History'!J8/'Price History'!J7-1),"")</f>
        <v>-0.0287339556592765</v>
      </c>
      <c r="K7" s="142" t="n">
        <f aca="false">IFERROR(IF(OR(NOT(ISNUMBER('Price History'!K8)),NOT(ISNUMBER('Price History'!K7)),'Price History'!K7=0),"",'Price History'!K8/'Price History'!K7-1),"")</f>
        <v>-0.0897860136774763</v>
      </c>
      <c r="L7" s="142" t="n">
        <f aca="false">IFERROR(IF(OR(NOT(ISNUMBER('Price History'!L8)),NOT(ISNUMBER('Price History'!L7)),'Price History'!L7=0),"",'Price History'!L8/'Price History'!L7-1),"")</f>
        <v>-0.0658899156287666</v>
      </c>
      <c r="M7" s="142" t="n">
        <f aca="false">IFERROR(IF(OR(NOT(ISNUMBER('Price History'!M8)),NOT(ISNUMBER('Price History'!M7)),'Price History'!M7=0),"",'Price History'!M8/'Price History'!M7-1),"")</f>
        <v>-0.0720046082949308</v>
      </c>
      <c r="N7" s="142" t="n">
        <f aca="false">IFERROR(IF(OR(NOT(ISNUMBER('Price History'!N8)),NOT(ISNUMBER('Price History'!N7)),'Price History'!N7=0),"",'Price History'!N8/'Price History'!N7-1),"")</f>
        <v>-0.0147548786292243</v>
      </c>
      <c r="O7" s="142" t="n">
        <f aca="false">IFERROR(IF(OR(NOT(ISNUMBER('Price History'!O8)),NOT(ISNUMBER('Price History'!O7)),'Price History'!O7=0),"",'Price History'!O8/'Price History'!O7-1),"")</f>
        <v>-0.0289473684210526</v>
      </c>
      <c r="P7" s="142" t="n">
        <f aca="false">IFERROR(IF(OR(NOT(ISNUMBER('Price History'!P8)),NOT(ISNUMBER('Price History'!P7)),'Price History'!P7=0),"",'Price History'!P8/'Price History'!P7-1),"")</f>
        <v>0.00931891394385653</v>
      </c>
      <c r="Q7" s="142" t="n">
        <f aca="false">IFERROR(IF(OR(NOT(ISNUMBER('Price History'!Q8)),NOT(ISNUMBER('Price History'!Q7)),'Price History'!Q7=0),"",'Price History'!Q8/'Price History'!Q7-1),"")</f>
        <v>-0.0180362446730662</v>
      </c>
      <c r="R7" s="142" t="n">
        <f aca="false">IFERROR(IF(OR(NOT(ISNUMBER('Price History'!R8)),NOT(ISNUMBER('Price History'!R7)),'Price History'!R7=0),"",'Price History'!R8/'Price History'!R7-1),"")</f>
        <v>-0.000414679659962558</v>
      </c>
      <c r="S7" s="142" t="n">
        <f aca="false">IFERROR(IF(OR(NOT(ISNUMBER('Price History'!S8)),NOT(ISNUMBER('Price History'!S7)),'Price History'!S7=0),"",'Price History'!S8/'Price History'!S7-1),"")</f>
        <v>0</v>
      </c>
      <c r="T7" s="142" t="n">
        <f aca="false">IFERROR(IF(OR(NOT(ISNUMBER('Price History'!T8)),NOT(ISNUMBER('Price History'!T7)),'Price History'!T7=0),"",'Price History'!T8/'Price History'!T7-1),"")</f>
        <v>-0.0064223649414431</v>
      </c>
      <c r="U7" s="142" t="str">
        <f aca="false">IFERROR(IF(OR(NOT(ISNUMBER('Price History'!U8)),NOT(ISNUMBER('Price History'!U7)),'Price History'!U7=0),"",'Price History'!U8/'Price History'!U7-1),"")</f>
        <v/>
      </c>
      <c r="V7" s="143" t="n">
        <f aca="false">IFERROR(IF(OR(NOT(ISNUMBER('Price History'!V8)),NOT(ISNUMBER('Price History'!V7)),'Price History'!V7=0),"",'Price History'!V8/'Price History'!V7-1),"")</f>
        <v>-0.025154110297464</v>
      </c>
      <c r="W7" s="144" t="str">
        <f aca="false">IFERROR('Price History'!B3+(INDEX('Price History'!B:B,MATCH(9.99E+307,'Price History'!$A:$A))-'Price History'!B3)*(ROW()-3)/(MATCH(9.99E+307,'Returns (Calc)'!$A:$A)-3),"")</f>
        <v/>
      </c>
      <c r="X7" s="144" t="n">
        <f aca="false">IFERROR('Price History'!C3+(INDEX('Price History'!C:C,MATCH(9.99E+307,'Price History'!$A:$A))-'Price History'!C3)*(ROW()-3)/(MATCH(9.99E+307,'Returns (Calc)'!$A:$A)-3),"")</f>
        <v>45.0108860759494</v>
      </c>
      <c r="Y7" s="144" t="n">
        <f aca="false">IFERROR('Price History'!D3+(INDEX('Price History'!D:D,MATCH(9.99E+307,'Price History'!$A:$A))-'Price History'!D3)*(ROW()-3)/(MATCH(9.99E+307,'Returns (Calc)'!$A:$A)-3),"")</f>
        <v>567.275569620253</v>
      </c>
      <c r="Z7" s="144" t="n">
        <f aca="false">IFERROR('Price History'!E3+(INDEX('Price History'!E:E,MATCH(9.99E+307,'Price History'!$A:$A))-'Price History'!E3)*(ROW()-3)/(MATCH(9.99E+307,'Returns (Calc)'!$A:$A)-3),"")</f>
        <v>79.9240506329114</v>
      </c>
      <c r="AA7" s="144" t="n">
        <f aca="false">IFERROR('Price History'!F3+(INDEX('Price History'!F:F,MATCH(9.99E+307,'Price History'!$A:$A))-'Price History'!F3)*(ROW()-3)/(MATCH(9.99E+307,'Returns (Calc)'!$A:$A)-3),"")</f>
        <v>73.403417721519</v>
      </c>
      <c r="AB7" s="144" t="n">
        <f aca="false">IFERROR('Price History'!G3+(INDEX('Price History'!G:G,MATCH(9.99E+307,'Price History'!$A:$A))-'Price History'!G3)*(ROW()-3)/(MATCH(9.99E+307,'Returns (Calc)'!$A:$A)-3),"")</f>
        <v>40.3129113924051</v>
      </c>
      <c r="AC7" s="144" t="n">
        <f aca="false">IFERROR('Price History'!H3+(INDEX('Price History'!H:H,MATCH(9.99E+307,'Price History'!$A:$A))-'Price History'!H3)*(ROW()-3)/(MATCH(9.99E+307,'Returns (Calc)'!$A:$A)-3),"")</f>
        <v>98.043417721519</v>
      </c>
      <c r="AD7" s="144" t="n">
        <f aca="false">IFERROR('Price History'!I3+(INDEX('Price History'!I:I,MATCH(9.99E+307,'Price History'!$A:$A))-'Price History'!I3)*(ROW()-3)/(MATCH(9.99E+307,'Returns (Calc)'!$A:$A)-3),"")</f>
        <v>43.2272151898734</v>
      </c>
      <c r="AE7" s="144" t="n">
        <f aca="false">IFERROR('Price History'!J3+(INDEX('Price History'!J:J,MATCH(9.99E+307,'Price History'!$A:$A))-'Price History'!J3)*(ROW()-3)/(MATCH(9.99E+307,'Returns (Calc)'!$A:$A)-3),"")</f>
        <v>67.3603797468355</v>
      </c>
      <c r="AF7" s="144" t="n">
        <f aca="false">IFERROR('Price History'!K3+(INDEX('Price History'!K:K,MATCH(9.99E+307,'Price History'!$A:$A))-'Price History'!K3)*(ROW()-3)/(MATCH(9.99E+307,'Returns (Calc)'!$A:$A)-3),"")</f>
        <v>42.6618987341772</v>
      </c>
      <c r="AG7" s="144" t="n">
        <f aca="false">IFERROR('Price History'!L3+(INDEX('Price History'!L:L,MATCH(9.99E+307,'Price History'!$A:$A))-'Price History'!L3)*(ROW()-3)/(MATCH(9.99E+307,'Returns (Calc)'!$A:$A)-3),"")</f>
        <v>109.008607594937</v>
      </c>
      <c r="AH7" s="144" t="n">
        <f aca="false">IFERROR('Price History'!M3+(INDEX('Price History'!M:M,MATCH(9.99E+307,'Price History'!$A:$A))-'Price History'!M3)*(ROW()-3)/(MATCH(9.99E+307,'Returns (Calc)'!$A:$A)-3),"")</f>
        <v>14.9418987341772</v>
      </c>
      <c r="AI7" s="144" t="n">
        <f aca="false">IFERROR('Price History'!N3+(INDEX('Price History'!N:N,MATCH(9.99E+307,'Price History'!$A:$A))-'Price History'!N3)*(ROW()-3)/(MATCH(9.99E+307,'Returns (Calc)'!$A:$A)-3),"")</f>
        <v>21.2481012658228</v>
      </c>
      <c r="AJ7" s="144" t="n">
        <f aca="false">IFERROR('Price History'!O3+(INDEX('Price History'!O:O,MATCH(9.99E+307,'Price History'!$A:$A))-'Price History'!O3)*(ROW()-3)/(MATCH(9.99E+307,'Returns (Calc)'!$A:$A)-3),"")</f>
        <v>56.1710126582279</v>
      </c>
      <c r="AK7" s="144" t="n">
        <f aca="false">IFERROR('Price History'!Q3+(INDEX('Price History'!Q:Q,MATCH(9.99E+307,'Price History'!$A:$A))-'Price History'!Q3)*(ROW()-3)/(MATCH(9.99E+307,'Returns (Calc)'!$A:$A)-3),"")</f>
        <v>229.664683544304</v>
      </c>
      <c r="AL7" s="144" t="n">
        <f aca="false">IFERROR('Price History'!R3+(INDEX('Price History'!R:R,MATCH(9.99E+307,'Price History'!$A:$A))-'Price History'!R3)*(ROW()-3)/(MATCH(9.99E+307,'Returns (Calc)'!$A:$A)-3),"")</f>
        <v>46.6093670886076</v>
      </c>
      <c r="AM7" s="144" t="n">
        <f aca="false">IFERROR('Price History'!S3+(INDEX('Price History'!S:S,MATCH(9.99E+307,'Price History'!$A:$A))-'Price History'!S3)*(ROW()-3)/(MATCH(9.99E+307,'Returns (Calc)'!$A:$A)-3),"")</f>
        <v>57.0579746835443</v>
      </c>
      <c r="AN7" s="144" t="n">
        <f aca="false">IFERROR('Price History'!T3+(INDEX('Price History'!T:T,MATCH(9.99E+307,'Price History'!$A:$A))-'Price History'!T3)*(ROW()-3)/(MATCH(9.99E+307,'Returns (Calc)'!$A:$A)-3),"")</f>
        <v>26.2287341772152</v>
      </c>
      <c r="AO7" s="145" t="n">
        <f aca="false">IFERROR('Price History'!V3+(INDEX('Price History'!V:V,MATCH(9.99E+307,'Price History'!$A:$A))-'Price History'!V3)*(ROW()-3)/(MATCH(9.99E+307,'Returns (Calc)'!$A:$A)-3),"")</f>
        <v>0</v>
      </c>
    </row>
    <row r="8" customFormat="false" ht="15" hidden="false" customHeight="true" outlineLevel="0" collapsed="false">
      <c r="A8" s="141" t="n">
        <f aca="false">IF('Price History'!A9="","",'Price History'!A9)</f>
        <v>45226</v>
      </c>
      <c r="B8" s="142" t="n">
        <f aca="false">IFERROR(IF(OR(NOT(ISNUMBER('Price History'!B9)),NOT(ISNUMBER('Price History'!B8)),'Price History'!B8=0),"",'Price History'!B9/'Price History'!B8-1),"")</f>
        <v>-0.0607068914522331</v>
      </c>
      <c r="C8" s="142" t="n">
        <f aca="false">IFERROR(IF(OR(NOT(ISNUMBER('Price History'!C9)),NOT(ISNUMBER('Price History'!C8)),'Price History'!C8=0),"",'Price History'!C9/'Price History'!C8-1),"")</f>
        <v>-0.0532989469159683</v>
      </c>
      <c r="D8" s="142" t="n">
        <f aca="false">IFERROR(IF(OR(NOT(ISNUMBER('Price History'!D9)),NOT(ISNUMBER('Price History'!D8)),'Price History'!D8=0),"",'Price History'!D9/'Price History'!D8-1),"")</f>
        <v>0.0170713604071677</v>
      </c>
      <c r="E8" s="142" t="n">
        <f aca="false">IFERROR(IF(OR(NOT(ISNUMBER('Price History'!E9)),NOT(ISNUMBER('Price History'!E8)),'Price History'!E8=0),"",'Price History'!E9/'Price History'!E8-1),"")</f>
        <v>-0.0179090029041626</v>
      </c>
      <c r="F8" s="142" t="n">
        <f aca="false">IFERROR(IF(OR(NOT(ISNUMBER('Price History'!F9)),NOT(ISNUMBER('Price History'!F8)),'Price History'!F8=0),"",'Price History'!F9/'Price History'!F8-1),"")</f>
        <v>-0.0154820548909218</v>
      </c>
      <c r="G8" s="142" t="n">
        <f aca="false">IFERROR(IF(OR(NOT(ISNUMBER('Price History'!G9)),NOT(ISNUMBER('Price History'!G8)),'Price History'!G8=0),"",'Price History'!G9/'Price History'!G8-1),"")</f>
        <v>-0.0331170284179906</v>
      </c>
      <c r="H8" s="142" t="n">
        <f aca="false">IFERROR(IF(OR(NOT(ISNUMBER('Price History'!H9)),NOT(ISNUMBER('Price History'!H8)),'Price History'!H8=0),"",'Price History'!H9/'Price History'!H8-1),"")</f>
        <v>-0.0160792247896921</v>
      </c>
      <c r="I8" s="142" t="n">
        <f aca="false">IFERROR(IF(OR(NOT(ISNUMBER('Price History'!I9)),NOT(ISNUMBER('Price History'!I8)),'Price History'!I8=0),"",'Price History'!I9/'Price History'!I8-1),"")</f>
        <v>-0.00974313551815764</v>
      </c>
      <c r="J8" s="142" t="n">
        <f aca="false">IFERROR(IF(OR(NOT(ISNUMBER('Price History'!J9)),NOT(ISNUMBER('Price History'!J8)),'Price History'!J8=0),"",'Price History'!J9/'Price History'!J8-1),"")</f>
        <v>-0.0234269409821295</v>
      </c>
      <c r="K8" s="142" t="n">
        <f aca="false">IFERROR(IF(OR(NOT(ISNUMBER('Price History'!K9)),NOT(ISNUMBER('Price History'!K8)),'Price History'!K8=0),"",'Price History'!K9/'Price History'!K8-1),"")</f>
        <v>-0.0213281628696073</v>
      </c>
      <c r="L8" s="142" t="n">
        <f aca="false">IFERROR(IF(OR(NOT(ISNUMBER('Price History'!L9)),NOT(ISNUMBER('Price History'!L8)),'Price History'!L8=0),"",'Price History'!L9/'Price History'!L8-1),"")</f>
        <v>-0.0498924731182796</v>
      </c>
      <c r="M8" s="142" t="n">
        <f aca="false">IFERROR(IF(OR(NOT(ISNUMBER('Price History'!M9)),NOT(ISNUMBER('Price History'!M8)),'Price History'!M8=0),"",'Price History'!M9/'Price History'!M8-1),"")</f>
        <v>-0.0645561762880198</v>
      </c>
      <c r="N8" s="142" t="n">
        <f aca="false">IFERROR(IF(OR(NOT(ISNUMBER('Price History'!N9)),NOT(ISNUMBER('Price History'!N8)),'Price History'!N8=0),"",'Price History'!N9/'Price History'!N8-1),"")</f>
        <v>-0.0342995169082126</v>
      </c>
      <c r="O8" s="142" t="n">
        <f aca="false">IFERROR(IF(OR(NOT(ISNUMBER('Price History'!O9)),NOT(ISNUMBER('Price History'!O8)),'Price History'!O8=0),"",'Price History'!O9/'Price History'!O8-1),"")</f>
        <v>-0.0202348690153569</v>
      </c>
      <c r="P8" s="142" t="n">
        <f aca="false">IFERROR(IF(OR(NOT(ISNUMBER('Price History'!P9)),NOT(ISNUMBER('Price History'!P8)),'Price History'!P8=0),"",'Price History'!P9/'Price History'!P8-1),"")</f>
        <v>-0.0582468938789468</v>
      </c>
      <c r="Q8" s="142" t="n">
        <f aca="false">IFERROR(IF(OR(NOT(ISNUMBER('Price History'!Q9)),NOT(ISNUMBER('Price History'!Q8)),'Price History'!Q8=0),"",'Price History'!Q9/'Price History'!Q8-1),"")</f>
        <v>-0.0176223040504998</v>
      </c>
      <c r="R8" s="142" t="n">
        <f aca="false">IFERROR(IF(OR(NOT(ISNUMBER('Price History'!R9)),NOT(ISNUMBER('Price History'!R8)),'Price History'!R8=0),"",'Price History'!R9/'Price History'!R8-1),"")</f>
        <v>-0.0269653598838416</v>
      </c>
      <c r="S8" s="142" t="n">
        <f aca="false">IFERROR(IF(OR(NOT(ISNUMBER('Price History'!S9)),NOT(ISNUMBER('Price History'!S8)),'Price History'!S8=0),"",'Price History'!S9/'Price History'!S8-1),"")</f>
        <v>-0.0288997802940679</v>
      </c>
      <c r="T8" s="142" t="n">
        <f aca="false">IFERROR(IF(OR(NOT(ISNUMBER('Price History'!T9)),NOT(ISNUMBER('Price History'!T8)),'Price History'!T8=0),"",'Price History'!T9/'Price History'!T8-1),"")</f>
        <v>-0.0148288973384031</v>
      </c>
      <c r="U8" s="142" t="str">
        <f aca="false">IFERROR(IF(OR(NOT(ISNUMBER('Price History'!U9)),NOT(ISNUMBER('Price History'!U8)),'Price History'!U8=0),"",'Price History'!U9/'Price History'!U8-1),"")</f>
        <v/>
      </c>
      <c r="V8" s="143" t="n">
        <f aca="false">IFERROR(IF(OR(NOT(ISNUMBER('Price History'!V9)),NOT(ISNUMBER('Price History'!V8)),'Price History'!V8=0),"",'Price History'!V9/'Price History'!V8-1),"")</f>
        <v>-0.0248270593727454</v>
      </c>
      <c r="W8" s="144" t="str">
        <f aca="false">IFERROR('Price History'!B3+(INDEX('Price History'!B:B,MATCH(9.99E+307,'Price History'!$A:$A))-'Price History'!B3)*(ROW()-3)/(MATCH(9.99E+307,'Returns (Calc)'!$A:$A)-3),"")</f>
        <v/>
      </c>
      <c r="X8" s="144" t="n">
        <f aca="false">IFERROR('Price History'!C3+(INDEX('Price History'!C:C,MATCH(9.99E+307,'Price History'!$A:$A))-'Price History'!C3)*(ROW()-3)/(MATCH(9.99E+307,'Returns (Calc)'!$A:$A)-3),"")</f>
        <v>44.7186075949367</v>
      </c>
      <c r="Y8" s="144" t="n">
        <f aca="false">IFERROR('Price History'!D3+(INDEX('Price History'!D:D,MATCH(9.99E+307,'Price History'!$A:$A))-'Price History'!D3)*(ROW()-3)/(MATCH(9.99E+307,'Returns (Calc)'!$A:$A)-3),"")</f>
        <v>563.591962025316</v>
      </c>
      <c r="Z8" s="144" t="n">
        <f aca="false">IFERROR('Price History'!E3+(INDEX('Price History'!E:E,MATCH(9.99E+307,'Price History'!$A:$A))-'Price History'!E3)*(ROW()-3)/(MATCH(9.99E+307,'Returns (Calc)'!$A:$A)-3),"")</f>
        <v>79.4050632911392</v>
      </c>
      <c r="AA8" s="144" t="n">
        <f aca="false">IFERROR('Price History'!F3+(INDEX('Price History'!F:F,MATCH(9.99E+307,'Price History'!$A:$A))-'Price History'!F3)*(ROW()-3)/(MATCH(9.99E+307,'Returns (Calc)'!$A:$A)-3),"")</f>
        <v>72.9267721518987</v>
      </c>
      <c r="AB8" s="144" t="n">
        <f aca="false">IFERROR('Price History'!G3+(INDEX('Price History'!G:G,MATCH(9.99E+307,'Price History'!$A:$A))-'Price History'!G3)*(ROW()-3)/(MATCH(9.99E+307,'Returns (Calc)'!$A:$A)-3),"")</f>
        <v>40.0511392405063</v>
      </c>
      <c r="AC8" s="144" t="n">
        <f aca="false">IFERROR('Price History'!H3+(INDEX('Price History'!H:H,MATCH(9.99E+307,'Price History'!$A:$A))-'Price History'!H3)*(ROW()-3)/(MATCH(9.99E+307,'Returns (Calc)'!$A:$A)-3),"")</f>
        <v>97.4067721518987</v>
      </c>
      <c r="AD8" s="144" t="n">
        <f aca="false">IFERROR('Price History'!I3+(INDEX('Price History'!I:I,MATCH(9.99E+307,'Price History'!$A:$A))-'Price History'!I3)*(ROW()-3)/(MATCH(9.99E+307,'Returns (Calc)'!$A:$A)-3),"")</f>
        <v>42.9465189873418</v>
      </c>
      <c r="AE8" s="144" t="n">
        <f aca="false">IFERROR('Price History'!J3+(INDEX('Price History'!J:J,MATCH(9.99E+307,'Price History'!$A:$A))-'Price History'!J3)*(ROW()-3)/(MATCH(9.99E+307,'Returns (Calc)'!$A:$A)-3),"")</f>
        <v>66.9229746835443</v>
      </c>
      <c r="AF8" s="144" t="n">
        <f aca="false">IFERROR('Price History'!K3+(INDEX('Price History'!K:K,MATCH(9.99E+307,'Price History'!$A:$A))-'Price History'!K3)*(ROW()-3)/(MATCH(9.99E+307,'Returns (Calc)'!$A:$A)-3),"")</f>
        <v>42.3848734177215</v>
      </c>
      <c r="AG8" s="144" t="n">
        <f aca="false">IFERROR('Price History'!L3+(INDEX('Price History'!L:L,MATCH(9.99E+307,'Price History'!$A:$A))-'Price History'!L3)*(ROW()-3)/(MATCH(9.99E+307,'Returns (Calc)'!$A:$A)-3),"")</f>
        <v>108.300759493671</v>
      </c>
      <c r="AH8" s="144" t="n">
        <f aca="false">IFERROR('Price History'!M3+(INDEX('Price History'!M:M,MATCH(9.99E+307,'Price History'!$A:$A))-'Price History'!M3)*(ROW()-3)/(MATCH(9.99E+307,'Returns (Calc)'!$A:$A)-3),"")</f>
        <v>14.8448734177215</v>
      </c>
      <c r="AI8" s="144" t="n">
        <f aca="false">IFERROR('Price History'!N3+(INDEX('Price History'!N:N,MATCH(9.99E+307,'Price History'!$A:$A))-'Price History'!N3)*(ROW()-3)/(MATCH(9.99E+307,'Returns (Calc)'!$A:$A)-3),"")</f>
        <v>21.1101265822785</v>
      </c>
      <c r="AJ8" s="144" t="n">
        <f aca="false">IFERROR('Price History'!O3+(INDEX('Price History'!O:O,MATCH(9.99E+307,'Price History'!$A:$A))-'Price History'!O3)*(ROW()-3)/(MATCH(9.99E+307,'Returns (Calc)'!$A:$A)-3),"")</f>
        <v>55.8062658227848</v>
      </c>
      <c r="AK8" s="144" t="n">
        <f aca="false">IFERROR('Price History'!Q3+(INDEX('Price History'!Q:Q,MATCH(9.99E+307,'Price History'!$A:$A))-'Price History'!Q3)*(ROW()-3)/(MATCH(9.99E+307,'Returns (Calc)'!$A:$A)-3),"")</f>
        <v>228.17335443038</v>
      </c>
      <c r="AL8" s="144" t="n">
        <f aca="false">IFERROR('Price History'!R3+(INDEX('Price History'!R:R,MATCH(9.99E+307,'Price History'!$A:$A))-'Price History'!R3)*(ROW()-3)/(MATCH(9.99E+307,'Returns (Calc)'!$A:$A)-3),"")</f>
        <v>46.3067088607595</v>
      </c>
      <c r="AM8" s="144" t="n">
        <f aca="false">IFERROR('Price History'!S3+(INDEX('Price History'!S:S,MATCH(9.99E+307,'Price History'!$A:$A))-'Price History'!S3)*(ROW()-3)/(MATCH(9.99E+307,'Returns (Calc)'!$A:$A)-3),"")</f>
        <v>56.6874683544304</v>
      </c>
      <c r="AN8" s="144" t="n">
        <f aca="false">IFERROR('Price History'!T3+(INDEX('Price History'!T:T,MATCH(9.99E+307,'Price History'!$A:$A))-'Price History'!T3)*(ROW()-3)/(MATCH(9.99E+307,'Returns (Calc)'!$A:$A)-3),"")</f>
        <v>26.058417721519</v>
      </c>
      <c r="AO8" s="145" t="n">
        <f aca="false">IFERROR('Price History'!V3+(INDEX('Price History'!V:V,MATCH(9.99E+307,'Price History'!$A:$A))-'Price History'!V3)*(ROW()-3)/(MATCH(9.99E+307,'Returns (Calc)'!$A:$A)-3),"")</f>
        <v>0</v>
      </c>
    </row>
    <row r="9" customFormat="false" ht="15" hidden="false" customHeight="true" outlineLevel="0" collapsed="false">
      <c r="A9" s="141" t="n">
        <f aca="false">IF('Price History'!A10="","",'Price History'!A10)</f>
        <v>45233</v>
      </c>
      <c r="B9" s="142" t="n">
        <f aca="false">IFERROR(IF(OR(NOT(ISNUMBER('Price History'!B10)),NOT(ISNUMBER('Price History'!B9)),'Price History'!B9=0),"",'Price History'!B10/'Price History'!B9-1),"")</f>
        <v>0.10930488860899</v>
      </c>
      <c r="C9" s="142" t="n">
        <f aca="false">IFERROR(IF(OR(NOT(ISNUMBER('Price History'!C10)),NOT(ISNUMBER('Price History'!C9)),'Price History'!C9=0),"",'Price History'!C10/'Price History'!C9-1),"")</f>
        <v>0.205902383654938</v>
      </c>
      <c r="D9" s="142" t="n">
        <f aca="false">IFERROR(IF(OR(NOT(ISNUMBER('Price History'!D10)),NOT(ISNUMBER('Price History'!D9)),'Price History'!D9=0),"",'Price History'!D10/'Price History'!D9-1),"")</f>
        <v>0.0916041145398945</v>
      </c>
      <c r="E9" s="142" t="n">
        <f aca="false">IFERROR(IF(OR(NOT(ISNUMBER('Price History'!E10)),NOT(ISNUMBER('Price History'!E9)),'Price History'!E9=0),"",'Price History'!E10/'Price History'!E9-1),"")</f>
        <v>0.0528585510103501</v>
      </c>
      <c r="F9" s="142" t="n">
        <f aca="false">IFERROR(IF(OR(NOT(ISNUMBER('Price History'!F10)),NOT(ISNUMBER('Price History'!F9)),'Price History'!F9=0),"",'Price History'!F10/'Price History'!F9-1),"")</f>
        <v>0.0716225875625445</v>
      </c>
      <c r="G9" s="142" t="n">
        <f aca="false">IFERROR(IF(OR(NOT(ISNUMBER('Price History'!G10)),NOT(ISNUMBER('Price History'!G9)),'Price History'!G9=0),"",'Price History'!G10/'Price History'!G9-1),"")</f>
        <v>0.0890997454292988</v>
      </c>
      <c r="H9" s="142" t="n">
        <f aca="false">IFERROR(IF(OR(NOT(ISNUMBER('Price History'!H10)),NOT(ISNUMBER('Price History'!H9)),'Price History'!H9=0),"",'Price History'!H10/'Price History'!H9-1),"")</f>
        <v>0.0586580086580084</v>
      </c>
      <c r="I9" s="142" t="n">
        <f aca="false">IFERROR(IF(OR(NOT(ISNUMBER('Price History'!I10)),NOT(ISNUMBER('Price History'!I9)),'Price History'!I9=0),"",'Price History'!I10/'Price History'!I9-1),"")</f>
        <v>0.091010733452594</v>
      </c>
      <c r="J9" s="142" t="n">
        <f aca="false">IFERROR(IF(OR(NOT(ISNUMBER('Price History'!J10)),NOT(ISNUMBER('Price History'!J9)),'Price History'!J9=0),"",'Price History'!J10/'Price History'!J9-1),"")</f>
        <v>0.10564354913117</v>
      </c>
      <c r="K9" s="142" t="n">
        <f aca="false">IFERROR(IF(OR(NOT(ISNUMBER('Price History'!K10)),NOT(ISNUMBER('Price History'!K9)),'Price History'!K9=0),"",'Price History'!K10/'Price History'!K9-1),"")</f>
        <v>0.111193660227835</v>
      </c>
      <c r="L9" s="142" t="n">
        <f aca="false">IFERROR(IF(OR(NOT(ISNUMBER('Price History'!L10)),NOT(ISNUMBER('Price History'!L9)),'Price History'!L9=0),"",'Price History'!L10/'Price History'!L9-1),"")</f>
        <v>0.0948392937980986</v>
      </c>
      <c r="M9" s="142" t="n">
        <f aca="false">IFERROR(IF(OR(NOT(ISNUMBER('Price History'!M10)),NOT(ISNUMBER('Price History'!M9)),'Price History'!M9=0),"",'Price History'!M10/'Price History'!M9-1),"")</f>
        <v>0.253483742534838</v>
      </c>
      <c r="N9" s="142" t="n">
        <f aca="false">IFERROR(IF(OR(NOT(ISNUMBER('Price History'!N10)),NOT(ISNUMBER('Price History'!N9)),'Price History'!N9=0),"",'Price History'!N10/'Price History'!N9-1),"")</f>
        <v>0.0500250125062531</v>
      </c>
      <c r="O9" s="142" t="n">
        <f aca="false">IFERROR(IF(OR(NOT(ISNUMBER('Price History'!O10)),NOT(ISNUMBER('Price History'!O9)),'Price History'!O9=0),"",'Price History'!O10/'Price History'!O9-1),"")</f>
        <v>0.0584547298543243</v>
      </c>
      <c r="P9" s="142" t="n">
        <f aca="false">IFERROR(IF(OR(NOT(ISNUMBER('Price History'!P10)),NOT(ISNUMBER('Price History'!P9)),'Price History'!P9=0),"",'Price History'!P10/'Price History'!P9-1),"")</f>
        <v>0.0674170902929072</v>
      </c>
      <c r="Q9" s="142" t="n">
        <f aca="false">IFERROR(IF(OR(NOT(ISNUMBER('Price History'!Q10)),NOT(ISNUMBER('Price History'!Q9)),'Price History'!Q9=0),"",'Price History'!Q10/'Price History'!Q9-1),"")</f>
        <v>0.062516733601071</v>
      </c>
      <c r="R9" s="142" t="n">
        <f aca="false">IFERROR(IF(OR(NOT(ISNUMBER('Price History'!R10)),NOT(ISNUMBER('Price History'!R9)),'Price History'!R9=0),"",'Price History'!R10/'Price History'!R9-1),"")</f>
        <v>0.000426348326582948</v>
      </c>
      <c r="S9" s="142" t="n">
        <f aca="false">IFERROR(IF(OR(NOT(ISNUMBER('Price History'!S10)),NOT(ISNUMBER('Price History'!S9)),'Price History'!S9=0),"",'Price History'!S10/'Price History'!S9-1),"")</f>
        <v>-0.00313261399234255</v>
      </c>
      <c r="T9" s="142" t="n">
        <f aca="false">IFERROR(IF(OR(NOT(ISNUMBER('Price History'!T10)),NOT(ISNUMBER('Price History'!T9)),'Price History'!T9=0),"",'Price History'!T10/'Price History'!T9-1),"")</f>
        <v>0.00270165959089153</v>
      </c>
      <c r="U9" s="142" t="str">
        <f aca="false">IFERROR(IF(OR(NOT(ISNUMBER('Price History'!U10)),NOT(ISNUMBER('Price History'!U9)),'Price History'!U9=0),"",'Price History'!U10/'Price History'!U9-1),"")</f>
        <v/>
      </c>
      <c r="V9" s="143" t="n">
        <f aca="false">IFERROR(IF(OR(NOT(ISNUMBER('Price History'!V10)),NOT(ISNUMBER('Price History'!V9)),'Price History'!V9=0),"",'Price History'!V10/'Price History'!V9-1),"")</f>
        <v>-0.0215858647401863</v>
      </c>
      <c r="W9" s="144" t="str">
        <f aca="false">IFERROR('Price History'!B3+(INDEX('Price History'!B:B,MATCH(9.99E+307,'Price History'!$A:$A))-'Price History'!B3)*(ROW()-3)/(MATCH(9.99E+307,'Returns (Calc)'!$A:$A)-3),"")</f>
        <v/>
      </c>
      <c r="X9" s="144" t="n">
        <f aca="false">IFERROR('Price History'!C3+(INDEX('Price History'!C:C,MATCH(9.99E+307,'Price History'!$A:$A))-'Price History'!C3)*(ROW()-3)/(MATCH(9.99E+307,'Returns (Calc)'!$A:$A)-3),"")</f>
        <v>44.4263291139241</v>
      </c>
      <c r="Y9" s="144" t="n">
        <f aca="false">IFERROR('Price History'!D3+(INDEX('Price History'!D:D,MATCH(9.99E+307,'Price History'!$A:$A))-'Price History'!D3)*(ROW()-3)/(MATCH(9.99E+307,'Returns (Calc)'!$A:$A)-3),"")</f>
        <v>559.90835443038</v>
      </c>
      <c r="Z9" s="144" t="n">
        <f aca="false">IFERROR('Price History'!E3+(INDEX('Price History'!E:E,MATCH(9.99E+307,'Price History'!$A:$A))-'Price History'!E3)*(ROW()-3)/(MATCH(9.99E+307,'Returns (Calc)'!$A:$A)-3),"")</f>
        <v>78.8860759493671</v>
      </c>
      <c r="AA9" s="144" t="n">
        <f aca="false">IFERROR('Price History'!F3+(INDEX('Price History'!F:F,MATCH(9.99E+307,'Price History'!$A:$A))-'Price History'!F3)*(ROW()-3)/(MATCH(9.99E+307,'Returns (Calc)'!$A:$A)-3),"")</f>
        <v>72.4501265822785</v>
      </c>
      <c r="AB9" s="144" t="n">
        <f aca="false">IFERROR('Price History'!G3+(INDEX('Price History'!G:G,MATCH(9.99E+307,'Price History'!$A:$A))-'Price History'!G3)*(ROW()-3)/(MATCH(9.99E+307,'Returns (Calc)'!$A:$A)-3),"")</f>
        <v>39.7893670886076</v>
      </c>
      <c r="AC9" s="144" t="n">
        <f aca="false">IFERROR('Price History'!H3+(INDEX('Price History'!H:H,MATCH(9.99E+307,'Price History'!$A:$A))-'Price History'!H3)*(ROW()-3)/(MATCH(9.99E+307,'Returns (Calc)'!$A:$A)-3),"")</f>
        <v>96.7701265822785</v>
      </c>
      <c r="AD9" s="144" t="n">
        <f aca="false">IFERROR('Price History'!I3+(INDEX('Price History'!I:I,MATCH(9.99E+307,'Price History'!$A:$A))-'Price History'!I3)*(ROW()-3)/(MATCH(9.99E+307,'Returns (Calc)'!$A:$A)-3),"")</f>
        <v>42.6658227848101</v>
      </c>
      <c r="AE9" s="144" t="n">
        <f aca="false">IFERROR('Price History'!J3+(INDEX('Price History'!J:J,MATCH(9.99E+307,'Price History'!$A:$A))-'Price History'!J3)*(ROW()-3)/(MATCH(9.99E+307,'Returns (Calc)'!$A:$A)-3),"")</f>
        <v>66.4855696202532</v>
      </c>
      <c r="AF9" s="144" t="n">
        <f aca="false">IFERROR('Price History'!K3+(INDEX('Price History'!K:K,MATCH(9.99E+307,'Price History'!$A:$A))-'Price History'!K3)*(ROW()-3)/(MATCH(9.99E+307,'Returns (Calc)'!$A:$A)-3),"")</f>
        <v>42.1078481012658</v>
      </c>
      <c r="AG9" s="144" t="n">
        <f aca="false">IFERROR('Price History'!L3+(INDEX('Price History'!L:L,MATCH(9.99E+307,'Price History'!$A:$A))-'Price History'!L3)*(ROW()-3)/(MATCH(9.99E+307,'Returns (Calc)'!$A:$A)-3),"")</f>
        <v>107.592911392405</v>
      </c>
      <c r="AH9" s="144" t="n">
        <f aca="false">IFERROR('Price History'!M3+(INDEX('Price History'!M:M,MATCH(9.99E+307,'Price History'!$A:$A))-'Price History'!M3)*(ROW()-3)/(MATCH(9.99E+307,'Returns (Calc)'!$A:$A)-3),"")</f>
        <v>14.7478481012658</v>
      </c>
      <c r="AI9" s="144" t="n">
        <f aca="false">IFERROR('Price History'!N3+(INDEX('Price History'!N:N,MATCH(9.99E+307,'Price History'!$A:$A))-'Price History'!N3)*(ROW()-3)/(MATCH(9.99E+307,'Returns (Calc)'!$A:$A)-3),"")</f>
        <v>20.9721518987342</v>
      </c>
      <c r="AJ9" s="144" t="n">
        <f aca="false">IFERROR('Price History'!O3+(INDEX('Price History'!O:O,MATCH(9.99E+307,'Price History'!$A:$A))-'Price History'!O3)*(ROW()-3)/(MATCH(9.99E+307,'Returns (Calc)'!$A:$A)-3),"")</f>
        <v>55.4415189873418</v>
      </c>
      <c r="AK9" s="144" t="n">
        <f aca="false">IFERROR('Price History'!Q3+(INDEX('Price History'!Q:Q,MATCH(9.99E+307,'Price History'!$A:$A))-'Price History'!Q3)*(ROW()-3)/(MATCH(9.99E+307,'Returns (Calc)'!$A:$A)-3),"")</f>
        <v>226.682025316456</v>
      </c>
      <c r="AL9" s="144" t="n">
        <f aca="false">IFERROR('Price History'!R3+(INDEX('Price History'!R:R,MATCH(9.99E+307,'Price History'!$A:$A))-'Price History'!R3)*(ROW()-3)/(MATCH(9.99E+307,'Returns (Calc)'!$A:$A)-3),"")</f>
        <v>46.0040506329114</v>
      </c>
      <c r="AM9" s="144" t="n">
        <f aca="false">IFERROR('Price History'!S3+(INDEX('Price History'!S:S,MATCH(9.99E+307,'Price History'!$A:$A))-'Price History'!S3)*(ROW()-3)/(MATCH(9.99E+307,'Returns (Calc)'!$A:$A)-3),"")</f>
        <v>56.3169620253165</v>
      </c>
      <c r="AN9" s="144" t="n">
        <f aca="false">IFERROR('Price History'!T3+(INDEX('Price History'!T:T,MATCH(9.99E+307,'Price History'!$A:$A))-'Price History'!T3)*(ROW()-3)/(MATCH(9.99E+307,'Returns (Calc)'!$A:$A)-3),"")</f>
        <v>25.8881012658228</v>
      </c>
      <c r="AO9" s="145" t="n">
        <f aca="false">IFERROR('Price History'!V3+(INDEX('Price History'!V:V,MATCH(9.99E+307,'Price History'!$A:$A))-'Price History'!V3)*(ROW()-3)/(MATCH(9.99E+307,'Returns (Calc)'!$A:$A)-3),"")</f>
        <v>0</v>
      </c>
    </row>
    <row r="10" customFormat="false" ht="15" hidden="false" customHeight="true" outlineLevel="0" collapsed="false">
      <c r="A10" s="141" t="n">
        <f aca="false">IF('Price History'!A11="","",'Price History'!A11)</f>
        <v>45240</v>
      </c>
      <c r="B10" s="142" t="n">
        <f aca="false">IFERROR(IF(OR(NOT(ISNUMBER('Price History'!B11)),NOT(ISNUMBER('Price History'!B10)),'Price History'!B10=0),"",'Price History'!B11/'Price History'!B10-1),"")</f>
        <v>0.0595394386687012</v>
      </c>
      <c r="C10" s="142" t="n">
        <f aca="false">IFERROR(IF(OR(NOT(ISNUMBER('Price History'!C11)),NOT(ISNUMBER('Price History'!C10)),'Price History'!C10=0),"",'Price History'!C11/'Price History'!C10-1),"")</f>
        <v>-0.0265436746987952</v>
      </c>
      <c r="D10" s="142" t="n">
        <f aca="false">IFERROR(IF(OR(NOT(ISNUMBER('Price History'!D11)),NOT(ISNUMBER('Price History'!D10)),'Price History'!D10=0),"",'Price History'!D11/'Price History'!D10-1),"")</f>
        <v>0.0293836750286516</v>
      </c>
      <c r="E10" s="142" t="n">
        <f aca="false">IFERROR(IF(OR(NOT(ISNUMBER('Price History'!E11)),NOT(ISNUMBER('Price History'!E10)),'Price History'!E10=0),"",'Price History'!E11/'Price History'!E10-1),"")</f>
        <v>0.0847279110590988</v>
      </c>
      <c r="F10" s="142" t="n">
        <f aca="false">IFERROR(IF(OR(NOT(ISNUMBER('Price History'!F11)),NOT(ISNUMBER('Price History'!F10)),'Price History'!F10=0),"",'Price History'!F11/'Price History'!F10-1),"")</f>
        <v>-0.0341515474919956</v>
      </c>
      <c r="G10" s="142" t="n">
        <f aca="false">IFERROR(IF(OR(NOT(ISNUMBER('Price History'!G11)),NOT(ISNUMBER('Price History'!G10)),'Price History'!G10=0),"",'Price History'!G11/'Price History'!G10-1),"")</f>
        <v>0.0429239269018273</v>
      </c>
      <c r="H10" s="142" t="n">
        <f aca="false">IFERROR(IF(OR(NOT(ISNUMBER('Price History'!H11)),NOT(ISNUMBER('Price History'!H10)),'Price History'!H10=0),"",'Price History'!H11/'Price History'!H10-1),"")</f>
        <v>-0.0225925168677161</v>
      </c>
      <c r="I10" s="142" t="n">
        <f aca="false">IFERROR(IF(OR(NOT(ISNUMBER('Price History'!I11)),NOT(ISNUMBER('Price History'!I10)),'Price History'!I10=0),"",'Price History'!I11/'Price History'!I10-1),"")</f>
        <v>0.0692764910842387</v>
      </c>
      <c r="J10" s="142" t="n">
        <f aca="false">IFERROR(IF(OR(NOT(ISNUMBER('Price History'!J11)),NOT(ISNUMBER('Price History'!J10)),'Price History'!J10=0),"",'Price History'!J11/'Price History'!J10-1),"")</f>
        <v>0.0382475660639778</v>
      </c>
      <c r="K10" s="142" t="n">
        <f aca="false">IFERROR(IF(OR(NOT(ISNUMBER('Price History'!K11)),NOT(ISNUMBER('Price History'!K10)),'Price History'!K10=0),"",'Price History'!K11/'Price History'!K10-1),"")</f>
        <v>0.0739915310898149</v>
      </c>
      <c r="L10" s="142" t="n">
        <f aca="false">IFERROR(IF(OR(NOT(ISNUMBER('Price History'!L11)),NOT(ISNUMBER('Price History'!L10)),'Price History'!L10=0),"",'Price History'!L11/'Price History'!L10-1),"")</f>
        <v>-0.0187099441802769</v>
      </c>
      <c r="M10" s="142" t="n">
        <f aca="false">IFERROR(IF(OR(NOT(ISNUMBER('Price History'!M11)),NOT(ISNUMBER('Price History'!M10)),'Price History'!M10=0),"",'Price History'!M11/'Price History'!M10-1),"")</f>
        <v>0.0412916887241928</v>
      </c>
      <c r="N10" s="142" t="n">
        <f aca="false">IFERROR(IF(OR(NOT(ISNUMBER('Price History'!N11)),NOT(ISNUMBER('Price History'!N10)),'Price History'!N10=0),"",'Price History'!N11/'Price History'!N10-1),"")</f>
        <v>-0.0114340161981895</v>
      </c>
      <c r="O10" s="142" t="n">
        <f aca="false">IFERROR(IF(OR(NOT(ISNUMBER('Price History'!O11)),NOT(ISNUMBER('Price History'!O10)),'Price History'!O10=0),"",'Price History'!O11/'Price History'!O10-1),"")</f>
        <v>0.0294425087108015</v>
      </c>
      <c r="P10" s="142" t="n">
        <f aca="false">IFERROR(IF(OR(NOT(ISNUMBER('Price History'!P11)),NOT(ISNUMBER('Price History'!P10)),'Price History'!P10=0),"",'Price History'!P11/'Price History'!P10-1),"")</f>
        <v>0.061571606758136</v>
      </c>
      <c r="Q10" s="142" t="n">
        <f aca="false">IFERROR(IF(OR(NOT(ISNUMBER('Price History'!Q11)),NOT(ISNUMBER('Price History'!Q10)),'Price History'!Q10=0),"",'Price History'!Q11/'Price History'!Q10-1),"")</f>
        <v>0.00890344798622467</v>
      </c>
      <c r="R10" s="142" t="n">
        <f aca="false">IFERROR(IF(OR(NOT(ISNUMBER('Price History'!R11)),NOT(ISNUMBER('Price History'!R10)),'Price History'!R10=0),"",'Price History'!R11/'Price History'!R10-1),"")</f>
        <v>0.0042616663115278</v>
      </c>
      <c r="S10" s="142" t="n">
        <f aca="false">IFERROR(IF(OR(NOT(ISNUMBER('Price History'!S11)),NOT(ISNUMBER('Price History'!S10)),'Price History'!S10=0),"",'Price History'!S11/'Price History'!S10-1),"")</f>
        <v>0.011173184357542</v>
      </c>
      <c r="T10" s="142" t="n">
        <f aca="false">IFERROR(IF(OR(NOT(ISNUMBER('Price History'!T11)),NOT(ISNUMBER('Price History'!T10)),'Price History'!T10=0),"",'Price History'!T11/'Price History'!T10-1),"")</f>
        <v>-0.0184757505773672</v>
      </c>
      <c r="U10" s="142" t="str">
        <f aca="false">IFERROR(IF(OR(NOT(ISNUMBER('Price History'!U11)),NOT(ISNUMBER('Price History'!U10)),'Price History'!U10=0),"",'Price History'!U11/'Price History'!U10-1),"")</f>
        <v/>
      </c>
      <c r="V10" s="143" t="n">
        <f aca="false">IFERROR(IF(OR(NOT(ISNUMBER('Price History'!V11)),NOT(ISNUMBER('Price History'!V10)),'Price History'!V10=0),"",'Price History'!V11/'Price History'!V10-1),"")</f>
        <v>0.0218841740058715</v>
      </c>
      <c r="W10" s="144" t="str">
        <f aca="false">IFERROR('Price History'!B3+(INDEX('Price History'!B:B,MATCH(9.99E+307,'Price History'!$A:$A))-'Price History'!B3)*(ROW()-3)/(MATCH(9.99E+307,'Returns (Calc)'!$A:$A)-3),"")</f>
        <v/>
      </c>
      <c r="X10" s="144" t="n">
        <f aca="false">IFERROR('Price History'!C3+(INDEX('Price History'!C:C,MATCH(9.99E+307,'Price History'!$A:$A))-'Price History'!C3)*(ROW()-3)/(MATCH(9.99E+307,'Returns (Calc)'!$A:$A)-3),"")</f>
        <v>44.1340506329114</v>
      </c>
      <c r="Y10" s="144" t="n">
        <f aca="false">IFERROR('Price History'!D3+(INDEX('Price History'!D:D,MATCH(9.99E+307,'Price History'!$A:$A))-'Price History'!D3)*(ROW()-3)/(MATCH(9.99E+307,'Returns (Calc)'!$A:$A)-3),"")</f>
        <v>556.224746835443</v>
      </c>
      <c r="Z10" s="144" t="n">
        <f aca="false">IFERROR('Price History'!E3+(INDEX('Price History'!E:E,MATCH(9.99E+307,'Price History'!$A:$A))-'Price History'!E3)*(ROW()-3)/(MATCH(9.99E+307,'Returns (Calc)'!$A:$A)-3),"")</f>
        <v>78.3670886075949</v>
      </c>
      <c r="AA10" s="144" t="n">
        <f aca="false">IFERROR('Price History'!F3+(INDEX('Price History'!F:F,MATCH(9.99E+307,'Price History'!$A:$A))-'Price History'!F3)*(ROW()-3)/(MATCH(9.99E+307,'Returns (Calc)'!$A:$A)-3),"")</f>
        <v>71.9734810126582</v>
      </c>
      <c r="AB10" s="144" t="n">
        <f aca="false">IFERROR('Price History'!G3+(INDEX('Price History'!G:G,MATCH(9.99E+307,'Price History'!$A:$A))-'Price History'!G3)*(ROW()-3)/(MATCH(9.99E+307,'Returns (Calc)'!$A:$A)-3),"")</f>
        <v>39.5275949367089</v>
      </c>
      <c r="AC10" s="144" t="n">
        <f aca="false">IFERROR('Price History'!H3+(INDEX('Price History'!H:H,MATCH(9.99E+307,'Price History'!$A:$A))-'Price History'!H3)*(ROW()-3)/(MATCH(9.99E+307,'Returns (Calc)'!$A:$A)-3),"")</f>
        <v>96.1334810126582</v>
      </c>
      <c r="AD10" s="144" t="n">
        <f aca="false">IFERROR('Price History'!I3+(INDEX('Price History'!I:I,MATCH(9.99E+307,'Price History'!$A:$A))-'Price History'!I3)*(ROW()-3)/(MATCH(9.99E+307,'Returns (Calc)'!$A:$A)-3),"")</f>
        <v>42.3851265822785</v>
      </c>
      <c r="AE10" s="144" t="n">
        <f aca="false">IFERROR('Price History'!J3+(INDEX('Price History'!J:J,MATCH(9.99E+307,'Price History'!$A:$A))-'Price History'!J3)*(ROW()-3)/(MATCH(9.99E+307,'Returns (Calc)'!$A:$A)-3),"")</f>
        <v>66.048164556962</v>
      </c>
      <c r="AF10" s="144" t="n">
        <f aca="false">IFERROR('Price History'!K3+(INDEX('Price History'!K:K,MATCH(9.99E+307,'Price History'!$A:$A))-'Price History'!K3)*(ROW()-3)/(MATCH(9.99E+307,'Returns (Calc)'!$A:$A)-3),"")</f>
        <v>41.8308227848101</v>
      </c>
      <c r="AG10" s="144" t="n">
        <f aca="false">IFERROR('Price History'!L3+(INDEX('Price History'!L:L,MATCH(9.99E+307,'Price History'!$A:$A))-'Price History'!L3)*(ROW()-3)/(MATCH(9.99E+307,'Returns (Calc)'!$A:$A)-3),"")</f>
        <v>106.885063291139</v>
      </c>
      <c r="AH10" s="144" t="n">
        <f aca="false">IFERROR('Price History'!M3+(INDEX('Price History'!M:M,MATCH(9.99E+307,'Price History'!$A:$A))-'Price History'!M3)*(ROW()-3)/(MATCH(9.99E+307,'Returns (Calc)'!$A:$A)-3),"")</f>
        <v>14.6508227848101</v>
      </c>
      <c r="AI10" s="144" t="n">
        <f aca="false">IFERROR('Price History'!N3+(INDEX('Price History'!N:N,MATCH(9.99E+307,'Price History'!$A:$A))-'Price History'!N3)*(ROW()-3)/(MATCH(9.99E+307,'Returns (Calc)'!$A:$A)-3),"")</f>
        <v>20.8341772151899</v>
      </c>
      <c r="AJ10" s="144" t="n">
        <f aca="false">IFERROR('Price History'!O3+(INDEX('Price History'!O:O,MATCH(9.99E+307,'Price History'!$A:$A))-'Price History'!O3)*(ROW()-3)/(MATCH(9.99E+307,'Returns (Calc)'!$A:$A)-3),"")</f>
        <v>55.0767721518987</v>
      </c>
      <c r="AK10" s="144" t="n">
        <f aca="false">IFERROR('Price History'!Q3+(INDEX('Price History'!Q:Q,MATCH(9.99E+307,'Price History'!$A:$A))-'Price History'!Q3)*(ROW()-3)/(MATCH(9.99E+307,'Returns (Calc)'!$A:$A)-3),"")</f>
        <v>225.190696202532</v>
      </c>
      <c r="AL10" s="144" t="n">
        <f aca="false">IFERROR('Price History'!R3+(INDEX('Price History'!R:R,MATCH(9.99E+307,'Price History'!$A:$A))-'Price History'!R3)*(ROW()-3)/(MATCH(9.99E+307,'Returns (Calc)'!$A:$A)-3),"")</f>
        <v>45.7013924050633</v>
      </c>
      <c r="AM10" s="144" t="n">
        <f aca="false">IFERROR('Price History'!S3+(INDEX('Price History'!S:S,MATCH(9.99E+307,'Price History'!$A:$A))-'Price History'!S3)*(ROW()-3)/(MATCH(9.99E+307,'Returns (Calc)'!$A:$A)-3),"")</f>
        <v>55.9464556962025</v>
      </c>
      <c r="AN10" s="144" t="n">
        <f aca="false">IFERROR('Price History'!T3+(INDEX('Price History'!T:T,MATCH(9.99E+307,'Price History'!$A:$A))-'Price History'!T3)*(ROW()-3)/(MATCH(9.99E+307,'Returns (Calc)'!$A:$A)-3),"")</f>
        <v>25.7177848101266</v>
      </c>
      <c r="AO10" s="145" t="n">
        <f aca="false">IFERROR('Price History'!V3+(INDEX('Price History'!V:V,MATCH(9.99E+307,'Price History'!$A:$A))-'Price History'!V3)*(ROW()-3)/(MATCH(9.99E+307,'Returns (Calc)'!$A:$A)-3),"")</f>
        <v>0</v>
      </c>
    </row>
    <row r="11" customFormat="false" ht="15" hidden="false" customHeight="true" outlineLevel="0" collapsed="false">
      <c r="A11" s="141" t="n">
        <f aca="false">IF('Price History'!A12="","",'Price History'!A12)</f>
        <v>45247</v>
      </c>
      <c r="B11" s="142" t="n">
        <f aca="false">IFERROR(IF(OR(NOT(ISNUMBER('Price History'!B12)),NOT(ISNUMBER('Price History'!B11)),'Price History'!B11=0),"",'Price History'!B12/'Price History'!B11-1),"")</f>
        <v>0.00910887110277603</v>
      </c>
      <c r="C11" s="142" t="n">
        <f aca="false">IFERROR(IF(OR(NOT(ISNUMBER('Price History'!C12)),NOT(ISNUMBER('Price History'!C11)),'Price History'!C11=0),"",'Price History'!C12/'Price History'!C11-1),"")</f>
        <v>0.0377103074840455</v>
      </c>
      <c r="D11" s="142" t="n">
        <f aca="false">IFERROR(IF(OR(NOT(ISNUMBER('Price History'!D12)),NOT(ISNUMBER('Price History'!D11)),'Price History'!D11=0),"",'Price History'!D12/'Price History'!D11-1),"")</f>
        <v>0.0375135302304004</v>
      </c>
      <c r="E11" s="142" t="n">
        <f aca="false">IFERROR(IF(OR(NOT(ISNUMBER('Price History'!E12)),NOT(ISNUMBER('Price History'!E11)),'Price History'!E11=0),"",'Price History'!E12/'Price History'!E11-1),"")</f>
        <v>0.0211457546660914</v>
      </c>
      <c r="F11" s="142" t="n">
        <f aca="false">IFERROR(IF(OR(NOT(ISNUMBER('Price History'!F12)),NOT(ISNUMBER('Price History'!F11)),'Price History'!F11=0),"",'Price History'!F12/'Price History'!F11-1),"")</f>
        <v>0.055524861878453</v>
      </c>
      <c r="G11" s="142" t="n">
        <f aca="false">IFERROR(IF(OR(NOT(ISNUMBER('Price History'!G12)),NOT(ISNUMBER('Price History'!G11)),'Price History'!G11=0),"",'Price History'!G12/'Price History'!G11-1),"")</f>
        <v>0.0548084759576204</v>
      </c>
      <c r="H11" s="142" t="n">
        <f aca="false">IFERROR(IF(OR(NOT(ISNUMBER('Price History'!H12)),NOT(ISNUMBER('Price History'!H11)),'Price History'!H11=0),"",'Price History'!H12/'Price History'!H11-1),"")</f>
        <v>0.0354565422026985</v>
      </c>
      <c r="I11" s="142" t="n">
        <f aca="false">IFERROR(IF(OR(NOT(ISNUMBER('Price History'!I12)),NOT(ISNUMBER('Price History'!I11)),'Price History'!I11=0),"",'Price History'!I12/'Price History'!I11-1),"")</f>
        <v>0.0220433199156602</v>
      </c>
      <c r="J11" s="142" t="n">
        <f aca="false">IFERROR(IF(OR(NOT(ISNUMBER('Price History'!J12)),NOT(ISNUMBER('Price History'!J11)),'Price History'!J11=0),"",'Price History'!J12/'Price History'!J11-1),"")</f>
        <v>0.029202947086403</v>
      </c>
      <c r="K11" s="142" t="n">
        <f aca="false">IFERROR(IF(OR(NOT(ISNUMBER('Price History'!K12)),NOT(ISNUMBER('Price History'!K11)),'Price History'!K11=0),"",'Price History'!K12/'Price History'!K11-1),"")</f>
        <v>0.0199211454658643</v>
      </c>
      <c r="L11" s="142" t="n">
        <f aca="false">IFERROR(IF(OR(NOT(ISNUMBER('Price History'!L12)),NOT(ISNUMBER('Price History'!L11)),'Price History'!L11=0),"",'Price History'!L12/'Price History'!L11-1),"")</f>
        <v>0.0527757294848834</v>
      </c>
      <c r="M11" s="142" t="n">
        <f aca="false">IFERROR(IF(OR(NOT(ISNUMBER('Price History'!M12)),NOT(ISNUMBER('Price History'!M11)),'Price History'!M11=0),"",'Price History'!M12/'Price History'!M11-1),"")</f>
        <v>0.0416878495170308</v>
      </c>
      <c r="N11" s="142" t="n">
        <f aca="false">IFERROR(IF(OR(NOT(ISNUMBER('Price History'!N12)),NOT(ISNUMBER('Price History'!N11)),'Price History'!N11=0),"",'Price History'!N12/'Price History'!N11-1),"")</f>
        <v>0.0240963855421688</v>
      </c>
      <c r="O11" s="142" t="n">
        <f aca="false">IFERROR(IF(OR(NOT(ISNUMBER('Price History'!O12)),NOT(ISNUMBER('Price History'!O11)),'Price History'!O11=0),"",'Price History'!O12/'Price History'!O11-1),"")</f>
        <v>0.0216618717211032</v>
      </c>
      <c r="P11" s="142" t="n">
        <f aca="false">IFERROR(IF(OR(NOT(ISNUMBER('Price History'!P12)),NOT(ISNUMBER('Price History'!P11)),'Price History'!P11=0),"",'Price History'!P12/'Price History'!P11-1),"")</f>
        <v>0.022003845332194</v>
      </c>
      <c r="Q11" s="142" t="n">
        <f aca="false">IFERROR(IF(OR(NOT(ISNUMBER('Price History'!Q12)),NOT(ISNUMBER('Price History'!Q11)),'Price History'!Q11=0),"",'Price History'!Q12/'Price History'!Q11-1),"")</f>
        <v>0.0175664987720101</v>
      </c>
      <c r="R11" s="142" t="n">
        <f aca="false">IFERROR(IF(OR(NOT(ISNUMBER('Price History'!R12)),NOT(ISNUMBER('Price History'!R11)),'Price History'!R11=0),"",'Price History'!R12/'Price History'!R11-1),"")</f>
        <v>0.00275832802885634</v>
      </c>
      <c r="S11" s="142" t="n">
        <f aca="false">IFERROR(IF(OR(NOT(ISNUMBER('Price History'!S12)),NOT(ISNUMBER('Price History'!S11)),'Price History'!S11=0),"",'Price History'!S12/'Price History'!S11-1),"")</f>
        <v>0.00569751381215466</v>
      </c>
      <c r="T11" s="142" t="n">
        <f aca="false">IFERROR(IF(OR(NOT(ISNUMBER('Price History'!T12)),NOT(ISNUMBER('Price History'!T11)),'Price History'!T11=0),"",'Price History'!T12/'Price History'!T11-1),"")</f>
        <v>0.0129411764705882</v>
      </c>
      <c r="U11" s="142" t="str">
        <f aca="false">IFERROR(IF(OR(NOT(ISNUMBER('Price History'!U12)),NOT(ISNUMBER('Price History'!U11)),'Price History'!U11=0),"",'Price History'!U12/'Price History'!U11-1),"")</f>
        <v/>
      </c>
      <c r="V11" s="143" t="n">
        <f aca="false">IFERROR(IF(OR(NOT(ISNUMBER('Price History'!V12)),NOT(ISNUMBER('Price History'!V11)),'Price History'!V11=0),"",'Price History'!V12/'Price History'!V11-1),"")</f>
        <v>0.0111865587185513</v>
      </c>
      <c r="W11" s="144" t="str">
        <f aca="false">IFERROR('Price History'!B3+(INDEX('Price History'!B:B,MATCH(9.99E+307,'Price History'!$A:$A))-'Price History'!B3)*(ROW()-3)/(MATCH(9.99E+307,'Returns (Calc)'!$A:$A)-3),"")</f>
        <v/>
      </c>
      <c r="X11" s="144" t="n">
        <f aca="false">IFERROR('Price History'!C3+(INDEX('Price History'!C:C,MATCH(9.99E+307,'Price History'!$A:$A))-'Price History'!C3)*(ROW()-3)/(MATCH(9.99E+307,'Returns (Calc)'!$A:$A)-3),"")</f>
        <v>43.8417721518987</v>
      </c>
      <c r="Y11" s="144" t="n">
        <f aca="false">IFERROR('Price History'!D3+(INDEX('Price History'!D:D,MATCH(9.99E+307,'Price History'!$A:$A))-'Price History'!D3)*(ROW()-3)/(MATCH(9.99E+307,'Returns (Calc)'!$A:$A)-3),"")</f>
        <v>552.541139240506</v>
      </c>
      <c r="Z11" s="144" t="n">
        <f aca="false">IFERROR('Price History'!E3+(INDEX('Price History'!E:E,MATCH(9.99E+307,'Price History'!$A:$A))-'Price History'!E3)*(ROW()-3)/(MATCH(9.99E+307,'Returns (Calc)'!$A:$A)-3),"")</f>
        <v>77.8481012658228</v>
      </c>
      <c r="AA11" s="144" t="n">
        <f aca="false">IFERROR('Price History'!F3+(INDEX('Price History'!F:F,MATCH(9.99E+307,'Price History'!$A:$A))-'Price History'!F3)*(ROW()-3)/(MATCH(9.99E+307,'Returns (Calc)'!$A:$A)-3),"")</f>
        <v>71.496835443038</v>
      </c>
      <c r="AB11" s="144" t="n">
        <f aca="false">IFERROR('Price History'!G3+(INDEX('Price History'!G:G,MATCH(9.99E+307,'Price History'!$A:$A))-'Price History'!G3)*(ROW()-3)/(MATCH(9.99E+307,'Returns (Calc)'!$A:$A)-3),"")</f>
        <v>39.2658227848101</v>
      </c>
      <c r="AC11" s="144" t="n">
        <f aca="false">IFERROR('Price History'!H3+(INDEX('Price History'!H:H,MATCH(9.99E+307,'Price History'!$A:$A))-'Price History'!H3)*(ROW()-3)/(MATCH(9.99E+307,'Returns (Calc)'!$A:$A)-3),"")</f>
        <v>95.496835443038</v>
      </c>
      <c r="AD11" s="144" t="n">
        <f aca="false">IFERROR('Price History'!I3+(INDEX('Price History'!I:I,MATCH(9.99E+307,'Price History'!$A:$A))-'Price History'!I3)*(ROW()-3)/(MATCH(9.99E+307,'Returns (Calc)'!$A:$A)-3),"")</f>
        <v>42.1044303797468</v>
      </c>
      <c r="AE11" s="144" t="n">
        <f aca="false">IFERROR('Price History'!J3+(INDEX('Price History'!J:J,MATCH(9.99E+307,'Price History'!$A:$A))-'Price History'!J3)*(ROW()-3)/(MATCH(9.99E+307,'Returns (Calc)'!$A:$A)-3),"")</f>
        <v>65.6107594936709</v>
      </c>
      <c r="AF11" s="144" t="n">
        <f aca="false">IFERROR('Price History'!K3+(INDEX('Price History'!K:K,MATCH(9.99E+307,'Price History'!$A:$A))-'Price History'!K3)*(ROW()-3)/(MATCH(9.99E+307,'Returns (Calc)'!$A:$A)-3),"")</f>
        <v>41.5537974683544</v>
      </c>
      <c r="AG11" s="144" t="n">
        <f aca="false">IFERROR('Price History'!L3+(INDEX('Price History'!L:L,MATCH(9.99E+307,'Price History'!$A:$A))-'Price History'!L3)*(ROW()-3)/(MATCH(9.99E+307,'Returns (Calc)'!$A:$A)-3),"")</f>
        <v>106.177215189873</v>
      </c>
      <c r="AH11" s="144" t="n">
        <f aca="false">IFERROR('Price History'!M3+(INDEX('Price History'!M:M,MATCH(9.99E+307,'Price History'!$A:$A))-'Price History'!M3)*(ROW()-3)/(MATCH(9.99E+307,'Returns (Calc)'!$A:$A)-3),"")</f>
        <v>14.5537974683544</v>
      </c>
      <c r="AI11" s="144" t="n">
        <f aca="false">IFERROR('Price History'!N3+(INDEX('Price History'!N:N,MATCH(9.99E+307,'Price History'!$A:$A))-'Price History'!N3)*(ROW()-3)/(MATCH(9.99E+307,'Returns (Calc)'!$A:$A)-3),"")</f>
        <v>20.6962025316456</v>
      </c>
      <c r="AJ11" s="144" t="n">
        <f aca="false">IFERROR('Price History'!O3+(INDEX('Price History'!O:O,MATCH(9.99E+307,'Price History'!$A:$A))-'Price History'!O3)*(ROW()-3)/(MATCH(9.99E+307,'Returns (Calc)'!$A:$A)-3),"")</f>
        <v>54.7120253164557</v>
      </c>
      <c r="AK11" s="144" t="n">
        <f aca="false">IFERROR('Price History'!Q3+(INDEX('Price History'!Q:Q,MATCH(9.99E+307,'Price History'!$A:$A))-'Price History'!Q3)*(ROW()-3)/(MATCH(9.99E+307,'Returns (Calc)'!$A:$A)-3),"")</f>
        <v>223.699367088608</v>
      </c>
      <c r="AL11" s="144" t="n">
        <f aca="false">IFERROR('Price History'!R3+(INDEX('Price History'!R:R,MATCH(9.99E+307,'Price History'!$A:$A))-'Price History'!R3)*(ROW()-3)/(MATCH(9.99E+307,'Returns (Calc)'!$A:$A)-3),"")</f>
        <v>45.3987341772152</v>
      </c>
      <c r="AM11" s="144" t="n">
        <f aca="false">IFERROR('Price History'!S3+(INDEX('Price History'!S:S,MATCH(9.99E+307,'Price History'!$A:$A))-'Price History'!S3)*(ROW()-3)/(MATCH(9.99E+307,'Returns (Calc)'!$A:$A)-3),"")</f>
        <v>55.5759493670886</v>
      </c>
      <c r="AN11" s="144" t="n">
        <f aca="false">IFERROR('Price History'!T3+(INDEX('Price History'!T:T,MATCH(9.99E+307,'Price History'!$A:$A))-'Price History'!T3)*(ROW()-3)/(MATCH(9.99E+307,'Returns (Calc)'!$A:$A)-3),"")</f>
        <v>25.5474683544304</v>
      </c>
      <c r="AO11" s="145" t="n">
        <f aca="false">IFERROR('Price History'!V3+(INDEX('Price History'!V:V,MATCH(9.99E+307,'Price History'!$A:$A))-'Price History'!V3)*(ROW()-3)/(MATCH(9.99E+307,'Returns (Calc)'!$A:$A)-3),"")</f>
        <v>0</v>
      </c>
    </row>
    <row r="12" customFormat="false" ht="15" hidden="false" customHeight="true" outlineLevel="0" collapsed="false">
      <c r="A12" s="141" t="n">
        <f aca="false">IF('Price History'!A13="","",'Price History'!A13)</f>
        <v>45254</v>
      </c>
      <c r="B12" s="142" t="n">
        <f aca="false">IFERROR(IF(OR(NOT(ISNUMBER('Price History'!B13)),NOT(ISNUMBER('Price History'!B12)),'Price History'!B12=0),"",'Price History'!B13/'Price History'!B12-1),"")</f>
        <v>0.02782663525039</v>
      </c>
      <c r="C12" s="142" t="n">
        <f aca="false">IFERROR(IF(OR(NOT(ISNUMBER('Price History'!C13)),NOT(ISNUMBER('Price History'!C12)),'Price History'!C12=0),"",'Price History'!C13/'Price History'!C12-1),"")</f>
        <v>0.0175177040626167</v>
      </c>
      <c r="D12" s="142" t="n">
        <f aca="false">IFERROR(IF(OR(NOT(ISNUMBER('Price History'!D13)),NOT(ISNUMBER('Price History'!D12)),'Price History'!D12=0),"",'Price History'!D13/'Price History'!D12-1),"")</f>
        <v>0.00742220102539637</v>
      </c>
      <c r="E12" s="142" t="n">
        <f aca="false">IFERROR(IF(OR(NOT(ISNUMBER('Price History'!E13)),NOT(ISNUMBER('Price History'!E12)),'Price History'!E12=0),"",'Price History'!E13/'Price History'!E12-1),"")</f>
        <v>0.001162176439514</v>
      </c>
      <c r="F12" s="142" t="n">
        <f aca="false">IFERROR(IF(OR(NOT(ISNUMBER('Price History'!F13)),NOT(ISNUMBER('Price History'!F12)),'Price History'!F12=0),"",'Price History'!F13/'Price History'!F12-1),"")</f>
        <v>0.000130855796911966</v>
      </c>
      <c r="G12" s="142" t="n">
        <f aca="false">IFERROR(IF(OR(NOT(ISNUMBER('Price History'!G13)),NOT(ISNUMBER('Price History'!G12)),'Price History'!G12=0),"",'Price History'!G13/'Price History'!G12-1),"")</f>
        <v>0.0173845856673749</v>
      </c>
      <c r="H12" s="142" t="n">
        <f aca="false">IFERROR(IF(OR(NOT(ISNUMBER('Price History'!H13)),NOT(ISNUMBER('Price History'!H12)),'Price History'!H12=0),"",'Price History'!H13/'Price History'!H12-1),"")</f>
        <v>0.0035353535353535</v>
      </c>
      <c r="I12" s="142" t="n">
        <f aca="false">IFERROR(IF(OR(NOT(ISNUMBER('Price History'!I13)),NOT(ISNUMBER('Price History'!I12)),'Price History'!I12=0),"",'Price History'!I13/'Price History'!I12-1),"")</f>
        <v>0.0204426106526632</v>
      </c>
      <c r="J12" s="142" t="n">
        <f aca="false">IFERROR(IF(OR(NOT(ISNUMBER('Price History'!J13)),NOT(ISNUMBER('Price History'!J12)),'Price History'!J12=0),"",'Price History'!J13/'Price History'!J12-1),"")</f>
        <v>-0.00885070935832344</v>
      </c>
      <c r="K12" s="142" t="n">
        <f aca="false">IFERROR(IF(OR(NOT(ISNUMBER('Price History'!K13)),NOT(ISNUMBER('Price History'!K12)),'Price History'!K12=0),"",'Price History'!K13/'Price History'!K12-1),"")</f>
        <v>-0.0309257375381484</v>
      </c>
      <c r="L12" s="142" t="n">
        <f aca="false">IFERROR(IF(OR(NOT(ISNUMBER('Price History'!L13)),NOT(ISNUMBER('Price History'!L12)),'Price History'!L12=0),"",'Price History'!L13/'Price History'!L12-1),"")</f>
        <v>0.0175105063037824</v>
      </c>
      <c r="M12" s="142" t="n">
        <f aca="false">IFERROR(IF(OR(NOT(ISNUMBER('Price History'!M13)),NOT(ISNUMBER('Price History'!M12)),'Price History'!M12=0),"",'Price History'!M13/'Price History'!M12-1),"")</f>
        <v>-0.0629575402635432</v>
      </c>
      <c r="N12" s="142" t="n">
        <f aca="false">IFERROR(IF(OR(NOT(ISNUMBER('Price History'!N13)),NOT(ISNUMBER('Price History'!N12)),'Price History'!N12=0),"",'Price History'!N13/'Price History'!N12-1),"")</f>
        <v>0.00941176470588223</v>
      </c>
      <c r="O12" s="142" t="n">
        <f aca="false">IFERROR(IF(OR(NOT(ISNUMBER('Price History'!O13)),NOT(ISNUMBER('Price History'!O12)),'Price History'!O12=0),"",'Price History'!O13/'Price History'!O12-1),"")</f>
        <v>0.00546629120424069</v>
      </c>
      <c r="P12" s="142" t="n">
        <f aca="false">IFERROR(IF(OR(NOT(ISNUMBER('Price History'!P13)),NOT(ISNUMBER('Price History'!P12)),'Price History'!P12=0),"",'Price History'!P13/'Price History'!P12-1),"")</f>
        <v>-0.0175585284280937</v>
      </c>
      <c r="Q12" s="142" t="n">
        <f aca="false">IFERROR(IF(OR(NOT(ISNUMBER('Price History'!Q13)),NOT(ISNUMBER('Price History'!Q12)),'Price History'!Q12=0),"",'Price History'!Q13/'Price History'!Q12-1),"")</f>
        <v>0.019022294947842</v>
      </c>
      <c r="R12" s="142" t="n">
        <f aca="false">IFERROR(IF(OR(NOT(ISNUMBER('Price History'!R13)),NOT(ISNUMBER('Price History'!R12)),'Price History'!R12=0),"",'Price History'!R13/'Price History'!R12-1),"")</f>
        <v>-0.0198899703766399</v>
      </c>
      <c r="S12" s="142" t="n">
        <f aca="false">IFERROR(IF(OR(NOT(ISNUMBER('Price History'!S13)),NOT(ISNUMBER('Price History'!S12)),'Price History'!S12=0),"",'Price History'!S13/'Price History'!S12-1),"")</f>
        <v>-0.0290128755364807</v>
      </c>
      <c r="T12" s="142" t="n">
        <f aca="false">IFERROR(IF(OR(NOT(ISNUMBER('Price History'!T13)),NOT(ISNUMBER('Price History'!T12)),'Price History'!T12=0),"",'Price History'!T13/'Price History'!T12-1),"")</f>
        <v>-0.0127758420441346</v>
      </c>
      <c r="U12" s="142" t="str">
        <f aca="false">IFERROR(IF(OR(NOT(ISNUMBER('Price History'!U13)),NOT(ISNUMBER('Price History'!U12)),'Price History'!U12=0),"",'Price History'!U13/'Price History'!U12-1),"")</f>
        <v/>
      </c>
      <c r="V12" s="143" t="n">
        <f aca="false">IFERROR(IF(OR(NOT(ISNUMBER('Price History'!V13)),NOT(ISNUMBER('Price History'!V12)),'Price History'!V12=0),"",'Price History'!V13/'Price History'!V12-1),"")</f>
        <v>-0.0180362446730662</v>
      </c>
      <c r="W12" s="144" t="str">
        <f aca="false">IFERROR('Price History'!B3+(INDEX('Price History'!B:B,MATCH(9.99E+307,'Price History'!$A:$A))-'Price History'!B3)*(ROW()-3)/(MATCH(9.99E+307,'Returns (Calc)'!$A:$A)-3),"")</f>
        <v/>
      </c>
      <c r="X12" s="144" t="n">
        <f aca="false">IFERROR('Price History'!C3+(INDEX('Price History'!C:C,MATCH(9.99E+307,'Price History'!$A:$A))-'Price History'!C3)*(ROW()-3)/(MATCH(9.99E+307,'Returns (Calc)'!$A:$A)-3),"")</f>
        <v>43.5494936708861</v>
      </c>
      <c r="Y12" s="144" t="n">
        <f aca="false">IFERROR('Price History'!D3+(INDEX('Price History'!D:D,MATCH(9.99E+307,'Price History'!$A:$A))-'Price History'!D3)*(ROW()-3)/(MATCH(9.99E+307,'Returns (Calc)'!$A:$A)-3),"")</f>
        <v>548.85753164557</v>
      </c>
      <c r="Z12" s="144" t="n">
        <f aca="false">IFERROR('Price History'!E3+(INDEX('Price History'!E:E,MATCH(9.99E+307,'Price History'!$A:$A))-'Price History'!E3)*(ROW()-3)/(MATCH(9.99E+307,'Returns (Calc)'!$A:$A)-3),"")</f>
        <v>77.3291139240506</v>
      </c>
      <c r="AA12" s="144" t="n">
        <f aca="false">IFERROR('Price History'!F3+(INDEX('Price History'!F:F,MATCH(9.99E+307,'Price History'!$A:$A))-'Price History'!F3)*(ROW()-3)/(MATCH(9.99E+307,'Returns (Calc)'!$A:$A)-3),"")</f>
        <v>71.0201898734177</v>
      </c>
      <c r="AB12" s="144" t="n">
        <f aca="false">IFERROR('Price History'!G3+(INDEX('Price History'!G:G,MATCH(9.99E+307,'Price History'!$A:$A))-'Price History'!G3)*(ROW()-3)/(MATCH(9.99E+307,'Returns (Calc)'!$A:$A)-3),"")</f>
        <v>39.0040506329114</v>
      </c>
      <c r="AC12" s="144" t="n">
        <f aca="false">IFERROR('Price History'!H3+(INDEX('Price History'!H:H,MATCH(9.99E+307,'Price History'!$A:$A))-'Price History'!H3)*(ROW()-3)/(MATCH(9.99E+307,'Returns (Calc)'!$A:$A)-3),"")</f>
        <v>94.8601898734177</v>
      </c>
      <c r="AD12" s="144" t="n">
        <f aca="false">IFERROR('Price History'!I3+(INDEX('Price History'!I:I,MATCH(9.99E+307,'Price History'!$A:$A))-'Price History'!I3)*(ROW()-3)/(MATCH(9.99E+307,'Returns (Calc)'!$A:$A)-3),"")</f>
        <v>41.8237341772152</v>
      </c>
      <c r="AE12" s="144" t="n">
        <f aca="false">IFERROR('Price History'!J3+(INDEX('Price History'!J:J,MATCH(9.99E+307,'Price History'!$A:$A))-'Price History'!J3)*(ROW()-3)/(MATCH(9.99E+307,'Returns (Calc)'!$A:$A)-3),"")</f>
        <v>65.1733544303798</v>
      </c>
      <c r="AF12" s="144" t="n">
        <f aca="false">IFERROR('Price History'!K3+(INDEX('Price History'!K:K,MATCH(9.99E+307,'Price History'!$A:$A))-'Price History'!K3)*(ROW()-3)/(MATCH(9.99E+307,'Returns (Calc)'!$A:$A)-3),"")</f>
        <v>41.2767721518987</v>
      </c>
      <c r="AG12" s="144" t="n">
        <f aca="false">IFERROR('Price History'!L3+(INDEX('Price History'!L:L,MATCH(9.99E+307,'Price History'!$A:$A))-'Price History'!L3)*(ROW()-3)/(MATCH(9.99E+307,'Returns (Calc)'!$A:$A)-3),"")</f>
        <v>105.469367088608</v>
      </c>
      <c r="AH12" s="144" t="n">
        <f aca="false">IFERROR('Price History'!M3+(INDEX('Price History'!M:M,MATCH(9.99E+307,'Price History'!$A:$A))-'Price History'!M3)*(ROW()-3)/(MATCH(9.99E+307,'Returns (Calc)'!$A:$A)-3),"")</f>
        <v>14.4567721518987</v>
      </c>
      <c r="AI12" s="144" t="n">
        <f aca="false">IFERROR('Price History'!N3+(INDEX('Price History'!N:N,MATCH(9.99E+307,'Price History'!$A:$A))-'Price History'!N3)*(ROW()-3)/(MATCH(9.99E+307,'Returns (Calc)'!$A:$A)-3),"")</f>
        <v>20.5582278481013</v>
      </c>
      <c r="AJ12" s="144" t="n">
        <f aca="false">IFERROR('Price History'!O3+(INDEX('Price History'!O:O,MATCH(9.99E+307,'Price History'!$A:$A))-'Price History'!O3)*(ROW()-3)/(MATCH(9.99E+307,'Returns (Calc)'!$A:$A)-3),"")</f>
        <v>54.3472784810127</v>
      </c>
      <c r="AK12" s="144" t="n">
        <f aca="false">IFERROR('Price History'!Q3+(INDEX('Price History'!Q:Q,MATCH(9.99E+307,'Price History'!$A:$A))-'Price History'!Q3)*(ROW()-3)/(MATCH(9.99E+307,'Returns (Calc)'!$A:$A)-3),"")</f>
        <v>222.208037974684</v>
      </c>
      <c r="AL12" s="144" t="n">
        <f aca="false">IFERROR('Price History'!R3+(INDEX('Price History'!R:R,MATCH(9.99E+307,'Price History'!$A:$A))-'Price History'!R3)*(ROW()-3)/(MATCH(9.99E+307,'Returns (Calc)'!$A:$A)-3),"")</f>
        <v>45.0960759493671</v>
      </c>
      <c r="AM12" s="144" t="n">
        <f aca="false">IFERROR('Price History'!S3+(INDEX('Price History'!S:S,MATCH(9.99E+307,'Price History'!$A:$A))-'Price History'!S3)*(ROW()-3)/(MATCH(9.99E+307,'Returns (Calc)'!$A:$A)-3),"")</f>
        <v>55.2054430379747</v>
      </c>
      <c r="AN12" s="144" t="n">
        <f aca="false">IFERROR('Price History'!T3+(INDEX('Price History'!T:T,MATCH(9.99E+307,'Price History'!$A:$A))-'Price History'!T3)*(ROW()-3)/(MATCH(9.99E+307,'Returns (Calc)'!$A:$A)-3),"")</f>
        <v>25.3771518987342</v>
      </c>
      <c r="AO12" s="145" t="n">
        <f aca="false">IFERROR('Price History'!V3+(INDEX('Price History'!V:V,MATCH(9.99E+307,'Price History'!$A:$A))-'Price History'!V3)*(ROW()-3)/(MATCH(9.99E+307,'Returns (Calc)'!$A:$A)-3),"")</f>
        <v>0</v>
      </c>
    </row>
    <row r="13" customFormat="false" ht="15" hidden="false" customHeight="true" outlineLevel="0" collapsed="false">
      <c r="A13" s="141" t="n">
        <f aca="false">IF('Price History'!A14="","",'Price History'!A14)</f>
        <v>45261</v>
      </c>
      <c r="B13" s="142" t="n">
        <f aca="false">IFERROR(IF(OR(NOT(ISNUMBER('Price History'!B14)),NOT(ISNUMBER('Price History'!B13)),'Price History'!B13=0),"",'Price History'!B14/'Price History'!B13-1),"")</f>
        <v>-0.0112361364480247</v>
      </c>
      <c r="C13" s="142" t="n">
        <f aca="false">IFERROR(IF(OR(NOT(ISNUMBER('Price History'!C14)),NOT(ISNUMBER('Price History'!C13)),'Price History'!C13=0),"",'Price History'!C14/'Price History'!C13-1),"")</f>
        <v>-0.00805860805860814</v>
      </c>
      <c r="D13" s="142" t="n">
        <f aca="false">IFERROR(IF(OR(NOT(ISNUMBER('Price History'!D14)),NOT(ISNUMBER('Price History'!D13)),'Price History'!D13=0),"",'Price History'!D14/'Price History'!D13-1),"")</f>
        <v>0.00147942125040679</v>
      </c>
      <c r="E13" s="142" t="n">
        <f aca="false">IFERROR(IF(OR(NOT(ISNUMBER('Price History'!E14)),NOT(ISNUMBER('Price History'!E13)),'Price History'!E13=0),"",'Price History'!E14/'Price History'!E13-1),"")</f>
        <v>-0.0499155761924863</v>
      </c>
      <c r="F13" s="142" t="n">
        <f aca="false">IFERROR(IF(OR(NOT(ISNUMBER('Price History'!F14)),NOT(ISNUMBER('Price History'!F13)),'Price History'!F13=0),"",'Price History'!F14/'Price History'!F13-1),"")</f>
        <v>0.0334947010336253</v>
      </c>
      <c r="G13" s="142" t="n">
        <f aca="false">IFERROR(IF(OR(NOT(ISNUMBER('Price History'!G14)),NOT(ISNUMBER('Price History'!G13)),'Price History'!G13=0),"",'Price History'!G14/'Price History'!G13-1),"")</f>
        <v>0.115625593316879</v>
      </c>
      <c r="H13" s="142" t="n">
        <f aca="false">IFERROR(IF(OR(NOT(ISNUMBER('Price History'!H14)),NOT(ISNUMBER('Price History'!H13)),'Price History'!H13=0),"",'Price History'!H14/'Price History'!H13-1),"")</f>
        <v>0.0292903875188728</v>
      </c>
      <c r="I13" s="142" t="n">
        <f aca="false">IFERROR(IF(OR(NOT(ISNUMBER('Price History'!I14)),NOT(ISNUMBER('Price History'!I13)),'Price History'!I13=0),"",'Price History'!I14/'Price History'!I13-1),"")</f>
        <v>-0.0119463333945966</v>
      </c>
      <c r="J13" s="142" t="n">
        <f aca="false">IFERROR(IF(OR(NOT(ISNUMBER('Price History'!J14)),NOT(ISNUMBER('Price History'!J13)),'Price History'!J13=0),"",'Price History'!J14/'Price History'!J13-1),"")</f>
        <v>-0.0122127380170717</v>
      </c>
      <c r="K13" s="142" t="n">
        <f aca="false">IFERROR(IF(OR(NOT(ISNUMBER('Price History'!K14)),NOT(ISNUMBER('Price History'!K13)),'Price History'!K13=0),"",'Price History'!K14/'Price History'!K13-1),"")</f>
        <v>-0.0209951711106445</v>
      </c>
      <c r="L13" s="142" t="n">
        <f aca="false">IFERROR(IF(OR(NOT(ISNUMBER('Price History'!L14)),NOT(ISNUMBER('Price History'!L13)),'Price History'!L13=0),"",'Price History'!L14/'Price History'!L13-1),"")</f>
        <v>0.0558560330415971</v>
      </c>
      <c r="M13" s="142" t="n">
        <f aca="false">IFERROR(IF(OR(NOT(ISNUMBER('Price History'!M14)),NOT(ISNUMBER('Price History'!M13)),'Price History'!M13=0),"",'Price History'!M14/'Price History'!M13-1),"")</f>
        <v>0.0557291666666666</v>
      </c>
      <c r="N13" s="142" t="n">
        <f aca="false">IFERROR(IF(OR(NOT(ISNUMBER('Price History'!N14)),NOT(ISNUMBER('Price History'!N13)),'Price History'!N13=0),"",'Price History'!N14/'Price History'!N13-1),"")</f>
        <v>0.0186480186480187</v>
      </c>
      <c r="O13" s="142" t="n">
        <f aca="false">IFERROR(IF(OR(NOT(ISNUMBER('Price History'!O14)),NOT(ISNUMBER('Price History'!O13)),'Price History'!O13=0),"",'Price History'!O14/'Price History'!O13-1),"")</f>
        <v>-0.0021416803953872</v>
      </c>
      <c r="P13" s="142" t="n">
        <f aca="false">IFERROR(IF(OR(NOT(ISNUMBER('Price History'!P14)),NOT(ISNUMBER('Price History'!P13)),'Price History'!P13=0),"",'Price History'!P14/'Price History'!P13-1),"")</f>
        <v>0.00734042553191494</v>
      </c>
      <c r="Q13" s="142" t="n">
        <f aca="false">IFERROR(IF(OR(NOT(ISNUMBER('Price History'!Q14)),NOT(ISNUMBER('Price History'!Q13)),'Price History'!Q13=0),"",'Price History'!Q14/'Price History'!Q13-1),"")</f>
        <v>0.00843034925732633</v>
      </c>
      <c r="R13" s="142" t="n">
        <f aca="false">IFERROR(IF(OR(NOT(ISNUMBER('Price History'!R14)),NOT(ISNUMBER('Price History'!R13)),'Price History'!R13=0),"",'Price History'!R14/'Price History'!R13-1),"")</f>
        <v>-0.0207253886010363</v>
      </c>
      <c r="S13" s="142" t="n">
        <f aca="false">IFERROR(IF(OR(NOT(ISNUMBER('Price History'!S14)),NOT(ISNUMBER('Price History'!S13)),'Price History'!S13=0),"",'Price History'!S14/'Price History'!S13-1),"")</f>
        <v>-0.0201555869872702</v>
      </c>
      <c r="T13" s="142" t="n">
        <f aca="false">IFERROR(IF(OR(NOT(ISNUMBER('Price History'!T14)),NOT(ISNUMBER('Price History'!T13)),'Price History'!T13=0),"",'Price History'!T14/'Price History'!T13-1),"")</f>
        <v>-0.0329411764705883</v>
      </c>
      <c r="U13" s="142" t="str">
        <f aca="false">IFERROR(IF(OR(NOT(ISNUMBER('Price History'!U14)),NOT(ISNUMBER('Price History'!U13)),'Price History'!U13=0),"",'Price History'!U14/'Price History'!U13-1),"")</f>
        <v/>
      </c>
      <c r="V13" s="143" t="n">
        <f aca="false">IFERROR(IF(OR(NOT(ISNUMBER('Price History'!V14)),NOT(ISNUMBER('Price History'!V13)),'Price History'!V13=0),"",'Price History'!V14/'Price History'!V13-1),"")</f>
        <v>-0.0176223040504998</v>
      </c>
      <c r="W13" s="144" t="str">
        <f aca="false">IFERROR('Price History'!B3+(INDEX('Price History'!B:B,MATCH(9.99E+307,'Price History'!$A:$A))-'Price History'!B3)*(ROW()-3)/(MATCH(9.99E+307,'Returns (Calc)'!$A:$A)-3),"")</f>
        <v/>
      </c>
      <c r="X13" s="144" t="n">
        <f aca="false">IFERROR('Price History'!C3+(INDEX('Price History'!C:C,MATCH(9.99E+307,'Price History'!$A:$A))-'Price History'!C3)*(ROW()-3)/(MATCH(9.99E+307,'Returns (Calc)'!$A:$A)-3),"")</f>
        <v>43.2572151898734</v>
      </c>
      <c r="Y13" s="144" t="n">
        <f aca="false">IFERROR('Price History'!D3+(INDEX('Price History'!D:D,MATCH(9.99E+307,'Price History'!$A:$A))-'Price History'!D3)*(ROW()-3)/(MATCH(9.99E+307,'Returns (Calc)'!$A:$A)-3),"")</f>
        <v>545.173924050633</v>
      </c>
      <c r="Z13" s="144" t="n">
        <f aca="false">IFERROR('Price History'!E3+(INDEX('Price History'!E:E,MATCH(9.99E+307,'Price History'!$A:$A))-'Price History'!E3)*(ROW()-3)/(MATCH(9.99E+307,'Returns (Calc)'!$A:$A)-3),"")</f>
        <v>76.8101265822785</v>
      </c>
      <c r="AA13" s="144" t="n">
        <f aca="false">IFERROR('Price History'!F3+(INDEX('Price History'!F:F,MATCH(9.99E+307,'Price History'!$A:$A))-'Price History'!F3)*(ROW()-3)/(MATCH(9.99E+307,'Returns (Calc)'!$A:$A)-3),"")</f>
        <v>70.5435443037975</v>
      </c>
      <c r="AB13" s="144" t="n">
        <f aca="false">IFERROR('Price History'!G3+(INDEX('Price History'!G:G,MATCH(9.99E+307,'Price History'!$A:$A))-'Price History'!G3)*(ROW()-3)/(MATCH(9.99E+307,'Returns (Calc)'!$A:$A)-3),"")</f>
        <v>38.7422784810127</v>
      </c>
      <c r="AC13" s="144" t="n">
        <f aca="false">IFERROR('Price History'!H3+(INDEX('Price History'!H:H,MATCH(9.99E+307,'Price History'!$A:$A))-'Price History'!H3)*(ROW()-3)/(MATCH(9.99E+307,'Returns (Calc)'!$A:$A)-3),"")</f>
        <v>94.2235443037975</v>
      </c>
      <c r="AD13" s="144" t="n">
        <f aca="false">IFERROR('Price History'!I3+(INDEX('Price History'!I:I,MATCH(9.99E+307,'Price History'!$A:$A))-'Price History'!I3)*(ROW()-3)/(MATCH(9.99E+307,'Returns (Calc)'!$A:$A)-3),"")</f>
        <v>41.5430379746835</v>
      </c>
      <c r="AE13" s="144" t="n">
        <f aca="false">IFERROR('Price History'!J3+(INDEX('Price History'!J:J,MATCH(9.99E+307,'Price History'!$A:$A))-'Price History'!J3)*(ROW()-3)/(MATCH(9.99E+307,'Returns (Calc)'!$A:$A)-3),"")</f>
        <v>64.7359493670886</v>
      </c>
      <c r="AF13" s="144" t="n">
        <f aca="false">IFERROR('Price History'!K3+(INDEX('Price History'!K:K,MATCH(9.99E+307,'Price History'!$A:$A))-'Price History'!K3)*(ROW()-3)/(MATCH(9.99E+307,'Returns (Calc)'!$A:$A)-3),"")</f>
        <v>40.999746835443</v>
      </c>
      <c r="AG13" s="144" t="n">
        <f aca="false">IFERROR('Price History'!L3+(INDEX('Price History'!L:L,MATCH(9.99E+307,'Price History'!$A:$A))-'Price History'!L3)*(ROW()-3)/(MATCH(9.99E+307,'Returns (Calc)'!$A:$A)-3),"")</f>
        <v>104.761518987342</v>
      </c>
      <c r="AH13" s="144" t="n">
        <f aca="false">IFERROR('Price History'!M3+(INDEX('Price History'!M:M,MATCH(9.99E+307,'Price History'!$A:$A))-'Price History'!M3)*(ROW()-3)/(MATCH(9.99E+307,'Returns (Calc)'!$A:$A)-3),"")</f>
        <v>14.359746835443</v>
      </c>
      <c r="AI13" s="144" t="n">
        <f aca="false">IFERROR('Price History'!N3+(INDEX('Price History'!N:N,MATCH(9.99E+307,'Price History'!$A:$A))-'Price History'!N3)*(ROW()-3)/(MATCH(9.99E+307,'Returns (Calc)'!$A:$A)-3),"")</f>
        <v>20.420253164557</v>
      </c>
      <c r="AJ13" s="144" t="n">
        <f aca="false">IFERROR('Price History'!O3+(INDEX('Price History'!O:O,MATCH(9.99E+307,'Price History'!$A:$A))-'Price History'!O3)*(ROW()-3)/(MATCH(9.99E+307,'Returns (Calc)'!$A:$A)-3),"")</f>
        <v>53.9825316455696</v>
      </c>
      <c r="AK13" s="144" t="n">
        <f aca="false">IFERROR('Price History'!Q3+(INDEX('Price History'!Q:Q,MATCH(9.99E+307,'Price History'!$A:$A))-'Price History'!Q3)*(ROW()-3)/(MATCH(9.99E+307,'Returns (Calc)'!$A:$A)-3),"")</f>
        <v>220.71670886076</v>
      </c>
      <c r="AL13" s="144" t="n">
        <f aca="false">IFERROR('Price History'!R3+(INDEX('Price History'!R:R,MATCH(9.99E+307,'Price History'!$A:$A))-'Price History'!R3)*(ROW()-3)/(MATCH(9.99E+307,'Returns (Calc)'!$A:$A)-3),"")</f>
        <v>44.793417721519</v>
      </c>
      <c r="AM13" s="144" t="n">
        <f aca="false">IFERROR('Price History'!S3+(INDEX('Price History'!S:S,MATCH(9.99E+307,'Price History'!$A:$A))-'Price History'!S3)*(ROW()-3)/(MATCH(9.99E+307,'Returns (Calc)'!$A:$A)-3),"")</f>
        <v>54.8349367088608</v>
      </c>
      <c r="AN13" s="144" t="n">
        <f aca="false">IFERROR('Price History'!T3+(INDEX('Price History'!T:T,MATCH(9.99E+307,'Price History'!$A:$A))-'Price History'!T3)*(ROW()-3)/(MATCH(9.99E+307,'Returns (Calc)'!$A:$A)-3),"")</f>
        <v>25.206835443038</v>
      </c>
      <c r="AO13" s="145" t="n">
        <f aca="false">IFERROR('Price History'!V3+(INDEX('Price History'!V:V,MATCH(9.99E+307,'Price History'!$A:$A))-'Price History'!V3)*(ROW()-3)/(MATCH(9.99E+307,'Returns (Calc)'!$A:$A)-3),"")</f>
        <v>0</v>
      </c>
    </row>
    <row r="14" customFormat="false" ht="15" hidden="false" customHeight="true" outlineLevel="0" collapsed="false">
      <c r="A14" s="141" t="n">
        <f aca="false">IF('Price History'!A15="","",'Price History'!A15)</f>
        <v>45268</v>
      </c>
      <c r="B14" s="142" t="n">
        <f aca="false">IFERROR(IF(OR(NOT(ISNUMBER('Price History'!B15)),NOT(ISNUMBER('Price History'!B14)),'Price History'!B14=0),"",'Price History'!B15/'Price History'!B14-1),"")</f>
        <v>-0.00401652325828206</v>
      </c>
      <c r="C14" s="142" t="n">
        <f aca="false">IFERROR(IF(OR(NOT(ISNUMBER('Price History'!C15)),NOT(ISNUMBER('Price History'!C14)),'Price History'!C14=0),"",'Price History'!C15/'Price History'!C14-1),"")</f>
        <v>0.0341580502215657</v>
      </c>
      <c r="D14" s="142" t="n">
        <f aca="false">IFERROR(IF(OR(NOT(ISNUMBER('Price History'!D15)),NOT(ISNUMBER('Price History'!D14)),'Price History'!D14=0),"",'Price History'!D15/'Price History'!D14-1),"")</f>
        <v>0.00610098383904045</v>
      </c>
      <c r="E14" s="142" t="n">
        <f aca="false">IFERROR(IF(OR(NOT(ISNUMBER('Price History'!E15)),NOT(ISNUMBER('Price History'!E14)),'Price History'!E14=0),"",'Price History'!E15/'Price History'!E14-1),"")</f>
        <v>0.0153282239253583</v>
      </c>
      <c r="F14" s="142" t="n">
        <f aca="false">IFERROR(IF(OR(NOT(ISNUMBER('Price History'!F15)),NOT(ISNUMBER('Price History'!F14)),'Price History'!F14=0),"",'Price History'!F15/'Price History'!F14-1),"")</f>
        <v>0.00835548803646047</v>
      </c>
      <c r="G14" s="142" t="n">
        <f aca="false">IFERROR(IF(OR(NOT(ISNUMBER('Price History'!G15)),NOT(ISNUMBER('Price History'!G14)),'Price History'!G14=0),"",'Price History'!G15/'Price History'!G14-1),"")</f>
        <v>0.0319945541184479</v>
      </c>
      <c r="H14" s="142" t="n">
        <f aca="false">IFERROR(IF(OR(NOT(ISNUMBER('Price History'!H15)),NOT(ISNUMBER('Price History'!H14)),'Price History'!H14=0),"",'Price History'!H15/'Price History'!H14-1),"")</f>
        <v>0.00215137883825545</v>
      </c>
      <c r="I14" s="142" t="n">
        <f aca="false">IFERROR(IF(OR(NOT(ISNUMBER('Price History'!I15)),NOT(ISNUMBER('Price History'!I14)),'Price History'!I14=0),"",'Price History'!I15/'Price History'!I14-1),"")</f>
        <v>-0.0265997023809523</v>
      </c>
      <c r="J14" s="142" t="n">
        <f aca="false">IFERROR(IF(OR(NOT(ISNUMBER('Price History'!J15)),NOT(ISNUMBER('Price History'!J14)),'Price History'!J14=0),"",'Price History'!J15/'Price History'!J14-1),"")</f>
        <v>-0.0127625631480989</v>
      </c>
      <c r="K14" s="142" t="n">
        <f aca="false">IFERROR(IF(OR(NOT(ISNUMBER('Price History'!K15)),NOT(ISNUMBER('Price History'!K14)),'Price History'!K14=0),"",'Price History'!K15/'Price History'!K14-1),"")</f>
        <v>0.0158696118378725</v>
      </c>
      <c r="L14" s="142" t="n">
        <f aca="false">IFERROR(IF(OR(NOT(ISNUMBER('Price History'!L15)),NOT(ISNUMBER('Price History'!L14)),'Price History'!L14=0),"",'Price History'!L15/'Price History'!L14-1),"")</f>
        <v>0.0135047033622053</v>
      </c>
      <c r="M14" s="142" t="n">
        <f aca="false">IFERROR(IF(OR(NOT(ISNUMBER('Price History'!M15)),NOT(ISNUMBER('Price History'!M14)),'Price History'!M14=0),"",'Price History'!M15/'Price History'!M14-1),"")</f>
        <v>-0.123334977799704</v>
      </c>
      <c r="N14" s="142" t="n">
        <f aca="false">IFERROR(IF(OR(NOT(ISNUMBER('Price History'!N15)),NOT(ISNUMBER('Price History'!N14)),'Price History'!N14=0),"",'Price History'!N15/'Price History'!N14-1),"")</f>
        <v>0.0018306636155605</v>
      </c>
      <c r="O14" s="142" t="n">
        <f aca="false">IFERROR(IF(OR(NOT(ISNUMBER('Price History'!O15)),NOT(ISNUMBER('Price History'!O14)),'Price History'!O14=0),"",'Price History'!O15/'Price History'!O14-1),"")</f>
        <v>0.00363216113587583</v>
      </c>
      <c r="P14" s="142" t="n">
        <f aca="false">IFERROR(IF(OR(NOT(ISNUMBER('Price History'!P15)),NOT(ISNUMBER('Price History'!P14)),'Price History'!P14=0),"",'Price History'!P15/'Price History'!P14-1),"")</f>
        <v>0.0182701446826488</v>
      </c>
      <c r="Q14" s="142" t="n">
        <f aca="false">IFERROR(IF(OR(NOT(ISNUMBER('Price History'!Q15)),NOT(ISNUMBER('Price History'!Q14)),'Price History'!Q14=0),"",'Price History'!Q15/'Price History'!Q14-1),"")</f>
        <v>-0.00274681528662424</v>
      </c>
      <c r="R14" s="142" t="n">
        <f aca="false">IFERROR(IF(OR(NOT(ISNUMBER('Price History'!R15)),NOT(ISNUMBER('Price History'!R14)),'Price History'!R14=0),"",'Price History'!R15/'Price History'!R14-1),"")</f>
        <v>0.0476190476190477</v>
      </c>
      <c r="S14" s="142" t="n">
        <f aca="false">IFERROR(IF(OR(NOT(ISNUMBER('Price History'!S15)),NOT(ISNUMBER('Price History'!S14)),'Price History'!S14=0),"",'Price History'!S15/'Price History'!S14-1),"")</f>
        <v>0.0582822085889569</v>
      </c>
      <c r="T14" s="142" t="n">
        <f aca="false">IFERROR(IF(OR(NOT(ISNUMBER('Price History'!T15)),NOT(ISNUMBER('Price History'!T14)),'Price History'!T14=0),"",'Price History'!T15/'Price History'!T14-1),"")</f>
        <v>0.0587996755879967</v>
      </c>
      <c r="U14" s="142" t="str">
        <f aca="false">IFERROR(IF(OR(NOT(ISNUMBER('Price History'!U15)),NOT(ISNUMBER('Price History'!U14)),'Price History'!U14=0),"",'Price History'!U15/'Price History'!U14-1),"")</f>
        <v/>
      </c>
      <c r="V14" s="143" t="n">
        <f aca="false">IFERROR(IF(OR(NOT(ISNUMBER('Price History'!V15)),NOT(ISNUMBER('Price History'!V14)),'Price History'!V14=0),"",'Price History'!V15/'Price History'!V14-1),"")</f>
        <v>0.062516733601071</v>
      </c>
      <c r="W14" s="144" t="str">
        <f aca="false">IFERROR('Price History'!B3+(INDEX('Price History'!B:B,MATCH(9.99E+307,'Price History'!$A:$A))-'Price History'!B3)*(ROW()-3)/(MATCH(9.99E+307,'Returns (Calc)'!$A:$A)-3),"")</f>
        <v/>
      </c>
      <c r="X14" s="144" t="n">
        <f aca="false">IFERROR('Price History'!C3+(INDEX('Price History'!C:C,MATCH(9.99E+307,'Price History'!$A:$A))-'Price History'!C3)*(ROW()-3)/(MATCH(9.99E+307,'Returns (Calc)'!$A:$A)-3),"")</f>
        <v>42.9649367088608</v>
      </c>
      <c r="Y14" s="144" t="n">
        <f aca="false">IFERROR('Price History'!D3+(INDEX('Price History'!D:D,MATCH(9.99E+307,'Price History'!$A:$A))-'Price History'!D3)*(ROW()-3)/(MATCH(9.99E+307,'Returns (Calc)'!$A:$A)-3),"")</f>
        <v>541.490316455696</v>
      </c>
      <c r="Z14" s="144" t="n">
        <f aca="false">IFERROR('Price History'!E3+(INDEX('Price History'!E:E,MATCH(9.99E+307,'Price History'!$A:$A))-'Price History'!E3)*(ROW()-3)/(MATCH(9.99E+307,'Returns (Calc)'!$A:$A)-3),"")</f>
        <v>76.2911392405063</v>
      </c>
      <c r="AA14" s="144" t="n">
        <f aca="false">IFERROR('Price History'!F3+(INDEX('Price History'!F:F,MATCH(9.99E+307,'Price History'!$A:$A))-'Price History'!F3)*(ROW()-3)/(MATCH(9.99E+307,'Returns (Calc)'!$A:$A)-3),"")</f>
        <v>70.0668987341772</v>
      </c>
      <c r="AB14" s="144" t="n">
        <f aca="false">IFERROR('Price History'!G3+(INDEX('Price History'!G:G,MATCH(9.99E+307,'Price History'!$A:$A))-'Price History'!G3)*(ROW()-3)/(MATCH(9.99E+307,'Returns (Calc)'!$A:$A)-3),"")</f>
        <v>38.4805063291139</v>
      </c>
      <c r="AC14" s="144" t="n">
        <f aca="false">IFERROR('Price History'!H3+(INDEX('Price History'!H:H,MATCH(9.99E+307,'Price History'!$A:$A))-'Price History'!H3)*(ROW()-3)/(MATCH(9.99E+307,'Returns (Calc)'!$A:$A)-3),"")</f>
        <v>93.5868987341772</v>
      </c>
      <c r="AD14" s="144" t="n">
        <f aca="false">IFERROR('Price History'!I3+(INDEX('Price History'!I:I,MATCH(9.99E+307,'Price History'!$A:$A))-'Price History'!I3)*(ROW()-3)/(MATCH(9.99E+307,'Returns (Calc)'!$A:$A)-3),"")</f>
        <v>41.2623417721519</v>
      </c>
      <c r="AE14" s="144" t="n">
        <f aca="false">IFERROR('Price History'!J3+(INDEX('Price History'!J:J,MATCH(9.99E+307,'Price History'!$A:$A))-'Price History'!J3)*(ROW()-3)/(MATCH(9.99E+307,'Returns (Calc)'!$A:$A)-3),"")</f>
        <v>64.2985443037975</v>
      </c>
      <c r="AF14" s="144" t="n">
        <f aca="false">IFERROR('Price History'!K3+(INDEX('Price History'!K:K,MATCH(9.99E+307,'Price History'!$A:$A))-'Price History'!K3)*(ROW()-3)/(MATCH(9.99E+307,'Returns (Calc)'!$A:$A)-3),"")</f>
        <v>40.7227215189873</v>
      </c>
      <c r="AG14" s="144" t="n">
        <f aca="false">IFERROR('Price History'!L3+(INDEX('Price History'!L:L,MATCH(9.99E+307,'Price History'!$A:$A))-'Price History'!L3)*(ROW()-3)/(MATCH(9.99E+307,'Returns (Calc)'!$A:$A)-3),"")</f>
        <v>104.053670886076</v>
      </c>
      <c r="AH14" s="144" t="n">
        <f aca="false">IFERROR('Price History'!M3+(INDEX('Price History'!M:M,MATCH(9.99E+307,'Price History'!$A:$A))-'Price History'!M3)*(ROW()-3)/(MATCH(9.99E+307,'Returns (Calc)'!$A:$A)-3),"")</f>
        <v>14.2627215189873</v>
      </c>
      <c r="AI14" s="144" t="n">
        <f aca="false">IFERROR('Price History'!N3+(INDEX('Price History'!N:N,MATCH(9.99E+307,'Price History'!$A:$A))-'Price History'!N3)*(ROW()-3)/(MATCH(9.99E+307,'Returns (Calc)'!$A:$A)-3),"")</f>
        <v>20.2822784810127</v>
      </c>
      <c r="AJ14" s="144" t="n">
        <f aca="false">IFERROR('Price History'!O3+(INDEX('Price History'!O:O,MATCH(9.99E+307,'Price History'!$A:$A))-'Price History'!O3)*(ROW()-3)/(MATCH(9.99E+307,'Returns (Calc)'!$A:$A)-3),"")</f>
        <v>53.6177848101266</v>
      </c>
      <c r="AK14" s="144" t="n">
        <f aca="false">IFERROR('Price History'!Q3+(INDEX('Price History'!Q:Q,MATCH(9.99E+307,'Price History'!$A:$A))-'Price History'!Q3)*(ROW()-3)/(MATCH(9.99E+307,'Returns (Calc)'!$A:$A)-3),"")</f>
        <v>219.225379746835</v>
      </c>
      <c r="AL14" s="144" t="n">
        <f aca="false">IFERROR('Price History'!R3+(INDEX('Price History'!R:R,MATCH(9.99E+307,'Price History'!$A:$A))-'Price History'!R3)*(ROW()-3)/(MATCH(9.99E+307,'Returns (Calc)'!$A:$A)-3),"")</f>
        <v>44.4907594936709</v>
      </c>
      <c r="AM14" s="144" t="n">
        <f aca="false">IFERROR('Price History'!S3+(INDEX('Price History'!S:S,MATCH(9.99E+307,'Price History'!$A:$A))-'Price History'!S3)*(ROW()-3)/(MATCH(9.99E+307,'Returns (Calc)'!$A:$A)-3),"")</f>
        <v>54.4644303797468</v>
      </c>
      <c r="AN14" s="144" t="n">
        <f aca="false">IFERROR('Price History'!T3+(INDEX('Price History'!T:T,MATCH(9.99E+307,'Price History'!$A:$A))-'Price History'!T3)*(ROW()-3)/(MATCH(9.99E+307,'Returns (Calc)'!$A:$A)-3),"")</f>
        <v>25.0365189873418</v>
      </c>
      <c r="AO14" s="145" t="n">
        <f aca="false">IFERROR('Price History'!V3+(INDEX('Price History'!V:V,MATCH(9.99E+307,'Price History'!$A:$A))-'Price History'!V3)*(ROW()-3)/(MATCH(9.99E+307,'Returns (Calc)'!$A:$A)-3),"")</f>
        <v>0</v>
      </c>
    </row>
    <row r="15" customFormat="false" ht="15" hidden="false" customHeight="true" outlineLevel="0" collapsed="false">
      <c r="A15" s="141" t="n">
        <f aca="false">IF('Price History'!A16="","",'Price History'!A16)</f>
        <v>45275</v>
      </c>
      <c r="B15" s="142" t="n">
        <f aca="false">IFERROR(IF(OR(NOT(ISNUMBER('Price History'!B16)),NOT(ISNUMBER('Price History'!B15)),'Price History'!B15=0),"",'Price History'!B16/'Price History'!B15-1),"")</f>
        <v>-0.0415239094441076</v>
      </c>
      <c r="C15" s="142" t="n">
        <f aca="false">IFERROR(IF(OR(NOT(ISNUMBER('Price History'!C16)),NOT(ISNUMBER('Price History'!C15)),'Price History'!C15=0),"",'Price History'!C16/'Price History'!C15-1),"")</f>
        <v>0.0515979289412605</v>
      </c>
      <c r="D15" s="142" t="n">
        <f aca="false">IFERROR(IF(OR(NOT(ISNUMBER('Price History'!D16)),NOT(ISNUMBER('Price History'!D15)),'Price History'!D15=0),"",'Price History'!D16/'Price History'!D15-1),"")</f>
        <v>0.0811810827080917</v>
      </c>
      <c r="E15" s="142" t="n">
        <f aca="false">IFERROR(IF(OR(NOT(ISNUMBER('Price History'!E16)),NOT(ISNUMBER('Price History'!E15)),'Price History'!E15=0),"",'Price History'!E16/'Price History'!E15-1),"")</f>
        <v>0.1964774094738</v>
      </c>
      <c r="F15" s="142" t="n">
        <f aca="false">IFERROR(IF(OR(NOT(ISNUMBER('Price History'!F16)),NOT(ISNUMBER('Price History'!F15)),'Price History'!F15=0),"",'Price History'!F16/'Price History'!F15-1),"")</f>
        <v>0.0548650345260513</v>
      </c>
      <c r="G15" s="142" t="n">
        <f aca="false">IFERROR(IF(OR(NOT(ISNUMBER('Price History'!G16)),NOT(ISNUMBER('Price History'!G15)),'Price History'!G15=0),"",'Price History'!G16/'Price History'!G15-1),"")</f>
        <v>0.0722295514511873</v>
      </c>
      <c r="H15" s="142" t="n">
        <f aca="false">IFERROR(IF(OR(NOT(ISNUMBER('Price History'!H16)),NOT(ISNUMBER('Price History'!H15)),'Price History'!H15=0),"",'Price History'!H16/'Price History'!H15-1),"")</f>
        <v>0.0298594847775175</v>
      </c>
      <c r="I15" s="142" t="n">
        <f aca="false">IFERROR(IF(OR(NOT(ISNUMBER('Price History'!I16)),NOT(ISNUMBER('Price History'!I15)),'Price History'!I15=0),"",'Price History'!I16/'Price History'!I15-1),"")</f>
        <v>0.0947831072042806</v>
      </c>
      <c r="J15" s="142" t="n">
        <f aca="false">IFERROR(IF(OR(NOT(ISNUMBER('Price History'!J16)),NOT(ISNUMBER('Price History'!J15)),'Price History'!J15=0),"",'Price History'!J16/'Price History'!J15-1),"")</f>
        <v>0.0859143549690278</v>
      </c>
      <c r="K15" s="142" t="n">
        <f aca="false">IFERROR(IF(OR(NOT(ISNUMBER('Price History'!K16)),NOT(ISNUMBER('Price History'!K15)),'Price History'!K15=0),"",'Price History'!K16/'Price History'!K15-1),"")</f>
        <v>0.0291323622545916</v>
      </c>
      <c r="L15" s="142" t="n">
        <f aca="false">IFERROR(IF(OR(NOT(ISNUMBER('Price History'!L16)),NOT(ISNUMBER('Price History'!L15)),'Price History'!L15=0),"",'Price History'!L16/'Price History'!L15-1),"")</f>
        <v>0.127366292960853</v>
      </c>
      <c r="M15" s="142" t="n">
        <f aca="false">IFERROR(IF(OR(NOT(ISNUMBER('Price History'!M16)),NOT(ISNUMBER('Price History'!M15)),'Price History'!M15=0),"",'Price History'!M16/'Price History'!M15-1),"")</f>
        <v>0.024198086662915</v>
      </c>
      <c r="N15" s="142" t="n">
        <f aca="false">IFERROR(IF(OR(NOT(ISNUMBER('Price History'!N16)),NOT(ISNUMBER('Price History'!N15)),'Price History'!N15=0),"",'Price History'!N16/'Price History'!N15-1),"")</f>
        <v>0.0402010050251256</v>
      </c>
      <c r="O15" s="142" t="n">
        <f aca="false">IFERROR(IF(OR(NOT(ISNUMBER('Price History'!O16)),NOT(ISNUMBER('Price History'!O15)),'Price History'!O15=0),"",'Price History'!O16/'Price History'!O15-1),"")</f>
        <v>0.0342161539726928</v>
      </c>
      <c r="P15" s="142" t="n">
        <f aca="false">IFERROR(IF(OR(NOT(ISNUMBER('Price History'!P16)),NOT(ISNUMBER('Price History'!P15)),'Price History'!P15=0),"",'Price History'!P16/'Price History'!P15-1),"")</f>
        <v>0.0266542211159511</v>
      </c>
      <c r="Q15" s="142" t="n">
        <f aca="false">IFERROR(IF(OR(NOT(ISNUMBER('Price History'!Q16)),NOT(ISNUMBER('Price History'!Q15)),'Price History'!Q15=0),"",'Price History'!Q16/'Price History'!Q15-1),"")</f>
        <v>0.00894175881202353</v>
      </c>
      <c r="R15" s="142" t="n">
        <f aca="false">IFERROR(IF(OR(NOT(ISNUMBER('Price History'!R16)),NOT(ISNUMBER('Price History'!R15)),'Price History'!R15=0),"",'Price History'!R16/'Price History'!R15-1),"")</f>
        <v>0.0208333333333333</v>
      </c>
      <c r="S15" s="142" t="n">
        <f aca="false">IFERROR(IF(OR(NOT(ISNUMBER('Price History'!S16)),NOT(ISNUMBER('Price History'!S15)),'Price History'!S15=0),"",'Price History'!S16/'Price History'!S15-1),"")</f>
        <v>0.0294970161977834</v>
      </c>
      <c r="T15" s="142" t="n">
        <f aca="false">IFERROR(IF(OR(NOT(ISNUMBER('Price History'!T16)),NOT(ISNUMBER('Price History'!T15)),'Price History'!T15=0),"",'Price History'!T16/'Price History'!T15-1),"")</f>
        <v>-0.00689391037916509</v>
      </c>
      <c r="U15" s="142" t="str">
        <f aca="false">IFERROR(IF(OR(NOT(ISNUMBER('Price History'!U16)),NOT(ISNUMBER('Price History'!U15)),'Price History'!U15=0),"",'Price History'!U16/'Price History'!U15-1),"")</f>
        <v/>
      </c>
      <c r="V15" s="143" t="n">
        <f aca="false">IFERROR(IF(OR(NOT(ISNUMBER('Price History'!V16)),NOT(ISNUMBER('Price History'!V15)),'Price History'!V15=0),"",'Price History'!V16/'Price History'!V15-1),"")</f>
        <v>0.00890344798622467</v>
      </c>
      <c r="W15" s="144" t="str">
        <f aca="false">IFERROR('Price History'!B3+(INDEX('Price History'!B:B,MATCH(9.99E+307,'Price History'!$A:$A))-'Price History'!B3)*(ROW()-3)/(MATCH(9.99E+307,'Returns (Calc)'!$A:$A)-3),"")</f>
        <v/>
      </c>
      <c r="X15" s="144" t="n">
        <f aca="false">IFERROR('Price History'!C3+(INDEX('Price History'!C:C,MATCH(9.99E+307,'Price History'!$A:$A))-'Price History'!C3)*(ROW()-3)/(MATCH(9.99E+307,'Returns (Calc)'!$A:$A)-3),"")</f>
        <v>42.6726582278481</v>
      </c>
      <c r="Y15" s="144" t="n">
        <f aca="false">IFERROR('Price History'!D3+(INDEX('Price History'!D:D,MATCH(9.99E+307,'Price History'!$A:$A))-'Price History'!D3)*(ROW()-3)/(MATCH(9.99E+307,'Returns (Calc)'!$A:$A)-3),"")</f>
        <v>537.80670886076</v>
      </c>
      <c r="Z15" s="144" t="n">
        <f aca="false">IFERROR('Price History'!E3+(INDEX('Price History'!E:E,MATCH(9.99E+307,'Price History'!$A:$A))-'Price History'!E3)*(ROW()-3)/(MATCH(9.99E+307,'Returns (Calc)'!$A:$A)-3),"")</f>
        <v>75.7721518987342</v>
      </c>
      <c r="AA15" s="144" t="n">
        <f aca="false">IFERROR('Price History'!F3+(INDEX('Price History'!F:F,MATCH(9.99E+307,'Price History'!$A:$A))-'Price History'!F3)*(ROW()-3)/(MATCH(9.99E+307,'Returns (Calc)'!$A:$A)-3),"")</f>
        <v>69.590253164557</v>
      </c>
      <c r="AB15" s="144" t="n">
        <f aca="false">IFERROR('Price History'!G3+(INDEX('Price History'!G:G,MATCH(9.99E+307,'Price History'!$A:$A))-'Price History'!G3)*(ROW()-3)/(MATCH(9.99E+307,'Returns (Calc)'!$A:$A)-3),"")</f>
        <v>38.2187341772152</v>
      </c>
      <c r="AC15" s="144" t="n">
        <f aca="false">IFERROR('Price History'!H3+(INDEX('Price History'!H:H,MATCH(9.99E+307,'Price History'!$A:$A))-'Price History'!H3)*(ROW()-3)/(MATCH(9.99E+307,'Returns (Calc)'!$A:$A)-3),"")</f>
        <v>92.950253164557</v>
      </c>
      <c r="AD15" s="144" t="n">
        <f aca="false">IFERROR('Price History'!I3+(INDEX('Price History'!I:I,MATCH(9.99E+307,'Price History'!$A:$A))-'Price History'!I3)*(ROW()-3)/(MATCH(9.99E+307,'Returns (Calc)'!$A:$A)-3),"")</f>
        <v>40.9816455696203</v>
      </c>
      <c r="AE15" s="144" t="n">
        <f aca="false">IFERROR('Price History'!J3+(INDEX('Price History'!J:J,MATCH(9.99E+307,'Price History'!$A:$A))-'Price History'!J3)*(ROW()-3)/(MATCH(9.99E+307,'Returns (Calc)'!$A:$A)-3),"")</f>
        <v>63.8611392405063</v>
      </c>
      <c r="AF15" s="144" t="n">
        <f aca="false">IFERROR('Price History'!K3+(INDEX('Price History'!K:K,MATCH(9.99E+307,'Price History'!$A:$A))-'Price History'!K3)*(ROW()-3)/(MATCH(9.99E+307,'Returns (Calc)'!$A:$A)-3),"")</f>
        <v>40.4456962025317</v>
      </c>
      <c r="AG15" s="144" t="n">
        <f aca="false">IFERROR('Price History'!L3+(INDEX('Price History'!L:L,MATCH(9.99E+307,'Price History'!$A:$A))-'Price History'!L3)*(ROW()-3)/(MATCH(9.99E+307,'Returns (Calc)'!$A:$A)-3),"")</f>
        <v>103.34582278481</v>
      </c>
      <c r="AH15" s="144" t="n">
        <f aca="false">IFERROR('Price History'!M3+(INDEX('Price History'!M:M,MATCH(9.99E+307,'Price History'!$A:$A))-'Price History'!M3)*(ROW()-3)/(MATCH(9.99E+307,'Returns (Calc)'!$A:$A)-3),"")</f>
        <v>14.1656962025316</v>
      </c>
      <c r="AI15" s="144" t="n">
        <f aca="false">IFERROR('Price History'!N3+(INDEX('Price History'!N:N,MATCH(9.99E+307,'Price History'!$A:$A))-'Price History'!N3)*(ROW()-3)/(MATCH(9.99E+307,'Returns (Calc)'!$A:$A)-3),"")</f>
        <v>20.1443037974684</v>
      </c>
      <c r="AJ15" s="144" t="n">
        <f aca="false">IFERROR('Price History'!O3+(INDEX('Price History'!O:O,MATCH(9.99E+307,'Price History'!$A:$A))-'Price History'!O3)*(ROW()-3)/(MATCH(9.99E+307,'Returns (Calc)'!$A:$A)-3),"")</f>
        <v>53.2530379746835</v>
      </c>
      <c r="AK15" s="144" t="n">
        <f aca="false">IFERROR('Price History'!Q3+(INDEX('Price History'!Q:Q,MATCH(9.99E+307,'Price History'!$A:$A))-'Price History'!Q3)*(ROW()-3)/(MATCH(9.99E+307,'Returns (Calc)'!$A:$A)-3),"")</f>
        <v>217.734050632911</v>
      </c>
      <c r="AL15" s="144" t="n">
        <f aca="false">IFERROR('Price History'!R3+(INDEX('Price History'!R:R,MATCH(9.99E+307,'Price History'!$A:$A))-'Price History'!R3)*(ROW()-3)/(MATCH(9.99E+307,'Returns (Calc)'!$A:$A)-3),"")</f>
        <v>44.1881012658228</v>
      </c>
      <c r="AM15" s="144" t="n">
        <f aca="false">IFERROR('Price History'!S3+(INDEX('Price History'!S:S,MATCH(9.99E+307,'Price History'!$A:$A))-'Price History'!S3)*(ROW()-3)/(MATCH(9.99E+307,'Returns (Calc)'!$A:$A)-3),"")</f>
        <v>54.0939240506329</v>
      </c>
      <c r="AN15" s="144" t="n">
        <f aca="false">IFERROR('Price History'!T3+(INDEX('Price History'!T:T,MATCH(9.99E+307,'Price History'!$A:$A))-'Price History'!T3)*(ROW()-3)/(MATCH(9.99E+307,'Returns (Calc)'!$A:$A)-3),"")</f>
        <v>24.8662025316456</v>
      </c>
      <c r="AO15" s="145" t="n">
        <f aca="false">IFERROR('Price History'!V3+(INDEX('Price History'!V:V,MATCH(9.99E+307,'Price History'!$A:$A))-'Price History'!V3)*(ROW()-3)/(MATCH(9.99E+307,'Returns (Calc)'!$A:$A)-3),"")</f>
        <v>0</v>
      </c>
    </row>
    <row r="16" customFormat="false" ht="15" hidden="false" customHeight="true" outlineLevel="0" collapsed="false">
      <c r="A16" s="141" t="n">
        <f aca="false">IF('Price History'!A17="","",'Price History'!A17)</f>
        <v>45282</v>
      </c>
      <c r="B16" s="142" t="n">
        <f aca="false">IFERROR(IF(OR(NOT(ISNUMBER('Price History'!B17)),NOT(ISNUMBER('Price History'!B16)),'Price History'!B16=0),"",'Price History'!B17/'Price History'!B16-1),"")</f>
        <v>0.0240644455086545</v>
      </c>
      <c r="C16" s="142" t="n">
        <f aca="false">IFERROR(IF(OR(NOT(ISNUMBER('Price History'!C17)),NOT(ISNUMBER('Price History'!C16)),'Price History'!C16=0),"",'Price History'!C17/'Price History'!C16-1),"")</f>
        <v>0.0112054329371818</v>
      </c>
      <c r="D16" s="142" t="n">
        <f aca="false">IFERROR(IF(OR(NOT(ISNUMBER('Price History'!D17)),NOT(ISNUMBER('Price History'!D16)),'Price History'!D16=0),"",'Price History'!D17/'Price History'!D16-1),"")</f>
        <v>-0.000570373187028017</v>
      </c>
      <c r="E16" s="142" t="n">
        <f aca="false">IFERROR(IF(OR(NOT(ISNUMBER('Price History'!E17)),NOT(ISNUMBER('Price History'!E16)),'Price History'!E16=0),"",'Price History'!E17/'Price History'!E16-1),"")</f>
        <v>-0.00237725153149859</v>
      </c>
      <c r="F16" s="142" t="n">
        <f aca="false">IFERROR(IF(OR(NOT(ISNUMBER('Price History'!F17)),NOT(ISNUMBER('Price History'!F16)),'Price History'!F16=0),"",'Price History'!F17/'Price History'!F16-1),"")</f>
        <v>0.0277314925017853</v>
      </c>
      <c r="G16" s="142" t="n">
        <f aca="false">IFERROR(IF(OR(NOT(ISNUMBER('Price History'!G17)),NOT(ISNUMBER('Price History'!G16)),'Price History'!G16=0),"",'Price History'!G17/'Price History'!G16-1),"")</f>
        <v>-0.0170716702553061</v>
      </c>
      <c r="H16" s="142" t="n">
        <f aca="false">IFERROR(IF(OR(NOT(ISNUMBER('Price History'!H17)),NOT(ISNUMBER('Price History'!H16)),'Price History'!H16=0),"",'Price History'!H17/'Price History'!H16-1),"")</f>
        <v>0.00265302255069155</v>
      </c>
      <c r="I16" s="142" t="n">
        <f aca="false">IFERROR(IF(OR(NOT(ISNUMBER('Price History'!I17)),NOT(ISNUMBER('Price History'!I16)),'Price History'!I16=0),"",'Price History'!I17/'Price History'!I16-1),"")</f>
        <v>-0.00418921277709905</v>
      </c>
      <c r="J16" s="142" t="n">
        <f aca="false">IFERROR(IF(OR(NOT(ISNUMBER('Price History'!J17)),NOT(ISNUMBER('Price History'!J16)),'Price History'!J16=0),"",'Price History'!J17/'Price History'!J16-1),"")</f>
        <v>0.0625</v>
      </c>
      <c r="K16" s="142" t="n">
        <f aca="false">IFERROR(IF(OR(NOT(ISNUMBER('Price History'!K17)),NOT(ISNUMBER('Price History'!K16)),'Price History'!K16=0),"",'Price History'!K17/'Price History'!K16-1),"")</f>
        <v>-0.00123076923076926</v>
      </c>
      <c r="L16" s="142" t="n">
        <f aca="false">IFERROR(IF(OR(NOT(ISNUMBER('Price History'!L17)),NOT(ISNUMBER('Price History'!L16)),'Price History'!L16=0),"",'Price History'!L17/'Price History'!L16-1),"")</f>
        <v>-0.013857189435931</v>
      </c>
      <c r="M16" s="142" t="n">
        <f aca="false">IFERROR(IF(OR(NOT(ISNUMBER('Price History'!M17)),NOT(ISNUMBER('Price History'!M16)),'Price History'!M16=0),"",'Price History'!M17/'Price History'!M16-1),"")</f>
        <v>-0.0434065934065934</v>
      </c>
      <c r="N16" s="142" t="n">
        <f aca="false">IFERROR(IF(OR(NOT(ISNUMBER('Price History'!N17)),NOT(ISNUMBER('Price History'!N16)),'Price History'!N16=0),"",'Price History'!N17/'Price History'!N16-1),"")</f>
        <v>0.00527009222661401</v>
      </c>
      <c r="O16" s="142" t="n">
        <f aca="false">IFERROR(IF(OR(NOT(ISNUMBER('Price History'!O17)),NOT(ISNUMBER('Price History'!O16)),'Price History'!O16=0),"",'Price History'!O17/'Price History'!O16-1),"")</f>
        <v>0.014951487195801</v>
      </c>
      <c r="P16" s="142" t="n">
        <f aca="false">IFERROR(IF(OR(NOT(ISNUMBER('Price History'!P17)),NOT(ISNUMBER('Price History'!P16)),'Price History'!P16=0),"",'Price History'!P17/'Price History'!P16-1),"")</f>
        <v>0.00585917769471656</v>
      </c>
      <c r="Q16" s="142" t="n">
        <f aca="false">IFERROR(IF(OR(NOT(ISNUMBER('Price History'!Q17)),NOT(ISNUMBER('Price History'!Q16)),'Price History'!Q16=0),"",'Price History'!Q17/'Price History'!Q16-1),"")</f>
        <v>0.0015430267062313</v>
      </c>
      <c r="R16" s="142" t="n">
        <f aca="false">IFERROR(IF(OR(NOT(ISNUMBER('Price History'!R17)),NOT(ISNUMBER('Price History'!R16)),'Price History'!R16=0),"",'Price History'!R17/'Price History'!R16-1),"")</f>
        <v>0.00948258091115228</v>
      </c>
      <c r="S16" s="142" t="n">
        <f aca="false">IFERROR(IF(OR(NOT(ISNUMBER('Price History'!S17)),NOT(ISNUMBER('Price History'!S16)),'Price History'!S16=0),"",'Price History'!S17/'Price History'!S16-1),"")</f>
        <v>0.0216959258032461</v>
      </c>
      <c r="T16" s="142" t="n">
        <f aca="false">IFERROR(IF(OR(NOT(ISNUMBER('Price History'!T17)),NOT(ISNUMBER('Price History'!T16)),'Price History'!T16=0),"",'Price History'!T17/'Price History'!T16-1),"")</f>
        <v>0.0254531430775165</v>
      </c>
      <c r="U16" s="142" t="str">
        <f aca="false">IFERROR(IF(OR(NOT(ISNUMBER('Price History'!U17)),NOT(ISNUMBER('Price History'!U16)),'Price History'!U16=0),"",'Price History'!U17/'Price History'!U16-1),"")</f>
        <v/>
      </c>
      <c r="V16" s="143" t="n">
        <f aca="false">IFERROR(IF(OR(NOT(ISNUMBER('Price History'!V17)),NOT(ISNUMBER('Price History'!V16)),'Price History'!V16=0),"",'Price History'!V17/'Price History'!V16-1),"")</f>
        <v>0.0175664987720101</v>
      </c>
      <c r="W16" s="144" t="str">
        <f aca="false">IFERROR('Price History'!B3+(INDEX('Price History'!B:B,MATCH(9.99E+307,'Price History'!$A:$A))-'Price History'!B3)*(ROW()-3)/(MATCH(9.99E+307,'Returns (Calc)'!$A:$A)-3),"")</f>
        <v/>
      </c>
      <c r="X16" s="144" t="n">
        <f aca="false">IFERROR('Price History'!C3+(INDEX('Price History'!C:C,MATCH(9.99E+307,'Price History'!$A:$A))-'Price History'!C3)*(ROW()-3)/(MATCH(9.99E+307,'Returns (Calc)'!$A:$A)-3),"")</f>
        <v>42.3803797468354</v>
      </c>
      <c r="Y16" s="144" t="n">
        <f aca="false">IFERROR('Price History'!D3+(INDEX('Price History'!D:D,MATCH(9.99E+307,'Price History'!$A:$A))-'Price History'!D3)*(ROW()-3)/(MATCH(9.99E+307,'Returns (Calc)'!$A:$A)-3),"")</f>
        <v>534.123101265823</v>
      </c>
      <c r="Z16" s="144" t="n">
        <f aca="false">IFERROR('Price History'!E3+(INDEX('Price History'!E:E,MATCH(9.99E+307,'Price History'!$A:$A))-'Price History'!E3)*(ROW()-3)/(MATCH(9.99E+307,'Returns (Calc)'!$A:$A)-3),"")</f>
        <v>75.253164556962</v>
      </c>
      <c r="AA16" s="144" t="n">
        <f aca="false">IFERROR('Price History'!F3+(INDEX('Price History'!F:F,MATCH(9.99E+307,'Price History'!$A:$A))-'Price History'!F3)*(ROW()-3)/(MATCH(9.99E+307,'Returns (Calc)'!$A:$A)-3),"")</f>
        <v>69.1136075949367</v>
      </c>
      <c r="AB16" s="144" t="n">
        <f aca="false">IFERROR('Price History'!G3+(INDEX('Price History'!G:G,MATCH(9.99E+307,'Price History'!$A:$A))-'Price History'!G3)*(ROW()-3)/(MATCH(9.99E+307,'Returns (Calc)'!$A:$A)-3),"")</f>
        <v>37.9569620253165</v>
      </c>
      <c r="AC16" s="144" t="n">
        <f aca="false">IFERROR('Price History'!H3+(INDEX('Price History'!H:H,MATCH(9.99E+307,'Price History'!$A:$A))-'Price History'!H3)*(ROW()-3)/(MATCH(9.99E+307,'Returns (Calc)'!$A:$A)-3),"")</f>
        <v>92.3136075949367</v>
      </c>
      <c r="AD16" s="144" t="n">
        <f aca="false">IFERROR('Price History'!I3+(INDEX('Price History'!I:I,MATCH(9.99E+307,'Price History'!$A:$A))-'Price History'!I3)*(ROW()-3)/(MATCH(9.99E+307,'Returns (Calc)'!$A:$A)-3),"")</f>
        <v>40.7009493670886</v>
      </c>
      <c r="AE16" s="144" t="n">
        <f aca="false">IFERROR('Price History'!J3+(INDEX('Price History'!J:J,MATCH(9.99E+307,'Price History'!$A:$A))-'Price History'!J3)*(ROW()-3)/(MATCH(9.99E+307,'Returns (Calc)'!$A:$A)-3),"")</f>
        <v>63.4237341772152</v>
      </c>
      <c r="AF16" s="144" t="n">
        <f aca="false">IFERROR('Price History'!K3+(INDEX('Price History'!K:K,MATCH(9.99E+307,'Price History'!$A:$A))-'Price History'!K3)*(ROW()-3)/(MATCH(9.99E+307,'Returns (Calc)'!$A:$A)-3),"")</f>
        <v>40.168670886076</v>
      </c>
      <c r="AG16" s="144" t="n">
        <f aca="false">IFERROR('Price History'!L3+(INDEX('Price History'!L:L,MATCH(9.99E+307,'Price History'!$A:$A))-'Price History'!L3)*(ROW()-3)/(MATCH(9.99E+307,'Returns (Calc)'!$A:$A)-3),"")</f>
        <v>102.637974683544</v>
      </c>
      <c r="AH16" s="144" t="n">
        <f aca="false">IFERROR('Price History'!M3+(INDEX('Price History'!M:M,MATCH(9.99E+307,'Price History'!$A:$A))-'Price History'!M3)*(ROW()-3)/(MATCH(9.99E+307,'Returns (Calc)'!$A:$A)-3),"")</f>
        <v>14.068670886076</v>
      </c>
      <c r="AI16" s="144" t="n">
        <f aca="false">IFERROR('Price History'!N3+(INDEX('Price History'!N:N,MATCH(9.99E+307,'Price History'!$A:$A))-'Price History'!N3)*(ROW()-3)/(MATCH(9.99E+307,'Returns (Calc)'!$A:$A)-3),"")</f>
        <v>20.0063291139241</v>
      </c>
      <c r="AJ16" s="144" t="n">
        <f aca="false">IFERROR('Price History'!O3+(INDEX('Price History'!O:O,MATCH(9.99E+307,'Price History'!$A:$A))-'Price History'!O3)*(ROW()-3)/(MATCH(9.99E+307,'Returns (Calc)'!$A:$A)-3),"")</f>
        <v>52.8882911392405</v>
      </c>
      <c r="AK16" s="144" t="n">
        <f aca="false">IFERROR('Price History'!Q3+(INDEX('Price History'!Q:Q,MATCH(9.99E+307,'Price History'!$A:$A))-'Price History'!Q3)*(ROW()-3)/(MATCH(9.99E+307,'Returns (Calc)'!$A:$A)-3),"")</f>
        <v>216.242721518987</v>
      </c>
      <c r="AL16" s="144" t="n">
        <f aca="false">IFERROR('Price History'!R3+(INDEX('Price History'!R:R,MATCH(9.99E+307,'Price History'!$A:$A))-'Price History'!R3)*(ROW()-3)/(MATCH(9.99E+307,'Returns (Calc)'!$A:$A)-3),"")</f>
        <v>43.8854430379747</v>
      </c>
      <c r="AM16" s="144" t="n">
        <f aca="false">IFERROR('Price History'!S3+(INDEX('Price History'!S:S,MATCH(9.99E+307,'Price History'!$A:$A))-'Price History'!S3)*(ROW()-3)/(MATCH(9.99E+307,'Returns (Calc)'!$A:$A)-3),"")</f>
        <v>53.723417721519</v>
      </c>
      <c r="AN16" s="144" t="n">
        <f aca="false">IFERROR('Price History'!T3+(INDEX('Price History'!T:T,MATCH(9.99E+307,'Price History'!$A:$A))-'Price History'!T3)*(ROW()-3)/(MATCH(9.99E+307,'Returns (Calc)'!$A:$A)-3),"")</f>
        <v>24.6958860759494</v>
      </c>
      <c r="AO16" s="145" t="n">
        <f aca="false">IFERROR('Price History'!V3+(INDEX('Price History'!V:V,MATCH(9.99E+307,'Price History'!$A:$A))-'Price History'!V3)*(ROW()-3)/(MATCH(9.99E+307,'Returns (Calc)'!$A:$A)-3),"")</f>
        <v>0</v>
      </c>
    </row>
    <row r="17" customFormat="false" ht="15" hidden="false" customHeight="true" outlineLevel="0" collapsed="false">
      <c r="A17" s="141" t="n">
        <f aca="false">IF('Price History'!A18="","",'Price History'!A18)</f>
        <v>45289</v>
      </c>
      <c r="B17" s="142" t="n">
        <f aca="false">IFERROR(IF(OR(NOT(ISNUMBER('Price History'!B18)),NOT(ISNUMBER('Price History'!B17)),'Price History'!B17=0),"",'Price History'!B18/'Price History'!B17-1),"")</f>
        <v>-0.00359081419624219</v>
      </c>
      <c r="C17" s="142" t="n">
        <f aca="false">IFERROR(IF(OR(NOT(ISNUMBER('Price History'!C18)),NOT(ISNUMBER('Price History'!C17)),'Price History'!C17=0),"",'Price History'!C18/'Price History'!C17-1),"")</f>
        <v>-0.0114170584284755</v>
      </c>
      <c r="D17" s="142" t="n">
        <f aca="false">IFERROR(IF(OR(NOT(ISNUMBER('Price History'!D18)),NOT(ISNUMBER('Price History'!D17)),'Price History'!D17=0),"",'Price History'!D18/'Price History'!D17-1),"")</f>
        <v>0.00582927956083368</v>
      </c>
      <c r="E17" s="142" t="n">
        <f aca="false">IFERROR(IF(OR(NOT(ISNUMBER('Price History'!E18)),NOT(ISNUMBER('Price History'!E17)),'Price History'!E17=0),"",'Price History'!E18/'Price History'!E17-1),"")</f>
        <v>-0.00504078452937395</v>
      </c>
      <c r="F17" s="142" t="n">
        <f aca="false">IFERROR(IF(OR(NOT(ISNUMBER('Price History'!F18)),NOT(ISNUMBER('Price History'!F17)),'Price History'!F17=0),"",'Price History'!F18/'Price History'!F17-1),"")</f>
        <v>-0.00370584829183551</v>
      </c>
      <c r="G17" s="142" t="n">
        <f aca="false">IFERROR(IF(OR(NOT(ISNUMBER('Price History'!G18)),NOT(ISNUMBER('Price History'!G17)),'Price History'!G17=0),"",'Price History'!G18/'Price History'!G17-1),"")</f>
        <v>-0.00125176028790486</v>
      </c>
      <c r="H17" s="142" t="n">
        <f aca="false">IFERROR(IF(OR(NOT(ISNUMBER('Price History'!H18)),NOT(ISNUMBER('Price History'!H17)),'Price History'!H17=0),"",'Price History'!H18/'Price History'!H17-1),"")</f>
        <v>0.0040635040635042</v>
      </c>
      <c r="I17" s="142" t="n">
        <f aca="false">IFERROR(IF(OR(NOT(ISNUMBER('Price History'!I18)),NOT(ISNUMBER('Price History'!I17)),'Price History'!I17=0),"",'Price History'!I18/'Price History'!I17-1),"")</f>
        <v>-0.00227870289219978</v>
      </c>
      <c r="J17" s="142" t="n">
        <f aca="false">IFERROR(IF(OR(NOT(ISNUMBER('Price History'!J18)),NOT(ISNUMBER('Price History'!J17)),'Price History'!J17=0),"",'Price History'!J18/'Price History'!J17-1),"")</f>
        <v>-0.0120214752567693</v>
      </c>
      <c r="K17" s="142" t="n">
        <f aca="false">IFERROR(IF(OR(NOT(ISNUMBER('Price History'!K18)),NOT(ISNUMBER('Price History'!K17)),'Price History'!K17=0),"",'Price History'!K18/'Price History'!K17-1),"")</f>
        <v>0.0141712877387554</v>
      </c>
      <c r="L17" s="142" t="n">
        <f aca="false">IFERROR(IF(OR(NOT(ISNUMBER('Price History'!L18)),NOT(ISNUMBER('Price History'!L17)),'Price History'!L17=0),"",'Price History'!L18/'Price History'!L17-1),"")</f>
        <v>0.00677797983137696</v>
      </c>
      <c r="M17" s="142" t="n">
        <f aca="false">IFERROR(IF(OR(NOT(ISNUMBER('Price History'!M18)),NOT(ISNUMBER('Price History'!M17)),'Price History'!M17=0),"",'Price History'!M18/'Price History'!M17-1),"")</f>
        <v>-0.0137851809304996</v>
      </c>
      <c r="N17" s="142" t="n">
        <f aca="false">IFERROR(IF(OR(NOT(ISNUMBER('Price History'!N18)),NOT(ISNUMBER('Price History'!N17)),'Price History'!N17=0),"",'Price History'!N18/'Price History'!N17-1),"")</f>
        <v>0.00393184796854529</v>
      </c>
      <c r="O17" s="142" t="n">
        <f aca="false">IFERROR(IF(OR(NOT(ISNUMBER('Price History'!O18)),NOT(ISNUMBER('Price History'!O17)),'Price History'!O17=0),"",'Price History'!O18/'Price History'!O17-1),"")</f>
        <v>0.00705218617771508</v>
      </c>
      <c r="P17" s="142" t="n">
        <f aca="false">IFERROR(IF(OR(NOT(ISNUMBER('Price History'!P18)),NOT(ISNUMBER('Price History'!P17)),'Price History'!P17=0),"",'Price History'!P18/'Price History'!P17-1),"")</f>
        <v>0.00833584412975807</v>
      </c>
      <c r="Q17" s="142" t="n">
        <f aca="false">IFERROR(IF(OR(NOT(ISNUMBER('Price History'!Q18)),NOT(ISNUMBER('Price History'!Q17)),'Price History'!Q17=0),"",'Price History'!Q18/'Price History'!Q17-1),"")</f>
        <v>0.00742672039187808</v>
      </c>
      <c r="R17" s="142" t="n">
        <f aca="false">IFERROR(IF(OR(NOT(ISNUMBER('Price History'!R18)),NOT(ISNUMBER('Price History'!R17)),'Price History'!R17=0),"",'Price History'!R18/'Price History'!R17-1),"")</f>
        <v>0.00530937308556245</v>
      </c>
      <c r="S17" s="142" t="n">
        <f aca="false">IFERROR(IF(OR(NOT(ISNUMBER('Price History'!S18)),NOT(ISNUMBER('Price History'!S17)),'Price History'!S17=0),"",'Price History'!S18/'Price History'!S17-1),"")</f>
        <v>0.00551142810828331</v>
      </c>
      <c r="T17" s="142" t="n">
        <f aca="false">IFERROR(IF(OR(NOT(ISNUMBER('Price History'!T18)),NOT(ISNUMBER('Price History'!T17)),'Price History'!T17=0),"",'Price History'!T18/'Price History'!T17-1),"")</f>
        <v>0.00714554343738261</v>
      </c>
      <c r="U17" s="142" t="str">
        <f aca="false">IFERROR(IF(OR(NOT(ISNUMBER('Price History'!U18)),NOT(ISNUMBER('Price History'!U17)),'Price History'!U17=0),"",'Price History'!U18/'Price History'!U17-1),"")</f>
        <v/>
      </c>
      <c r="V17" s="143" t="n">
        <f aca="false">IFERROR(IF(OR(NOT(ISNUMBER('Price History'!V18)),NOT(ISNUMBER('Price History'!V17)),'Price History'!V17=0),"",'Price History'!V18/'Price History'!V17-1),"")</f>
        <v>0.019022294947842</v>
      </c>
      <c r="W17" s="144" t="str">
        <f aca="false">IFERROR('Price History'!B3+(INDEX('Price History'!B:B,MATCH(9.99E+307,'Price History'!$A:$A))-'Price History'!B3)*(ROW()-3)/(MATCH(9.99E+307,'Returns (Calc)'!$A:$A)-3),"")</f>
        <v/>
      </c>
      <c r="X17" s="144" t="n">
        <f aca="false">IFERROR('Price History'!C3+(INDEX('Price History'!C:C,MATCH(9.99E+307,'Price History'!$A:$A))-'Price History'!C3)*(ROW()-3)/(MATCH(9.99E+307,'Returns (Calc)'!$A:$A)-3),"")</f>
        <v>42.0881012658228</v>
      </c>
      <c r="Y17" s="144" t="n">
        <f aca="false">IFERROR('Price History'!D3+(INDEX('Price History'!D:D,MATCH(9.99E+307,'Price History'!$A:$A))-'Price History'!D3)*(ROW()-3)/(MATCH(9.99E+307,'Returns (Calc)'!$A:$A)-3),"")</f>
        <v>530.439493670886</v>
      </c>
      <c r="Z17" s="144" t="n">
        <f aca="false">IFERROR('Price History'!E3+(INDEX('Price History'!E:E,MATCH(9.99E+307,'Price History'!$A:$A))-'Price History'!E3)*(ROW()-3)/(MATCH(9.99E+307,'Returns (Calc)'!$A:$A)-3),"")</f>
        <v>74.7341772151899</v>
      </c>
      <c r="AA17" s="144" t="n">
        <f aca="false">IFERROR('Price History'!F3+(INDEX('Price History'!F:F,MATCH(9.99E+307,'Price History'!$A:$A))-'Price History'!F3)*(ROW()-3)/(MATCH(9.99E+307,'Returns (Calc)'!$A:$A)-3),"")</f>
        <v>68.6369620253165</v>
      </c>
      <c r="AB17" s="144" t="n">
        <f aca="false">IFERROR('Price History'!G3+(INDEX('Price History'!G:G,MATCH(9.99E+307,'Price History'!$A:$A))-'Price History'!G3)*(ROW()-3)/(MATCH(9.99E+307,'Returns (Calc)'!$A:$A)-3),"")</f>
        <v>37.6951898734177</v>
      </c>
      <c r="AC17" s="144" t="n">
        <f aca="false">IFERROR('Price History'!H3+(INDEX('Price History'!H:H,MATCH(9.99E+307,'Price History'!$A:$A))-'Price History'!H3)*(ROW()-3)/(MATCH(9.99E+307,'Returns (Calc)'!$A:$A)-3),"")</f>
        <v>91.6769620253165</v>
      </c>
      <c r="AD17" s="144" t="n">
        <f aca="false">IFERROR('Price History'!I3+(INDEX('Price History'!I:I,MATCH(9.99E+307,'Price History'!$A:$A))-'Price History'!I3)*(ROW()-3)/(MATCH(9.99E+307,'Returns (Calc)'!$A:$A)-3),"")</f>
        <v>40.420253164557</v>
      </c>
      <c r="AE17" s="144" t="n">
        <f aca="false">IFERROR('Price History'!J3+(INDEX('Price History'!J:J,MATCH(9.99E+307,'Price History'!$A:$A))-'Price History'!J3)*(ROW()-3)/(MATCH(9.99E+307,'Returns (Calc)'!$A:$A)-3),"")</f>
        <v>62.9863291139241</v>
      </c>
      <c r="AF17" s="144" t="n">
        <f aca="false">IFERROR('Price History'!K3+(INDEX('Price History'!K:K,MATCH(9.99E+307,'Price History'!$A:$A))-'Price History'!K3)*(ROW()-3)/(MATCH(9.99E+307,'Returns (Calc)'!$A:$A)-3),"")</f>
        <v>39.8916455696203</v>
      </c>
      <c r="AG17" s="144" t="n">
        <f aca="false">IFERROR('Price History'!L3+(INDEX('Price History'!L:L,MATCH(9.99E+307,'Price History'!$A:$A))-'Price History'!L3)*(ROW()-3)/(MATCH(9.99E+307,'Returns (Calc)'!$A:$A)-3),"")</f>
        <v>101.930126582278</v>
      </c>
      <c r="AH17" s="144" t="n">
        <f aca="false">IFERROR('Price History'!M3+(INDEX('Price History'!M:M,MATCH(9.99E+307,'Price History'!$A:$A))-'Price History'!M3)*(ROW()-3)/(MATCH(9.99E+307,'Returns (Calc)'!$A:$A)-3),"")</f>
        <v>13.9716455696203</v>
      </c>
      <c r="AI17" s="144" t="n">
        <f aca="false">IFERROR('Price History'!N3+(INDEX('Price History'!N:N,MATCH(9.99E+307,'Price History'!$A:$A))-'Price History'!N3)*(ROW()-3)/(MATCH(9.99E+307,'Returns (Calc)'!$A:$A)-3),"")</f>
        <v>19.8683544303797</v>
      </c>
      <c r="AJ17" s="144" t="n">
        <f aca="false">IFERROR('Price History'!O3+(INDEX('Price History'!O:O,MATCH(9.99E+307,'Price History'!$A:$A))-'Price History'!O3)*(ROW()-3)/(MATCH(9.99E+307,'Returns (Calc)'!$A:$A)-3),"")</f>
        <v>52.5235443037975</v>
      </c>
      <c r="AK17" s="144" t="n">
        <f aca="false">IFERROR('Price History'!Q3+(INDEX('Price History'!Q:Q,MATCH(9.99E+307,'Price History'!$A:$A))-'Price History'!Q3)*(ROW()-3)/(MATCH(9.99E+307,'Returns (Calc)'!$A:$A)-3),"")</f>
        <v>214.751392405063</v>
      </c>
      <c r="AL17" s="144" t="n">
        <f aca="false">IFERROR('Price History'!R3+(INDEX('Price History'!R:R,MATCH(9.99E+307,'Price History'!$A:$A))-'Price History'!R3)*(ROW()-3)/(MATCH(9.99E+307,'Returns (Calc)'!$A:$A)-3),"")</f>
        <v>43.5827848101266</v>
      </c>
      <c r="AM17" s="144" t="n">
        <f aca="false">IFERROR('Price History'!S3+(INDEX('Price History'!S:S,MATCH(9.99E+307,'Price History'!$A:$A))-'Price History'!S3)*(ROW()-3)/(MATCH(9.99E+307,'Returns (Calc)'!$A:$A)-3),"")</f>
        <v>53.3529113924051</v>
      </c>
      <c r="AN17" s="144" t="n">
        <f aca="false">IFERROR('Price History'!T3+(INDEX('Price History'!T:T,MATCH(9.99E+307,'Price History'!$A:$A))-'Price History'!T3)*(ROW()-3)/(MATCH(9.99E+307,'Returns (Calc)'!$A:$A)-3),"")</f>
        <v>24.5255696202532</v>
      </c>
      <c r="AO17" s="145" t="n">
        <f aca="false">IFERROR('Price History'!V3+(INDEX('Price History'!V:V,MATCH(9.99E+307,'Price History'!$A:$A))-'Price History'!V3)*(ROW()-3)/(MATCH(9.99E+307,'Returns (Calc)'!$A:$A)-3),"")</f>
        <v>0</v>
      </c>
    </row>
    <row r="18" customFormat="false" ht="15" hidden="false" customHeight="true" outlineLevel="0" collapsed="false">
      <c r="A18" s="141" t="n">
        <f aca="false">IF('Price History'!A19="","",'Price History'!A19)</f>
        <v>45296</v>
      </c>
      <c r="B18" s="142" t="n">
        <f aca="false">IFERROR(IF(OR(NOT(ISNUMBER('Price History'!B19)),NOT(ISNUMBER('Price History'!B18)),'Price History'!B18=0),"",'Price History'!B19/'Price History'!B18-1),"")</f>
        <v>-0.0536372779081462</v>
      </c>
      <c r="C18" s="142" t="n">
        <f aca="false">IFERROR(IF(OR(NOT(ISNUMBER('Price History'!C19)),NOT(ISNUMBER('Price History'!C18)),'Price History'!C18=0),"",'Price History'!C19/'Price History'!C18-1),"")</f>
        <v>-0.0195312500000001</v>
      </c>
      <c r="D18" s="142" t="n">
        <f aca="false">IFERROR(IF(OR(NOT(ISNUMBER('Price History'!D19)),NOT(ISNUMBER('Price History'!D18)),'Price History'!D18=0),"",'Price History'!D19/'Price History'!D18-1),"")</f>
        <v>-0.0707888088837253</v>
      </c>
      <c r="E18" s="142" t="n">
        <f aca="false">IFERROR(IF(OR(NOT(ISNUMBER('Price History'!E19)),NOT(ISNUMBER('Price History'!E18)),'Price History'!E18=0),"",'Price History'!E19/'Price History'!E18-1),"")</f>
        <v>-0.0600589535740604</v>
      </c>
      <c r="F18" s="142" t="n">
        <f aca="false">IFERROR(IF(OR(NOT(ISNUMBER('Price History'!F19)),NOT(ISNUMBER('Price History'!F18)),'Price History'!F18=0),"",'Price History'!F19/'Price History'!F18-1),"")</f>
        <v>-0.0259211902824597</v>
      </c>
      <c r="G18" s="142" t="n">
        <f aca="false">IFERROR(IF(OR(NOT(ISNUMBER('Price History'!G19)),NOT(ISNUMBER('Price History'!G18)),'Price History'!G18=0),"",'Price History'!G19/'Price History'!G18-1),"")</f>
        <v>-0.0307065643114524</v>
      </c>
      <c r="H18" s="142" t="n">
        <f aca="false">IFERROR(IF(OR(NOT(ISNUMBER('Price History'!H19)),NOT(ISNUMBER('Price History'!H18)),'Price History'!H18=0),"",'Price History'!H19/'Price History'!H18-1),"")</f>
        <v>0.00705882352941178</v>
      </c>
      <c r="I18" s="142" t="n">
        <f aca="false">IFERROR(IF(OR(NOT(ISNUMBER('Price History'!I19)),NOT(ISNUMBER('Price History'!I18)),'Price History'!I18=0),"",'Price History'!I19/'Price History'!I18-1),"")</f>
        <v>-0.0635980323260718</v>
      </c>
      <c r="J18" s="142" t="n">
        <f aca="false">IFERROR(IF(OR(NOT(ISNUMBER('Price History'!J19)),NOT(ISNUMBER('Price History'!J18)),'Price History'!J18=0),"",'Price History'!J19/'Price History'!J18-1),"")</f>
        <v>-0.0220909627879504</v>
      </c>
      <c r="K18" s="142" t="n">
        <f aca="false">IFERROR(IF(OR(NOT(ISNUMBER('Price History'!K19)),NOT(ISNUMBER('Price History'!K18)),'Price History'!K18=0),"",'Price History'!K19/'Price History'!K18-1),"")</f>
        <v>-0.00850546780072903</v>
      </c>
      <c r="L18" s="142" t="n">
        <f aca="false">IFERROR(IF(OR(NOT(ISNUMBER('Price History'!L19)),NOT(ISNUMBER('Price History'!L18)),'Price History'!L18=0),"",'Price History'!L19/'Price History'!L18-1),"")</f>
        <v>-0.0205254515599344</v>
      </c>
      <c r="M18" s="142" t="n">
        <f aca="false">IFERROR(IF(OR(NOT(ISNUMBER('Price History'!M19)),NOT(ISNUMBER('Price History'!M18)),'Price History'!M18=0),"",'Price History'!M19/'Price History'!M18-1),"")</f>
        <v>-0.0693069306930694</v>
      </c>
      <c r="N18" s="142" t="n">
        <f aca="false">IFERROR(IF(OR(NOT(ISNUMBER('Price History'!N19)),NOT(ISNUMBER('Price History'!N18)),'Price History'!N18=0),"",'Price History'!N19/'Price History'!N18-1),"")</f>
        <v>0.00304612706701479</v>
      </c>
      <c r="O18" s="142" t="n">
        <f aca="false">IFERROR(IF(OR(NOT(ISNUMBER('Price History'!O19)),NOT(ISNUMBER('Price History'!O18)),'Price History'!O18=0),"",'Price History'!O19/'Price History'!O18-1),"")</f>
        <v>-0.0102707749766574</v>
      </c>
      <c r="P18" s="142" t="n">
        <f aca="false">IFERROR(IF(OR(NOT(ISNUMBER('Price History'!P19)),NOT(ISNUMBER('Price History'!P18)),'Price History'!P18=0),"",'Price History'!P19/'Price History'!P18-1),"")</f>
        <v>-0.0422310756972113</v>
      </c>
      <c r="Q18" s="142" t="n">
        <f aca="false">IFERROR(IF(OR(NOT(ISNUMBER('Price History'!Q19)),NOT(ISNUMBER('Price History'!Q18)),'Price History'!Q18=0),"",'Price History'!Q19/'Price History'!Q18-1),"")</f>
        <v>-0.0025096070896401</v>
      </c>
      <c r="R18" s="142" t="n">
        <f aca="false">IFERROR(IF(OR(NOT(ISNUMBER('Price History'!R19)),NOT(ISNUMBER('Price History'!R18)),'Price History'!R18=0),"",'Price History'!R19/'Price History'!R18-1),"")</f>
        <v>-0.00670322973796467</v>
      </c>
      <c r="S18" s="142" t="n">
        <f aca="false">IFERROR(IF(OR(NOT(ISNUMBER('Price History'!S19)),NOT(ISNUMBER('Price History'!S18)),'Price History'!S18=0),"",'Price History'!S19/'Price History'!S18-1),"")</f>
        <v>-0.00225697243269385</v>
      </c>
      <c r="T18" s="142" t="n">
        <f aca="false">IFERROR(IF(OR(NOT(ISNUMBER('Price History'!T19)),NOT(ISNUMBER('Price History'!T18)),'Price History'!T18=0),"",'Price History'!T19/'Price History'!T18-1),"")</f>
        <v>0.0134428678117999</v>
      </c>
      <c r="U18" s="142" t="str">
        <f aca="false">IFERROR(IF(OR(NOT(ISNUMBER('Price History'!U19)),NOT(ISNUMBER('Price History'!U18)),'Price History'!U18=0),"",'Price History'!U19/'Price History'!U18-1),"")</f>
        <v/>
      </c>
      <c r="V18" s="143" t="n">
        <f aca="false">IFERROR(IF(OR(NOT(ISNUMBER('Price History'!V19)),NOT(ISNUMBER('Price History'!V18)),'Price History'!V18=0),"",'Price History'!V19/'Price History'!V18-1),"")</f>
        <v>0.00843034925732633</v>
      </c>
      <c r="W18" s="144" t="str">
        <f aca="false">IFERROR('Price History'!B3+(INDEX('Price History'!B:B,MATCH(9.99E+307,'Price History'!$A:$A))-'Price History'!B3)*(ROW()-3)/(MATCH(9.99E+307,'Returns (Calc)'!$A:$A)-3),"")</f>
        <v/>
      </c>
      <c r="X18" s="144" t="n">
        <f aca="false">IFERROR('Price History'!C3+(INDEX('Price History'!C:C,MATCH(9.99E+307,'Price History'!$A:$A))-'Price History'!C3)*(ROW()-3)/(MATCH(9.99E+307,'Returns (Calc)'!$A:$A)-3),"")</f>
        <v>41.7958227848101</v>
      </c>
      <c r="Y18" s="144" t="n">
        <f aca="false">IFERROR('Price History'!D3+(INDEX('Price History'!D:D,MATCH(9.99E+307,'Price History'!$A:$A))-'Price History'!D3)*(ROW()-3)/(MATCH(9.99E+307,'Returns (Calc)'!$A:$A)-3),"")</f>
        <v>526.755886075949</v>
      </c>
      <c r="Z18" s="144" t="n">
        <f aca="false">IFERROR('Price History'!E3+(INDEX('Price History'!E:E,MATCH(9.99E+307,'Price History'!$A:$A))-'Price History'!E3)*(ROW()-3)/(MATCH(9.99E+307,'Returns (Calc)'!$A:$A)-3),"")</f>
        <v>74.2151898734177</v>
      </c>
      <c r="AA18" s="144" t="n">
        <f aca="false">IFERROR('Price History'!F3+(INDEX('Price History'!F:F,MATCH(9.99E+307,'Price History'!$A:$A))-'Price History'!F3)*(ROW()-3)/(MATCH(9.99E+307,'Returns (Calc)'!$A:$A)-3),"")</f>
        <v>68.1603164556962</v>
      </c>
      <c r="AB18" s="144" t="n">
        <f aca="false">IFERROR('Price History'!G3+(INDEX('Price History'!G:G,MATCH(9.99E+307,'Price History'!$A:$A))-'Price History'!G3)*(ROW()-3)/(MATCH(9.99E+307,'Returns (Calc)'!$A:$A)-3),"")</f>
        <v>37.433417721519</v>
      </c>
      <c r="AC18" s="144" t="n">
        <f aca="false">IFERROR('Price History'!H3+(INDEX('Price History'!H:H,MATCH(9.99E+307,'Price History'!$A:$A))-'Price History'!H3)*(ROW()-3)/(MATCH(9.99E+307,'Returns (Calc)'!$A:$A)-3),"")</f>
        <v>91.0403164556962</v>
      </c>
      <c r="AD18" s="144" t="n">
        <f aca="false">IFERROR('Price History'!I3+(INDEX('Price History'!I:I,MATCH(9.99E+307,'Price History'!$A:$A))-'Price History'!I3)*(ROW()-3)/(MATCH(9.99E+307,'Returns (Calc)'!$A:$A)-3),"")</f>
        <v>40.1395569620253</v>
      </c>
      <c r="AE18" s="144" t="n">
        <f aca="false">IFERROR('Price History'!J3+(INDEX('Price History'!J:J,MATCH(9.99E+307,'Price History'!$A:$A))-'Price History'!J3)*(ROW()-3)/(MATCH(9.99E+307,'Returns (Calc)'!$A:$A)-3),"")</f>
        <v>62.5489240506329</v>
      </c>
      <c r="AF18" s="144" t="n">
        <f aca="false">IFERROR('Price History'!K3+(INDEX('Price History'!K:K,MATCH(9.99E+307,'Price History'!$A:$A))-'Price History'!K3)*(ROW()-3)/(MATCH(9.99E+307,'Returns (Calc)'!$A:$A)-3),"")</f>
        <v>39.6146202531646</v>
      </c>
      <c r="AG18" s="144" t="n">
        <f aca="false">IFERROR('Price History'!L3+(INDEX('Price History'!L:L,MATCH(9.99E+307,'Price History'!$A:$A))-'Price History'!L3)*(ROW()-3)/(MATCH(9.99E+307,'Returns (Calc)'!$A:$A)-3),"")</f>
        <v>101.222278481013</v>
      </c>
      <c r="AH18" s="144" t="n">
        <f aca="false">IFERROR('Price History'!M3+(INDEX('Price History'!M:M,MATCH(9.99E+307,'Price History'!$A:$A))-'Price History'!M3)*(ROW()-3)/(MATCH(9.99E+307,'Returns (Calc)'!$A:$A)-3),"")</f>
        <v>13.8746202531646</v>
      </c>
      <c r="AI18" s="144" t="n">
        <f aca="false">IFERROR('Price History'!N3+(INDEX('Price History'!N:N,MATCH(9.99E+307,'Price History'!$A:$A))-'Price History'!N3)*(ROW()-3)/(MATCH(9.99E+307,'Returns (Calc)'!$A:$A)-3),"")</f>
        <v>19.7303797468354</v>
      </c>
      <c r="AJ18" s="144" t="n">
        <f aca="false">IFERROR('Price History'!O3+(INDEX('Price History'!O:O,MATCH(9.99E+307,'Price History'!$A:$A))-'Price History'!O3)*(ROW()-3)/(MATCH(9.99E+307,'Returns (Calc)'!$A:$A)-3),"")</f>
        <v>52.1587974683544</v>
      </c>
      <c r="AK18" s="144" t="n">
        <f aca="false">IFERROR('Price History'!Q3+(INDEX('Price History'!Q:Q,MATCH(9.99E+307,'Price History'!$A:$A))-'Price History'!Q3)*(ROW()-3)/(MATCH(9.99E+307,'Returns (Calc)'!$A:$A)-3),"")</f>
        <v>213.260063291139</v>
      </c>
      <c r="AL18" s="144" t="n">
        <f aca="false">IFERROR('Price History'!R3+(INDEX('Price History'!R:R,MATCH(9.99E+307,'Price History'!$A:$A))-'Price History'!R3)*(ROW()-3)/(MATCH(9.99E+307,'Returns (Calc)'!$A:$A)-3),"")</f>
        <v>43.2801265822785</v>
      </c>
      <c r="AM18" s="144" t="n">
        <f aca="false">IFERROR('Price History'!S3+(INDEX('Price History'!S:S,MATCH(9.99E+307,'Price History'!$A:$A))-'Price History'!S3)*(ROW()-3)/(MATCH(9.99E+307,'Returns (Calc)'!$A:$A)-3),"")</f>
        <v>52.9824050632911</v>
      </c>
      <c r="AN18" s="144" t="n">
        <f aca="false">IFERROR('Price History'!T3+(INDEX('Price History'!T:T,MATCH(9.99E+307,'Price History'!$A:$A))-'Price History'!T3)*(ROW()-3)/(MATCH(9.99E+307,'Returns (Calc)'!$A:$A)-3),"")</f>
        <v>24.355253164557</v>
      </c>
      <c r="AO18" s="145" t="n">
        <f aca="false">IFERROR('Price History'!V3+(INDEX('Price History'!V:V,MATCH(9.99E+307,'Price History'!$A:$A))-'Price History'!V3)*(ROW()-3)/(MATCH(9.99E+307,'Returns (Calc)'!$A:$A)-3),"")</f>
        <v>0</v>
      </c>
    </row>
    <row r="19" customFormat="false" ht="15" hidden="false" customHeight="true" outlineLevel="0" collapsed="false">
      <c r="A19" s="141" t="n">
        <f aca="false">IF('Price History'!A20="","",'Price History'!A20)</f>
        <v>45303</v>
      </c>
      <c r="B19" s="142" t="n">
        <f aca="false">IFERROR(IF(OR(NOT(ISNUMBER('Price History'!B20)),NOT(ISNUMBER('Price History'!B19)),'Price History'!B19=0),"",'Price History'!B20/'Price History'!B19-1),"")</f>
        <v>0.0565710237336166</v>
      </c>
      <c r="C19" s="142" t="n">
        <f aca="false">IFERROR(IF(OR(NOT(ISNUMBER('Price History'!C20)),NOT(ISNUMBER('Price History'!C19)),'Price History'!C19=0),"",'Price History'!C20/'Price History'!C19-1),"")</f>
        <v>0.0914602459726313</v>
      </c>
      <c r="D19" s="142" t="n">
        <f aca="false">IFERROR(IF(OR(NOT(ISNUMBER('Price History'!D20)),NOT(ISNUMBER('Price History'!D19)),'Price History'!D19=0),"",'Price History'!D20/'Price History'!D19-1),"")</f>
        <v>0.0140441678903216</v>
      </c>
      <c r="E19" s="142" t="n">
        <f aca="false">IFERROR(IF(OR(NOT(ISNUMBER('Price History'!E20)),NOT(ISNUMBER('Price History'!E19)),'Price History'!E19=0),"",'Price History'!E20/'Price History'!E19-1),"")</f>
        <v>0.0556644453155624</v>
      </c>
      <c r="F19" s="142" t="n">
        <f aca="false">IFERROR(IF(OR(NOT(ISNUMBER('Price History'!F20)),NOT(ISNUMBER('Price History'!F19)),'Price History'!F19=0),"",'Price History'!F20/'Price History'!F19-1),"")</f>
        <v>-0.0113365155131265</v>
      </c>
      <c r="G19" s="142" t="n">
        <f aca="false">IFERROR(IF(OR(NOT(ISNUMBER('Price History'!G20)),NOT(ISNUMBER('Price History'!G19)),'Price History'!G19=0),"",'Price History'!G20/'Price History'!G19-1),"")</f>
        <v>0.144981412639405</v>
      </c>
      <c r="H19" s="142" t="n">
        <f aca="false">IFERROR(IF(OR(NOT(ISNUMBER('Price History'!H20)),NOT(ISNUMBER('Price History'!H19)),'Price History'!H19=0),"",'Price History'!H20/'Price History'!H19-1),"")</f>
        <v>-0.0138317757009346</v>
      </c>
      <c r="I19" s="142" t="n">
        <f aca="false">IFERROR(IF(OR(NOT(ISNUMBER('Price History'!I20)),NOT(ISNUMBER('Price History'!I19)),'Price History'!I19=0),"",'Price History'!I20/'Price History'!I19-1),"")</f>
        <v>0.0298311444652908</v>
      </c>
      <c r="J19" s="142" t="n">
        <f aca="false">IFERROR(IF(OR(NOT(ISNUMBER('Price History'!J20)),NOT(ISNUMBER('Price History'!J19)),'Price History'!J19=0),"",'Price History'!J20/'Price History'!J19-1),"")</f>
        <v>-0.0128050253684465</v>
      </c>
      <c r="K19" s="142" t="n">
        <f aca="false">IFERROR(IF(OR(NOT(ISNUMBER('Price History'!K20)),NOT(ISNUMBER('Price History'!K19)),'Price History'!K19=0),"",'Price History'!K20/'Price History'!K19-1),"")</f>
        <v>0.114174836601307</v>
      </c>
      <c r="L19" s="142" t="n">
        <f aca="false">IFERROR(IF(OR(NOT(ISNUMBER('Price History'!L20)),NOT(ISNUMBER('Price History'!L19)),'Price History'!L19=0),"",'Price History'!L20/'Price History'!L19-1),"")</f>
        <v>0.0075440067057837</v>
      </c>
      <c r="M19" s="142" t="n">
        <f aca="false">IFERROR(IF(OR(NOT(ISNUMBER('Price History'!M20)),NOT(ISNUMBER('Price History'!M19)),'Price History'!M19=0),"",'Price History'!M20/'Price History'!M19-1),"")</f>
        <v>0.0488110137672091</v>
      </c>
      <c r="N19" s="142" t="n">
        <f aca="false">IFERROR(IF(OR(NOT(ISNUMBER('Price History'!N20)),NOT(ISNUMBER('Price History'!N19)),'Price History'!N19=0),"",'Price History'!N20/'Price History'!N19-1),"")</f>
        <v>-0.00130151843817794</v>
      </c>
      <c r="O19" s="142" t="n">
        <f aca="false">IFERROR(IF(OR(NOT(ISNUMBER('Price History'!O20)),NOT(ISNUMBER('Price History'!O19)),'Price History'!O19=0),"",'Price History'!O20/'Price History'!O19-1),"")</f>
        <v>0.0309748427672956</v>
      </c>
      <c r="P19" s="142" t="n">
        <f aca="false">IFERROR(IF(OR(NOT(ISNUMBER('Price History'!P20)),NOT(ISNUMBER('Price History'!P19)),'Price History'!P19=0),"",'Price History'!P20/'Price History'!P19-1),"")</f>
        <v>0.0163269550748753</v>
      </c>
      <c r="Q19" s="142" t="n">
        <f aca="false">IFERROR(IF(OR(NOT(ISNUMBER('Price History'!Q20)),NOT(ISNUMBER('Price History'!Q19)),'Price History'!Q19=0),"",'Price History'!Q20/'Price History'!Q19-1),"")</f>
        <v>0.0172183347747463</v>
      </c>
      <c r="R19" s="142" t="n">
        <f aca="false">IFERROR(IF(OR(NOT(ISNUMBER('Price History'!R20)),NOT(ISNUMBER('Price History'!R19)),'Price History'!R19=0),"",'Price History'!R20/'Price History'!R19-1),"")</f>
        <v>0.00736196319018401</v>
      </c>
      <c r="S19" s="142" t="n">
        <f aca="false">IFERROR(IF(OR(NOT(ISNUMBER('Price History'!S20)),NOT(ISNUMBER('Price History'!S19)),'Price History'!S19=0),"",'Price History'!S20/'Price History'!S19-1),"")</f>
        <v>0.0037162708030376</v>
      </c>
      <c r="T19" s="142" t="n">
        <f aca="false">IFERROR(IF(OR(NOT(ISNUMBER('Price History'!T20)),NOT(ISNUMBER('Price History'!T19)),'Price History'!T19=0),"",'Price History'!T20/'Price History'!T19-1),"")</f>
        <v>0.00884303610906412</v>
      </c>
      <c r="U19" s="142" t="str">
        <f aca="false">IFERROR(IF(OR(NOT(ISNUMBER('Price History'!U20)),NOT(ISNUMBER('Price History'!U19)),'Price History'!U19=0),"",'Price History'!U20/'Price History'!U19-1),"")</f>
        <v/>
      </c>
      <c r="V19" s="143" t="n">
        <f aca="false">IFERROR(IF(OR(NOT(ISNUMBER('Price History'!V20)),NOT(ISNUMBER('Price History'!V19)),'Price History'!V19=0),"",'Price History'!V20/'Price History'!V19-1),"")</f>
        <v>-0.00274681528662424</v>
      </c>
      <c r="W19" s="144" t="str">
        <f aca="false">IFERROR('Price History'!B3+(INDEX('Price History'!B:B,MATCH(9.99E+307,'Price History'!$A:$A))-'Price History'!B3)*(ROW()-3)/(MATCH(9.99E+307,'Returns (Calc)'!$A:$A)-3),"")</f>
        <v/>
      </c>
      <c r="X19" s="144" t="n">
        <f aca="false">IFERROR('Price History'!C3+(INDEX('Price History'!C:C,MATCH(9.99E+307,'Price History'!$A:$A))-'Price History'!C3)*(ROW()-3)/(MATCH(9.99E+307,'Returns (Calc)'!$A:$A)-3),"")</f>
        <v>41.5035443037975</v>
      </c>
      <c r="Y19" s="144" t="n">
        <f aca="false">IFERROR('Price History'!D3+(INDEX('Price History'!D:D,MATCH(9.99E+307,'Price History'!$A:$A))-'Price History'!D3)*(ROW()-3)/(MATCH(9.99E+307,'Returns (Calc)'!$A:$A)-3),"")</f>
        <v>523.072278481013</v>
      </c>
      <c r="Z19" s="144" t="n">
        <f aca="false">IFERROR('Price History'!E3+(INDEX('Price History'!E:E,MATCH(9.99E+307,'Price History'!$A:$A))-'Price History'!E3)*(ROW()-3)/(MATCH(9.99E+307,'Returns (Calc)'!$A:$A)-3),"")</f>
        <v>73.6962025316456</v>
      </c>
      <c r="AA19" s="144" t="n">
        <f aca="false">IFERROR('Price History'!F3+(INDEX('Price History'!F:F,MATCH(9.99E+307,'Price History'!$A:$A))-'Price History'!F3)*(ROW()-3)/(MATCH(9.99E+307,'Returns (Calc)'!$A:$A)-3),"")</f>
        <v>67.683670886076</v>
      </c>
      <c r="AB19" s="144" t="n">
        <f aca="false">IFERROR('Price History'!G3+(INDEX('Price History'!G:G,MATCH(9.99E+307,'Price History'!$A:$A))-'Price History'!G3)*(ROW()-3)/(MATCH(9.99E+307,'Returns (Calc)'!$A:$A)-3),"")</f>
        <v>37.1716455696203</v>
      </c>
      <c r="AC19" s="144" t="n">
        <f aca="false">IFERROR('Price History'!H3+(INDEX('Price History'!H:H,MATCH(9.99E+307,'Price History'!$A:$A))-'Price History'!H3)*(ROW()-3)/(MATCH(9.99E+307,'Returns (Calc)'!$A:$A)-3),"")</f>
        <v>90.403670886076</v>
      </c>
      <c r="AD19" s="144" t="n">
        <f aca="false">IFERROR('Price History'!I3+(INDEX('Price History'!I:I,MATCH(9.99E+307,'Price History'!$A:$A))-'Price History'!I3)*(ROW()-3)/(MATCH(9.99E+307,'Returns (Calc)'!$A:$A)-3),"")</f>
        <v>39.8588607594937</v>
      </c>
      <c r="AE19" s="144" t="n">
        <f aca="false">IFERROR('Price History'!J3+(INDEX('Price History'!J:J,MATCH(9.99E+307,'Price History'!$A:$A))-'Price History'!J3)*(ROW()-3)/(MATCH(9.99E+307,'Returns (Calc)'!$A:$A)-3),"")</f>
        <v>62.1115189873418</v>
      </c>
      <c r="AF19" s="144" t="n">
        <f aca="false">IFERROR('Price History'!K3+(INDEX('Price History'!K:K,MATCH(9.99E+307,'Price History'!$A:$A))-'Price History'!K3)*(ROW()-3)/(MATCH(9.99E+307,'Returns (Calc)'!$A:$A)-3),"")</f>
        <v>39.3375949367089</v>
      </c>
      <c r="AG19" s="144" t="n">
        <f aca="false">IFERROR('Price History'!L3+(INDEX('Price History'!L:L,MATCH(9.99E+307,'Price History'!$A:$A))-'Price History'!L3)*(ROW()-3)/(MATCH(9.99E+307,'Returns (Calc)'!$A:$A)-3),"")</f>
        <v>100.514430379747</v>
      </c>
      <c r="AH19" s="144" t="n">
        <f aca="false">IFERROR('Price History'!M3+(INDEX('Price History'!M:M,MATCH(9.99E+307,'Price History'!$A:$A))-'Price History'!M3)*(ROW()-3)/(MATCH(9.99E+307,'Returns (Calc)'!$A:$A)-3),"")</f>
        <v>13.7775949367089</v>
      </c>
      <c r="AI19" s="144" t="n">
        <f aca="false">IFERROR('Price History'!N3+(INDEX('Price History'!N:N,MATCH(9.99E+307,'Price History'!$A:$A))-'Price History'!N3)*(ROW()-3)/(MATCH(9.99E+307,'Returns (Calc)'!$A:$A)-3),"")</f>
        <v>19.5924050632911</v>
      </c>
      <c r="AJ19" s="144" t="n">
        <f aca="false">IFERROR('Price History'!O3+(INDEX('Price History'!O:O,MATCH(9.99E+307,'Price History'!$A:$A))-'Price History'!O3)*(ROW()-3)/(MATCH(9.99E+307,'Returns (Calc)'!$A:$A)-3),"")</f>
        <v>51.7940506329114</v>
      </c>
      <c r="AK19" s="144" t="n">
        <f aca="false">IFERROR('Price History'!Q3+(INDEX('Price History'!Q:Q,MATCH(9.99E+307,'Price History'!$A:$A))-'Price History'!Q3)*(ROW()-3)/(MATCH(9.99E+307,'Returns (Calc)'!$A:$A)-3),"")</f>
        <v>211.768734177215</v>
      </c>
      <c r="AL19" s="144" t="n">
        <f aca="false">IFERROR('Price History'!R3+(INDEX('Price History'!R:R,MATCH(9.99E+307,'Price History'!$A:$A))-'Price History'!R3)*(ROW()-3)/(MATCH(9.99E+307,'Returns (Calc)'!$A:$A)-3),"")</f>
        <v>42.9774683544304</v>
      </c>
      <c r="AM19" s="144" t="n">
        <f aca="false">IFERROR('Price History'!S3+(INDEX('Price History'!S:S,MATCH(9.99E+307,'Price History'!$A:$A))-'Price History'!S3)*(ROW()-3)/(MATCH(9.99E+307,'Returns (Calc)'!$A:$A)-3),"")</f>
        <v>52.6118987341772</v>
      </c>
      <c r="AN19" s="144" t="n">
        <f aca="false">IFERROR('Price History'!T3+(INDEX('Price History'!T:T,MATCH(9.99E+307,'Price History'!$A:$A))-'Price History'!T3)*(ROW()-3)/(MATCH(9.99E+307,'Returns (Calc)'!$A:$A)-3),"")</f>
        <v>24.1849367088608</v>
      </c>
      <c r="AO19" s="145" t="n">
        <f aca="false">IFERROR('Price History'!V3+(INDEX('Price History'!V:V,MATCH(9.99E+307,'Price History'!$A:$A))-'Price History'!V3)*(ROW()-3)/(MATCH(9.99E+307,'Returns (Calc)'!$A:$A)-3),"")</f>
        <v>0</v>
      </c>
    </row>
    <row r="20" customFormat="false" ht="15" hidden="false" customHeight="true" outlineLevel="0" collapsed="false">
      <c r="A20" s="141" t="n">
        <f aca="false">IF('Price History'!A21="","",'Price History'!A21)</f>
        <v>45310</v>
      </c>
      <c r="B20" s="142" t="n">
        <f aca="false">IFERROR(IF(OR(NOT(ISNUMBER('Price History'!B21)),NOT(ISNUMBER('Price History'!B20)),'Price History'!B20=0),"",'Price History'!B21/'Price History'!B20-1),"")</f>
        <v>0.0251617661850001</v>
      </c>
      <c r="C20" s="142" t="n">
        <f aca="false">IFERROR(IF(OR(NOT(ISNUMBER('Price History'!C21)),NOT(ISNUMBER('Price History'!C20)),'Price History'!C20=0),"",'Price History'!C21/'Price History'!C20-1),"")</f>
        <v>0.0455483256625933</v>
      </c>
      <c r="D20" s="142" t="n">
        <f aca="false">IFERROR(IF(OR(NOT(ISNUMBER('Price History'!D21)),NOT(ISNUMBER('Price History'!D20)),'Price History'!D20=0),"",'Price History'!D21/'Price History'!D20-1),"")</f>
        <v>0.0625528681414787</v>
      </c>
      <c r="E20" s="142" t="n">
        <f aca="false">IFERROR(IF(OR(NOT(ISNUMBER('Price History'!E21)),NOT(ISNUMBER('Price History'!E20)),'Price History'!E20=0),"",'Price History'!E21/'Price History'!E20-1),"")</f>
        <v>0.0934831043445972</v>
      </c>
      <c r="F20" s="142" t="n">
        <f aca="false">IFERROR(IF(OR(NOT(ISNUMBER('Price History'!F21)),NOT(ISNUMBER('Price History'!F20)),'Price History'!F20=0),"",'Price History'!F21/'Price History'!F20-1),"")</f>
        <v>0.0030175015087508</v>
      </c>
      <c r="G20" s="142" t="n">
        <f aca="false">IFERROR(IF(OR(NOT(ISNUMBER('Price History'!G21)),NOT(ISNUMBER('Price History'!G20)),'Price History'!G20=0),"",'Price History'!G21/'Price History'!G20-1),"")</f>
        <v>0.0254093732354601</v>
      </c>
      <c r="H20" s="142" t="n">
        <f aca="false">IFERROR(IF(OR(NOT(ISNUMBER('Price History'!H21)),NOT(ISNUMBER('Price History'!H20)),'Price History'!H20=0),"",'Price History'!H21/'Price History'!H20-1),"")</f>
        <v>-0.0131728582259287</v>
      </c>
      <c r="I20" s="142" t="n">
        <f aca="false">IFERROR(IF(OR(NOT(ISNUMBER('Price History'!I21)),NOT(ISNUMBER('Price History'!I20)),'Price History'!I20=0),"",'Price History'!I21/'Price History'!I20-1),"")</f>
        <v>0.093459646565859</v>
      </c>
      <c r="J20" s="142" t="n">
        <f aca="false">IFERROR(IF(OR(NOT(ISNUMBER('Price History'!J21)),NOT(ISNUMBER('Price History'!J20)),'Price History'!J20=0),"",'Price History'!J21/'Price History'!J20-1),"")</f>
        <v>0.062163485070974</v>
      </c>
      <c r="K20" s="142" t="n">
        <f aca="false">IFERROR(IF(OR(NOT(ISNUMBER('Price History'!K21)),NOT(ISNUMBER('Price History'!K20)),'Price History'!K20=0),"",'Price History'!K21/'Price History'!K20-1),"")</f>
        <v>0.0874427131072411</v>
      </c>
      <c r="L20" s="142" t="n">
        <f aca="false">IFERROR(IF(OR(NOT(ISNUMBER('Price History'!L21)),NOT(ISNUMBER('Price History'!L20)),'Price History'!L20=0),"",'Price History'!L21/'Price History'!L20-1),"")</f>
        <v>-0.0236272878535774</v>
      </c>
      <c r="M20" s="142" t="n">
        <f aca="false">IFERROR(IF(OR(NOT(ISNUMBER('Price History'!M21)),NOT(ISNUMBER('Price History'!M20)),'Price History'!M20=0),"",'Price History'!M21/'Price History'!M20-1),"")</f>
        <v>0.00119331742243434</v>
      </c>
      <c r="N20" s="142" t="n">
        <f aca="false">IFERROR(IF(OR(NOT(ISNUMBER('Price History'!N21)),NOT(ISNUMBER('Price History'!N20)),'Price History'!N20=0),"",'Price History'!N21/'Price History'!N20-1),"")</f>
        <v>0.00434404865334503</v>
      </c>
      <c r="O20" s="142" t="n">
        <f aca="false">IFERROR(IF(OR(NOT(ISNUMBER('Price History'!O21)),NOT(ISNUMBER('Price History'!O20)),'Price History'!O20=0),"",'Price History'!O21/'Price History'!O20-1),"")</f>
        <v>0.0211987189263383</v>
      </c>
      <c r="P20" s="142" t="n">
        <f aca="false">IFERROR(IF(OR(NOT(ISNUMBER('Price History'!P21)),NOT(ISNUMBER('Price History'!P20)),'Price History'!P20=0),"",'Price History'!P21/'Price History'!P20-1),"")</f>
        <v>0.128005730072649</v>
      </c>
      <c r="Q20" s="142" t="n">
        <f aca="false">IFERROR(IF(OR(NOT(ISNUMBER('Price History'!Q21)),NOT(ISNUMBER('Price History'!Q20)),'Price History'!Q20=0),"",'Price History'!Q21/'Price History'!Q20-1),"")</f>
        <v>0.0255062606276086</v>
      </c>
      <c r="R20" s="142" t="n">
        <f aca="false">IFERROR(IF(OR(NOT(ISNUMBER('Price History'!R21)),NOT(ISNUMBER('Price History'!R20)),'Price History'!R20=0),"",'Price History'!R21/'Price History'!R20-1),"")</f>
        <v>0.0150223304912709</v>
      </c>
      <c r="S20" s="142" t="n">
        <f aca="false">IFERROR(IF(OR(NOT(ISNUMBER('Price History'!S21)),NOT(ISNUMBER('Price History'!S20)),'Price History'!S20=0),"",'Price History'!S21/'Price History'!S20-1),"")</f>
        <v>0.0341274951706374</v>
      </c>
      <c r="T20" s="142" t="n">
        <f aca="false">IFERROR(IF(OR(NOT(ISNUMBER('Price History'!T21)),NOT(ISNUMBER('Price History'!T20)),'Price History'!T20=0),"",'Price History'!T21/'Price History'!T20-1),"")</f>
        <v>0.0277574872169468</v>
      </c>
      <c r="U20" s="142" t="str">
        <f aca="false">IFERROR(IF(OR(NOT(ISNUMBER('Price History'!U21)),NOT(ISNUMBER('Price History'!U20)),'Price History'!U20=0),"",'Price History'!U21/'Price History'!U20-1),"")</f>
        <v/>
      </c>
      <c r="V20" s="143" t="n">
        <f aca="false">IFERROR(IF(OR(NOT(ISNUMBER('Price History'!V21)),NOT(ISNUMBER('Price History'!V20)),'Price History'!V20=0),"",'Price History'!V21/'Price History'!V20-1),"")</f>
        <v>0.00894175881202353</v>
      </c>
      <c r="W20" s="144" t="str">
        <f aca="false">IFERROR('Price History'!B3+(INDEX('Price History'!B:B,MATCH(9.99E+307,'Price History'!$A:$A))-'Price History'!B3)*(ROW()-3)/(MATCH(9.99E+307,'Returns (Calc)'!$A:$A)-3),"")</f>
        <v/>
      </c>
      <c r="X20" s="144" t="n">
        <f aca="false">IFERROR('Price History'!C3+(INDEX('Price History'!C:C,MATCH(9.99E+307,'Price History'!$A:$A))-'Price History'!C3)*(ROW()-3)/(MATCH(9.99E+307,'Returns (Calc)'!$A:$A)-3),"")</f>
        <v>41.2112658227848</v>
      </c>
      <c r="Y20" s="144" t="n">
        <f aca="false">IFERROR('Price History'!D3+(INDEX('Price History'!D:D,MATCH(9.99E+307,'Price History'!$A:$A))-'Price History'!D3)*(ROW()-3)/(MATCH(9.99E+307,'Returns (Calc)'!$A:$A)-3),"")</f>
        <v>519.388670886076</v>
      </c>
      <c r="Z20" s="144" t="n">
        <f aca="false">IFERROR('Price History'!E3+(INDEX('Price History'!E:E,MATCH(9.99E+307,'Price History'!$A:$A))-'Price History'!E3)*(ROW()-3)/(MATCH(9.99E+307,'Returns (Calc)'!$A:$A)-3),"")</f>
        <v>73.1772151898734</v>
      </c>
      <c r="AA20" s="144" t="n">
        <f aca="false">IFERROR('Price History'!F3+(INDEX('Price History'!F:F,MATCH(9.99E+307,'Price History'!$A:$A))-'Price History'!F3)*(ROW()-3)/(MATCH(9.99E+307,'Returns (Calc)'!$A:$A)-3),"")</f>
        <v>67.2070253164557</v>
      </c>
      <c r="AB20" s="144" t="n">
        <f aca="false">IFERROR('Price History'!G3+(INDEX('Price History'!G:G,MATCH(9.99E+307,'Price History'!$A:$A))-'Price History'!G3)*(ROW()-3)/(MATCH(9.99E+307,'Returns (Calc)'!$A:$A)-3),"")</f>
        <v>36.9098734177215</v>
      </c>
      <c r="AC20" s="144" t="n">
        <f aca="false">IFERROR('Price History'!H3+(INDEX('Price History'!H:H,MATCH(9.99E+307,'Price History'!$A:$A))-'Price History'!H3)*(ROW()-3)/(MATCH(9.99E+307,'Returns (Calc)'!$A:$A)-3),"")</f>
        <v>89.7670253164557</v>
      </c>
      <c r="AD20" s="144" t="n">
        <f aca="false">IFERROR('Price History'!I3+(INDEX('Price History'!I:I,MATCH(9.99E+307,'Price History'!$A:$A))-'Price History'!I3)*(ROW()-3)/(MATCH(9.99E+307,'Returns (Calc)'!$A:$A)-3),"")</f>
        <v>39.578164556962</v>
      </c>
      <c r="AE20" s="144" t="n">
        <f aca="false">IFERROR('Price History'!J3+(INDEX('Price History'!J:J,MATCH(9.99E+307,'Price History'!$A:$A))-'Price History'!J3)*(ROW()-3)/(MATCH(9.99E+307,'Returns (Calc)'!$A:$A)-3),"")</f>
        <v>61.6741139240506</v>
      </c>
      <c r="AF20" s="144" t="n">
        <f aca="false">IFERROR('Price History'!K3+(INDEX('Price History'!K:K,MATCH(9.99E+307,'Price History'!$A:$A))-'Price History'!K3)*(ROW()-3)/(MATCH(9.99E+307,'Returns (Calc)'!$A:$A)-3),"")</f>
        <v>39.0605696202532</v>
      </c>
      <c r="AG20" s="144" t="n">
        <f aca="false">IFERROR('Price History'!L3+(INDEX('Price History'!L:L,MATCH(9.99E+307,'Price History'!$A:$A))-'Price History'!L3)*(ROW()-3)/(MATCH(9.99E+307,'Returns (Calc)'!$A:$A)-3),"")</f>
        <v>99.806582278481</v>
      </c>
      <c r="AH20" s="144" t="n">
        <f aca="false">IFERROR('Price History'!M3+(INDEX('Price History'!M:M,MATCH(9.99E+307,'Price History'!$A:$A))-'Price History'!M3)*(ROW()-3)/(MATCH(9.99E+307,'Returns (Calc)'!$A:$A)-3),"")</f>
        <v>13.6805696202532</v>
      </c>
      <c r="AI20" s="144" t="n">
        <f aca="false">IFERROR('Price History'!N3+(INDEX('Price History'!N:N,MATCH(9.99E+307,'Price History'!$A:$A))-'Price History'!N3)*(ROW()-3)/(MATCH(9.99E+307,'Returns (Calc)'!$A:$A)-3),"")</f>
        <v>19.4544303797468</v>
      </c>
      <c r="AJ20" s="144" t="n">
        <f aca="false">IFERROR('Price History'!O3+(INDEX('Price History'!O:O,MATCH(9.99E+307,'Price History'!$A:$A))-'Price History'!O3)*(ROW()-3)/(MATCH(9.99E+307,'Returns (Calc)'!$A:$A)-3),"")</f>
        <v>51.4293037974684</v>
      </c>
      <c r="AK20" s="144" t="n">
        <f aca="false">IFERROR('Price History'!Q3+(INDEX('Price History'!Q:Q,MATCH(9.99E+307,'Price History'!$A:$A))-'Price History'!Q3)*(ROW()-3)/(MATCH(9.99E+307,'Returns (Calc)'!$A:$A)-3),"")</f>
        <v>210.277405063291</v>
      </c>
      <c r="AL20" s="144" t="n">
        <f aca="false">IFERROR('Price History'!R3+(INDEX('Price History'!R:R,MATCH(9.99E+307,'Price History'!$A:$A))-'Price History'!R3)*(ROW()-3)/(MATCH(9.99E+307,'Returns (Calc)'!$A:$A)-3),"")</f>
        <v>42.6748101265823</v>
      </c>
      <c r="AM20" s="144" t="n">
        <f aca="false">IFERROR('Price History'!S3+(INDEX('Price History'!S:S,MATCH(9.99E+307,'Price History'!$A:$A))-'Price History'!S3)*(ROW()-3)/(MATCH(9.99E+307,'Returns (Calc)'!$A:$A)-3),"")</f>
        <v>52.2413924050633</v>
      </c>
      <c r="AN20" s="144" t="n">
        <f aca="false">IFERROR('Price History'!T3+(INDEX('Price History'!T:T,MATCH(9.99E+307,'Price History'!$A:$A))-'Price History'!T3)*(ROW()-3)/(MATCH(9.99E+307,'Returns (Calc)'!$A:$A)-3),"")</f>
        <v>24.0146202531646</v>
      </c>
      <c r="AO20" s="145" t="n">
        <f aca="false">IFERROR('Price History'!V3+(INDEX('Price History'!V:V,MATCH(9.99E+307,'Price History'!$A:$A))-'Price History'!V3)*(ROW()-3)/(MATCH(9.99E+307,'Returns (Calc)'!$A:$A)-3),"")</f>
        <v>0</v>
      </c>
    </row>
    <row r="21" customFormat="false" ht="15" hidden="false" customHeight="true" outlineLevel="0" collapsed="false">
      <c r="A21" s="141" t="n">
        <f aca="false">IF('Price History'!A22="","",'Price History'!A22)</f>
        <v>45317</v>
      </c>
      <c r="B21" s="142" t="n">
        <f aca="false">IFERROR(IF(OR(NOT(ISNUMBER('Price History'!B22)),NOT(ISNUMBER('Price History'!B21)),'Price History'!B21=0),"",'Price History'!B22/'Price History'!B21-1),"")</f>
        <v>0.00389175047011681</v>
      </c>
      <c r="C21" s="142" t="n">
        <f aca="false">IFERROR(IF(OR(NOT(ISNUMBER('Price History'!C22)),NOT(ISNUMBER('Price History'!C21)),'Price History'!C21=0),"",'Price History'!C22/'Price History'!C21-1),"")</f>
        <v>0.00333940497874918</v>
      </c>
      <c r="D21" s="142" t="n">
        <f aca="false">IFERROR(IF(OR(NOT(ISNUMBER('Price History'!D22)),NOT(ISNUMBER('Price History'!D21)),'Price History'!D21=0),"",'Price History'!D22/'Price History'!D21-1),"")</f>
        <v>0.145037240932643</v>
      </c>
      <c r="E21" s="142" t="n">
        <f aca="false">IFERROR(IF(OR(NOT(ISNUMBER('Price History'!E22)),NOT(ISNUMBER('Price History'!E21)),'Price History'!E21=0),"",'Price History'!E22/'Price History'!E21-1),"")</f>
        <v>-0.00517870786993802</v>
      </c>
      <c r="F21" s="142" t="n">
        <f aca="false">IFERROR(IF(OR(NOT(ISNUMBER('Price History'!F22)),NOT(ISNUMBER('Price History'!F21)),'Price History'!F21=0),"",'Price History'!F22/'Price History'!F21-1),"")</f>
        <v>0.023586040914561</v>
      </c>
      <c r="G21" s="142" t="n">
        <f aca="false">IFERROR(IF(OR(NOT(ISNUMBER('Price History'!G22)),NOT(ISNUMBER('Price History'!G21)),'Price History'!G21=0),"",'Price History'!G22/'Price History'!G21-1),"")</f>
        <v>-0.000825991189427389</v>
      </c>
      <c r="H21" s="142" t="n">
        <f aca="false">IFERROR(IF(OR(NOT(ISNUMBER('Price History'!H22)),NOT(ISNUMBER('Price History'!H21)),'Price History'!H21=0),"",'Price History'!H22/'Price History'!H21-1),"")</f>
        <v>0.0157495438394315</v>
      </c>
      <c r="I21" s="142" t="n">
        <f aca="false">IFERROR(IF(OR(NOT(ISNUMBER('Price History'!I22)),NOT(ISNUMBER('Price History'!I21)),'Price History'!I21=0),"",'Price History'!I22/'Price History'!I21-1),"")</f>
        <v>-0.0221592802399201</v>
      </c>
      <c r="J21" s="142" t="n">
        <f aca="false">IFERROR(IF(OR(NOT(ISNUMBER('Price History'!J22)),NOT(ISNUMBER('Price History'!J21)),'Price History'!J21=0),"",'Price History'!J22/'Price History'!J21-1),"")</f>
        <v>0.00622119815668221</v>
      </c>
      <c r="K21" s="142" t="n">
        <f aca="false">IFERROR(IF(OR(NOT(ISNUMBER('Price History'!K22)),NOT(ISNUMBER('Price History'!K21)),'Price History'!K21=0),"",'Price History'!K22/'Price History'!K21-1),"")</f>
        <v>0.0257923128792987</v>
      </c>
      <c r="L21" s="142" t="n">
        <f aca="false">IFERROR(IF(OR(NOT(ISNUMBER('Price History'!L22)),NOT(ISNUMBER('Price History'!L21)),'Price History'!L21=0),"",'Price History'!L22/'Price History'!L21-1),"")</f>
        <v>-0.0121847307430129</v>
      </c>
      <c r="M21" s="142" t="n">
        <f aca="false">IFERROR(IF(OR(NOT(ISNUMBER('Price History'!M22)),NOT(ISNUMBER('Price History'!M21)),'Price History'!M21=0),"",'Price History'!M22/'Price History'!M21-1),"")</f>
        <v>-0.0256257449344458</v>
      </c>
      <c r="N21" s="142" t="n">
        <f aca="false">IFERROR(IF(OR(NOT(ISNUMBER('Price History'!N22)),NOT(ISNUMBER('Price History'!N21)),'Price History'!N21=0),"",'Price History'!N22/'Price History'!N21-1),"")</f>
        <v>0.00562283737024227</v>
      </c>
      <c r="O21" s="142" t="n">
        <f aca="false">IFERROR(IF(OR(NOT(ISNUMBER('Price History'!O22)),NOT(ISNUMBER('Price History'!O21)),'Price History'!O21=0),"",'Price History'!O22/'Price History'!O21-1),"")</f>
        <v>0.0161290322580647</v>
      </c>
      <c r="P21" s="142" t="n">
        <f aca="false">IFERROR(IF(OR(NOT(ISNUMBER('Price History'!P22)),NOT(ISNUMBER('Price History'!P21)),'Price History'!P21=0),"",'Price History'!P22/'Price History'!P21-1),"")</f>
        <v>0.0268505079825836</v>
      </c>
      <c r="Q21" s="142" t="n">
        <f aca="false">IFERROR(IF(OR(NOT(ISNUMBER('Price History'!Q22)),NOT(ISNUMBER('Price History'!Q21)),'Price History'!Q21=0),"",'Price History'!Q22/'Price History'!Q21-1),"")</f>
        <v>-0.0109285498944831</v>
      </c>
      <c r="R21" s="142" t="n">
        <f aca="false">IFERROR(IF(OR(NOT(ISNUMBER('Price History'!R22)),NOT(ISNUMBER('Price History'!R21)),'Price History'!R21=0),"",'Price History'!R22/'Price History'!R21-1),"")</f>
        <v>0.00319999999999987</v>
      </c>
      <c r="S21" s="142" t="n">
        <f aca="false">IFERROR(IF(OR(NOT(ISNUMBER('Price History'!S22)),NOT(ISNUMBER('Price History'!S21)),'Price History'!S21=0),"",'Price History'!S22/'Price History'!S21-1),"")</f>
        <v>0.0124533001245333</v>
      </c>
      <c r="T21" s="142" t="n">
        <f aca="false">IFERROR(IF(OR(NOT(ISNUMBER('Price History'!T22)),NOT(ISNUMBER('Price History'!T21)),'Price History'!T21=0),"",'Price History'!T22/'Price History'!T21-1),"")</f>
        <v>0.00959488272921116</v>
      </c>
      <c r="U21" s="142" t="str">
        <f aca="false">IFERROR(IF(OR(NOT(ISNUMBER('Price History'!U22)),NOT(ISNUMBER('Price History'!U21)),'Price History'!U21=0),"",'Price History'!U22/'Price History'!U21-1),"")</f>
        <v/>
      </c>
      <c r="V21" s="143" t="n">
        <f aca="false">IFERROR(IF(OR(NOT(ISNUMBER('Price History'!V22)),NOT(ISNUMBER('Price History'!V21)),'Price History'!V21=0),"",'Price History'!V22/'Price History'!V21-1),"")</f>
        <v>0.0015430267062313</v>
      </c>
      <c r="W21" s="144" t="str">
        <f aca="false">IFERROR('Price History'!B3+(INDEX('Price History'!B:B,MATCH(9.99E+307,'Price History'!$A:$A))-'Price History'!B3)*(ROW()-3)/(MATCH(9.99E+307,'Returns (Calc)'!$A:$A)-3),"")</f>
        <v/>
      </c>
      <c r="X21" s="144" t="n">
        <f aca="false">IFERROR('Price History'!C3+(INDEX('Price History'!C:C,MATCH(9.99E+307,'Price History'!$A:$A))-'Price History'!C3)*(ROW()-3)/(MATCH(9.99E+307,'Returns (Calc)'!$A:$A)-3),"")</f>
        <v>40.9189873417722</v>
      </c>
      <c r="Y21" s="144" t="n">
        <f aca="false">IFERROR('Price History'!D3+(INDEX('Price History'!D:D,MATCH(9.99E+307,'Price History'!$A:$A))-'Price History'!D3)*(ROW()-3)/(MATCH(9.99E+307,'Returns (Calc)'!$A:$A)-3),"")</f>
        <v>515.705063291139</v>
      </c>
      <c r="Z21" s="144" t="n">
        <f aca="false">IFERROR('Price History'!E3+(INDEX('Price History'!E:E,MATCH(9.99E+307,'Price History'!$A:$A))-'Price History'!E3)*(ROW()-3)/(MATCH(9.99E+307,'Returns (Calc)'!$A:$A)-3),"")</f>
        <v>72.6582278481013</v>
      </c>
      <c r="AA21" s="144" t="n">
        <f aca="false">IFERROR('Price History'!F3+(INDEX('Price History'!F:F,MATCH(9.99E+307,'Price History'!$A:$A))-'Price History'!F3)*(ROW()-3)/(MATCH(9.99E+307,'Returns (Calc)'!$A:$A)-3),"")</f>
        <v>66.7303797468354</v>
      </c>
      <c r="AB21" s="144" t="n">
        <f aca="false">IFERROR('Price History'!G3+(INDEX('Price History'!G:G,MATCH(9.99E+307,'Price History'!$A:$A))-'Price History'!G3)*(ROW()-3)/(MATCH(9.99E+307,'Returns (Calc)'!$A:$A)-3),"")</f>
        <v>36.6481012658228</v>
      </c>
      <c r="AC21" s="144" t="n">
        <f aca="false">IFERROR('Price History'!H3+(INDEX('Price History'!H:H,MATCH(9.99E+307,'Price History'!$A:$A))-'Price History'!H3)*(ROW()-3)/(MATCH(9.99E+307,'Returns (Calc)'!$A:$A)-3),"")</f>
        <v>89.1303797468354</v>
      </c>
      <c r="AD21" s="144" t="n">
        <f aca="false">IFERROR('Price History'!I3+(INDEX('Price History'!I:I,MATCH(9.99E+307,'Price History'!$A:$A))-'Price History'!I3)*(ROW()-3)/(MATCH(9.99E+307,'Returns (Calc)'!$A:$A)-3),"")</f>
        <v>39.2974683544304</v>
      </c>
      <c r="AE21" s="144" t="n">
        <f aca="false">IFERROR('Price History'!J3+(INDEX('Price History'!J:J,MATCH(9.99E+307,'Price History'!$A:$A))-'Price History'!J3)*(ROW()-3)/(MATCH(9.99E+307,'Returns (Calc)'!$A:$A)-3),"")</f>
        <v>61.2367088607595</v>
      </c>
      <c r="AF21" s="144" t="n">
        <f aca="false">IFERROR('Price History'!K3+(INDEX('Price History'!K:K,MATCH(9.99E+307,'Price History'!$A:$A))-'Price History'!K3)*(ROW()-3)/(MATCH(9.99E+307,'Returns (Calc)'!$A:$A)-3),"")</f>
        <v>38.7835443037975</v>
      </c>
      <c r="AG21" s="144" t="n">
        <f aca="false">IFERROR('Price History'!L3+(INDEX('Price History'!L:L,MATCH(9.99E+307,'Price History'!$A:$A))-'Price History'!L3)*(ROW()-3)/(MATCH(9.99E+307,'Returns (Calc)'!$A:$A)-3),"")</f>
        <v>99.0987341772152</v>
      </c>
      <c r="AH21" s="144" t="n">
        <f aca="false">IFERROR('Price History'!M3+(INDEX('Price History'!M:M,MATCH(9.99E+307,'Price History'!$A:$A))-'Price History'!M3)*(ROW()-3)/(MATCH(9.99E+307,'Returns (Calc)'!$A:$A)-3),"")</f>
        <v>13.5835443037975</v>
      </c>
      <c r="AI21" s="144" t="n">
        <f aca="false">IFERROR('Price History'!N3+(INDEX('Price History'!N:N,MATCH(9.99E+307,'Price History'!$A:$A))-'Price History'!N3)*(ROW()-3)/(MATCH(9.99E+307,'Returns (Calc)'!$A:$A)-3),"")</f>
        <v>19.3164556962025</v>
      </c>
      <c r="AJ21" s="144" t="n">
        <f aca="false">IFERROR('Price History'!O3+(INDEX('Price History'!O:O,MATCH(9.99E+307,'Price History'!$A:$A))-'Price History'!O3)*(ROW()-3)/(MATCH(9.99E+307,'Returns (Calc)'!$A:$A)-3),"")</f>
        <v>51.0645569620253</v>
      </c>
      <c r="AK21" s="144" t="n">
        <f aca="false">IFERROR('Price History'!Q3+(INDEX('Price History'!Q:Q,MATCH(9.99E+307,'Price History'!$A:$A))-'Price History'!Q3)*(ROW()-3)/(MATCH(9.99E+307,'Returns (Calc)'!$A:$A)-3),"")</f>
        <v>208.786075949367</v>
      </c>
      <c r="AL21" s="144" t="n">
        <f aca="false">IFERROR('Price History'!R3+(INDEX('Price History'!R:R,MATCH(9.99E+307,'Price History'!$A:$A))-'Price History'!R3)*(ROW()-3)/(MATCH(9.99E+307,'Returns (Calc)'!$A:$A)-3),"")</f>
        <v>42.3721518987342</v>
      </c>
      <c r="AM21" s="144" t="n">
        <f aca="false">IFERROR('Price History'!S3+(INDEX('Price History'!S:S,MATCH(9.99E+307,'Price History'!$A:$A))-'Price History'!S3)*(ROW()-3)/(MATCH(9.99E+307,'Returns (Calc)'!$A:$A)-3),"")</f>
        <v>51.8708860759494</v>
      </c>
      <c r="AN21" s="144" t="n">
        <f aca="false">IFERROR('Price History'!T3+(INDEX('Price History'!T:T,MATCH(9.99E+307,'Price History'!$A:$A))-'Price History'!T3)*(ROW()-3)/(MATCH(9.99E+307,'Returns (Calc)'!$A:$A)-3),"")</f>
        <v>23.8443037974684</v>
      </c>
      <c r="AO21" s="145" t="n">
        <f aca="false">IFERROR('Price History'!V3+(INDEX('Price History'!V:V,MATCH(9.99E+307,'Price History'!$A:$A))-'Price History'!V3)*(ROW()-3)/(MATCH(9.99E+307,'Returns (Calc)'!$A:$A)-3),"")</f>
        <v>0</v>
      </c>
    </row>
    <row r="22" customFormat="false" ht="15" hidden="false" customHeight="true" outlineLevel="0" collapsed="false">
      <c r="A22" s="141" t="n">
        <f aca="false">IF('Price History'!A23="","",'Price History'!A23)</f>
        <v>45324</v>
      </c>
      <c r="B22" s="142" t="n">
        <f aca="false">IFERROR(IF(OR(NOT(ISNUMBER('Price History'!B23)),NOT(ISNUMBER('Price History'!B22)),'Price History'!B22=0),"",'Price History'!B23/'Price History'!B22-1),"")</f>
        <v>0.0339289495545096</v>
      </c>
      <c r="C22" s="142" t="n">
        <f aca="false">IFERROR(IF(OR(NOT(ISNUMBER('Price History'!C23)),NOT(ISNUMBER('Price History'!C22)),'Price History'!C22=0),"",'Price History'!C23/'Price History'!C22-1),"")</f>
        <v>0.032980332829047</v>
      </c>
      <c r="D22" s="142" t="n">
        <f aca="false">IFERROR(IF(OR(NOT(ISNUMBER('Price History'!D23)),NOT(ISNUMBER('Price History'!D22)),'Price History'!D22=0),"",'Price History'!D23/'Price History'!D22-1),"")</f>
        <v>0.0264078905504295</v>
      </c>
      <c r="E22" s="142" t="n">
        <f aca="false">IFERROR(IF(OR(NOT(ISNUMBER('Price History'!E23)),NOT(ISNUMBER('Price History'!E22)),'Price History'!E22=0),"",'Price History'!E23/'Price History'!E22-1),"")</f>
        <v>0.0161290322580645</v>
      </c>
      <c r="F22" s="142" t="n">
        <f aca="false">IFERROR(IF(OR(NOT(ISNUMBER('Price History'!F23)),NOT(ISNUMBER('Price History'!F22)),'Price History'!F22=0),"",'Price History'!F23/'Price History'!F22-1),"")</f>
        <v>-0.0186926875146956</v>
      </c>
      <c r="G22" s="142" t="n">
        <f aca="false">IFERROR(IF(OR(NOT(ISNUMBER('Price History'!G23)),NOT(ISNUMBER('Price History'!G22)),'Price History'!G22=0),"",'Price History'!G23/'Price History'!G22-1),"")</f>
        <v>0.0456048498208874</v>
      </c>
      <c r="H22" s="142" t="n">
        <f aca="false">IFERROR(IF(OR(NOT(ISNUMBER('Price History'!H23)),NOT(ISNUMBER('Price History'!H22)),'Price History'!H22=0),"",'Price History'!H23/'Price History'!H22-1),"")</f>
        <v>-0.0128580883048123</v>
      </c>
      <c r="I22" s="142" t="n">
        <f aca="false">IFERROR(IF(OR(NOT(ISNUMBER('Price History'!I23)),NOT(ISNUMBER('Price History'!I22)),'Price History'!I22=0),"",'Price History'!I23/'Price History'!I22-1),"")</f>
        <v>0.0081785653433295</v>
      </c>
      <c r="J22" s="142" t="n">
        <f aca="false">IFERROR(IF(OR(NOT(ISNUMBER('Price History'!J23)),NOT(ISNUMBER('Price History'!J22)),'Price History'!J22=0),"",'Price History'!J23/'Price History'!J22-1),"")</f>
        <v>-0.0178612319670255</v>
      </c>
      <c r="K22" s="142" t="n">
        <f aca="false">IFERROR(IF(OR(NOT(ISNUMBER('Price History'!K23)),NOT(ISNUMBER('Price History'!K22)),'Price History'!K22=0),"",'Price History'!K23/'Price History'!K22-1),"")</f>
        <v>0.0841413311421528</v>
      </c>
      <c r="L22" s="142" t="n">
        <f aca="false">IFERROR(IF(OR(NOT(ISNUMBER('Price History'!L23)),NOT(ISNUMBER('Price History'!L22)),'Price History'!L22=0),"",'Price History'!L23/'Price History'!L22-1),"")</f>
        <v>0.0187181920124211</v>
      </c>
      <c r="M22" s="142" t="n">
        <f aca="false">IFERROR(IF(OR(NOT(ISNUMBER('Price History'!M23)),NOT(ISNUMBER('Price History'!M22)),'Price History'!M22=0),"",'Price History'!M23/'Price History'!M22-1),"")</f>
        <v>0.0409785932721711</v>
      </c>
      <c r="N22" s="142" t="n">
        <f aca="false">IFERROR(IF(OR(NOT(ISNUMBER('Price History'!N23)),NOT(ISNUMBER('Price History'!N22)),'Price History'!N22=0),"",'Price History'!N23/'Price History'!N22-1),"")</f>
        <v>-0.000430107526881773</v>
      </c>
      <c r="O22" s="142" t="n">
        <f aca="false">IFERROR(IF(OR(NOT(ISNUMBER('Price History'!O23)),NOT(ISNUMBER('Price History'!O22)),'Price History'!O22=0),"",'Price History'!O23/'Price History'!O22-1),"")</f>
        <v>0.0457084068195179</v>
      </c>
      <c r="P22" s="142" t="n">
        <f aca="false">IFERROR(IF(OR(NOT(ISNUMBER('Price History'!P23)),NOT(ISNUMBER('Price History'!P22)),'Price History'!P22=0),"",'Price History'!P23/'Price History'!P22-1),"")</f>
        <v>-0.0128975265017669</v>
      </c>
      <c r="Q22" s="142" t="n">
        <f aca="false">IFERROR(IF(OR(NOT(ISNUMBER('Price History'!Q23)),NOT(ISNUMBER('Price History'!Q22)),'Price History'!Q22=0),"",'Price History'!Q23/'Price History'!Q22-1),"")</f>
        <v>0.0344814447915873</v>
      </c>
      <c r="R22" s="142" t="n">
        <f aca="false">IFERROR(IF(OR(NOT(ISNUMBER('Price History'!R23)),NOT(ISNUMBER('Price History'!R22)),'Price History'!R22=0),"",'Price History'!R23/'Price History'!R22-1),"")</f>
        <v>-0.00458532695374792</v>
      </c>
      <c r="S22" s="142" t="n">
        <f aca="false">IFERROR(IF(OR(NOT(ISNUMBER('Price History'!S23)),NOT(ISNUMBER('Price History'!S22)),'Price History'!S22=0),"",'Price History'!S23/'Price History'!S22-1),"")</f>
        <v>0.00707257072570711</v>
      </c>
      <c r="T22" s="142" t="n">
        <f aca="false">IFERROR(IF(OR(NOT(ISNUMBER('Price History'!T23)),NOT(ISNUMBER('Price History'!T22)),'Price History'!T22=0),"",'Price History'!T23/'Price History'!T22-1),"")</f>
        <v>-0.0024639211545231</v>
      </c>
      <c r="U22" s="142" t="str">
        <f aca="false">IFERROR(IF(OR(NOT(ISNUMBER('Price History'!U23)),NOT(ISNUMBER('Price History'!U22)),'Price History'!U22=0),"",'Price History'!U23/'Price History'!U22-1),"")</f>
        <v/>
      </c>
      <c r="V22" s="143" t="n">
        <f aca="false">IFERROR(IF(OR(NOT(ISNUMBER('Price History'!V23)),NOT(ISNUMBER('Price History'!V22)),'Price History'!V22=0),"",'Price History'!V23/'Price History'!V22-1),"")</f>
        <v>0.00742672039187808</v>
      </c>
      <c r="W22" s="144" t="str">
        <f aca="false">IFERROR('Price History'!B3+(INDEX('Price History'!B:B,MATCH(9.99E+307,'Price History'!$A:$A))-'Price History'!B3)*(ROW()-3)/(MATCH(9.99E+307,'Returns (Calc)'!$A:$A)-3),"")</f>
        <v/>
      </c>
      <c r="X22" s="144" t="n">
        <f aca="false">IFERROR('Price History'!C3+(INDEX('Price History'!C:C,MATCH(9.99E+307,'Price History'!$A:$A))-'Price History'!C3)*(ROW()-3)/(MATCH(9.99E+307,'Returns (Calc)'!$A:$A)-3),"")</f>
        <v>40.6267088607595</v>
      </c>
      <c r="Y22" s="144" t="n">
        <f aca="false">IFERROR('Price History'!D3+(INDEX('Price History'!D:D,MATCH(9.99E+307,'Price History'!$A:$A))-'Price History'!D3)*(ROW()-3)/(MATCH(9.99E+307,'Returns (Calc)'!$A:$A)-3),"")</f>
        <v>512.021455696203</v>
      </c>
      <c r="Z22" s="144" t="n">
        <f aca="false">IFERROR('Price History'!E3+(INDEX('Price History'!E:E,MATCH(9.99E+307,'Price History'!$A:$A))-'Price History'!E3)*(ROW()-3)/(MATCH(9.99E+307,'Returns (Calc)'!$A:$A)-3),"")</f>
        <v>72.1392405063291</v>
      </c>
      <c r="AA22" s="144" t="n">
        <f aca="false">IFERROR('Price History'!F3+(INDEX('Price History'!F:F,MATCH(9.99E+307,'Price History'!$A:$A))-'Price History'!F3)*(ROW()-3)/(MATCH(9.99E+307,'Returns (Calc)'!$A:$A)-3),"")</f>
        <v>66.2537341772152</v>
      </c>
      <c r="AB22" s="144" t="n">
        <f aca="false">IFERROR('Price History'!G3+(INDEX('Price History'!G:G,MATCH(9.99E+307,'Price History'!$A:$A))-'Price History'!G3)*(ROW()-3)/(MATCH(9.99E+307,'Returns (Calc)'!$A:$A)-3),"")</f>
        <v>36.3863291139241</v>
      </c>
      <c r="AC22" s="144" t="n">
        <f aca="false">IFERROR('Price History'!H3+(INDEX('Price History'!H:H,MATCH(9.99E+307,'Price History'!$A:$A))-'Price History'!H3)*(ROW()-3)/(MATCH(9.99E+307,'Returns (Calc)'!$A:$A)-3),"")</f>
        <v>88.4937341772152</v>
      </c>
      <c r="AD22" s="144" t="n">
        <f aca="false">IFERROR('Price History'!I3+(INDEX('Price History'!I:I,MATCH(9.99E+307,'Price History'!$A:$A))-'Price History'!I3)*(ROW()-3)/(MATCH(9.99E+307,'Returns (Calc)'!$A:$A)-3),"")</f>
        <v>39.0167721518987</v>
      </c>
      <c r="AE22" s="144" t="n">
        <f aca="false">IFERROR('Price History'!J3+(INDEX('Price History'!J:J,MATCH(9.99E+307,'Price History'!$A:$A))-'Price History'!J3)*(ROW()-3)/(MATCH(9.99E+307,'Returns (Calc)'!$A:$A)-3),"")</f>
        <v>60.7993037974684</v>
      </c>
      <c r="AF22" s="144" t="n">
        <f aca="false">IFERROR('Price History'!K3+(INDEX('Price History'!K:K,MATCH(9.99E+307,'Price History'!$A:$A))-'Price History'!K3)*(ROW()-3)/(MATCH(9.99E+307,'Returns (Calc)'!$A:$A)-3),"")</f>
        <v>38.5065189873418</v>
      </c>
      <c r="AG22" s="144" t="n">
        <f aca="false">IFERROR('Price History'!L3+(INDEX('Price History'!L:L,MATCH(9.99E+307,'Price History'!$A:$A))-'Price History'!L3)*(ROW()-3)/(MATCH(9.99E+307,'Returns (Calc)'!$A:$A)-3),"")</f>
        <v>98.3908860759494</v>
      </c>
      <c r="AH22" s="144" t="n">
        <f aca="false">IFERROR('Price History'!M3+(INDEX('Price History'!M:M,MATCH(9.99E+307,'Price History'!$A:$A))-'Price History'!M3)*(ROW()-3)/(MATCH(9.99E+307,'Returns (Calc)'!$A:$A)-3),"")</f>
        <v>13.4865189873418</v>
      </c>
      <c r="AI22" s="144" t="n">
        <f aca="false">IFERROR('Price History'!N3+(INDEX('Price History'!N:N,MATCH(9.99E+307,'Price History'!$A:$A))-'Price History'!N3)*(ROW()-3)/(MATCH(9.99E+307,'Returns (Calc)'!$A:$A)-3),"")</f>
        <v>19.1784810126582</v>
      </c>
      <c r="AJ22" s="144" t="n">
        <f aca="false">IFERROR('Price History'!O3+(INDEX('Price History'!O:O,MATCH(9.99E+307,'Price History'!$A:$A))-'Price History'!O3)*(ROW()-3)/(MATCH(9.99E+307,'Returns (Calc)'!$A:$A)-3),"")</f>
        <v>50.6998101265823</v>
      </c>
      <c r="AK22" s="144" t="n">
        <f aca="false">IFERROR('Price History'!Q3+(INDEX('Price History'!Q:Q,MATCH(9.99E+307,'Price History'!$A:$A))-'Price History'!Q3)*(ROW()-3)/(MATCH(9.99E+307,'Returns (Calc)'!$A:$A)-3),"")</f>
        <v>207.294746835443</v>
      </c>
      <c r="AL22" s="144" t="n">
        <f aca="false">IFERROR('Price History'!R3+(INDEX('Price History'!R:R,MATCH(9.99E+307,'Price History'!$A:$A))-'Price History'!R3)*(ROW()-3)/(MATCH(9.99E+307,'Returns (Calc)'!$A:$A)-3),"")</f>
        <v>42.0694936708861</v>
      </c>
      <c r="AM22" s="144" t="n">
        <f aca="false">IFERROR('Price History'!S3+(INDEX('Price History'!S:S,MATCH(9.99E+307,'Price History'!$A:$A))-'Price History'!S3)*(ROW()-3)/(MATCH(9.99E+307,'Returns (Calc)'!$A:$A)-3),"")</f>
        <v>51.5003797468354</v>
      </c>
      <c r="AN22" s="144" t="n">
        <f aca="false">IFERROR('Price History'!T3+(INDEX('Price History'!T:T,MATCH(9.99E+307,'Price History'!$A:$A))-'Price History'!T3)*(ROW()-3)/(MATCH(9.99E+307,'Returns (Calc)'!$A:$A)-3),"")</f>
        <v>23.6739873417722</v>
      </c>
      <c r="AO22" s="145" t="n">
        <f aca="false">IFERROR('Price History'!V3+(INDEX('Price History'!V:V,MATCH(9.99E+307,'Price History'!$A:$A))-'Price History'!V3)*(ROW()-3)/(MATCH(9.99E+307,'Returns (Calc)'!$A:$A)-3),"")</f>
        <v>0</v>
      </c>
    </row>
    <row r="23" customFormat="false" ht="15" hidden="false" customHeight="true" outlineLevel="0" collapsed="false">
      <c r="A23" s="141" t="n">
        <f aca="false">IF('Price History'!A24="","",'Price History'!A24)</f>
        <v>45331</v>
      </c>
      <c r="B23" s="142" t="n">
        <f aca="false">IFERROR(IF(OR(NOT(ISNUMBER('Price History'!B24)),NOT(ISNUMBER('Price History'!B23)),'Price History'!B23=0),"",'Price History'!B24/'Price History'!B23-1),"")</f>
        <v>-0.0118942592475896</v>
      </c>
      <c r="C23" s="142" t="n">
        <f aca="false">IFERROR(IF(OR(NOT(ISNUMBER('Price History'!C24)),NOT(ISNUMBER('Price History'!C23)),'Price History'!C23=0),"",'Price History'!C24/'Price History'!C23-1),"")</f>
        <v>0.0341241944932631</v>
      </c>
      <c r="D23" s="142" t="n">
        <f aca="false">IFERROR(IF(OR(NOT(ISNUMBER('Price History'!D24)),NOT(ISNUMBER('Price History'!D23)),'Price History'!D23=0),"",'Price History'!D24/'Price History'!D23-1),"")</f>
        <v>0.0680351771486303</v>
      </c>
      <c r="E23" s="142" t="n">
        <f aca="false">IFERROR(IF(OR(NOT(ISNUMBER('Price History'!E24)),NOT(ISNUMBER('Price History'!E23)),'Price History'!E23=0),"",'Price History'!E24/'Price History'!E23-1),"")</f>
        <v>0.0482909213067944</v>
      </c>
      <c r="F23" s="142" t="n">
        <f aca="false">IFERROR(IF(OR(NOT(ISNUMBER('Price History'!F24)),NOT(ISNUMBER('Price History'!F23)),'Price History'!F23=0),"",'Price History'!F24/'Price History'!F23-1),"")</f>
        <v>0.00898526416676648</v>
      </c>
      <c r="G23" s="142" t="n">
        <f aca="false">IFERROR(IF(OR(NOT(ISNUMBER('Price History'!G24)),NOT(ISNUMBER('Price History'!G23)),'Price History'!G23=0),"",'Price History'!G24/'Price History'!G23-1),"")</f>
        <v>0.0848596653050469</v>
      </c>
      <c r="H23" s="142" t="n">
        <f aca="false">IFERROR(IF(OR(NOT(ISNUMBER('Price History'!H24)),NOT(ISNUMBER('Price History'!H23)),'Price History'!H23=0),"",'Price History'!H24/'Price History'!H23-1),"")</f>
        <v>-0.00890719279762464</v>
      </c>
      <c r="I23" s="142" t="n">
        <f aca="false">IFERROR(IF(OR(NOT(ISNUMBER('Price History'!I24)),NOT(ISNUMBER('Price History'!I23)),'Price History'!I23=0),"",'Price History'!I24/'Price History'!I23-1),"")</f>
        <v>0.0753760351529491</v>
      </c>
      <c r="J23" s="142" t="n">
        <f aca="false">IFERROR(IF(OR(NOT(ISNUMBER('Price History'!J24)),NOT(ISNUMBER('Price History'!J23)),'Price History'!J23=0),"",'Price History'!J24/'Price History'!J23-1),"")</f>
        <v>-0.0106085334576824</v>
      </c>
      <c r="K23" s="142" t="n">
        <f aca="false">IFERROR(IF(OR(NOT(ISNUMBER('Price History'!K24)),NOT(ISNUMBER('Price History'!K23)),'Price History'!K23=0),"",'Price History'!K24/'Price History'!K23-1),"")</f>
        <v>0.0901925117477642</v>
      </c>
      <c r="L23" s="142" t="n">
        <f aca="false">IFERROR(IF(OR(NOT(ISNUMBER('Price History'!L24)),NOT(ISNUMBER('Price History'!L23)),'Price History'!L23=0),"",'Price History'!L24/'Price History'!L23-1),"")</f>
        <v>0.0249788314987298</v>
      </c>
      <c r="M23" s="142" t="n">
        <f aca="false">IFERROR(IF(OR(NOT(ISNUMBER('Price History'!M24)),NOT(ISNUMBER('Price History'!M23)),'Price History'!M23=0),"",'Price History'!M24/'Price History'!M23-1),"")</f>
        <v>0.432432432432432</v>
      </c>
      <c r="N23" s="142" t="n">
        <f aca="false">IFERROR(IF(OR(NOT(ISNUMBER('Price History'!N24)),NOT(ISNUMBER('Price History'!N23)),'Price History'!N23=0),"",'Price History'!N24/'Price History'!N23-1),"")</f>
        <v>-0.00258175559380369</v>
      </c>
      <c r="O23" s="142" t="n">
        <f aca="false">IFERROR(IF(OR(NOT(ISNUMBER('Price History'!O24)),NOT(ISNUMBER('Price History'!O23)),'Price History'!O23=0),"",'Price History'!O24/'Price History'!O23-1),"")</f>
        <v>0.0238931834153195</v>
      </c>
      <c r="P23" s="142" t="n">
        <f aca="false">IFERROR(IF(OR(NOT(ISNUMBER('Price History'!P24)),NOT(ISNUMBER('Price History'!P23)),'Price History'!P23=0),"",'Price History'!P24/'Price History'!P23-1),"")</f>
        <v>0.149991050653302</v>
      </c>
      <c r="Q23" s="142" t="n">
        <f aca="false">IFERROR(IF(OR(NOT(ISNUMBER('Price History'!Q24)),NOT(ISNUMBER('Price History'!Q23)),'Price History'!Q23=0),"",'Price History'!Q24/'Price History'!Q23-1),"")</f>
        <v>-0.000847114286766648</v>
      </c>
      <c r="R23" s="142" t="n">
        <f aca="false">IFERROR(IF(OR(NOT(ISNUMBER('Price History'!R24)),NOT(ISNUMBER('Price History'!R23)),'Price History'!R23=0),"",'Price History'!R24/'Price History'!R23-1),"")</f>
        <v>-0.0156218706188664</v>
      </c>
      <c r="S23" s="142" t="n">
        <f aca="false">IFERROR(IF(OR(NOT(ISNUMBER('Price History'!S24)),NOT(ISNUMBER('Price History'!S23)),'Price History'!S23=0),"",'Price History'!S24/'Price History'!S23-1),"")</f>
        <v>-0.0103816793893131</v>
      </c>
      <c r="T23" s="142" t="n">
        <f aca="false">IFERROR(IF(OR(NOT(ISNUMBER('Price History'!T24)),NOT(ISNUMBER('Price History'!T23)),'Price History'!T23=0),"",'Price History'!T24/'Price History'!T23-1),"")</f>
        <v>0.00105857445307</v>
      </c>
      <c r="U23" s="142" t="str">
        <f aca="false">IFERROR(IF(OR(NOT(ISNUMBER('Price History'!U24)),NOT(ISNUMBER('Price History'!U23)),'Price History'!U23=0),"",'Price History'!U24/'Price History'!U23-1),"")</f>
        <v/>
      </c>
      <c r="V23" s="143" t="n">
        <f aca="false">IFERROR(IF(OR(NOT(ISNUMBER('Price History'!V24)),NOT(ISNUMBER('Price History'!V23)),'Price History'!V23=0),"",'Price History'!V24/'Price History'!V23-1),"")</f>
        <v>-0.00254881970041565</v>
      </c>
      <c r="W23" s="144" t="str">
        <f aca="false">IFERROR('Price History'!B3+(INDEX('Price History'!B:B,MATCH(9.99E+307,'Price History'!$A:$A))-'Price History'!B3)*(ROW()-3)/(MATCH(9.99E+307,'Returns (Calc)'!$A:$A)-3),"")</f>
        <v/>
      </c>
      <c r="X23" s="144" t="n">
        <f aca="false">IFERROR('Price History'!C3+(INDEX('Price History'!C:C,MATCH(9.99E+307,'Price History'!$A:$A))-'Price History'!C3)*(ROW()-3)/(MATCH(9.99E+307,'Returns (Calc)'!$A:$A)-3),"")</f>
        <v>40.3344303797468</v>
      </c>
      <c r="Y23" s="144" t="n">
        <f aca="false">IFERROR('Price History'!D3+(INDEX('Price History'!D:D,MATCH(9.99E+307,'Price History'!$A:$A))-'Price History'!D3)*(ROW()-3)/(MATCH(9.99E+307,'Returns (Calc)'!$A:$A)-3),"")</f>
        <v>508.337848101266</v>
      </c>
      <c r="Z23" s="144" t="n">
        <f aca="false">IFERROR('Price History'!E3+(INDEX('Price History'!E:E,MATCH(9.99E+307,'Price History'!$A:$A))-'Price History'!E3)*(ROW()-3)/(MATCH(9.99E+307,'Returns (Calc)'!$A:$A)-3),"")</f>
        <v>71.620253164557</v>
      </c>
      <c r="AA23" s="144" t="n">
        <f aca="false">IFERROR('Price History'!F3+(INDEX('Price History'!F:F,MATCH(9.99E+307,'Price History'!$A:$A))-'Price History'!F3)*(ROW()-3)/(MATCH(9.99E+307,'Returns (Calc)'!$A:$A)-3),"")</f>
        <v>65.7770886075949</v>
      </c>
      <c r="AB23" s="144" t="n">
        <f aca="false">IFERROR('Price History'!G3+(INDEX('Price History'!G:G,MATCH(9.99E+307,'Price History'!$A:$A))-'Price History'!G3)*(ROW()-3)/(MATCH(9.99E+307,'Returns (Calc)'!$A:$A)-3),"")</f>
        <v>36.1245569620253</v>
      </c>
      <c r="AC23" s="144" t="n">
        <f aca="false">IFERROR('Price History'!H3+(INDEX('Price History'!H:H,MATCH(9.99E+307,'Price History'!$A:$A))-'Price History'!H3)*(ROW()-3)/(MATCH(9.99E+307,'Returns (Calc)'!$A:$A)-3),"")</f>
        <v>87.8570886075949</v>
      </c>
      <c r="AD23" s="144" t="n">
        <f aca="false">IFERROR('Price History'!I3+(INDEX('Price History'!I:I,MATCH(9.99E+307,'Price History'!$A:$A))-'Price History'!I3)*(ROW()-3)/(MATCH(9.99E+307,'Returns (Calc)'!$A:$A)-3),"")</f>
        <v>38.7360759493671</v>
      </c>
      <c r="AE23" s="144" t="n">
        <f aca="false">IFERROR('Price History'!J3+(INDEX('Price History'!J:J,MATCH(9.99E+307,'Price History'!$A:$A))-'Price History'!J3)*(ROW()-3)/(MATCH(9.99E+307,'Returns (Calc)'!$A:$A)-3),"")</f>
        <v>60.3618987341772</v>
      </c>
      <c r="AF23" s="144" t="n">
        <f aca="false">IFERROR('Price History'!K3+(INDEX('Price History'!K:K,MATCH(9.99E+307,'Price History'!$A:$A))-'Price History'!K3)*(ROW()-3)/(MATCH(9.99E+307,'Returns (Calc)'!$A:$A)-3),"")</f>
        <v>38.2294936708861</v>
      </c>
      <c r="AG23" s="144" t="n">
        <f aca="false">IFERROR('Price History'!L3+(INDEX('Price History'!L:L,MATCH(9.99E+307,'Price History'!$A:$A))-'Price History'!L3)*(ROW()-3)/(MATCH(9.99E+307,'Returns (Calc)'!$A:$A)-3),"")</f>
        <v>97.6830379746835</v>
      </c>
      <c r="AH23" s="144" t="n">
        <f aca="false">IFERROR('Price History'!M3+(INDEX('Price History'!M:M,MATCH(9.99E+307,'Price History'!$A:$A))-'Price History'!M3)*(ROW()-3)/(MATCH(9.99E+307,'Returns (Calc)'!$A:$A)-3),"")</f>
        <v>13.3894936708861</v>
      </c>
      <c r="AI23" s="144" t="n">
        <f aca="false">IFERROR('Price History'!N3+(INDEX('Price History'!N:N,MATCH(9.99E+307,'Price History'!$A:$A))-'Price History'!N3)*(ROW()-3)/(MATCH(9.99E+307,'Returns (Calc)'!$A:$A)-3),"")</f>
        <v>19.0405063291139</v>
      </c>
      <c r="AJ23" s="144" t="n">
        <f aca="false">IFERROR('Price History'!O3+(INDEX('Price History'!O:O,MATCH(9.99E+307,'Price History'!$A:$A))-'Price History'!O3)*(ROW()-3)/(MATCH(9.99E+307,'Returns (Calc)'!$A:$A)-3),"")</f>
        <v>50.3350632911392</v>
      </c>
      <c r="AK23" s="144" t="n">
        <f aca="false">IFERROR('Price History'!Q3+(INDEX('Price History'!Q:Q,MATCH(9.99E+307,'Price History'!$A:$A))-'Price History'!Q3)*(ROW()-3)/(MATCH(9.99E+307,'Returns (Calc)'!$A:$A)-3),"")</f>
        <v>205.803417721519</v>
      </c>
      <c r="AL23" s="144" t="n">
        <f aca="false">IFERROR('Price History'!R3+(INDEX('Price History'!R:R,MATCH(9.99E+307,'Price History'!$A:$A))-'Price History'!R3)*(ROW()-3)/(MATCH(9.99E+307,'Returns (Calc)'!$A:$A)-3),"")</f>
        <v>41.766835443038</v>
      </c>
      <c r="AM23" s="144" t="n">
        <f aca="false">IFERROR('Price History'!S3+(INDEX('Price History'!S:S,MATCH(9.99E+307,'Price History'!$A:$A))-'Price History'!S3)*(ROW()-3)/(MATCH(9.99E+307,'Returns (Calc)'!$A:$A)-3),"")</f>
        <v>51.1298734177215</v>
      </c>
      <c r="AN23" s="144" t="n">
        <f aca="false">IFERROR('Price History'!T3+(INDEX('Price History'!T:T,MATCH(9.99E+307,'Price History'!$A:$A))-'Price History'!T3)*(ROW()-3)/(MATCH(9.99E+307,'Returns (Calc)'!$A:$A)-3),"")</f>
        <v>23.503670886076</v>
      </c>
      <c r="AO23" s="145" t="n">
        <f aca="false">IFERROR('Price History'!V3+(INDEX('Price History'!V:V,MATCH(9.99E+307,'Price History'!$A:$A))-'Price History'!V3)*(ROW()-3)/(MATCH(9.99E+307,'Returns (Calc)'!$A:$A)-3),"")</f>
        <v>0</v>
      </c>
    </row>
    <row r="24" customFormat="false" ht="15" hidden="false" customHeight="true" outlineLevel="0" collapsed="false">
      <c r="A24" s="141" t="n">
        <f aca="false">IF('Price History'!A25="","",'Price History'!A25)</f>
        <v>45338</v>
      </c>
      <c r="B24" s="142" t="n">
        <f aca="false">IFERROR(IF(OR(NOT(ISNUMBER('Price History'!B25)),NOT(ISNUMBER('Price History'!B24)),'Price History'!B24=0),"",'Price History'!B25/'Price History'!B24-1),"")</f>
        <v>-0.128425886066868</v>
      </c>
      <c r="C24" s="142" t="n">
        <f aca="false">IFERROR(IF(OR(NOT(ISNUMBER('Price History'!C25)),NOT(ISNUMBER('Price History'!C24)),'Price History'!C24=0),"",'Price History'!C25/'Price History'!C24-1),"")</f>
        <v>-0.0732190907803427</v>
      </c>
      <c r="D24" s="142" t="n">
        <f aca="false">IFERROR(IF(OR(NOT(ISNUMBER('Price History'!D25)),NOT(ISNUMBER('Price History'!D24)),'Price History'!D24=0),"",'Price History'!D25/'Price History'!D24-1),"")</f>
        <v>-0.0217461409468117</v>
      </c>
      <c r="E24" s="142" t="n">
        <f aca="false">IFERROR(IF(OR(NOT(ISNUMBER('Price History'!E25)),NOT(ISNUMBER('Price History'!E24)),'Price History'!E24=0),"",'Price History'!E25/'Price History'!E24-1),"")</f>
        <v>-0.0296426854670725</v>
      </c>
      <c r="F24" s="142" t="n">
        <f aca="false">IFERROR(IF(OR(NOT(ISNUMBER('Price History'!F25)),NOT(ISNUMBER('Price History'!F24)),'Price History'!F24=0),"",'Price History'!F25/'Price History'!F24-1),"")</f>
        <v>0.00712419852766555</v>
      </c>
      <c r="G24" s="142" t="n">
        <f aca="false">IFERROR(IF(OR(NOT(ISNUMBER('Price History'!G25)),NOT(ISNUMBER('Price History'!G24)),'Price History'!G24=0),"",'Price History'!G25/'Price History'!G24-1),"")</f>
        <v>-0.000242924814769729</v>
      </c>
      <c r="H24" s="142" t="n">
        <f aca="false">IFERROR(IF(OR(NOT(ISNUMBER('Price History'!H25)),NOT(ISNUMBER('Price History'!H24)),'Price History'!H24=0),"",'Price History'!H25/'Price History'!H24-1),"")</f>
        <v>0.011693080788558</v>
      </c>
      <c r="I24" s="142" t="n">
        <f aca="false">IFERROR(IF(OR(NOT(ISNUMBER('Price History'!I25)),NOT(ISNUMBER('Price History'!I24)),'Price History'!I24=0),"",'Price History'!I25/'Price History'!I24-1),"")</f>
        <v>0.0199591387710201</v>
      </c>
      <c r="J24" s="142" t="n">
        <f aca="false">IFERROR(IF(OR(NOT(ISNUMBER('Price History'!J25)),NOT(ISNUMBER('Price History'!J24)),'Price History'!J24=0),"",'Price History'!J25/'Price History'!J24-1),"")</f>
        <v>-0.0708141864027336</v>
      </c>
      <c r="K24" s="142" t="n">
        <f aca="false">IFERROR(IF(OR(NOT(ISNUMBER('Price History'!K25)),NOT(ISNUMBER('Price History'!K24)),'Price History'!K24=0),"",'Price History'!K25/'Price History'!K24-1),"")</f>
        <v>0.00667408231368194</v>
      </c>
      <c r="L24" s="142" t="n">
        <f aca="false">IFERROR(IF(OR(NOT(ISNUMBER('Price History'!L25)),NOT(ISNUMBER('Price History'!L24)),'Price History'!L24=0),"",'Price History'!L25/'Price History'!L24-1),"")</f>
        <v>0.00685667079719132</v>
      </c>
      <c r="M24" s="142" t="n">
        <f aca="false">IFERROR(IF(OR(NOT(ISNUMBER('Price History'!M25)),NOT(ISNUMBER('Price History'!M24)),'Price History'!M24=0),"",'Price History'!M25/'Price History'!M24-1),"")</f>
        <v>0.00246103363412642</v>
      </c>
      <c r="N24" s="142" t="n">
        <f aca="false">IFERROR(IF(OR(NOT(ISNUMBER('Price History'!N25)),NOT(ISNUMBER('Price History'!N24)),'Price History'!N24=0),"",'Price History'!N25/'Price History'!N24-1),"")</f>
        <v>0.002588438308887</v>
      </c>
      <c r="O24" s="142" t="n">
        <f aca="false">IFERROR(IF(OR(NOT(ISNUMBER('Price History'!O25)),NOT(ISNUMBER('Price History'!O24)),'Price History'!O24=0),"",'Price History'!O25/'Price History'!O24-1),"")</f>
        <v>0.00837336993822913</v>
      </c>
      <c r="P24" s="142" t="n">
        <f aca="false">IFERROR(IF(OR(NOT(ISNUMBER('Price History'!P25)),NOT(ISNUMBER('Price History'!P24)),'Price History'!P24=0),"",'Price History'!P25/'Price History'!P24-1),"")</f>
        <v>-0.0482490272373541</v>
      </c>
      <c r="Q24" s="142" t="n">
        <f aca="false">IFERROR(IF(OR(NOT(ISNUMBER('Price History'!Q25)),NOT(ISNUMBER('Price History'!Q24)),'Price History'!Q24=0),"",'Price History'!Q25/'Price History'!Q24-1),"")</f>
        <v>0.00770421704511959</v>
      </c>
      <c r="R24" s="142" t="n">
        <f aca="false">IFERROR(IF(OR(NOT(ISNUMBER('Price History'!R25)),NOT(ISNUMBER('Price History'!R24)),'Price History'!R24=0),"",'Price History'!R25/'Price History'!R24-1),"")</f>
        <v>0.0272634791454731</v>
      </c>
      <c r="S24" s="142" t="n">
        <f aca="false">IFERROR(IF(OR(NOT(ISNUMBER('Price History'!S25)),NOT(ISNUMBER('Price History'!S24)),'Price History'!S24=0),"",'Price History'!S25/'Price History'!S24-1),"")</f>
        <v>0.0311632212280162</v>
      </c>
      <c r="T24" s="142" t="n">
        <f aca="false">IFERROR(IF(OR(NOT(ISNUMBER('Price History'!T25)),NOT(ISNUMBER('Price History'!T24)),'Price History'!T24=0),"",'Price History'!T25/'Price History'!T24-1),"")</f>
        <v>-0.00281988015509349</v>
      </c>
      <c r="U24" s="142" t="str">
        <f aca="false">IFERROR(IF(OR(NOT(ISNUMBER('Price History'!U25)),NOT(ISNUMBER('Price History'!U24)),'Price History'!U24=0),"",'Price History'!U25/'Price History'!U24-1),"")</f>
        <v/>
      </c>
      <c r="V24" s="143" t="n">
        <f aca="false">IFERROR(IF(OR(NOT(ISNUMBER('Price History'!V25)),NOT(ISNUMBER('Price History'!V24)),'Price History'!V24=0),"",'Price History'!V25/'Price History'!V24-1),"")</f>
        <v>0.0172583244879505</v>
      </c>
      <c r="W24" s="144" t="str">
        <f aca="false">IFERROR('Price History'!B3+(INDEX('Price History'!B:B,MATCH(9.99E+307,'Price History'!$A:$A))-'Price History'!B3)*(ROW()-3)/(MATCH(9.99E+307,'Returns (Calc)'!$A:$A)-3),"")</f>
        <v/>
      </c>
      <c r="X24" s="144" t="n">
        <f aca="false">IFERROR('Price History'!C3+(INDEX('Price History'!C:C,MATCH(9.99E+307,'Price History'!$A:$A))-'Price History'!C3)*(ROW()-3)/(MATCH(9.99E+307,'Returns (Calc)'!$A:$A)-3),"")</f>
        <v>40.0421518987342</v>
      </c>
      <c r="Y24" s="144" t="n">
        <f aca="false">IFERROR('Price History'!D3+(INDEX('Price History'!D:D,MATCH(9.99E+307,'Price History'!$A:$A))-'Price History'!D3)*(ROW()-3)/(MATCH(9.99E+307,'Returns (Calc)'!$A:$A)-3),"")</f>
        <v>504.654240506329</v>
      </c>
      <c r="Z24" s="144" t="n">
        <f aca="false">IFERROR('Price History'!E3+(INDEX('Price History'!E:E,MATCH(9.99E+307,'Price History'!$A:$A))-'Price History'!E3)*(ROW()-3)/(MATCH(9.99E+307,'Returns (Calc)'!$A:$A)-3),"")</f>
        <v>71.1012658227848</v>
      </c>
      <c r="AA24" s="144" t="n">
        <f aca="false">IFERROR('Price History'!F3+(INDEX('Price History'!F:F,MATCH(9.99E+307,'Price History'!$A:$A))-'Price History'!F3)*(ROW()-3)/(MATCH(9.99E+307,'Returns (Calc)'!$A:$A)-3),"")</f>
        <v>65.3004430379747</v>
      </c>
      <c r="AB24" s="144" t="n">
        <f aca="false">IFERROR('Price History'!G3+(INDEX('Price History'!G:G,MATCH(9.99E+307,'Price History'!$A:$A))-'Price History'!G3)*(ROW()-3)/(MATCH(9.99E+307,'Returns (Calc)'!$A:$A)-3),"")</f>
        <v>35.8627848101266</v>
      </c>
      <c r="AC24" s="144" t="n">
        <f aca="false">IFERROR('Price History'!H3+(INDEX('Price History'!H:H,MATCH(9.99E+307,'Price History'!$A:$A))-'Price History'!H3)*(ROW()-3)/(MATCH(9.99E+307,'Returns (Calc)'!$A:$A)-3),"")</f>
        <v>87.2204430379747</v>
      </c>
      <c r="AD24" s="144" t="n">
        <f aca="false">IFERROR('Price History'!I3+(INDEX('Price History'!I:I,MATCH(9.99E+307,'Price History'!$A:$A))-'Price History'!I3)*(ROW()-3)/(MATCH(9.99E+307,'Returns (Calc)'!$A:$A)-3),"")</f>
        <v>38.4553797468355</v>
      </c>
      <c r="AE24" s="144" t="n">
        <f aca="false">IFERROR('Price History'!J3+(INDEX('Price History'!J:J,MATCH(9.99E+307,'Price History'!$A:$A))-'Price History'!J3)*(ROW()-3)/(MATCH(9.99E+307,'Returns (Calc)'!$A:$A)-3),"")</f>
        <v>59.9244936708861</v>
      </c>
      <c r="AF24" s="144" t="n">
        <f aca="false">IFERROR('Price History'!K3+(INDEX('Price History'!K:K,MATCH(9.99E+307,'Price History'!$A:$A))-'Price History'!K3)*(ROW()-3)/(MATCH(9.99E+307,'Returns (Calc)'!$A:$A)-3),"")</f>
        <v>37.9524683544304</v>
      </c>
      <c r="AG24" s="144" t="n">
        <f aca="false">IFERROR('Price History'!L3+(INDEX('Price History'!L:L,MATCH(9.99E+307,'Price History'!$A:$A))-'Price History'!L3)*(ROW()-3)/(MATCH(9.99E+307,'Returns (Calc)'!$A:$A)-3),"")</f>
        <v>96.9751898734177</v>
      </c>
      <c r="AH24" s="144" t="n">
        <f aca="false">IFERROR('Price History'!M3+(INDEX('Price History'!M:M,MATCH(9.99E+307,'Price History'!$A:$A))-'Price History'!M3)*(ROW()-3)/(MATCH(9.99E+307,'Returns (Calc)'!$A:$A)-3),"")</f>
        <v>13.2924683544304</v>
      </c>
      <c r="AI24" s="144" t="n">
        <f aca="false">IFERROR('Price History'!N3+(INDEX('Price History'!N:N,MATCH(9.99E+307,'Price History'!$A:$A))-'Price History'!N3)*(ROW()-3)/(MATCH(9.99E+307,'Returns (Calc)'!$A:$A)-3),"")</f>
        <v>18.9025316455696</v>
      </c>
      <c r="AJ24" s="144" t="n">
        <f aca="false">IFERROR('Price History'!O3+(INDEX('Price History'!O:O,MATCH(9.99E+307,'Price History'!$A:$A))-'Price History'!O3)*(ROW()-3)/(MATCH(9.99E+307,'Returns (Calc)'!$A:$A)-3),"")</f>
        <v>49.9703164556962</v>
      </c>
      <c r="AK24" s="144" t="n">
        <f aca="false">IFERROR('Price History'!Q3+(INDEX('Price History'!Q:Q,MATCH(9.99E+307,'Price History'!$A:$A))-'Price History'!Q3)*(ROW()-3)/(MATCH(9.99E+307,'Returns (Calc)'!$A:$A)-3),"")</f>
        <v>204.312088607595</v>
      </c>
      <c r="AL24" s="144" t="n">
        <f aca="false">IFERROR('Price History'!R3+(INDEX('Price History'!R:R,MATCH(9.99E+307,'Price History'!$A:$A))-'Price History'!R3)*(ROW()-3)/(MATCH(9.99E+307,'Returns (Calc)'!$A:$A)-3),"")</f>
        <v>41.4641772151899</v>
      </c>
      <c r="AM24" s="144" t="n">
        <f aca="false">IFERROR('Price History'!S3+(INDEX('Price History'!S:S,MATCH(9.99E+307,'Price History'!$A:$A))-'Price History'!S3)*(ROW()-3)/(MATCH(9.99E+307,'Returns (Calc)'!$A:$A)-3),"")</f>
        <v>50.7593670886076</v>
      </c>
      <c r="AN24" s="144" t="n">
        <f aca="false">IFERROR('Price History'!T3+(INDEX('Price History'!T:T,MATCH(9.99E+307,'Price History'!$A:$A))-'Price History'!T3)*(ROW()-3)/(MATCH(9.99E+307,'Returns (Calc)'!$A:$A)-3),"")</f>
        <v>23.3333544303797</v>
      </c>
      <c r="AO24" s="145" t="n">
        <f aca="false">IFERROR('Price History'!V3+(INDEX('Price History'!V:V,MATCH(9.99E+307,'Price History'!$A:$A))-'Price History'!V3)*(ROW()-3)/(MATCH(9.99E+307,'Returns (Calc)'!$A:$A)-3),"")</f>
        <v>0</v>
      </c>
    </row>
    <row r="25" customFormat="false" ht="15" hidden="false" customHeight="true" outlineLevel="0" collapsed="false">
      <c r="A25" s="141" t="n">
        <f aca="false">IF('Price History'!A26="","",'Price History'!A26)</f>
        <v>45345</v>
      </c>
      <c r="B25" s="142" t="n">
        <f aca="false">IFERROR(IF(OR(NOT(ISNUMBER('Price History'!B26)),NOT(ISNUMBER('Price History'!B25)),'Price History'!B25=0),"",'Price History'!B26/'Price History'!B25-1),"")</f>
        <v>0.0124025902754914</v>
      </c>
      <c r="C25" s="142" t="n">
        <f aca="false">IFERROR(IF(OR(NOT(ISNUMBER('Price History'!C26)),NOT(ISNUMBER('Price History'!C25)),'Price History'!C25=0),"",'Price History'!C26/'Price History'!C25-1),"")</f>
        <v>0.0226161369193154</v>
      </c>
      <c r="D25" s="142" t="n">
        <f aca="false">IFERROR(IF(OR(NOT(ISNUMBER('Price History'!D26)),NOT(ISNUMBER('Price History'!D25)),'Price History'!D25=0),"",'Price History'!D26/'Price History'!D25-1),"")</f>
        <v>0.00463710785121707</v>
      </c>
      <c r="E25" s="142" t="n">
        <f aca="false">IFERROR(IF(OR(NOT(ISNUMBER('Price History'!E26)),NOT(ISNUMBER('Price History'!E25)),'Price History'!E25=0),"",'Price History'!E26/'Price History'!E25-1),"")</f>
        <v>0.0408685601056802</v>
      </c>
      <c r="F25" s="142" t="n">
        <f aca="false">IFERROR(IF(OR(NOT(ISNUMBER('Price History'!F26)),NOT(ISNUMBER('Price History'!F25)),'Price History'!F25=0),"",'Price History'!F26/'Price History'!F25-1),"")</f>
        <v>-0.00330110822919105</v>
      </c>
      <c r="G25" s="142" t="n">
        <f aca="false">IFERROR(IF(OR(NOT(ISNUMBER('Price History'!G26)),NOT(ISNUMBER('Price History'!G25)),'Price History'!G25=0),"",'Price History'!G26/'Price History'!G25-1),"")</f>
        <v>-0.0539424128295468</v>
      </c>
      <c r="H25" s="142" t="n">
        <f aca="false">IFERROR(IF(OR(NOT(ISNUMBER('Price History'!H26)),NOT(ISNUMBER('Price History'!H25)),'Price History'!H25=0),"",'Price History'!H26/'Price History'!H25-1),"")</f>
        <v>0.0084057694144617</v>
      </c>
      <c r="I25" s="142" t="n">
        <f aca="false">IFERROR(IF(OR(NOT(ISNUMBER('Price History'!I26)),NOT(ISNUMBER('Price History'!I25)),'Price History'!I25=0),"",'Price History'!I26/'Price History'!I25-1),"")</f>
        <v>0.0112480739599381</v>
      </c>
      <c r="J25" s="142" t="n">
        <f aca="false">IFERROR(IF(OR(NOT(ISNUMBER('Price History'!J26)),NOT(ISNUMBER('Price History'!J25)),'Price History'!J25=0),"",'Price History'!J26/'Price History'!J25-1),"")</f>
        <v>0.0817905148364191</v>
      </c>
      <c r="K25" s="142" t="n">
        <f aca="false">IFERROR(IF(OR(NOT(ISNUMBER('Price History'!K26)),NOT(ISNUMBER('Price History'!K25)),'Price History'!K25=0),"",'Price History'!K26/'Price History'!K25-1),"")</f>
        <v>0.0854972375690608</v>
      </c>
      <c r="L25" s="142" t="n">
        <f aca="false">IFERROR(IF(OR(NOT(ISNUMBER('Price History'!L26)),NOT(ISNUMBER('Price History'!L25)),'Price History'!L25=0),"",'Price History'!L26/'Price History'!L25-1),"")</f>
        <v>-0.00131276665572688</v>
      </c>
      <c r="M25" s="142" t="n">
        <f aca="false">IFERROR(IF(OR(NOT(ISNUMBER('Price History'!M26)),NOT(ISNUMBER('Price History'!M25)),'Price History'!M25=0),"",'Price History'!M26/'Price History'!M25-1),"")</f>
        <v>-0.0601472995090018</v>
      </c>
      <c r="N25" s="142" t="n">
        <f aca="false">IFERROR(IF(OR(NOT(ISNUMBER('Price History'!N26)),NOT(ISNUMBER('Price History'!N25)),'Price History'!N25=0),"",'Price History'!N26/'Price History'!N25-1),"")</f>
        <v>0.0116179001721173</v>
      </c>
      <c r="O25" s="142" t="n">
        <f aca="false">IFERROR(IF(OR(NOT(ISNUMBER('Price History'!O26)),NOT(ISNUMBER('Price History'!O25)),'Price History'!O25=0),"",'Price History'!O26/'Price History'!O25-1),"")</f>
        <v>0.022325074870678</v>
      </c>
      <c r="P25" s="142" t="n">
        <f aca="false">IFERROR(IF(OR(NOT(ISNUMBER('Price History'!P26)),NOT(ISNUMBER('Price History'!P25)),'Price History'!P25=0),"",'Price History'!P26/'Price History'!P25-1),"")</f>
        <v>0.0224039247751431</v>
      </c>
      <c r="Q25" s="142" t="n">
        <f aca="false">IFERROR(IF(OR(NOT(ISNUMBER('Price History'!Q26)),NOT(ISNUMBER('Price History'!Q25)),'Price History'!Q25=0),"",'Price History'!Q26/'Price History'!Q25-1),"")</f>
        <v>0.0180707466071623</v>
      </c>
      <c r="R25" s="142" t="n">
        <f aca="false">IFERROR(IF(OR(NOT(ISNUMBER('Price History'!R26)),NOT(ISNUMBER('Price History'!R25)),'Price History'!R25=0),"",'Price History'!R26/'Price History'!R25-1),"")</f>
        <v>0.017825311942959</v>
      </c>
      <c r="S25" s="142" t="n">
        <f aca="false">IFERROR(IF(OR(NOT(ISNUMBER('Price History'!S26)),NOT(ISNUMBER('Price History'!S25)),'Price History'!S25=0),"",'Price History'!S26/'Price History'!S25-1),"")</f>
        <v>0.0210951526032315</v>
      </c>
      <c r="T25" s="142" t="n">
        <f aca="false">IFERROR(IF(OR(NOT(ISNUMBER('Price History'!T26)),NOT(ISNUMBER('Price History'!T25)),'Price History'!T25=0),"",'Price History'!T26/'Price History'!T25-1),"")</f>
        <v>-0.00954400848356307</v>
      </c>
      <c r="U25" s="142" t="str">
        <f aca="false">IFERROR(IF(OR(NOT(ISNUMBER('Price History'!U26)),NOT(ISNUMBER('Price History'!U25)),'Price History'!U25=0),"",'Price History'!U26/'Price History'!U25-1),"")</f>
        <v/>
      </c>
      <c r="V25" s="143" t="n">
        <f aca="false">IFERROR(IF(OR(NOT(ISNUMBER('Price History'!V26)),NOT(ISNUMBER('Price History'!V25)),'Price History'!V25=0),"",'Price History'!V26/'Price History'!V25-1),"")</f>
        <v>0.0255062606276086</v>
      </c>
      <c r="W25" s="144" t="str">
        <f aca="false">IFERROR('Price History'!B3+(INDEX('Price History'!B:B,MATCH(9.99E+307,'Price History'!$A:$A))-'Price History'!B3)*(ROW()-3)/(MATCH(9.99E+307,'Returns (Calc)'!$A:$A)-3),"")</f>
        <v/>
      </c>
      <c r="X25" s="144" t="n">
        <f aca="false">IFERROR('Price History'!C3+(INDEX('Price History'!C:C,MATCH(9.99E+307,'Price History'!$A:$A))-'Price History'!C3)*(ROW()-3)/(MATCH(9.99E+307,'Returns (Calc)'!$A:$A)-3),"")</f>
        <v>39.7498734177215</v>
      </c>
      <c r="Y25" s="144" t="n">
        <f aca="false">IFERROR('Price History'!D3+(INDEX('Price History'!D:D,MATCH(9.99E+307,'Price History'!$A:$A))-'Price History'!D3)*(ROW()-3)/(MATCH(9.99E+307,'Returns (Calc)'!$A:$A)-3),"")</f>
        <v>500.970632911392</v>
      </c>
      <c r="Z25" s="144" t="n">
        <f aca="false">IFERROR('Price History'!E3+(INDEX('Price History'!E:E,MATCH(9.99E+307,'Price History'!$A:$A))-'Price History'!E3)*(ROW()-3)/(MATCH(9.99E+307,'Returns (Calc)'!$A:$A)-3),"")</f>
        <v>70.5822784810127</v>
      </c>
      <c r="AA25" s="144" t="n">
        <f aca="false">IFERROR('Price History'!F3+(INDEX('Price History'!F:F,MATCH(9.99E+307,'Price History'!$A:$A))-'Price History'!F3)*(ROW()-3)/(MATCH(9.99E+307,'Returns (Calc)'!$A:$A)-3),"")</f>
        <v>64.8237974683544</v>
      </c>
      <c r="AB25" s="144" t="n">
        <f aca="false">IFERROR('Price History'!G3+(INDEX('Price History'!G:G,MATCH(9.99E+307,'Price History'!$A:$A))-'Price History'!G3)*(ROW()-3)/(MATCH(9.99E+307,'Returns (Calc)'!$A:$A)-3),"")</f>
        <v>35.6010126582278</v>
      </c>
      <c r="AC25" s="144" t="n">
        <f aca="false">IFERROR('Price History'!H3+(INDEX('Price History'!H:H,MATCH(9.99E+307,'Price History'!$A:$A))-'Price History'!H3)*(ROW()-3)/(MATCH(9.99E+307,'Returns (Calc)'!$A:$A)-3),"")</f>
        <v>86.5837974683544</v>
      </c>
      <c r="AD25" s="144" t="n">
        <f aca="false">IFERROR('Price History'!I3+(INDEX('Price History'!I:I,MATCH(9.99E+307,'Price History'!$A:$A))-'Price History'!I3)*(ROW()-3)/(MATCH(9.99E+307,'Returns (Calc)'!$A:$A)-3),"")</f>
        <v>38.1746835443038</v>
      </c>
      <c r="AE25" s="144" t="n">
        <f aca="false">IFERROR('Price History'!J3+(INDEX('Price History'!J:J,MATCH(9.99E+307,'Price History'!$A:$A))-'Price History'!J3)*(ROW()-3)/(MATCH(9.99E+307,'Returns (Calc)'!$A:$A)-3),"")</f>
        <v>59.4870886075949</v>
      </c>
      <c r="AF25" s="144" t="n">
        <f aca="false">IFERROR('Price History'!K3+(INDEX('Price History'!K:K,MATCH(9.99E+307,'Price History'!$A:$A))-'Price History'!K3)*(ROW()-3)/(MATCH(9.99E+307,'Returns (Calc)'!$A:$A)-3),"")</f>
        <v>37.6754430379747</v>
      </c>
      <c r="AG25" s="144" t="n">
        <f aca="false">IFERROR('Price History'!L3+(INDEX('Price History'!L:L,MATCH(9.99E+307,'Price History'!$A:$A))-'Price History'!L3)*(ROW()-3)/(MATCH(9.99E+307,'Returns (Calc)'!$A:$A)-3),"")</f>
        <v>96.2673417721519</v>
      </c>
      <c r="AH25" s="144" t="n">
        <f aca="false">IFERROR('Price History'!M3+(INDEX('Price History'!M:M,MATCH(9.99E+307,'Price History'!$A:$A))-'Price History'!M3)*(ROW()-3)/(MATCH(9.99E+307,'Returns (Calc)'!$A:$A)-3),"")</f>
        <v>13.1954430379747</v>
      </c>
      <c r="AI25" s="144" t="n">
        <f aca="false">IFERROR('Price History'!N3+(INDEX('Price History'!N:N,MATCH(9.99E+307,'Price History'!$A:$A))-'Price History'!N3)*(ROW()-3)/(MATCH(9.99E+307,'Returns (Calc)'!$A:$A)-3),"")</f>
        <v>18.7645569620253</v>
      </c>
      <c r="AJ25" s="144" t="n">
        <f aca="false">IFERROR('Price History'!O3+(INDEX('Price History'!O:O,MATCH(9.99E+307,'Price History'!$A:$A))-'Price History'!O3)*(ROW()-3)/(MATCH(9.99E+307,'Returns (Calc)'!$A:$A)-3),"")</f>
        <v>49.6055696202532</v>
      </c>
      <c r="AK25" s="144" t="n">
        <f aca="false">IFERROR('Price History'!Q3+(INDEX('Price History'!Q:Q,MATCH(9.99E+307,'Price History'!$A:$A))-'Price History'!Q3)*(ROW()-3)/(MATCH(9.99E+307,'Returns (Calc)'!$A:$A)-3),"")</f>
        <v>202.820759493671</v>
      </c>
      <c r="AL25" s="144" t="n">
        <f aca="false">IFERROR('Price History'!R3+(INDEX('Price History'!R:R,MATCH(9.99E+307,'Price History'!$A:$A))-'Price History'!R3)*(ROW()-3)/(MATCH(9.99E+307,'Returns (Calc)'!$A:$A)-3),"")</f>
        <v>41.1615189873418</v>
      </c>
      <c r="AM25" s="144" t="n">
        <f aca="false">IFERROR('Price History'!S3+(INDEX('Price History'!S:S,MATCH(9.99E+307,'Price History'!$A:$A))-'Price History'!S3)*(ROW()-3)/(MATCH(9.99E+307,'Returns (Calc)'!$A:$A)-3),"")</f>
        <v>50.3888607594937</v>
      </c>
      <c r="AN25" s="144" t="n">
        <f aca="false">IFERROR('Price History'!T3+(INDEX('Price History'!T:T,MATCH(9.99E+307,'Price History'!$A:$A))-'Price History'!T3)*(ROW()-3)/(MATCH(9.99E+307,'Returns (Calc)'!$A:$A)-3),"")</f>
        <v>23.1630379746835</v>
      </c>
      <c r="AO25" s="145" t="n">
        <f aca="false">IFERROR('Price History'!V3+(INDEX('Price History'!V:V,MATCH(9.99E+307,'Price History'!$A:$A))-'Price History'!V3)*(ROW()-3)/(MATCH(9.99E+307,'Returns (Calc)'!$A:$A)-3),"")</f>
        <v>0</v>
      </c>
    </row>
    <row r="26" customFormat="false" ht="15" hidden="false" customHeight="true" outlineLevel="0" collapsed="false">
      <c r="A26" s="141" t="n">
        <f aca="false">IF('Price History'!A27="","",'Price History'!A27)</f>
        <v>45352</v>
      </c>
      <c r="B26" s="142" t="n">
        <f aca="false">IFERROR(IF(OR(NOT(ISNUMBER('Price History'!B27)),NOT(ISNUMBER('Price History'!B26)),'Price History'!B26=0),"",'Price History'!B27/'Price History'!B26-1),"")</f>
        <v>0.0316023417172591</v>
      </c>
      <c r="C26" s="142" t="n">
        <f aca="false">IFERROR(IF(OR(NOT(ISNUMBER('Price History'!C27)),NOT(ISNUMBER('Price History'!C26)),'Price History'!C26=0),"",'Price History'!C27/'Price History'!C26-1),"")</f>
        <v>0.0748655110579797</v>
      </c>
      <c r="D26" s="142" t="n">
        <f aca="false">IFERROR(IF(OR(NOT(ISNUMBER('Price History'!D27)),NOT(ISNUMBER('Price History'!D26)),'Price History'!D26=0),"",'Price History'!D27/'Price History'!D26-1),"")</f>
        <v>0.0618088748400363</v>
      </c>
      <c r="E26" s="142" t="n">
        <f aca="false">IFERROR(IF(OR(NOT(ISNUMBER('Price History'!E27)),NOT(ISNUMBER('Price History'!E26)),'Price History'!E26=0),"",'Price History'!E27/'Price History'!E26-1),"")</f>
        <v>0.0793210121361148</v>
      </c>
      <c r="F26" s="142" t="n">
        <f aca="false">IFERROR(IF(OR(NOT(ISNUMBER('Price History'!F27)),NOT(ISNUMBER('Price History'!F26)),'Price History'!F26=0),"",'Price History'!F27/'Price History'!F26-1),"")</f>
        <v>0.0157321977762006</v>
      </c>
      <c r="G26" s="142" t="n">
        <f aca="false">IFERROR(IF(OR(NOT(ISNUMBER('Price History'!G27)),NOT(ISNUMBER('Price History'!G26)),'Price History'!G26=0),"",'Price History'!G27/'Price History'!G26-1),"")</f>
        <v>0.010016694490818</v>
      </c>
      <c r="H26" s="142" t="n">
        <f aca="false">IFERROR(IF(OR(NOT(ISNUMBER('Price History'!H27)),NOT(ISNUMBER('Price History'!H26)),'Price History'!H26=0),"",'Price History'!H27/'Price History'!H26-1),"")</f>
        <v>0.000189447759780359</v>
      </c>
      <c r="I26" s="142" t="n">
        <f aca="false">IFERROR(IF(OR(NOT(ISNUMBER('Price History'!I27)),NOT(ISNUMBER('Price History'!I26)),'Price History'!I26=0),"",'Price History'!I27/'Price History'!I26-1),"")</f>
        <v>0.0729849154350146</v>
      </c>
      <c r="J26" s="142" t="n">
        <f aca="false">IFERROR(IF(OR(NOT(ISNUMBER('Price History'!J27)),NOT(ISNUMBER('Price History'!J26)),'Price History'!J26=0),"",'Price History'!J27/'Price History'!J26-1),"")</f>
        <v>0.106318133864729</v>
      </c>
      <c r="K26" s="142" t="n">
        <f aca="false">IFERROR(IF(OR(NOT(ISNUMBER('Price History'!K27)),NOT(ISNUMBER('Price History'!K26)),'Price History'!K26=0),"",'Price History'!K27/'Price History'!K26-1),"")</f>
        <v>0.0438987148492176</v>
      </c>
      <c r="L26" s="142" t="n">
        <f aca="false">IFERROR(IF(OR(NOT(ISNUMBER('Price History'!L27)),NOT(ISNUMBER('Price History'!L26)),'Price History'!L26=0),"",'Price History'!L27/'Price History'!L26-1),"")</f>
        <v>0.0104337824515282</v>
      </c>
      <c r="M26" s="142" t="n">
        <f aca="false">IFERROR(IF(OR(NOT(ISNUMBER('Price History'!M27)),NOT(ISNUMBER('Price History'!M26)),'Price History'!M26=0),"",'Price History'!M27/'Price History'!M26-1),"")</f>
        <v>0.0853286895951242</v>
      </c>
      <c r="N26" s="142" t="n">
        <f aca="false">IFERROR(IF(OR(NOT(ISNUMBER('Price History'!N27)),NOT(ISNUMBER('Price History'!N26)),'Price History'!N26=0),"",'Price History'!N27/'Price History'!N26-1),"")</f>
        <v>0.00340280731603571</v>
      </c>
      <c r="O26" s="142" t="n">
        <f aca="false">IFERROR(IF(OR(NOT(ISNUMBER('Price History'!O27)),NOT(ISNUMBER('Price History'!O26)),'Price History'!O26=0),"",'Price History'!O27/'Price History'!O26-1),"")</f>
        <v>0.0280958721704394</v>
      </c>
      <c r="P26" s="142" t="n">
        <f aca="false">IFERROR(IF(OR(NOT(ISNUMBER('Price History'!P27)),NOT(ISNUMBER('Price History'!P26)),'Price History'!P26=0),"",'Price History'!P27/'Price History'!P26-1),"")</f>
        <v>0.0337492002559179</v>
      </c>
      <c r="Q26" s="142" t="n">
        <f aca="false">IFERROR(IF(OR(NOT(ISNUMBER('Price History'!Q27)),NOT(ISNUMBER('Price History'!Q26)),'Price History'!Q26=0),"",'Price History'!Q27/'Price History'!Q26-1),"")</f>
        <v>-0.00154503970392728</v>
      </c>
      <c r="R26" s="142" t="n">
        <f aca="false">IFERROR(IF(OR(NOT(ISNUMBER('Price History'!R27)),NOT(ISNUMBER('Price History'!R26)),'Price History'!R26=0),"",'Price History'!R27/'Price History'!R26-1),"")</f>
        <v>0.00778361548939488</v>
      </c>
      <c r="S26" s="142" t="n">
        <f aca="false">IFERROR(IF(OR(NOT(ISNUMBER('Price History'!S27)),NOT(ISNUMBER('Price History'!S26)),'Price History'!S26=0),"",'Price History'!S27/'Price History'!S26-1),"")</f>
        <v>0.0161172161172161</v>
      </c>
      <c r="T26" s="142" t="n">
        <f aca="false">IFERROR(IF(OR(NOT(ISNUMBER('Price History'!T27)),NOT(ISNUMBER('Price History'!T26)),'Price History'!T26=0),"",'Price History'!T27/'Price History'!T26-1),"")</f>
        <v>0.00820842255531762</v>
      </c>
      <c r="U26" s="142" t="str">
        <f aca="false">IFERROR(IF(OR(NOT(ISNUMBER('Price History'!U27)),NOT(ISNUMBER('Price History'!U26)),'Price History'!U26=0),"",'Price History'!U27/'Price History'!U26-1),"")</f>
        <v/>
      </c>
      <c r="V26" s="143" t="n">
        <f aca="false">IFERROR(IF(OR(NOT(ISNUMBER('Price History'!V27)),NOT(ISNUMBER('Price History'!V26)),'Price History'!V26=0),"",'Price History'!V27/'Price History'!V26-1),"")</f>
        <v>-0.0109285498944831</v>
      </c>
      <c r="W26" s="144" t="str">
        <f aca="false">IFERROR('Price History'!B3+(INDEX('Price History'!B:B,MATCH(9.99E+307,'Price History'!$A:$A))-'Price History'!B3)*(ROW()-3)/(MATCH(9.99E+307,'Returns (Calc)'!$A:$A)-3),"")</f>
        <v/>
      </c>
      <c r="X26" s="144" t="n">
        <f aca="false">IFERROR('Price History'!C3+(INDEX('Price History'!C:C,MATCH(9.99E+307,'Price History'!$A:$A))-'Price History'!C3)*(ROW()-3)/(MATCH(9.99E+307,'Returns (Calc)'!$A:$A)-3),"")</f>
        <v>39.4575949367089</v>
      </c>
      <c r="Y26" s="144" t="n">
        <f aca="false">IFERROR('Price History'!D3+(INDEX('Price History'!D:D,MATCH(9.99E+307,'Price History'!$A:$A))-'Price History'!D3)*(ROW()-3)/(MATCH(9.99E+307,'Returns (Calc)'!$A:$A)-3),"")</f>
        <v>497.287025316456</v>
      </c>
      <c r="Z26" s="144" t="n">
        <f aca="false">IFERROR('Price History'!E3+(INDEX('Price History'!E:E,MATCH(9.99E+307,'Price History'!$A:$A))-'Price History'!E3)*(ROW()-3)/(MATCH(9.99E+307,'Returns (Calc)'!$A:$A)-3),"")</f>
        <v>70.0632911392405</v>
      </c>
      <c r="AA26" s="144" t="n">
        <f aca="false">IFERROR('Price History'!F3+(INDEX('Price History'!F:F,MATCH(9.99E+307,'Price History'!$A:$A))-'Price History'!F3)*(ROW()-3)/(MATCH(9.99E+307,'Returns (Calc)'!$A:$A)-3),"")</f>
        <v>64.3471518987342</v>
      </c>
      <c r="AB26" s="144" t="n">
        <f aca="false">IFERROR('Price History'!G3+(INDEX('Price History'!G:G,MATCH(9.99E+307,'Price History'!$A:$A))-'Price History'!G3)*(ROW()-3)/(MATCH(9.99E+307,'Returns (Calc)'!$A:$A)-3),"")</f>
        <v>35.3392405063291</v>
      </c>
      <c r="AC26" s="144" t="n">
        <f aca="false">IFERROR('Price History'!H3+(INDEX('Price History'!H:H,MATCH(9.99E+307,'Price History'!$A:$A))-'Price History'!H3)*(ROW()-3)/(MATCH(9.99E+307,'Returns (Calc)'!$A:$A)-3),"")</f>
        <v>85.9471518987342</v>
      </c>
      <c r="AD26" s="144" t="n">
        <f aca="false">IFERROR('Price History'!I3+(INDEX('Price History'!I:I,MATCH(9.99E+307,'Price History'!$A:$A))-'Price History'!I3)*(ROW()-3)/(MATCH(9.99E+307,'Returns (Calc)'!$A:$A)-3),"")</f>
        <v>37.8939873417722</v>
      </c>
      <c r="AE26" s="144" t="n">
        <f aca="false">IFERROR('Price History'!J3+(INDEX('Price History'!J:J,MATCH(9.99E+307,'Price History'!$A:$A))-'Price History'!J3)*(ROW()-3)/(MATCH(9.99E+307,'Returns (Calc)'!$A:$A)-3),"")</f>
        <v>59.0496835443038</v>
      </c>
      <c r="AF26" s="144" t="n">
        <f aca="false">IFERROR('Price History'!K3+(INDEX('Price History'!K:K,MATCH(9.99E+307,'Price History'!$A:$A))-'Price History'!K3)*(ROW()-3)/(MATCH(9.99E+307,'Returns (Calc)'!$A:$A)-3),"")</f>
        <v>37.398417721519</v>
      </c>
      <c r="AG26" s="144" t="n">
        <f aca="false">IFERROR('Price History'!L3+(INDEX('Price History'!L:L,MATCH(9.99E+307,'Price History'!$A:$A))-'Price History'!L3)*(ROW()-3)/(MATCH(9.99E+307,'Returns (Calc)'!$A:$A)-3),"")</f>
        <v>95.5594936708861</v>
      </c>
      <c r="AH26" s="144" t="n">
        <f aca="false">IFERROR('Price History'!M3+(INDEX('Price History'!M:M,MATCH(9.99E+307,'Price History'!$A:$A))-'Price History'!M3)*(ROW()-3)/(MATCH(9.99E+307,'Returns (Calc)'!$A:$A)-3),"")</f>
        <v>13.098417721519</v>
      </c>
      <c r="AI26" s="144" t="n">
        <f aca="false">IFERROR('Price History'!N3+(INDEX('Price History'!N:N,MATCH(9.99E+307,'Price History'!$A:$A))-'Price History'!N3)*(ROW()-3)/(MATCH(9.99E+307,'Returns (Calc)'!$A:$A)-3),"")</f>
        <v>18.626582278481</v>
      </c>
      <c r="AJ26" s="144" t="n">
        <f aca="false">IFERROR('Price History'!O3+(INDEX('Price History'!O:O,MATCH(9.99E+307,'Price History'!$A:$A))-'Price History'!O3)*(ROW()-3)/(MATCH(9.99E+307,'Returns (Calc)'!$A:$A)-3),"")</f>
        <v>49.2408227848101</v>
      </c>
      <c r="AK26" s="144" t="n">
        <f aca="false">IFERROR('Price History'!Q3+(INDEX('Price History'!Q:Q,MATCH(9.99E+307,'Price History'!$A:$A))-'Price History'!Q3)*(ROW()-3)/(MATCH(9.99E+307,'Returns (Calc)'!$A:$A)-3),"")</f>
        <v>201.329430379747</v>
      </c>
      <c r="AL26" s="144" t="n">
        <f aca="false">IFERROR('Price History'!R3+(INDEX('Price History'!R:R,MATCH(9.99E+307,'Price History'!$A:$A))-'Price History'!R3)*(ROW()-3)/(MATCH(9.99E+307,'Returns (Calc)'!$A:$A)-3),"")</f>
        <v>40.8588607594937</v>
      </c>
      <c r="AM26" s="144" t="n">
        <f aca="false">IFERROR('Price History'!S3+(INDEX('Price History'!S:S,MATCH(9.99E+307,'Price History'!$A:$A))-'Price History'!S3)*(ROW()-3)/(MATCH(9.99E+307,'Returns (Calc)'!$A:$A)-3),"")</f>
        <v>50.0183544303797</v>
      </c>
      <c r="AN26" s="144" t="n">
        <f aca="false">IFERROR('Price History'!T3+(INDEX('Price History'!T:T,MATCH(9.99E+307,'Price History'!$A:$A))-'Price History'!T3)*(ROW()-3)/(MATCH(9.99E+307,'Returns (Calc)'!$A:$A)-3),"")</f>
        <v>22.9927215189873</v>
      </c>
      <c r="AO26" s="145" t="n">
        <f aca="false">IFERROR('Price History'!V3+(INDEX('Price History'!V:V,MATCH(9.99E+307,'Price History'!$A:$A))-'Price History'!V3)*(ROW()-3)/(MATCH(9.99E+307,'Returns (Calc)'!$A:$A)-3),"")</f>
        <v>0</v>
      </c>
    </row>
    <row r="27" customFormat="false" ht="15" hidden="false" customHeight="true" outlineLevel="0" collapsed="false">
      <c r="A27" s="141" t="n">
        <f aca="false">IF('Price History'!A28="","",'Price History'!A28)</f>
        <v>45359</v>
      </c>
      <c r="B27" s="142" t="n">
        <f aca="false">IFERROR(IF(OR(NOT(ISNUMBER('Price History'!B28)),NOT(ISNUMBER('Price History'!B27)),'Price History'!B27=0),"",'Price History'!B28/'Price History'!B27-1),"")</f>
        <v>-0.0336994027288807</v>
      </c>
      <c r="C27" s="142" t="n">
        <f aca="false">IFERROR(IF(OR(NOT(ISNUMBER('Price History'!C28)),NOT(ISNUMBER('Price History'!C27)),'Price History'!C27=0),"",'Price History'!C28/'Price History'!C27-1),"")</f>
        <v>-0.0507437786737106</v>
      </c>
      <c r="D27" s="142" t="n">
        <f aca="false">IFERROR(IF(OR(NOT(ISNUMBER('Price History'!D28)),NOT(ISNUMBER('Price History'!D27)),'Price History'!D27=0),"",'Price History'!D28/'Price History'!D27-1),"")</f>
        <v>0.00343023136034937</v>
      </c>
      <c r="E27" s="142" t="n">
        <f aca="false">IFERROR(IF(OR(NOT(ISNUMBER('Price History'!E28)),NOT(ISNUMBER('Price History'!E27)),'Price History'!E27=0),"",'Price History'!E28/'Price History'!E27-1),"")</f>
        <v>-0.0646725949878739</v>
      </c>
      <c r="F27" s="142" t="n">
        <f aca="false">IFERROR(IF(OR(NOT(ISNUMBER('Price History'!F28)),NOT(ISNUMBER('Price History'!F27)),'Price History'!F27=0),"",'Price History'!F28/'Price History'!F27-1),"")</f>
        <v>0.00116455106556423</v>
      </c>
      <c r="G27" s="142" t="n">
        <f aca="false">IFERROR(IF(OR(NOT(ISNUMBER('Price History'!G28)),NOT(ISNUMBER('Price History'!G27)),'Price History'!G27=0),"",'Price History'!G28/'Price History'!G27-1),"")</f>
        <v>0.0261919898283534</v>
      </c>
      <c r="H27" s="142" t="n">
        <f aca="false">IFERROR(IF(OR(NOT(ISNUMBER('Price History'!H28)),NOT(ISNUMBER('Price History'!H27)),'Price History'!H27=0),"",'Price History'!H28/'Price History'!H27-1),"")</f>
        <v>0.0267070745335731</v>
      </c>
      <c r="I27" s="142" t="n">
        <f aca="false">IFERROR(IF(OR(NOT(ISNUMBER('Price History'!I28)),NOT(ISNUMBER('Price History'!I27)),'Price History'!I27=0),"",'Price History'!I28/'Price History'!I27-1),"")</f>
        <v>-0.0255609201931269</v>
      </c>
      <c r="J27" s="142" t="n">
        <f aca="false">IFERROR(IF(OR(NOT(ISNUMBER('Price History'!J28)),NOT(ISNUMBER('Price History'!J27)),'Price History'!J27=0),"",'Price History'!J28/'Price History'!J27-1),"")</f>
        <v>0.0259588895952532</v>
      </c>
      <c r="K27" s="142" t="n">
        <f aca="false">IFERROR(IF(OR(NOT(ISNUMBER('Price History'!K28)),NOT(ISNUMBER('Price History'!K27)),'Price History'!K27=0),"",'Price History'!K28/'Price History'!K27-1),"")</f>
        <v>0.0638712823013163</v>
      </c>
      <c r="L27" s="142" t="n">
        <f aca="false">IFERROR(IF(OR(NOT(ISNUMBER('Price History'!L28)),NOT(ISNUMBER('Price History'!L27)),'Price History'!L27=0),"",'Price History'!L28/'Price History'!L27-1),"")</f>
        <v>0.00349621920481336</v>
      </c>
      <c r="M27" s="142" t="n">
        <f aca="false">IFERROR(IF(OR(NOT(ISNUMBER('Price History'!M28)),NOT(ISNUMBER('Price History'!M27)),'Price History'!M27=0),"",'Price History'!M28/'Price History'!M27-1),"")</f>
        <v>0.0445246690734056</v>
      </c>
      <c r="N27" s="142" t="n">
        <f aca="false">IFERROR(IF(OR(NOT(ISNUMBER('Price History'!N28)),NOT(ISNUMBER('Price History'!N27)),'Price History'!N27=0),"",'Price History'!N28/'Price History'!N27-1),"")</f>
        <v>0.00339126748622309</v>
      </c>
      <c r="O27" s="142" t="n">
        <f aca="false">IFERROR(IF(OR(NOT(ISNUMBER('Price History'!O28)),NOT(ISNUMBER('Price History'!O27)),'Price History'!O27=0),"",'Price History'!O28/'Price History'!O27-1),"")</f>
        <v>0.00388550705867141</v>
      </c>
      <c r="P27" s="142" t="n">
        <f aca="false">IFERROR(IF(OR(NOT(ISNUMBER('Price History'!P28)),NOT(ISNUMBER('Price History'!P27)),'Price History'!P27=0),"",'Price History'!P28/'Price History'!P27-1),"")</f>
        <v>0.0931455980194957</v>
      </c>
      <c r="Q27" s="142" t="n">
        <f aca="false">IFERROR(IF(OR(NOT(ISNUMBER('Price History'!Q28)),NOT(ISNUMBER('Price History'!Q27)),'Price History'!Q27=0),"",'Price History'!Q28/'Price History'!Q27-1),"")</f>
        <v>-0.0110119476032819</v>
      </c>
      <c r="R27" s="142" t="n">
        <f aca="false">IFERROR(IF(OR(NOT(ISNUMBER('Price History'!R28)),NOT(ISNUMBER('Price History'!R27)),'Price History'!R27=0),"",'Price History'!R28/'Price History'!R27-1),"")</f>
        <v>0.00289631202934926</v>
      </c>
      <c r="S27" s="142" t="n">
        <f aca="false">IFERROR(IF(OR(NOT(ISNUMBER('Price History'!S28)),NOT(ISNUMBER('Price History'!S27)),'Price History'!S27=0),"",'Price History'!S28/'Price History'!S27-1),"")</f>
        <v>0.0457101658255228</v>
      </c>
      <c r="T27" s="142" t="n">
        <f aca="false">IFERROR(IF(OR(NOT(ISNUMBER('Price History'!T28)),NOT(ISNUMBER('Price History'!T27)),'Price History'!T27=0),"",'Price History'!T28/'Price History'!T27-1),"")</f>
        <v>0.00955752212389371</v>
      </c>
      <c r="U27" s="142" t="str">
        <f aca="false">IFERROR(IF(OR(NOT(ISNUMBER('Price History'!U28)),NOT(ISNUMBER('Price History'!U27)),'Price History'!U27=0),"",'Price History'!U28/'Price History'!U27-1),"")</f>
        <v/>
      </c>
      <c r="V27" s="143" t="n">
        <f aca="false">IFERROR(IF(OR(NOT(ISNUMBER('Price History'!V28)),NOT(ISNUMBER('Price History'!V27)),'Price History'!V27=0),"",'Price History'!V28/'Price History'!V27-1),"")</f>
        <v>0.0344814447915873</v>
      </c>
      <c r="W27" s="144" t="str">
        <f aca="false">IFERROR('Price History'!B3+(INDEX('Price History'!B:B,MATCH(9.99E+307,'Price History'!$A:$A))-'Price History'!B3)*(ROW()-3)/(MATCH(9.99E+307,'Returns (Calc)'!$A:$A)-3),"")</f>
        <v/>
      </c>
      <c r="X27" s="144" t="n">
        <f aca="false">IFERROR('Price History'!C3+(INDEX('Price History'!C:C,MATCH(9.99E+307,'Price History'!$A:$A))-'Price History'!C3)*(ROW()-3)/(MATCH(9.99E+307,'Returns (Calc)'!$A:$A)-3),"")</f>
        <v>39.1653164556962</v>
      </c>
      <c r="Y27" s="144" t="n">
        <f aca="false">IFERROR('Price History'!D3+(INDEX('Price History'!D:D,MATCH(9.99E+307,'Price History'!$A:$A))-'Price History'!D3)*(ROW()-3)/(MATCH(9.99E+307,'Returns (Calc)'!$A:$A)-3),"")</f>
        <v>493.603417721519</v>
      </c>
      <c r="Z27" s="144" t="n">
        <f aca="false">IFERROR('Price History'!E3+(INDEX('Price History'!E:E,MATCH(9.99E+307,'Price History'!$A:$A))-'Price History'!E3)*(ROW()-3)/(MATCH(9.99E+307,'Returns (Calc)'!$A:$A)-3),"")</f>
        <v>69.5443037974684</v>
      </c>
      <c r="AA27" s="144" t="n">
        <f aca="false">IFERROR('Price History'!F3+(INDEX('Price History'!F:F,MATCH(9.99E+307,'Price History'!$A:$A))-'Price History'!F3)*(ROW()-3)/(MATCH(9.99E+307,'Returns (Calc)'!$A:$A)-3),"")</f>
        <v>63.8705063291139</v>
      </c>
      <c r="AB27" s="144" t="n">
        <f aca="false">IFERROR('Price History'!G3+(INDEX('Price History'!G:G,MATCH(9.99E+307,'Price History'!$A:$A))-'Price History'!G3)*(ROW()-3)/(MATCH(9.99E+307,'Returns (Calc)'!$A:$A)-3),"")</f>
        <v>35.0774683544304</v>
      </c>
      <c r="AC27" s="144" t="n">
        <f aca="false">IFERROR('Price History'!H3+(INDEX('Price History'!H:H,MATCH(9.99E+307,'Price History'!$A:$A))-'Price History'!H3)*(ROW()-3)/(MATCH(9.99E+307,'Returns (Calc)'!$A:$A)-3),"")</f>
        <v>85.3105063291139</v>
      </c>
      <c r="AD27" s="144" t="n">
        <f aca="false">IFERROR('Price History'!I3+(INDEX('Price History'!I:I,MATCH(9.99E+307,'Price History'!$A:$A))-'Price History'!I3)*(ROW()-3)/(MATCH(9.99E+307,'Returns (Calc)'!$A:$A)-3),"")</f>
        <v>37.6132911392405</v>
      </c>
      <c r="AE27" s="144" t="n">
        <f aca="false">IFERROR('Price History'!J3+(INDEX('Price History'!J:J,MATCH(9.99E+307,'Price History'!$A:$A))-'Price History'!J3)*(ROW()-3)/(MATCH(9.99E+307,'Returns (Calc)'!$A:$A)-3),"")</f>
        <v>58.6122784810127</v>
      </c>
      <c r="AF27" s="144" t="n">
        <f aca="false">IFERROR('Price History'!K3+(INDEX('Price History'!K:K,MATCH(9.99E+307,'Price History'!$A:$A))-'Price History'!K3)*(ROW()-3)/(MATCH(9.99E+307,'Returns (Calc)'!$A:$A)-3),"")</f>
        <v>37.1213924050633</v>
      </c>
      <c r="AG27" s="144" t="n">
        <f aca="false">IFERROR('Price History'!L3+(INDEX('Price History'!L:L,MATCH(9.99E+307,'Price History'!$A:$A))-'Price History'!L3)*(ROW()-3)/(MATCH(9.99E+307,'Returns (Calc)'!$A:$A)-3),"")</f>
        <v>94.8516455696203</v>
      </c>
      <c r="AH27" s="144" t="n">
        <f aca="false">IFERROR('Price History'!M3+(INDEX('Price History'!M:M,MATCH(9.99E+307,'Price History'!$A:$A))-'Price History'!M3)*(ROW()-3)/(MATCH(9.99E+307,'Returns (Calc)'!$A:$A)-3),"")</f>
        <v>13.0013924050633</v>
      </c>
      <c r="AI27" s="144" t="n">
        <f aca="false">IFERROR('Price History'!N3+(INDEX('Price History'!N:N,MATCH(9.99E+307,'Price History'!$A:$A))-'Price History'!N3)*(ROW()-3)/(MATCH(9.99E+307,'Returns (Calc)'!$A:$A)-3),"")</f>
        <v>18.4886075949367</v>
      </c>
      <c r="AJ27" s="144" t="n">
        <f aca="false">IFERROR('Price History'!O3+(INDEX('Price History'!O:O,MATCH(9.99E+307,'Price History'!$A:$A))-'Price History'!O3)*(ROW()-3)/(MATCH(9.99E+307,'Returns (Calc)'!$A:$A)-3),"")</f>
        <v>48.8760759493671</v>
      </c>
      <c r="AK27" s="144" t="n">
        <f aca="false">IFERROR('Price History'!Q3+(INDEX('Price History'!Q:Q,MATCH(9.99E+307,'Price History'!$A:$A))-'Price History'!Q3)*(ROW()-3)/(MATCH(9.99E+307,'Returns (Calc)'!$A:$A)-3),"")</f>
        <v>199.838101265823</v>
      </c>
      <c r="AL27" s="144" t="n">
        <f aca="false">IFERROR('Price History'!R3+(INDEX('Price History'!R:R,MATCH(9.99E+307,'Price History'!$A:$A))-'Price History'!R3)*(ROW()-3)/(MATCH(9.99E+307,'Returns (Calc)'!$A:$A)-3),"")</f>
        <v>40.5562025316456</v>
      </c>
      <c r="AM27" s="144" t="n">
        <f aca="false">IFERROR('Price History'!S3+(INDEX('Price History'!S:S,MATCH(9.99E+307,'Price History'!$A:$A))-'Price History'!S3)*(ROW()-3)/(MATCH(9.99E+307,'Returns (Calc)'!$A:$A)-3),"")</f>
        <v>49.6478481012658</v>
      </c>
      <c r="AN27" s="144" t="n">
        <f aca="false">IFERROR('Price History'!T3+(INDEX('Price History'!T:T,MATCH(9.99E+307,'Price History'!$A:$A))-'Price History'!T3)*(ROW()-3)/(MATCH(9.99E+307,'Returns (Calc)'!$A:$A)-3),"")</f>
        <v>22.8224050632911</v>
      </c>
      <c r="AO27" s="145" t="n">
        <f aca="false">IFERROR('Price History'!V3+(INDEX('Price History'!V:V,MATCH(9.99E+307,'Price History'!$A:$A))-'Price History'!V3)*(ROW()-3)/(MATCH(9.99E+307,'Returns (Calc)'!$A:$A)-3),"")</f>
        <v>0</v>
      </c>
    </row>
    <row r="28" customFormat="false" ht="15" hidden="false" customHeight="true" outlineLevel="0" collapsed="false">
      <c r="A28" s="141" t="n">
        <f aca="false">IF('Price History'!A29="","",'Price History'!A29)</f>
        <v>45366</v>
      </c>
      <c r="B28" s="142" t="n">
        <f aca="false">IFERROR(IF(OR(NOT(ISNUMBER('Price History'!B29)),NOT(ISNUMBER('Price History'!B28)),'Price History'!B28=0),"",'Price History'!B29/'Price History'!B28-1),"")</f>
        <v>-0.107361017962987</v>
      </c>
      <c r="C28" s="142" t="n">
        <f aca="false">IFERROR(IF(OR(NOT(ISNUMBER('Price History'!C29)),NOT(ISNUMBER('Price History'!C28)),'Price History'!C28=0),"",'Price History'!C29/'Price History'!C28-1),"")</f>
        <v>0.0168424135910956</v>
      </c>
      <c r="D28" s="142" t="n">
        <f aca="false">IFERROR(IF(OR(NOT(ISNUMBER('Price History'!D29)),NOT(ISNUMBER('Price History'!D28)),'Price History'!D28=0),"",'Price History'!D29/'Price History'!D28-1),"")</f>
        <v>-0.054429171243494</v>
      </c>
      <c r="E28" s="142" t="n">
        <f aca="false">IFERROR(IF(OR(NOT(ISNUMBER('Price History'!E29)),NOT(ISNUMBER('Price History'!E28)),'Price History'!E28=0),"",'Price History'!E29/'Price History'!E28-1),"")</f>
        <v>-0.0559440559440558</v>
      </c>
      <c r="F28" s="142" t="n">
        <f aca="false">IFERROR(IF(OR(NOT(ISNUMBER('Price History'!F29)),NOT(ISNUMBER('Price History'!F28)),'Price History'!F28=0),"",'Price History'!F29/'Price History'!F28-1),"")</f>
        <v>-0.00849133418634407</v>
      </c>
      <c r="G28" s="142" t="n">
        <f aca="false">IFERROR(IF(OR(NOT(ISNUMBER('Price History'!G29)),NOT(ISNUMBER('Price History'!G28)),'Price History'!G28=0),"",'Price History'!G29/'Price History'!G28-1),"")</f>
        <v>-0.0223020691364143</v>
      </c>
      <c r="H28" s="142" t="n">
        <f aca="false">IFERROR(IF(OR(NOT(ISNUMBER('Price History'!H29)),NOT(ISNUMBER('Price History'!H28)),'Price History'!H28=0),"",'Price History'!H29/'Price History'!H28-1),"")</f>
        <v>-0.0032284844571534</v>
      </c>
      <c r="I28" s="142" t="n">
        <f aca="false">IFERROR(IF(OR(NOT(ISNUMBER('Price History'!I29)),NOT(ISNUMBER('Price History'!I28)),'Price History'!I28=0),"",'Price History'!I29/'Price History'!I28-1),"")</f>
        <v>-0.0220052462838823</v>
      </c>
      <c r="J28" s="142" t="n">
        <f aca="false">IFERROR(IF(OR(NOT(ISNUMBER('Price History'!J29)),NOT(ISNUMBER('Price History'!J28)),'Price History'!J28=0),"",'Price History'!J29/'Price History'!J28-1),"")</f>
        <v>-0.044717546215016</v>
      </c>
      <c r="K28" s="142" t="n">
        <f aca="false">IFERROR(IF(OR(NOT(ISNUMBER('Price History'!K29)),NOT(ISNUMBER('Price History'!K28)),'Price History'!K28=0),"",'Price History'!K29/'Price History'!K28-1),"")</f>
        <v>0.00355178735105421</v>
      </c>
      <c r="L28" s="142" t="n">
        <f aca="false">IFERROR(IF(OR(NOT(ISNUMBER('Price History'!L29)),NOT(ISNUMBER('Price History'!L28)),'Price History'!L28=0),"",'Price History'!L29/'Price History'!L28-1),"")</f>
        <v>-0.037757251660995</v>
      </c>
      <c r="M28" s="142" t="n">
        <f aca="false">IFERROR(IF(OR(NOT(ISNUMBER('Price History'!M29)),NOT(ISNUMBER('Price History'!M28)),'Price History'!M28=0),"",'Price History'!M29/'Price History'!M28-1),"")</f>
        <v>-0.097926267281106</v>
      </c>
      <c r="N28" s="142" t="n">
        <f aca="false">IFERROR(IF(OR(NOT(ISNUMBER('Price History'!N29)),NOT(ISNUMBER('Price History'!N28)),'Price History'!N28=0),"",'Price History'!N29/'Price History'!N28-1),"")</f>
        <v>0.00168990283058723</v>
      </c>
      <c r="O28" s="142" t="n">
        <f aca="false">IFERROR(IF(OR(NOT(ISNUMBER('Price History'!O29)),NOT(ISNUMBER('Price History'!O28)),'Price History'!O28=0),"",'Price History'!O29/'Price History'!O28-1),"")</f>
        <v>-0.00516062443555676</v>
      </c>
      <c r="P28" s="142" t="n">
        <f aca="false">IFERROR(IF(OR(NOT(ISNUMBER('Price History'!P29)),NOT(ISNUMBER('Price History'!P28)),'Price History'!P28=0),"",'Price History'!P29/'Price History'!P28-1),"")</f>
        <v>-0.0641896673743809</v>
      </c>
      <c r="Q28" s="142" t="n">
        <f aca="false">IFERROR(IF(OR(NOT(ISNUMBER('Price History'!Q29)),NOT(ISNUMBER('Price History'!Q28)),'Price History'!Q28=0),"",'Price History'!Q29/'Price History'!Q28-1),"")</f>
        <v>0.0106979113601631</v>
      </c>
      <c r="R28" s="142" t="n">
        <f aca="false">IFERROR(IF(OR(NOT(ISNUMBER('Price History'!R29)),NOT(ISNUMBER('Price History'!R28)),'Price History'!R28=0),"",'Price History'!R29/'Price History'!R28-1),"")</f>
        <v>0.0105891413169041</v>
      </c>
      <c r="S28" s="142" t="n">
        <f aca="false">IFERROR(IF(OR(NOT(ISNUMBER('Price History'!S29)),NOT(ISNUMBER('Price History'!S28)),'Price History'!S28=0),"",'Price History'!S29/'Price History'!S28-1),"")</f>
        <v>0.0238554881412025</v>
      </c>
      <c r="T28" s="142" t="n">
        <f aca="false">IFERROR(IF(OR(NOT(ISNUMBER('Price History'!T29)),NOT(ISNUMBER('Price History'!T28)),'Price History'!T28=0),"",'Price History'!T29/'Price History'!T28-1),"")</f>
        <v>0.0038569424964936</v>
      </c>
      <c r="U28" s="142" t="str">
        <f aca="false">IFERROR(IF(OR(NOT(ISNUMBER('Price History'!U29)),NOT(ISNUMBER('Price History'!U28)),'Price History'!U28=0),"",'Price History'!U29/'Price History'!U28-1),"")</f>
        <v/>
      </c>
      <c r="V28" s="143" t="n">
        <f aca="false">IFERROR(IF(OR(NOT(ISNUMBER('Price History'!V29)),NOT(ISNUMBER('Price History'!V28)),'Price History'!V28=0),"",'Price History'!V29/'Price History'!V28-1),"")</f>
        <v>-0.000847114286766648</v>
      </c>
      <c r="W28" s="144" t="str">
        <f aca="false">IFERROR('Price History'!B3+(INDEX('Price History'!B:B,MATCH(9.99E+307,'Price History'!$A:$A))-'Price History'!B3)*(ROW()-3)/(MATCH(9.99E+307,'Returns (Calc)'!$A:$A)-3),"")</f>
        <v/>
      </c>
      <c r="X28" s="144" t="n">
        <f aca="false">IFERROR('Price History'!C3+(INDEX('Price History'!C:C,MATCH(9.99E+307,'Price History'!$A:$A))-'Price History'!C3)*(ROW()-3)/(MATCH(9.99E+307,'Returns (Calc)'!$A:$A)-3),"")</f>
        <v>38.8730379746835</v>
      </c>
      <c r="Y28" s="144" t="n">
        <f aca="false">IFERROR('Price History'!D3+(INDEX('Price History'!D:D,MATCH(9.99E+307,'Price History'!$A:$A))-'Price History'!D3)*(ROW()-3)/(MATCH(9.99E+307,'Returns (Calc)'!$A:$A)-3),"")</f>
        <v>489.919810126582</v>
      </c>
      <c r="Z28" s="144" t="n">
        <f aca="false">IFERROR('Price History'!E3+(INDEX('Price History'!E:E,MATCH(9.99E+307,'Price History'!$A:$A))-'Price History'!E3)*(ROW()-3)/(MATCH(9.99E+307,'Returns (Calc)'!$A:$A)-3),"")</f>
        <v>69.0253164556962</v>
      </c>
      <c r="AA28" s="144" t="n">
        <f aca="false">IFERROR('Price History'!F3+(INDEX('Price History'!F:F,MATCH(9.99E+307,'Price History'!$A:$A))-'Price History'!F3)*(ROW()-3)/(MATCH(9.99E+307,'Returns (Calc)'!$A:$A)-3),"")</f>
        <v>63.3938607594937</v>
      </c>
      <c r="AB28" s="144" t="n">
        <f aca="false">IFERROR('Price History'!G3+(INDEX('Price History'!G:G,MATCH(9.99E+307,'Price History'!$A:$A))-'Price History'!G3)*(ROW()-3)/(MATCH(9.99E+307,'Returns (Calc)'!$A:$A)-3),"")</f>
        <v>34.8156962025317</v>
      </c>
      <c r="AC28" s="144" t="n">
        <f aca="false">IFERROR('Price History'!H3+(INDEX('Price History'!H:H,MATCH(9.99E+307,'Price History'!$A:$A))-'Price History'!H3)*(ROW()-3)/(MATCH(9.99E+307,'Returns (Calc)'!$A:$A)-3),"")</f>
        <v>84.6738607594937</v>
      </c>
      <c r="AD28" s="144" t="n">
        <f aca="false">IFERROR('Price History'!I3+(INDEX('Price History'!I:I,MATCH(9.99E+307,'Price History'!$A:$A))-'Price History'!I3)*(ROW()-3)/(MATCH(9.99E+307,'Returns (Calc)'!$A:$A)-3),"")</f>
        <v>37.3325949367089</v>
      </c>
      <c r="AE28" s="144" t="n">
        <f aca="false">IFERROR('Price History'!J3+(INDEX('Price History'!J:J,MATCH(9.99E+307,'Price History'!$A:$A))-'Price History'!J3)*(ROW()-3)/(MATCH(9.99E+307,'Returns (Calc)'!$A:$A)-3),"")</f>
        <v>58.1748734177215</v>
      </c>
      <c r="AF28" s="144" t="n">
        <f aca="false">IFERROR('Price History'!K3+(INDEX('Price History'!K:K,MATCH(9.99E+307,'Price History'!$A:$A))-'Price History'!K3)*(ROW()-3)/(MATCH(9.99E+307,'Returns (Calc)'!$A:$A)-3),"")</f>
        <v>36.8443670886076</v>
      </c>
      <c r="AG28" s="144" t="n">
        <f aca="false">IFERROR('Price History'!L3+(INDEX('Price History'!L:L,MATCH(9.99E+307,'Price History'!$A:$A))-'Price History'!L3)*(ROW()-3)/(MATCH(9.99E+307,'Returns (Calc)'!$A:$A)-3),"")</f>
        <v>94.1437974683544</v>
      </c>
      <c r="AH28" s="144" t="n">
        <f aca="false">IFERROR('Price History'!M3+(INDEX('Price History'!M:M,MATCH(9.99E+307,'Price History'!$A:$A))-'Price History'!M3)*(ROW()-3)/(MATCH(9.99E+307,'Returns (Calc)'!$A:$A)-3),"")</f>
        <v>12.9043670886076</v>
      </c>
      <c r="AI28" s="144" t="n">
        <f aca="false">IFERROR('Price History'!N3+(INDEX('Price History'!N:N,MATCH(9.99E+307,'Price History'!$A:$A))-'Price History'!N3)*(ROW()-3)/(MATCH(9.99E+307,'Returns (Calc)'!$A:$A)-3),"")</f>
        <v>18.3506329113924</v>
      </c>
      <c r="AJ28" s="144" t="n">
        <f aca="false">IFERROR('Price History'!O3+(INDEX('Price History'!O:O,MATCH(9.99E+307,'Price History'!$A:$A))-'Price History'!O3)*(ROW()-3)/(MATCH(9.99E+307,'Returns (Calc)'!$A:$A)-3),"")</f>
        <v>48.5113291139241</v>
      </c>
      <c r="AK28" s="144" t="n">
        <f aca="false">IFERROR('Price History'!Q3+(INDEX('Price History'!Q:Q,MATCH(9.99E+307,'Price History'!$A:$A))-'Price History'!Q3)*(ROW()-3)/(MATCH(9.99E+307,'Returns (Calc)'!$A:$A)-3),"")</f>
        <v>198.346772151899</v>
      </c>
      <c r="AL28" s="144" t="n">
        <f aca="false">IFERROR('Price History'!R3+(INDEX('Price History'!R:R,MATCH(9.99E+307,'Price History'!$A:$A))-'Price History'!R3)*(ROW()-3)/(MATCH(9.99E+307,'Returns (Calc)'!$A:$A)-3),"")</f>
        <v>40.2535443037975</v>
      </c>
      <c r="AM28" s="144" t="n">
        <f aca="false">IFERROR('Price History'!S3+(INDEX('Price History'!S:S,MATCH(9.99E+307,'Price History'!$A:$A))-'Price History'!S3)*(ROW()-3)/(MATCH(9.99E+307,'Returns (Calc)'!$A:$A)-3),"")</f>
        <v>49.2773417721519</v>
      </c>
      <c r="AN28" s="144" t="n">
        <f aca="false">IFERROR('Price History'!T3+(INDEX('Price History'!T:T,MATCH(9.99E+307,'Price History'!$A:$A))-'Price History'!T3)*(ROW()-3)/(MATCH(9.99E+307,'Returns (Calc)'!$A:$A)-3),"")</f>
        <v>22.6520886075949</v>
      </c>
      <c r="AO28" s="145" t="n">
        <f aca="false">IFERROR('Price History'!V3+(INDEX('Price History'!V:V,MATCH(9.99E+307,'Price History'!$A:$A))-'Price History'!V3)*(ROW()-3)/(MATCH(9.99E+307,'Returns (Calc)'!$A:$A)-3),"")</f>
        <v>0</v>
      </c>
    </row>
    <row r="29" customFormat="false" ht="15" hidden="false" customHeight="true" outlineLevel="0" collapsed="false">
      <c r="A29" s="141" t="n">
        <f aca="false">IF('Price History'!A30="","",'Price History'!A30)</f>
        <v>45373</v>
      </c>
      <c r="B29" s="142" t="n">
        <f aca="false">IFERROR(IF(OR(NOT(ISNUMBER('Price History'!B30)),NOT(ISNUMBER('Price History'!B29)),'Price History'!B29=0),"",'Price History'!B30/'Price History'!B29-1),"")</f>
        <v>0.0143361897412988</v>
      </c>
      <c r="C29" s="142" t="n">
        <f aca="false">IFERROR(IF(OR(NOT(ISNUMBER('Price History'!C30)),NOT(ISNUMBER('Price History'!C29)),'Price History'!C29=0),"",'Price History'!C30/'Price History'!C29-1),"")</f>
        <v>0.103413510010082</v>
      </c>
      <c r="D29" s="142" t="n">
        <f aca="false">IFERROR(IF(OR(NOT(ISNUMBER('Price History'!D30)),NOT(ISNUMBER('Price History'!D29)),'Price History'!D29=0),"",'Price History'!D30/'Price History'!D29-1),"")</f>
        <v>0.042275999088037</v>
      </c>
      <c r="E29" s="142" t="n">
        <f aca="false">IFERROR(IF(OR(NOT(ISNUMBER('Price History'!E30)),NOT(ISNUMBER('Price History'!E29)),'Price History'!E29=0),"",'Price History'!E30/'Price History'!E29-1),"")</f>
        <v>0.100208073241781</v>
      </c>
      <c r="F29" s="142" t="n">
        <f aca="false">IFERROR(IF(OR(NOT(ISNUMBER('Price History'!F30)),NOT(ISNUMBER('Price History'!F29)),'Price History'!F29=0),"",'Price History'!F30/'Price History'!F29-1),"")</f>
        <v>0.0273345847020179</v>
      </c>
      <c r="G29" s="142" t="n">
        <f aca="false">IFERROR(IF(OR(NOT(ISNUMBER('Price History'!G30)),NOT(ISNUMBER('Price History'!G29)),'Price History'!G29=0),"",'Price History'!G30/'Price History'!G29-1),"")</f>
        <v>0.037764541883158</v>
      </c>
      <c r="H29" s="142" t="n">
        <f aca="false">IFERROR(IF(OR(NOT(ISNUMBER('Price History'!H30)),NOT(ISNUMBER('Price History'!H29)),'Price History'!H29=0),"",'Price History'!H30/'Price History'!H29-1),"")</f>
        <v>0.0161947066444568</v>
      </c>
      <c r="I29" s="142" t="n">
        <f aca="false">IFERROR(IF(OR(NOT(ISNUMBER('Price History'!I30)),NOT(ISNUMBER('Price History'!I29)),'Price History'!I29=0),"",'Price History'!I30/'Price History'!I29-1),"")</f>
        <v>0.0390403814632694</v>
      </c>
      <c r="J29" s="142" t="n">
        <f aca="false">IFERROR(IF(OR(NOT(ISNUMBER('Price History'!J30)),NOT(ISNUMBER('Price History'!J29)),'Price History'!J29=0),"",'Price History'!J30/'Price History'!J29-1),"")</f>
        <v>0.181837837837838</v>
      </c>
      <c r="K29" s="142" t="n">
        <f aca="false">IFERROR(IF(OR(NOT(ISNUMBER('Price History'!K30)),NOT(ISNUMBER('Price History'!K29)),'Price History'!K29=0),"",'Price History'!K30/'Price History'!K29-1),"")</f>
        <v>0.0734102066445941</v>
      </c>
      <c r="L29" s="142" t="n">
        <f aca="false">IFERROR(IF(OR(NOT(ISNUMBER('Price History'!L30)),NOT(ISNUMBER('Price History'!L29)),'Price History'!L29=0),"",'Price History'!L30/'Price History'!L29-1),"")</f>
        <v>-0.00303132367800607</v>
      </c>
      <c r="M29" s="142" t="n">
        <f aca="false">IFERROR(IF(OR(NOT(ISNUMBER('Price History'!M30)),NOT(ISNUMBER('Price History'!M29)),'Price History'!M29=0),"",'Price History'!M30/'Price History'!M29-1),"")</f>
        <v>0.029374201787995</v>
      </c>
      <c r="N29" s="142" t="n">
        <f aca="false">IFERROR(IF(OR(NOT(ISNUMBER('Price History'!N30)),NOT(ISNUMBER('Price History'!N29)),'Price History'!N29=0),"",'Price History'!N30/'Price History'!N29-1),"")</f>
        <v>0.0185575706452972</v>
      </c>
      <c r="O29" s="142" t="n">
        <f aca="false">IFERROR(IF(OR(NOT(ISNUMBER('Price History'!O30)),NOT(ISNUMBER('Price History'!O29)),'Price History'!O29=0),"",'Price History'!O30/'Price History'!O29-1),"")</f>
        <v>0.0300868888600701</v>
      </c>
      <c r="P29" s="142" t="n">
        <f aca="false">IFERROR(IF(OR(NOT(ISNUMBER('Price History'!P30)),NOT(ISNUMBER('Price History'!P29)),'Price History'!P29=0),"",'Price History'!P30/'Price History'!P29-1),"")</f>
        <v>0.0301746956061408</v>
      </c>
      <c r="Q29" s="142" t="n">
        <f aca="false">IFERROR(IF(OR(NOT(ISNUMBER('Price History'!Q30)),NOT(ISNUMBER('Price History'!Q29)),'Price History'!Q29=0),"",'Price History'!Q30/'Price History'!Q29-1),"")</f>
        <v>0.000792050691244439</v>
      </c>
      <c r="R29" s="142" t="n">
        <f aca="false">IFERROR(IF(OR(NOT(ISNUMBER('Price History'!R30)),NOT(ISNUMBER('Price History'!R29)),'Price History'!R29=0),"",'Price History'!R30/'Price History'!R29-1),"")</f>
        <v>-0.00323871213564497</v>
      </c>
      <c r="S29" s="142" t="n">
        <f aca="false">IFERROR(IF(OR(NOT(ISNUMBER('Price History'!S30)),NOT(ISNUMBER('Price History'!S29)),'Price History'!S29=0),"",'Price History'!S30/'Price History'!S29-1),"")</f>
        <v>0.00835016835016833</v>
      </c>
      <c r="T29" s="142" t="n">
        <f aca="false">IFERROR(IF(OR(NOT(ISNUMBER('Price History'!T30)),NOT(ISNUMBER('Price History'!T29)),'Price History'!T29=0),"",'Price History'!T30/'Price History'!T29-1),"")</f>
        <v>0.00838281522878104</v>
      </c>
      <c r="U29" s="142" t="str">
        <f aca="false">IFERROR(IF(OR(NOT(ISNUMBER('Price History'!U30)),NOT(ISNUMBER('Price History'!U29)),'Price History'!U29=0),"",'Price History'!U30/'Price History'!U29-1),"")</f>
        <v/>
      </c>
      <c r="V29" s="143" t="n">
        <f aca="false">IFERROR(IF(OR(NOT(ISNUMBER('Price History'!V30)),NOT(ISNUMBER('Price History'!V29)),'Price History'!V29=0),"",'Price History'!V30/'Price History'!V29-1),"")</f>
        <v>0.00770421704511959</v>
      </c>
      <c r="W29" s="144" t="str">
        <f aca="false">IFERROR('Price History'!B3+(INDEX('Price History'!B:B,MATCH(9.99E+307,'Price History'!$A:$A))-'Price History'!B3)*(ROW()-3)/(MATCH(9.99E+307,'Returns (Calc)'!$A:$A)-3),"")</f>
        <v/>
      </c>
      <c r="X29" s="144" t="n">
        <f aca="false">IFERROR('Price History'!C3+(INDEX('Price History'!C:C,MATCH(9.99E+307,'Price History'!$A:$A))-'Price History'!C3)*(ROW()-3)/(MATCH(9.99E+307,'Returns (Calc)'!$A:$A)-3),"")</f>
        <v>38.5807594936709</v>
      </c>
      <c r="Y29" s="144" t="n">
        <f aca="false">IFERROR('Price History'!D3+(INDEX('Price History'!D:D,MATCH(9.99E+307,'Price History'!$A:$A))-'Price History'!D3)*(ROW()-3)/(MATCH(9.99E+307,'Returns (Calc)'!$A:$A)-3),"")</f>
        <v>486.236202531646</v>
      </c>
      <c r="Z29" s="144" t="n">
        <f aca="false">IFERROR('Price History'!E3+(INDEX('Price History'!E:E,MATCH(9.99E+307,'Price History'!$A:$A))-'Price History'!E3)*(ROW()-3)/(MATCH(9.99E+307,'Returns (Calc)'!$A:$A)-3),"")</f>
        <v>68.5063291139241</v>
      </c>
      <c r="AA29" s="144" t="n">
        <f aca="false">IFERROR('Price History'!F3+(INDEX('Price History'!F:F,MATCH(9.99E+307,'Price History'!$A:$A))-'Price History'!F3)*(ROW()-3)/(MATCH(9.99E+307,'Returns (Calc)'!$A:$A)-3),"")</f>
        <v>62.9172151898734</v>
      </c>
      <c r="AB29" s="144" t="n">
        <f aca="false">IFERROR('Price History'!G3+(INDEX('Price History'!G:G,MATCH(9.99E+307,'Price History'!$A:$A))-'Price History'!G3)*(ROW()-3)/(MATCH(9.99E+307,'Returns (Calc)'!$A:$A)-3),"")</f>
        <v>34.5539240506329</v>
      </c>
      <c r="AC29" s="144" t="n">
        <f aca="false">IFERROR('Price History'!H3+(INDEX('Price History'!H:H,MATCH(9.99E+307,'Price History'!$A:$A))-'Price History'!H3)*(ROW()-3)/(MATCH(9.99E+307,'Returns (Calc)'!$A:$A)-3),"")</f>
        <v>84.0372151898734</v>
      </c>
      <c r="AD29" s="144" t="n">
        <f aca="false">IFERROR('Price History'!I3+(INDEX('Price History'!I:I,MATCH(9.99E+307,'Price History'!$A:$A))-'Price History'!I3)*(ROW()-3)/(MATCH(9.99E+307,'Returns (Calc)'!$A:$A)-3),"")</f>
        <v>37.0518987341772</v>
      </c>
      <c r="AE29" s="144" t="n">
        <f aca="false">IFERROR('Price History'!J3+(INDEX('Price History'!J:J,MATCH(9.99E+307,'Price History'!$A:$A))-'Price History'!J3)*(ROW()-3)/(MATCH(9.99E+307,'Returns (Calc)'!$A:$A)-3),"")</f>
        <v>57.7374683544304</v>
      </c>
      <c r="AF29" s="144" t="n">
        <f aca="false">IFERROR('Price History'!K3+(INDEX('Price History'!K:K,MATCH(9.99E+307,'Price History'!$A:$A))-'Price History'!K3)*(ROW()-3)/(MATCH(9.99E+307,'Returns (Calc)'!$A:$A)-3),"")</f>
        <v>36.5673417721519</v>
      </c>
      <c r="AG29" s="144" t="n">
        <f aca="false">IFERROR('Price History'!L3+(INDEX('Price History'!L:L,MATCH(9.99E+307,'Price History'!$A:$A))-'Price History'!L3)*(ROW()-3)/(MATCH(9.99E+307,'Returns (Calc)'!$A:$A)-3),"")</f>
        <v>93.4359493670886</v>
      </c>
      <c r="AH29" s="144" t="n">
        <f aca="false">IFERROR('Price History'!M3+(INDEX('Price History'!M:M,MATCH(9.99E+307,'Price History'!$A:$A))-'Price History'!M3)*(ROW()-3)/(MATCH(9.99E+307,'Returns (Calc)'!$A:$A)-3),"")</f>
        <v>12.8073417721519</v>
      </c>
      <c r="AI29" s="144" t="n">
        <f aca="false">IFERROR('Price History'!N3+(INDEX('Price History'!N:N,MATCH(9.99E+307,'Price History'!$A:$A))-'Price History'!N3)*(ROW()-3)/(MATCH(9.99E+307,'Returns (Calc)'!$A:$A)-3),"")</f>
        <v>18.2126582278481</v>
      </c>
      <c r="AJ29" s="144" t="n">
        <f aca="false">IFERROR('Price History'!O3+(INDEX('Price History'!O:O,MATCH(9.99E+307,'Price History'!$A:$A))-'Price History'!O3)*(ROW()-3)/(MATCH(9.99E+307,'Returns (Calc)'!$A:$A)-3),"")</f>
        <v>48.146582278481</v>
      </c>
      <c r="AK29" s="144" t="n">
        <f aca="false">IFERROR('Price History'!Q3+(INDEX('Price History'!Q:Q,MATCH(9.99E+307,'Price History'!$A:$A))-'Price History'!Q3)*(ROW()-3)/(MATCH(9.99E+307,'Returns (Calc)'!$A:$A)-3),"")</f>
        <v>196.855443037975</v>
      </c>
      <c r="AL29" s="144" t="n">
        <f aca="false">IFERROR('Price History'!R3+(INDEX('Price History'!R:R,MATCH(9.99E+307,'Price History'!$A:$A))-'Price History'!R3)*(ROW()-3)/(MATCH(9.99E+307,'Returns (Calc)'!$A:$A)-3),"")</f>
        <v>39.9508860759494</v>
      </c>
      <c r="AM29" s="144" t="n">
        <f aca="false">IFERROR('Price History'!S3+(INDEX('Price History'!S:S,MATCH(9.99E+307,'Price History'!$A:$A))-'Price History'!S3)*(ROW()-3)/(MATCH(9.99E+307,'Returns (Calc)'!$A:$A)-3),"")</f>
        <v>48.906835443038</v>
      </c>
      <c r="AN29" s="144" t="n">
        <f aca="false">IFERROR('Price History'!T3+(INDEX('Price History'!T:T,MATCH(9.99E+307,'Price History'!$A:$A))-'Price History'!T3)*(ROW()-3)/(MATCH(9.99E+307,'Returns (Calc)'!$A:$A)-3),"")</f>
        <v>22.4817721518987</v>
      </c>
      <c r="AO29" s="145" t="n">
        <f aca="false">IFERROR('Price History'!V3+(INDEX('Price History'!V:V,MATCH(9.99E+307,'Price History'!$A:$A))-'Price History'!V3)*(ROW()-3)/(MATCH(9.99E+307,'Returns (Calc)'!$A:$A)-3),"")</f>
        <v>0</v>
      </c>
    </row>
    <row r="30" customFormat="false" ht="15" hidden="false" customHeight="true" outlineLevel="0" collapsed="false">
      <c r="A30" s="141" t="n">
        <f aca="false">IF('Price History'!A31="","",'Price History'!A31)</f>
        <v>45380</v>
      </c>
      <c r="B30" s="142" t="n">
        <f aca="false">IFERROR(IF(OR(NOT(ISNUMBER('Price History'!B31)),NOT(ISNUMBER('Price History'!B30)),'Price History'!B30=0),"",'Price History'!B31/'Price History'!B30-1),"")</f>
        <v>0.0101697629724535</v>
      </c>
      <c r="C30" s="142" t="n">
        <f aca="false">IFERROR(IF(OR(NOT(ISNUMBER('Price History'!C31)),NOT(ISNUMBER('Price History'!C30)),'Price History'!C30=0),"",'Price History'!C31/'Price History'!C30-1),"")</f>
        <v>-0.0536483487795327</v>
      </c>
      <c r="D30" s="142" t="n">
        <f aca="false">IFERROR(IF(OR(NOT(ISNUMBER('Price History'!D31)),NOT(ISNUMBER('Price History'!D30)),'Price History'!D30=0),"",'Price History'!D31/'Price History'!D30-1),"")</f>
        <v>-0.00968719727508516</v>
      </c>
      <c r="E30" s="142" t="n">
        <f aca="false">IFERROR(IF(OR(NOT(ISNUMBER('Price History'!E31)),NOT(ISNUMBER('Price History'!E30)),'Price History'!E30=0),"",'Price History'!E31/'Price History'!E30-1),"")</f>
        <v>-0.0207277403737046</v>
      </c>
      <c r="F30" s="142" t="n">
        <f aca="false">IFERROR(IF(OR(NOT(ISNUMBER('Price History'!F31)),NOT(ISNUMBER('Price History'!F30)),'Price History'!F30=0),"",'Price History'!F31/'Price History'!F30-1),"")</f>
        <v>0.0286627840584677</v>
      </c>
      <c r="G30" s="142" t="n">
        <f aca="false">IFERROR(IF(OR(NOT(ISNUMBER('Price History'!G31)),NOT(ISNUMBER('Price History'!G30)),'Price History'!G30=0),"",'Price History'!G31/'Price History'!G30-1),"")</f>
        <v>-0.0212480156307241</v>
      </c>
      <c r="H30" s="142" t="n">
        <f aca="false">IFERROR(IF(OR(NOT(ISNUMBER('Price History'!H31)),NOT(ISNUMBER('Price History'!H30)),'Price History'!H30=0),"",'Price History'!H31/'Price History'!H30-1),"")</f>
        <v>0.0252253893088061</v>
      </c>
      <c r="I30" s="142" t="n">
        <f aca="false">IFERROR(IF(OR(NOT(ISNUMBER('Price History'!I31)),NOT(ISNUMBER('Price History'!I30)),'Price History'!I30=0),"",'Price History'!I31/'Price History'!I30-1),"")</f>
        <v>-0.0169224150293992</v>
      </c>
      <c r="J30" s="142" t="n">
        <f aca="false">IFERROR(IF(OR(NOT(ISNUMBER('Price History'!J31)),NOT(ISNUMBER('Price History'!J30)),'Price History'!J30=0),"",'Price History'!J31/'Price History'!J30-1),"")</f>
        <v>0.0707098426637396</v>
      </c>
      <c r="K30" s="142" t="n">
        <f aca="false">IFERROR(IF(OR(NOT(ISNUMBER('Price History'!K31)),NOT(ISNUMBER('Price History'!K30)),'Price History'!K30=0),"",'Price History'!K31/'Price History'!K30-1),"")</f>
        <v>-0.0416932567538821</v>
      </c>
      <c r="L30" s="142" t="n">
        <f aca="false">IFERROR(IF(OR(NOT(ISNUMBER('Price History'!L31)),NOT(ISNUMBER('Price History'!L30)),'Price History'!L30=0),"",'Price History'!L31/'Price History'!L30-1),"")</f>
        <v>0.0124155405405406</v>
      </c>
      <c r="M30" s="142" t="n">
        <f aca="false">IFERROR(IF(OR(NOT(ISNUMBER('Price History'!M31)),NOT(ISNUMBER('Price History'!M30)),'Price History'!M30=0),"",'Price History'!M31/'Price History'!M30-1),"")</f>
        <v>-0.0483870967741935</v>
      </c>
      <c r="N30" s="142" t="n">
        <f aca="false">IFERROR(IF(OR(NOT(ISNUMBER('Price History'!N31)),NOT(ISNUMBER('Price History'!N30)),'Price History'!N30=0),"",'Price History'!N31/'Price History'!N30-1),"")</f>
        <v>0.0157349896480332</v>
      </c>
      <c r="O30" s="142" t="n">
        <f aca="false">IFERROR(IF(OR(NOT(ISNUMBER('Price History'!O31)),NOT(ISNUMBER('Price History'!O30)),'Price History'!O30=0),"",'Price History'!O31/'Price History'!O30-1),"")</f>
        <v>-0.00755382097444302</v>
      </c>
      <c r="P30" s="142" t="n">
        <f aca="false">IFERROR(IF(OR(NOT(ISNUMBER('Price History'!P31)),NOT(ISNUMBER('Price History'!P30)),'Price History'!P30=0),"",'Price History'!P31/'Price History'!P30-1),"")</f>
        <v>-0.0319336367640581</v>
      </c>
      <c r="Q30" s="142" t="n">
        <f aca="false">IFERROR(IF(OR(NOT(ISNUMBER('Price History'!Q31)),NOT(ISNUMBER('Price History'!Q30)),'Price History'!Q30=0),"",'Price History'!Q31/'Price History'!Q30-1),"")</f>
        <v>-0.0147492625368733</v>
      </c>
      <c r="R30" s="142" t="n">
        <f aca="false">IFERROR(IF(OR(NOT(ISNUMBER('Price History'!R31)),NOT(ISNUMBER('Price History'!R30)),'Price History'!R30=0),"",'Price History'!R31/'Price History'!R30-1),"")</f>
        <v>0.0126146788990824</v>
      </c>
      <c r="S30" s="142" t="n">
        <f aca="false">IFERROR(IF(OR(NOT(ISNUMBER('Price History'!S31)),NOT(ISNUMBER('Price History'!S30)),'Price History'!S30=0),"",'Price History'!S31/'Price History'!S30-1),"")</f>
        <v>0.0224388940830773</v>
      </c>
      <c r="T30" s="142" t="n">
        <f aca="false">IFERROR(IF(OR(NOT(ISNUMBER('Price History'!T31)),NOT(ISNUMBER('Price History'!T30)),'Price History'!T30=0),"",'Price History'!T31/'Price History'!T30-1),"")</f>
        <v>0.0218219605126428</v>
      </c>
      <c r="U30" s="142" t="str">
        <f aca="false">IFERROR(IF(OR(NOT(ISNUMBER('Price History'!U31)),NOT(ISNUMBER('Price History'!U30)),'Price History'!U30=0),"",'Price History'!U31/'Price History'!U30-1),"")</f>
        <v/>
      </c>
      <c r="V30" s="143" t="n">
        <f aca="false">IFERROR(IF(OR(NOT(ISNUMBER('Price History'!V31)),NOT(ISNUMBER('Price History'!V30)),'Price History'!V30=0),"",'Price History'!V31/'Price History'!V30-1),"")</f>
        <v>0.0180707466071623</v>
      </c>
      <c r="W30" s="144" t="str">
        <f aca="false">IFERROR('Price History'!B3+(INDEX('Price History'!B:B,MATCH(9.99E+307,'Price History'!$A:$A))-'Price History'!B3)*(ROW()-3)/(MATCH(9.99E+307,'Returns (Calc)'!$A:$A)-3),"")</f>
        <v/>
      </c>
      <c r="X30" s="144" t="n">
        <f aca="false">IFERROR('Price History'!C3+(INDEX('Price History'!C:C,MATCH(9.99E+307,'Price History'!$A:$A))-'Price History'!C3)*(ROW()-3)/(MATCH(9.99E+307,'Returns (Calc)'!$A:$A)-3),"")</f>
        <v>38.2884810126582</v>
      </c>
      <c r="Y30" s="144" t="n">
        <f aca="false">IFERROR('Price History'!D3+(INDEX('Price History'!D:D,MATCH(9.99E+307,'Price History'!$A:$A))-'Price History'!D3)*(ROW()-3)/(MATCH(9.99E+307,'Returns (Calc)'!$A:$A)-3),"")</f>
        <v>482.552594936709</v>
      </c>
      <c r="Z30" s="144" t="n">
        <f aca="false">IFERROR('Price History'!E3+(INDEX('Price History'!E:E,MATCH(9.99E+307,'Price History'!$A:$A))-'Price History'!E3)*(ROW()-3)/(MATCH(9.99E+307,'Returns (Calc)'!$A:$A)-3),"")</f>
        <v>67.9873417721519</v>
      </c>
      <c r="AA30" s="144" t="n">
        <f aca="false">IFERROR('Price History'!F3+(INDEX('Price History'!F:F,MATCH(9.99E+307,'Price History'!$A:$A))-'Price History'!F3)*(ROW()-3)/(MATCH(9.99E+307,'Returns (Calc)'!$A:$A)-3),"")</f>
        <v>62.4405696202532</v>
      </c>
      <c r="AB30" s="144" t="n">
        <f aca="false">IFERROR('Price History'!G3+(INDEX('Price History'!G:G,MATCH(9.99E+307,'Price History'!$A:$A))-'Price History'!G3)*(ROW()-3)/(MATCH(9.99E+307,'Returns (Calc)'!$A:$A)-3),"")</f>
        <v>34.2921518987342</v>
      </c>
      <c r="AC30" s="144" t="n">
        <f aca="false">IFERROR('Price History'!H3+(INDEX('Price History'!H:H,MATCH(9.99E+307,'Price History'!$A:$A))-'Price History'!H3)*(ROW()-3)/(MATCH(9.99E+307,'Returns (Calc)'!$A:$A)-3),"")</f>
        <v>83.4005696202532</v>
      </c>
      <c r="AD30" s="144" t="n">
        <f aca="false">IFERROR('Price History'!I3+(INDEX('Price History'!I:I,MATCH(9.99E+307,'Price History'!$A:$A))-'Price History'!I3)*(ROW()-3)/(MATCH(9.99E+307,'Returns (Calc)'!$A:$A)-3),"")</f>
        <v>36.7712025316456</v>
      </c>
      <c r="AE30" s="144" t="n">
        <f aca="false">IFERROR('Price History'!J3+(INDEX('Price History'!J:J,MATCH(9.99E+307,'Price History'!$A:$A))-'Price History'!J3)*(ROW()-3)/(MATCH(9.99E+307,'Returns (Calc)'!$A:$A)-3),"")</f>
        <v>57.3000632911392</v>
      </c>
      <c r="AF30" s="144" t="n">
        <f aca="false">IFERROR('Price History'!K3+(INDEX('Price History'!K:K,MATCH(9.99E+307,'Price History'!$A:$A))-'Price History'!K3)*(ROW()-3)/(MATCH(9.99E+307,'Returns (Calc)'!$A:$A)-3),"")</f>
        <v>36.2903164556962</v>
      </c>
      <c r="AG30" s="144" t="n">
        <f aca="false">IFERROR('Price History'!L3+(INDEX('Price History'!L:L,MATCH(9.99E+307,'Price History'!$A:$A))-'Price History'!L3)*(ROW()-3)/(MATCH(9.99E+307,'Returns (Calc)'!$A:$A)-3),"")</f>
        <v>92.7281012658228</v>
      </c>
      <c r="AH30" s="144" t="n">
        <f aca="false">IFERROR('Price History'!M3+(INDEX('Price History'!M:M,MATCH(9.99E+307,'Price History'!$A:$A))-'Price History'!M3)*(ROW()-3)/(MATCH(9.99E+307,'Returns (Calc)'!$A:$A)-3),"")</f>
        <v>12.7103164556962</v>
      </c>
      <c r="AI30" s="144" t="n">
        <f aca="false">IFERROR('Price History'!N3+(INDEX('Price History'!N:N,MATCH(9.99E+307,'Price History'!$A:$A))-'Price History'!N3)*(ROW()-3)/(MATCH(9.99E+307,'Returns (Calc)'!$A:$A)-3),"")</f>
        <v>18.0746835443038</v>
      </c>
      <c r="AJ30" s="144" t="n">
        <f aca="false">IFERROR('Price History'!O3+(INDEX('Price History'!O:O,MATCH(9.99E+307,'Price History'!$A:$A))-'Price History'!O3)*(ROW()-3)/(MATCH(9.99E+307,'Returns (Calc)'!$A:$A)-3),"")</f>
        <v>47.781835443038</v>
      </c>
      <c r="AK30" s="144" t="n">
        <f aca="false">IFERROR('Price History'!Q3+(INDEX('Price History'!Q:Q,MATCH(9.99E+307,'Price History'!$A:$A))-'Price History'!Q3)*(ROW()-3)/(MATCH(9.99E+307,'Returns (Calc)'!$A:$A)-3),"")</f>
        <v>195.364113924051</v>
      </c>
      <c r="AL30" s="144" t="n">
        <f aca="false">IFERROR('Price History'!R3+(INDEX('Price History'!R:R,MATCH(9.99E+307,'Price History'!$A:$A))-'Price History'!R3)*(ROW()-3)/(MATCH(9.99E+307,'Returns (Calc)'!$A:$A)-3),"")</f>
        <v>39.6482278481013</v>
      </c>
      <c r="AM30" s="144" t="n">
        <f aca="false">IFERROR('Price History'!S3+(INDEX('Price History'!S:S,MATCH(9.99E+307,'Price History'!$A:$A))-'Price History'!S3)*(ROW()-3)/(MATCH(9.99E+307,'Returns (Calc)'!$A:$A)-3),"")</f>
        <v>48.5363291139241</v>
      </c>
      <c r="AN30" s="144" t="n">
        <f aca="false">IFERROR('Price History'!T3+(INDEX('Price History'!T:T,MATCH(9.99E+307,'Price History'!$A:$A))-'Price History'!T3)*(ROW()-3)/(MATCH(9.99E+307,'Returns (Calc)'!$A:$A)-3),"")</f>
        <v>22.3114556962025</v>
      </c>
      <c r="AO30" s="145" t="n">
        <f aca="false">IFERROR('Price History'!V3+(INDEX('Price History'!V:V,MATCH(9.99E+307,'Price History'!$A:$A))-'Price History'!V3)*(ROW()-3)/(MATCH(9.99E+307,'Returns (Calc)'!$A:$A)-3),"")</f>
        <v>0</v>
      </c>
    </row>
    <row r="31" customFormat="false" ht="15" hidden="false" customHeight="true" outlineLevel="0" collapsed="false">
      <c r="A31" s="141" t="n">
        <f aca="false">IF('Price History'!A32="","",'Price History'!A32)</f>
        <v>45387</v>
      </c>
      <c r="B31" s="142" t="n">
        <f aca="false">IFERROR(IF(OR(NOT(ISNUMBER('Price History'!B32)),NOT(ISNUMBER('Price History'!B31)),'Price History'!B31=0),"",'Price History'!B32/'Price History'!B31-1),"")</f>
        <v>-0.0386048355132779</v>
      </c>
      <c r="C31" s="142" t="n">
        <f aca="false">IFERROR(IF(OR(NOT(ISNUMBER('Price History'!C32)),NOT(ISNUMBER('Price History'!C31)),'Price History'!C31=0),"",'Price History'!C32/'Price History'!C31-1),"")</f>
        <v>0.0262068965517241</v>
      </c>
      <c r="D31" s="142" t="n">
        <f aca="false">IFERROR(IF(OR(NOT(ISNUMBER('Price History'!D32)),NOT(ISNUMBER('Price History'!D31)),'Price History'!D31=0),"",'Price History'!D32/'Price History'!D31-1),"")</f>
        <v>0.00936122768819736</v>
      </c>
      <c r="E31" s="142" t="n">
        <f aca="false">IFERROR(IF(OR(NOT(ISNUMBER('Price History'!E32)),NOT(ISNUMBER('Price History'!E31)),'Price History'!E31=0),"",'Price History'!E32/'Price History'!E31-1),"")</f>
        <v>0.010583236770954</v>
      </c>
      <c r="F31" s="142" t="n">
        <f aca="false">IFERROR(IF(OR(NOT(ISNUMBER('Price History'!F32)),NOT(ISNUMBER('Price History'!F31)),'Price History'!F31=0),"",'Price History'!F32/'Price History'!F31-1),"")</f>
        <v>-0.0215364120781527</v>
      </c>
      <c r="G31" s="142" t="n">
        <f aca="false">IFERROR(IF(OR(NOT(ISNUMBER('Price History'!G32)),NOT(ISNUMBER('Price History'!G31)),'Price History'!G31=0),"",'Price History'!G32/'Price History'!G31-1),"")</f>
        <v>-0.015845290081098</v>
      </c>
      <c r="H31" s="142" t="n">
        <f aca="false">IFERROR(IF(OR(NOT(ISNUMBER('Price History'!H32)),NOT(ISNUMBER('Price History'!H31)),'Price History'!H31=0),"",'Price History'!H32/'Price History'!H31-1),"")</f>
        <v>-0.0177651447859301</v>
      </c>
      <c r="I31" s="142" t="n">
        <f aca="false">IFERROR(IF(OR(NOT(ISNUMBER('Price History'!I32)),NOT(ISNUMBER('Price History'!I31)),'Price History'!I31=0),"",'Price History'!I32/'Price History'!I31-1),"")</f>
        <v>-0.022465353756382</v>
      </c>
      <c r="J31" s="142" t="n">
        <f aca="false">IFERROR(IF(OR(NOT(ISNUMBER('Price History'!J32)),NOT(ISNUMBER('Price History'!J31)),'Price History'!J31=0),"",'Price History'!J32/'Price History'!J31-1),"")</f>
        <v>0.0482699700982487</v>
      </c>
      <c r="K31" s="142" t="n">
        <f aca="false">IFERROR(IF(OR(NOT(ISNUMBER('Price History'!K32)),NOT(ISNUMBER('Price History'!K31)),'Price History'!K31=0),"",'Price History'!K32/'Price History'!K31-1),"")</f>
        <v>-0.0259711431742508</v>
      </c>
      <c r="L31" s="142" t="n">
        <f aca="false">IFERROR(IF(OR(NOT(ISNUMBER('Price History'!L32)),NOT(ISNUMBER('Price History'!L31)),'Price History'!L31=0),"",'Price History'!L32/'Price History'!L31-1),"")</f>
        <v>-0.0421289730541421</v>
      </c>
      <c r="M31" s="142" t="n">
        <f aca="false">IFERROR(IF(OR(NOT(ISNUMBER('Price History'!M32)),NOT(ISNUMBER('Price History'!M31)),'Price History'!M31=0),"",'Price History'!M32/'Price History'!M31-1),"")</f>
        <v>-0.00217296827466318</v>
      </c>
      <c r="N31" s="142" t="n">
        <f aca="false">IFERROR(IF(OR(NOT(ISNUMBER('Price History'!N32)),NOT(ISNUMBER('Price History'!N31)),'Price History'!N31=0),"",'Price History'!N32/'Price History'!N31-1),"")</f>
        <v>-0.0203832042397065</v>
      </c>
      <c r="O31" s="142" t="n">
        <f aca="false">IFERROR(IF(OR(NOT(ISNUMBER('Price History'!O32)),NOT(ISNUMBER('Price History'!O31)),'Price History'!O31=0),"",'Price History'!O32/'Price History'!O31-1),"")</f>
        <v>0.00291767093746032</v>
      </c>
      <c r="P31" s="142" t="n">
        <f aca="false">IFERROR(IF(OR(NOT(ISNUMBER('Price History'!P32)),NOT(ISNUMBER('Price History'!P31)),'Price History'!P31=0),"",'Price History'!P32/'Price History'!P31-1),"")</f>
        <v>0.0389777811481002</v>
      </c>
      <c r="Q31" s="142" t="n">
        <f aca="false">IFERROR(IF(OR(NOT(ISNUMBER('Price History'!Q32)),NOT(ISNUMBER('Price History'!Q31)),'Price History'!Q31=0),"",'Price History'!Q32/'Price History'!Q31-1),"")</f>
        <v>-0.00697385716372123</v>
      </c>
      <c r="R31" s="142" t="n">
        <f aca="false">IFERROR(IF(OR(NOT(ISNUMBER('Price History'!R32)),NOT(ISNUMBER('Price History'!R31)),'Price History'!R31=0),"",'Price History'!R32/'Price History'!R31-1),"")</f>
        <v>0.00528501321253305</v>
      </c>
      <c r="S31" s="142" t="n">
        <f aca="false">IFERROR(IF(OR(NOT(ISNUMBER('Price History'!S32)),NOT(ISNUMBER('Price History'!S31)),'Price History'!S31=0),"",'Price History'!S32/'Price History'!S31-1),"")</f>
        <v>0.0280862181580668</v>
      </c>
      <c r="T31" s="142" t="n">
        <f aca="false">IFERROR(IF(OR(NOT(ISNUMBER('Price History'!T32)),NOT(ISNUMBER('Price History'!T31)),'Price History'!T31=0),"",'Price History'!T32/'Price History'!T31-1),"")</f>
        <v>0.0220338983050847</v>
      </c>
      <c r="U31" s="142" t="str">
        <f aca="false">IFERROR(IF(OR(NOT(ISNUMBER('Price History'!U32)),NOT(ISNUMBER('Price History'!U31)),'Price History'!U31=0),"",'Price History'!U32/'Price History'!U31-1),"")</f>
        <v/>
      </c>
      <c r="V31" s="143" t="n">
        <f aca="false">IFERROR(IF(OR(NOT(ISNUMBER('Price History'!V32)),NOT(ISNUMBER('Price History'!V31)),'Price History'!V31=0),"",'Price History'!V32/'Price History'!V31-1),"")</f>
        <v>-0.00154503970392728</v>
      </c>
      <c r="W31" s="144" t="str">
        <f aca="false">IFERROR('Price History'!B3+(INDEX('Price History'!B:B,MATCH(9.99E+307,'Price History'!$A:$A))-'Price History'!B3)*(ROW()-3)/(MATCH(9.99E+307,'Returns (Calc)'!$A:$A)-3),"")</f>
        <v/>
      </c>
      <c r="X31" s="144" t="n">
        <f aca="false">IFERROR('Price History'!C3+(INDEX('Price History'!C:C,MATCH(9.99E+307,'Price History'!$A:$A))-'Price History'!C3)*(ROW()-3)/(MATCH(9.99E+307,'Returns (Calc)'!$A:$A)-3),"")</f>
        <v>37.9962025316456</v>
      </c>
      <c r="Y31" s="144" t="n">
        <f aca="false">IFERROR('Price History'!D3+(INDEX('Price History'!D:D,MATCH(9.99E+307,'Price History'!$A:$A))-'Price History'!D3)*(ROW()-3)/(MATCH(9.99E+307,'Returns (Calc)'!$A:$A)-3),"")</f>
        <v>478.868987341772</v>
      </c>
      <c r="Z31" s="144" t="n">
        <f aca="false">IFERROR('Price History'!E3+(INDEX('Price History'!E:E,MATCH(9.99E+307,'Price History'!$A:$A))-'Price History'!E3)*(ROW()-3)/(MATCH(9.99E+307,'Returns (Calc)'!$A:$A)-3),"")</f>
        <v>67.4683544303798</v>
      </c>
      <c r="AA31" s="144" t="n">
        <f aca="false">IFERROR('Price History'!F3+(INDEX('Price History'!F:F,MATCH(9.99E+307,'Price History'!$A:$A))-'Price History'!F3)*(ROW()-3)/(MATCH(9.99E+307,'Returns (Calc)'!$A:$A)-3),"")</f>
        <v>61.9639240506329</v>
      </c>
      <c r="AB31" s="144" t="n">
        <f aca="false">IFERROR('Price History'!G3+(INDEX('Price History'!G:G,MATCH(9.99E+307,'Price History'!$A:$A))-'Price History'!G3)*(ROW()-3)/(MATCH(9.99E+307,'Returns (Calc)'!$A:$A)-3),"")</f>
        <v>34.0303797468354</v>
      </c>
      <c r="AC31" s="144" t="n">
        <f aca="false">IFERROR('Price History'!H3+(INDEX('Price History'!H:H,MATCH(9.99E+307,'Price History'!$A:$A))-'Price History'!H3)*(ROW()-3)/(MATCH(9.99E+307,'Returns (Calc)'!$A:$A)-3),"")</f>
        <v>82.7639240506329</v>
      </c>
      <c r="AD31" s="144" t="n">
        <f aca="false">IFERROR('Price History'!I3+(INDEX('Price History'!I:I,MATCH(9.99E+307,'Price History'!$A:$A))-'Price History'!I3)*(ROW()-3)/(MATCH(9.99E+307,'Returns (Calc)'!$A:$A)-3),"")</f>
        <v>36.4905063291139</v>
      </c>
      <c r="AE31" s="144" t="n">
        <f aca="false">IFERROR('Price History'!J3+(INDEX('Price History'!J:J,MATCH(9.99E+307,'Price History'!$A:$A))-'Price History'!J3)*(ROW()-3)/(MATCH(9.99E+307,'Returns (Calc)'!$A:$A)-3),"")</f>
        <v>56.8626582278481</v>
      </c>
      <c r="AF31" s="144" t="n">
        <f aca="false">IFERROR('Price History'!K3+(INDEX('Price History'!K:K,MATCH(9.99E+307,'Price History'!$A:$A))-'Price History'!K3)*(ROW()-3)/(MATCH(9.99E+307,'Returns (Calc)'!$A:$A)-3),"")</f>
        <v>36.0132911392405</v>
      </c>
      <c r="AG31" s="144" t="n">
        <f aca="false">IFERROR('Price History'!L3+(INDEX('Price History'!L:L,MATCH(9.99E+307,'Price History'!$A:$A))-'Price History'!L3)*(ROW()-3)/(MATCH(9.99E+307,'Returns (Calc)'!$A:$A)-3),"")</f>
        <v>92.020253164557</v>
      </c>
      <c r="AH31" s="144" t="n">
        <f aca="false">IFERROR('Price History'!M3+(INDEX('Price History'!M:M,MATCH(9.99E+307,'Price History'!$A:$A))-'Price History'!M3)*(ROW()-3)/(MATCH(9.99E+307,'Returns (Calc)'!$A:$A)-3),"")</f>
        <v>12.6132911392405</v>
      </c>
      <c r="AI31" s="144" t="n">
        <f aca="false">IFERROR('Price History'!N3+(INDEX('Price History'!N:N,MATCH(9.99E+307,'Price History'!$A:$A))-'Price History'!N3)*(ROW()-3)/(MATCH(9.99E+307,'Returns (Calc)'!$A:$A)-3),"")</f>
        <v>17.9367088607595</v>
      </c>
      <c r="AJ31" s="144" t="n">
        <f aca="false">IFERROR('Price History'!O3+(INDEX('Price History'!O:O,MATCH(9.99E+307,'Price History'!$A:$A))-'Price History'!O3)*(ROW()-3)/(MATCH(9.99E+307,'Returns (Calc)'!$A:$A)-3),"")</f>
        <v>47.4170886075949</v>
      </c>
      <c r="AK31" s="144" t="n">
        <f aca="false">IFERROR('Price History'!Q3+(INDEX('Price History'!Q:Q,MATCH(9.99E+307,'Price History'!$A:$A))-'Price History'!Q3)*(ROW()-3)/(MATCH(9.99E+307,'Returns (Calc)'!$A:$A)-3),"")</f>
        <v>193.872784810127</v>
      </c>
      <c r="AL31" s="144" t="n">
        <f aca="false">IFERROR('Price History'!R3+(INDEX('Price History'!R:R,MATCH(9.99E+307,'Price History'!$A:$A))-'Price History'!R3)*(ROW()-3)/(MATCH(9.99E+307,'Returns (Calc)'!$A:$A)-3),"")</f>
        <v>39.3455696202532</v>
      </c>
      <c r="AM31" s="144" t="n">
        <f aca="false">IFERROR('Price History'!S3+(INDEX('Price History'!S:S,MATCH(9.99E+307,'Price History'!$A:$A))-'Price History'!S3)*(ROW()-3)/(MATCH(9.99E+307,'Returns (Calc)'!$A:$A)-3),"")</f>
        <v>48.1658227848101</v>
      </c>
      <c r="AN31" s="144" t="n">
        <f aca="false">IFERROR('Price History'!T3+(INDEX('Price History'!T:T,MATCH(9.99E+307,'Price History'!$A:$A))-'Price History'!T3)*(ROW()-3)/(MATCH(9.99E+307,'Returns (Calc)'!$A:$A)-3),"")</f>
        <v>22.1411392405063</v>
      </c>
      <c r="AO31" s="145" t="n">
        <f aca="false">IFERROR('Price History'!V3+(INDEX('Price History'!V:V,MATCH(9.99E+307,'Price History'!$A:$A))-'Price History'!V3)*(ROW()-3)/(MATCH(9.99E+307,'Returns (Calc)'!$A:$A)-3),"")</f>
        <v>0</v>
      </c>
    </row>
    <row r="32" customFormat="false" ht="15" hidden="false" customHeight="true" outlineLevel="0" collapsed="false">
      <c r="A32" s="141" t="n">
        <f aca="false">IF('Price History'!A33="","",'Price History'!A33)</f>
        <v>45394</v>
      </c>
      <c r="B32" s="142" t="n">
        <f aca="false">IFERROR(IF(OR(NOT(ISNUMBER('Price History'!B33)),NOT(ISNUMBER('Price History'!B32)),'Price History'!B32=0),"",'Price History'!B33/'Price History'!B32-1),"")</f>
        <v>-0.0227366424802111</v>
      </c>
      <c r="C32" s="142" t="n">
        <f aca="false">IFERROR(IF(OR(NOT(ISNUMBER('Price History'!C33)),NOT(ISNUMBER('Price History'!C32)),'Price History'!C32=0),"",'Price History'!C33/'Price History'!C32-1),"")</f>
        <v>-0.0885752688172043</v>
      </c>
      <c r="D32" s="142" t="n">
        <f aca="false">IFERROR(IF(OR(NOT(ISNUMBER('Price History'!D33)),NOT(ISNUMBER('Price History'!D32)),'Price History'!D32=0),"",'Price History'!D33/'Price History'!D32-1),"")</f>
        <v>-0.01807988495566</v>
      </c>
      <c r="E32" s="142" t="n">
        <f aca="false">IFERROR(IF(OR(NOT(ISNUMBER('Price History'!E33)),NOT(ISNUMBER('Price History'!E32)),'Price History'!E32=0),"",'Price History'!E33/'Price History'!E32-1),"")</f>
        <v>0.00343984100290484</v>
      </c>
      <c r="F32" s="142" t="n">
        <f aca="false">IFERROR(IF(OR(NOT(ISNUMBER('Price History'!F33)),NOT(ISNUMBER('Price History'!F32)),'Price History'!F32=0),"",'Price History'!F33/'Price History'!F32-1),"")</f>
        <v>-0.0308599954617653</v>
      </c>
      <c r="G32" s="142" t="n">
        <f aca="false">IFERROR(IF(OR(NOT(ISNUMBER('Price History'!G33)),NOT(ISNUMBER('Price History'!G32)),'Price History'!G32=0),"",'Price History'!G33/'Price History'!G32-1),"")</f>
        <v>-0.0205375253549694</v>
      </c>
      <c r="H32" s="142" t="n">
        <f aca="false">IFERROR(IF(OR(NOT(ISNUMBER('Price History'!H33)),NOT(ISNUMBER('Price History'!H32)),'Price History'!H32=0),"",'Price History'!H33/'Price History'!H32-1),"")</f>
        <v>-0.0285765961294989</v>
      </c>
      <c r="I32" s="142" t="n">
        <f aca="false">IFERROR(IF(OR(NOT(ISNUMBER('Price History'!I33)),NOT(ISNUMBER('Price History'!I32)),'Price History'!I32=0),"",'Price History'!I33/'Price History'!I32-1),"")</f>
        <v>-0.00298462915982689</v>
      </c>
      <c r="J32" s="142" t="n">
        <f aca="false">IFERROR(IF(OR(NOT(ISNUMBER('Price History'!J33)),NOT(ISNUMBER('Price History'!J32)),'Price History'!J32=0),"",'Price History'!J33/'Price History'!J32-1),"")</f>
        <v>-0.00855745721271395</v>
      </c>
      <c r="K32" s="142" t="n">
        <f aca="false">IFERROR(IF(OR(NOT(ISNUMBER('Price History'!K33)),NOT(ISNUMBER('Price History'!K32)),'Price History'!K32=0),"",'Price History'!K33/'Price History'!K32-1),"")</f>
        <v>0.00205104831358249</v>
      </c>
      <c r="L32" s="142" t="n">
        <f aca="false">IFERROR(IF(OR(NOT(ISNUMBER('Price History'!L33)),NOT(ISNUMBER('Price History'!L32)),'Price History'!L32=0),"",'Price History'!L33/'Price History'!L32-1),"")</f>
        <v>-0.0459850200313533</v>
      </c>
      <c r="M32" s="142" t="n">
        <f aca="false">IFERROR(IF(OR(NOT(ISNUMBER('Price History'!M33)),NOT(ISNUMBER('Price History'!M32)),'Price History'!M32=0),"",'Price History'!M33/'Price History'!M32-1),"")</f>
        <v>-0.0126306620209059</v>
      </c>
      <c r="N32" s="142" t="n">
        <f aca="false">IFERROR(IF(OR(NOT(ISNUMBER('Price History'!N33)),NOT(ISNUMBER('Price History'!N32)),'Price History'!N32=0),"",'Price History'!N33/'Price History'!N32-1),"")</f>
        <v>-0.0278818143986684</v>
      </c>
      <c r="O32" s="142" t="n">
        <f aca="false">IFERROR(IF(OR(NOT(ISNUMBER('Price History'!O33)),NOT(ISNUMBER('Price History'!O32)),'Price History'!O32=0),"",'Price History'!O33/'Price History'!O32-1),"")</f>
        <v>-0.0140399696433089</v>
      </c>
      <c r="P32" s="142" t="n">
        <f aca="false">IFERROR(IF(OR(NOT(ISNUMBER('Price History'!P33)),NOT(ISNUMBER('Price History'!P32)),'Price History'!P32=0),"",'Price History'!P33/'Price History'!P32-1),"")</f>
        <v>0.00824757316984148</v>
      </c>
      <c r="Q32" s="142" t="n">
        <f aca="false">IFERROR(IF(OR(NOT(ISNUMBER('Price History'!Q33)),NOT(ISNUMBER('Price History'!Q32)),'Price History'!Q32=0),"",'Price History'!Q33/'Price History'!Q32-1),"")</f>
        <v>-0.00422840754494991</v>
      </c>
      <c r="R32" s="142" t="n">
        <f aca="false">IFERROR(IF(OR(NOT(ISNUMBER('Price History'!R33)),NOT(ISNUMBER('Price History'!R32)),'Price History'!R32=0),"",'Price History'!R33/'Price History'!R32-1),"")</f>
        <v>-0.00131430717236203</v>
      </c>
      <c r="S32" s="142" t="n">
        <f aca="false">IFERROR(IF(OR(NOT(ISNUMBER('Price History'!S33)),NOT(ISNUMBER('Price History'!S32)),'Price History'!S32=0),"",'Price History'!S33/'Price History'!S32-1),"")</f>
        <v>0.00381194409148655</v>
      </c>
      <c r="T32" s="142" t="n">
        <f aca="false">IFERROR(IF(OR(NOT(ISNUMBER('Price History'!T33)),NOT(ISNUMBER('Price History'!T32)),'Price History'!T32=0),"",'Price History'!T33/'Price History'!T32-1),"")</f>
        <v>0.0195688225538972</v>
      </c>
      <c r="U32" s="142" t="str">
        <f aca="false">IFERROR(IF(OR(NOT(ISNUMBER('Price History'!U33)),NOT(ISNUMBER('Price History'!U32)),'Price History'!U32=0),"",'Price History'!U33/'Price History'!U32-1),"")</f>
        <v/>
      </c>
      <c r="V32" s="143" t="n">
        <f aca="false">IFERROR(IF(OR(NOT(ISNUMBER('Price History'!V33)),NOT(ISNUMBER('Price History'!V32)),'Price History'!V32=0),"",'Price History'!V33/'Price History'!V32-1),"")</f>
        <v>-0.0110119476032819</v>
      </c>
      <c r="W32" s="144" t="str">
        <f aca="false">IFERROR('Price History'!B3+(INDEX('Price History'!B:B,MATCH(9.99E+307,'Price History'!$A:$A))-'Price History'!B3)*(ROW()-3)/(MATCH(9.99E+307,'Returns (Calc)'!$A:$A)-3),"")</f>
        <v/>
      </c>
      <c r="X32" s="144" t="n">
        <f aca="false">IFERROR('Price History'!C3+(INDEX('Price History'!C:C,MATCH(9.99E+307,'Price History'!$A:$A))-'Price History'!C3)*(ROW()-3)/(MATCH(9.99E+307,'Returns (Calc)'!$A:$A)-3),"")</f>
        <v>37.7039240506329</v>
      </c>
      <c r="Y32" s="144" t="n">
        <f aca="false">IFERROR('Price History'!D3+(INDEX('Price History'!D:D,MATCH(9.99E+307,'Price History'!$A:$A))-'Price History'!D3)*(ROW()-3)/(MATCH(9.99E+307,'Returns (Calc)'!$A:$A)-3),"")</f>
        <v>475.185379746835</v>
      </c>
      <c r="Z32" s="144" t="n">
        <f aca="false">IFERROR('Price History'!E3+(INDEX('Price History'!E:E,MATCH(9.99E+307,'Price History'!$A:$A))-'Price History'!E3)*(ROW()-3)/(MATCH(9.99E+307,'Returns (Calc)'!$A:$A)-3),"")</f>
        <v>66.9493670886076</v>
      </c>
      <c r="AA32" s="144" t="n">
        <f aca="false">IFERROR('Price History'!F3+(INDEX('Price History'!F:F,MATCH(9.99E+307,'Price History'!$A:$A))-'Price History'!F3)*(ROW()-3)/(MATCH(9.99E+307,'Returns (Calc)'!$A:$A)-3),"")</f>
        <v>61.4872784810127</v>
      </c>
      <c r="AB32" s="144" t="n">
        <f aca="false">IFERROR('Price History'!G3+(INDEX('Price History'!G:G,MATCH(9.99E+307,'Price History'!$A:$A))-'Price History'!G3)*(ROW()-3)/(MATCH(9.99E+307,'Returns (Calc)'!$A:$A)-3),"")</f>
        <v>33.7686075949367</v>
      </c>
      <c r="AC32" s="144" t="n">
        <f aca="false">IFERROR('Price History'!H3+(INDEX('Price History'!H:H,MATCH(9.99E+307,'Price History'!$A:$A))-'Price History'!H3)*(ROW()-3)/(MATCH(9.99E+307,'Returns (Calc)'!$A:$A)-3),"")</f>
        <v>82.1272784810127</v>
      </c>
      <c r="AD32" s="144" t="n">
        <f aca="false">IFERROR('Price History'!I3+(INDEX('Price History'!I:I,MATCH(9.99E+307,'Price History'!$A:$A))-'Price History'!I3)*(ROW()-3)/(MATCH(9.99E+307,'Returns (Calc)'!$A:$A)-3),"")</f>
        <v>36.2098101265823</v>
      </c>
      <c r="AE32" s="144" t="n">
        <f aca="false">IFERROR('Price History'!J3+(INDEX('Price History'!J:J,MATCH(9.99E+307,'Price History'!$A:$A))-'Price History'!J3)*(ROW()-3)/(MATCH(9.99E+307,'Returns (Calc)'!$A:$A)-3),"")</f>
        <v>56.425253164557</v>
      </c>
      <c r="AF32" s="144" t="n">
        <f aca="false">IFERROR('Price History'!K3+(INDEX('Price History'!K:K,MATCH(9.99E+307,'Price History'!$A:$A))-'Price History'!K3)*(ROW()-3)/(MATCH(9.99E+307,'Returns (Calc)'!$A:$A)-3),"")</f>
        <v>35.7362658227848</v>
      </c>
      <c r="AG32" s="144" t="n">
        <f aca="false">IFERROR('Price History'!L3+(INDEX('Price History'!L:L,MATCH(9.99E+307,'Price History'!$A:$A))-'Price History'!L3)*(ROW()-3)/(MATCH(9.99E+307,'Returns (Calc)'!$A:$A)-3),"")</f>
        <v>91.3124050632911</v>
      </c>
      <c r="AH32" s="144" t="n">
        <f aca="false">IFERROR('Price History'!M3+(INDEX('Price History'!M:M,MATCH(9.99E+307,'Price History'!$A:$A))-'Price History'!M3)*(ROW()-3)/(MATCH(9.99E+307,'Returns (Calc)'!$A:$A)-3),"")</f>
        <v>12.5162658227848</v>
      </c>
      <c r="AI32" s="144" t="n">
        <f aca="false">IFERROR('Price History'!N3+(INDEX('Price History'!N:N,MATCH(9.99E+307,'Price History'!$A:$A))-'Price History'!N3)*(ROW()-3)/(MATCH(9.99E+307,'Returns (Calc)'!$A:$A)-3),"")</f>
        <v>17.7987341772152</v>
      </c>
      <c r="AJ32" s="144" t="n">
        <f aca="false">IFERROR('Price History'!O3+(INDEX('Price History'!O:O,MATCH(9.99E+307,'Price History'!$A:$A))-'Price History'!O3)*(ROW()-3)/(MATCH(9.99E+307,'Returns (Calc)'!$A:$A)-3),"")</f>
        <v>47.0523417721519</v>
      </c>
      <c r="AK32" s="144" t="n">
        <f aca="false">IFERROR('Price History'!Q3+(INDEX('Price History'!Q:Q,MATCH(9.99E+307,'Price History'!$A:$A))-'Price History'!Q3)*(ROW()-3)/(MATCH(9.99E+307,'Returns (Calc)'!$A:$A)-3),"")</f>
        <v>192.381455696203</v>
      </c>
      <c r="AL32" s="144" t="n">
        <f aca="false">IFERROR('Price History'!R3+(INDEX('Price History'!R:R,MATCH(9.99E+307,'Price History'!$A:$A))-'Price History'!R3)*(ROW()-3)/(MATCH(9.99E+307,'Returns (Calc)'!$A:$A)-3),"")</f>
        <v>39.0429113924051</v>
      </c>
      <c r="AM32" s="144" t="n">
        <f aca="false">IFERROR('Price History'!S3+(INDEX('Price History'!S:S,MATCH(9.99E+307,'Price History'!$A:$A))-'Price History'!S3)*(ROW()-3)/(MATCH(9.99E+307,'Returns (Calc)'!$A:$A)-3),"")</f>
        <v>47.7953164556962</v>
      </c>
      <c r="AN32" s="144" t="n">
        <f aca="false">IFERROR('Price History'!T3+(INDEX('Price History'!T:T,MATCH(9.99E+307,'Price History'!$A:$A))-'Price History'!T3)*(ROW()-3)/(MATCH(9.99E+307,'Returns (Calc)'!$A:$A)-3),"")</f>
        <v>21.9708227848101</v>
      </c>
      <c r="AO32" s="145" t="n">
        <f aca="false">IFERROR('Price History'!V3+(INDEX('Price History'!V:V,MATCH(9.99E+307,'Price History'!$A:$A))-'Price History'!V3)*(ROW()-3)/(MATCH(9.99E+307,'Returns (Calc)'!$A:$A)-3),"")</f>
        <v>0</v>
      </c>
    </row>
    <row r="33" customFormat="false" ht="15" hidden="false" customHeight="true" outlineLevel="0" collapsed="false">
      <c r="A33" s="141" t="n">
        <f aca="false">IF('Price History'!A34="","",'Price History'!A34)</f>
        <v>45401</v>
      </c>
      <c r="B33" s="142" t="n">
        <f aca="false">IFERROR(IF(OR(NOT(ISNUMBER('Price History'!B34)),NOT(ISNUMBER('Price History'!B33)),'Price History'!B33=0),"",'Price History'!B34/'Price History'!B33-1),"")</f>
        <v>-0.0191313885549157</v>
      </c>
      <c r="C33" s="142" t="n">
        <f aca="false">IFERROR(IF(OR(NOT(ISNUMBER('Price History'!C34)),NOT(ISNUMBER('Price History'!C33)),'Price History'!C33=0),"",'Price History'!C34/'Price History'!C33-1),"")</f>
        <v>-0.0927591800619377</v>
      </c>
      <c r="D33" s="142" t="n">
        <f aca="false">IFERROR(IF(OR(NOT(ISNUMBER('Price History'!D34)),NOT(ISNUMBER('Price History'!D33)),'Price History'!D33=0),"",'Price History'!D34/'Price History'!D33-1),"")</f>
        <v>-0.106359044020886</v>
      </c>
      <c r="E33" s="142" t="n">
        <f aca="false">IFERROR(IF(OR(NOT(ISNUMBER('Price History'!E34)),NOT(ISNUMBER('Price History'!E33)),'Price History'!E33=0),"",'Price History'!E34/'Price History'!E33-1),"")</f>
        <v>-0.103679439323532</v>
      </c>
      <c r="F33" s="142" t="n">
        <f aca="false">IFERROR(IF(OR(NOT(ISNUMBER('Price History'!F34)),NOT(ISNUMBER('Price History'!F33)),'Price History'!F33=0),"",'Price History'!F34/'Price History'!F33-1),"")</f>
        <v>-0.00901428236946844</v>
      </c>
      <c r="G33" s="142" t="n">
        <f aca="false">IFERROR(IF(OR(NOT(ISNUMBER('Price History'!G34)),NOT(ISNUMBER('Price History'!G33)),'Price History'!G33=0),"",'Price History'!G34/'Price History'!G33-1),"")</f>
        <v>-0.0854258348433861</v>
      </c>
      <c r="H33" s="142" t="n">
        <f aca="false">IFERROR(IF(OR(NOT(ISNUMBER('Price History'!H34)),NOT(ISNUMBER('Price History'!H33)),'Price History'!H33=0),"",'Price History'!H34/'Price History'!H33-1),"")</f>
        <v>0.00986780860175007</v>
      </c>
      <c r="I33" s="142" t="n">
        <f aca="false">IFERROR(IF(OR(NOT(ISNUMBER('Price History'!I34)),NOT(ISNUMBER('Price History'!I33)),'Price History'!I33=0),"",'Price History'!I34/'Price History'!I33-1),"")</f>
        <v>-0.0773836252058076</v>
      </c>
      <c r="J33" s="142" t="n">
        <f aca="false">IFERROR(IF(OR(NOT(ISNUMBER('Price History'!J34)),NOT(ISNUMBER('Price History'!J33)),'Price History'!J33=0),"",'Price History'!J34/'Price History'!J33-1),"")</f>
        <v>-0.128565556925606</v>
      </c>
      <c r="K33" s="142" t="n">
        <f aca="false">IFERROR(IF(OR(NOT(ISNUMBER('Price History'!K34)),NOT(ISNUMBER('Price History'!K33)),'Price History'!K33=0),"",'Price History'!K34/'Price History'!K33-1),"")</f>
        <v>-0.136001819422333</v>
      </c>
      <c r="L33" s="142" t="n">
        <f aca="false">IFERROR(IF(OR(NOT(ISNUMBER('Price History'!L34)),NOT(ISNUMBER('Price History'!L33)),'Price History'!L33=0),"",'Price History'!L34/'Price History'!L33-1),"")</f>
        <v>-0.130363337593573</v>
      </c>
      <c r="M33" s="142" t="n">
        <f aca="false">IFERROR(IF(OR(NOT(ISNUMBER('Price History'!M34)),NOT(ISNUMBER('Price History'!M33)),'Price History'!M33=0),"",'Price History'!M34/'Price History'!M33-1),"")</f>
        <v>-0.0970445522717248</v>
      </c>
      <c r="N33" s="142" t="n">
        <f aca="false">IFERROR(IF(OR(NOT(ISNUMBER('Price History'!N34)),NOT(ISNUMBER('Price History'!N33)),'Price History'!N33=0),"",'Price History'!N34/'Price History'!N33-1),"")</f>
        <v>-0.00171232876712324</v>
      </c>
      <c r="O33" s="142" t="n">
        <f aca="false">IFERROR(IF(OR(NOT(ISNUMBER('Price History'!O34)),NOT(ISNUMBER('Price History'!O33)),'Price History'!O33=0),"",'Price History'!O34/'Price History'!O33-1),"")</f>
        <v>-0.0568313021167416</v>
      </c>
      <c r="P33" s="142" t="n">
        <f aca="false">IFERROR(IF(OR(NOT(ISNUMBER('Price History'!P34)),NOT(ISNUMBER('Price History'!P33)),'Price History'!P33=0),"",'Price History'!P34/'Price History'!P33-1),"")</f>
        <v>-0.104024902273056</v>
      </c>
      <c r="Q33" s="142" t="n">
        <f aca="false">IFERROR(IF(OR(NOT(ISNUMBER('Price History'!Q34)),NOT(ISNUMBER('Price History'!Q33)),'Price History'!Q33=0),"",'Price History'!Q34/'Price History'!Q33-1),"")</f>
        <v>-0.0224134111217783</v>
      </c>
      <c r="R33" s="142" t="n">
        <f aca="false">IFERROR(IF(OR(NOT(ISNUMBER('Price History'!R34)),NOT(ISNUMBER('Price History'!R33)),'Price History'!R33=0),"",'Price History'!R34/'Price History'!R33-1),"")</f>
        <v>-0.00526414739612713</v>
      </c>
      <c r="S33" s="142" t="n">
        <f aca="false">IFERROR(IF(OR(NOT(ISNUMBER('Price History'!S34)),NOT(ISNUMBER('Price History'!S33)),'Price History'!S33=0),"",'Price History'!S34/'Price History'!S33-1),"")</f>
        <v>-0.00518987341772148</v>
      </c>
      <c r="T33" s="142" t="n">
        <f aca="false">IFERROR(IF(OR(NOT(ISNUMBER('Price History'!T34)),NOT(ISNUMBER('Price History'!T33)),'Price History'!T33=0),"",'Price History'!T34/'Price History'!T33-1),"")</f>
        <v>0.0136629798308394</v>
      </c>
      <c r="U33" s="142" t="str">
        <f aca="false">IFERROR(IF(OR(NOT(ISNUMBER('Price History'!U34)),NOT(ISNUMBER('Price History'!U33)),'Price History'!U33=0),"",'Price History'!U34/'Price History'!U33-1),"")</f>
        <v/>
      </c>
      <c r="V33" s="143" t="n">
        <f aca="false">IFERROR(IF(OR(NOT(ISNUMBER('Price History'!V34)),NOT(ISNUMBER('Price History'!V33)),'Price History'!V33=0),"",'Price History'!V34/'Price History'!V33-1),"")</f>
        <v>0.0106979113601631</v>
      </c>
      <c r="W33" s="144" t="str">
        <f aca="false">IFERROR('Price History'!B3+(INDEX('Price History'!B:B,MATCH(9.99E+307,'Price History'!$A:$A))-'Price History'!B3)*(ROW()-3)/(MATCH(9.99E+307,'Returns (Calc)'!$A:$A)-3),"")</f>
        <v/>
      </c>
      <c r="X33" s="144" t="n">
        <f aca="false">IFERROR('Price History'!C3+(INDEX('Price History'!C:C,MATCH(9.99E+307,'Price History'!$A:$A))-'Price History'!C3)*(ROW()-3)/(MATCH(9.99E+307,'Returns (Calc)'!$A:$A)-3),"")</f>
        <v>37.4116455696203</v>
      </c>
      <c r="Y33" s="144" t="n">
        <f aca="false">IFERROR('Price History'!D3+(INDEX('Price History'!D:D,MATCH(9.99E+307,'Price History'!$A:$A))-'Price History'!D3)*(ROW()-3)/(MATCH(9.99E+307,'Returns (Calc)'!$A:$A)-3),"")</f>
        <v>471.501772151899</v>
      </c>
      <c r="Z33" s="144" t="n">
        <f aca="false">IFERROR('Price History'!E3+(INDEX('Price History'!E:E,MATCH(9.99E+307,'Price History'!$A:$A))-'Price History'!E3)*(ROW()-3)/(MATCH(9.99E+307,'Returns (Calc)'!$A:$A)-3),"")</f>
        <v>66.4303797468354</v>
      </c>
      <c r="AA33" s="144" t="n">
        <f aca="false">IFERROR('Price History'!F3+(INDEX('Price History'!F:F,MATCH(9.99E+307,'Price History'!$A:$A))-'Price History'!F3)*(ROW()-3)/(MATCH(9.99E+307,'Returns (Calc)'!$A:$A)-3),"")</f>
        <v>61.0106329113924</v>
      </c>
      <c r="AB33" s="144" t="n">
        <f aca="false">IFERROR('Price History'!G3+(INDEX('Price History'!G:G,MATCH(9.99E+307,'Price History'!$A:$A))-'Price History'!G3)*(ROW()-3)/(MATCH(9.99E+307,'Returns (Calc)'!$A:$A)-3),"")</f>
        <v>33.506835443038</v>
      </c>
      <c r="AC33" s="144" t="n">
        <f aca="false">IFERROR('Price History'!H3+(INDEX('Price History'!H:H,MATCH(9.99E+307,'Price History'!$A:$A))-'Price History'!H3)*(ROW()-3)/(MATCH(9.99E+307,'Returns (Calc)'!$A:$A)-3),"")</f>
        <v>81.4906329113924</v>
      </c>
      <c r="AD33" s="144" t="n">
        <f aca="false">IFERROR('Price History'!I3+(INDEX('Price History'!I:I,MATCH(9.99E+307,'Price History'!$A:$A))-'Price History'!I3)*(ROW()-3)/(MATCH(9.99E+307,'Returns (Calc)'!$A:$A)-3),"")</f>
        <v>35.9291139240506</v>
      </c>
      <c r="AE33" s="144" t="n">
        <f aca="false">IFERROR('Price History'!J3+(INDEX('Price History'!J:J,MATCH(9.99E+307,'Price History'!$A:$A))-'Price History'!J3)*(ROW()-3)/(MATCH(9.99E+307,'Returns (Calc)'!$A:$A)-3),"")</f>
        <v>55.9878481012658</v>
      </c>
      <c r="AF33" s="144" t="n">
        <f aca="false">IFERROR('Price History'!K3+(INDEX('Price History'!K:K,MATCH(9.99E+307,'Price History'!$A:$A))-'Price History'!K3)*(ROW()-3)/(MATCH(9.99E+307,'Returns (Calc)'!$A:$A)-3),"")</f>
        <v>35.4592405063291</v>
      </c>
      <c r="AG33" s="144" t="n">
        <f aca="false">IFERROR('Price History'!L3+(INDEX('Price History'!L:L,MATCH(9.99E+307,'Price History'!$A:$A))-'Price History'!L3)*(ROW()-3)/(MATCH(9.99E+307,'Returns (Calc)'!$A:$A)-3),"")</f>
        <v>90.6045569620253</v>
      </c>
      <c r="AH33" s="144" t="n">
        <f aca="false">IFERROR('Price History'!M3+(INDEX('Price History'!M:M,MATCH(9.99E+307,'Price History'!$A:$A))-'Price History'!M3)*(ROW()-3)/(MATCH(9.99E+307,'Returns (Calc)'!$A:$A)-3),"")</f>
        <v>12.4192405063291</v>
      </c>
      <c r="AI33" s="144" t="n">
        <f aca="false">IFERROR('Price History'!N3+(INDEX('Price History'!N:N,MATCH(9.99E+307,'Price History'!$A:$A))-'Price History'!N3)*(ROW()-3)/(MATCH(9.99E+307,'Returns (Calc)'!$A:$A)-3),"")</f>
        <v>17.6607594936709</v>
      </c>
      <c r="AJ33" s="144" t="n">
        <f aca="false">IFERROR('Price History'!O3+(INDEX('Price History'!O:O,MATCH(9.99E+307,'Price History'!$A:$A))-'Price History'!O3)*(ROW()-3)/(MATCH(9.99E+307,'Returns (Calc)'!$A:$A)-3),"")</f>
        <v>46.6875949367089</v>
      </c>
      <c r="AK33" s="144" t="n">
        <f aca="false">IFERROR('Price History'!Q3+(INDEX('Price History'!Q:Q,MATCH(9.99E+307,'Price History'!$A:$A))-'Price History'!Q3)*(ROW()-3)/(MATCH(9.99E+307,'Returns (Calc)'!$A:$A)-3),"")</f>
        <v>190.890126582278</v>
      </c>
      <c r="AL33" s="144" t="n">
        <f aca="false">IFERROR('Price History'!R3+(INDEX('Price History'!R:R,MATCH(9.99E+307,'Price History'!$A:$A))-'Price History'!R3)*(ROW()-3)/(MATCH(9.99E+307,'Returns (Calc)'!$A:$A)-3),"")</f>
        <v>38.740253164557</v>
      </c>
      <c r="AM33" s="144" t="n">
        <f aca="false">IFERROR('Price History'!S3+(INDEX('Price History'!S:S,MATCH(9.99E+307,'Price History'!$A:$A))-'Price History'!S3)*(ROW()-3)/(MATCH(9.99E+307,'Returns (Calc)'!$A:$A)-3),"")</f>
        <v>47.4248101265823</v>
      </c>
      <c r="AN33" s="144" t="n">
        <f aca="false">IFERROR('Price History'!T3+(INDEX('Price History'!T:T,MATCH(9.99E+307,'Price History'!$A:$A))-'Price History'!T3)*(ROW()-3)/(MATCH(9.99E+307,'Returns (Calc)'!$A:$A)-3),"")</f>
        <v>21.8005063291139</v>
      </c>
      <c r="AO33" s="145" t="n">
        <f aca="false">IFERROR('Price History'!V3+(INDEX('Price History'!V:V,MATCH(9.99E+307,'Price History'!$A:$A))-'Price History'!V3)*(ROW()-3)/(MATCH(9.99E+307,'Returns (Calc)'!$A:$A)-3),"")</f>
        <v>0</v>
      </c>
    </row>
    <row r="34" customFormat="false" ht="15" hidden="false" customHeight="true" outlineLevel="0" collapsed="false">
      <c r="A34" s="141" t="n">
        <f aca="false">IF('Price History'!A35="","",'Price History'!A35)</f>
        <v>45408</v>
      </c>
      <c r="B34" s="142" t="n">
        <f aca="false">IFERROR(IF(OR(NOT(ISNUMBER('Price History'!B35)),NOT(ISNUMBER('Price History'!B34)),'Price History'!B34=0),"",'Price History'!B35/'Price History'!B34-1),"")</f>
        <v>0.0269665820824911</v>
      </c>
      <c r="C34" s="142" t="n">
        <f aca="false">IFERROR(IF(OR(NOT(ISNUMBER('Price History'!C35)),NOT(ISNUMBER('Price History'!C34)),'Price History'!C34=0),"",'Price History'!C35/'Price History'!C34-1),"")</f>
        <v>0.0757477243172953</v>
      </c>
      <c r="D34" s="142" t="n">
        <f aca="false">IFERROR(IF(OR(NOT(ISNUMBER('Price History'!D35)),NOT(ISNUMBER('Price History'!D34)),'Price History'!D34=0),"",'Price History'!D35/'Price History'!D34-1),"")</f>
        <v>0.0713607106381968</v>
      </c>
      <c r="E34" s="142" t="n">
        <f aca="false">IFERROR(IF(OR(NOT(ISNUMBER('Price History'!E35)),NOT(ISNUMBER('Price History'!E34)),'Price History'!E34=0),"",'Price History'!E35/'Price History'!E34-1),"")</f>
        <v>0.115672276049635</v>
      </c>
      <c r="F34" s="142" t="n">
        <f aca="false">IFERROR(IF(OR(NOT(ISNUMBER('Price History'!F35)),NOT(ISNUMBER('Price History'!F34)),'Price History'!F34=0),"",'Price History'!F35/'Price History'!F34-1),"")</f>
        <v>0.0248080330773774</v>
      </c>
      <c r="G34" s="142" t="n">
        <f aca="false">IFERROR(IF(OR(NOT(ISNUMBER('Price History'!G35)),NOT(ISNUMBER('Price History'!G34)),'Price History'!G34=0),"",'Price History'!G35/'Price History'!G34-1),"")</f>
        <v>0.0758562128502689</v>
      </c>
      <c r="H34" s="142" t="n">
        <f aca="false">IFERROR(IF(OR(NOT(ISNUMBER('Price History'!H35)),NOT(ISNUMBER('Price History'!H34)),'Price History'!H34=0),"",'Price History'!H35/'Price History'!H34-1),"")</f>
        <v>0.00912610619469012</v>
      </c>
      <c r="I34" s="142" t="n">
        <f aca="false">IFERROR(IF(OR(NOT(ISNUMBER('Price History'!I35)),NOT(ISNUMBER('Price History'!I34)),'Price History'!I34=0),"",'Price History'!I35/'Price History'!I34-1),"")</f>
        <v>0.124432186891629</v>
      </c>
      <c r="J34" s="142" t="n">
        <f aca="false">IFERROR(IF(OR(NOT(ISNUMBER('Price History'!J35)),NOT(ISNUMBER('Price History'!J34)),'Price History'!J34=0),"",'Price History'!J35/'Price History'!J34-1),"")</f>
        <v>0.0755589095368361</v>
      </c>
      <c r="K34" s="142" t="n">
        <f aca="false">IFERROR(IF(OR(NOT(ISNUMBER('Price History'!K35)),NOT(ISNUMBER('Price History'!K34)),'Price History'!K34=0),"",'Price History'!K35/'Price History'!K34-1),"")</f>
        <v>0.151487233482495</v>
      </c>
      <c r="L34" s="142" t="n">
        <f aca="false">IFERROR(IF(OR(NOT(ISNUMBER('Price History'!L35)),NOT(ISNUMBER('Price History'!L34)),'Price History'!L34=0),"",'Price History'!L35/'Price History'!L34-1),"")</f>
        <v>0.00556372034432084</v>
      </c>
      <c r="M34" s="142" t="n">
        <f aca="false">IFERROR(IF(OR(NOT(ISNUMBER('Price History'!M35)),NOT(ISNUMBER('Price History'!M34)),'Price History'!M34=0),"",'Price History'!M35/'Price History'!M34-1),"")</f>
        <v>0.100146555935515</v>
      </c>
      <c r="N34" s="142" t="n">
        <f aca="false">IFERROR(IF(OR(NOT(ISNUMBER('Price History'!N35)),NOT(ISNUMBER('Price History'!N34)),'Price History'!N34=0),"",'Price History'!N35/'Price History'!N34-1),"")</f>
        <v>0.010720411663808</v>
      </c>
      <c r="O34" s="142" t="n">
        <f aca="false">IFERROR(IF(OR(NOT(ISNUMBER('Price History'!O35)),NOT(ISNUMBER('Price History'!O34)),'Price History'!O34=0),"",'Price History'!O35/'Price History'!O34-1),"")</f>
        <v>0.0300598476605007</v>
      </c>
      <c r="P34" s="142" t="n">
        <f aca="false">IFERROR(IF(OR(NOT(ISNUMBER('Price History'!P35)),NOT(ISNUMBER('Price History'!P34)),'Price History'!P34=0),"",'Price History'!P35/'Price History'!P34-1),"")</f>
        <v>0.0830572836713259</v>
      </c>
      <c r="Q34" s="142" t="n">
        <f aca="false">IFERROR(IF(OR(NOT(ISNUMBER('Price History'!Q35)),NOT(ISNUMBER('Price History'!Q34)),'Price History'!Q34=0),"",'Price History'!Q35/'Price History'!Q34-1),"")</f>
        <v>0.0175637393767705</v>
      </c>
      <c r="R34" s="142" t="n">
        <f aca="false">IFERROR(IF(OR(NOT(ISNUMBER('Price History'!R35)),NOT(ISNUMBER('Price History'!R34)),'Price History'!R34=0),"",'Price History'!R35/'Price History'!R34-1),"")</f>
        <v>0.0255150255150256</v>
      </c>
      <c r="S34" s="142" t="n">
        <f aca="false">IFERROR(IF(OR(NOT(ISNUMBER('Price History'!S35)),NOT(ISNUMBER('Price History'!S34)),'Price History'!S34=0),"",'Price History'!S35/'Price History'!S34-1),"")</f>
        <v>0.028502353989057</v>
      </c>
      <c r="T34" s="142" t="n">
        <f aca="false">IFERROR(IF(OR(NOT(ISNUMBER('Price History'!T35)),NOT(ISNUMBER('Price History'!T34)),'Price History'!T34=0),"",'Price History'!T35/'Price History'!T34-1),"")</f>
        <v>0.0240693196405648</v>
      </c>
      <c r="U34" s="142" t="str">
        <f aca="false">IFERROR(IF(OR(NOT(ISNUMBER('Price History'!U35)),NOT(ISNUMBER('Price History'!U34)),'Price History'!U34=0),"",'Price History'!U35/'Price History'!U34-1),"")</f>
        <v/>
      </c>
      <c r="V34" s="143" t="n">
        <f aca="false">IFERROR(IF(OR(NOT(ISNUMBER('Price History'!V35)),NOT(ISNUMBER('Price History'!V34)),'Price History'!V34=0),"",'Price History'!V35/'Price History'!V34-1),"")</f>
        <v>0.000792050691244439</v>
      </c>
      <c r="W34" s="144" t="str">
        <f aca="false">IFERROR('Price History'!B3+(INDEX('Price History'!B:B,MATCH(9.99E+307,'Price History'!$A:$A))-'Price History'!B3)*(ROW()-3)/(MATCH(9.99E+307,'Returns (Calc)'!$A:$A)-3),"")</f>
        <v/>
      </c>
      <c r="X34" s="144" t="n">
        <f aca="false">IFERROR('Price History'!C3+(INDEX('Price History'!C:C,MATCH(9.99E+307,'Price History'!$A:$A))-'Price History'!C3)*(ROW()-3)/(MATCH(9.99E+307,'Returns (Calc)'!$A:$A)-3),"")</f>
        <v>37.1193670886076</v>
      </c>
      <c r="Y34" s="144" t="n">
        <f aca="false">IFERROR('Price History'!D3+(INDEX('Price History'!D:D,MATCH(9.99E+307,'Price History'!$A:$A))-'Price History'!D3)*(ROW()-3)/(MATCH(9.99E+307,'Returns (Calc)'!$A:$A)-3),"")</f>
        <v>467.818164556962</v>
      </c>
      <c r="Z34" s="144" t="n">
        <f aca="false">IFERROR('Price History'!E3+(INDEX('Price History'!E:E,MATCH(9.99E+307,'Price History'!$A:$A))-'Price History'!E3)*(ROW()-3)/(MATCH(9.99E+307,'Returns (Calc)'!$A:$A)-3),"")</f>
        <v>65.9113924050633</v>
      </c>
      <c r="AA34" s="144" t="n">
        <f aca="false">IFERROR('Price History'!F3+(INDEX('Price History'!F:F,MATCH(9.99E+307,'Price History'!$A:$A))-'Price History'!F3)*(ROW()-3)/(MATCH(9.99E+307,'Returns (Calc)'!$A:$A)-3),"")</f>
        <v>60.5339873417722</v>
      </c>
      <c r="AB34" s="144" t="n">
        <f aca="false">IFERROR('Price History'!G3+(INDEX('Price History'!G:G,MATCH(9.99E+307,'Price History'!$A:$A))-'Price History'!G3)*(ROW()-3)/(MATCH(9.99E+307,'Returns (Calc)'!$A:$A)-3),"")</f>
        <v>33.2450632911392</v>
      </c>
      <c r="AC34" s="144" t="n">
        <f aca="false">IFERROR('Price History'!H3+(INDEX('Price History'!H:H,MATCH(9.99E+307,'Price History'!$A:$A))-'Price History'!H3)*(ROW()-3)/(MATCH(9.99E+307,'Returns (Calc)'!$A:$A)-3),"")</f>
        <v>80.8539873417722</v>
      </c>
      <c r="AD34" s="144" t="n">
        <f aca="false">IFERROR('Price History'!I3+(INDEX('Price History'!I:I,MATCH(9.99E+307,'Price History'!$A:$A))-'Price History'!I3)*(ROW()-3)/(MATCH(9.99E+307,'Returns (Calc)'!$A:$A)-3),"")</f>
        <v>35.648417721519</v>
      </c>
      <c r="AE34" s="144" t="n">
        <f aca="false">IFERROR('Price History'!J3+(INDEX('Price History'!J:J,MATCH(9.99E+307,'Price History'!$A:$A))-'Price History'!J3)*(ROW()-3)/(MATCH(9.99E+307,'Returns (Calc)'!$A:$A)-3),"")</f>
        <v>55.5504430379747</v>
      </c>
      <c r="AF34" s="144" t="n">
        <f aca="false">IFERROR('Price History'!K3+(INDEX('Price History'!K:K,MATCH(9.99E+307,'Price History'!$A:$A))-'Price History'!K3)*(ROW()-3)/(MATCH(9.99E+307,'Returns (Calc)'!$A:$A)-3),"")</f>
        <v>35.1822151898734</v>
      </c>
      <c r="AG34" s="144" t="n">
        <f aca="false">IFERROR('Price History'!L3+(INDEX('Price History'!L:L,MATCH(9.99E+307,'Price History'!$A:$A))-'Price History'!L3)*(ROW()-3)/(MATCH(9.99E+307,'Returns (Calc)'!$A:$A)-3),"")</f>
        <v>89.8967088607595</v>
      </c>
      <c r="AH34" s="144" t="n">
        <f aca="false">IFERROR('Price History'!M3+(INDEX('Price History'!M:M,MATCH(9.99E+307,'Price History'!$A:$A))-'Price History'!M3)*(ROW()-3)/(MATCH(9.99E+307,'Returns (Calc)'!$A:$A)-3),"")</f>
        <v>12.3222151898734</v>
      </c>
      <c r="AI34" s="144" t="n">
        <f aca="false">IFERROR('Price History'!N3+(INDEX('Price History'!N:N,MATCH(9.99E+307,'Price History'!$A:$A))-'Price History'!N3)*(ROW()-3)/(MATCH(9.99E+307,'Returns (Calc)'!$A:$A)-3),"")</f>
        <v>17.5227848101266</v>
      </c>
      <c r="AJ34" s="144" t="n">
        <f aca="false">IFERROR('Price History'!O3+(INDEX('Price History'!O:O,MATCH(9.99E+307,'Price History'!$A:$A))-'Price History'!O3)*(ROW()-3)/(MATCH(9.99E+307,'Returns (Calc)'!$A:$A)-3),"")</f>
        <v>46.3228481012658</v>
      </c>
      <c r="AK34" s="144" t="n">
        <f aca="false">IFERROR('Price History'!Q3+(INDEX('Price History'!Q:Q,MATCH(9.99E+307,'Price History'!$A:$A))-'Price History'!Q3)*(ROW()-3)/(MATCH(9.99E+307,'Returns (Calc)'!$A:$A)-3),"")</f>
        <v>189.398797468354</v>
      </c>
      <c r="AL34" s="144" t="n">
        <f aca="false">IFERROR('Price History'!R3+(INDEX('Price History'!R:R,MATCH(9.99E+307,'Price History'!$A:$A))-'Price History'!R3)*(ROW()-3)/(MATCH(9.99E+307,'Returns (Calc)'!$A:$A)-3),"")</f>
        <v>38.4375949367089</v>
      </c>
      <c r="AM34" s="144" t="n">
        <f aca="false">IFERROR('Price History'!S3+(INDEX('Price History'!S:S,MATCH(9.99E+307,'Price History'!$A:$A))-'Price History'!S3)*(ROW()-3)/(MATCH(9.99E+307,'Returns (Calc)'!$A:$A)-3),"")</f>
        <v>47.0543037974684</v>
      </c>
      <c r="AN34" s="144" t="n">
        <f aca="false">IFERROR('Price History'!T3+(INDEX('Price History'!T:T,MATCH(9.99E+307,'Price History'!$A:$A))-'Price History'!T3)*(ROW()-3)/(MATCH(9.99E+307,'Returns (Calc)'!$A:$A)-3),"")</f>
        <v>21.6301898734177</v>
      </c>
      <c r="AO34" s="145" t="n">
        <f aca="false">IFERROR('Price History'!V3+(INDEX('Price History'!V:V,MATCH(9.99E+307,'Price History'!$A:$A))-'Price History'!V3)*(ROW()-3)/(MATCH(9.99E+307,'Returns (Calc)'!$A:$A)-3),"")</f>
        <v>0</v>
      </c>
    </row>
    <row r="35" customFormat="false" ht="15" hidden="false" customHeight="true" outlineLevel="0" collapsed="false">
      <c r="A35" s="141" t="n">
        <f aca="false">IF('Price History'!A36="","",'Price History'!A36)</f>
        <v>45415</v>
      </c>
      <c r="B35" s="142" t="n">
        <f aca="false">IFERROR(IF(OR(NOT(ISNUMBER('Price History'!B36)),NOT(ISNUMBER('Price History'!B35)),'Price History'!B35=0),"",'Price History'!B36/'Price History'!B35-1),"")</f>
        <v>0.0180500879470642</v>
      </c>
      <c r="C35" s="142" t="n">
        <f aca="false">IFERROR(IF(OR(NOT(ISNUMBER('Price History'!C36)),NOT(ISNUMBER('Price History'!C35)),'Price History'!C35=0),"",'Price History'!C36/'Price History'!C35-1),"")</f>
        <v>0.0365669386521605</v>
      </c>
      <c r="D35" s="142" t="n">
        <f aca="false">IFERROR(IF(OR(NOT(ISNUMBER('Price History'!D36)),NOT(ISNUMBER('Price History'!D35)),'Price History'!D35=0),"",'Price History'!D36/'Price History'!D35-1),"")</f>
        <v>-0.0188660422324447</v>
      </c>
      <c r="E35" s="142" t="n">
        <f aca="false">IFERROR(IF(OR(NOT(ISNUMBER('Price History'!E36)),NOT(ISNUMBER('Price History'!E35)),'Price History'!E35=0),"",'Price History'!E36/'Price History'!E35-1),"")</f>
        <v>-0.0490591909804221</v>
      </c>
      <c r="F35" s="142" t="n">
        <f aca="false">IFERROR(IF(OR(NOT(ISNUMBER('Price History'!F36)),NOT(ISNUMBER('Price History'!F35)),'Price History'!F35=0),"",'Price History'!F36/'Price History'!F35-1),"")</f>
        <v>0.00680115273775228</v>
      </c>
      <c r="G35" s="142" t="n">
        <f aca="false">IFERROR(IF(OR(NOT(ISNUMBER('Price History'!G36)),NOT(ISNUMBER('Price History'!G35)),'Price History'!G35=0),"",'Price History'!G36/'Price History'!G35-1),"")</f>
        <v>0.0201262825572217</v>
      </c>
      <c r="H35" s="142" t="n">
        <f aca="false">IFERROR(IF(OR(NOT(ISNUMBER('Price History'!H36)),NOT(ISNUMBER('Price History'!H35)),'Price History'!H35=0),"",'Price History'!H36/'Price History'!H35-1),"")</f>
        <v>0.0122407965652691</v>
      </c>
      <c r="I35" s="142" t="n">
        <f aca="false">IFERROR(IF(OR(NOT(ISNUMBER('Price History'!I36)),NOT(ISNUMBER('Price History'!I35)),'Price History'!I35=0),"",'Price History'!I36/'Price History'!I35-1),"")</f>
        <v>-0.0137065358534122</v>
      </c>
      <c r="J35" s="142" t="n">
        <f aca="false">IFERROR(IF(OR(NOT(ISNUMBER('Price History'!J36)),NOT(ISNUMBER('Price History'!J35)),'Price History'!J35=0),"",'Price History'!J36/'Price History'!J35-1),"")</f>
        <v>-0.00122785476232246</v>
      </c>
      <c r="K35" s="142" t="n">
        <f aca="false">IFERROR(IF(OR(NOT(ISNUMBER('Price History'!K36)),NOT(ISNUMBER('Price History'!K35)),'Price History'!K35=0),"",'Price History'!K36/'Price History'!K35-1),"")</f>
        <v>0.0120013715853242</v>
      </c>
      <c r="L35" s="142" t="n">
        <f aca="false">IFERROR(IF(OR(NOT(ISNUMBER('Price History'!L36)),NOT(ISNUMBER('Price History'!L35)),'Price History'!L35=0),"",'Price History'!L36/'Price History'!L35-1),"")</f>
        <v>0.0175383651738177</v>
      </c>
      <c r="M35" s="142" t="n">
        <f aca="false">IFERROR(IF(OR(NOT(ISNUMBER('Price History'!M36)),NOT(ISNUMBER('Price History'!M35)),'Price History'!M35=0),"",'Price History'!M36/'Price History'!M35-1),"")</f>
        <v>0.0359680284191828</v>
      </c>
      <c r="N35" s="142" t="n">
        <f aca="false">IFERROR(IF(OR(NOT(ISNUMBER('Price History'!N36)),NOT(ISNUMBER('Price History'!N35)),'Price History'!N35=0),"",'Price History'!N36/'Price History'!N35-1),"")</f>
        <v>0.0063640220619432</v>
      </c>
      <c r="O35" s="142" t="n">
        <f aca="false">IFERROR(IF(OR(NOT(ISNUMBER('Price History'!O36)),NOT(ISNUMBER('Price History'!O35)),'Price History'!O35=0),"",'Price History'!O36/'Price History'!O35-1),"")</f>
        <v>0.00977155684669206</v>
      </c>
      <c r="P35" s="142" t="n">
        <f aca="false">IFERROR(IF(OR(NOT(ISNUMBER('Price History'!P36)),NOT(ISNUMBER('Price History'!P35)),'Price History'!P35=0),"",'Price History'!P36/'Price History'!P35-1),"")</f>
        <v>0.023573293547184</v>
      </c>
      <c r="Q35" s="142" t="n">
        <f aca="false">IFERROR(IF(OR(NOT(ISNUMBER('Price History'!Q36)),NOT(ISNUMBER('Price History'!Q35)),'Price History'!Q35=0),"",'Price History'!Q36/'Price History'!Q35-1),"")</f>
        <v>-0.0219376391982181</v>
      </c>
      <c r="R35" s="142" t="n">
        <f aca="false">IFERROR(IF(OR(NOT(ISNUMBER('Price History'!R36)),NOT(ISNUMBER('Price History'!R35)),'Price History'!R35=0),"",'Price History'!R36/'Price History'!R35-1),"")</f>
        <v>-0.000368595650571235</v>
      </c>
      <c r="S35" s="142" t="n">
        <f aca="false">IFERROR(IF(OR(NOT(ISNUMBER('Price History'!S36)),NOT(ISNUMBER('Price History'!S35)),'Price History'!S35=0),"",'Price History'!S36/'Price History'!S35-1),"")</f>
        <v>-0.00754670295682292</v>
      </c>
      <c r="T35" s="142" t="n">
        <f aca="false">IFERROR(IF(OR(NOT(ISNUMBER('Price History'!T36)),NOT(ISNUMBER('Price History'!T35)),'Price History'!T35=0),"",'Price History'!T36/'Price History'!T35-1),"")</f>
        <v>0.0156690692572861</v>
      </c>
      <c r="U35" s="142" t="str">
        <f aca="false">IFERROR(IF(OR(NOT(ISNUMBER('Price History'!U36)),NOT(ISNUMBER('Price History'!U35)),'Price History'!U35=0),"",'Price History'!U36/'Price History'!U35-1),"")</f>
        <v/>
      </c>
      <c r="V35" s="143" t="str">
        <f aca="false">IFERROR(IF(OR(NOT(ISNUMBER('Price History'!V36)),NOT(ISNUMBER('Price History'!V35)),'Price History'!V35=0),"",'Price History'!V36/'Price History'!V35-1),"")</f>
        <v/>
      </c>
      <c r="W35" s="144" t="str">
        <f aca="false">IFERROR('Price History'!B3+(INDEX('Price History'!B:B,MATCH(9.99E+307,'Price History'!$A:$A))-'Price History'!B3)*(ROW()-3)/(MATCH(9.99E+307,'Returns (Calc)'!$A:$A)-3),"")</f>
        <v/>
      </c>
      <c r="X35" s="144" t="n">
        <f aca="false">IFERROR('Price History'!C3+(INDEX('Price History'!C:C,MATCH(9.99E+307,'Price History'!$A:$A))-'Price History'!C3)*(ROW()-3)/(MATCH(9.99E+307,'Returns (Calc)'!$A:$A)-3),"")</f>
        <v>36.8270886075949</v>
      </c>
      <c r="Y35" s="144" t="n">
        <f aca="false">IFERROR('Price History'!D3+(INDEX('Price History'!D:D,MATCH(9.99E+307,'Price History'!$A:$A))-'Price History'!D3)*(ROW()-3)/(MATCH(9.99E+307,'Returns (Calc)'!$A:$A)-3),"")</f>
        <v>464.134556962025</v>
      </c>
      <c r="Z35" s="144" t="n">
        <f aca="false">IFERROR('Price History'!E3+(INDEX('Price History'!E:E,MATCH(9.99E+307,'Price History'!$A:$A))-'Price History'!E3)*(ROW()-3)/(MATCH(9.99E+307,'Returns (Calc)'!$A:$A)-3),"")</f>
        <v>65.3924050632911</v>
      </c>
      <c r="AA35" s="144" t="n">
        <f aca="false">IFERROR('Price History'!F3+(INDEX('Price History'!F:F,MATCH(9.99E+307,'Price History'!$A:$A))-'Price History'!F3)*(ROW()-3)/(MATCH(9.99E+307,'Returns (Calc)'!$A:$A)-3),"")</f>
        <v>60.0573417721519</v>
      </c>
      <c r="AB35" s="144" t="n">
        <f aca="false">IFERROR('Price History'!G3+(INDEX('Price History'!G:G,MATCH(9.99E+307,'Price History'!$A:$A))-'Price History'!G3)*(ROW()-3)/(MATCH(9.99E+307,'Returns (Calc)'!$A:$A)-3),"")</f>
        <v>32.9832911392405</v>
      </c>
      <c r="AC35" s="144" t="n">
        <f aca="false">IFERROR('Price History'!H3+(INDEX('Price History'!H:H,MATCH(9.99E+307,'Price History'!$A:$A))-'Price History'!H3)*(ROW()-3)/(MATCH(9.99E+307,'Returns (Calc)'!$A:$A)-3),"")</f>
        <v>80.2173417721519</v>
      </c>
      <c r="AD35" s="144" t="n">
        <f aca="false">IFERROR('Price History'!I3+(INDEX('Price History'!I:I,MATCH(9.99E+307,'Price History'!$A:$A))-'Price History'!I3)*(ROW()-3)/(MATCH(9.99E+307,'Returns (Calc)'!$A:$A)-3),"")</f>
        <v>35.3677215189873</v>
      </c>
      <c r="AE35" s="144" t="n">
        <f aca="false">IFERROR('Price History'!J3+(INDEX('Price History'!J:J,MATCH(9.99E+307,'Price History'!$A:$A))-'Price History'!J3)*(ROW()-3)/(MATCH(9.99E+307,'Returns (Calc)'!$A:$A)-3),"")</f>
        <v>55.1130379746835</v>
      </c>
      <c r="AF35" s="144" t="n">
        <f aca="false">IFERROR('Price History'!K3+(INDEX('Price History'!K:K,MATCH(9.99E+307,'Price History'!$A:$A))-'Price History'!K3)*(ROW()-3)/(MATCH(9.99E+307,'Returns (Calc)'!$A:$A)-3),"")</f>
        <v>34.9051898734177</v>
      </c>
      <c r="AG35" s="144" t="n">
        <f aca="false">IFERROR('Price History'!L3+(INDEX('Price History'!L:L,MATCH(9.99E+307,'Price History'!$A:$A))-'Price History'!L3)*(ROW()-3)/(MATCH(9.99E+307,'Returns (Calc)'!$A:$A)-3),"")</f>
        <v>89.1888607594937</v>
      </c>
      <c r="AH35" s="144" t="n">
        <f aca="false">IFERROR('Price History'!M3+(INDEX('Price History'!M:M,MATCH(9.99E+307,'Price History'!$A:$A))-'Price History'!M3)*(ROW()-3)/(MATCH(9.99E+307,'Returns (Calc)'!$A:$A)-3),"")</f>
        <v>12.2251898734177</v>
      </c>
      <c r="AI35" s="144" t="n">
        <f aca="false">IFERROR('Price History'!N3+(INDEX('Price History'!N:N,MATCH(9.99E+307,'Price History'!$A:$A))-'Price History'!N3)*(ROW()-3)/(MATCH(9.99E+307,'Returns (Calc)'!$A:$A)-3),"")</f>
        <v>17.3848101265823</v>
      </c>
      <c r="AJ35" s="144" t="n">
        <f aca="false">IFERROR('Price History'!O3+(INDEX('Price History'!O:O,MATCH(9.99E+307,'Price History'!$A:$A))-'Price History'!O3)*(ROW()-3)/(MATCH(9.99E+307,'Returns (Calc)'!$A:$A)-3),"")</f>
        <v>45.9581012658228</v>
      </c>
      <c r="AK35" s="144" t="n">
        <f aca="false">IFERROR('Price History'!Q3+(INDEX('Price History'!Q:Q,MATCH(9.99E+307,'Price History'!$A:$A))-'Price History'!Q3)*(ROW()-3)/(MATCH(9.99E+307,'Returns (Calc)'!$A:$A)-3),"")</f>
        <v>187.90746835443</v>
      </c>
      <c r="AL35" s="144" t="n">
        <f aca="false">IFERROR('Price History'!R3+(INDEX('Price History'!R:R,MATCH(9.99E+307,'Price History'!$A:$A))-'Price History'!R3)*(ROW()-3)/(MATCH(9.99E+307,'Returns (Calc)'!$A:$A)-3),"")</f>
        <v>38.1349367088608</v>
      </c>
      <c r="AM35" s="144" t="n">
        <f aca="false">IFERROR('Price History'!S3+(INDEX('Price History'!S:S,MATCH(9.99E+307,'Price History'!$A:$A))-'Price History'!S3)*(ROW()-3)/(MATCH(9.99E+307,'Returns (Calc)'!$A:$A)-3),"")</f>
        <v>46.6837974683544</v>
      </c>
      <c r="AN35" s="144" t="n">
        <f aca="false">IFERROR('Price History'!T3+(INDEX('Price History'!T:T,MATCH(9.99E+307,'Price History'!$A:$A))-'Price History'!T3)*(ROW()-3)/(MATCH(9.99E+307,'Returns (Calc)'!$A:$A)-3),"")</f>
        <v>21.4598734177215</v>
      </c>
      <c r="AO35" s="145" t="n">
        <f aca="false">IFERROR('Price History'!V3+(INDEX('Price History'!V:V,MATCH(9.99E+307,'Price History'!$A:$A))-'Price History'!V3)*(ROW()-3)/(MATCH(9.99E+307,'Returns (Calc)'!$A:$A)-3),"")</f>
        <v>0</v>
      </c>
    </row>
    <row r="36" customFormat="false" ht="15" hidden="false" customHeight="true" outlineLevel="0" collapsed="false">
      <c r="A36" s="141" t="n">
        <f aca="false">IF('Price History'!A37="","",'Price History'!A37)</f>
        <v>45422</v>
      </c>
      <c r="B36" s="142" t="n">
        <f aca="false">IFERROR(IF(OR(NOT(ISNUMBER('Price History'!B37)),NOT(ISNUMBER('Price History'!B36)),'Price History'!B36=0),"",'Price History'!B37/'Price History'!B36-1),"")</f>
        <v>-0.00800115183676819</v>
      </c>
      <c r="C36" s="142" t="n">
        <f aca="false">IFERROR(IF(OR(NOT(ISNUMBER('Price History'!C37)),NOT(ISNUMBER('Price History'!C36)),'Price History'!C36=0),"",'Price History'!C37/'Price History'!C36-1),"")</f>
        <v>0.144460641399417</v>
      </c>
      <c r="D36" s="142" t="n">
        <f aca="false">IFERROR(IF(OR(NOT(ISNUMBER('Price History'!D37)),NOT(ISNUMBER('Price History'!D36)),'Price History'!D36=0),"",'Price History'!D37/'Price History'!D36-1),"")</f>
        <v>0.031780642391513</v>
      </c>
      <c r="E36" s="142" t="n">
        <f aca="false">IFERROR(IF(OR(NOT(ISNUMBER('Price History'!E37)),NOT(ISNUMBER('Price History'!E36)),'Price History'!E36=0),"",'Price History'!E37/'Price History'!E36-1),"")</f>
        <v>0.0427781783225185</v>
      </c>
      <c r="F36" s="142" t="n">
        <f aca="false">IFERROR(IF(OR(NOT(ISNUMBER('Price History'!F37)),NOT(ISNUMBER('Price History'!F36)),'Price History'!F36=0),"",'Price History'!F37/'Price History'!F36-1),"")</f>
        <v>0.0172887565834667</v>
      </c>
      <c r="G36" s="142" t="n">
        <f aca="false">IFERROR(IF(OR(NOT(ISNUMBER('Price History'!G37)),NOT(ISNUMBER('Price History'!G36)),'Price History'!G36=0),"",'Price History'!G37/'Price History'!G36-1),"")</f>
        <v>0.0340425531914894</v>
      </c>
      <c r="H36" s="142" t="n">
        <f aca="false">IFERROR(IF(OR(NOT(ISNUMBER('Price History'!H37)),NOT(ISNUMBER('Price History'!H36)),'Price History'!H36=0),"",'Price History'!H37/'Price History'!H36-1),"")</f>
        <v>0.0247270101976356</v>
      </c>
      <c r="I36" s="142" t="n">
        <f aca="false">IFERROR(IF(OR(NOT(ISNUMBER('Price History'!I37)),NOT(ISNUMBER('Price History'!I36)),'Price History'!I36=0),"",'Price History'!I37/'Price History'!I36-1),"")</f>
        <v>0.031158572264482</v>
      </c>
      <c r="J36" s="142" t="n">
        <f aca="false">IFERROR(IF(OR(NOT(ISNUMBER('Price History'!J37)),NOT(ISNUMBER('Price History'!J36)),'Price History'!J36=0),"",'Price History'!J37/'Price History'!J36-1),"")</f>
        <v>0.0570776255707763</v>
      </c>
      <c r="K36" s="142" t="n">
        <f aca="false">IFERROR(IF(OR(NOT(ISNUMBER('Price History'!K37)),NOT(ISNUMBER('Price History'!K36)),'Price History'!K36=0),"",'Price History'!K37/'Price History'!K36-1),"")</f>
        <v>0.0121978766659137</v>
      </c>
      <c r="L36" s="142" t="n">
        <f aca="false">IFERROR(IF(OR(NOT(ISNUMBER('Price History'!L37)),NOT(ISNUMBER('Price History'!L36)),'Price History'!L36=0),"",'Price History'!L37/'Price History'!L36-1),"")</f>
        <v>0.0151841592284807</v>
      </c>
      <c r="M36" s="142" t="n">
        <f aca="false">IFERROR(IF(OR(NOT(ISNUMBER('Price History'!M37)),NOT(ISNUMBER('Price History'!M36)),'Price History'!M36=0),"",'Price History'!M37/'Price History'!M36-1),"")</f>
        <v>-0.11701671667381</v>
      </c>
      <c r="N36" s="142" t="n">
        <f aca="false">IFERROR(IF(OR(NOT(ISNUMBER('Price History'!N37)),NOT(ISNUMBER('Price History'!N36)),'Price History'!N36=0),"",'Price History'!N37/'Price History'!N36-1),"")</f>
        <v>0.0168634064080946</v>
      </c>
      <c r="O36" s="142" t="n">
        <f aca="false">IFERROR(IF(OR(NOT(ISNUMBER('Price History'!O37)),NOT(ISNUMBER('Price History'!O36)),'Price History'!O36=0),"",'Price History'!O37/'Price History'!O36-1),"")</f>
        <v>0.0222309402380019</v>
      </c>
      <c r="P36" s="142" t="n">
        <f aca="false">IFERROR(IF(OR(NOT(ISNUMBER('Price History'!P37)),NOT(ISNUMBER('Price History'!P36)),'Price History'!P36=0),"",'Price History'!P37/'Price History'!P36-1),"")</f>
        <v>0.0543692150717876</v>
      </c>
      <c r="Q36" s="142" t="n">
        <f aca="false">IFERROR(IF(OR(NOT(ISNUMBER('Price History'!Q37)),NOT(ISNUMBER('Price History'!Q36)),'Price History'!Q36=0),"",'Price History'!Q37/'Price History'!Q36-1),"")</f>
        <v>0.045618429541918</v>
      </c>
      <c r="R36" s="142" t="n">
        <f aca="false">IFERROR(IF(OR(NOT(ISNUMBER('Price History'!R37)),NOT(ISNUMBER('Price History'!R36)),'Price History'!R36=0),"",'Price History'!R37/'Price History'!R36-1),"")</f>
        <v>-0.0119837758112095</v>
      </c>
      <c r="S36" s="142" t="n">
        <f aca="false">IFERROR(IF(OR(NOT(ISNUMBER('Price History'!S37)),NOT(ISNUMBER('Price History'!S36)),'Price History'!S36=0),"",'Price History'!S37/'Price History'!S36-1),"")</f>
        <v>0.00286711543256057</v>
      </c>
      <c r="T36" s="142" t="n">
        <f aca="false">IFERROR(IF(OR(NOT(ISNUMBER('Price History'!T37)),NOT(ISNUMBER('Price History'!T36)),'Price History'!T36=0),"",'Price History'!T37/'Price History'!T36-1),"")</f>
        <v>-0.00246837395865474</v>
      </c>
      <c r="U36" s="142" t="str">
        <f aca="false">IFERROR(IF(OR(NOT(ISNUMBER('Price History'!U37)),NOT(ISNUMBER('Price History'!U36)),'Price History'!U36=0),"",'Price History'!U37/'Price History'!U36-1),"")</f>
        <v/>
      </c>
      <c r="V36" s="143" t="str">
        <f aca="false">IFERROR(IF(OR(NOT(ISNUMBER('Price History'!V37)),NOT(ISNUMBER('Price History'!V36)),'Price History'!V36=0),"",'Price History'!V37/'Price History'!V36-1),"")</f>
        <v/>
      </c>
      <c r="W36" s="144" t="str">
        <f aca="false">IFERROR('Price History'!B3+(INDEX('Price History'!B:B,MATCH(9.99E+307,'Price History'!$A:$A))-'Price History'!B3)*(ROW()-3)/(MATCH(9.99E+307,'Returns (Calc)'!$A:$A)-3),"")</f>
        <v/>
      </c>
      <c r="X36" s="144" t="n">
        <f aca="false">IFERROR('Price History'!C3+(INDEX('Price History'!C:C,MATCH(9.99E+307,'Price History'!$A:$A))-'Price History'!C3)*(ROW()-3)/(MATCH(9.99E+307,'Returns (Calc)'!$A:$A)-3),"")</f>
        <v>36.5348101265823</v>
      </c>
      <c r="Y36" s="144" t="n">
        <f aca="false">IFERROR('Price History'!D3+(INDEX('Price History'!D:D,MATCH(9.99E+307,'Price History'!$A:$A))-'Price History'!D3)*(ROW()-3)/(MATCH(9.99E+307,'Returns (Calc)'!$A:$A)-3),"")</f>
        <v>460.450949367089</v>
      </c>
      <c r="Z36" s="144" t="n">
        <f aca="false">IFERROR('Price History'!E3+(INDEX('Price History'!E:E,MATCH(9.99E+307,'Price History'!$A:$A))-'Price History'!E3)*(ROW()-3)/(MATCH(9.99E+307,'Returns (Calc)'!$A:$A)-3),"")</f>
        <v>64.873417721519</v>
      </c>
      <c r="AA36" s="144" t="n">
        <f aca="false">IFERROR('Price History'!F3+(INDEX('Price History'!F:F,MATCH(9.99E+307,'Price History'!$A:$A))-'Price History'!F3)*(ROW()-3)/(MATCH(9.99E+307,'Returns (Calc)'!$A:$A)-3),"")</f>
        <v>59.5806962025317</v>
      </c>
      <c r="AB36" s="144" t="n">
        <f aca="false">IFERROR('Price History'!G3+(INDEX('Price History'!G:G,MATCH(9.99E+307,'Price History'!$A:$A))-'Price History'!G3)*(ROW()-3)/(MATCH(9.99E+307,'Returns (Calc)'!$A:$A)-3),"")</f>
        <v>32.7215189873418</v>
      </c>
      <c r="AC36" s="144" t="n">
        <f aca="false">IFERROR('Price History'!H3+(INDEX('Price History'!H:H,MATCH(9.99E+307,'Price History'!$A:$A))-'Price History'!H3)*(ROW()-3)/(MATCH(9.99E+307,'Returns (Calc)'!$A:$A)-3),"")</f>
        <v>79.5806962025316</v>
      </c>
      <c r="AD36" s="144" t="n">
        <f aca="false">IFERROR('Price History'!I3+(INDEX('Price History'!I:I,MATCH(9.99E+307,'Price History'!$A:$A))-'Price History'!I3)*(ROW()-3)/(MATCH(9.99E+307,'Returns (Calc)'!$A:$A)-3),"")</f>
        <v>35.0870253164557</v>
      </c>
      <c r="AE36" s="144" t="n">
        <f aca="false">IFERROR('Price History'!J3+(INDEX('Price History'!J:J,MATCH(9.99E+307,'Price History'!$A:$A))-'Price History'!J3)*(ROW()-3)/(MATCH(9.99E+307,'Returns (Calc)'!$A:$A)-3),"")</f>
        <v>54.6756329113924</v>
      </c>
      <c r="AF36" s="144" t="n">
        <f aca="false">IFERROR('Price History'!K3+(INDEX('Price History'!K:K,MATCH(9.99E+307,'Price History'!$A:$A))-'Price History'!K3)*(ROW()-3)/(MATCH(9.99E+307,'Returns (Calc)'!$A:$A)-3),"")</f>
        <v>34.628164556962</v>
      </c>
      <c r="AG36" s="144" t="n">
        <f aca="false">IFERROR('Price History'!L3+(INDEX('Price History'!L:L,MATCH(9.99E+307,'Price History'!$A:$A))-'Price History'!L3)*(ROW()-3)/(MATCH(9.99E+307,'Returns (Calc)'!$A:$A)-3),"")</f>
        <v>88.4810126582279</v>
      </c>
      <c r="AH36" s="144" t="n">
        <f aca="false">IFERROR('Price History'!M3+(INDEX('Price History'!M:M,MATCH(9.99E+307,'Price History'!$A:$A))-'Price History'!M3)*(ROW()-3)/(MATCH(9.99E+307,'Returns (Calc)'!$A:$A)-3),"")</f>
        <v>12.128164556962</v>
      </c>
      <c r="AI36" s="144" t="n">
        <f aca="false">IFERROR('Price History'!N3+(INDEX('Price History'!N:N,MATCH(9.99E+307,'Price History'!$A:$A))-'Price History'!N3)*(ROW()-3)/(MATCH(9.99E+307,'Returns (Calc)'!$A:$A)-3),"")</f>
        <v>17.246835443038</v>
      </c>
      <c r="AJ36" s="144" t="n">
        <f aca="false">IFERROR('Price History'!O3+(INDEX('Price History'!O:O,MATCH(9.99E+307,'Price History'!$A:$A))-'Price History'!O3)*(ROW()-3)/(MATCH(9.99E+307,'Returns (Calc)'!$A:$A)-3),"")</f>
        <v>45.5933544303798</v>
      </c>
      <c r="AK36" s="144" t="n">
        <f aca="false">IFERROR('Price History'!Q3+(INDEX('Price History'!Q:Q,MATCH(9.99E+307,'Price History'!$A:$A))-'Price History'!Q3)*(ROW()-3)/(MATCH(9.99E+307,'Returns (Calc)'!$A:$A)-3),"")</f>
        <v>186.416139240506</v>
      </c>
      <c r="AL36" s="144" t="n">
        <f aca="false">IFERROR('Price History'!R3+(INDEX('Price History'!R:R,MATCH(9.99E+307,'Price History'!$A:$A))-'Price History'!R3)*(ROW()-3)/(MATCH(9.99E+307,'Returns (Calc)'!$A:$A)-3),"")</f>
        <v>37.8322784810127</v>
      </c>
      <c r="AM36" s="144" t="n">
        <f aca="false">IFERROR('Price History'!S3+(INDEX('Price History'!S:S,MATCH(9.99E+307,'Price History'!$A:$A))-'Price History'!S3)*(ROW()-3)/(MATCH(9.99E+307,'Returns (Calc)'!$A:$A)-3),"")</f>
        <v>46.3132911392405</v>
      </c>
      <c r="AN36" s="144" t="n">
        <f aca="false">IFERROR('Price History'!T3+(INDEX('Price History'!T:T,MATCH(9.99E+307,'Price History'!$A:$A))-'Price History'!T3)*(ROW()-3)/(MATCH(9.99E+307,'Returns (Calc)'!$A:$A)-3),"")</f>
        <v>21.2895569620253</v>
      </c>
      <c r="AO36" s="145" t="n">
        <f aca="false">IFERROR('Price History'!V3+(INDEX('Price History'!V:V,MATCH(9.99E+307,'Price History'!$A:$A))-'Price History'!V3)*(ROW()-3)/(MATCH(9.99E+307,'Returns (Calc)'!$A:$A)-3),"")</f>
        <v>0</v>
      </c>
    </row>
    <row r="37" customFormat="false" ht="15" hidden="false" customHeight="true" outlineLevel="0" collapsed="false">
      <c r="A37" s="141" t="n">
        <f aca="false">IF('Price History'!A38="","",'Price History'!A38)</f>
        <v>45429</v>
      </c>
      <c r="B37" s="142" t="n">
        <f aca="false">IFERROR(IF(OR(NOT(ISNUMBER('Price History'!B38)),NOT(ISNUMBER('Price History'!B37)),'Price History'!B37=0),"",'Price History'!B38/'Price History'!B37-1),"")</f>
        <v>0.00236372307118127</v>
      </c>
      <c r="C37" s="142" t="n">
        <f aca="false">IFERROR(IF(OR(NOT(ISNUMBER('Price History'!C38)),NOT(ISNUMBER('Price History'!C37)),'Price History'!C37=0),"",'Price History'!C38/'Price History'!C37-1),"")</f>
        <v>0.0185963571519552</v>
      </c>
      <c r="D37" s="142" t="n">
        <f aca="false">IFERROR(IF(OR(NOT(ISNUMBER('Price History'!D38)),NOT(ISNUMBER('Price History'!D37)),'Price History'!D37=0),"",'Price History'!D38/'Price History'!D37-1),"")</f>
        <v>-0.00571578739898826</v>
      </c>
      <c r="E37" s="142" t="n">
        <f aca="false">IFERROR(IF(OR(NOT(ISNUMBER('Price History'!E38)),NOT(ISNUMBER('Price History'!E37)),'Price History'!E37=0),"",'Price History'!E38/'Price History'!E37-1),"")</f>
        <v>0.0468617961127757</v>
      </c>
      <c r="F37" s="142" t="n">
        <f aca="false">IFERROR(IF(OR(NOT(ISNUMBER('Price History'!F38)),NOT(ISNUMBER('Price History'!F37)),'Price History'!F37=0),"",'Price History'!F38/'Price History'!F37-1),"")</f>
        <v>0.0110298255486776</v>
      </c>
      <c r="G37" s="142" t="n">
        <f aca="false">IFERROR(IF(OR(NOT(ISNUMBER('Price History'!G38)),NOT(ISNUMBER('Price History'!G37)),'Price History'!G37=0),"",'Price History'!G38/'Price History'!G37-1),"")</f>
        <v>0.0784387080683378</v>
      </c>
      <c r="H37" s="142" t="n">
        <f aca="false">IFERROR(IF(OR(NOT(ISNUMBER('Price History'!H38)),NOT(ISNUMBER('Price History'!H37)),'Price History'!H37=0),"",'Price History'!H38/'Price History'!H37-1),"")</f>
        <v>0.0121532364597094</v>
      </c>
      <c r="I37" s="142" t="n">
        <f aca="false">IFERROR(IF(OR(NOT(ISNUMBER('Price History'!I38)),NOT(ISNUMBER('Price History'!I37)),'Price History'!I37=0),"",'Price History'!I38/'Price History'!I37-1),"")</f>
        <v>0.0429848205419208</v>
      </c>
      <c r="J37" s="142" t="n">
        <f aca="false">IFERROR(IF(OR(NOT(ISNUMBER('Price History'!J38)),NOT(ISNUMBER('Price History'!J37)),'Price History'!J37=0),"",'Price History'!J38/'Price History'!J37-1),"")</f>
        <v>0.0333942515368002</v>
      </c>
      <c r="K37" s="142" t="n">
        <f aca="false">IFERROR(IF(OR(NOT(ISNUMBER('Price History'!K38)),NOT(ISNUMBER('Price History'!K37)),'Price History'!K37=0),"",'Price History'!K38/'Price History'!K37-1),"")</f>
        <v>0.029011381388083</v>
      </c>
      <c r="L37" s="142" t="n">
        <f aca="false">IFERROR(IF(OR(NOT(ISNUMBER('Price History'!L38)),NOT(ISNUMBER('Price History'!L37)),'Price History'!L37=0),"",'Price History'!L38/'Price History'!L37-1),"")</f>
        <v>0.0372915613946438</v>
      </c>
      <c r="M37" s="142" t="n">
        <f aca="false">IFERROR(IF(OR(NOT(ISNUMBER('Price History'!M38)),NOT(ISNUMBER('Price History'!M37)),'Price History'!M37=0),"",'Price History'!M38/'Price History'!M37-1),"")</f>
        <v>0.0563106796116506</v>
      </c>
      <c r="N37" s="142" t="n">
        <f aca="false">IFERROR(IF(OR(NOT(ISNUMBER('Price History'!N38)),NOT(ISNUMBER('Price History'!N37)),'Price History'!N37=0),"",'Price History'!N38/'Price History'!N37-1),"")</f>
        <v>0.00995024875621886</v>
      </c>
      <c r="O37" s="142" t="n">
        <f aca="false">IFERROR(IF(OR(NOT(ISNUMBER('Price History'!O38)),NOT(ISNUMBER('Price History'!O37)),'Price History'!O37=0),"",'Price History'!O38/'Price History'!O37-1),"")</f>
        <v>0.0150953051042599</v>
      </c>
      <c r="P37" s="142" t="n">
        <f aca="false">IFERROR(IF(OR(NOT(ISNUMBER('Price History'!P38)),NOT(ISNUMBER('Price History'!P37)),'Price History'!P37=0),"",'Price History'!P38/'Price History'!P37-1),"")</f>
        <v>0.0162438653487249</v>
      </c>
      <c r="Q37" s="142" t="n">
        <f aca="false">IFERROR(IF(OR(NOT(ISNUMBER('Price History'!Q38)),NOT(ISNUMBER('Price History'!Q37)),'Price History'!Q37=0),"",'Price History'!Q38/'Price History'!Q37-1),"")</f>
        <v>-0.000435555878189553</v>
      </c>
      <c r="R37" s="142" t="n">
        <f aca="false">IFERROR(IF(OR(NOT(ISNUMBER('Price History'!R38)),NOT(ISNUMBER('Price History'!R37)),'Price History'!R37=0),"",'Price History'!R38/'Price History'!R37-1),"")</f>
        <v>-0.0035454375816385</v>
      </c>
      <c r="S37" s="142" t="n">
        <f aca="false">IFERROR(IF(OR(NOT(ISNUMBER('Price History'!S38)),NOT(ISNUMBER('Price History'!S37)),'Price History'!S37=0),"",'Price History'!S38/'Price History'!S37-1),"")</f>
        <v>-0.0140459912989436</v>
      </c>
      <c r="T37" s="142" t="n">
        <f aca="false">IFERROR(IF(OR(NOT(ISNUMBER('Price History'!T38)),NOT(ISNUMBER('Price History'!T37)),'Price History'!T37=0),"",'Price History'!T38/'Price History'!T37-1),"")</f>
        <v>-0.0259820600061862</v>
      </c>
      <c r="U37" s="142" t="str">
        <f aca="false">IFERROR(IF(OR(NOT(ISNUMBER('Price History'!U38)),NOT(ISNUMBER('Price History'!U37)),'Price History'!U37=0),"",'Price History'!U38/'Price History'!U37-1),"")</f>
        <v/>
      </c>
      <c r="V37" s="143" t="n">
        <f aca="false">IFERROR(IF(OR(NOT(ISNUMBER('Price History'!V38)),NOT(ISNUMBER('Price History'!V37)),'Price History'!V37=0),"",'Price History'!V38/'Price History'!V37-1),"")</f>
        <v>-0.00422840754494991</v>
      </c>
      <c r="W37" s="144" t="str">
        <f aca="false">IFERROR('Price History'!B3+(INDEX('Price History'!B:B,MATCH(9.99E+307,'Price History'!$A:$A))-'Price History'!B3)*(ROW()-3)/(MATCH(9.99E+307,'Returns (Calc)'!$A:$A)-3),"")</f>
        <v/>
      </c>
      <c r="X37" s="144" t="n">
        <f aca="false">IFERROR('Price History'!C3+(INDEX('Price History'!C:C,MATCH(9.99E+307,'Price History'!$A:$A))-'Price History'!C3)*(ROW()-3)/(MATCH(9.99E+307,'Returns (Calc)'!$A:$A)-3),"")</f>
        <v>36.2425316455696</v>
      </c>
      <c r="Y37" s="144" t="n">
        <f aca="false">IFERROR('Price History'!D3+(INDEX('Price History'!D:D,MATCH(9.99E+307,'Price History'!$A:$A))-'Price History'!D3)*(ROW()-3)/(MATCH(9.99E+307,'Returns (Calc)'!$A:$A)-3),"")</f>
        <v>456.767341772152</v>
      </c>
      <c r="Z37" s="144" t="n">
        <f aca="false">IFERROR('Price History'!E3+(INDEX('Price History'!E:E,MATCH(9.99E+307,'Price History'!$A:$A))-'Price History'!E3)*(ROW()-3)/(MATCH(9.99E+307,'Returns (Calc)'!$A:$A)-3),"")</f>
        <v>64.3544303797468</v>
      </c>
      <c r="AA37" s="144" t="n">
        <f aca="false">IFERROR('Price History'!F3+(INDEX('Price History'!F:F,MATCH(9.99E+307,'Price History'!$A:$A))-'Price History'!F3)*(ROW()-3)/(MATCH(9.99E+307,'Returns (Calc)'!$A:$A)-3),"")</f>
        <v>59.1040506329114</v>
      </c>
      <c r="AB37" s="144" t="n">
        <f aca="false">IFERROR('Price History'!G3+(INDEX('Price History'!G:G,MATCH(9.99E+307,'Price History'!$A:$A))-'Price History'!G3)*(ROW()-3)/(MATCH(9.99E+307,'Returns (Calc)'!$A:$A)-3),"")</f>
        <v>32.459746835443</v>
      </c>
      <c r="AC37" s="144" t="n">
        <f aca="false">IFERROR('Price History'!H3+(INDEX('Price History'!H:H,MATCH(9.99E+307,'Price History'!$A:$A))-'Price History'!H3)*(ROW()-3)/(MATCH(9.99E+307,'Returns (Calc)'!$A:$A)-3),"")</f>
        <v>78.9440506329114</v>
      </c>
      <c r="AD37" s="144" t="n">
        <f aca="false">IFERROR('Price History'!I3+(INDEX('Price History'!I:I,MATCH(9.99E+307,'Price History'!$A:$A))-'Price History'!I3)*(ROW()-3)/(MATCH(9.99E+307,'Returns (Calc)'!$A:$A)-3),"")</f>
        <v>34.8063291139241</v>
      </c>
      <c r="AE37" s="144" t="n">
        <f aca="false">IFERROR('Price History'!J3+(INDEX('Price History'!J:J,MATCH(9.99E+307,'Price History'!$A:$A))-'Price History'!J3)*(ROW()-3)/(MATCH(9.99E+307,'Returns (Calc)'!$A:$A)-3),"")</f>
        <v>54.2382278481013</v>
      </c>
      <c r="AF37" s="144" t="n">
        <f aca="false">IFERROR('Price History'!K3+(INDEX('Price History'!K:K,MATCH(9.99E+307,'Price History'!$A:$A))-'Price History'!K3)*(ROW()-3)/(MATCH(9.99E+307,'Returns (Calc)'!$A:$A)-3),"")</f>
        <v>34.3511392405063</v>
      </c>
      <c r="AG37" s="144" t="n">
        <f aca="false">IFERROR('Price History'!L3+(INDEX('Price History'!L:L,MATCH(9.99E+307,'Price History'!$A:$A))-'Price History'!L3)*(ROW()-3)/(MATCH(9.99E+307,'Returns (Calc)'!$A:$A)-3),"")</f>
        <v>87.773164556962</v>
      </c>
      <c r="AH37" s="144" t="n">
        <f aca="false">IFERROR('Price History'!M3+(INDEX('Price History'!M:M,MATCH(9.99E+307,'Price History'!$A:$A))-'Price History'!M3)*(ROW()-3)/(MATCH(9.99E+307,'Returns (Calc)'!$A:$A)-3),"")</f>
        <v>12.0311392405063</v>
      </c>
      <c r="AI37" s="144" t="n">
        <f aca="false">IFERROR('Price History'!N3+(INDEX('Price History'!N:N,MATCH(9.99E+307,'Price History'!$A:$A))-'Price History'!N3)*(ROW()-3)/(MATCH(9.99E+307,'Returns (Calc)'!$A:$A)-3),"")</f>
        <v>17.1088607594937</v>
      </c>
      <c r="AJ37" s="144" t="n">
        <f aca="false">IFERROR('Price History'!O3+(INDEX('Price History'!O:O,MATCH(9.99E+307,'Price History'!$A:$A))-'Price History'!O3)*(ROW()-3)/(MATCH(9.99E+307,'Returns (Calc)'!$A:$A)-3),"")</f>
        <v>45.2286075949367</v>
      </c>
      <c r="AK37" s="144" t="n">
        <f aca="false">IFERROR('Price History'!Q3+(INDEX('Price History'!Q:Q,MATCH(9.99E+307,'Price History'!$A:$A))-'Price History'!Q3)*(ROW()-3)/(MATCH(9.99E+307,'Returns (Calc)'!$A:$A)-3),"")</f>
        <v>184.924810126582</v>
      </c>
      <c r="AL37" s="144" t="n">
        <f aca="false">IFERROR('Price History'!R3+(INDEX('Price History'!R:R,MATCH(9.99E+307,'Price History'!$A:$A))-'Price History'!R3)*(ROW()-3)/(MATCH(9.99E+307,'Returns (Calc)'!$A:$A)-3),"")</f>
        <v>37.5296202531646</v>
      </c>
      <c r="AM37" s="144" t="n">
        <f aca="false">IFERROR('Price History'!S3+(INDEX('Price History'!S:S,MATCH(9.99E+307,'Price History'!$A:$A))-'Price History'!S3)*(ROW()-3)/(MATCH(9.99E+307,'Returns (Calc)'!$A:$A)-3),"")</f>
        <v>45.9427848101266</v>
      </c>
      <c r="AN37" s="144" t="n">
        <f aca="false">IFERROR('Price History'!T3+(INDEX('Price History'!T:T,MATCH(9.99E+307,'Price History'!$A:$A))-'Price History'!T3)*(ROW()-3)/(MATCH(9.99E+307,'Returns (Calc)'!$A:$A)-3),"")</f>
        <v>21.1192405063291</v>
      </c>
      <c r="AO37" s="145" t="n">
        <f aca="false">IFERROR('Price History'!V3+(INDEX('Price History'!V:V,MATCH(9.99E+307,'Price History'!$A:$A))-'Price History'!V3)*(ROW()-3)/(MATCH(9.99E+307,'Returns (Calc)'!$A:$A)-3),"")</f>
        <v>0</v>
      </c>
    </row>
    <row r="38" customFormat="false" ht="15" hidden="false" customHeight="true" outlineLevel="0" collapsed="false">
      <c r="A38" s="141" t="n">
        <f aca="false">IF('Price History'!A39="","",'Price History'!A39)</f>
        <v>45436</v>
      </c>
      <c r="B38" s="142" t="n">
        <f aca="false">IFERROR(IF(OR(NOT(ISNUMBER('Price History'!B39)),NOT(ISNUMBER('Price History'!B38)),'Price History'!B38=0),"",'Price History'!B39/'Price History'!B38-1),"")</f>
        <v>-0.0165484144550401</v>
      </c>
      <c r="C38" s="142" t="n">
        <f aca="false">IFERROR(IF(OR(NOT(ISNUMBER('Price History'!C39)),NOT(ISNUMBER('Price History'!C38)),'Price History'!C38=0),"",'Price History'!C39/'Price History'!C38-1),"")</f>
        <v>-0.0416406152307115</v>
      </c>
      <c r="D38" s="142" t="n">
        <f aca="false">IFERROR(IF(OR(NOT(ISNUMBER('Price History'!D39)),NOT(ISNUMBER('Price History'!D38)),'Price History'!D38=0),"",'Price History'!D39/'Price History'!D38-1),"")</f>
        <v>0.0337870578388617</v>
      </c>
      <c r="E38" s="142" t="n">
        <f aca="false">IFERROR(IF(OR(NOT(ISNUMBER('Price History'!E39)),NOT(ISNUMBER('Price History'!E38)),'Price History'!E38=0),"",'Price History'!E39/'Price History'!E38-1),"")</f>
        <v>0.00902619798928583</v>
      </c>
      <c r="F38" s="142" t="n">
        <f aca="false">IFERROR(IF(OR(NOT(ISNUMBER('Price History'!F39)),NOT(ISNUMBER('Price History'!F38)),'Price History'!F38=0),"",'Price History'!F39/'Price History'!F38-1),"")</f>
        <v>-0.0148057441834576</v>
      </c>
      <c r="G38" s="142" t="n">
        <f aca="false">IFERROR(IF(OR(NOT(ISNUMBER('Price History'!G39)),NOT(ISNUMBER('Price History'!G38)),'Price History'!G38=0),"",'Price History'!G39/'Price History'!G38-1),"")</f>
        <v>0.0160730804810361</v>
      </c>
      <c r="H38" s="142" t="n">
        <f aca="false">IFERROR(IF(OR(NOT(ISNUMBER('Price History'!H39)),NOT(ISNUMBER('Price History'!H38)),'Price History'!H38=0),"",'Price History'!H39/'Price History'!H38-1),"")</f>
        <v>-0.0204472287479336</v>
      </c>
      <c r="I38" s="142" t="n">
        <f aca="false">IFERROR(IF(OR(NOT(ISNUMBER('Price History'!I39)),NOT(ISNUMBER('Price History'!I38)),'Price History'!I38=0),"",'Price History'!I39/'Price History'!I38-1),"")</f>
        <v>0.0420293797606095</v>
      </c>
      <c r="J38" s="142" t="n">
        <f aca="false">IFERROR(IF(OR(NOT(ISNUMBER('Price History'!J39)),NOT(ISNUMBER('Price History'!J38)),'Price History'!J38=0),"",'Price History'!J39/'Price History'!J38-1),"")</f>
        <v>0.0335209003215433</v>
      </c>
      <c r="K38" s="142" t="n">
        <f aca="false">IFERROR(IF(OR(NOT(ISNUMBER('Price History'!K39)),NOT(ISNUMBER('Price History'!K38)),'Price History'!K38=0),"",'Price History'!K39/'Price History'!K38-1),"")</f>
        <v>0.151268705270007</v>
      </c>
      <c r="L38" s="142" t="n">
        <f aca="false">IFERROR(IF(OR(NOT(ISNUMBER('Price History'!L39)),NOT(ISNUMBER('Price History'!L38)),'Price History'!L38=0),"",'Price History'!L39/'Price History'!L38-1),"")</f>
        <v>-0.0606001558846454</v>
      </c>
      <c r="M38" s="142" t="n">
        <f aca="false">IFERROR(IF(OR(NOT(ISNUMBER('Price History'!M39)),NOT(ISNUMBER('Price History'!M38)),'Price History'!M38=0),"",'Price History'!M39/'Price History'!M38-1),"")</f>
        <v>-0.0344669117647058</v>
      </c>
      <c r="N38" s="142" t="n">
        <f aca="false">IFERROR(IF(OR(NOT(ISNUMBER('Price History'!N39)),NOT(ISNUMBER('Price History'!N38)),'Price History'!N38=0),"",'Price History'!N39/'Price History'!N38-1),"")</f>
        <v>-0.024630541871921</v>
      </c>
      <c r="O38" s="142" t="n">
        <f aca="false">IFERROR(IF(OR(NOT(ISNUMBER('Price History'!O39)),NOT(ISNUMBER('Price History'!O38)),'Price History'!O38=0),"",'Price History'!O39/'Price History'!O38-1),"")</f>
        <v>0.019533711405167</v>
      </c>
      <c r="P38" s="142" t="n">
        <f aca="false">IFERROR(IF(OR(NOT(ISNUMBER('Price History'!P39)),NOT(ISNUMBER('Price History'!P38)),'Price History'!P38=0),"",'Price History'!P39/'Price History'!P38-1),"")</f>
        <v>0.054822473132907</v>
      </c>
      <c r="Q38" s="142" t="n">
        <f aca="false">IFERROR(IF(OR(NOT(ISNUMBER('Price History'!Q39)),NOT(ISNUMBER('Price History'!Q38)),'Price History'!Q38=0),"",'Price History'!Q39/'Price History'!Q38-1),"")</f>
        <v>-0.0200443008097606</v>
      </c>
      <c r="R38" s="142" t="n">
        <f aca="false">IFERROR(IF(OR(NOT(ISNUMBER('Price History'!R39)),NOT(ISNUMBER('Price History'!R38)),'Price History'!R38=0),"",'Price History'!R39/'Price History'!R38-1),"")</f>
        <v>-0.047940074906367</v>
      </c>
      <c r="S38" s="142" t="n">
        <f aca="false">IFERROR(IF(OR(NOT(ISNUMBER('Price History'!S39)),NOT(ISNUMBER('Price History'!S38)),'Price History'!S38=0),"",'Price History'!S39/'Price History'!S38-1),"")</f>
        <v>-0.0568582955118506</v>
      </c>
      <c r="T38" s="142" t="n">
        <f aca="false">IFERROR(IF(OR(NOT(ISNUMBER('Price History'!T39)),NOT(ISNUMBER('Price History'!T38)),'Price History'!T38=0),"",'Price History'!T39/'Price History'!T38-1),"")</f>
        <v>-0.017783423308987</v>
      </c>
      <c r="U38" s="142" t="str">
        <f aca="false">IFERROR(IF(OR(NOT(ISNUMBER('Price History'!U39)),NOT(ISNUMBER('Price History'!U38)),'Price History'!U38=0),"",'Price History'!U39/'Price History'!U38-1),"")</f>
        <v/>
      </c>
      <c r="V38" s="143" t="n">
        <f aca="false">IFERROR(IF(OR(NOT(ISNUMBER('Price History'!V39)),NOT(ISNUMBER('Price History'!V38)),'Price History'!V38=0),"",'Price History'!V39/'Price History'!V38-1),"")</f>
        <v>-0.0224134111217783</v>
      </c>
      <c r="W38" s="144" t="str">
        <f aca="false">IFERROR('Price History'!B3+(INDEX('Price History'!B:B,MATCH(9.99E+307,'Price History'!$A:$A))-'Price History'!B3)*(ROW()-3)/(MATCH(9.99E+307,'Returns (Calc)'!$A:$A)-3),"")</f>
        <v/>
      </c>
      <c r="X38" s="144" t="n">
        <f aca="false">IFERROR('Price History'!C3+(INDEX('Price History'!C:C,MATCH(9.99E+307,'Price History'!$A:$A))-'Price History'!C3)*(ROW()-3)/(MATCH(9.99E+307,'Returns (Calc)'!$A:$A)-3),"")</f>
        <v>35.950253164557</v>
      </c>
      <c r="Y38" s="144" t="n">
        <f aca="false">IFERROR('Price History'!D3+(INDEX('Price History'!D:D,MATCH(9.99E+307,'Price History'!$A:$A))-'Price History'!D3)*(ROW()-3)/(MATCH(9.99E+307,'Returns (Calc)'!$A:$A)-3),"")</f>
        <v>453.083734177215</v>
      </c>
      <c r="Z38" s="144" t="n">
        <f aca="false">IFERROR('Price History'!E3+(INDEX('Price History'!E:E,MATCH(9.99E+307,'Price History'!$A:$A))-'Price History'!E3)*(ROW()-3)/(MATCH(9.99E+307,'Returns (Calc)'!$A:$A)-3),"")</f>
        <v>63.8354430379747</v>
      </c>
      <c r="AA38" s="144" t="n">
        <f aca="false">IFERROR('Price History'!F3+(INDEX('Price History'!F:F,MATCH(9.99E+307,'Price History'!$A:$A))-'Price History'!F3)*(ROW()-3)/(MATCH(9.99E+307,'Returns (Calc)'!$A:$A)-3),"")</f>
        <v>58.6274050632911</v>
      </c>
      <c r="AB38" s="144" t="n">
        <f aca="false">IFERROR('Price History'!G3+(INDEX('Price History'!G:G,MATCH(9.99E+307,'Price History'!$A:$A))-'Price History'!G3)*(ROW()-3)/(MATCH(9.99E+307,'Returns (Calc)'!$A:$A)-3),"")</f>
        <v>32.1979746835443</v>
      </c>
      <c r="AC38" s="144" t="n">
        <f aca="false">IFERROR('Price History'!H3+(INDEX('Price History'!H:H,MATCH(9.99E+307,'Price History'!$A:$A))-'Price History'!H3)*(ROW()-3)/(MATCH(9.99E+307,'Returns (Calc)'!$A:$A)-3),"")</f>
        <v>78.3074050632911</v>
      </c>
      <c r="AD38" s="144" t="n">
        <f aca="false">IFERROR('Price History'!I3+(INDEX('Price History'!I:I,MATCH(9.99E+307,'Price History'!$A:$A))-'Price History'!I3)*(ROW()-3)/(MATCH(9.99E+307,'Returns (Calc)'!$A:$A)-3),"")</f>
        <v>34.5256329113924</v>
      </c>
      <c r="AE38" s="144" t="n">
        <f aca="false">IFERROR('Price History'!J3+(INDEX('Price History'!J:J,MATCH(9.99E+307,'Price History'!$A:$A))-'Price History'!J3)*(ROW()-3)/(MATCH(9.99E+307,'Returns (Calc)'!$A:$A)-3),"")</f>
        <v>53.8008227848101</v>
      </c>
      <c r="AF38" s="144" t="n">
        <f aca="false">IFERROR('Price History'!K3+(INDEX('Price History'!K:K,MATCH(9.99E+307,'Price History'!$A:$A))-'Price History'!K3)*(ROW()-3)/(MATCH(9.99E+307,'Returns (Calc)'!$A:$A)-3),"")</f>
        <v>34.0741139240506</v>
      </c>
      <c r="AG38" s="144" t="n">
        <f aca="false">IFERROR('Price History'!L3+(INDEX('Price History'!L:L,MATCH(9.99E+307,'Price History'!$A:$A))-'Price History'!L3)*(ROW()-3)/(MATCH(9.99E+307,'Returns (Calc)'!$A:$A)-3),"")</f>
        <v>87.0653164556962</v>
      </c>
      <c r="AH38" s="144" t="n">
        <f aca="false">IFERROR('Price History'!M3+(INDEX('Price History'!M:M,MATCH(9.99E+307,'Price History'!$A:$A))-'Price History'!M3)*(ROW()-3)/(MATCH(9.99E+307,'Returns (Calc)'!$A:$A)-3),"")</f>
        <v>11.9341139240506</v>
      </c>
      <c r="AI38" s="144" t="n">
        <f aca="false">IFERROR('Price History'!N3+(INDEX('Price History'!N:N,MATCH(9.99E+307,'Price History'!$A:$A))-'Price History'!N3)*(ROW()-3)/(MATCH(9.99E+307,'Returns (Calc)'!$A:$A)-3),"")</f>
        <v>16.9708860759494</v>
      </c>
      <c r="AJ38" s="144" t="n">
        <f aca="false">IFERROR('Price History'!O3+(INDEX('Price History'!O:O,MATCH(9.99E+307,'Price History'!$A:$A))-'Price History'!O3)*(ROW()-3)/(MATCH(9.99E+307,'Returns (Calc)'!$A:$A)-3),"")</f>
        <v>44.8638607594937</v>
      </c>
      <c r="AK38" s="144" t="n">
        <f aca="false">IFERROR('Price History'!Q3+(INDEX('Price History'!Q:Q,MATCH(9.99E+307,'Price History'!$A:$A))-'Price History'!Q3)*(ROW()-3)/(MATCH(9.99E+307,'Returns (Calc)'!$A:$A)-3),"")</f>
        <v>183.433481012658</v>
      </c>
      <c r="AL38" s="144" t="n">
        <f aca="false">IFERROR('Price History'!R3+(INDEX('Price History'!R:R,MATCH(9.99E+307,'Price History'!$A:$A))-'Price History'!R3)*(ROW()-3)/(MATCH(9.99E+307,'Returns (Calc)'!$A:$A)-3),"")</f>
        <v>37.2269620253165</v>
      </c>
      <c r="AM38" s="144" t="n">
        <f aca="false">IFERROR('Price History'!S3+(INDEX('Price History'!S:S,MATCH(9.99E+307,'Price History'!$A:$A))-'Price History'!S3)*(ROW()-3)/(MATCH(9.99E+307,'Returns (Calc)'!$A:$A)-3),"")</f>
        <v>45.5722784810127</v>
      </c>
      <c r="AN38" s="144" t="n">
        <f aca="false">IFERROR('Price History'!T3+(INDEX('Price History'!T:T,MATCH(9.99E+307,'Price History'!$A:$A))-'Price History'!T3)*(ROW()-3)/(MATCH(9.99E+307,'Returns (Calc)'!$A:$A)-3),"")</f>
        <v>20.9489240506329</v>
      </c>
      <c r="AO38" s="145" t="n">
        <f aca="false">IFERROR('Price History'!V3+(INDEX('Price History'!V:V,MATCH(9.99E+307,'Price History'!$A:$A))-'Price History'!V3)*(ROW()-3)/(MATCH(9.99E+307,'Returns (Calc)'!$A:$A)-3),"")</f>
        <v>0</v>
      </c>
    </row>
    <row r="39" customFormat="false" ht="15" hidden="false" customHeight="true" outlineLevel="0" collapsed="false">
      <c r="A39" s="141" t="n">
        <f aca="false">IF('Price History'!A40="","",'Price History'!A40)</f>
        <v>45443</v>
      </c>
      <c r="B39" s="142" t="n">
        <f aca="false">IFERROR(IF(OR(NOT(ISNUMBER('Price History'!B40)),NOT(ISNUMBER('Price History'!B39)),'Price History'!B39=0),"",'Price History'!B40/'Price History'!B39-1),"")</f>
        <v>-0.0645100225059421</v>
      </c>
      <c r="C39" s="142" t="n">
        <f aca="false">IFERROR(IF(OR(NOT(ISNUMBER('Price History'!C40)),NOT(ISNUMBER('Price History'!C39)),'Price History'!C39=0),"",'Price History'!C40/'Price History'!C39-1),"")</f>
        <v>-0.0290970772442589</v>
      </c>
      <c r="D39" s="142" t="n">
        <f aca="false">IFERROR(IF(OR(NOT(ISNUMBER('Price History'!D40)),NOT(ISNUMBER('Price History'!D39)),'Price History'!D39=0),"",'Price History'!D40/'Price History'!D39-1),"")</f>
        <v>0.00431438554627572</v>
      </c>
      <c r="E39" s="142" t="n">
        <f aca="false">IFERROR(IF(OR(NOT(ISNUMBER('Price History'!E40)),NOT(ISNUMBER('Price History'!E39)),'Price History'!E39=0),"",'Price History'!E40/'Price History'!E39-1),"")</f>
        <v>-0.0563636363636364</v>
      </c>
      <c r="F39" s="142" t="n">
        <f aca="false">IFERROR(IF(OR(NOT(ISNUMBER('Price History'!F40)),NOT(ISNUMBER('Price History'!F39)),'Price History'!F39=0),"",'Price History'!F40/'Price History'!F39-1),"")</f>
        <v>0.0107344632768362</v>
      </c>
      <c r="G39" s="142" t="n">
        <f aca="false">IFERROR(IF(OR(NOT(ISNUMBER('Price History'!G40)),NOT(ISNUMBER('Price History'!G39)),'Price History'!G39=0),"",'Price History'!G40/'Price History'!G39-1),"")</f>
        <v>-0.107545237282349</v>
      </c>
      <c r="H39" s="142" t="n">
        <f aca="false">IFERROR(IF(OR(NOT(ISNUMBER('Price History'!H40)),NOT(ISNUMBER('Price History'!H39)),'Price History'!H39=0),"",'Price History'!H40/'Price History'!H39-1),"")</f>
        <v>0.0104814354236988</v>
      </c>
      <c r="I39" s="142" t="n">
        <f aca="false">IFERROR(IF(OR(NOT(ISNUMBER('Price History'!I40)),NOT(ISNUMBER('Price History'!I39)),'Price History'!I39=0),"",'Price History'!I40/'Price History'!I39-1),"")</f>
        <v>-0.0250620023495628</v>
      </c>
      <c r="J39" s="142" t="n">
        <f aca="false">IFERROR(IF(OR(NOT(ISNUMBER('Price History'!J40)),NOT(ISNUMBER('Price History'!J39)),'Price History'!J39=0),"",'Price History'!J40/'Price History'!J39-1),"")</f>
        <v>-0.0346892743252703</v>
      </c>
      <c r="K39" s="142" t="n">
        <f aca="false">IFERROR(IF(OR(NOT(ISNUMBER('Price History'!K40)),NOT(ISNUMBER('Price History'!K39)),'Price History'!K39=0),"",'Price History'!K40/'Price History'!K39-1),"")</f>
        <v>0.0296693981350664</v>
      </c>
      <c r="L39" s="142" t="n">
        <f aca="false">IFERROR(IF(OR(NOT(ISNUMBER('Price History'!L40)),NOT(ISNUMBER('Price History'!L39)),'Price History'!L39=0),"",'Price History'!L40/'Price History'!L39-1),"")</f>
        <v>0.0548641360713544</v>
      </c>
      <c r="M39" s="142" t="n">
        <f aca="false">IFERROR(IF(OR(NOT(ISNUMBER('Price History'!M40)),NOT(ISNUMBER('Price History'!M39)),'Price History'!M39=0),"",'Price History'!M40/'Price History'!M39-1),"")</f>
        <v>0.031889576392194</v>
      </c>
      <c r="N39" s="142" t="n">
        <f aca="false">IFERROR(IF(OR(NOT(ISNUMBER('Price History'!N40)),NOT(ISNUMBER('Price History'!N39)),'Price History'!N39=0),"",'Price History'!N40/'Price History'!N39-1),"")</f>
        <v>0.00589225589225584</v>
      </c>
      <c r="O39" s="142" t="n">
        <f aca="false">IFERROR(IF(OR(NOT(ISNUMBER('Price History'!O40)),NOT(ISNUMBER('Price History'!O39)),'Price History'!O39=0),"",'Price History'!O40/'Price History'!O39-1),"")</f>
        <v>-0.0110012360939431</v>
      </c>
      <c r="P39" s="142" t="n">
        <f aca="false">IFERROR(IF(OR(NOT(ISNUMBER('Price History'!P40)),NOT(ISNUMBER('Price History'!P39)),'Price History'!P39=0),"",'Price History'!P40/'Price History'!P39-1),"")</f>
        <v>-0.055971111684292</v>
      </c>
      <c r="Q39" s="142" t="n">
        <f aca="false">IFERROR(IF(OR(NOT(ISNUMBER('Price History'!Q40)),NOT(ISNUMBER('Price History'!Q39)),'Price History'!Q39=0),"",'Price History'!Q40/'Price History'!Q39-1),"")</f>
        <v>-0.00737392077667032</v>
      </c>
      <c r="R39" s="142" t="n">
        <f aca="false">IFERROR(IF(OR(NOT(ISNUMBER('Price History'!R40)),NOT(ISNUMBER('Price History'!R39)),'Price History'!R39=0),"",'Price History'!R40/'Price History'!R39-1),"")</f>
        <v>0.0357985837922894</v>
      </c>
      <c r="S39" s="142" t="n">
        <f aca="false">IFERROR(IF(OR(NOT(ISNUMBER('Price History'!S40)),NOT(ISNUMBER('Price History'!S39)),'Price History'!S39=0),"",'Price History'!S40/'Price History'!S39-1),"")</f>
        <v>0.0300761930223232</v>
      </c>
      <c r="T39" s="142" t="n">
        <f aca="false">IFERROR(IF(OR(NOT(ISNUMBER('Price History'!T40)),NOT(ISNUMBER('Price History'!T39)),'Price History'!T39=0),"",'Price History'!T40/'Price History'!T39-1),"")</f>
        <v>0.0126091173617846</v>
      </c>
      <c r="U39" s="142" t="str">
        <f aca="false">IFERROR(IF(OR(NOT(ISNUMBER('Price History'!U40)),NOT(ISNUMBER('Price History'!U39)),'Price History'!U39=0),"",'Price History'!U40/'Price History'!U39-1),"")</f>
        <v/>
      </c>
      <c r="V39" s="143" t="n">
        <f aca="false">IFERROR(IF(OR(NOT(ISNUMBER('Price History'!V40)),NOT(ISNUMBER('Price History'!V39)),'Price History'!V39=0),"",'Price History'!V40/'Price History'!V39-1),"")</f>
        <v>0.0175637393767705</v>
      </c>
      <c r="W39" s="144" t="str">
        <f aca="false">IFERROR('Price History'!B3+(INDEX('Price History'!B:B,MATCH(9.99E+307,'Price History'!$A:$A))-'Price History'!B3)*(ROW()-3)/(MATCH(9.99E+307,'Returns (Calc)'!$A:$A)-3),"")</f>
        <v/>
      </c>
      <c r="X39" s="144" t="n">
        <f aca="false">IFERROR('Price History'!C3+(INDEX('Price History'!C:C,MATCH(9.99E+307,'Price History'!$A:$A))-'Price History'!C3)*(ROW()-3)/(MATCH(9.99E+307,'Returns (Calc)'!$A:$A)-3),"")</f>
        <v>35.6579746835443</v>
      </c>
      <c r="Y39" s="144" t="n">
        <f aca="false">IFERROR('Price History'!D3+(INDEX('Price History'!D:D,MATCH(9.99E+307,'Price History'!$A:$A))-'Price History'!D3)*(ROW()-3)/(MATCH(9.99E+307,'Returns (Calc)'!$A:$A)-3),"")</f>
        <v>449.400126582278</v>
      </c>
      <c r="Z39" s="144" t="n">
        <f aca="false">IFERROR('Price History'!E3+(INDEX('Price History'!E:E,MATCH(9.99E+307,'Price History'!$A:$A))-'Price History'!E3)*(ROW()-3)/(MATCH(9.99E+307,'Returns (Calc)'!$A:$A)-3),"")</f>
        <v>63.3164556962025</v>
      </c>
      <c r="AA39" s="144" t="n">
        <f aca="false">IFERROR('Price History'!F3+(INDEX('Price History'!F:F,MATCH(9.99E+307,'Price History'!$A:$A))-'Price History'!F3)*(ROW()-3)/(MATCH(9.99E+307,'Returns (Calc)'!$A:$A)-3),"")</f>
        <v>58.1507594936709</v>
      </c>
      <c r="AB39" s="144" t="n">
        <f aca="false">IFERROR('Price History'!G3+(INDEX('Price History'!G:G,MATCH(9.99E+307,'Price History'!$A:$A))-'Price History'!G3)*(ROW()-3)/(MATCH(9.99E+307,'Returns (Calc)'!$A:$A)-3),"")</f>
        <v>31.9362025316456</v>
      </c>
      <c r="AC39" s="144" t="n">
        <f aca="false">IFERROR('Price History'!H3+(INDEX('Price History'!H:H,MATCH(9.99E+307,'Price History'!$A:$A))-'Price History'!H3)*(ROW()-3)/(MATCH(9.99E+307,'Returns (Calc)'!$A:$A)-3),"")</f>
        <v>77.6707594936709</v>
      </c>
      <c r="AD39" s="144" t="n">
        <f aca="false">IFERROR('Price History'!I3+(INDEX('Price History'!I:I,MATCH(9.99E+307,'Price History'!$A:$A))-'Price History'!I3)*(ROW()-3)/(MATCH(9.99E+307,'Returns (Calc)'!$A:$A)-3),"")</f>
        <v>34.2449367088608</v>
      </c>
      <c r="AE39" s="144" t="n">
        <f aca="false">IFERROR('Price History'!J3+(INDEX('Price History'!J:J,MATCH(9.99E+307,'Price History'!$A:$A))-'Price History'!J3)*(ROW()-3)/(MATCH(9.99E+307,'Returns (Calc)'!$A:$A)-3),"")</f>
        <v>53.363417721519</v>
      </c>
      <c r="AF39" s="144" t="n">
        <f aca="false">IFERROR('Price History'!K3+(INDEX('Price History'!K:K,MATCH(9.99E+307,'Price History'!$A:$A))-'Price History'!K3)*(ROW()-3)/(MATCH(9.99E+307,'Returns (Calc)'!$A:$A)-3),"")</f>
        <v>33.7970886075949</v>
      </c>
      <c r="AG39" s="144" t="n">
        <f aca="false">IFERROR('Price History'!L3+(INDEX('Price History'!L:L,MATCH(9.99E+307,'Price History'!$A:$A))-'Price History'!L3)*(ROW()-3)/(MATCH(9.99E+307,'Returns (Calc)'!$A:$A)-3),"")</f>
        <v>86.3574683544304</v>
      </c>
      <c r="AH39" s="144" t="n">
        <f aca="false">IFERROR('Price History'!M3+(INDEX('Price History'!M:M,MATCH(9.99E+307,'Price History'!$A:$A))-'Price History'!M3)*(ROW()-3)/(MATCH(9.99E+307,'Returns (Calc)'!$A:$A)-3),"")</f>
        <v>11.8370886075949</v>
      </c>
      <c r="AI39" s="144" t="n">
        <f aca="false">IFERROR('Price History'!N3+(INDEX('Price History'!N:N,MATCH(9.99E+307,'Price History'!$A:$A))-'Price History'!N3)*(ROW()-3)/(MATCH(9.99E+307,'Returns (Calc)'!$A:$A)-3),"")</f>
        <v>16.8329113924051</v>
      </c>
      <c r="AJ39" s="144" t="n">
        <f aca="false">IFERROR('Price History'!O3+(INDEX('Price History'!O:O,MATCH(9.99E+307,'Price History'!$A:$A))-'Price History'!O3)*(ROW()-3)/(MATCH(9.99E+307,'Returns (Calc)'!$A:$A)-3),"")</f>
        <v>44.4991139240506</v>
      </c>
      <c r="AK39" s="144" t="n">
        <f aca="false">IFERROR('Price History'!Q3+(INDEX('Price History'!Q:Q,MATCH(9.99E+307,'Price History'!$A:$A))-'Price History'!Q3)*(ROW()-3)/(MATCH(9.99E+307,'Returns (Calc)'!$A:$A)-3),"")</f>
        <v>181.942151898734</v>
      </c>
      <c r="AL39" s="144" t="n">
        <f aca="false">IFERROR('Price History'!R3+(INDEX('Price History'!R:R,MATCH(9.99E+307,'Price History'!$A:$A))-'Price History'!R3)*(ROW()-3)/(MATCH(9.99E+307,'Returns (Calc)'!$A:$A)-3),"")</f>
        <v>36.9243037974684</v>
      </c>
      <c r="AM39" s="144" t="n">
        <f aca="false">IFERROR('Price History'!S3+(INDEX('Price History'!S:S,MATCH(9.99E+307,'Price History'!$A:$A))-'Price History'!S3)*(ROW()-3)/(MATCH(9.99E+307,'Returns (Calc)'!$A:$A)-3),"")</f>
        <v>45.2017721518987</v>
      </c>
      <c r="AN39" s="144" t="n">
        <f aca="false">IFERROR('Price History'!T3+(INDEX('Price History'!T:T,MATCH(9.99E+307,'Price History'!$A:$A))-'Price History'!T3)*(ROW()-3)/(MATCH(9.99E+307,'Returns (Calc)'!$A:$A)-3),"")</f>
        <v>20.7786075949367</v>
      </c>
      <c r="AO39" s="145" t="n">
        <f aca="false">IFERROR('Price History'!V3+(INDEX('Price History'!V:V,MATCH(9.99E+307,'Price History'!$A:$A))-'Price History'!V3)*(ROW()-3)/(MATCH(9.99E+307,'Returns (Calc)'!$A:$A)-3),"")</f>
        <v>0</v>
      </c>
    </row>
    <row r="40" customFormat="false" ht="15" hidden="false" customHeight="true" outlineLevel="0" collapsed="false">
      <c r="A40" s="141" t="n">
        <f aca="false">IF('Price History'!A41="","",'Price History'!A41)</f>
        <v>45450</v>
      </c>
      <c r="B40" s="142" t="n">
        <f aca="false">IFERROR(IF(OR(NOT(ISNUMBER('Price History'!B41)),NOT(ISNUMBER('Price History'!B40)),'Price History'!B40=0),"",'Price History'!B41/'Price History'!B40-1),"")</f>
        <v>0.0464745031027971</v>
      </c>
      <c r="C40" s="142" t="n">
        <f aca="false">IFERROR(IF(OR(NOT(ISNUMBER('Price History'!C41)),NOT(ISNUMBER('Price History'!C40)),'Price History'!C40=0),"",'Price History'!C41/'Price History'!C40-1),"")</f>
        <v>-0.00282220131702715</v>
      </c>
      <c r="D40" s="142" t="n">
        <f aca="false">IFERROR(IF(OR(NOT(ISNUMBER('Price History'!D41)),NOT(ISNUMBER('Price History'!D40)),'Price History'!D40=0),"",'Price History'!D41/'Price History'!D40-1),"")</f>
        <v>0.0708868546941461</v>
      </c>
      <c r="E40" s="142" t="n">
        <f aca="false">IFERROR(IF(OR(NOT(ISNUMBER('Price History'!E41)),NOT(ISNUMBER('Price History'!E40)),'Price History'!E40=0),"",'Price History'!E41/'Price History'!E40-1),"")</f>
        <v>0.058805394990366</v>
      </c>
      <c r="F40" s="142" t="n">
        <f aca="false">IFERROR(IF(OR(NOT(ISNUMBER('Price History'!F41)),NOT(ISNUMBER('Price History'!F40)),'Price History'!F40=0),"",'Price History'!F41/'Price History'!F40-1),"")</f>
        <v>-0.0340972610396869</v>
      </c>
      <c r="G40" s="142" t="n">
        <f aca="false">IFERROR(IF(OR(NOT(ISNUMBER('Price History'!G41)),NOT(ISNUMBER('Price History'!G40)),'Price History'!G40=0),"",'Price History'!G41/'Price History'!G40-1),"")</f>
        <v>0.112981382300434</v>
      </c>
      <c r="H40" s="142" t="n">
        <f aca="false">IFERROR(IF(OR(NOT(ISNUMBER('Price History'!H41)),NOT(ISNUMBER('Price History'!H40)),'Price History'!H40=0),"",'Price History'!H41/'Price History'!H40-1),"")</f>
        <v>-0.0202180028129396</v>
      </c>
      <c r="I40" s="142" t="n">
        <f aca="false">IFERROR(IF(OR(NOT(ISNUMBER('Price History'!I41)),NOT(ISNUMBER('Price History'!I40)),'Price History'!I40=0),"",'Price History'!I41/'Price History'!I40-1),"")</f>
        <v>0.0123175793278887</v>
      </c>
      <c r="J40" s="142" t="n">
        <f aca="false">IFERROR(IF(OR(NOT(ISNUMBER('Price History'!J41)),NOT(ISNUMBER('Price History'!J40)),'Price History'!J40=0),"",'Price History'!J41/'Price History'!J40-1),"")</f>
        <v>0.0475384739344129</v>
      </c>
      <c r="K40" s="142" t="n">
        <f aca="false">IFERROR(IF(OR(NOT(ISNUMBER('Price History'!K41)),NOT(ISNUMBER('Price History'!K40)),'Price History'!K40=0),"",'Price History'!K41/'Price History'!K40-1),"")</f>
        <v>0.102634467618002</v>
      </c>
      <c r="L40" s="142" t="n">
        <f aca="false">IFERROR(IF(OR(NOT(ISNUMBER('Price History'!L41)),NOT(ISNUMBER('Price History'!L40)),'Price History'!L40=0),"",'Price History'!L41/'Price History'!L40-1),"")</f>
        <v>-0.00265460623340863</v>
      </c>
      <c r="M40" s="142" t="n">
        <f aca="false">IFERROR(IF(OR(NOT(ISNUMBER('Price History'!M41)),NOT(ISNUMBER('Price History'!M40)),'Price History'!M40=0),"",'Price History'!M41/'Price History'!M40-1),"")</f>
        <v>0.0751845018450184</v>
      </c>
      <c r="N40" s="142" t="n">
        <f aca="false">IFERROR(IF(OR(NOT(ISNUMBER('Price History'!N41)),NOT(ISNUMBER('Price History'!N40)),'Price History'!N40=0),"",'Price History'!N41/'Price History'!N40-1),"")</f>
        <v>-0.00878661087866095</v>
      </c>
      <c r="O40" s="142" t="n">
        <f aca="false">IFERROR(IF(OR(NOT(ISNUMBER('Price History'!O41)),NOT(ISNUMBER('Price History'!O40)),'Price History'!O40=0),"",'Price History'!O41/'Price History'!O40-1),"")</f>
        <v>0.03037120359955</v>
      </c>
      <c r="P40" s="142" t="n">
        <f aca="false">IFERROR(IF(OR(NOT(ISNUMBER('Price History'!P41)),NOT(ISNUMBER('Price History'!P40)),'Price History'!P40=0),"",'Price History'!P41/'Price History'!P40-1),"")</f>
        <v>0.0883879781420764</v>
      </c>
      <c r="Q40" s="142" t="n">
        <f aca="false">IFERROR(IF(OR(NOT(ISNUMBER('Price History'!Q41)),NOT(ISNUMBER('Price History'!Q40)),'Price History'!Q40=0),"",'Price History'!Q41/'Price History'!Q40-1),"")</f>
        <v>0.0227713901747051</v>
      </c>
      <c r="R40" s="142" t="n">
        <f aca="false">IFERROR(IF(OR(NOT(ISNUMBER('Price History'!R41)),NOT(ISNUMBER('Price History'!R40)),'Price History'!R40=0),"",'Price History'!R41/'Price History'!R40-1),"")</f>
        <v>0.00170907709836698</v>
      </c>
      <c r="S40" s="142" t="n">
        <f aca="false">IFERROR(IF(OR(NOT(ISNUMBER('Price History'!S41)),NOT(ISNUMBER('Price History'!S40)),'Price History'!S40=0),"",'Price History'!S41/'Price History'!S40-1),"")</f>
        <v>0.00986244484817012</v>
      </c>
      <c r="T40" s="142" t="n">
        <f aca="false">IFERROR(IF(OR(NOT(ISNUMBER('Price History'!T41)),NOT(ISNUMBER('Price History'!T40)),'Price History'!T40=0),"",'Price History'!T41/'Price History'!T40-1),"")</f>
        <v>-0.0156449553001278</v>
      </c>
      <c r="U40" s="142" t="str">
        <f aca="false">IFERROR(IF(OR(NOT(ISNUMBER('Price History'!U41)),NOT(ISNUMBER('Price History'!U40)),'Price History'!U40=0),"",'Price History'!U41/'Price History'!U40-1),"")</f>
        <v/>
      </c>
      <c r="V40" s="143" t="n">
        <f aca="false">IFERROR(IF(OR(NOT(ISNUMBER('Price History'!V41)),NOT(ISNUMBER('Price History'!V40)),'Price History'!V40=0),"",'Price History'!V41/'Price History'!V40-1),"")</f>
        <v>-0.0219376391982181</v>
      </c>
      <c r="W40" s="144" t="str">
        <f aca="false">IFERROR('Price History'!B3+(INDEX('Price History'!B:B,MATCH(9.99E+307,'Price History'!$A:$A))-'Price History'!B3)*(ROW()-3)/(MATCH(9.99E+307,'Returns (Calc)'!$A:$A)-3),"")</f>
        <v/>
      </c>
      <c r="X40" s="144" t="n">
        <f aca="false">IFERROR('Price History'!C3+(INDEX('Price History'!C:C,MATCH(9.99E+307,'Price History'!$A:$A))-'Price History'!C3)*(ROW()-3)/(MATCH(9.99E+307,'Returns (Calc)'!$A:$A)-3),"")</f>
        <v>35.3656962025316</v>
      </c>
      <c r="Y40" s="144" t="n">
        <f aca="false">IFERROR('Price History'!D3+(INDEX('Price History'!D:D,MATCH(9.99E+307,'Price History'!$A:$A))-'Price History'!D3)*(ROW()-3)/(MATCH(9.99E+307,'Returns (Calc)'!$A:$A)-3),"")</f>
        <v>445.716518987342</v>
      </c>
      <c r="Z40" s="144" t="n">
        <f aca="false">IFERROR('Price History'!E3+(INDEX('Price History'!E:E,MATCH(9.99E+307,'Price History'!$A:$A))-'Price History'!E3)*(ROW()-3)/(MATCH(9.99E+307,'Returns (Calc)'!$A:$A)-3),"")</f>
        <v>62.7974683544304</v>
      </c>
      <c r="AA40" s="144" t="n">
        <f aca="false">IFERROR('Price History'!F3+(INDEX('Price History'!F:F,MATCH(9.99E+307,'Price History'!$A:$A))-'Price History'!F3)*(ROW()-3)/(MATCH(9.99E+307,'Returns (Calc)'!$A:$A)-3),"")</f>
        <v>57.6741139240506</v>
      </c>
      <c r="AB40" s="144" t="n">
        <f aca="false">IFERROR('Price History'!G3+(INDEX('Price History'!G:G,MATCH(9.99E+307,'Price History'!$A:$A))-'Price History'!G3)*(ROW()-3)/(MATCH(9.99E+307,'Returns (Calc)'!$A:$A)-3),"")</f>
        <v>31.6744303797468</v>
      </c>
      <c r="AC40" s="144" t="n">
        <f aca="false">IFERROR('Price History'!H3+(INDEX('Price History'!H:H,MATCH(9.99E+307,'Price History'!$A:$A))-'Price History'!H3)*(ROW()-3)/(MATCH(9.99E+307,'Returns (Calc)'!$A:$A)-3),"")</f>
        <v>77.0341139240506</v>
      </c>
      <c r="AD40" s="144" t="n">
        <f aca="false">IFERROR('Price History'!I3+(INDEX('Price History'!I:I,MATCH(9.99E+307,'Price History'!$A:$A))-'Price History'!I3)*(ROW()-3)/(MATCH(9.99E+307,'Returns (Calc)'!$A:$A)-3),"")</f>
        <v>33.9642405063291</v>
      </c>
      <c r="AE40" s="144" t="n">
        <f aca="false">IFERROR('Price History'!J3+(INDEX('Price History'!J:J,MATCH(9.99E+307,'Price History'!$A:$A))-'Price History'!J3)*(ROW()-3)/(MATCH(9.99E+307,'Returns (Calc)'!$A:$A)-3),"")</f>
        <v>52.9260126582279</v>
      </c>
      <c r="AF40" s="144" t="n">
        <f aca="false">IFERROR('Price History'!K3+(INDEX('Price History'!K:K,MATCH(9.99E+307,'Price History'!$A:$A))-'Price History'!K3)*(ROW()-3)/(MATCH(9.99E+307,'Returns (Calc)'!$A:$A)-3),"")</f>
        <v>33.5200632911392</v>
      </c>
      <c r="AG40" s="144" t="n">
        <f aca="false">IFERROR('Price History'!L3+(INDEX('Price History'!L:L,MATCH(9.99E+307,'Price History'!$A:$A))-'Price History'!L3)*(ROW()-3)/(MATCH(9.99E+307,'Returns (Calc)'!$A:$A)-3),"")</f>
        <v>85.6496202531646</v>
      </c>
      <c r="AH40" s="144" t="n">
        <f aca="false">IFERROR('Price History'!M3+(INDEX('Price History'!M:M,MATCH(9.99E+307,'Price History'!$A:$A))-'Price History'!M3)*(ROW()-3)/(MATCH(9.99E+307,'Returns (Calc)'!$A:$A)-3),"")</f>
        <v>11.7400632911392</v>
      </c>
      <c r="AI40" s="144" t="n">
        <f aca="false">IFERROR('Price History'!N3+(INDEX('Price History'!N:N,MATCH(9.99E+307,'Price History'!$A:$A))-'Price History'!N3)*(ROW()-3)/(MATCH(9.99E+307,'Returns (Calc)'!$A:$A)-3),"")</f>
        <v>16.6949367088608</v>
      </c>
      <c r="AJ40" s="144" t="n">
        <f aca="false">IFERROR('Price History'!O3+(INDEX('Price History'!O:O,MATCH(9.99E+307,'Price History'!$A:$A))-'Price History'!O3)*(ROW()-3)/(MATCH(9.99E+307,'Returns (Calc)'!$A:$A)-3),"")</f>
        <v>44.1343670886076</v>
      </c>
      <c r="AK40" s="144" t="n">
        <f aca="false">IFERROR('Price History'!Q3+(INDEX('Price History'!Q:Q,MATCH(9.99E+307,'Price History'!$A:$A))-'Price History'!Q3)*(ROW()-3)/(MATCH(9.99E+307,'Returns (Calc)'!$A:$A)-3),"")</f>
        <v>180.45082278481</v>
      </c>
      <c r="AL40" s="144" t="n">
        <f aca="false">IFERROR('Price History'!R3+(INDEX('Price History'!R:R,MATCH(9.99E+307,'Price History'!$A:$A))-'Price History'!R3)*(ROW()-3)/(MATCH(9.99E+307,'Returns (Calc)'!$A:$A)-3),"")</f>
        <v>36.6216455696203</v>
      </c>
      <c r="AM40" s="144" t="n">
        <f aca="false">IFERROR('Price History'!S3+(INDEX('Price History'!S:S,MATCH(9.99E+307,'Price History'!$A:$A))-'Price History'!S3)*(ROW()-3)/(MATCH(9.99E+307,'Returns (Calc)'!$A:$A)-3),"")</f>
        <v>44.8312658227848</v>
      </c>
      <c r="AN40" s="144" t="n">
        <f aca="false">IFERROR('Price History'!T3+(INDEX('Price History'!T:T,MATCH(9.99E+307,'Price History'!$A:$A))-'Price History'!T3)*(ROW()-3)/(MATCH(9.99E+307,'Returns (Calc)'!$A:$A)-3),"")</f>
        <v>20.6082911392405</v>
      </c>
      <c r="AO40" s="145" t="n">
        <f aca="false">IFERROR('Price History'!V3+(INDEX('Price History'!V:V,MATCH(9.99E+307,'Price History'!$A:$A))-'Price History'!V3)*(ROW()-3)/(MATCH(9.99E+307,'Returns (Calc)'!$A:$A)-3),"")</f>
        <v>0</v>
      </c>
    </row>
    <row r="41" customFormat="false" ht="15" hidden="false" customHeight="true" outlineLevel="0" collapsed="false">
      <c r="A41" s="141" t="n">
        <f aca="false">IF('Price History'!A42="","",'Price History'!A42)</f>
        <v>45457</v>
      </c>
      <c r="B41" s="142" t="n">
        <f aca="false">IFERROR(IF(OR(NOT(ISNUMBER('Price History'!B42)),NOT(ISNUMBER('Price History'!B41)),'Price History'!B41=0),"",'Price History'!B42/'Price History'!B41-1),"")</f>
        <v>0.128655222052725</v>
      </c>
      <c r="C41" s="142" t="n">
        <f aca="false">IFERROR(IF(OR(NOT(ISNUMBER('Price History'!C42)),NOT(ISNUMBER('Price History'!C41)),'Price History'!C41=0),"",'Price History'!C42/'Price History'!C41-1),"")</f>
        <v>0.106738544474394</v>
      </c>
      <c r="D41" s="142" t="n">
        <f aca="false">IFERROR(IF(OR(NOT(ISNUMBER('Price History'!D42)),NOT(ISNUMBER('Price History'!D41)),'Price History'!D41=0),"",'Price History'!D42/'Price History'!D41-1),"")</f>
        <v>-0.000505150554675149</v>
      </c>
      <c r="E41" s="142" t="n">
        <f aca="false">IFERROR(IF(OR(NOT(ISNUMBER('Price History'!E42)),NOT(ISNUMBER('Price History'!E41)),'Price History'!E41=0),"",'Price History'!E42/'Price History'!E41-1),"")</f>
        <v>0.233440093172223</v>
      </c>
      <c r="F41" s="142" t="n">
        <f aca="false">IFERROR(IF(OR(NOT(ISNUMBER('Price History'!F42)),NOT(ISNUMBER('Price History'!F41)),'Price History'!F41=0),"",'Price History'!F42/'Price History'!F41-1),"")</f>
        <v>-0.0238425925925926</v>
      </c>
      <c r="G41" s="142" t="n">
        <f aca="false">IFERROR(IF(OR(NOT(ISNUMBER('Price History'!G42)),NOT(ISNUMBER('Price History'!G41)),'Price History'!G41=0),"",'Price History'!G42/'Price History'!G41-1),"")</f>
        <v>0.104032997250229</v>
      </c>
      <c r="H41" s="142" t="n">
        <f aca="false">IFERROR(IF(OR(NOT(ISNUMBER('Price History'!H42)),NOT(ISNUMBER('Price History'!H41)),'Price History'!H41=0),"",'Price History'!H42/'Price History'!H41-1),"")</f>
        <v>-0.0168670375022429</v>
      </c>
      <c r="I41" s="142" t="n">
        <f aca="false">IFERROR(IF(OR(NOT(ISNUMBER('Price History'!I42)),NOT(ISNUMBER('Price History'!I41)),'Price History'!I41=0),"",'Price History'!I42/'Price History'!I41-1),"")</f>
        <v>0.0727417008332232</v>
      </c>
      <c r="J41" s="142" t="n">
        <f aca="false">IFERROR(IF(OR(NOT(ISNUMBER('Price History'!J42)),NOT(ISNUMBER('Price History'!J41)),'Price History'!J41=0),"",'Price History'!J42/'Price History'!J41-1),"")</f>
        <v>0.0795323436658719</v>
      </c>
      <c r="K41" s="142" t="n">
        <f aca="false">IFERROR(IF(OR(NOT(ISNUMBER('Price History'!K42)),NOT(ISNUMBER('Price History'!K41)),'Price History'!K41=0),"",'Price History'!K42/'Price History'!K41-1),"")</f>
        <v>0.0910900945744151</v>
      </c>
      <c r="L41" s="142" t="n">
        <f aca="false">IFERROR(IF(OR(NOT(ISNUMBER('Price History'!L42)),NOT(ISNUMBER('Price History'!L41)),'Price History'!L41=0),"",'Price History'!L42/'Price History'!L41-1),"")</f>
        <v>0.0189274447949528</v>
      </c>
      <c r="M41" s="142" t="n">
        <f aca="false">IFERROR(IF(OR(NOT(ISNUMBER('Price History'!M42)),NOT(ISNUMBER('Price History'!M41)),'Price History'!M41=0),"",'Price History'!M42/'Price History'!M41-1),"")</f>
        <v>0.0111540111540112</v>
      </c>
      <c r="N41" s="142" t="n">
        <f aca="false">IFERROR(IF(OR(NOT(ISNUMBER('Price History'!N42)),NOT(ISNUMBER('Price History'!N41)),'Price History'!N41=0),"",'Price History'!N42/'Price History'!N41-1),"")</f>
        <v>-0.0139299282397637</v>
      </c>
      <c r="O41" s="142" t="n">
        <f aca="false">IFERROR(IF(OR(NOT(ISNUMBER('Price History'!O42)),NOT(ISNUMBER('Price History'!O41)),'Price History'!O41=0),"",'Price History'!O42/'Price History'!O41-1),"")</f>
        <v>0.042212518195051</v>
      </c>
      <c r="P41" s="142" t="n">
        <f aca="false">IFERROR(IF(OR(NOT(ISNUMBER('Price History'!P42)),NOT(ISNUMBER('Price History'!P41)),'Price History'!P41=0),"",'Price History'!P42/'Price History'!P41-1),"")</f>
        <v>0.0526547006401406</v>
      </c>
      <c r="Q41" s="142" t="n">
        <f aca="false">IFERROR(IF(OR(NOT(ISNUMBER('Price History'!Q42)),NOT(ISNUMBER('Price History'!Q41)),'Price History'!Q41=0),"",'Price History'!Q42/'Price History'!Q41-1),"")</f>
        <v>-0.0287247244324403</v>
      </c>
      <c r="R41" s="142" t="n">
        <f aca="false">IFERROR(IF(OR(NOT(ISNUMBER('Price History'!R42)),NOT(ISNUMBER('Price History'!R41)),'Price History'!R41=0),"",'Price History'!R42/'Price History'!R41-1),"")</f>
        <v>0.0138388625592416</v>
      </c>
      <c r="S41" s="142" t="n">
        <f aca="false">IFERROR(IF(OR(NOT(ISNUMBER('Price History'!S42)),NOT(ISNUMBER('Price History'!S41)),'Price History'!S41=0),"",'Price History'!S42/'Price History'!S41-1),"")</f>
        <v>0.0222307890002571</v>
      </c>
      <c r="T41" s="142" t="n">
        <f aca="false">IFERROR(IF(OR(NOT(ISNUMBER('Price History'!T42)),NOT(ISNUMBER('Price History'!T41)),'Price History'!T41=0),"",'Price History'!T42/'Price History'!T41-1),"")</f>
        <v>0.0220564385338957</v>
      </c>
      <c r="U41" s="142" t="str">
        <f aca="false">IFERROR(IF(OR(NOT(ISNUMBER('Price History'!U42)),NOT(ISNUMBER('Price History'!U41)),'Price History'!U41=0),"",'Price History'!U42/'Price History'!U41-1),"")</f>
        <v/>
      </c>
      <c r="V41" s="143" t="n">
        <f aca="false">IFERROR(IF(OR(NOT(ISNUMBER('Price History'!V42)),NOT(ISNUMBER('Price History'!V41)),'Price History'!V41=0),"",'Price History'!V42/'Price History'!V41-1),"")</f>
        <v>0.045618429541918</v>
      </c>
      <c r="W41" s="144" t="str">
        <f aca="false">IFERROR('Price History'!B3+(INDEX('Price History'!B:B,MATCH(9.99E+307,'Price History'!$A:$A))-'Price History'!B3)*(ROW()-3)/(MATCH(9.99E+307,'Returns (Calc)'!$A:$A)-3),"")</f>
        <v/>
      </c>
      <c r="X41" s="144" t="n">
        <f aca="false">IFERROR('Price History'!C3+(INDEX('Price History'!C:C,MATCH(9.99E+307,'Price History'!$A:$A))-'Price History'!C3)*(ROW()-3)/(MATCH(9.99E+307,'Returns (Calc)'!$A:$A)-3),"")</f>
        <v>35.073417721519</v>
      </c>
      <c r="Y41" s="144" t="n">
        <f aca="false">IFERROR('Price History'!D3+(INDEX('Price History'!D:D,MATCH(9.99E+307,'Price History'!$A:$A))-'Price History'!D3)*(ROW()-3)/(MATCH(9.99E+307,'Returns (Calc)'!$A:$A)-3),"")</f>
        <v>442.032911392405</v>
      </c>
      <c r="Z41" s="144" t="n">
        <f aca="false">IFERROR('Price History'!E3+(INDEX('Price History'!E:E,MATCH(9.99E+307,'Price History'!$A:$A))-'Price History'!E3)*(ROW()-3)/(MATCH(9.99E+307,'Returns (Calc)'!$A:$A)-3),"")</f>
        <v>62.2784810126582</v>
      </c>
      <c r="AA41" s="144" t="n">
        <f aca="false">IFERROR('Price History'!F3+(INDEX('Price History'!F:F,MATCH(9.99E+307,'Price History'!$A:$A))-'Price History'!F3)*(ROW()-3)/(MATCH(9.99E+307,'Returns (Calc)'!$A:$A)-3),"")</f>
        <v>57.1974683544304</v>
      </c>
      <c r="AB41" s="144" t="n">
        <f aca="false">IFERROR('Price History'!G3+(INDEX('Price History'!G:G,MATCH(9.99E+307,'Price History'!$A:$A))-'Price History'!G3)*(ROW()-3)/(MATCH(9.99E+307,'Returns (Calc)'!$A:$A)-3),"")</f>
        <v>31.4126582278481</v>
      </c>
      <c r="AC41" s="144" t="n">
        <f aca="false">IFERROR('Price History'!H3+(INDEX('Price History'!H:H,MATCH(9.99E+307,'Price History'!$A:$A))-'Price History'!H3)*(ROW()-3)/(MATCH(9.99E+307,'Returns (Calc)'!$A:$A)-3),"")</f>
        <v>76.3974683544304</v>
      </c>
      <c r="AD41" s="144" t="n">
        <f aca="false">IFERROR('Price History'!I3+(INDEX('Price History'!I:I,MATCH(9.99E+307,'Price History'!$A:$A))-'Price History'!I3)*(ROW()-3)/(MATCH(9.99E+307,'Returns (Calc)'!$A:$A)-3),"")</f>
        <v>33.6835443037975</v>
      </c>
      <c r="AE41" s="144" t="n">
        <f aca="false">IFERROR('Price History'!J3+(INDEX('Price History'!J:J,MATCH(9.99E+307,'Price History'!$A:$A))-'Price History'!J3)*(ROW()-3)/(MATCH(9.99E+307,'Returns (Calc)'!$A:$A)-3),"")</f>
        <v>52.4886075949367</v>
      </c>
      <c r="AF41" s="144" t="n">
        <f aca="false">IFERROR('Price History'!K3+(INDEX('Price History'!K:K,MATCH(9.99E+307,'Price History'!$A:$A))-'Price History'!K3)*(ROW()-3)/(MATCH(9.99E+307,'Returns (Calc)'!$A:$A)-3),"")</f>
        <v>33.2430379746835</v>
      </c>
      <c r="AG41" s="144" t="n">
        <f aca="false">IFERROR('Price History'!L3+(INDEX('Price History'!L:L,MATCH(9.99E+307,'Price History'!$A:$A))-'Price History'!L3)*(ROW()-3)/(MATCH(9.99E+307,'Returns (Calc)'!$A:$A)-3),"")</f>
        <v>84.9417721518987</v>
      </c>
      <c r="AH41" s="144" t="n">
        <f aca="false">IFERROR('Price History'!M3+(INDEX('Price History'!M:M,MATCH(9.99E+307,'Price History'!$A:$A))-'Price History'!M3)*(ROW()-3)/(MATCH(9.99E+307,'Returns (Calc)'!$A:$A)-3),"")</f>
        <v>11.6430379746835</v>
      </c>
      <c r="AI41" s="144" t="n">
        <f aca="false">IFERROR('Price History'!N3+(INDEX('Price History'!N:N,MATCH(9.99E+307,'Price History'!$A:$A))-'Price History'!N3)*(ROW()-3)/(MATCH(9.99E+307,'Returns (Calc)'!$A:$A)-3),"")</f>
        <v>16.5569620253165</v>
      </c>
      <c r="AJ41" s="144" t="n">
        <f aca="false">IFERROR('Price History'!O3+(INDEX('Price History'!O:O,MATCH(9.99E+307,'Price History'!$A:$A))-'Price History'!O3)*(ROW()-3)/(MATCH(9.99E+307,'Returns (Calc)'!$A:$A)-3),"")</f>
        <v>43.7696202531646</v>
      </c>
      <c r="AK41" s="144" t="n">
        <f aca="false">IFERROR('Price History'!Q3+(INDEX('Price History'!Q:Q,MATCH(9.99E+307,'Price History'!$A:$A))-'Price History'!Q3)*(ROW()-3)/(MATCH(9.99E+307,'Returns (Calc)'!$A:$A)-3),"")</f>
        <v>178.959493670886</v>
      </c>
      <c r="AL41" s="144" t="n">
        <f aca="false">IFERROR('Price History'!R3+(INDEX('Price History'!R:R,MATCH(9.99E+307,'Price History'!$A:$A))-'Price History'!R3)*(ROW()-3)/(MATCH(9.99E+307,'Returns (Calc)'!$A:$A)-3),"")</f>
        <v>36.3189873417722</v>
      </c>
      <c r="AM41" s="144" t="n">
        <f aca="false">IFERROR('Price History'!S3+(INDEX('Price History'!S:S,MATCH(9.99E+307,'Price History'!$A:$A))-'Price History'!S3)*(ROW()-3)/(MATCH(9.99E+307,'Returns (Calc)'!$A:$A)-3),"")</f>
        <v>44.4607594936709</v>
      </c>
      <c r="AN41" s="144" t="n">
        <f aca="false">IFERROR('Price History'!T3+(INDEX('Price History'!T:T,MATCH(9.99E+307,'Price History'!$A:$A))-'Price History'!T3)*(ROW()-3)/(MATCH(9.99E+307,'Returns (Calc)'!$A:$A)-3),"")</f>
        <v>20.4379746835443</v>
      </c>
      <c r="AO41" s="145" t="n">
        <f aca="false">IFERROR('Price History'!V3+(INDEX('Price History'!V:V,MATCH(9.99E+307,'Price History'!$A:$A))-'Price History'!V3)*(ROW()-3)/(MATCH(9.99E+307,'Returns (Calc)'!$A:$A)-3),"")</f>
        <v>0</v>
      </c>
    </row>
    <row r="42" customFormat="false" ht="15" hidden="false" customHeight="true" outlineLevel="0" collapsed="false">
      <c r="A42" s="141" t="n">
        <f aca="false">IF('Price History'!A43="","",'Price History'!A43)</f>
        <v>45464</v>
      </c>
      <c r="B42" s="142" t="n">
        <f aca="false">IFERROR(IF(OR(NOT(ISNUMBER('Price History'!B43)),NOT(ISNUMBER('Price History'!B42)),'Price History'!B42=0),"",'Price History'!B43/'Price History'!B42-1),"")</f>
        <v>0.0154765757362321</v>
      </c>
      <c r="C42" s="142" t="n">
        <f aca="false">IFERROR(IF(OR(NOT(ISNUMBER('Price History'!C43)),NOT(ISNUMBER('Price History'!C42)),'Price History'!C42=0),"",'Price History'!C43/'Price History'!C42-1),"")</f>
        <v>0.0270336093521675</v>
      </c>
      <c r="D42" s="142" t="n">
        <f aca="false">IFERROR(IF(OR(NOT(ISNUMBER('Price History'!D43)),NOT(ISNUMBER('Price History'!D42)),'Price History'!D42=0),"",'Price History'!D43/'Price History'!D42-1),"")</f>
        <v>0.00846307068745111</v>
      </c>
      <c r="E42" s="142" t="n">
        <f aca="false">IFERROR(IF(OR(NOT(ISNUMBER('Price History'!E43)),NOT(ISNUMBER('Price History'!E42)),'Price History'!E42=0),"",'Price History'!E43/'Price History'!E42-1),"")</f>
        <v>-0.0440247860725876</v>
      </c>
      <c r="F42" s="142" t="n">
        <f aca="false">IFERROR(IF(OR(NOT(ISNUMBER('Price History'!F43)),NOT(ISNUMBER('Price History'!F42)),'Price History'!F42=0),"",'Price History'!F43/'Price History'!F42-1),"")</f>
        <v>0.0107896608963718</v>
      </c>
      <c r="G42" s="142" t="n">
        <f aca="false">IFERROR(IF(OR(NOT(ISNUMBER('Price History'!G43)),NOT(ISNUMBER('Price History'!G42)),'Price History'!G42=0),"",'Price History'!G43/'Price History'!G42-1),"")</f>
        <v>-0.0124533001245331</v>
      </c>
      <c r="H42" s="142" t="n">
        <f aca="false">IFERROR(IF(OR(NOT(ISNUMBER('Price History'!H43)),NOT(ISNUMBER('Price History'!H42)),'Price History'!H42=0),"",'Price History'!H43/'Price History'!H42-1),"")</f>
        <v>0.0137798868406644</v>
      </c>
      <c r="I42" s="142" t="n">
        <f aca="false">IFERROR(IF(OR(NOT(ISNUMBER('Price History'!I43)),NOT(ISNUMBER('Price History'!I42)),'Price History'!I42=0),"",'Price History'!I43/'Price History'!I42-1),"")</f>
        <v>-0.010109727530514</v>
      </c>
      <c r="J42" s="142" t="n">
        <f aca="false">IFERROR(IF(OR(NOT(ISNUMBER('Price History'!J43)),NOT(ISNUMBER('Price History'!J42)),'Price History'!J42=0),"",'Price History'!J43/'Price History'!J42-1),"")</f>
        <v>-0.0128250801567509</v>
      </c>
      <c r="K42" s="142" t="n">
        <f aca="false">IFERROR(IF(OR(NOT(ISNUMBER('Price History'!K43)),NOT(ISNUMBER('Price History'!K42)),'Price History'!K42=0),"",'Price History'!K43/'Price History'!K42-1),"")</f>
        <v>-0.0402980535279807</v>
      </c>
      <c r="L42" s="142" t="n">
        <f aca="false">IFERROR(IF(OR(NOT(ISNUMBER('Price History'!L43)),NOT(ISNUMBER('Price History'!L42)),'Price History'!L42=0),"",'Price History'!L43/'Price History'!L42-1),"")</f>
        <v>-0.0173181114551084</v>
      </c>
      <c r="M42" s="142" t="n">
        <f aca="false">IFERROR(IF(OR(NOT(ISNUMBER('Price History'!M43)),NOT(ISNUMBER('Price History'!M42)),'Price History'!M42=0),"",'Price History'!M43/'Price History'!M42-1),"")</f>
        <v>0.0114552397114978</v>
      </c>
      <c r="N42" s="142" t="n">
        <f aca="false">IFERROR(IF(OR(NOT(ISNUMBER('Price History'!N43)),NOT(ISNUMBER('Price History'!N42)),'Price History'!N42=0),"",'Price History'!N43/'Price History'!N42-1),"")</f>
        <v>0.0171232876712331</v>
      </c>
      <c r="O42" s="142" t="n">
        <f aca="false">IFERROR(IF(OR(NOT(ISNUMBER('Price History'!O43)),NOT(ISNUMBER('Price History'!O42)),'Price History'!O42=0),"",'Price History'!O43/'Price History'!O42-1),"")</f>
        <v>-0.000814711359404141</v>
      </c>
      <c r="P42" s="142" t="n">
        <f aca="false">IFERROR(IF(OR(NOT(ISNUMBER('Price History'!P43)),NOT(ISNUMBER('Price History'!P42)),'Price History'!P42=0),"",'Price History'!P43/'Price History'!P42-1),"")</f>
        <v>0.00840636737614031</v>
      </c>
      <c r="Q42" s="142" t="n">
        <f aca="false">IFERROR(IF(OR(NOT(ISNUMBER('Price History'!Q43)),NOT(ISNUMBER('Price History'!Q42)),'Price History'!Q42=0),"",'Price History'!Q43/'Price History'!Q42-1),"")</f>
        <v>0.0168351433617675</v>
      </c>
      <c r="R42" s="142" t="n">
        <f aca="false">IFERROR(IF(OR(NOT(ISNUMBER('Price History'!R43)),NOT(ISNUMBER('Price History'!R42)),'Price History'!R42=0),"",'Price History'!R43/'Price History'!R42-1),"")</f>
        <v>0.011967090501122</v>
      </c>
      <c r="S42" s="142" t="n">
        <f aca="false">IFERROR(IF(OR(NOT(ISNUMBER('Price History'!S43)),NOT(ISNUMBER('Price History'!S42)),'Price History'!S42=0),"",'Price History'!S43/'Price History'!S42-1),"")</f>
        <v>0.0150848522941547</v>
      </c>
      <c r="T42" s="142" t="n">
        <f aca="false">IFERROR(IF(OR(NOT(ISNUMBER('Price History'!T43)),NOT(ISNUMBER('Price History'!T42)),'Price History'!T42=0),"",'Price History'!T43/'Price History'!T42-1),"")</f>
        <v>0.00920342748333858</v>
      </c>
      <c r="U42" s="142" t="str">
        <f aca="false">IFERROR(IF(OR(NOT(ISNUMBER('Price History'!U43)),NOT(ISNUMBER('Price History'!U42)),'Price History'!U42=0),"",'Price History'!U43/'Price History'!U42-1),"")</f>
        <v/>
      </c>
      <c r="V42" s="143" t="n">
        <f aca="false">IFERROR(IF(OR(NOT(ISNUMBER('Price History'!V43)),NOT(ISNUMBER('Price History'!V42)),'Price History'!V42=0),"",'Price History'!V43/'Price History'!V42-1),"")</f>
        <v>-0.000435555878189553</v>
      </c>
      <c r="W42" s="144" t="str">
        <f aca="false">IFERROR('Price History'!B3+(INDEX('Price History'!B:B,MATCH(9.99E+307,'Price History'!$A:$A))-'Price History'!B3)*(ROW()-3)/(MATCH(9.99E+307,'Returns (Calc)'!$A:$A)-3),"")</f>
        <v/>
      </c>
      <c r="X42" s="144" t="n">
        <f aca="false">IFERROR('Price History'!C3+(INDEX('Price History'!C:C,MATCH(9.99E+307,'Price History'!$A:$A))-'Price History'!C3)*(ROW()-3)/(MATCH(9.99E+307,'Returns (Calc)'!$A:$A)-3),"")</f>
        <v>34.7811392405063</v>
      </c>
      <c r="Y42" s="144" t="n">
        <f aca="false">IFERROR('Price History'!D3+(INDEX('Price History'!D:D,MATCH(9.99E+307,'Price History'!$A:$A))-'Price History'!D3)*(ROW()-3)/(MATCH(9.99E+307,'Returns (Calc)'!$A:$A)-3),"")</f>
        <v>438.349303797468</v>
      </c>
      <c r="Z42" s="144" t="n">
        <f aca="false">IFERROR('Price History'!E3+(INDEX('Price History'!E:E,MATCH(9.99E+307,'Price History'!$A:$A))-'Price History'!E3)*(ROW()-3)/(MATCH(9.99E+307,'Returns (Calc)'!$A:$A)-3),"")</f>
        <v>61.7594936708861</v>
      </c>
      <c r="AA42" s="144" t="n">
        <f aca="false">IFERROR('Price History'!F3+(INDEX('Price History'!F:F,MATCH(9.99E+307,'Price History'!$A:$A))-'Price History'!F3)*(ROW()-3)/(MATCH(9.99E+307,'Returns (Calc)'!$A:$A)-3),"")</f>
        <v>56.7208227848101</v>
      </c>
      <c r="AB42" s="144" t="n">
        <f aca="false">IFERROR('Price History'!G3+(INDEX('Price History'!G:G,MATCH(9.99E+307,'Price History'!$A:$A))-'Price History'!G3)*(ROW()-3)/(MATCH(9.99E+307,'Returns (Calc)'!$A:$A)-3),"")</f>
        <v>31.1508860759494</v>
      </c>
      <c r="AC42" s="144" t="n">
        <f aca="false">IFERROR('Price History'!H3+(INDEX('Price History'!H:H,MATCH(9.99E+307,'Price History'!$A:$A))-'Price History'!H3)*(ROW()-3)/(MATCH(9.99E+307,'Returns (Calc)'!$A:$A)-3),"")</f>
        <v>75.7608227848101</v>
      </c>
      <c r="AD42" s="144" t="n">
        <f aca="false">IFERROR('Price History'!I3+(INDEX('Price History'!I:I,MATCH(9.99E+307,'Price History'!$A:$A))-'Price History'!I3)*(ROW()-3)/(MATCH(9.99E+307,'Returns (Calc)'!$A:$A)-3),"")</f>
        <v>33.4028481012658</v>
      </c>
      <c r="AE42" s="144" t="n">
        <f aca="false">IFERROR('Price History'!J3+(INDEX('Price History'!J:J,MATCH(9.99E+307,'Price History'!$A:$A))-'Price History'!J3)*(ROW()-3)/(MATCH(9.99E+307,'Returns (Calc)'!$A:$A)-3),"")</f>
        <v>52.0512025316456</v>
      </c>
      <c r="AF42" s="144" t="n">
        <f aca="false">IFERROR('Price History'!K3+(INDEX('Price History'!K:K,MATCH(9.99E+307,'Price History'!$A:$A))-'Price History'!K3)*(ROW()-3)/(MATCH(9.99E+307,'Returns (Calc)'!$A:$A)-3),"")</f>
        <v>32.9660126582279</v>
      </c>
      <c r="AG42" s="144" t="n">
        <f aca="false">IFERROR('Price History'!L3+(INDEX('Price History'!L:L,MATCH(9.99E+307,'Price History'!$A:$A))-'Price History'!L3)*(ROW()-3)/(MATCH(9.99E+307,'Returns (Calc)'!$A:$A)-3),"")</f>
        <v>84.2339240506329</v>
      </c>
      <c r="AH42" s="144" t="n">
        <f aca="false">IFERROR('Price History'!M3+(INDEX('Price History'!M:M,MATCH(9.99E+307,'Price History'!$A:$A))-'Price History'!M3)*(ROW()-3)/(MATCH(9.99E+307,'Returns (Calc)'!$A:$A)-3),"")</f>
        <v>11.5460126582278</v>
      </c>
      <c r="AI42" s="144" t="n">
        <f aca="false">IFERROR('Price History'!N3+(INDEX('Price History'!N:N,MATCH(9.99E+307,'Price History'!$A:$A))-'Price History'!N3)*(ROW()-3)/(MATCH(9.99E+307,'Returns (Calc)'!$A:$A)-3),"")</f>
        <v>16.4189873417722</v>
      </c>
      <c r="AJ42" s="144" t="n">
        <f aca="false">IFERROR('Price History'!O3+(INDEX('Price History'!O:O,MATCH(9.99E+307,'Price History'!$A:$A))-'Price History'!O3)*(ROW()-3)/(MATCH(9.99E+307,'Returns (Calc)'!$A:$A)-3),"")</f>
        <v>43.4048734177215</v>
      </c>
      <c r="AK42" s="144" t="n">
        <f aca="false">IFERROR('Price History'!Q3+(INDEX('Price History'!Q:Q,MATCH(9.99E+307,'Price History'!$A:$A))-'Price History'!Q3)*(ROW()-3)/(MATCH(9.99E+307,'Returns (Calc)'!$A:$A)-3),"")</f>
        <v>177.468164556962</v>
      </c>
      <c r="AL42" s="144" t="n">
        <f aca="false">IFERROR('Price History'!R3+(INDEX('Price History'!R:R,MATCH(9.99E+307,'Price History'!$A:$A))-'Price History'!R3)*(ROW()-3)/(MATCH(9.99E+307,'Returns (Calc)'!$A:$A)-3),"")</f>
        <v>36.0163291139241</v>
      </c>
      <c r="AM42" s="144" t="n">
        <f aca="false">IFERROR('Price History'!S3+(INDEX('Price History'!S:S,MATCH(9.99E+307,'Price History'!$A:$A))-'Price History'!S3)*(ROW()-3)/(MATCH(9.99E+307,'Returns (Calc)'!$A:$A)-3),"")</f>
        <v>44.090253164557</v>
      </c>
      <c r="AN42" s="144" t="n">
        <f aca="false">IFERROR('Price History'!T3+(INDEX('Price History'!T:T,MATCH(9.99E+307,'Price History'!$A:$A))-'Price History'!T3)*(ROW()-3)/(MATCH(9.99E+307,'Returns (Calc)'!$A:$A)-3),"")</f>
        <v>20.2676582278481</v>
      </c>
      <c r="AO42" s="145" t="n">
        <f aca="false">IFERROR('Price History'!V3+(INDEX('Price History'!V:V,MATCH(9.99E+307,'Price History'!$A:$A))-'Price History'!V3)*(ROW()-3)/(MATCH(9.99E+307,'Returns (Calc)'!$A:$A)-3),"")</f>
        <v>0</v>
      </c>
    </row>
    <row r="43" customFormat="false" ht="15" hidden="false" customHeight="true" outlineLevel="0" collapsed="false">
      <c r="A43" s="141" t="n">
        <f aca="false">IF('Price History'!A44="","",'Price History'!A44)</f>
        <v>45471</v>
      </c>
      <c r="B43" s="142" t="n">
        <f aca="false">IFERROR(IF(OR(NOT(ISNUMBER('Price History'!B44)),NOT(ISNUMBER('Price History'!B43)),'Price History'!B43=0),"",'Price History'!B44/'Price History'!B43-1),"")</f>
        <v>0.0414292141571684</v>
      </c>
      <c r="C43" s="142" t="n">
        <f aca="false">IFERROR(IF(OR(NOT(ISNUMBER('Price History'!C44)),NOT(ISNUMBER('Price History'!C43)),'Price History'!C43=0),"",'Price History'!C44/'Price History'!C43-1),"")</f>
        <v>0.0388902063078018</v>
      </c>
      <c r="D43" s="142" t="n">
        <f aca="false">IFERROR(IF(OR(NOT(ISNUMBER('Price History'!D44)),NOT(ISNUMBER('Price History'!D43)),'Price History'!D43=0),"",'Price History'!D44/'Price History'!D43-1),"")</f>
        <v>-0.0133840393856314</v>
      </c>
      <c r="E43" s="142" t="n">
        <f aca="false">IFERROR(IF(OR(NOT(ISNUMBER('Price History'!E44)),NOT(ISNUMBER('Price History'!E43)),'Price History'!E43=0),"",'Price History'!E44/'Price History'!E43-1),"")</f>
        <v>-0.0289524044694117</v>
      </c>
      <c r="F43" s="142" t="n">
        <f aca="false">IFERROR(IF(OR(NOT(ISNUMBER('Price History'!F44)),NOT(ISNUMBER('Price History'!F43)),'Price History'!F43=0),"",'Price History'!F44/'Price History'!F43-1),"")</f>
        <v>0.0166568914956011</v>
      </c>
      <c r="G43" s="142" t="n">
        <f aca="false">IFERROR(IF(OR(NOT(ISNUMBER('Price History'!G44)),NOT(ISNUMBER('Price History'!G43)),'Price History'!G43=0),"",'Price History'!G44/'Price History'!G43-1),"")</f>
        <v>0.00672551492223628</v>
      </c>
      <c r="H43" s="142" t="n">
        <f aca="false">IFERROR(IF(OR(NOT(ISNUMBER('Price History'!H44)),NOT(ISNUMBER('Price History'!H43)),'Price History'!H43=0),"",'Price History'!H44/'Price History'!H43-1),"")</f>
        <v>0.00297056440723731</v>
      </c>
      <c r="I43" s="142" t="n">
        <f aca="false">IFERROR(IF(OR(NOT(ISNUMBER('Price History'!I44)),NOT(ISNUMBER('Price History'!I43)),'Price History'!I43=0),"",'Price History'!I44/'Price History'!I43-1),"")</f>
        <v>0.00983933241997748</v>
      </c>
      <c r="J43" s="142" t="n">
        <f aca="false">IFERROR(IF(OR(NOT(ISNUMBER('Price History'!J44)),NOT(ISNUMBER('Price History'!J43)),'Price History'!J43=0),"",'Price History'!J44/'Price History'!J43-1),"")</f>
        <v>-0.0574521833273187</v>
      </c>
      <c r="K43" s="142" t="n">
        <f aca="false">IFERROR(IF(OR(NOT(ISNUMBER('Price History'!K44)),NOT(ISNUMBER('Price History'!K43)),'Price History'!K43=0),"",'Price History'!K44/'Price History'!K43-1),"")</f>
        <v>-0.0239264775788306</v>
      </c>
      <c r="L43" s="142" t="n">
        <f aca="false">IFERROR(IF(OR(NOT(ISNUMBER('Price History'!L44)),NOT(ISNUMBER('Price History'!L43)),'Price History'!L43=0),"",'Price History'!L44/'Price History'!L43-1),"")</f>
        <v>0.0265826523579797</v>
      </c>
      <c r="M43" s="142" t="n">
        <f aca="false">IFERROR(IF(OR(NOT(ISNUMBER('Price History'!M44)),NOT(ISNUMBER('Price History'!M43)),'Price History'!M43=0),"",'Price History'!M44/'Price History'!M43-1),"")</f>
        <v>0.0625</v>
      </c>
      <c r="N43" s="142" t="n">
        <f aca="false">IFERROR(IF(OR(NOT(ISNUMBER('Price History'!N44)),NOT(ISNUMBER('Price History'!N43)),'Price History'!N43=0),"",'Price History'!N44/'Price History'!N43-1),"")</f>
        <v>0.00589225589225584</v>
      </c>
      <c r="O43" s="142" t="n">
        <f aca="false">IFERROR(IF(OR(NOT(ISNUMBER('Price History'!O44)),NOT(ISNUMBER('Price History'!O43)),'Price History'!O43=0),"",'Price History'!O44/'Price History'!O43-1),"")</f>
        <v>0.00186371578334321</v>
      </c>
      <c r="P43" s="142" t="n">
        <f aca="false">IFERROR(IF(OR(NOT(ISNUMBER('Price History'!P44)),NOT(ISNUMBER('Price History'!P43)),'Price History'!P43=0),"",'Price History'!P44/'Price History'!P43-1),"")</f>
        <v>-0.000827716684403401</v>
      </c>
      <c r="Q43" s="142" t="n">
        <f aca="false">IFERROR(IF(OR(NOT(ISNUMBER('Price History'!Q44)),NOT(ISNUMBER('Price History'!Q43)),'Price History'!Q43=0),"",'Price History'!Q44/'Price History'!Q43-1),"")</f>
        <v>-0.0463431760227649</v>
      </c>
      <c r="R43" s="142" t="n">
        <f aca="false">IFERROR(IF(OR(NOT(ISNUMBER('Price History'!R44)),NOT(ISNUMBER('Price History'!R43)),'Price History'!R43=0),"",'Price History'!R44/'Price History'!R43-1),"")</f>
        <v>0.00480413895048049</v>
      </c>
      <c r="S43" s="142" t="n">
        <f aca="false">IFERROR(IF(OR(NOT(ISNUMBER('Price History'!S44)),NOT(ISNUMBER('Price History'!S43)),'Price History'!S43=0),"",'Price History'!S44/'Price History'!S43-1),"")</f>
        <v>0.0194427244582043</v>
      </c>
      <c r="T43" s="142" t="n">
        <f aca="false">IFERROR(IF(OR(NOT(ISNUMBER('Price History'!T44)),NOT(ISNUMBER('Price History'!T43)),'Price History'!T43=0),"",'Price History'!T44/'Price History'!T43-1),"")</f>
        <v>-0.0169811320754717</v>
      </c>
      <c r="U43" s="142" t="str">
        <f aca="false">IFERROR(IF(OR(NOT(ISNUMBER('Price History'!U44)),NOT(ISNUMBER('Price History'!U43)),'Price History'!U43=0),"",'Price History'!U44/'Price History'!U43-1),"")</f>
        <v/>
      </c>
      <c r="V43" s="143" t="n">
        <f aca="false">IFERROR(IF(OR(NOT(ISNUMBER('Price History'!V44)),NOT(ISNUMBER('Price History'!V43)),'Price History'!V43=0),"",'Price History'!V44/'Price History'!V43-1),"")</f>
        <v>-0.0200443008097606</v>
      </c>
      <c r="W43" s="144" t="str">
        <f aca="false">IFERROR('Price History'!B3+(INDEX('Price History'!B:B,MATCH(9.99E+307,'Price History'!$A:$A))-'Price History'!B3)*(ROW()-3)/(MATCH(9.99E+307,'Returns (Calc)'!$A:$A)-3),"")</f>
        <v/>
      </c>
      <c r="X43" s="144" t="n">
        <f aca="false">IFERROR('Price History'!C3+(INDEX('Price History'!C:C,MATCH(9.99E+307,'Price History'!$A:$A))-'Price History'!C3)*(ROW()-3)/(MATCH(9.99E+307,'Returns (Calc)'!$A:$A)-3),"")</f>
        <v>34.4888607594937</v>
      </c>
      <c r="Y43" s="144" t="n">
        <f aca="false">IFERROR('Price History'!D3+(INDEX('Price History'!D:D,MATCH(9.99E+307,'Price History'!$A:$A))-'Price History'!D3)*(ROW()-3)/(MATCH(9.99E+307,'Returns (Calc)'!$A:$A)-3),"")</f>
        <v>434.665696202532</v>
      </c>
      <c r="Z43" s="144" t="n">
        <f aca="false">IFERROR('Price History'!E3+(INDEX('Price History'!E:E,MATCH(9.99E+307,'Price History'!$A:$A))-'Price History'!E3)*(ROW()-3)/(MATCH(9.99E+307,'Returns (Calc)'!$A:$A)-3),"")</f>
        <v>61.2405063291139</v>
      </c>
      <c r="AA43" s="144" t="n">
        <f aca="false">IFERROR('Price History'!F3+(INDEX('Price History'!F:F,MATCH(9.99E+307,'Price History'!$A:$A))-'Price History'!F3)*(ROW()-3)/(MATCH(9.99E+307,'Returns (Calc)'!$A:$A)-3),"")</f>
        <v>56.2441772151899</v>
      </c>
      <c r="AB43" s="144" t="n">
        <f aca="false">IFERROR('Price History'!G3+(INDEX('Price History'!G:G,MATCH(9.99E+307,'Price History'!$A:$A))-'Price History'!G3)*(ROW()-3)/(MATCH(9.99E+307,'Returns (Calc)'!$A:$A)-3),"")</f>
        <v>30.8891139240506</v>
      </c>
      <c r="AC43" s="144" t="n">
        <f aca="false">IFERROR('Price History'!H3+(INDEX('Price History'!H:H,MATCH(9.99E+307,'Price History'!$A:$A))-'Price History'!H3)*(ROW()-3)/(MATCH(9.99E+307,'Returns (Calc)'!$A:$A)-3),"")</f>
        <v>75.1241772151899</v>
      </c>
      <c r="AD43" s="144" t="n">
        <f aca="false">IFERROR('Price History'!I3+(INDEX('Price History'!I:I,MATCH(9.99E+307,'Price History'!$A:$A))-'Price History'!I3)*(ROW()-3)/(MATCH(9.99E+307,'Returns (Calc)'!$A:$A)-3),"")</f>
        <v>33.1221518987342</v>
      </c>
      <c r="AE43" s="144" t="n">
        <f aca="false">IFERROR('Price History'!J3+(INDEX('Price History'!J:J,MATCH(9.99E+307,'Price History'!$A:$A))-'Price History'!J3)*(ROW()-3)/(MATCH(9.99E+307,'Returns (Calc)'!$A:$A)-3),"")</f>
        <v>51.6137974683544</v>
      </c>
      <c r="AF43" s="144" t="n">
        <f aca="false">IFERROR('Price History'!K3+(INDEX('Price History'!K:K,MATCH(9.99E+307,'Price History'!$A:$A))-'Price History'!K3)*(ROW()-3)/(MATCH(9.99E+307,'Returns (Calc)'!$A:$A)-3),"")</f>
        <v>32.6889873417722</v>
      </c>
      <c r="AG43" s="144" t="n">
        <f aca="false">IFERROR('Price History'!L3+(INDEX('Price History'!L:L,MATCH(9.99E+307,'Price History'!$A:$A))-'Price History'!L3)*(ROW()-3)/(MATCH(9.99E+307,'Returns (Calc)'!$A:$A)-3),"")</f>
        <v>83.5260759493671</v>
      </c>
      <c r="AH43" s="144" t="n">
        <f aca="false">IFERROR('Price History'!M3+(INDEX('Price History'!M:M,MATCH(9.99E+307,'Price History'!$A:$A))-'Price History'!M3)*(ROW()-3)/(MATCH(9.99E+307,'Returns (Calc)'!$A:$A)-3),"")</f>
        <v>11.4489873417722</v>
      </c>
      <c r="AI43" s="144" t="n">
        <f aca="false">IFERROR('Price History'!N3+(INDEX('Price History'!N:N,MATCH(9.99E+307,'Price History'!$A:$A))-'Price History'!N3)*(ROW()-3)/(MATCH(9.99E+307,'Returns (Calc)'!$A:$A)-3),"")</f>
        <v>16.2810126582278</v>
      </c>
      <c r="AJ43" s="144" t="n">
        <f aca="false">IFERROR('Price History'!O3+(INDEX('Price History'!O:O,MATCH(9.99E+307,'Price History'!$A:$A))-'Price History'!O3)*(ROW()-3)/(MATCH(9.99E+307,'Returns (Calc)'!$A:$A)-3),"")</f>
        <v>43.0401265822785</v>
      </c>
      <c r="AK43" s="144" t="n">
        <f aca="false">IFERROR('Price History'!Q3+(INDEX('Price History'!Q:Q,MATCH(9.99E+307,'Price History'!$A:$A))-'Price History'!Q3)*(ROW()-3)/(MATCH(9.99E+307,'Returns (Calc)'!$A:$A)-3),"")</f>
        <v>175.976835443038</v>
      </c>
      <c r="AL43" s="144" t="n">
        <f aca="false">IFERROR('Price History'!R3+(INDEX('Price History'!R:R,MATCH(9.99E+307,'Price History'!$A:$A))-'Price History'!R3)*(ROW()-3)/(MATCH(9.99E+307,'Returns (Calc)'!$A:$A)-3),"")</f>
        <v>35.7136708860759</v>
      </c>
      <c r="AM43" s="144" t="n">
        <f aca="false">IFERROR('Price History'!S3+(INDEX('Price History'!S:S,MATCH(9.99E+307,'Price History'!$A:$A))-'Price History'!S3)*(ROW()-3)/(MATCH(9.99E+307,'Returns (Calc)'!$A:$A)-3),"")</f>
        <v>43.719746835443</v>
      </c>
      <c r="AN43" s="144" t="n">
        <f aca="false">IFERROR('Price History'!T3+(INDEX('Price History'!T:T,MATCH(9.99E+307,'Price History'!$A:$A))-'Price History'!T3)*(ROW()-3)/(MATCH(9.99E+307,'Returns (Calc)'!$A:$A)-3),"")</f>
        <v>20.0973417721519</v>
      </c>
      <c r="AO43" s="145" t="n">
        <f aca="false">IFERROR('Price History'!V3+(INDEX('Price History'!V:V,MATCH(9.99E+307,'Price History'!$A:$A))-'Price History'!V3)*(ROW()-3)/(MATCH(9.99E+307,'Returns (Calc)'!$A:$A)-3),"")</f>
        <v>0</v>
      </c>
    </row>
    <row r="44" customFormat="false" ht="15" hidden="false" customHeight="true" outlineLevel="0" collapsed="false">
      <c r="A44" s="141" t="n">
        <f aca="false">IF('Price History'!A45="","",'Price History'!A45)</f>
        <v>45478</v>
      </c>
      <c r="B44" s="142" t="n">
        <f aca="false">IFERROR(IF(OR(NOT(ISNUMBER('Price History'!B45)),NOT(ISNUMBER('Price History'!B44)),'Price History'!B44=0),"",'Price History'!B45/'Price History'!B44-1),"")</f>
        <v>0.0410411491521765</v>
      </c>
      <c r="C44" s="142" t="n">
        <f aca="false">IFERROR(IF(OR(NOT(ISNUMBER('Price History'!C45)),NOT(ISNUMBER('Price History'!C44)),'Price History'!C44=0),"",'Price History'!C45/'Price History'!C44-1),"")</f>
        <v>0.0447386441451723</v>
      </c>
      <c r="D44" s="142" t="n">
        <f aca="false">IFERROR(IF(OR(NOT(ISNUMBER('Price History'!D45)),NOT(ISNUMBER('Price History'!D44)),'Price History'!D44=0),"",'Price History'!D45/'Price History'!D44-1),"")</f>
        <v>0.0505971056065178</v>
      </c>
      <c r="E44" s="142" t="n">
        <f aca="false">IFERROR(IF(OR(NOT(ISNUMBER('Price History'!E45)),NOT(ISNUMBER('Price History'!E44)),'Price History'!E44=0),"",'Price History'!E45/'Price History'!E44-1),"")</f>
        <v>0.0609027336300063</v>
      </c>
      <c r="F44" s="142" t="n">
        <f aca="false">IFERROR(IF(OR(NOT(ISNUMBER('Price History'!F45)),NOT(ISNUMBER('Price History'!F44)),'Price History'!F44=0),"",'Price History'!F45/'Price History'!F44-1),"")</f>
        <v>-0.0164993654090229</v>
      </c>
      <c r="G44" s="142" t="n">
        <f aca="false">IFERROR(IF(OR(NOT(ISNUMBER('Price History'!G45)),NOT(ISNUMBER('Price History'!G44)),'Price History'!G44=0),"",'Price History'!G45/'Price History'!G44-1),"")</f>
        <v>0.016910229645094</v>
      </c>
      <c r="H44" s="142" t="n">
        <f aca="false">IFERROR(IF(OR(NOT(ISNUMBER('Price History'!H45)),NOT(ISNUMBER('Price History'!H44)),'Price History'!H44=0),"",'Price History'!H45/'Price History'!H44-1),"")</f>
        <v>-0.00816729492012203</v>
      </c>
      <c r="I44" s="142" t="n">
        <f aca="false">IFERROR(IF(OR(NOT(ISNUMBER('Price History'!I45)),NOT(ISNUMBER('Price History'!I44)),'Price History'!I44=0),"",'Price History'!I45/'Price History'!I44-1),"")</f>
        <v>0.0372471632955105</v>
      </c>
      <c r="J44" s="142" t="n">
        <f aca="false">IFERROR(IF(OR(NOT(ISNUMBER('Price History'!J45)),NOT(ISNUMBER('Price History'!J44)),'Price History'!J44=0),"",'Price History'!J45/'Price History'!J44-1),"")</f>
        <v>0.000536028792403664</v>
      </c>
      <c r="K44" s="142" t="n">
        <f aca="false">IFERROR(IF(OR(NOT(ISNUMBER('Price History'!K45)),NOT(ISNUMBER('Price History'!K44)),'Price History'!K44=0),"",'Price History'!K45/'Price History'!K44-1),"")</f>
        <v>0.0185064935064936</v>
      </c>
      <c r="L44" s="142" t="n">
        <f aca="false">IFERROR(IF(OR(NOT(ISNUMBER('Price History'!L45)),NOT(ISNUMBER('Price History'!L44)),'Price History'!L44=0),"",'Price History'!L45/'Price History'!L44-1),"")</f>
        <v>0.0191809724753045</v>
      </c>
      <c r="M44" s="142" t="n">
        <f aca="false">IFERROR(IF(OR(NOT(ISNUMBER('Price History'!M45)),NOT(ISNUMBER('Price History'!M44)),'Price History'!M44=0),"",'Price History'!M45/'Price History'!M44-1),"")</f>
        <v>0.0750098697197001</v>
      </c>
      <c r="N44" s="142" t="n">
        <f aca="false">IFERROR(IF(OR(NOT(ISNUMBER('Price History'!N45)),NOT(ISNUMBER('Price History'!N44)),'Price History'!N44=0),"",'Price History'!N45/'Price History'!N44-1),"")</f>
        <v>-0.00920502092050202</v>
      </c>
      <c r="O44" s="142" t="n">
        <f aca="false">IFERROR(IF(OR(NOT(ISNUMBER('Price History'!O45)),NOT(ISNUMBER('Price History'!O44)),'Price History'!O44=0),"",'Price History'!O45/'Price History'!O44-1),"")</f>
        <v>0.0310429019881409</v>
      </c>
      <c r="P44" s="142" t="n">
        <f aca="false">IFERROR(IF(OR(NOT(ISNUMBER('Price History'!P45)),NOT(ISNUMBER('Price History'!P44)),'Price History'!P44=0),"",'Price History'!P45/'Price History'!P44-1),"")</f>
        <v>0.0585798816568048</v>
      </c>
      <c r="Q44" s="142" t="n">
        <f aca="false">IFERROR(IF(OR(NOT(ISNUMBER('Price History'!Q45)),NOT(ISNUMBER('Price History'!Q44)),'Price History'!Q44=0),"",'Price History'!Q45/'Price History'!Q44-1),"")</f>
        <v>0.0300716915326487</v>
      </c>
      <c r="R44" s="142" t="n">
        <f aca="false">IFERROR(IF(OR(NOT(ISNUMBER('Price History'!R45)),NOT(ISNUMBER('Price History'!R44)),'Price History'!R44=0),"",'Price History'!R45/'Price History'!R44-1),"")</f>
        <v>-0.00349393159249733</v>
      </c>
      <c r="S44" s="142" t="n">
        <f aca="false">IFERROR(IF(OR(NOT(ISNUMBER('Price History'!S45)),NOT(ISNUMBER('Price History'!S44)),'Price History'!S44=0),"",'Price History'!S45/'Price History'!S44-1),"")</f>
        <v>-0.0109329446064139</v>
      </c>
      <c r="T44" s="142" t="n">
        <f aca="false">IFERROR(IF(OR(NOT(ISNUMBER('Price History'!T45)),NOT(ISNUMBER('Price History'!T44)),'Price History'!T44=0),"",'Price History'!T45/'Price History'!T44-1),"")</f>
        <v>0.0115163147792705</v>
      </c>
      <c r="U44" s="142" t="str">
        <f aca="false">IFERROR(IF(OR(NOT(ISNUMBER('Price History'!U45)),NOT(ISNUMBER('Price History'!U44)),'Price History'!U44=0),"",'Price History'!U45/'Price History'!U44-1),"")</f>
        <v/>
      </c>
      <c r="V44" s="143" t="n">
        <f aca="false">IFERROR(IF(OR(NOT(ISNUMBER('Price History'!V45)),NOT(ISNUMBER('Price History'!V44)),'Price History'!V44=0),"",'Price History'!V45/'Price History'!V44-1),"")</f>
        <v>-0.00737392077667032</v>
      </c>
      <c r="W44" s="144" t="str">
        <f aca="false">IFERROR('Price History'!B3+(INDEX('Price History'!B:B,MATCH(9.99E+307,'Price History'!$A:$A))-'Price History'!B3)*(ROW()-3)/(MATCH(9.99E+307,'Returns (Calc)'!$A:$A)-3),"")</f>
        <v/>
      </c>
      <c r="X44" s="144" t="n">
        <f aca="false">IFERROR('Price History'!C3+(INDEX('Price History'!C:C,MATCH(9.99E+307,'Price History'!$A:$A))-'Price History'!C3)*(ROW()-3)/(MATCH(9.99E+307,'Returns (Calc)'!$A:$A)-3),"")</f>
        <v>34.196582278481</v>
      </c>
      <c r="Y44" s="144" t="n">
        <f aca="false">IFERROR('Price History'!D3+(INDEX('Price History'!D:D,MATCH(9.99E+307,'Price History'!$A:$A))-'Price History'!D3)*(ROW()-3)/(MATCH(9.99E+307,'Returns (Calc)'!$A:$A)-3),"")</f>
        <v>430.982088607595</v>
      </c>
      <c r="Z44" s="144" t="n">
        <f aca="false">IFERROR('Price History'!E3+(INDEX('Price History'!E:E,MATCH(9.99E+307,'Price History'!$A:$A))-'Price History'!E3)*(ROW()-3)/(MATCH(9.99E+307,'Returns (Calc)'!$A:$A)-3),"")</f>
        <v>60.7215189873418</v>
      </c>
      <c r="AA44" s="144" t="n">
        <f aca="false">IFERROR('Price History'!F3+(INDEX('Price History'!F:F,MATCH(9.99E+307,'Price History'!$A:$A))-'Price History'!F3)*(ROW()-3)/(MATCH(9.99E+307,'Returns (Calc)'!$A:$A)-3),"")</f>
        <v>55.7675316455696</v>
      </c>
      <c r="AB44" s="144" t="n">
        <f aca="false">IFERROR('Price History'!G3+(INDEX('Price History'!G:G,MATCH(9.99E+307,'Price History'!$A:$A))-'Price History'!G3)*(ROW()-3)/(MATCH(9.99E+307,'Returns (Calc)'!$A:$A)-3),"")</f>
        <v>30.6273417721519</v>
      </c>
      <c r="AC44" s="144" t="n">
        <f aca="false">IFERROR('Price History'!H3+(INDEX('Price History'!H:H,MATCH(9.99E+307,'Price History'!$A:$A))-'Price History'!H3)*(ROW()-3)/(MATCH(9.99E+307,'Returns (Calc)'!$A:$A)-3),"")</f>
        <v>74.4875316455696</v>
      </c>
      <c r="AD44" s="144" t="n">
        <f aca="false">IFERROR('Price History'!I3+(INDEX('Price History'!I:I,MATCH(9.99E+307,'Price History'!$A:$A))-'Price History'!I3)*(ROW()-3)/(MATCH(9.99E+307,'Returns (Calc)'!$A:$A)-3),"")</f>
        <v>32.8414556962025</v>
      </c>
      <c r="AE44" s="144" t="n">
        <f aca="false">IFERROR('Price History'!J3+(INDEX('Price History'!J:J,MATCH(9.99E+307,'Price History'!$A:$A))-'Price History'!J3)*(ROW()-3)/(MATCH(9.99E+307,'Returns (Calc)'!$A:$A)-3),"")</f>
        <v>51.1763924050633</v>
      </c>
      <c r="AF44" s="144" t="n">
        <f aca="false">IFERROR('Price History'!K3+(INDEX('Price History'!K:K,MATCH(9.99E+307,'Price History'!$A:$A))-'Price History'!K3)*(ROW()-3)/(MATCH(9.99E+307,'Returns (Calc)'!$A:$A)-3),"")</f>
        <v>32.4119620253165</v>
      </c>
      <c r="AG44" s="144" t="n">
        <f aca="false">IFERROR('Price History'!L3+(INDEX('Price History'!L:L,MATCH(9.99E+307,'Price History'!$A:$A))-'Price History'!L3)*(ROW()-3)/(MATCH(9.99E+307,'Returns (Calc)'!$A:$A)-3),"")</f>
        <v>82.8182278481013</v>
      </c>
      <c r="AH44" s="144" t="n">
        <f aca="false">IFERROR('Price History'!M3+(INDEX('Price History'!M:M,MATCH(9.99E+307,'Price History'!$A:$A))-'Price History'!M3)*(ROW()-3)/(MATCH(9.99E+307,'Returns (Calc)'!$A:$A)-3),"")</f>
        <v>11.3519620253165</v>
      </c>
      <c r="AI44" s="144" t="n">
        <f aca="false">IFERROR('Price History'!N3+(INDEX('Price History'!N:N,MATCH(9.99E+307,'Price History'!$A:$A))-'Price History'!N3)*(ROW()-3)/(MATCH(9.99E+307,'Returns (Calc)'!$A:$A)-3),"")</f>
        <v>16.1430379746835</v>
      </c>
      <c r="AJ44" s="144" t="n">
        <f aca="false">IFERROR('Price History'!O3+(INDEX('Price History'!O:O,MATCH(9.99E+307,'Price History'!$A:$A))-'Price History'!O3)*(ROW()-3)/(MATCH(9.99E+307,'Returns (Calc)'!$A:$A)-3),"")</f>
        <v>42.6753797468354</v>
      </c>
      <c r="AK44" s="144" t="n">
        <f aca="false">IFERROR('Price History'!Q3+(INDEX('Price History'!Q:Q,MATCH(9.99E+307,'Price History'!$A:$A))-'Price History'!Q3)*(ROW()-3)/(MATCH(9.99E+307,'Returns (Calc)'!$A:$A)-3),"")</f>
        <v>174.485506329114</v>
      </c>
      <c r="AL44" s="144" t="n">
        <f aca="false">IFERROR('Price History'!R3+(INDEX('Price History'!R:R,MATCH(9.99E+307,'Price History'!$A:$A))-'Price History'!R3)*(ROW()-3)/(MATCH(9.99E+307,'Returns (Calc)'!$A:$A)-3),"")</f>
        <v>35.4110126582279</v>
      </c>
      <c r="AM44" s="144" t="n">
        <f aca="false">IFERROR('Price History'!S3+(INDEX('Price History'!S:S,MATCH(9.99E+307,'Price History'!$A:$A))-'Price History'!S3)*(ROW()-3)/(MATCH(9.99E+307,'Returns (Calc)'!$A:$A)-3),"")</f>
        <v>43.3492405063291</v>
      </c>
      <c r="AN44" s="144" t="n">
        <f aca="false">IFERROR('Price History'!T3+(INDEX('Price History'!T:T,MATCH(9.99E+307,'Price History'!$A:$A))-'Price History'!T3)*(ROW()-3)/(MATCH(9.99E+307,'Returns (Calc)'!$A:$A)-3),"")</f>
        <v>19.9270253164557</v>
      </c>
      <c r="AO44" s="145" t="n">
        <f aca="false">IFERROR('Price History'!V3+(INDEX('Price History'!V:V,MATCH(9.99E+307,'Price History'!$A:$A))-'Price History'!V3)*(ROW()-3)/(MATCH(9.99E+307,'Returns (Calc)'!$A:$A)-3),"")</f>
        <v>0</v>
      </c>
    </row>
    <row r="45" customFormat="false" ht="15" hidden="false" customHeight="true" outlineLevel="0" collapsed="false">
      <c r="A45" s="141" t="n">
        <f aca="false">IF('Price History'!A46="","",'Price History'!A46)</f>
        <v>45485</v>
      </c>
      <c r="B45" s="142" t="n">
        <f aca="false">IFERROR(IF(OR(NOT(ISNUMBER('Price History'!B46)),NOT(ISNUMBER('Price History'!B45)),'Price History'!B45=0),"",'Price History'!B46/'Price History'!B45-1),"")</f>
        <v>-0.0333540823736903</v>
      </c>
      <c r="C45" s="142" t="n">
        <f aca="false">IFERROR(IF(OR(NOT(ISNUMBER('Price History'!C46)),NOT(ISNUMBER('Price History'!C45)),'Price History'!C45=0),"",'Price History'!C46/'Price History'!C45-1),"")</f>
        <v>-0.0116888791785013</v>
      </c>
      <c r="D45" s="142" t="n">
        <f aca="false">IFERROR(IF(OR(NOT(ISNUMBER('Price History'!D46)),NOT(ISNUMBER('Price History'!D45)),'Price History'!D45=0),"",'Price History'!D46/'Price History'!D45-1),"")</f>
        <v>0.0100397227936786</v>
      </c>
      <c r="E45" s="142" t="n">
        <f aca="false">IFERROR(IF(OR(NOT(ISNUMBER('Price History'!E46)),NOT(ISNUMBER('Price History'!E45)),'Price History'!E45=0),"",'Price History'!E46/'Price History'!E45-1),"")</f>
        <v>-0.00155800575263654</v>
      </c>
      <c r="F45" s="142" t="n">
        <f aca="false">IFERROR(IF(OR(NOT(ISNUMBER('Price History'!F46)),NOT(ISNUMBER('Price History'!F45)),'Price History'!F45=0),"",'Price History'!F46/'Price History'!F45-1),"")</f>
        <v>0.0557250117315815</v>
      </c>
      <c r="G45" s="142" t="n">
        <f aca="false">IFERROR(IF(OR(NOT(ISNUMBER('Price History'!G46)),NOT(ISNUMBER('Price History'!G45)),'Price History'!G45=0),"",'Price History'!G46/'Price History'!G45-1),"")</f>
        <v>-0.0471155820160132</v>
      </c>
      <c r="H45" s="142" t="n">
        <f aca="false">IFERROR(IF(OR(NOT(ISNUMBER('Price History'!H46)),NOT(ISNUMBER('Price History'!H45)),'Price History'!H45=0),"",'Price History'!H46/'Price History'!H45-1),"")</f>
        <v>0.0420776400325762</v>
      </c>
      <c r="I45" s="142" t="n">
        <f aca="false">IFERROR(IF(OR(NOT(ISNUMBER('Price History'!I46)),NOT(ISNUMBER('Price History'!I45)),'Price History'!I45=0),"",'Price History'!I46/'Price History'!I45-1),"")</f>
        <v>0.00285374554102269</v>
      </c>
      <c r="J45" s="142" t="n">
        <f aca="false">IFERROR(IF(OR(NOT(ISNUMBER('Price History'!J46)),NOT(ISNUMBER('Price History'!J45)),'Price History'!J45=0),"",'Price History'!J46/'Price History'!J45-1),"")</f>
        <v>0.0157661105158426</v>
      </c>
      <c r="K45" s="142" t="n">
        <f aca="false">IFERROR(IF(OR(NOT(ISNUMBER('Price History'!K46)),NOT(ISNUMBER('Price History'!K45)),'Price History'!K45=0),"",'Price History'!K46/'Price History'!K45-1),"")</f>
        <v>0.0270959515460631</v>
      </c>
      <c r="L45" s="142" t="n">
        <f aca="false">IFERROR(IF(OR(NOT(ISNUMBER('Price History'!L46)),NOT(ISNUMBER('Price History'!L45)),'Price History'!L45=0),"",'Price History'!L46/'Price History'!L45-1),"")</f>
        <v>0.0496847652206645</v>
      </c>
      <c r="M45" s="142" t="n">
        <f aca="false">IFERROR(IF(OR(NOT(ISNUMBER('Price History'!M46)),NOT(ISNUMBER('Price History'!M45)),'Price History'!M45=0),"",'Price History'!M46/'Price History'!M45-1),"")</f>
        <v>0.0308483290488433</v>
      </c>
      <c r="N45" s="142" t="n">
        <f aca="false">IFERROR(IF(OR(NOT(ISNUMBER('Price History'!N46)),NOT(ISNUMBER('Price History'!N45)),'Price History'!N45=0),"",'Price History'!N46/'Price History'!N45-1),"")</f>
        <v>0.0337837837837838</v>
      </c>
      <c r="O45" s="142" t="n">
        <f aca="false">IFERROR(IF(OR(NOT(ISNUMBER('Price History'!O46)),NOT(ISNUMBER('Price History'!O45)),'Price History'!O45=0),"",'Price History'!O46/'Price History'!O45-1),"")</f>
        <v>-0.00202976995940463</v>
      </c>
      <c r="P45" s="142" t="n">
        <f aca="false">IFERROR(IF(OR(NOT(ISNUMBER('Price History'!P46)),NOT(ISNUMBER('Price History'!P45)),'Price History'!P45=0),"",'Price History'!P46/'Price History'!P45-1),"")</f>
        <v>0.0182224706539966</v>
      </c>
      <c r="Q45" s="142" t="n">
        <f aca="false">IFERROR(IF(OR(NOT(ISNUMBER('Price History'!Q46)),NOT(ISNUMBER('Price History'!Q45)),'Price History'!Q45=0),"",'Price History'!Q46/'Price History'!Q45-1),"")</f>
        <v>-0.0170798690794177</v>
      </c>
      <c r="R45" s="142" t="n">
        <f aca="false">IFERROR(IF(OR(NOT(ISNUMBER('Price History'!R46)),NOT(ISNUMBER('Price History'!R45)),'Price History'!R45=0),"",'Price History'!R46/'Price History'!R45-1),"")</f>
        <v>0.00553607676693124</v>
      </c>
      <c r="S45" s="142" t="n">
        <f aca="false">IFERROR(IF(OR(NOT(ISNUMBER('Price History'!S46)),NOT(ISNUMBER('Price History'!S45)),'Price History'!S45=0),"",'Price History'!S46/'Price History'!S45-1),"")</f>
        <v>0.0303365266519282</v>
      </c>
      <c r="T45" s="142" t="n">
        <f aca="false">IFERROR(IF(OR(NOT(ISNUMBER('Price History'!T46)),NOT(ISNUMBER('Price History'!T45)),'Price History'!T45=0),"",'Price History'!T46/'Price History'!T45-1),"")</f>
        <v>-0.0211891208096142</v>
      </c>
      <c r="U45" s="142" t="str">
        <f aca="false">IFERROR(IF(OR(NOT(ISNUMBER('Price History'!U46)),NOT(ISNUMBER('Price History'!U45)),'Price History'!U45=0),"",'Price History'!U46/'Price History'!U45-1),"")</f>
        <v/>
      </c>
      <c r="V45" s="143" t="n">
        <f aca="false">IFERROR(IF(OR(NOT(ISNUMBER('Price History'!V46)),NOT(ISNUMBER('Price History'!V45)),'Price History'!V45=0),"",'Price History'!V46/'Price History'!V45-1),"")</f>
        <v>0.0227713901747051</v>
      </c>
      <c r="W45" s="144" t="str">
        <f aca="false">IFERROR('Price History'!B3+(INDEX('Price History'!B:B,MATCH(9.99E+307,'Price History'!$A:$A))-'Price History'!B3)*(ROW()-3)/(MATCH(9.99E+307,'Returns (Calc)'!$A:$A)-3),"")</f>
        <v/>
      </c>
      <c r="X45" s="144" t="n">
        <f aca="false">IFERROR('Price History'!C3+(INDEX('Price History'!C:C,MATCH(9.99E+307,'Price History'!$A:$A))-'Price History'!C3)*(ROW()-3)/(MATCH(9.99E+307,'Returns (Calc)'!$A:$A)-3),"")</f>
        <v>33.9043037974684</v>
      </c>
      <c r="Y45" s="144" t="n">
        <f aca="false">IFERROR('Price History'!D3+(INDEX('Price History'!D:D,MATCH(9.99E+307,'Price History'!$A:$A))-'Price History'!D3)*(ROW()-3)/(MATCH(9.99E+307,'Returns (Calc)'!$A:$A)-3),"")</f>
        <v>427.298481012658</v>
      </c>
      <c r="Z45" s="144" t="n">
        <f aca="false">IFERROR('Price History'!E3+(INDEX('Price History'!E:E,MATCH(9.99E+307,'Price History'!$A:$A))-'Price History'!E3)*(ROW()-3)/(MATCH(9.99E+307,'Returns (Calc)'!$A:$A)-3),"")</f>
        <v>60.2025316455696</v>
      </c>
      <c r="AA45" s="144" t="n">
        <f aca="false">IFERROR('Price History'!F3+(INDEX('Price History'!F:F,MATCH(9.99E+307,'Price History'!$A:$A))-'Price History'!F3)*(ROW()-3)/(MATCH(9.99E+307,'Returns (Calc)'!$A:$A)-3),"")</f>
        <v>55.2908860759494</v>
      </c>
      <c r="AB45" s="144" t="n">
        <f aca="false">IFERROR('Price History'!G3+(INDEX('Price History'!G:G,MATCH(9.99E+307,'Price History'!$A:$A))-'Price History'!G3)*(ROW()-3)/(MATCH(9.99E+307,'Returns (Calc)'!$A:$A)-3),"")</f>
        <v>30.3655696202532</v>
      </c>
      <c r="AC45" s="144" t="n">
        <f aca="false">IFERROR('Price History'!H3+(INDEX('Price History'!H:H,MATCH(9.99E+307,'Price History'!$A:$A))-'Price History'!H3)*(ROW()-3)/(MATCH(9.99E+307,'Returns (Calc)'!$A:$A)-3),"")</f>
        <v>73.8508860759494</v>
      </c>
      <c r="AD45" s="144" t="n">
        <f aca="false">IFERROR('Price History'!I3+(INDEX('Price History'!I:I,MATCH(9.99E+307,'Price History'!$A:$A))-'Price History'!I3)*(ROW()-3)/(MATCH(9.99E+307,'Returns (Calc)'!$A:$A)-3),"")</f>
        <v>32.5607594936709</v>
      </c>
      <c r="AE45" s="144" t="n">
        <f aca="false">IFERROR('Price History'!J3+(INDEX('Price History'!J:J,MATCH(9.99E+307,'Price History'!$A:$A))-'Price History'!J3)*(ROW()-3)/(MATCH(9.99E+307,'Returns (Calc)'!$A:$A)-3),"")</f>
        <v>50.7389873417722</v>
      </c>
      <c r="AF45" s="144" t="n">
        <f aca="false">IFERROR('Price History'!K3+(INDEX('Price History'!K:K,MATCH(9.99E+307,'Price History'!$A:$A))-'Price History'!K3)*(ROW()-3)/(MATCH(9.99E+307,'Returns (Calc)'!$A:$A)-3),"")</f>
        <v>32.1349367088608</v>
      </c>
      <c r="AG45" s="144" t="n">
        <f aca="false">IFERROR('Price History'!L3+(INDEX('Price History'!L:L,MATCH(9.99E+307,'Price History'!$A:$A))-'Price History'!L3)*(ROW()-3)/(MATCH(9.99E+307,'Returns (Calc)'!$A:$A)-3),"")</f>
        <v>82.1103797468355</v>
      </c>
      <c r="AH45" s="144" t="n">
        <f aca="false">IFERROR('Price History'!M3+(INDEX('Price History'!M:M,MATCH(9.99E+307,'Price History'!$A:$A))-'Price History'!M3)*(ROW()-3)/(MATCH(9.99E+307,'Returns (Calc)'!$A:$A)-3),"")</f>
        <v>11.2549367088608</v>
      </c>
      <c r="AI45" s="144" t="n">
        <f aca="false">IFERROR('Price History'!N3+(INDEX('Price History'!N:N,MATCH(9.99E+307,'Price History'!$A:$A))-'Price History'!N3)*(ROW()-3)/(MATCH(9.99E+307,'Returns (Calc)'!$A:$A)-3),"")</f>
        <v>16.0050632911392</v>
      </c>
      <c r="AJ45" s="144" t="n">
        <f aca="false">IFERROR('Price History'!O3+(INDEX('Price History'!O:O,MATCH(9.99E+307,'Price History'!$A:$A))-'Price History'!O3)*(ROW()-3)/(MATCH(9.99E+307,'Returns (Calc)'!$A:$A)-3),"")</f>
        <v>42.3106329113924</v>
      </c>
      <c r="AK45" s="144" t="n">
        <f aca="false">IFERROR('Price History'!Q3+(INDEX('Price History'!Q:Q,MATCH(9.99E+307,'Price History'!$A:$A))-'Price History'!Q3)*(ROW()-3)/(MATCH(9.99E+307,'Returns (Calc)'!$A:$A)-3),"")</f>
        <v>172.99417721519</v>
      </c>
      <c r="AL45" s="144" t="n">
        <f aca="false">IFERROR('Price History'!R3+(INDEX('Price History'!R:R,MATCH(9.99E+307,'Price History'!$A:$A))-'Price History'!R3)*(ROW()-3)/(MATCH(9.99E+307,'Returns (Calc)'!$A:$A)-3),"")</f>
        <v>35.1083544303798</v>
      </c>
      <c r="AM45" s="144" t="n">
        <f aca="false">IFERROR('Price History'!S3+(INDEX('Price History'!S:S,MATCH(9.99E+307,'Price History'!$A:$A))-'Price History'!S3)*(ROW()-3)/(MATCH(9.99E+307,'Returns (Calc)'!$A:$A)-3),"")</f>
        <v>42.9787341772152</v>
      </c>
      <c r="AN45" s="144" t="n">
        <f aca="false">IFERROR('Price History'!T3+(INDEX('Price History'!T:T,MATCH(9.99E+307,'Price History'!$A:$A))-'Price History'!T3)*(ROW()-3)/(MATCH(9.99E+307,'Returns (Calc)'!$A:$A)-3),"")</f>
        <v>19.7567088607595</v>
      </c>
      <c r="AO45" s="145" t="n">
        <f aca="false">IFERROR('Price History'!V3+(INDEX('Price History'!V:V,MATCH(9.99E+307,'Price History'!$A:$A))-'Price History'!V3)*(ROW()-3)/(MATCH(9.99E+307,'Returns (Calc)'!$A:$A)-3),"")</f>
        <v>0</v>
      </c>
    </row>
    <row r="46" customFormat="false" ht="15" hidden="false" customHeight="true" outlineLevel="0" collapsed="false">
      <c r="A46" s="141" t="n">
        <f aca="false">IF('Price History'!A47="","",'Price History'!A47)</f>
        <v>45492</v>
      </c>
      <c r="B46" s="142" t="n">
        <f aca="false">IFERROR(IF(OR(NOT(ISNUMBER('Price History'!B47)),NOT(ISNUMBER('Price History'!B46)),'Price History'!B46=0),"",'Price History'!B47/'Price History'!B46-1),"")</f>
        <v>-0.0143994276003935</v>
      </c>
      <c r="C46" s="142" t="n">
        <f aca="false">IFERROR(IF(OR(NOT(ISNUMBER('Price History'!C47)),NOT(ISNUMBER('Price History'!C46)),'Price History'!C46=0),"",'Price History'!C47/'Price History'!C46-1),"")</f>
        <v>-0.0865480269702664</v>
      </c>
      <c r="D46" s="142" t="n">
        <f aca="false">IFERROR(IF(OR(NOT(ISNUMBER('Price History'!D47)),NOT(ISNUMBER('Price History'!D46)),'Price History'!D46=0),"",'Price History'!D47/'Price History'!D46-1),"")</f>
        <v>-0.174976534634879</v>
      </c>
      <c r="E46" s="142" t="n">
        <f aca="false">IFERROR(IF(OR(NOT(ISNUMBER('Price History'!E47)),NOT(ISNUMBER('Price History'!E46)),'Price History'!E46=0),"",'Price History'!E47/'Price History'!E46-1),"")</f>
        <v>-0.0747809386628257</v>
      </c>
      <c r="F46" s="142" t="n">
        <f aca="false">IFERROR(IF(OR(NOT(ISNUMBER('Price History'!F47)),NOT(ISNUMBER('Price History'!F46)),'Price History'!F46=0),"",'Price History'!F47/'Price History'!F46-1),"")</f>
        <v>0.0264473830425604</v>
      </c>
      <c r="G46" s="142" t="n">
        <f aca="false">IFERROR(IF(OR(NOT(ISNUMBER('Price History'!G47)),NOT(ISNUMBER('Price History'!G46)),'Price History'!G46=0),"",'Price History'!G47/'Price History'!G46-1),"")</f>
        <v>-0.178713777873532</v>
      </c>
      <c r="H46" s="142" t="n">
        <f aca="false">IFERROR(IF(OR(NOT(ISNUMBER('Price History'!H47)),NOT(ISNUMBER('Price History'!H46)),'Price History'!H46=0),"",'Price History'!H47/'Price History'!H46-1),"")</f>
        <v>0.0141542202153526</v>
      </c>
      <c r="I46" s="142" t="n">
        <f aca="false">IFERROR(IF(OR(NOT(ISNUMBER('Price History'!I47)),NOT(ISNUMBER('Price History'!I46)),'Price History'!I46=0),"",'Price History'!I47/'Price History'!I46-1),"")</f>
        <v>-0.110979369219825</v>
      </c>
      <c r="J46" s="142" t="n">
        <f aca="false">IFERROR(IF(OR(NOT(ISNUMBER('Price History'!J47)),NOT(ISNUMBER('Price History'!J46)),'Price History'!J46=0),"",'Price History'!J47/'Price History'!J46-1),"")</f>
        <v>-0.144439421338156</v>
      </c>
      <c r="K46" s="142" t="n">
        <f aca="false">IFERROR(IF(OR(NOT(ISNUMBER('Price History'!K47)),NOT(ISNUMBER('Price History'!K46)),'Price History'!K46=0),"",'Price History'!K47/'Price History'!K46-1),"")</f>
        <v>-0.0875232774674115</v>
      </c>
      <c r="L46" s="142" t="n">
        <f aca="false">IFERROR(IF(OR(NOT(ISNUMBER('Price History'!L47)),NOT(ISNUMBER('Price History'!L46)),'Price History'!L46=0),"",'Price History'!L47/'Price History'!L46-1),"")</f>
        <v>0.0300313760645452</v>
      </c>
      <c r="M46" s="142" t="n">
        <f aca="false">IFERROR(IF(OR(NOT(ISNUMBER('Price History'!M47)),NOT(ISNUMBER('Price History'!M46)),'Price History'!M46=0),"",'Price History'!M47/'Price History'!M46-1),"")</f>
        <v>0.0181688635553972</v>
      </c>
      <c r="N46" s="142" t="n">
        <f aca="false">IFERROR(IF(OR(NOT(ISNUMBER('Price History'!N47)),NOT(ISNUMBER('Price History'!N46)),'Price History'!N46=0),"",'Price History'!N47/'Price History'!N46-1),"")</f>
        <v>0.0183823529411764</v>
      </c>
      <c r="O46" s="142" t="n">
        <f aca="false">IFERROR(IF(OR(NOT(ISNUMBER('Price History'!O47)),NOT(ISNUMBER('Price History'!O46)),'Price History'!O46=0),"",'Price History'!O47/'Price History'!O46-1),"")</f>
        <v>-0.0404519774011299</v>
      </c>
      <c r="P46" s="142" t="n">
        <f aca="false">IFERROR(IF(OR(NOT(ISNUMBER('Price History'!P47)),NOT(ISNUMBER('Price History'!P46)),'Price History'!P46=0),"",'Price History'!P47/'Price History'!P46-1),"")</f>
        <v>-0.115173473869126</v>
      </c>
      <c r="Q46" s="142" t="n">
        <f aca="false">IFERROR(IF(OR(NOT(ISNUMBER('Price History'!Q47)),NOT(ISNUMBER('Price History'!Q46)),'Price History'!Q46=0),"",'Price History'!Q47/'Price History'!Q46-1),"")</f>
        <v>-0.00107168829180526</v>
      </c>
      <c r="R46" s="142" t="n">
        <f aca="false">IFERROR(IF(OR(NOT(ISNUMBER('Price History'!R47)),NOT(ISNUMBER('Price History'!R46)),'Price History'!R46=0),"",'Price History'!R47/'Price History'!R46-1),"")</f>
        <v>0.0126628739218204</v>
      </c>
      <c r="S46" s="142" t="n">
        <f aca="false">IFERROR(IF(OR(NOT(ISNUMBER('Price History'!S47)),NOT(ISNUMBER('Price History'!S46)),'Price History'!S46=0),"",'Price History'!S47/'Price History'!S46-1),"")</f>
        <v>0.0421981165812375</v>
      </c>
      <c r="T46" s="142" t="n">
        <f aca="false">IFERROR(IF(OR(NOT(ISNUMBER('Price History'!T47)),NOT(ISNUMBER('Price History'!T46)),'Price History'!T46=0),"",'Price History'!T47/'Price History'!T46-1),"")</f>
        <v>-0.00420032310177698</v>
      </c>
      <c r="U46" s="142" t="str">
        <f aca="false">IFERROR(IF(OR(NOT(ISNUMBER('Price History'!U47)),NOT(ISNUMBER('Price History'!U46)),'Price History'!U46=0),"",'Price History'!U47/'Price History'!U46-1),"")</f>
        <v/>
      </c>
      <c r="V46" s="143" t="n">
        <f aca="false">IFERROR(IF(OR(NOT(ISNUMBER('Price History'!V47)),NOT(ISNUMBER('Price History'!V46)),'Price History'!V46=0),"",'Price History'!V47/'Price History'!V46-1),"")</f>
        <v>-0.0287247244324403</v>
      </c>
      <c r="W46" s="144" t="str">
        <f aca="false">IFERROR('Price History'!B3+(INDEX('Price History'!B:B,MATCH(9.99E+307,'Price History'!$A:$A))-'Price History'!B3)*(ROW()-3)/(MATCH(9.99E+307,'Returns (Calc)'!$A:$A)-3),"")</f>
        <v/>
      </c>
      <c r="X46" s="144" t="n">
        <f aca="false">IFERROR('Price History'!C3+(INDEX('Price History'!C:C,MATCH(9.99E+307,'Price History'!$A:$A))-'Price History'!C3)*(ROW()-3)/(MATCH(9.99E+307,'Returns (Calc)'!$A:$A)-3),"")</f>
        <v>33.6120253164557</v>
      </c>
      <c r="Y46" s="144" t="n">
        <f aca="false">IFERROR('Price History'!D3+(INDEX('Price History'!D:D,MATCH(9.99E+307,'Price History'!$A:$A))-'Price History'!D3)*(ROW()-3)/(MATCH(9.99E+307,'Returns (Calc)'!$A:$A)-3),"")</f>
        <v>423.614873417721</v>
      </c>
      <c r="Z46" s="144" t="n">
        <f aca="false">IFERROR('Price History'!E3+(INDEX('Price History'!E:E,MATCH(9.99E+307,'Price History'!$A:$A))-'Price History'!E3)*(ROW()-3)/(MATCH(9.99E+307,'Returns (Calc)'!$A:$A)-3),"")</f>
        <v>59.6835443037975</v>
      </c>
      <c r="AA46" s="144" t="n">
        <f aca="false">IFERROR('Price History'!F3+(INDEX('Price History'!F:F,MATCH(9.99E+307,'Price History'!$A:$A))-'Price History'!F3)*(ROW()-3)/(MATCH(9.99E+307,'Returns (Calc)'!$A:$A)-3),"")</f>
        <v>54.8142405063291</v>
      </c>
      <c r="AB46" s="144" t="n">
        <f aca="false">IFERROR('Price History'!G3+(INDEX('Price History'!G:G,MATCH(9.99E+307,'Price History'!$A:$A))-'Price History'!G3)*(ROW()-3)/(MATCH(9.99E+307,'Returns (Calc)'!$A:$A)-3),"")</f>
        <v>30.1037974683544</v>
      </c>
      <c r="AC46" s="144" t="n">
        <f aca="false">IFERROR('Price History'!H3+(INDEX('Price History'!H:H,MATCH(9.99E+307,'Price History'!$A:$A))-'Price History'!H3)*(ROW()-3)/(MATCH(9.99E+307,'Returns (Calc)'!$A:$A)-3),"")</f>
        <v>73.2142405063291</v>
      </c>
      <c r="AD46" s="144" t="n">
        <f aca="false">IFERROR('Price History'!I3+(INDEX('Price History'!I:I,MATCH(9.99E+307,'Price History'!$A:$A))-'Price History'!I3)*(ROW()-3)/(MATCH(9.99E+307,'Returns (Calc)'!$A:$A)-3),"")</f>
        <v>32.2800632911392</v>
      </c>
      <c r="AE46" s="144" t="n">
        <f aca="false">IFERROR('Price History'!J3+(INDEX('Price History'!J:J,MATCH(9.99E+307,'Price History'!$A:$A))-'Price History'!J3)*(ROW()-3)/(MATCH(9.99E+307,'Returns (Calc)'!$A:$A)-3),"")</f>
        <v>50.301582278481</v>
      </c>
      <c r="AF46" s="144" t="n">
        <f aca="false">IFERROR('Price History'!K3+(INDEX('Price History'!K:K,MATCH(9.99E+307,'Price History'!$A:$A))-'Price History'!K3)*(ROW()-3)/(MATCH(9.99E+307,'Returns (Calc)'!$A:$A)-3),"")</f>
        <v>31.8579113924051</v>
      </c>
      <c r="AG46" s="144" t="n">
        <f aca="false">IFERROR('Price History'!L3+(INDEX('Price History'!L:L,MATCH(9.99E+307,'Price History'!$A:$A))-'Price History'!L3)*(ROW()-3)/(MATCH(9.99E+307,'Returns (Calc)'!$A:$A)-3),"")</f>
        <v>81.4025316455696</v>
      </c>
      <c r="AH46" s="144" t="n">
        <f aca="false">IFERROR('Price History'!M3+(INDEX('Price History'!M:M,MATCH(9.99E+307,'Price History'!$A:$A))-'Price History'!M3)*(ROW()-3)/(MATCH(9.99E+307,'Returns (Calc)'!$A:$A)-3),"")</f>
        <v>11.1579113924051</v>
      </c>
      <c r="AI46" s="144" t="n">
        <f aca="false">IFERROR('Price History'!N3+(INDEX('Price History'!N:N,MATCH(9.99E+307,'Price History'!$A:$A))-'Price History'!N3)*(ROW()-3)/(MATCH(9.99E+307,'Returns (Calc)'!$A:$A)-3),"")</f>
        <v>15.8670886075949</v>
      </c>
      <c r="AJ46" s="144" t="n">
        <f aca="false">IFERROR('Price History'!O3+(INDEX('Price History'!O:O,MATCH(9.99E+307,'Price History'!$A:$A))-'Price History'!O3)*(ROW()-3)/(MATCH(9.99E+307,'Returns (Calc)'!$A:$A)-3),"")</f>
        <v>41.9458860759494</v>
      </c>
      <c r="AK46" s="144" t="n">
        <f aca="false">IFERROR('Price History'!Q3+(INDEX('Price History'!Q:Q,MATCH(9.99E+307,'Price History'!$A:$A))-'Price History'!Q3)*(ROW()-3)/(MATCH(9.99E+307,'Returns (Calc)'!$A:$A)-3),"")</f>
        <v>171.502848101266</v>
      </c>
      <c r="AL46" s="144" t="n">
        <f aca="false">IFERROR('Price History'!R3+(INDEX('Price History'!R:R,MATCH(9.99E+307,'Price History'!$A:$A))-'Price History'!R3)*(ROW()-3)/(MATCH(9.99E+307,'Returns (Calc)'!$A:$A)-3),"")</f>
        <v>34.8056962025316</v>
      </c>
      <c r="AM46" s="144" t="n">
        <f aca="false">IFERROR('Price History'!S3+(INDEX('Price History'!S:S,MATCH(9.99E+307,'Price History'!$A:$A))-'Price History'!S3)*(ROW()-3)/(MATCH(9.99E+307,'Returns (Calc)'!$A:$A)-3),"")</f>
        <v>42.6082278481013</v>
      </c>
      <c r="AN46" s="144" t="n">
        <f aca="false">IFERROR('Price History'!T3+(INDEX('Price History'!T:T,MATCH(9.99E+307,'Price History'!$A:$A))-'Price History'!T3)*(ROW()-3)/(MATCH(9.99E+307,'Returns (Calc)'!$A:$A)-3),"")</f>
        <v>19.5863924050633</v>
      </c>
      <c r="AO46" s="145" t="n">
        <f aca="false">IFERROR('Price History'!V3+(INDEX('Price History'!V:V,MATCH(9.99E+307,'Price History'!$A:$A))-'Price History'!V3)*(ROW()-3)/(MATCH(9.99E+307,'Returns (Calc)'!$A:$A)-3),"")</f>
        <v>0</v>
      </c>
    </row>
    <row r="47" customFormat="false" ht="15" hidden="false" customHeight="true" outlineLevel="0" collapsed="false">
      <c r="A47" s="141" t="n">
        <f aca="false">IF('Price History'!A48="","",'Price History'!A48)</f>
        <v>45499</v>
      </c>
      <c r="B47" s="142" t="n">
        <f aca="false">IFERROR(IF(OR(NOT(ISNUMBER('Price History'!B48)),NOT(ISNUMBER('Price History'!B47)),'Price History'!B47=0),"",'Price History'!B48/'Price History'!B47-1),"")</f>
        <v>-0.0155353901996369</v>
      </c>
      <c r="C47" s="142" t="n">
        <f aca="false">IFERROR(IF(OR(NOT(ISNUMBER('Price History'!C48)),NOT(ISNUMBER('Price History'!C47)),'Price History'!C47=0),"",'Price History'!C48/'Price History'!C47-1),"")</f>
        <v>-0.0343659244917716</v>
      </c>
      <c r="D47" s="142" t="n">
        <f aca="false">IFERROR(IF(OR(NOT(ISNUMBER('Price History'!D48)),NOT(ISNUMBER('Price History'!D47)),'Price History'!D47=0),"",'Price History'!D48/'Price History'!D47-1),"")</f>
        <v>-0.00779312384809672</v>
      </c>
      <c r="E47" s="142" t="n">
        <f aca="false">IFERROR(IF(OR(NOT(ISNUMBER('Price History'!E48)),NOT(ISNUMBER('Price History'!E47)),'Price History'!E47=0),"",'Price History'!E48/'Price History'!E47-1),"")</f>
        <v>-0.0363258951738453</v>
      </c>
      <c r="F47" s="142" t="n">
        <f aca="false">IFERROR(IF(OR(NOT(ISNUMBER('Price History'!F48)),NOT(ISNUMBER('Price History'!F47)),'Price History'!F47=0),"",'Price History'!F48/'Price History'!F47-1),"")</f>
        <v>0.0362671863159034</v>
      </c>
      <c r="G47" s="142" t="n">
        <f aca="false">IFERROR(IF(OR(NOT(ISNUMBER('Price History'!G48)),NOT(ISNUMBER('Price History'!G47)),'Price History'!G47=0),"",'Price History'!G48/'Price History'!G47-1),"")</f>
        <v>-0.160020986358867</v>
      </c>
      <c r="H47" s="142" t="n">
        <f aca="false">IFERROR(IF(OR(NOT(ISNUMBER('Price History'!H48)),NOT(ISNUMBER('Price History'!H47)),'Price History'!H47=0),"",'Price History'!H48/'Price History'!H47-1),"")</f>
        <v>0.0211490709821047</v>
      </c>
      <c r="I47" s="142" t="n">
        <f aca="false">IFERROR(IF(OR(NOT(ISNUMBER('Price History'!I48)),NOT(ISNUMBER('Price History'!I47)),'Price History'!I47=0),"",'Price History'!I48/'Price History'!I47-1),"")</f>
        <v>0.0326753801013604</v>
      </c>
      <c r="J47" s="142" t="n">
        <f aca="false">IFERROR(IF(OR(NOT(ISNUMBER('Price History'!J48)),NOT(ISNUMBER('Price History'!J47)),'Price History'!J47=0),"",'Price History'!J48/'Price History'!J47-1),"")</f>
        <v>-0.0424482606781154</v>
      </c>
      <c r="K47" s="142" t="n">
        <f aca="false">IFERROR(IF(OR(NOT(ISNUMBER('Price History'!K48)),NOT(ISNUMBER('Price History'!K47)),'Price History'!K47=0),"",'Price History'!K48/'Price History'!K47-1),"")</f>
        <v>-0.0412414965986394</v>
      </c>
      <c r="L47" s="142" t="n">
        <f aca="false">IFERROR(IF(OR(NOT(ISNUMBER('Price History'!L48)),NOT(ISNUMBER('Price History'!L47)),'Price History'!L47=0),"",'Price History'!L48/'Price History'!L47-1),"")</f>
        <v>-0.00870322019147085</v>
      </c>
      <c r="M47" s="142" t="n">
        <f aca="false">IFERROR(IF(OR(NOT(ISNUMBER('Price History'!M48)),NOT(ISNUMBER('Price History'!M47)),'Price History'!M47=0),"",'Price History'!M48/'Price History'!M47-1),"")</f>
        <v>-0.0489853044086773</v>
      </c>
      <c r="N47" s="142" t="n">
        <f aca="false">IFERROR(IF(OR(NOT(ISNUMBER('Price History'!N48)),NOT(ISNUMBER('Price History'!N47)),'Price History'!N47=0),"",'Price History'!N48/'Price History'!N47-1),"")</f>
        <v>0.0168471720818293</v>
      </c>
      <c r="O47" s="142" t="n">
        <f aca="false">IFERROR(IF(OR(NOT(ISNUMBER('Price History'!O48)),NOT(ISNUMBER('Price History'!O47)),'Price History'!O47=0),"",'Price History'!O48/'Price History'!O47-1),"")</f>
        <v>-0.0188412623645785</v>
      </c>
      <c r="P47" s="142" t="n">
        <f aca="false">IFERROR(IF(OR(NOT(ISNUMBER('Price History'!P48)),NOT(ISNUMBER('Price History'!P47)),'Price History'!P47=0),"",'Price History'!P48/'Price History'!P47-1),"")</f>
        <v>-0.0230797865740167</v>
      </c>
      <c r="Q47" s="142" t="n">
        <f aca="false">IFERROR(IF(OR(NOT(ISNUMBER('Price History'!Q48)),NOT(ISNUMBER('Price History'!Q47)),'Price History'!Q47=0),"",'Price History'!Q48/'Price History'!Q47-1),"")</f>
        <v>-0.0226062301237595</v>
      </c>
      <c r="R47" s="142" t="n">
        <f aca="false">IFERROR(IF(OR(NOT(ISNUMBER('Price History'!R48)),NOT(ISNUMBER('Price History'!R47)),'Price History'!R47=0),"",'Price History'!R48/'Price History'!R47-1),"")</f>
        <v>0.00108735048930786</v>
      </c>
      <c r="S47" s="142" t="n">
        <f aca="false">IFERROR(IF(OR(NOT(ISNUMBER('Price History'!S48)),NOT(ISNUMBER('Price History'!S47)),'Price History'!S47=0),"",'Price History'!S48/'Price History'!S47-1),"")</f>
        <v>-0.000800640512410022</v>
      </c>
      <c r="T47" s="142" t="n">
        <f aca="false">IFERROR(IF(OR(NOT(ISNUMBER('Price History'!T48)),NOT(ISNUMBER('Price History'!T47)),'Price History'!T47=0),"",'Price History'!T48/'Price History'!T47-1),"")</f>
        <v>0.00973393900064901</v>
      </c>
      <c r="U47" s="142" t="str">
        <f aca="false">IFERROR(IF(OR(NOT(ISNUMBER('Price History'!U48)),NOT(ISNUMBER('Price History'!U47)),'Price History'!U47=0),"",'Price History'!U48/'Price History'!U47-1),"")</f>
        <v/>
      </c>
      <c r="V47" s="143" t="n">
        <f aca="false">IFERROR(IF(OR(NOT(ISNUMBER('Price History'!V48)),NOT(ISNUMBER('Price History'!V47)),'Price History'!V47=0),"",'Price History'!V48/'Price History'!V47-1),"")</f>
        <v>0.0168351433617675</v>
      </c>
      <c r="W47" s="144" t="str">
        <f aca="false">IFERROR('Price History'!B3+(INDEX('Price History'!B:B,MATCH(9.99E+307,'Price History'!$A:$A))-'Price History'!B3)*(ROW()-3)/(MATCH(9.99E+307,'Returns (Calc)'!$A:$A)-3),"")</f>
        <v/>
      </c>
      <c r="X47" s="144" t="n">
        <f aca="false">IFERROR('Price History'!C3+(INDEX('Price History'!C:C,MATCH(9.99E+307,'Price History'!$A:$A))-'Price History'!C3)*(ROW()-3)/(MATCH(9.99E+307,'Returns (Calc)'!$A:$A)-3),"")</f>
        <v>33.319746835443</v>
      </c>
      <c r="Y47" s="144" t="n">
        <f aca="false">IFERROR('Price History'!D3+(INDEX('Price History'!D:D,MATCH(9.99E+307,'Price History'!$A:$A))-'Price History'!D3)*(ROW()-3)/(MATCH(9.99E+307,'Returns (Calc)'!$A:$A)-3),"")</f>
        <v>419.931265822785</v>
      </c>
      <c r="Z47" s="144" t="n">
        <f aca="false">IFERROR('Price History'!E3+(INDEX('Price History'!E:E,MATCH(9.99E+307,'Price History'!$A:$A))-'Price History'!E3)*(ROW()-3)/(MATCH(9.99E+307,'Returns (Calc)'!$A:$A)-3),"")</f>
        <v>59.1645569620253</v>
      </c>
      <c r="AA47" s="144" t="n">
        <f aca="false">IFERROR('Price History'!F3+(INDEX('Price History'!F:F,MATCH(9.99E+307,'Price History'!$A:$A))-'Price History'!F3)*(ROW()-3)/(MATCH(9.99E+307,'Returns (Calc)'!$A:$A)-3),"")</f>
        <v>54.3375949367089</v>
      </c>
      <c r="AB47" s="144" t="n">
        <f aca="false">IFERROR('Price History'!G3+(INDEX('Price History'!G:G,MATCH(9.99E+307,'Price History'!$A:$A))-'Price History'!G3)*(ROW()-3)/(MATCH(9.99E+307,'Returns (Calc)'!$A:$A)-3),"")</f>
        <v>29.8420253164557</v>
      </c>
      <c r="AC47" s="144" t="n">
        <f aca="false">IFERROR('Price History'!H3+(INDEX('Price History'!H:H,MATCH(9.99E+307,'Price History'!$A:$A))-'Price History'!H3)*(ROW()-3)/(MATCH(9.99E+307,'Returns (Calc)'!$A:$A)-3),"")</f>
        <v>72.5775949367089</v>
      </c>
      <c r="AD47" s="144" t="n">
        <f aca="false">IFERROR('Price History'!I3+(INDEX('Price History'!I:I,MATCH(9.99E+307,'Price History'!$A:$A))-'Price History'!I3)*(ROW()-3)/(MATCH(9.99E+307,'Returns (Calc)'!$A:$A)-3),"")</f>
        <v>31.9993670886076</v>
      </c>
      <c r="AE47" s="144" t="n">
        <f aca="false">IFERROR('Price History'!J3+(INDEX('Price History'!J:J,MATCH(9.99E+307,'Price History'!$A:$A))-'Price History'!J3)*(ROW()-3)/(MATCH(9.99E+307,'Returns (Calc)'!$A:$A)-3),"")</f>
        <v>49.8641772151899</v>
      </c>
      <c r="AF47" s="144" t="n">
        <f aca="false">IFERROR('Price History'!K3+(INDEX('Price History'!K:K,MATCH(9.99E+307,'Price History'!$A:$A))-'Price History'!K3)*(ROW()-3)/(MATCH(9.99E+307,'Returns (Calc)'!$A:$A)-3),"")</f>
        <v>31.5808860759494</v>
      </c>
      <c r="AG47" s="144" t="n">
        <f aca="false">IFERROR('Price History'!L3+(INDEX('Price History'!L:L,MATCH(9.99E+307,'Price History'!$A:$A))-'Price History'!L3)*(ROW()-3)/(MATCH(9.99E+307,'Returns (Calc)'!$A:$A)-3),"")</f>
        <v>80.6946835443038</v>
      </c>
      <c r="AH47" s="144" t="n">
        <f aca="false">IFERROR('Price History'!M3+(INDEX('Price History'!M:M,MATCH(9.99E+307,'Price History'!$A:$A))-'Price History'!M3)*(ROW()-3)/(MATCH(9.99E+307,'Returns (Calc)'!$A:$A)-3),"")</f>
        <v>11.0608860759494</v>
      </c>
      <c r="AI47" s="144" t="n">
        <f aca="false">IFERROR('Price History'!N3+(INDEX('Price History'!N:N,MATCH(9.99E+307,'Price History'!$A:$A))-'Price History'!N3)*(ROW()-3)/(MATCH(9.99E+307,'Returns (Calc)'!$A:$A)-3),"")</f>
        <v>15.7291139240506</v>
      </c>
      <c r="AJ47" s="144" t="n">
        <f aca="false">IFERROR('Price History'!O3+(INDEX('Price History'!O:O,MATCH(9.99E+307,'Price History'!$A:$A))-'Price History'!O3)*(ROW()-3)/(MATCH(9.99E+307,'Returns (Calc)'!$A:$A)-3),"")</f>
        <v>41.5811392405063</v>
      </c>
      <c r="AK47" s="144" t="n">
        <f aca="false">IFERROR('Price History'!Q3+(INDEX('Price History'!Q:Q,MATCH(9.99E+307,'Price History'!$A:$A))-'Price History'!Q3)*(ROW()-3)/(MATCH(9.99E+307,'Returns (Calc)'!$A:$A)-3),"")</f>
        <v>170.011518987342</v>
      </c>
      <c r="AL47" s="144" t="n">
        <f aca="false">IFERROR('Price History'!R3+(INDEX('Price History'!R:R,MATCH(9.99E+307,'Price History'!$A:$A))-'Price History'!R3)*(ROW()-3)/(MATCH(9.99E+307,'Returns (Calc)'!$A:$A)-3),"")</f>
        <v>34.5030379746835</v>
      </c>
      <c r="AM47" s="144" t="n">
        <f aca="false">IFERROR('Price History'!S3+(INDEX('Price History'!S:S,MATCH(9.99E+307,'Price History'!$A:$A))-'Price History'!S3)*(ROW()-3)/(MATCH(9.99E+307,'Returns (Calc)'!$A:$A)-3),"")</f>
        <v>42.2377215189873</v>
      </c>
      <c r="AN47" s="144" t="n">
        <f aca="false">IFERROR('Price History'!T3+(INDEX('Price History'!T:T,MATCH(9.99E+307,'Price History'!$A:$A))-'Price History'!T3)*(ROW()-3)/(MATCH(9.99E+307,'Returns (Calc)'!$A:$A)-3),"")</f>
        <v>19.4160759493671</v>
      </c>
      <c r="AO47" s="145" t="n">
        <f aca="false">IFERROR('Price History'!V3+(INDEX('Price History'!V:V,MATCH(9.99E+307,'Price History'!$A:$A))-'Price History'!V3)*(ROW()-3)/(MATCH(9.99E+307,'Returns (Calc)'!$A:$A)-3),"")</f>
        <v>0</v>
      </c>
    </row>
    <row r="48" customFormat="false" ht="15" hidden="false" customHeight="true" outlineLevel="0" collapsed="false">
      <c r="A48" s="141" t="n">
        <f aca="false">IF('Price History'!A49="","",'Price History'!A49)</f>
        <v>45506</v>
      </c>
      <c r="B48" s="142" t="n">
        <f aca="false">IFERROR(IF(OR(NOT(ISNUMBER('Price History'!B49)),NOT(ISNUMBER('Price History'!B48)),'Price History'!B48=0),"",'Price History'!B49/'Price History'!B48-1),"")</f>
        <v>-0.0299941007300348</v>
      </c>
      <c r="C48" s="142" t="n">
        <f aca="false">IFERROR(IF(OR(NOT(ISNUMBER('Price History'!C49)),NOT(ISNUMBER('Price History'!C48)),'Price History'!C48=0),"",'Price History'!C49/'Price History'!C48-1),"")</f>
        <v>0.000375939849624141</v>
      </c>
      <c r="D48" s="142" t="n">
        <f aca="false">IFERROR(IF(OR(NOT(ISNUMBER('Price History'!D49)),NOT(ISNUMBER('Price History'!D48)),'Price History'!D48=0),"",'Price History'!D49/'Price History'!D48-1),"")</f>
        <v>-0.0872805659706695</v>
      </c>
      <c r="E48" s="142" t="n">
        <f aca="false">IFERROR(IF(OR(NOT(ISNUMBER('Price History'!E49)),NOT(ISNUMBER('Price History'!E48)),'Price History'!E48=0),"",'Price History'!E49/'Price History'!E48-1),"")</f>
        <v>-0.0514943457189015</v>
      </c>
      <c r="F48" s="142" t="n">
        <f aca="false">IFERROR(IF(OR(NOT(ISNUMBER('Price History'!F49)),NOT(ISNUMBER('Price History'!F48)),'Price History'!F48=0),"",'Price History'!F49/'Price History'!F48-1),"")</f>
        <v>-0.0714584203928124</v>
      </c>
      <c r="G48" s="142" t="n">
        <f aca="false">IFERROR(IF(OR(NOT(ISNUMBER('Price History'!G49)),NOT(ISNUMBER('Price History'!G48)),'Price History'!G48=0),"",'Price History'!G49/'Price History'!G48-1),"")</f>
        <v>-0.149437851342911</v>
      </c>
      <c r="H48" s="142" t="n">
        <f aca="false">IFERROR(IF(OR(NOT(ISNUMBER('Price History'!H49)),NOT(ISNUMBER('Price History'!H48)),'Price History'!H48=0),"",'Price History'!H49/'Price History'!H48-1),"")</f>
        <v>-0.0144222706691263</v>
      </c>
      <c r="I48" s="142" t="n">
        <f aca="false">IFERROR(IF(OR(NOT(ISNUMBER('Price History'!I49)),NOT(ISNUMBER('Price History'!I48)),'Price History'!I48=0),"",'Price History'!I49/'Price History'!I48-1),"")</f>
        <v>-0.115846571096474</v>
      </c>
      <c r="J48" s="142" t="n">
        <f aca="false">IFERROR(IF(OR(NOT(ISNUMBER('Price History'!J49)),NOT(ISNUMBER('Price History'!J48)),'Price History'!J48=0),"",'Price History'!J49/'Price History'!J48-1),"")</f>
        <v>-0.152763726662375</v>
      </c>
      <c r="K48" s="142" t="n">
        <f aca="false">IFERROR(IF(OR(NOT(ISNUMBER('Price History'!K49)),NOT(ISNUMBER('Price History'!K48)),'Price History'!K48=0),"",'Price History'!K49/'Price History'!K48-1),"")</f>
        <v>-0.0512638580931264</v>
      </c>
      <c r="L48" s="142" t="n">
        <f aca="false">IFERROR(IF(OR(NOT(ISNUMBER('Price History'!L49)),NOT(ISNUMBER('Price History'!L48)),'Price History'!L48=0),"",'Price History'!L49/'Price History'!L48-1),"")</f>
        <v>0.0106233538191396</v>
      </c>
      <c r="M48" s="142" t="n">
        <f aca="false">IFERROR(IF(OR(NOT(ISNUMBER('Price History'!M49)),NOT(ISNUMBER('Price History'!M48)),'Price History'!M48=0),"",'Price History'!M49/'Price History'!M48-1),"")</f>
        <v>-0.0897718910963945</v>
      </c>
      <c r="N48" s="142" t="n">
        <f aca="false">IFERROR(IF(OR(NOT(ISNUMBER('Price History'!N49)),NOT(ISNUMBER('Price History'!N48)),'Price History'!N48=0),"",'Price History'!N49/'Price History'!N48-1),"")</f>
        <v>-0.0201183431952663</v>
      </c>
      <c r="O48" s="142" t="n">
        <f aca="false">IFERROR(IF(OR(NOT(ISNUMBER('Price History'!O49)),NOT(ISNUMBER('Price History'!O48)),'Price History'!O48=0),"",'Price History'!O49/'Price History'!O48-1),"")</f>
        <v>-0.0297647623619778</v>
      </c>
      <c r="P48" s="142" t="n">
        <f aca="false">IFERROR(IF(OR(NOT(ISNUMBER('Price History'!P49)),NOT(ISNUMBER('Price History'!P48)),'Price History'!P48=0),"",'Price History'!P49/'Price History'!P48-1),"")</f>
        <v>-0.0746221262542868</v>
      </c>
      <c r="Q48" s="142" t="n">
        <f aca="false">IFERROR(IF(OR(NOT(ISNUMBER('Price History'!Q49)),NOT(ISNUMBER('Price History'!Q48)),'Price History'!Q48=0),"",'Price History'!Q49/'Price History'!Q48-1),"")</f>
        <v>0.0274804970794622</v>
      </c>
      <c r="R48" s="142" t="n">
        <f aca="false">IFERROR(IF(OR(NOT(ISNUMBER('Price History'!R49)),NOT(ISNUMBER('Price History'!R48)),'Price History'!R48=0),"",'Price History'!R49/'Price History'!R48-1),"")</f>
        <v>0.00470673425054313</v>
      </c>
      <c r="S48" s="142" t="n">
        <f aca="false">IFERROR(IF(OR(NOT(ISNUMBER('Price History'!S49)),NOT(ISNUMBER('Price History'!S48)),'Price History'!S48=0),"",'Price History'!S49/'Price History'!S48-1),"")</f>
        <v>0.00114468864468864</v>
      </c>
      <c r="T48" s="142" t="n">
        <f aca="false">IFERROR(IF(OR(NOT(ISNUMBER('Price History'!T49)),NOT(ISNUMBER('Price History'!T48)),'Price History'!T48=0),"",'Price History'!T49/'Price History'!T48-1),"")</f>
        <v>-0.00642673521850901</v>
      </c>
      <c r="U48" s="142" t="str">
        <f aca="false">IFERROR(IF(OR(NOT(ISNUMBER('Price History'!U49)),NOT(ISNUMBER('Price History'!U48)),'Price History'!U48=0),"",'Price History'!U49/'Price History'!U48-1),"")</f>
        <v/>
      </c>
      <c r="V48" s="143" t="n">
        <f aca="false">IFERROR(IF(OR(NOT(ISNUMBER('Price History'!V49)),NOT(ISNUMBER('Price History'!V48)),'Price History'!V48=0),"",'Price History'!V49/'Price History'!V48-1),"")</f>
        <v>-0.0463431760227649</v>
      </c>
      <c r="W48" s="144" t="str">
        <f aca="false">IFERROR('Price History'!B3+(INDEX('Price History'!B:B,MATCH(9.99E+307,'Price History'!$A:$A))-'Price History'!B3)*(ROW()-3)/(MATCH(9.99E+307,'Returns (Calc)'!$A:$A)-3),"")</f>
        <v/>
      </c>
      <c r="X48" s="144" t="n">
        <f aca="false">IFERROR('Price History'!C3+(INDEX('Price History'!C:C,MATCH(9.99E+307,'Price History'!$A:$A))-'Price History'!C3)*(ROW()-3)/(MATCH(9.99E+307,'Returns (Calc)'!$A:$A)-3),"")</f>
        <v>33.0274683544304</v>
      </c>
      <c r="Y48" s="144" t="n">
        <f aca="false">IFERROR('Price History'!D3+(INDEX('Price History'!D:D,MATCH(9.99E+307,'Price History'!$A:$A))-'Price History'!D3)*(ROW()-3)/(MATCH(9.99E+307,'Returns (Calc)'!$A:$A)-3),"")</f>
        <v>416.247658227848</v>
      </c>
      <c r="Z48" s="144" t="n">
        <f aca="false">IFERROR('Price History'!E3+(INDEX('Price History'!E:E,MATCH(9.99E+307,'Price History'!$A:$A))-'Price History'!E3)*(ROW()-3)/(MATCH(9.99E+307,'Returns (Calc)'!$A:$A)-3),"")</f>
        <v>58.6455696202532</v>
      </c>
      <c r="AA48" s="144" t="n">
        <f aca="false">IFERROR('Price History'!F3+(INDEX('Price History'!F:F,MATCH(9.99E+307,'Price History'!$A:$A))-'Price History'!F3)*(ROW()-3)/(MATCH(9.99E+307,'Returns (Calc)'!$A:$A)-3),"")</f>
        <v>53.8609493670886</v>
      </c>
      <c r="AB48" s="144" t="n">
        <f aca="false">IFERROR('Price History'!G3+(INDEX('Price History'!G:G,MATCH(9.99E+307,'Price History'!$A:$A))-'Price History'!G3)*(ROW()-3)/(MATCH(9.99E+307,'Returns (Calc)'!$A:$A)-3),"")</f>
        <v>29.580253164557</v>
      </c>
      <c r="AC48" s="144" t="n">
        <f aca="false">IFERROR('Price History'!H3+(INDEX('Price History'!H:H,MATCH(9.99E+307,'Price History'!$A:$A))-'Price History'!H3)*(ROW()-3)/(MATCH(9.99E+307,'Returns (Calc)'!$A:$A)-3),"")</f>
        <v>71.9409493670886</v>
      </c>
      <c r="AD48" s="144" t="n">
        <f aca="false">IFERROR('Price History'!I3+(INDEX('Price History'!I:I,MATCH(9.99E+307,'Price History'!$A:$A))-'Price History'!I3)*(ROW()-3)/(MATCH(9.99E+307,'Returns (Calc)'!$A:$A)-3),"")</f>
        <v>31.718670886076</v>
      </c>
      <c r="AE48" s="144" t="n">
        <f aca="false">IFERROR('Price History'!J3+(INDEX('Price History'!J:J,MATCH(9.99E+307,'Price History'!$A:$A))-'Price History'!J3)*(ROW()-3)/(MATCH(9.99E+307,'Returns (Calc)'!$A:$A)-3),"")</f>
        <v>49.4267721518987</v>
      </c>
      <c r="AF48" s="144" t="n">
        <f aca="false">IFERROR('Price History'!K3+(INDEX('Price History'!K:K,MATCH(9.99E+307,'Price History'!$A:$A))-'Price History'!K3)*(ROW()-3)/(MATCH(9.99E+307,'Returns (Calc)'!$A:$A)-3),"")</f>
        <v>31.3038607594937</v>
      </c>
      <c r="AG48" s="144" t="n">
        <f aca="false">IFERROR('Price History'!L3+(INDEX('Price History'!L:L,MATCH(9.99E+307,'Price History'!$A:$A))-'Price History'!L3)*(ROW()-3)/(MATCH(9.99E+307,'Returns (Calc)'!$A:$A)-3),"")</f>
        <v>79.986835443038</v>
      </c>
      <c r="AH48" s="144" t="n">
        <f aca="false">IFERROR('Price History'!M3+(INDEX('Price History'!M:M,MATCH(9.99E+307,'Price History'!$A:$A))-'Price History'!M3)*(ROW()-3)/(MATCH(9.99E+307,'Returns (Calc)'!$A:$A)-3),"")</f>
        <v>10.9638607594937</v>
      </c>
      <c r="AI48" s="144" t="n">
        <f aca="false">IFERROR('Price History'!N3+(INDEX('Price History'!N:N,MATCH(9.99E+307,'Price History'!$A:$A))-'Price History'!N3)*(ROW()-3)/(MATCH(9.99E+307,'Returns (Calc)'!$A:$A)-3),"")</f>
        <v>15.5911392405063</v>
      </c>
      <c r="AJ48" s="144" t="n">
        <f aca="false">IFERROR('Price History'!O3+(INDEX('Price History'!O:O,MATCH(9.99E+307,'Price History'!$A:$A))-'Price History'!O3)*(ROW()-3)/(MATCH(9.99E+307,'Returns (Calc)'!$A:$A)-3),"")</f>
        <v>41.2163924050633</v>
      </c>
      <c r="AK48" s="144" t="n">
        <f aca="false">IFERROR('Price History'!Q3+(INDEX('Price History'!Q:Q,MATCH(9.99E+307,'Price History'!$A:$A))-'Price History'!Q3)*(ROW()-3)/(MATCH(9.99E+307,'Returns (Calc)'!$A:$A)-3),"")</f>
        <v>168.520189873418</v>
      </c>
      <c r="AL48" s="144" t="n">
        <f aca="false">IFERROR('Price History'!R3+(INDEX('Price History'!R:R,MATCH(9.99E+307,'Price History'!$A:$A))-'Price History'!R3)*(ROW()-3)/(MATCH(9.99E+307,'Returns (Calc)'!$A:$A)-3),"")</f>
        <v>34.2003797468354</v>
      </c>
      <c r="AM48" s="144" t="n">
        <f aca="false">IFERROR('Price History'!S3+(INDEX('Price History'!S:S,MATCH(9.99E+307,'Price History'!$A:$A))-'Price History'!S3)*(ROW()-3)/(MATCH(9.99E+307,'Returns (Calc)'!$A:$A)-3),"")</f>
        <v>41.8672151898734</v>
      </c>
      <c r="AN48" s="144" t="n">
        <f aca="false">IFERROR('Price History'!T3+(INDEX('Price History'!T:T,MATCH(9.99E+307,'Price History'!$A:$A))-'Price History'!T3)*(ROW()-3)/(MATCH(9.99E+307,'Returns (Calc)'!$A:$A)-3),"")</f>
        <v>19.2457594936709</v>
      </c>
      <c r="AO48" s="145" t="n">
        <f aca="false">IFERROR('Price History'!V3+(INDEX('Price History'!V:V,MATCH(9.99E+307,'Price History'!$A:$A))-'Price History'!V3)*(ROW()-3)/(MATCH(9.99E+307,'Returns (Calc)'!$A:$A)-3),"")</f>
        <v>0</v>
      </c>
    </row>
    <row r="49" customFormat="false" ht="15" hidden="false" customHeight="true" outlineLevel="0" collapsed="false">
      <c r="A49" s="141" t="n">
        <f aca="false">IF('Price History'!A50="","",'Price History'!A50)</f>
        <v>45513</v>
      </c>
      <c r="B49" s="142" t="n">
        <f aca="false">IFERROR(IF(OR(NOT(ISNUMBER('Price History'!B50)),NOT(ISNUMBER('Price History'!B49)),'Price History'!B49=0),"",'Price History'!B50/'Price History'!B49-1),"")</f>
        <v>0.0192523328962122</v>
      </c>
      <c r="C49" s="142" t="n">
        <f aca="false">IFERROR(IF(OR(NOT(ISNUMBER('Price History'!C50)),NOT(ISNUMBER('Price History'!C49)),'Price History'!C49=0),"",'Price History'!C50/'Price History'!C49-1),"")</f>
        <v>0.0516096705499187</v>
      </c>
      <c r="D49" s="142" t="n">
        <f aca="false">IFERROR(IF(OR(NOT(ISNUMBER('Price History'!D50)),NOT(ISNUMBER('Price History'!D49)),'Price History'!D49=0),"",'Price History'!D50/'Price History'!D49-1),"")</f>
        <v>0.0632529742088668</v>
      </c>
      <c r="E49" s="142" t="n">
        <f aca="false">IFERROR(IF(OR(NOT(ISNUMBER('Price History'!E50)),NOT(ISNUMBER('Price History'!E49)),'Price History'!E49=0),"",'Price History'!E50/'Price History'!E49-1),"")</f>
        <v>0.0308707685756866</v>
      </c>
      <c r="F49" s="142" t="n">
        <f aca="false">IFERROR(IF(OR(NOT(ISNUMBER('Price History'!F50)),NOT(ISNUMBER('Price History'!F49)),'Price History'!F49=0),"",'Price History'!F50/'Price History'!F49-1),"")</f>
        <v>-0.0176642664266425</v>
      </c>
      <c r="G49" s="142" t="n">
        <f aca="false">IFERROR(IF(OR(NOT(ISNUMBER('Price History'!G50)),NOT(ISNUMBER('Price History'!G49)),'Price History'!G49=0),"",'Price History'!G50/'Price History'!G49-1),"")</f>
        <v>0.105562695061502</v>
      </c>
      <c r="H49" s="142" t="n">
        <f aca="false">IFERROR(IF(OR(NOT(ISNUMBER('Price History'!H50)),NOT(ISNUMBER('Price History'!H49)),'Price History'!H49=0),"",'Price History'!H50/'Price History'!H49-1),"")</f>
        <v>-0.0101242130338609</v>
      </c>
      <c r="I49" s="142" t="n">
        <f aca="false">IFERROR(IF(OR(NOT(ISNUMBER('Price History'!I50)),NOT(ISNUMBER('Price History'!I49)),'Price History'!I49=0),"",'Price History'!I50/'Price History'!I49-1),"")</f>
        <v>0.072597137014315</v>
      </c>
      <c r="J49" s="142" t="n">
        <f aca="false">IFERROR(IF(OR(NOT(ISNUMBER('Price History'!J50)),NOT(ISNUMBER('Price History'!J49)),'Price History'!J49=0),"",'Price History'!J50/'Price History'!J49-1),"")</f>
        <v>0.00412505427702992</v>
      </c>
      <c r="K49" s="142" t="n">
        <f aca="false">IFERROR(IF(OR(NOT(ISNUMBER('Price History'!K50)),NOT(ISNUMBER('Price History'!K49)),'Price History'!K49=0),"",'Price History'!K50/'Price History'!K49-1),"")</f>
        <v>-0.0234645227633916</v>
      </c>
      <c r="L49" s="142" t="n">
        <f aca="false">IFERROR(IF(OR(NOT(ISNUMBER('Price History'!L50)),NOT(ISNUMBER('Price History'!L49)),'Price History'!L49=0),"",'Price History'!L50/'Price History'!L49-1),"")</f>
        <v>-0.0167665711058986</v>
      </c>
      <c r="M49" s="142" t="n">
        <f aca="false">IFERROR(IF(OR(NOT(ISNUMBER('Price History'!M50)),NOT(ISNUMBER('Price History'!M49)),'Price History'!M49=0),"",'Price History'!M50/'Price History'!M49-1),"")</f>
        <v>0.21301535974131</v>
      </c>
      <c r="N49" s="142" t="n">
        <f aca="false">IFERROR(IF(OR(NOT(ISNUMBER('Price History'!N50)),NOT(ISNUMBER('Price History'!N49)),'Price History'!N49=0),"",'Price History'!N50/'Price History'!N49-1),"")</f>
        <v>-0.00805152979066015</v>
      </c>
      <c r="O49" s="142" t="n">
        <f aca="false">IFERROR(IF(OR(NOT(ISNUMBER('Price History'!O50)),NOT(ISNUMBER('Price History'!O49)),'Price History'!O49=0),"",'Price History'!O50/'Price History'!O49-1),"")</f>
        <v>0.0173181593270657</v>
      </c>
      <c r="P49" s="142" t="n">
        <f aca="false">IFERROR(IF(OR(NOT(ISNUMBER('Price History'!P50)),NOT(ISNUMBER('Price History'!P49)),'Price History'!P49=0),"",'Price History'!P50/'Price History'!P49-1),"")</f>
        <v>0.115160249811269</v>
      </c>
      <c r="Q49" s="142" t="n">
        <f aca="false">IFERROR(IF(OR(NOT(ISNUMBER('Price History'!Q50)),NOT(ISNUMBER('Price History'!Q49)),'Price History'!Q49=0),"",'Price History'!Q50/'Price History'!Q49-1),"")</f>
        <v>-0.0236550934757727</v>
      </c>
      <c r="R49" s="142" t="n">
        <f aca="false">IFERROR(IF(OR(NOT(ISNUMBER('Price History'!R50)),NOT(ISNUMBER('Price History'!R49)),'Price History'!R49=0),"",'Price History'!R50/'Price History'!R49-1),"")</f>
        <v>0.006846846846847</v>
      </c>
      <c r="S49" s="142" t="n">
        <f aca="false">IFERROR(IF(OR(NOT(ISNUMBER('Price History'!S50)),NOT(ISNUMBER('Price History'!S49)),'Price History'!S49=0),"",'Price History'!S50/'Price History'!S49-1),"")</f>
        <v>0.0309855934141323</v>
      </c>
      <c r="T49" s="142" t="n">
        <f aca="false">IFERROR(IF(OR(NOT(ISNUMBER('Price History'!T50)),NOT(ISNUMBER('Price History'!T49)),'Price History'!T49=0),"",'Price History'!T50/'Price History'!T49-1),"")</f>
        <v>-0.0200517464424321</v>
      </c>
      <c r="U49" s="142" t="str">
        <f aca="false">IFERROR(IF(OR(NOT(ISNUMBER('Price History'!U50)),NOT(ISNUMBER('Price History'!U49)),'Price History'!U49=0),"",'Price History'!U50/'Price History'!U49-1),"")</f>
        <v/>
      </c>
      <c r="V49" s="143" t="n">
        <f aca="false">IFERROR(IF(OR(NOT(ISNUMBER('Price History'!V50)),NOT(ISNUMBER('Price History'!V49)),'Price History'!V49=0),"",'Price History'!V50/'Price History'!V49-1),"")</f>
        <v>0.0300716915326487</v>
      </c>
      <c r="W49" s="144" t="str">
        <f aca="false">IFERROR('Price History'!B3+(INDEX('Price History'!B:B,MATCH(9.99E+307,'Price History'!$A:$A))-'Price History'!B3)*(ROW()-3)/(MATCH(9.99E+307,'Returns (Calc)'!$A:$A)-3),"")</f>
        <v/>
      </c>
      <c r="X49" s="144" t="n">
        <f aca="false">IFERROR('Price History'!C3+(INDEX('Price History'!C:C,MATCH(9.99E+307,'Price History'!$A:$A))-'Price History'!C3)*(ROW()-3)/(MATCH(9.99E+307,'Returns (Calc)'!$A:$A)-3),"")</f>
        <v>32.7351898734177</v>
      </c>
      <c r="Y49" s="144" t="n">
        <f aca="false">IFERROR('Price History'!D3+(INDEX('Price History'!D:D,MATCH(9.99E+307,'Price History'!$A:$A))-'Price History'!D3)*(ROW()-3)/(MATCH(9.99E+307,'Returns (Calc)'!$A:$A)-3),"")</f>
        <v>412.564050632911</v>
      </c>
      <c r="Z49" s="144" t="n">
        <f aca="false">IFERROR('Price History'!E3+(INDEX('Price History'!E:E,MATCH(9.99E+307,'Price History'!$A:$A))-'Price History'!E3)*(ROW()-3)/(MATCH(9.99E+307,'Returns (Calc)'!$A:$A)-3),"")</f>
        <v>58.126582278481</v>
      </c>
      <c r="AA49" s="144" t="n">
        <f aca="false">IFERROR('Price History'!F3+(INDEX('Price History'!F:F,MATCH(9.99E+307,'Price History'!$A:$A))-'Price History'!F3)*(ROW()-3)/(MATCH(9.99E+307,'Returns (Calc)'!$A:$A)-3),"")</f>
        <v>53.3843037974684</v>
      </c>
      <c r="AB49" s="144" t="n">
        <f aca="false">IFERROR('Price History'!G3+(INDEX('Price History'!G:G,MATCH(9.99E+307,'Price History'!$A:$A))-'Price History'!G3)*(ROW()-3)/(MATCH(9.99E+307,'Returns (Calc)'!$A:$A)-3),"")</f>
        <v>29.3184810126582</v>
      </c>
      <c r="AC49" s="144" t="n">
        <f aca="false">IFERROR('Price History'!H3+(INDEX('Price History'!H:H,MATCH(9.99E+307,'Price History'!$A:$A))-'Price History'!H3)*(ROW()-3)/(MATCH(9.99E+307,'Returns (Calc)'!$A:$A)-3),"")</f>
        <v>71.3043037974684</v>
      </c>
      <c r="AD49" s="144" t="n">
        <f aca="false">IFERROR('Price History'!I3+(INDEX('Price History'!I:I,MATCH(9.99E+307,'Price History'!$A:$A))-'Price History'!I3)*(ROW()-3)/(MATCH(9.99E+307,'Returns (Calc)'!$A:$A)-3),"")</f>
        <v>31.4379746835443</v>
      </c>
      <c r="AE49" s="144" t="n">
        <f aca="false">IFERROR('Price History'!J3+(INDEX('Price History'!J:J,MATCH(9.99E+307,'Price History'!$A:$A))-'Price History'!J3)*(ROW()-3)/(MATCH(9.99E+307,'Returns (Calc)'!$A:$A)-3),"")</f>
        <v>48.9893670886076</v>
      </c>
      <c r="AF49" s="144" t="n">
        <f aca="false">IFERROR('Price History'!K3+(INDEX('Price History'!K:K,MATCH(9.99E+307,'Price History'!$A:$A))-'Price History'!K3)*(ROW()-3)/(MATCH(9.99E+307,'Returns (Calc)'!$A:$A)-3),"")</f>
        <v>31.026835443038</v>
      </c>
      <c r="AG49" s="144" t="n">
        <f aca="false">IFERROR('Price History'!L3+(INDEX('Price History'!L:L,MATCH(9.99E+307,'Price History'!$A:$A))-'Price History'!L3)*(ROW()-3)/(MATCH(9.99E+307,'Returns (Calc)'!$A:$A)-3),"")</f>
        <v>79.2789873417722</v>
      </c>
      <c r="AH49" s="144" t="n">
        <f aca="false">IFERROR('Price History'!M3+(INDEX('Price History'!M:M,MATCH(9.99E+307,'Price History'!$A:$A))-'Price History'!M3)*(ROW()-3)/(MATCH(9.99E+307,'Returns (Calc)'!$A:$A)-3),"")</f>
        <v>10.866835443038</v>
      </c>
      <c r="AI49" s="144" t="n">
        <f aca="false">IFERROR('Price History'!N3+(INDEX('Price History'!N:N,MATCH(9.99E+307,'Price History'!$A:$A))-'Price History'!N3)*(ROW()-3)/(MATCH(9.99E+307,'Returns (Calc)'!$A:$A)-3),"")</f>
        <v>15.453164556962</v>
      </c>
      <c r="AJ49" s="144" t="n">
        <f aca="false">IFERROR('Price History'!O3+(INDEX('Price History'!O:O,MATCH(9.99E+307,'Price History'!$A:$A))-'Price History'!O3)*(ROW()-3)/(MATCH(9.99E+307,'Returns (Calc)'!$A:$A)-3),"")</f>
        <v>40.8516455696203</v>
      </c>
      <c r="AK49" s="144" t="n">
        <f aca="false">IFERROR('Price History'!Q3+(INDEX('Price History'!Q:Q,MATCH(9.99E+307,'Price History'!$A:$A))-'Price History'!Q3)*(ROW()-3)/(MATCH(9.99E+307,'Returns (Calc)'!$A:$A)-3),"")</f>
        <v>167.028860759494</v>
      </c>
      <c r="AL49" s="144" t="n">
        <f aca="false">IFERROR('Price History'!R3+(INDEX('Price History'!R:R,MATCH(9.99E+307,'Price History'!$A:$A))-'Price History'!R3)*(ROW()-3)/(MATCH(9.99E+307,'Returns (Calc)'!$A:$A)-3),"")</f>
        <v>33.8977215189873</v>
      </c>
      <c r="AM49" s="144" t="n">
        <f aca="false">IFERROR('Price History'!S3+(INDEX('Price History'!S:S,MATCH(9.99E+307,'Price History'!$A:$A))-'Price History'!S3)*(ROW()-3)/(MATCH(9.99E+307,'Returns (Calc)'!$A:$A)-3),"")</f>
        <v>41.4967088607595</v>
      </c>
      <c r="AN49" s="144" t="n">
        <f aca="false">IFERROR('Price History'!T3+(INDEX('Price History'!T:T,MATCH(9.99E+307,'Price History'!$A:$A))-'Price History'!T3)*(ROW()-3)/(MATCH(9.99E+307,'Returns (Calc)'!$A:$A)-3),"")</f>
        <v>19.0754430379747</v>
      </c>
      <c r="AO49" s="145" t="n">
        <f aca="false">IFERROR('Price History'!V3+(INDEX('Price History'!V:V,MATCH(9.99E+307,'Price History'!$A:$A))-'Price History'!V3)*(ROW()-3)/(MATCH(9.99E+307,'Returns (Calc)'!$A:$A)-3),"")</f>
        <v>0</v>
      </c>
    </row>
    <row r="50" customFormat="false" ht="15" hidden="false" customHeight="true" outlineLevel="0" collapsed="false">
      <c r="A50" s="141" t="n">
        <f aca="false">IF('Price History'!A51="","",'Price History'!A51)</f>
        <v>45520</v>
      </c>
      <c r="B50" s="142" t="n">
        <f aca="false">IFERROR(IF(OR(NOT(ISNUMBER('Price History'!B51)),NOT(ISNUMBER('Price History'!B50)),'Price History'!B50=0),"",'Price History'!B51/'Price History'!B50-1),"")</f>
        <v>0.0319970165951895</v>
      </c>
      <c r="C50" s="142" t="n">
        <f aca="false">IFERROR(IF(OR(NOT(ISNUMBER('Price History'!C51)),NOT(ISNUMBER('Price History'!C50)),'Price History'!C50=0),"",'Price History'!C51/'Price History'!C50-1),"")</f>
        <v>0.0538415723645027</v>
      </c>
      <c r="D50" s="142" t="n">
        <f aca="false">IFERROR(IF(OR(NOT(ISNUMBER('Price History'!D51)),NOT(ISNUMBER('Price History'!D50)),'Price History'!D50=0),"",'Price History'!D51/'Price History'!D50-1),"")</f>
        <v>0.0675362729807647</v>
      </c>
      <c r="E50" s="142" t="n">
        <f aca="false">IFERROR(IF(OR(NOT(ISNUMBER('Price History'!E51)),NOT(ISNUMBER('Price History'!E50)),'Price History'!E50=0),"",'Price History'!E51/'Price History'!E50-1),"")</f>
        <v>0.117788792509982</v>
      </c>
      <c r="F50" s="142" t="n">
        <f aca="false">IFERROR(IF(OR(NOT(ISNUMBER('Price History'!F51)),NOT(ISNUMBER('Price History'!F50)),'Price History'!F50=0),"",'Price History'!F51/'Price History'!F50-1),"")</f>
        <v>0.0286336043981217</v>
      </c>
      <c r="G50" s="142" t="n">
        <f aca="false">IFERROR(IF(OR(NOT(ISNUMBER('Price History'!G51)),NOT(ISNUMBER('Price History'!G50)),'Price History'!G50=0),"",'Price History'!G51/'Price History'!G50-1),"")</f>
        <v>0.0900033211557623</v>
      </c>
      <c r="H50" s="142" t="n">
        <f aca="false">IFERROR(IF(OR(NOT(ISNUMBER('Price History'!H51)),NOT(ISNUMBER('Price History'!H50)),'Price History'!H50=0),"",'Price History'!H51/'Price History'!H50-1),"")</f>
        <v>0.0256123764503653</v>
      </c>
      <c r="I50" s="142" t="n">
        <f aca="false">IFERROR(IF(OR(NOT(ISNUMBER('Price History'!I51)),NOT(ISNUMBER('Price History'!I50)),'Price History'!I50=0),"",'Price History'!I51/'Price History'!I50-1),"")</f>
        <v>0.0995505924009259</v>
      </c>
      <c r="J50" s="142" t="n">
        <f aca="false">IFERROR(IF(OR(NOT(ISNUMBER('Price History'!J51)),NOT(ISNUMBER('Price History'!J50)),'Price History'!J50=0),"",'Price History'!J51/'Price History'!J50-1),"")</f>
        <v>0.160216216216216</v>
      </c>
      <c r="K50" s="142" t="n">
        <f aca="false">IFERROR(IF(OR(NOT(ISNUMBER('Price History'!K51)),NOT(ISNUMBER('Price History'!K50)),'Price History'!K50=0),"",'Price History'!K51/'Price History'!K50-1),"")</f>
        <v>0.189354776948114</v>
      </c>
      <c r="L50" s="142" t="n">
        <f aca="false">IFERROR(IF(OR(NOT(ISNUMBER('Price History'!L51)),NOT(ISNUMBER('Price History'!L50)),'Price History'!L50=0),"",'Price History'!L51/'Price History'!L50-1),"")</f>
        <v>0.00777522530482422</v>
      </c>
      <c r="M50" s="142" t="n">
        <f aca="false">IFERROR(IF(OR(NOT(ISNUMBER('Price History'!M51)),NOT(ISNUMBER('Price History'!M50)),'Price History'!M50=0),"",'Price History'!M51/'Price History'!M50-1),"")</f>
        <v>0.0689770076641119</v>
      </c>
      <c r="N50" s="142" t="n">
        <f aca="false">IFERROR(IF(OR(NOT(ISNUMBER('Price History'!N51)),NOT(ISNUMBER('Price History'!N50)),'Price History'!N50=0),"",'Price History'!N51/'Price History'!N50-1),"")</f>
        <v>0.0227272727272727</v>
      </c>
      <c r="O50" s="142" t="n">
        <f aca="false">IFERROR(IF(OR(NOT(ISNUMBER('Price History'!O51)),NOT(ISNUMBER('Price History'!O50)),'Price History'!O50=0),"",'Price History'!O51/'Price History'!O50-1),"")</f>
        <v>0.0570282101167317</v>
      </c>
      <c r="P50" s="142" t="n">
        <f aca="false">IFERROR(IF(OR(NOT(ISNUMBER('Price History'!P51)),NOT(ISNUMBER('Price History'!P50)),'Price History'!P50=0),"",'Price History'!P51/'Price History'!P50-1),"")</f>
        <v>0.0444335036002215</v>
      </c>
      <c r="Q50" s="142" t="n">
        <f aca="false">IFERROR(IF(OR(NOT(ISNUMBER('Price History'!Q51)),NOT(ISNUMBER('Price History'!Q50)),'Price History'!Q50=0),"",'Price History'!Q51/'Price History'!Q50-1),"")</f>
        <v>0.0293474013286441</v>
      </c>
      <c r="R50" s="142" t="n">
        <f aca="false">IFERROR(IF(OR(NOT(ISNUMBER('Price History'!R51)),NOT(ISNUMBER('Price History'!R50)),'Price History'!R50=0),"",'Price History'!R51/'Price History'!R50-1),"")</f>
        <v>-0.000715819613457347</v>
      </c>
      <c r="S50" s="142" t="n">
        <f aca="false">IFERROR(IF(OR(NOT(ISNUMBER('Price History'!S51)),NOT(ISNUMBER('Price History'!S50)),'Price History'!S50=0),"",'Price History'!S51/'Price History'!S50-1),"")</f>
        <v>-0.00199622934457144</v>
      </c>
      <c r="T50" s="142" t="n">
        <f aca="false">IFERROR(IF(OR(NOT(ISNUMBER('Price History'!T51)),NOT(ISNUMBER('Price History'!T50)),'Price History'!T50=0),"",'Price History'!T51/'Price History'!T50-1),"")</f>
        <v>0.0382838283828384</v>
      </c>
      <c r="U50" s="142" t="str">
        <f aca="false">IFERROR(IF(OR(NOT(ISNUMBER('Price History'!U51)),NOT(ISNUMBER('Price History'!U50)),'Price History'!U50=0),"",'Price History'!U51/'Price History'!U50-1),"")</f>
        <v/>
      </c>
      <c r="V50" s="143" t="n">
        <f aca="false">IFERROR(IF(OR(NOT(ISNUMBER('Price History'!V51)),NOT(ISNUMBER('Price History'!V50)),'Price History'!V50=0),"",'Price History'!V51/'Price History'!V50-1),"")</f>
        <v>-0.0170798690794177</v>
      </c>
      <c r="W50" s="144" t="str">
        <f aca="false">IFERROR('Price History'!B3+(INDEX('Price History'!B:B,MATCH(9.99E+307,'Price History'!$A:$A))-'Price History'!B3)*(ROW()-3)/(MATCH(9.99E+307,'Returns (Calc)'!$A:$A)-3),"")</f>
        <v/>
      </c>
      <c r="X50" s="144" t="n">
        <f aca="false">IFERROR('Price History'!C3+(INDEX('Price History'!C:C,MATCH(9.99E+307,'Price History'!$A:$A))-'Price History'!C3)*(ROW()-3)/(MATCH(9.99E+307,'Returns (Calc)'!$A:$A)-3),"")</f>
        <v>32.4429113924051</v>
      </c>
      <c r="Y50" s="144" t="n">
        <f aca="false">IFERROR('Price History'!D3+(INDEX('Price History'!D:D,MATCH(9.99E+307,'Price History'!$A:$A))-'Price History'!D3)*(ROW()-3)/(MATCH(9.99E+307,'Returns (Calc)'!$A:$A)-3),"")</f>
        <v>408.880443037975</v>
      </c>
      <c r="Z50" s="144" t="n">
        <f aca="false">IFERROR('Price History'!E3+(INDEX('Price History'!E:E,MATCH(9.99E+307,'Price History'!$A:$A))-'Price History'!E3)*(ROW()-3)/(MATCH(9.99E+307,'Returns (Calc)'!$A:$A)-3),"")</f>
        <v>57.6075949367089</v>
      </c>
      <c r="AA50" s="144" t="n">
        <f aca="false">IFERROR('Price History'!F3+(INDEX('Price History'!F:F,MATCH(9.99E+307,'Price History'!$A:$A))-'Price History'!F3)*(ROW()-3)/(MATCH(9.99E+307,'Returns (Calc)'!$A:$A)-3),"")</f>
        <v>52.9076582278481</v>
      </c>
      <c r="AB50" s="144" t="n">
        <f aca="false">IFERROR('Price History'!G3+(INDEX('Price History'!G:G,MATCH(9.99E+307,'Price History'!$A:$A))-'Price History'!G3)*(ROW()-3)/(MATCH(9.99E+307,'Returns (Calc)'!$A:$A)-3),"")</f>
        <v>29.0567088607595</v>
      </c>
      <c r="AC50" s="144" t="n">
        <f aca="false">IFERROR('Price History'!H3+(INDEX('Price History'!H:H,MATCH(9.99E+307,'Price History'!$A:$A))-'Price History'!H3)*(ROW()-3)/(MATCH(9.99E+307,'Returns (Calc)'!$A:$A)-3),"")</f>
        <v>70.6676582278481</v>
      </c>
      <c r="AD50" s="144" t="n">
        <f aca="false">IFERROR('Price History'!I3+(INDEX('Price History'!I:I,MATCH(9.99E+307,'Price History'!$A:$A))-'Price History'!I3)*(ROW()-3)/(MATCH(9.99E+307,'Returns (Calc)'!$A:$A)-3),"")</f>
        <v>31.1572784810127</v>
      </c>
      <c r="AE50" s="144" t="n">
        <f aca="false">IFERROR('Price History'!J3+(INDEX('Price History'!J:J,MATCH(9.99E+307,'Price History'!$A:$A))-'Price History'!J3)*(ROW()-3)/(MATCH(9.99E+307,'Returns (Calc)'!$A:$A)-3),"")</f>
        <v>48.5519620253165</v>
      </c>
      <c r="AF50" s="144" t="n">
        <f aca="false">IFERROR('Price History'!K3+(INDEX('Price History'!K:K,MATCH(9.99E+307,'Price History'!$A:$A))-'Price History'!K3)*(ROW()-3)/(MATCH(9.99E+307,'Returns (Calc)'!$A:$A)-3),"")</f>
        <v>30.7498101265823</v>
      </c>
      <c r="AG50" s="144" t="n">
        <f aca="false">IFERROR('Price History'!L3+(INDEX('Price History'!L:L,MATCH(9.99E+307,'Price History'!$A:$A))-'Price History'!L3)*(ROW()-3)/(MATCH(9.99E+307,'Returns (Calc)'!$A:$A)-3),"")</f>
        <v>78.5711392405063</v>
      </c>
      <c r="AH50" s="144" t="n">
        <f aca="false">IFERROR('Price History'!M3+(INDEX('Price History'!M:M,MATCH(9.99E+307,'Price History'!$A:$A))-'Price History'!M3)*(ROW()-3)/(MATCH(9.99E+307,'Returns (Calc)'!$A:$A)-3),"")</f>
        <v>10.7698101265823</v>
      </c>
      <c r="AI50" s="144" t="n">
        <f aca="false">IFERROR('Price History'!N3+(INDEX('Price History'!N:N,MATCH(9.99E+307,'Price History'!$A:$A))-'Price History'!N3)*(ROW()-3)/(MATCH(9.99E+307,'Returns (Calc)'!$A:$A)-3),"")</f>
        <v>15.3151898734177</v>
      </c>
      <c r="AJ50" s="144" t="n">
        <f aca="false">IFERROR('Price History'!O3+(INDEX('Price History'!O:O,MATCH(9.99E+307,'Price History'!$A:$A))-'Price History'!O3)*(ROW()-3)/(MATCH(9.99E+307,'Returns (Calc)'!$A:$A)-3),"")</f>
        <v>40.4868987341772</v>
      </c>
      <c r="AK50" s="144" t="n">
        <f aca="false">IFERROR('Price History'!Q3+(INDEX('Price History'!Q:Q,MATCH(9.99E+307,'Price History'!$A:$A))-'Price History'!Q3)*(ROW()-3)/(MATCH(9.99E+307,'Returns (Calc)'!$A:$A)-3),"")</f>
        <v>165.53753164557</v>
      </c>
      <c r="AL50" s="144" t="n">
        <f aca="false">IFERROR('Price History'!R3+(INDEX('Price History'!R:R,MATCH(9.99E+307,'Price History'!$A:$A))-'Price History'!R3)*(ROW()-3)/(MATCH(9.99E+307,'Returns (Calc)'!$A:$A)-3),"")</f>
        <v>33.5950632911392</v>
      </c>
      <c r="AM50" s="144" t="n">
        <f aca="false">IFERROR('Price History'!S3+(INDEX('Price History'!S:S,MATCH(9.99E+307,'Price History'!$A:$A))-'Price History'!S3)*(ROW()-3)/(MATCH(9.99E+307,'Returns (Calc)'!$A:$A)-3),"")</f>
        <v>41.1262025316456</v>
      </c>
      <c r="AN50" s="144" t="n">
        <f aca="false">IFERROR('Price History'!T3+(INDEX('Price History'!T:T,MATCH(9.99E+307,'Price History'!$A:$A))-'Price History'!T3)*(ROW()-3)/(MATCH(9.99E+307,'Returns (Calc)'!$A:$A)-3),"")</f>
        <v>18.9051265822785</v>
      </c>
      <c r="AO50" s="145" t="n">
        <f aca="false">IFERROR('Price History'!V3+(INDEX('Price History'!V:V,MATCH(9.99E+307,'Price History'!$A:$A))-'Price History'!V3)*(ROW()-3)/(MATCH(9.99E+307,'Returns (Calc)'!$A:$A)-3),"")</f>
        <v>0</v>
      </c>
    </row>
    <row r="51" customFormat="false" ht="15" hidden="false" customHeight="true" outlineLevel="0" collapsed="false">
      <c r="A51" s="141" t="n">
        <f aca="false">IF('Price History'!A52="","",'Price History'!A52)</f>
        <v>45527</v>
      </c>
      <c r="B51" s="142" t="n">
        <f aca="false">IFERROR(IF(OR(NOT(ISNUMBER('Price History'!B52)),NOT(ISNUMBER('Price History'!B51)),'Price History'!B51=0),"",'Price History'!B52/'Price History'!B51-1),"")</f>
        <v>0.00874498608752194</v>
      </c>
      <c r="C51" s="142" t="n">
        <f aca="false">IFERROR(IF(OR(NOT(ISNUMBER('Price History'!C52)),NOT(ISNUMBER('Price History'!C51)),'Price History'!C51=0),"",'Price History'!C52/'Price History'!C51-1),"")</f>
        <v>0.00350401265965861</v>
      </c>
      <c r="D51" s="142" t="n">
        <f aca="false">IFERROR(IF(OR(NOT(ISNUMBER('Price History'!D52)),NOT(ISNUMBER('Price History'!D51)),'Price History'!D51=0),"",'Price History'!D52/'Price History'!D51-1),"")</f>
        <v>-0.0124180981051887</v>
      </c>
      <c r="E51" s="142" t="n">
        <f aca="false">IFERROR(IF(OR(NOT(ISNUMBER('Price History'!E52)),NOT(ISNUMBER('Price History'!E51)),'Price History'!E51=0),"",'Price History'!E52/'Price History'!E51-1),"")</f>
        <v>0.00381843936687809</v>
      </c>
      <c r="F51" s="142" t="n">
        <f aca="false">IFERROR(IF(OR(NOT(ISNUMBER('Price History'!F52)),NOT(ISNUMBER('Price History'!F51)),'Price History'!F51=0),"",'Price History'!F52/'Price History'!F51-1),"")</f>
        <v>0.0310655828972275</v>
      </c>
      <c r="G51" s="142" t="n">
        <f aca="false">IFERROR(IF(OR(NOT(ISNUMBER('Price History'!G52)),NOT(ISNUMBER('Price History'!G51)),'Price History'!G51=0),"",'Price History'!G52/'Price History'!G51-1),"")</f>
        <v>0.0342778793418648</v>
      </c>
      <c r="H51" s="142" t="n">
        <f aca="false">IFERROR(IF(OR(NOT(ISNUMBER('Price History'!H52)),NOT(ISNUMBER('Price History'!H51)),'Price History'!H51=0),"",'Price History'!H52/'Price History'!H51-1),"")</f>
        <v>0.0207827034274701</v>
      </c>
      <c r="I51" s="142" t="n">
        <f aca="false">IFERROR(IF(OR(NOT(ISNUMBER('Price History'!I52)),NOT(ISNUMBER('Price History'!I51)),'Price History'!I51=0),"",'Price History'!I52/'Price History'!I51-1),"")</f>
        <v>-0.00210552390388907</v>
      </c>
      <c r="J51" s="142" t="n">
        <f aca="false">IFERROR(IF(OR(NOT(ISNUMBER('Price History'!J52)),NOT(ISNUMBER('Price History'!J51)),'Price History'!J51=0),"",'Price History'!J52/'Price History'!J51-1),"")</f>
        <v>-0.0476146105106224</v>
      </c>
      <c r="K51" s="142" t="n">
        <f aca="false">IFERROR(IF(OR(NOT(ISNUMBER('Price History'!K52)),NOT(ISNUMBER('Price History'!K51)),'Price History'!K51=0),"",'Price History'!K52/'Price History'!K51-1),"")</f>
        <v>0.0383934320669672</v>
      </c>
      <c r="L51" s="142" t="n">
        <f aca="false">IFERROR(IF(OR(NOT(ISNUMBER('Price History'!L52)),NOT(ISNUMBER('Price History'!L51)),'Price History'!L51=0),"",'Price History'!L52/'Price History'!L51-1),"")</f>
        <v>0.0489216201998948</v>
      </c>
      <c r="M51" s="142" t="n">
        <f aca="false">IFERROR(IF(OR(NOT(ISNUMBER('Price History'!M52)),NOT(ISNUMBER('Price History'!M51)),'Price History'!M51=0),"",'Price History'!M52/'Price History'!M51-1),"")</f>
        <v>-0.00935162094763087</v>
      </c>
      <c r="N51" s="142" t="n">
        <f aca="false">IFERROR(IF(OR(NOT(ISNUMBER('Price History'!N52)),NOT(ISNUMBER('Price History'!N51)),'Price History'!N51=0),"",'Price History'!N52/'Price History'!N51-1),"")</f>
        <v>0.0186507936507938</v>
      </c>
      <c r="O51" s="142" t="n">
        <f aca="false">IFERROR(IF(OR(NOT(ISNUMBER('Price History'!O52)),NOT(ISNUMBER('Price History'!O51)),'Price History'!O51=0),"",'Price History'!O52/'Price History'!O51-1),"")</f>
        <v>0.0138042102841365</v>
      </c>
      <c r="P51" s="142" t="n">
        <f aca="false">IFERROR(IF(OR(NOT(ISNUMBER('Price History'!P52)),NOT(ISNUMBER('Price History'!P51)),'Price History'!P51=0),"",'Price History'!P52/'Price History'!P51-1),"")</f>
        <v>-0.0186789228684227</v>
      </c>
      <c r="Q51" s="142" t="n">
        <f aca="false">IFERROR(IF(OR(NOT(ISNUMBER('Price History'!Q52)),NOT(ISNUMBER('Price History'!Q51)),'Price History'!Q51=0),"",'Price History'!Q52/'Price History'!Q51-1),"")</f>
        <v>0.000227781785050007</v>
      </c>
      <c r="R51" s="142" t="n">
        <f aca="false">IFERROR(IF(OR(NOT(ISNUMBER('Price History'!R52)),NOT(ISNUMBER('Price History'!R51)),'Price History'!R51=0),"",'Price History'!R52/'Price History'!R51-1),"")</f>
        <v>-0.0295487106017193</v>
      </c>
      <c r="S51" s="142" t="n">
        <f aca="false">IFERROR(IF(OR(NOT(ISNUMBER('Price History'!S52)),NOT(ISNUMBER('Price History'!S51)),'Price History'!S51=0),"",'Price History'!S52/'Price History'!S51-1),"")</f>
        <v>-0.0404489387709746</v>
      </c>
      <c r="T51" s="142" t="n">
        <f aca="false">IFERROR(IF(OR(NOT(ISNUMBER('Price History'!T52)),NOT(ISNUMBER('Price History'!T51)),'Price History'!T51=0),"",'Price History'!T52/'Price History'!T51-1),"")</f>
        <v>0.0152574698029244</v>
      </c>
      <c r="U51" s="142" t="str">
        <f aca="false">IFERROR(IF(OR(NOT(ISNUMBER('Price History'!U52)),NOT(ISNUMBER('Price History'!U51)),'Price History'!U51=0),"",'Price History'!U52/'Price History'!U51-1),"")</f>
        <v/>
      </c>
      <c r="V51" s="143" t="n">
        <f aca="false">IFERROR(IF(OR(NOT(ISNUMBER('Price History'!V52)),NOT(ISNUMBER('Price History'!V51)),'Price History'!V51=0),"",'Price History'!V52/'Price History'!V51-1),"")</f>
        <v>-0.00107168829180526</v>
      </c>
      <c r="W51" s="144" t="str">
        <f aca="false">IFERROR('Price History'!B3+(INDEX('Price History'!B:B,MATCH(9.99E+307,'Price History'!$A:$A))-'Price History'!B3)*(ROW()-3)/(MATCH(9.99E+307,'Returns (Calc)'!$A:$A)-3),"")</f>
        <v/>
      </c>
      <c r="X51" s="144" t="n">
        <f aca="false">IFERROR('Price History'!C3+(INDEX('Price History'!C:C,MATCH(9.99E+307,'Price History'!$A:$A))-'Price History'!C3)*(ROW()-3)/(MATCH(9.99E+307,'Returns (Calc)'!$A:$A)-3),"")</f>
        <v>32.1506329113924</v>
      </c>
      <c r="Y51" s="144" t="n">
        <f aca="false">IFERROR('Price History'!D3+(INDEX('Price History'!D:D,MATCH(9.99E+307,'Price History'!$A:$A))-'Price History'!D3)*(ROW()-3)/(MATCH(9.99E+307,'Returns (Calc)'!$A:$A)-3),"")</f>
        <v>405.196835443038</v>
      </c>
      <c r="Z51" s="144" t="n">
        <f aca="false">IFERROR('Price History'!E3+(INDEX('Price History'!E:E,MATCH(9.99E+307,'Price History'!$A:$A))-'Price History'!E3)*(ROW()-3)/(MATCH(9.99E+307,'Returns (Calc)'!$A:$A)-3),"")</f>
        <v>57.0886075949367</v>
      </c>
      <c r="AA51" s="144" t="n">
        <f aca="false">IFERROR('Price History'!F3+(INDEX('Price History'!F:F,MATCH(9.99E+307,'Price History'!$A:$A))-'Price History'!F3)*(ROW()-3)/(MATCH(9.99E+307,'Returns (Calc)'!$A:$A)-3),"")</f>
        <v>52.4310126582279</v>
      </c>
      <c r="AB51" s="144" t="n">
        <f aca="false">IFERROR('Price History'!G3+(INDEX('Price History'!G:G,MATCH(9.99E+307,'Price History'!$A:$A))-'Price History'!G3)*(ROW()-3)/(MATCH(9.99E+307,'Returns (Calc)'!$A:$A)-3),"")</f>
        <v>28.7949367088608</v>
      </c>
      <c r="AC51" s="144" t="n">
        <f aca="false">IFERROR('Price History'!H3+(INDEX('Price History'!H:H,MATCH(9.99E+307,'Price History'!$A:$A))-'Price History'!H3)*(ROW()-3)/(MATCH(9.99E+307,'Returns (Calc)'!$A:$A)-3),"")</f>
        <v>70.0310126582279</v>
      </c>
      <c r="AD51" s="144" t="n">
        <f aca="false">IFERROR('Price History'!I3+(INDEX('Price History'!I:I,MATCH(9.99E+307,'Price History'!$A:$A))-'Price History'!I3)*(ROW()-3)/(MATCH(9.99E+307,'Returns (Calc)'!$A:$A)-3),"")</f>
        <v>30.876582278481</v>
      </c>
      <c r="AE51" s="144" t="n">
        <f aca="false">IFERROR('Price History'!J3+(INDEX('Price History'!J:J,MATCH(9.99E+307,'Price History'!$A:$A))-'Price History'!J3)*(ROW()-3)/(MATCH(9.99E+307,'Returns (Calc)'!$A:$A)-3),"")</f>
        <v>48.1145569620253</v>
      </c>
      <c r="AF51" s="144" t="n">
        <f aca="false">IFERROR('Price History'!K3+(INDEX('Price History'!K:K,MATCH(9.99E+307,'Price History'!$A:$A))-'Price History'!K3)*(ROW()-3)/(MATCH(9.99E+307,'Returns (Calc)'!$A:$A)-3),"")</f>
        <v>30.4727848101266</v>
      </c>
      <c r="AG51" s="144" t="n">
        <f aca="false">IFERROR('Price History'!L3+(INDEX('Price History'!L:L,MATCH(9.99E+307,'Price History'!$A:$A))-'Price History'!L3)*(ROW()-3)/(MATCH(9.99E+307,'Returns (Calc)'!$A:$A)-3),"")</f>
        <v>77.8632911392405</v>
      </c>
      <c r="AH51" s="144" t="n">
        <f aca="false">IFERROR('Price History'!M3+(INDEX('Price History'!M:M,MATCH(9.99E+307,'Price History'!$A:$A))-'Price History'!M3)*(ROW()-3)/(MATCH(9.99E+307,'Returns (Calc)'!$A:$A)-3),"")</f>
        <v>10.6727848101266</v>
      </c>
      <c r="AI51" s="144" t="n">
        <f aca="false">IFERROR('Price History'!N3+(INDEX('Price History'!N:N,MATCH(9.99E+307,'Price History'!$A:$A))-'Price History'!N3)*(ROW()-3)/(MATCH(9.99E+307,'Returns (Calc)'!$A:$A)-3),"")</f>
        <v>15.1772151898734</v>
      </c>
      <c r="AJ51" s="144" t="n">
        <f aca="false">IFERROR('Price History'!O3+(INDEX('Price History'!O:O,MATCH(9.99E+307,'Price History'!$A:$A))-'Price History'!O3)*(ROW()-3)/(MATCH(9.99E+307,'Returns (Calc)'!$A:$A)-3),"")</f>
        <v>40.1221518987342</v>
      </c>
      <c r="AK51" s="144" t="n">
        <f aca="false">IFERROR('Price History'!Q3+(INDEX('Price History'!Q:Q,MATCH(9.99E+307,'Price History'!$A:$A))-'Price History'!Q3)*(ROW()-3)/(MATCH(9.99E+307,'Returns (Calc)'!$A:$A)-3),"")</f>
        <v>164.046202531646</v>
      </c>
      <c r="AL51" s="144" t="n">
        <f aca="false">IFERROR('Price History'!R3+(INDEX('Price History'!R:R,MATCH(9.99E+307,'Price History'!$A:$A))-'Price History'!R3)*(ROW()-3)/(MATCH(9.99E+307,'Returns (Calc)'!$A:$A)-3),"")</f>
        <v>33.2924050632911</v>
      </c>
      <c r="AM51" s="144" t="n">
        <f aca="false">IFERROR('Price History'!S3+(INDEX('Price History'!S:S,MATCH(9.99E+307,'Price History'!$A:$A))-'Price History'!S3)*(ROW()-3)/(MATCH(9.99E+307,'Returns (Calc)'!$A:$A)-3),"")</f>
        <v>40.7556962025316</v>
      </c>
      <c r="AN51" s="144" t="n">
        <f aca="false">IFERROR('Price History'!T3+(INDEX('Price History'!T:T,MATCH(9.99E+307,'Price History'!$A:$A))-'Price History'!T3)*(ROW()-3)/(MATCH(9.99E+307,'Returns (Calc)'!$A:$A)-3),"")</f>
        <v>18.7348101265823</v>
      </c>
      <c r="AO51" s="145" t="n">
        <f aca="false">IFERROR('Price History'!V3+(INDEX('Price History'!V:V,MATCH(9.99E+307,'Price History'!$A:$A))-'Price History'!V3)*(ROW()-3)/(MATCH(9.99E+307,'Returns (Calc)'!$A:$A)-3),"")</f>
        <v>0</v>
      </c>
    </row>
    <row r="52" customFormat="false" ht="15" hidden="false" customHeight="true" outlineLevel="0" collapsed="false">
      <c r="A52" s="141" t="n">
        <f aca="false">IF('Price History'!A53="","",'Price History'!A53)</f>
        <v>45534</v>
      </c>
      <c r="B52" s="142" t="n">
        <f aca="false">IFERROR(IF(OR(NOT(ISNUMBER('Price History'!B53)),NOT(ISNUMBER('Price History'!B52)),'Price History'!B52=0),"",'Price History'!B53/'Price History'!B52-1),"")</f>
        <v>0.0288554540569586</v>
      </c>
      <c r="C52" s="142" t="n">
        <f aca="false">IFERROR(IF(OR(NOT(ISNUMBER('Price History'!C53)),NOT(ISNUMBER('Price History'!C52)),'Price History'!C52=0),"",'Price History'!C53/'Price History'!C52-1),"")</f>
        <v>-0.00484343320567704</v>
      </c>
      <c r="D52" s="142" t="n">
        <f aca="false">IFERROR(IF(OR(NOT(ISNUMBER('Price History'!D53)),NOT(ISNUMBER('Price History'!D52)),'Price History'!D52=0),"",'Price History'!D53/'Price History'!D52-1),"")</f>
        <v>-0.00373192872352335</v>
      </c>
      <c r="E52" s="142" t="n">
        <f aca="false">IFERROR(IF(OR(NOT(ISNUMBER('Price History'!E53)),NOT(ISNUMBER('Price History'!E52)),'Price History'!E52=0),"",'Price History'!E53/'Price History'!E52-1),"")</f>
        <v>-0.0212896496717589</v>
      </c>
      <c r="F52" s="142" t="n">
        <f aca="false">IFERROR(IF(OR(NOT(ISNUMBER('Price History'!F53)),NOT(ISNUMBER('Price History'!F52)),'Price History'!F52=0),"",'Price History'!F53/'Price History'!F52-1),"")</f>
        <v>0.000539956803455866</v>
      </c>
      <c r="G52" s="142" t="n">
        <f aca="false">IFERROR(IF(OR(NOT(ISNUMBER('Price History'!G53)),NOT(ISNUMBER('Price History'!G52)),'Price History'!G52=0),"",'Price History'!G53/'Price History'!G52-1),"")</f>
        <v>0.0210634850493445</v>
      </c>
      <c r="H52" s="142" t="n">
        <f aca="false">IFERROR(IF(OR(NOT(ISNUMBER('Price History'!H53)),NOT(ISNUMBER('Price History'!H52)),'Price History'!H52=0),"",'Price History'!H53/'Price History'!H52-1),"")</f>
        <v>0.0137098760364502</v>
      </c>
      <c r="I52" s="142" t="n">
        <f aca="false">IFERROR(IF(OR(NOT(ISNUMBER('Price History'!I53)),NOT(ISNUMBER('Price History'!I52)),'Price History'!I52=0),"",'Price History'!I53/'Price History'!I52-1),"")</f>
        <v>0.00186173513714794</v>
      </c>
      <c r="J52" s="142" t="n">
        <f aca="false">IFERROR(IF(OR(NOT(ISNUMBER('Price History'!J53)),NOT(ISNUMBER('Price History'!J52)),'Price History'!J52=0),"",'Price History'!J53/'Price History'!J52-1),"")</f>
        <v>-0.0642794247138244</v>
      </c>
      <c r="K52" s="142" t="n">
        <f aca="false">IFERROR(IF(OR(NOT(ISNUMBER('Price History'!K53)),NOT(ISNUMBER('Price History'!K52)),'Price History'!K52=0),"",'Price History'!K53/'Price History'!K52-1),"")</f>
        <v>-0.0772808309433376</v>
      </c>
      <c r="L52" s="142" t="n">
        <f aca="false">IFERROR(IF(OR(NOT(ISNUMBER('Price History'!L53)),NOT(ISNUMBER('Price History'!L52)),'Price History'!L52=0),"",'Price History'!L53/'Price History'!L52-1),"")</f>
        <v>-0.00810765630224009</v>
      </c>
      <c r="M52" s="142" t="n">
        <f aca="false">IFERROR(IF(OR(NOT(ISNUMBER('Price History'!M53)),NOT(ISNUMBER('Price History'!M52)),'Price History'!M52=0),"",'Price History'!M53/'Price History'!M52-1),"")</f>
        <v>-0.0094398993077407</v>
      </c>
      <c r="N52" s="142" t="n">
        <f aca="false">IFERROR(IF(OR(NOT(ISNUMBER('Price History'!N53)),NOT(ISNUMBER('Price History'!N52)),'Price History'!N52=0),"",'Price History'!N53/'Price History'!N52-1),"")</f>
        <v>0.0124659135177247</v>
      </c>
      <c r="O52" s="142" t="n">
        <f aca="false">IFERROR(IF(OR(NOT(ISNUMBER('Price History'!O53)),NOT(ISNUMBER('Price History'!O52)),'Price History'!O52=0),"",'Price History'!O53/'Price History'!O52-1),"")</f>
        <v>-0.00397140587768063</v>
      </c>
      <c r="P52" s="142" t="n">
        <f aca="false">IFERROR(IF(OR(NOT(ISNUMBER('Price History'!P53)),NOT(ISNUMBER('Price History'!P52)),'Price History'!P52=0),"",'Price History'!P53/'Price History'!P52-1),"")</f>
        <v>0.00246187102197659</v>
      </c>
      <c r="Q52" s="142" t="n">
        <f aca="false">IFERROR(IF(OR(NOT(ISNUMBER('Price History'!Q53)),NOT(ISNUMBER('Price History'!Q52)),'Price History'!Q52=0),"",'Price History'!Q53/'Price History'!Q52-1),"")</f>
        <v>0.0334003871408508</v>
      </c>
      <c r="R52" s="142" t="n">
        <f aca="false">IFERROR(IF(OR(NOT(ISNUMBER('Price History'!R53)),NOT(ISNUMBER('Price History'!R52)),'Price History'!R52=0),"",'Price History'!R53/'Price History'!R52-1),"")</f>
        <v>-0.0226979147444177</v>
      </c>
      <c r="S52" s="142" t="n">
        <f aca="false">IFERROR(IF(OR(NOT(ISNUMBER('Price History'!S53)),NOT(ISNUMBER('Price History'!S52)),'Price History'!S52=0),"",'Price History'!S53/'Price History'!S52-1),"")</f>
        <v>-0.0188766647365373</v>
      </c>
      <c r="T52" s="142" t="n">
        <f aca="false">IFERROR(IF(OR(NOT(ISNUMBER('Price History'!T53)),NOT(ISNUMBER('Price History'!T52)),'Price History'!T52=0),"",'Price History'!T53/'Price History'!T52-1),"")</f>
        <v>0.0178459611772073</v>
      </c>
      <c r="U52" s="142" t="str">
        <f aca="false">IFERROR(IF(OR(NOT(ISNUMBER('Price History'!U53)),NOT(ISNUMBER('Price History'!U52)),'Price History'!U52=0),"",'Price History'!U53/'Price History'!U52-1),"")</f>
        <v/>
      </c>
      <c r="V52" s="143" t="n">
        <f aca="false">IFERROR(IF(OR(NOT(ISNUMBER('Price History'!V53)),NOT(ISNUMBER('Price History'!V52)),'Price History'!V52=0),"",'Price History'!V53/'Price History'!V52-1),"")</f>
        <v>-0.0226062301237595</v>
      </c>
      <c r="W52" s="144" t="str">
        <f aca="false">IFERROR('Price History'!B3+(INDEX('Price History'!B:B,MATCH(9.99E+307,'Price History'!$A:$A))-'Price History'!B3)*(ROW()-3)/(MATCH(9.99E+307,'Returns (Calc)'!$A:$A)-3),"")</f>
        <v/>
      </c>
      <c r="X52" s="144" t="n">
        <f aca="false">IFERROR('Price History'!C3+(INDEX('Price History'!C:C,MATCH(9.99E+307,'Price History'!$A:$A))-'Price History'!C3)*(ROW()-3)/(MATCH(9.99E+307,'Returns (Calc)'!$A:$A)-3),"")</f>
        <v>31.8583544303797</v>
      </c>
      <c r="Y52" s="144" t="n">
        <f aca="false">IFERROR('Price History'!D3+(INDEX('Price History'!D:D,MATCH(9.99E+307,'Price History'!$A:$A))-'Price History'!D3)*(ROW()-3)/(MATCH(9.99E+307,'Returns (Calc)'!$A:$A)-3),"")</f>
        <v>401.513227848101</v>
      </c>
      <c r="Z52" s="144" t="n">
        <f aca="false">IFERROR('Price History'!E3+(INDEX('Price History'!E:E,MATCH(9.99E+307,'Price History'!$A:$A))-'Price History'!E3)*(ROW()-3)/(MATCH(9.99E+307,'Returns (Calc)'!$A:$A)-3),"")</f>
        <v>56.5696202531646</v>
      </c>
      <c r="AA52" s="144" t="n">
        <f aca="false">IFERROR('Price History'!F3+(INDEX('Price History'!F:F,MATCH(9.99E+307,'Price History'!$A:$A))-'Price History'!F3)*(ROW()-3)/(MATCH(9.99E+307,'Returns (Calc)'!$A:$A)-3),"")</f>
        <v>51.9543670886076</v>
      </c>
      <c r="AB52" s="144" t="n">
        <f aca="false">IFERROR('Price History'!G3+(INDEX('Price History'!G:G,MATCH(9.99E+307,'Price History'!$A:$A))-'Price History'!G3)*(ROW()-3)/(MATCH(9.99E+307,'Returns (Calc)'!$A:$A)-3),"")</f>
        <v>28.533164556962</v>
      </c>
      <c r="AC52" s="144" t="n">
        <f aca="false">IFERROR('Price History'!H3+(INDEX('Price History'!H:H,MATCH(9.99E+307,'Price History'!$A:$A))-'Price History'!H3)*(ROW()-3)/(MATCH(9.99E+307,'Returns (Calc)'!$A:$A)-3),"")</f>
        <v>69.3943670886076</v>
      </c>
      <c r="AD52" s="144" t="n">
        <f aca="false">IFERROR('Price History'!I3+(INDEX('Price History'!I:I,MATCH(9.99E+307,'Price History'!$A:$A))-'Price History'!I3)*(ROW()-3)/(MATCH(9.99E+307,'Returns (Calc)'!$A:$A)-3),"")</f>
        <v>30.5958860759494</v>
      </c>
      <c r="AE52" s="144" t="n">
        <f aca="false">IFERROR('Price History'!J3+(INDEX('Price History'!J:J,MATCH(9.99E+307,'Price History'!$A:$A))-'Price History'!J3)*(ROW()-3)/(MATCH(9.99E+307,'Returns (Calc)'!$A:$A)-3),"")</f>
        <v>47.6771518987342</v>
      </c>
      <c r="AF52" s="144" t="n">
        <f aca="false">IFERROR('Price History'!K3+(INDEX('Price History'!K:K,MATCH(9.99E+307,'Price History'!$A:$A))-'Price History'!K3)*(ROW()-3)/(MATCH(9.99E+307,'Returns (Calc)'!$A:$A)-3),"")</f>
        <v>30.1957594936709</v>
      </c>
      <c r="AG52" s="144" t="n">
        <f aca="false">IFERROR('Price History'!L3+(INDEX('Price History'!L:L,MATCH(9.99E+307,'Price History'!$A:$A))-'Price History'!L3)*(ROW()-3)/(MATCH(9.99E+307,'Returns (Calc)'!$A:$A)-3),"")</f>
        <v>77.1554430379747</v>
      </c>
      <c r="AH52" s="144" t="n">
        <f aca="false">IFERROR('Price History'!M3+(INDEX('Price History'!M:M,MATCH(9.99E+307,'Price History'!$A:$A))-'Price History'!M3)*(ROW()-3)/(MATCH(9.99E+307,'Returns (Calc)'!$A:$A)-3),"")</f>
        <v>10.5757594936709</v>
      </c>
      <c r="AI52" s="144" t="n">
        <f aca="false">IFERROR('Price History'!N3+(INDEX('Price History'!N:N,MATCH(9.99E+307,'Price History'!$A:$A))-'Price History'!N3)*(ROW()-3)/(MATCH(9.99E+307,'Returns (Calc)'!$A:$A)-3),"")</f>
        <v>15.0392405063291</v>
      </c>
      <c r="AJ52" s="144" t="n">
        <f aca="false">IFERROR('Price History'!O3+(INDEX('Price History'!O:O,MATCH(9.99E+307,'Price History'!$A:$A))-'Price History'!O3)*(ROW()-3)/(MATCH(9.99E+307,'Returns (Calc)'!$A:$A)-3),"")</f>
        <v>39.7574050632911</v>
      </c>
      <c r="AK52" s="144" t="n">
        <f aca="false">IFERROR('Price History'!Q3+(INDEX('Price History'!Q:Q,MATCH(9.99E+307,'Price History'!$A:$A))-'Price History'!Q3)*(ROW()-3)/(MATCH(9.99E+307,'Returns (Calc)'!$A:$A)-3),"")</f>
        <v>162.554873417722</v>
      </c>
      <c r="AL52" s="144" t="n">
        <f aca="false">IFERROR('Price History'!R3+(INDEX('Price History'!R:R,MATCH(9.99E+307,'Price History'!$A:$A))-'Price History'!R3)*(ROW()-3)/(MATCH(9.99E+307,'Returns (Calc)'!$A:$A)-3),"")</f>
        <v>32.989746835443</v>
      </c>
      <c r="AM52" s="144" t="n">
        <f aca="false">IFERROR('Price History'!S3+(INDEX('Price History'!S:S,MATCH(9.99E+307,'Price History'!$A:$A))-'Price History'!S3)*(ROW()-3)/(MATCH(9.99E+307,'Returns (Calc)'!$A:$A)-3),"")</f>
        <v>40.3851898734177</v>
      </c>
      <c r="AN52" s="144" t="n">
        <f aca="false">IFERROR('Price History'!T3+(INDEX('Price History'!T:T,MATCH(9.99E+307,'Price History'!$A:$A))-'Price History'!T3)*(ROW()-3)/(MATCH(9.99E+307,'Returns (Calc)'!$A:$A)-3),"")</f>
        <v>18.5644936708861</v>
      </c>
      <c r="AO52" s="145" t="n">
        <f aca="false">IFERROR('Price History'!V3+(INDEX('Price History'!V:V,MATCH(9.99E+307,'Price History'!$A:$A))-'Price History'!V3)*(ROW()-3)/(MATCH(9.99E+307,'Returns (Calc)'!$A:$A)-3),"")</f>
        <v>0</v>
      </c>
    </row>
    <row r="53" customFormat="false" ht="15" hidden="false" customHeight="true" outlineLevel="0" collapsed="false">
      <c r="A53" s="141" t="n">
        <f aca="false">IF('Price History'!A54="","",'Price History'!A54)</f>
        <v>45541</v>
      </c>
      <c r="B53" s="142" t="n">
        <f aca="false">IFERROR(IF(OR(NOT(ISNUMBER('Price History'!B54)),NOT(ISNUMBER('Price History'!B53)),'Price History'!B53=0),"",'Price History'!B54/'Price History'!B53-1),"")</f>
        <v>-0.0191500844344632</v>
      </c>
      <c r="C53" s="142" t="n">
        <f aca="false">IFERROR(IF(OR(NOT(ISNUMBER('Price History'!C54)),NOT(ISNUMBER('Price History'!C53)),'Price History'!C53=0),"",'Price History'!C54/'Price History'!C53-1),"")</f>
        <v>-0.110582908885116</v>
      </c>
      <c r="D53" s="142" t="n">
        <f aca="false">IFERROR(IF(OR(NOT(ISNUMBER('Price History'!D54)),NOT(ISNUMBER('Price History'!D53)),'Price History'!D53=0),"",'Price History'!D54/'Price History'!D53-1),"")</f>
        <v>-0.167148497699585</v>
      </c>
      <c r="E53" s="142" t="n">
        <f aca="false">IFERROR(IF(OR(NOT(ISNUMBER('Price History'!E54)),NOT(ISNUMBER('Price History'!E53)),'Price History'!E53=0),"",'Price History'!E54/'Price History'!E53-1),"")</f>
        <v>-0.158538114343029</v>
      </c>
      <c r="F53" s="142" t="n">
        <f aca="false">IFERROR(IF(OR(NOT(ISNUMBER('Price History'!F54)),NOT(ISNUMBER('Price History'!F53)),'Price History'!F53=0),"",'Price History'!F54/'Price History'!F53-1),"")</f>
        <v>-0.0566648677819752</v>
      </c>
      <c r="G53" s="142" t="n">
        <f aca="false">IFERROR(IF(OR(NOT(ISNUMBER('Price History'!G54)),NOT(ISNUMBER('Price History'!G53)),'Price History'!G53=0),"",'Price History'!G54/'Price History'!G53-1),"")</f>
        <v>-0.11136757068667</v>
      </c>
      <c r="H53" s="142" t="n">
        <f aca="false">IFERROR(IF(OR(NOT(ISNUMBER('Price History'!H54)),NOT(ISNUMBER('Price History'!H53)),'Price History'!H53=0),"",'Price History'!H54/'Price History'!H53-1),"")</f>
        <v>-0.0213799805636541</v>
      </c>
      <c r="I53" s="142" t="n">
        <f aca="false">IFERROR(IF(OR(NOT(ISNUMBER('Price History'!I54)),NOT(ISNUMBER('Price History'!I53)),'Price History'!I53=0),"",'Price History'!I54/'Price History'!I53-1),"")</f>
        <v>-0.142343904856293</v>
      </c>
      <c r="J53" s="142" t="n">
        <f aca="false">IFERROR(IF(OR(NOT(ISNUMBER('Price History'!J54)),NOT(ISNUMBER('Price History'!J53)),'Price History'!J53=0),"",'Price History'!J54/'Price History'!J53-1),"")</f>
        <v>-0.102467586783772</v>
      </c>
      <c r="K53" s="142" t="n">
        <f aca="false">IFERROR(IF(OR(NOT(ISNUMBER('Price History'!K54)),NOT(ISNUMBER('Price History'!K53)),'Price History'!K53=0),"",'Price History'!K54/'Price History'!K53-1),"")</f>
        <v>-0.138524865591398</v>
      </c>
      <c r="L53" s="142" t="n">
        <f aca="false">IFERROR(IF(OR(NOT(ISNUMBER('Price History'!L54)),NOT(ISNUMBER('Price History'!L53)),'Price History'!L53=0),"",'Price History'!L54/'Price History'!L53-1),"")</f>
        <v>-0.00455043397657373</v>
      </c>
      <c r="M53" s="142" t="n">
        <f aca="false">IFERROR(IF(OR(NOT(ISNUMBER('Price History'!M54)),NOT(ISNUMBER('Price History'!M53)),'Price History'!M53=0),"",'Price History'!M54/'Price History'!M53-1),"")</f>
        <v>-0.0365311308767472</v>
      </c>
      <c r="N53" s="142" t="n">
        <f aca="false">IFERROR(IF(OR(NOT(ISNUMBER('Price History'!N54)),NOT(ISNUMBER('Price History'!N53)),'Price History'!N53=0),"",'Price History'!N54/'Price History'!N53-1),"")</f>
        <v>-0.0300115429011157</v>
      </c>
      <c r="O53" s="142" t="n">
        <f aca="false">IFERROR(IF(OR(NOT(ISNUMBER('Price History'!O54)),NOT(ISNUMBER('Price History'!O53)),'Price History'!O53=0),"",'Price History'!O54/'Price History'!O53-1),"")</f>
        <v>-0.0598086124401914</v>
      </c>
      <c r="P53" s="142" t="n">
        <f aca="false">IFERROR(IF(OR(NOT(ISNUMBER('Price History'!P54)),NOT(ISNUMBER('Price History'!P53)),'Price History'!P53=0),"",'Price History'!P54/'Price History'!P53-1),"")</f>
        <v>-0.0866726564839773</v>
      </c>
      <c r="Q53" s="142" t="n">
        <f aca="false">IFERROR(IF(OR(NOT(ISNUMBER('Price History'!Q54)),NOT(ISNUMBER('Price History'!Q53)),'Price History'!Q53=0),"",'Price History'!Q54/'Price History'!Q53-1),"")</f>
        <v>0.0108348330701145</v>
      </c>
      <c r="R53" s="142" t="n">
        <f aca="false">IFERROR(IF(OR(NOT(ISNUMBER('Price History'!R54)),NOT(ISNUMBER('Price History'!R53)),'Price History'!R53=0),"",'Price History'!R54/'Price History'!R53-1),"")</f>
        <v>-0.0343655589123867</v>
      </c>
      <c r="S53" s="142" t="n">
        <f aca="false">IFERROR(IF(OR(NOT(ISNUMBER('Price History'!S54)),NOT(ISNUMBER('Price History'!S53)),'Price History'!S53=0),"",'Price History'!S54/'Price History'!S53-1),"")</f>
        <v>-0.0297450424929178</v>
      </c>
      <c r="T53" s="142" t="n">
        <f aca="false">IFERROR(IF(OR(NOT(ISNUMBER('Price History'!T54)),NOT(ISNUMBER('Price History'!T53)),'Price History'!T53=0),"",'Price History'!T54/'Price History'!T53-1),"")</f>
        <v>-0.0286065825899723</v>
      </c>
      <c r="U53" s="142" t="str">
        <f aca="false">IFERROR(IF(OR(NOT(ISNUMBER('Price History'!U54)),NOT(ISNUMBER('Price History'!U53)),'Price History'!U53=0),"",'Price History'!U54/'Price History'!U53-1),"")</f>
        <v/>
      </c>
      <c r="V53" s="143" t="n">
        <f aca="false">IFERROR(IF(OR(NOT(ISNUMBER('Price History'!V54)),NOT(ISNUMBER('Price History'!V53)),'Price History'!V53=0),"",'Price History'!V54/'Price History'!V53-1),"")</f>
        <v>0.0274804970794622</v>
      </c>
      <c r="W53" s="144" t="str">
        <f aca="false">IFERROR('Price History'!B3+(INDEX('Price History'!B:B,MATCH(9.99E+307,'Price History'!$A:$A))-'Price History'!B3)*(ROW()-3)/(MATCH(9.99E+307,'Returns (Calc)'!$A:$A)-3),"")</f>
        <v/>
      </c>
      <c r="X53" s="144" t="n">
        <f aca="false">IFERROR('Price History'!C3+(INDEX('Price History'!C:C,MATCH(9.99E+307,'Price History'!$A:$A))-'Price History'!C3)*(ROW()-3)/(MATCH(9.99E+307,'Returns (Calc)'!$A:$A)-3),"")</f>
        <v>31.5660759493671</v>
      </c>
      <c r="Y53" s="144" t="n">
        <f aca="false">IFERROR('Price History'!D3+(INDEX('Price History'!D:D,MATCH(9.99E+307,'Price History'!$A:$A))-'Price History'!D3)*(ROW()-3)/(MATCH(9.99E+307,'Returns (Calc)'!$A:$A)-3),"")</f>
        <v>397.829620253165</v>
      </c>
      <c r="Z53" s="144" t="n">
        <f aca="false">IFERROR('Price History'!E3+(INDEX('Price History'!E:E,MATCH(9.99E+307,'Price History'!$A:$A))-'Price History'!E3)*(ROW()-3)/(MATCH(9.99E+307,'Returns (Calc)'!$A:$A)-3),"")</f>
        <v>56.0506329113924</v>
      </c>
      <c r="AA53" s="144" t="n">
        <f aca="false">IFERROR('Price History'!F3+(INDEX('Price History'!F:F,MATCH(9.99E+307,'Price History'!$A:$A))-'Price History'!F3)*(ROW()-3)/(MATCH(9.99E+307,'Returns (Calc)'!$A:$A)-3),"")</f>
        <v>51.4777215189873</v>
      </c>
      <c r="AB53" s="144" t="n">
        <f aca="false">IFERROR('Price History'!G3+(INDEX('Price History'!G:G,MATCH(9.99E+307,'Price History'!$A:$A))-'Price History'!G3)*(ROW()-3)/(MATCH(9.99E+307,'Returns (Calc)'!$A:$A)-3),"")</f>
        <v>28.2713924050633</v>
      </c>
      <c r="AC53" s="144" t="n">
        <f aca="false">IFERROR('Price History'!H3+(INDEX('Price History'!H:H,MATCH(9.99E+307,'Price History'!$A:$A))-'Price History'!H3)*(ROW()-3)/(MATCH(9.99E+307,'Returns (Calc)'!$A:$A)-3),"")</f>
        <v>68.7577215189874</v>
      </c>
      <c r="AD53" s="144" t="n">
        <f aca="false">IFERROR('Price History'!I3+(INDEX('Price History'!I:I,MATCH(9.99E+307,'Price History'!$A:$A))-'Price History'!I3)*(ROW()-3)/(MATCH(9.99E+307,'Returns (Calc)'!$A:$A)-3),"")</f>
        <v>30.3151898734177</v>
      </c>
      <c r="AE53" s="144" t="n">
        <f aca="false">IFERROR('Price History'!J3+(INDEX('Price History'!J:J,MATCH(9.99E+307,'Price History'!$A:$A))-'Price History'!J3)*(ROW()-3)/(MATCH(9.99E+307,'Returns (Calc)'!$A:$A)-3),"")</f>
        <v>47.239746835443</v>
      </c>
      <c r="AF53" s="144" t="n">
        <f aca="false">IFERROR('Price History'!K3+(INDEX('Price History'!K:K,MATCH(9.99E+307,'Price History'!$A:$A))-'Price History'!K3)*(ROW()-3)/(MATCH(9.99E+307,'Returns (Calc)'!$A:$A)-3),"")</f>
        <v>29.9187341772152</v>
      </c>
      <c r="AG53" s="144" t="n">
        <f aca="false">IFERROR('Price History'!L3+(INDEX('Price History'!L:L,MATCH(9.99E+307,'Price History'!$A:$A))-'Price History'!L3)*(ROW()-3)/(MATCH(9.99E+307,'Returns (Calc)'!$A:$A)-3),"")</f>
        <v>76.4475949367089</v>
      </c>
      <c r="AH53" s="144" t="n">
        <f aca="false">IFERROR('Price History'!M3+(INDEX('Price History'!M:M,MATCH(9.99E+307,'Price History'!$A:$A))-'Price History'!M3)*(ROW()-3)/(MATCH(9.99E+307,'Returns (Calc)'!$A:$A)-3),"")</f>
        <v>10.4787341772152</v>
      </c>
      <c r="AI53" s="144" t="n">
        <f aca="false">IFERROR('Price History'!N3+(INDEX('Price History'!N:N,MATCH(9.99E+307,'Price History'!$A:$A))-'Price History'!N3)*(ROW()-3)/(MATCH(9.99E+307,'Returns (Calc)'!$A:$A)-3),"")</f>
        <v>14.9012658227848</v>
      </c>
      <c r="AJ53" s="144" t="n">
        <f aca="false">IFERROR('Price History'!O3+(INDEX('Price History'!O:O,MATCH(9.99E+307,'Price History'!$A:$A))-'Price History'!O3)*(ROW()-3)/(MATCH(9.99E+307,'Returns (Calc)'!$A:$A)-3),"")</f>
        <v>39.3926582278481</v>
      </c>
      <c r="AK53" s="144" t="n">
        <f aca="false">IFERROR('Price History'!Q3+(INDEX('Price History'!Q:Q,MATCH(9.99E+307,'Price History'!$A:$A))-'Price History'!Q3)*(ROW()-3)/(MATCH(9.99E+307,'Returns (Calc)'!$A:$A)-3),"")</f>
        <v>161.063544303797</v>
      </c>
      <c r="AL53" s="144" t="n">
        <f aca="false">IFERROR('Price History'!R3+(INDEX('Price History'!R:R,MATCH(9.99E+307,'Price History'!$A:$A))-'Price History'!R3)*(ROW()-3)/(MATCH(9.99E+307,'Returns (Calc)'!$A:$A)-3),"")</f>
        <v>32.6870886075949</v>
      </c>
      <c r="AM53" s="144" t="n">
        <f aca="false">IFERROR('Price History'!S3+(INDEX('Price History'!S:S,MATCH(9.99E+307,'Price History'!$A:$A))-'Price History'!S3)*(ROW()-3)/(MATCH(9.99E+307,'Returns (Calc)'!$A:$A)-3),"")</f>
        <v>40.0146835443038</v>
      </c>
      <c r="AN53" s="144" t="n">
        <f aca="false">IFERROR('Price History'!T3+(INDEX('Price History'!T:T,MATCH(9.99E+307,'Price History'!$A:$A))-'Price History'!T3)*(ROW()-3)/(MATCH(9.99E+307,'Returns (Calc)'!$A:$A)-3),"")</f>
        <v>18.3941772151899</v>
      </c>
      <c r="AO53" s="145" t="n">
        <f aca="false">IFERROR('Price History'!V3+(INDEX('Price History'!V:V,MATCH(9.99E+307,'Price History'!$A:$A))-'Price History'!V3)*(ROW()-3)/(MATCH(9.99E+307,'Returns (Calc)'!$A:$A)-3),"")</f>
        <v>0</v>
      </c>
    </row>
    <row r="54" customFormat="false" ht="15" hidden="false" customHeight="true" outlineLevel="0" collapsed="false">
      <c r="A54" s="141" t="n">
        <f aca="false">IF('Price History'!A55="","",'Price History'!A55)</f>
        <v>45548</v>
      </c>
      <c r="B54" s="142" t="n">
        <f aca="false">IFERROR(IF(OR(NOT(ISNUMBER('Price History'!B55)),NOT(ISNUMBER('Price History'!B54)),'Price History'!B54=0),"",'Price History'!B55/'Price History'!B54-1),"")</f>
        <v>-0.0471060151577004</v>
      </c>
      <c r="C54" s="142" t="n">
        <f aca="false">IFERROR(IF(OR(NOT(ISNUMBER('Price History'!C55)),NOT(ISNUMBER('Price History'!C54)),'Price History'!C54=0),"",'Price History'!C55/'Price History'!C54-1),"")</f>
        <v>0.14456604734029</v>
      </c>
      <c r="D54" s="142" t="n">
        <f aca="false">IFERROR(IF(OR(NOT(ISNUMBER('Price History'!D55)),NOT(ISNUMBER('Price History'!D54)),'Price History'!D54=0),"",'Price History'!D55/'Price History'!D54-1),"")</f>
        <v>0.0844431238012913</v>
      </c>
      <c r="E54" s="142" t="n">
        <f aca="false">IFERROR(IF(OR(NOT(ISNUMBER('Price History'!E55)),NOT(ISNUMBER('Price History'!E54)),'Price History'!E54=0),"",'Price History'!E55/'Price History'!E54-1),"")</f>
        <v>0.224018475750578</v>
      </c>
      <c r="F54" s="142" t="n">
        <f aca="false">IFERROR(IF(OR(NOT(ISNUMBER('Price History'!F55)),NOT(ISNUMBER('Price History'!F54)),'Price History'!F54=0),"",'Price History'!F55/'Price History'!F54-1),"")</f>
        <v>0.0288329519450801</v>
      </c>
      <c r="G54" s="142" t="n">
        <f aca="false">IFERROR(IF(OR(NOT(ISNUMBER('Price History'!G55)),NOT(ISNUMBER('Price History'!G54)),'Price History'!G54=0),"",'Price History'!G55/'Price History'!G54-1),"")</f>
        <v>0.0516233766233767</v>
      </c>
      <c r="H54" s="142" t="n">
        <f aca="false">IFERROR(IF(OR(NOT(ISNUMBER('Price History'!H55)),NOT(ISNUMBER('Price History'!H54)),'Price History'!H54=0),"",'Price History'!H55/'Price History'!H54-1),"")</f>
        <v>0.0185369083085072</v>
      </c>
      <c r="I54" s="142" t="n">
        <f aca="false">IFERROR(IF(OR(NOT(ISNUMBER('Price History'!I55)),NOT(ISNUMBER('Price History'!I54)),'Price History'!I54=0),"",'Price History'!I55/'Price History'!I54-1),"")</f>
        <v>0.0693341037122635</v>
      </c>
      <c r="J54" s="142" t="n">
        <f aca="false">IFERROR(IF(OR(NOT(ISNUMBER('Price History'!J55)),NOT(ISNUMBER('Price History'!J54)),'Price History'!J54=0),"",'Price History'!J55/'Price History'!J54-1),"")</f>
        <v>0.0560344827586208</v>
      </c>
      <c r="K54" s="142" t="n">
        <f aca="false">IFERROR(IF(OR(NOT(ISNUMBER('Price History'!K55)),NOT(ISNUMBER('Price History'!K54)),'Price History'!K54=0),"",'Price History'!K55/'Price History'!K54-1),"")</f>
        <v>0.158264261335934</v>
      </c>
      <c r="L54" s="142" t="n">
        <f aca="false">IFERROR(IF(OR(NOT(ISNUMBER('Price History'!L55)),NOT(ISNUMBER('Price History'!L54)),'Price History'!L54=0),"",'Price History'!L55/'Price History'!L54-1),"")</f>
        <v>0.0215863878777618</v>
      </c>
      <c r="M54" s="142" t="n">
        <f aca="false">IFERROR(IF(OR(NOT(ISNUMBER('Price History'!M55)),NOT(ISNUMBER('Price History'!M54)),'Price History'!M54=0),"",'Price History'!M55/'Price History'!M54-1),"")</f>
        <v>0.173425651170458</v>
      </c>
      <c r="N54" s="142" t="n">
        <f aca="false">IFERROR(IF(OR(NOT(ISNUMBER('Price History'!N55)),NOT(ISNUMBER('Price History'!N54)),'Price History'!N54=0),"",'Price History'!N55/'Price History'!N54-1),"")</f>
        <v>0.0166600555335183</v>
      </c>
      <c r="O54" s="142" t="n">
        <f aca="false">IFERROR(IF(OR(NOT(ISNUMBER('Price History'!O55)),NOT(ISNUMBER('Price History'!O54)),'Price History'!O54=0),"",'Price History'!O55/'Price History'!O54-1),"")</f>
        <v>0.0615533745304737</v>
      </c>
      <c r="P54" s="142" t="n">
        <f aca="false">IFERROR(IF(OR(NOT(ISNUMBER('Price History'!P55)),NOT(ISNUMBER('Price History'!P54)),'Price History'!P54=0),"",'Price History'!P55/'Price History'!P54-1),"")</f>
        <v>0.104013641133264</v>
      </c>
      <c r="Q54" s="142" t="n">
        <f aca="false">IFERROR(IF(OR(NOT(ISNUMBER('Price History'!Q55)),NOT(ISNUMBER('Price History'!Q54)),'Price History'!Q54=0),"",'Price History'!Q55/'Price History'!Q54-1),"")</f>
        <v>0.028558971005014</v>
      </c>
      <c r="R54" s="142" t="n">
        <f aca="false">IFERROR(IF(OR(NOT(ISNUMBER('Price History'!R55)),NOT(ISNUMBER('Price History'!R54)),'Price History'!R54=0),"",'Price History'!R55/'Price History'!R54-1),"")</f>
        <v>0.00293312475557284</v>
      </c>
      <c r="S54" s="142" t="n">
        <f aca="false">IFERROR(IF(OR(NOT(ISNUMBER('Price History'!S55)),NOT(ISNUMBER('Price History'!S54)),'Price History'!S54=0),"",'Price History'!S55/'Price History'!S54-1),"")</f>
        <v>0.0172749391727494</v>
      </c>
      <c r="T54" s="142" t="n">
        <f aca="false">IFERROR(IF(OR(NOT(ISNUMBER('Price History'!T55)),NOT(ISNUMBER('Price History'!T54)),'Price History'!T54=0),"",'Price History'!T55/'Price History'!T54-1),"")</f>
        <v>-0.00158328055731471</v>
      </c>
      <c r="U54" s="142" t="str">
        <f aca="false">IFERROR(IF(OR(NOT(ISNUMBER('Price History'!U55)),NOT(ISNUMBER('Price History'!U54)),'Price History'!U54=0),"",'Price History'!U55/'Price History'!U54-1),"")</f>
        <v/>
      </c>
      <c r="V54" s="143" t="n">
        <f aca="false">IFERROR(IF(OR(NOT(ISNUMBER('Price History'!V55)),NOT(ISNUMBER('Price History'!V54)),'Price History'!V54=0),"",'Price History'!V55/'Price History'!V54-1),"")</f>
        <v>-0.0236550934757727</v>
      </c>
      <c r="W54" s="144" t="str">
        <f aca="false">IFERROR('Price History'!B3+(INDEX('Price History'!B:B,MATCH(9.99E+307,'Price History'!$A:$A))-'Price History'!B3)*(ROW()-3)/(MATCH(9.99E+307,'Returns (Calc)'!$A:$A)-3),"")</f>
        <v/>
      </c>
      <c r="X54" s="144" t="n">
        <f aca="false">IFERROR('Price History'!C3+(INDEX('Price History'!C:C,MATCH(9.99E+307,'Price History'!$A:$A))-'Price History'!C3)*(ROW()-3)/(MATCH(9.99E+307,'Returns (Calc)'!$A:$A)-3),"")</f>
        <v>31.2737974683544</v>
      </c>
      <c r="Y54" s="144" t="n">
        <f aca="false">IFERROR('Price History'!D3+(INDEX('Price History'!D:D,MATCH(9.99E+307,'Price History'!$A:$A))-'Price History'!D3)*(ROW()-3)/(MATCH(9.99E+307,'Returns (Calc)'!$A:$A)-3),"")</f>
        <v>394.146012658228</v>
      </c>
      <c r="Z54" s="144" t="n">
        <f aca="false">IFERROR('Price History'!E3+(INDEX('Price History'!E:E,MATCH(9.99E+307,'Price History'!$A:$A))-'Price History'!E3)*(ROW()-3)/(MATCH(9.99E+307,'Returns (Calc)'!$A:$A)-3),"")</f>
        <v>55.5316455696203</v>
      </c>
      <c r="AA54" s="144" t="n">
        <f aca="false">IFERROR('Price History'!F3+(INDEX('Price History'!F:F,MATCH(9.99E+307,'Price History'!$A:$A))-'Price History'!F3)*(ROW()-3)/(MATCH(9.99E+307,'Returns (Calc)'!$A:$A)-3),"")</f>
        <v>51.0010759493671</v>
      </c>
      <c r="AB54" s="144" t="n">
        <f aca="false">IFERROR('Price History'!G3+(INDEX('Price History'!G:G,MATCH(9.99E+307,'Price History'!$A:$A))-'Price History'!G3)*(ROW()-3)/(MATCH(9.99E+307,'Returns (Calc)'!$A:$A)-3),"")</f>
        <v>28.0096202531646</v>
      </c>
      <c r="AC54" s="144" t="n">
        <f aca="false">IFERROR('Price History'!H3+(INDEX('Price History'!H:H,MATCH(9.99E+307,'Price History'!$A:$A))-'Price History'!H3)*(ROW()-3)/(MATCH(9.99E+307,'Returns (Calc)'!$A:$A)-3),"")</f>
        <v>68.1210759493671</v>
      </c>
      <c r="AD54" s="144" t="n">
        <f aca="false">IFERROR('Price History'!I3+(INDEX('Price History'!I:I,MATCH(9.99E+307,'Price History'!$A:$A))-'Price History'!I3)*(ROW()-3)/(MATCH(9.99E+307,'Returns (Calc)'!$A:$A)-3),"")</f>
        <v>30.0344936708861</v>
      </c>
      <c r="AE54" s="144" t="n">
        <f aca="false">IFERROR('Price History'!J3+(INDEX('Price History'!J:J,MATCH(9.99E+307,'Price History'!$A:$A))-'Price History'!J3)*(ROW()-3)/(MATCH(9.99E+307,'Returns (Calc)'!$A:$A)-3),"")</f>
        <v>46.8023417721519</v>
      </c>
      <c r="AF54" s="144" t="n">
        <f aca="false">IFERROR('Price History'!K3+(INDEX('Price History'!K:K,MATCH(9.99E+307,'Price History'!$A:$A))-'Price History'!K3)*(ROW()-3)/(MATCH(9.99E+307,'Returns (Calc)'!$A:$A)-3),"")</f>
        <v>29.6417088607595</v>
      </c>
      <c r="AG54" s="144" t="n">
        <f aca="false">IFERROR('Price History'!L3+(INDEX('Price History'!L:L,MATCH(9.99E+307,'Price History'!$A:$A))-'Price History'!L3)*(ROW()-3)/(MATCH(9.99E+307,'Returns (Calc)'!$A:$A)-3),"")</f>
        <v>75.739746835443</v>
      </c>
      <c r="AH54" s="144" t="n">
        <f aca="false">IFERROR('Price History'!M3+(INDEX('Price History'!M:M,MATCH(9.99E+307,'Price History'!$A:$A))-'Price History'!M3)*(ROW()-3)/(MATCH(9.99E+307,'Returns (Calc)'!$A:$A)-3),"")</f>
        <v>10.3817088607595</v>
      </c>
      <c r="AI54" s="144" t="n">
        <f aca="false">IFERROR('Price History'!N3+(INDEX('Price History'!N:N,MATCH(9.99E+307,'Price History'!$A:$A))-'Price History'!N3)*(ROW()-3)/(MATCH(9.99E+307,'Returns (Calc)'!$A:$A)-3),"")</f>
        <v>14.7632911392405</v>
      </c>
      <c r="AJ54" s="144" t="n">
        <f aca="false">IFERROR('Price History'!O3+(INDEX('Price History'!O:O,MATCH(9.99E+307,'Price History'!$A:$A))-'Price History'!O3)*(ROW()-3)/(MATCH(9.99E+307,'Returns (Calc)'!$A:$A)-3),"")</f>
        <v>39.0279113924051</v>
      </c>
      <c r="AK54" s="144" t="n">
        <f aca="false">IFERROR('Price History'!Q3+(INDEX('Price History'!Q:Q,MATCH(9.99E+307,'Price History'!$A:$A))-'Price History'!Q3)*(ROW()-3)/(MATCH(9.99E+307,'Returns (Calc)'!$A:$A)-3),"")</f>
        <v>159.572215189873</v>
      </c>
      <c r="AL54" s="144" t="n">
        <f aca="false">IFERROR('Price History'!R3+(INDEX('Price History'!R:R,MATCH(9.99E+307,'Price History'!$A:$A))-'Price History'!R3)*(ROW()-3)/(MATCH(9.99E+307,'Returns (Calc)'!$A:$A)-3),"")</f>
        <v>32.3844303797468</v>
      </c>
      <c r="AM54" s="144" t="n">
        <f aca="false">IFERROR('Price History'!S3+(INDEX('Price History'!S:S,MATCH(9.99E+307,'Price History'!$A:$A))-'Price History'!S3)*(ROW()-3)/(MATCH(9.99E+307,'Returns (Calc)'!$A:$A)-3),"")</f>
        <v>39.6441772151899</v>
      </c>
      <c r="AN54" s="144" t="n">
        <f aca="false">IFERROR('Price History'!T3+(INDEX('Price History'!T:T,MATCH(9.99E+307,'Price History'!$A:$A))-'Price History'!T3)*(ROW()-3)/(MATCH(9.99E+307,'Returns (Calc)'!$A:$A)-3),"")</f>
        <v>18.2238607594937</v>
      </c>
      <c r="AO54" s="145" t="n">
        <f aca="false">IFERROR('Price History'!V3+(INDEX('Price History'!V:V,MATCH(9.99E+307,'Price History'!$A:$A))-'Price History'!V3)*(ROW()-3)/(MATCH(9.99E+307,'Returns (Calc)'!$A:$A)-3),"")</f>
        <v>0</v>
      </c>
    </row>
    <row r="55" customFormat="false" ht="15" hidden="false" customHeight="true" outlineLevel="0" collapsed="false">
      <c r="A55" s="141" t="n">
        <f aca="false">IF('Price History'!A56="","",'Price History'!A56)</f>
        <v>45555</v>
      </c>
      <c r="B55" s="142" t="n">
        <f aca="false">IFERROR(IF(OR(NOT(ISNUMBER('Price History'!B56)),NOT(ISNUMBER('Price History'!B55)),'Price History'!B55=0),"",'Price History'!B56/'Price History'!B55-1),"")</f>
        <v>-0.0271387859258294</v>
      </c>
      <c r="C55" s="142" t="n">
        <f aca="false">IFERROR(IF(OR(NOT(ISNUMBER('Price History'!C56)),NOT(ISNUMBER('Price History'!C55)),'Price History'!C55=0),"",'Price History'!C56/'Price History'!C55-1),"")</f>
        <v>0.0686012897487214</v>
      </c>
      <c r="D55" s="142" t="n">
        <f aca="false">IFERROR(IF(OR(NOT(ISNUMBER('Price History'!D56)),NOT(ISNUMBER('Price History'!D55)),'Price History'!D55=0),"",'Price History'!D56/'Price History'!D55-1),"")</f>
        <v>-0.0258189064640678</v>
      </c>
      <c r="E55" s="142" t="n">
        <f aca="false">IFERROR(IF(OR(NOT(ISNUMBER('Price History'!E56)),NOT(ISNUMBER('Price History'!E55)),'Price History'!E55=0),"",'Price History'!E56/'Price History'!E55-1),"")</f>
        <v>0.0236762020693853</v>
      </c>
      <c r="F55" s="142" t="n">
        <f aca="false">IFERROR(IF(OR(NOT(ISNUMBER('Price History'!F56)),NOT(ISNUMBER('Price History'!F55)),'Price History'!F55=0),"",'Price History'!F56/'Price History'!F55-1),"")</f>
        <v>0.0302491103202847</v>
      </c>
      <c r="G55" s="142" t="n">
        <f aca="false">IFERROR(IF(OR(NOT(ISNUMBER('Price History'!G56)),NOT(ISNUMBER('Price History'!G55)),'Price History'!G55=0),"",'Price History'!G56/'Price History'!G55-1),"")</f>
        <v>0.157147267675208</v>
      </c>
      <c r="H55" s="142" t="n">
        <f aca="false">IFERROR(IF(OR(NOT(ISNUMBER('Price History'!H56)),NOT(ISNUMBER('Price History'!H55)),'Price History'!H55=0),"",'Price History'!H56/'Price History'!H55-1),"")</f>
        <v>0.0121059473513161</v>
      </c>
      <c r="I55" s="142" t="n">
        <f aca="false">IFERROR(IF(OR(NOT(ISNUMBER('Price History'!I56)),NOT(ISNUMBER('Price History'!I55)),'Price History'!I55=0),"",'Price History'!I56/'Price History'!I55-1),"")</f>
        <v>0.00986086721599366</v>
      </c>
      <c r="J55" s="142" t="n">
        <f aca="false">IFERROR(IF(OR(NOT(ISNUMBER('Price History'!J56)),NOT(ISNUMBER('Price History'!J55)),'Price History'!J55=0),"",'Price History'!J56/'Price History'!J55-1),"")</f>
        <v>-0.00353006067291795</v>
      </c>
      <c r="K55" s="142" t="n">
        <f aca="false">IFERROR(IF(OR(NOT(ISNUMBER('Price History'!K56)),NOT(ISNUMBER('Price History'!K55)),'Price History'!K55=0),"",'Price History'!K56/'Price History'!K55-1),"")</f>
        <v>-0.0260144805522815</v>
      </c>
      <c r="L55" s="142" t="n">
        <f aca="false">IFERROR(IF(OR(NOT(ISNUMBER('Price History'!L56)),NOT(ISNUMBER('Price History'!L55)),'Price History'!L55=0),"",'Price History'!L56/'Price History'!L55-1),"")</f>
        <v>-0.0275107722903547</v>
      </c>
      <c r="M55" s="142" t="n">
        <f aca="false">IFERROR(IF(OR(NOT(ISNUMBER('Price History'!M56)),NOT(ISNUMBER('Price History'!M55)),'Price History'!M55=0),"",'Price History'!M56/'Price History'!M55-1),"")</f>
        <v>0.0452374262433268</v>
      </c>
      <c r="N55" s="142" t="n">
        <f aca="false">IFERROR(IF(OR(NOT(ISNUMBER('Price History'!N56)),NOT(ISNUMBER('Price History'!N55)),'Price History'!N55=0),"",'Price History'!N56/'Price History'!N55-1),"")</f>
        <v>0.0132657042528288</v>
      </c>
      <c r="O55" s="142" t="n">
        <f aca="false">IFERROR(IF(OR(NOT(ISNUMBER('Price History'!O56)),NOT(ISNUMBER('Price History'!O55)),'Price History'!O55=0),"",'Price History'!O56/'Price History'!O55-1),"")</f>
        <v>0.0162081954114828</v>
      </c>
      <c r="P55" s="142" t="n">
        <f aca="false">IFERROR(IF(OR(NOT(ISNUMBER('Price History'!P56)),NOT(ISNUMBER('Price History'!P55)),'Price History'!P55=0),"",'Price History'!P56/'Price History'!P55-1),"")</f>
        <v>0.00920755613639046</v>
      </c>
      <c r="Q55" s="142" t="n">
        <f aca="false">IFERROR(IF(OR(NOT(ISNUMBER('Price History'!Q56)),NOT(ISNUMBER('Price History'!Q55)),'Price History'!Q55=0),"",'Price History'!Q56/'Price History'!Q55-1),"")</f>
        <v>-0.00897272855729814</v>
      </c>
      <c r="R55" s="142" t="n">
        <f aca="false">IFERROR(IF(OR(NOT(ISNUMBER('Price History'!R56)),NOT(ISNUMBER('Price History'!R55)),'Price History'!R55=0),"",'Price History'!R56/'Price History'!R55-1),"")</f>
        <v>0.0421134724117762</v>
      </c>
      <c r="S55" s="142" t="n">
        <f aca="false">IFERROR(IF(OR(NOT(ISNUMBER('Price History'!S56)),NOT(ISNUMBER('Price History'!S55)),'Price History'!S55=0),"",'Price History'!S56/'Price History'!S55-1),"")</f>
        <v>0.0570437694331498</v>
      </c>
      <c r="T55" s="142" t="n">
        <f aca="false">IFERROR(IF(OR(NOT(ISNUMBER('Price History'!T56)),NOT(ISNUMBER('Price History'!T55)),'Price History'!T55=0),"",'Price History'!T56/'Price History'!T55-1),"")</f>
        <v>0.0161750713606088</v>
      </c>
      <c r="U55" s="142" t="str">
        <f aca="false">IFERROR(IF(OR(NOT(ISNUMBER('Price History'!U56)),NOT(ISNUMBER('Price History'!U55)),'Price History'!U55=0),"",'Price History'!U56/'Price History'!U55-1),"")</f>
        <v/>
      </c>
      <c r="V55" s="143" t="n">
        <f aca="false">IFERROR(IF(OR(NOT(ISNUMBER('Price History'!V56)),NOT(ISNUMBER('Price History'!V55)),'Price History'!V55=0),"",'Price History'!V56/'Price History'!V55-1),"")</f>
        <v>0.0293474013286441</v>
      </c>
      <c r="W55" s="144" t="str">
        <f aca="false">IFERROR('Price History'!B3+(INDEX('Price History'!B:B,MATCH(9.99E+307,'Price History'!$A:$A))-'Price History'!B3)*(ROW()-3)/(MATCH(9.99E+307,'Returns (Calc)'!$A:$A)-3),"")</f>
        <v/>
      </c>
      <c r="X55" s="144" t="n">
        <f aca="false">IFERROR('Price History'!C3+(INDEX('Price History'!C:C,MATCH(9.99E+307,'Price History'!$A:$A))-'Price History'!C3)*(ROW()-3)/(MATCH(9.99E+307,'Returns (Calc)'!$A:$A)-3),"")</f>
        <v>30.9815189873418</v>
      </c>
      <c r="Y55" s="144" t="n">
        <f aca="false">IFERROR('Price History'!D3+(INDEX('Price History'!D:D,MATCH(9.99E+307,'Price History'!$A:$A))-'Price History'!D3)*(ROW()-3)/(MATCH(9.99E+307,'Returns (Calc)'!$A:$A)-3),"")</f>
        <v>390.462405063291</v>
      </c>
      <c r="Z55" s="144" t="n">
        <f aca="false">IFERROR('Price History'!E3+(INDEX('Price History'!E:E,MATCH(9.99E+307,'Price History'!$A:$A))-'Price History'!E3)*(ROW()-3)/(MATCH(9.99E+307,'Returns (Calc)'!$A:$A)-3),"")</f>
        <v>55.0126582278481</v>
      </c>
      <c r="AA55" s="144" t="n">
        <f aca="false">IFERROR('Price History'!F3+(INDEX('Price History'!F:F,MATCH(9.99E+307,'Price History'!$A:$A))-'Price History'!F3)*(ROW()-3)/(MATCH(9.99E+307,'Returns (Calc)'!$A:$A)-3),"")</f>
        <v>50.5244303797468</v>
      </c>
      <c r="AB55" s="144" t="n">
        <f aca="false">IFERROR('Price History'!G3+(INDEX('Price History'!G:G,MATCH(9.99E+307,'Price History'!$A:$A))-'Price History'!G3)*(ROW()-3)/(MATCH(9.99E+307,'Returns (Calc)'!$A:$A)-3),"")</f>
        <v>27.7478481012658</v>
      </c>
      <c r="AC55" s="144" t="n">
        <f aca="false">IFERROR('Price History'!H3+(INDEX('Price History'!H:H,MATCH(9.99E+307,'Price History'!$A:$A))-'Price History'!H3)*(ROW()-3)/(MATCH(9.99E+307,'Returns (Calc)'!$A:$A)-3),"")</f>
        <v>67.4844303797468</v>
      </c>
      <c r="AD55" s="144" t="n">
        <f aca="false">IFERROR('Price History'!I3+(INDEX('Price History'!I:I,MATCH(9.99E+307,'Price History'!$A:$A))-'Price History'!I3)*(ROW()-3)/(MATCH(9.99E+307,'Returns (Calc)'!$A:$A)-3),"")</f>
        <v>29.7537974683544</v>
      </c>
      <c r="AE55" s="144" t="n">
        <f aca="false">IFERROR('Price History'!J3+(INDEX('Price History'!J:J,MATCH(9.99E+307,'Price History'!$A:$A))-'Price History'!J3)*(ROW()-3)/(MATCH(9.99E+307,'Returns (Calc)'!$A:$A)-3),"")</f>
        <v>46.3649367088608</v>
      </c>
      <c r="AF55" s="144" t="n">
        <f aca="false">IFERROR('Price History'!K3+(INDEX('Price History'!K:K,MATCH(9.99E+307,'Price History'!$A:$A))-'Price History'!K3)*(ROW()-3)/(MATCH(9.99E+307,'Returns (Calc)'!$A:$A)-3),"")</f>
        <v>29.3646835443038</v>
      </c>
      <c r="AG55" s="144" t="n">
        <f aca="false">IFERROR('Price History'!L3+(INDEX('Price History'!L:L,MATCH(9.99E+307,'Price History'!$A:$A))-'Price History'!L3)*(ROW()-3)/(MATCH(9.99E+307,'Returns (Calc)'!$A:$A)-3),"")</f>
        <v>75.0318987341772</v>
      </c>
      <c r="AH55" s="144" t="n">
        <f aca="false">IFERROR('Price History'!M3+(INDEX('Price History'!M:M,MATCH(9.99E+307,'Price History'!$A:$A))-'Price History'!M3)*(ROW()-3)/(MATCH(9.99E+307,'Returns (Calc)'!$A:$A)-3),"")</f>
        <v>10.2846835443038</v>
      </c>
      <c r="AI55" s="144" t="n">
        <f aca="false">IFERROR('Price History'!N3+(INDEX('Price History'!N:N,MATCH(9.99E+307,'Price History'!$A:$A))-'Price History'!N3)*(ROW()-3)/(MATCH(9.99E+307,'Returns (Calc)'!$A:$A)-3),"")</f>
        <v>14.6253164556962</v>
      </c>
      <c r="AJ55" s="144" t="n">
        <f aca="false">IFERROR('Price History'!O3+(INDEX('Price History'!O:O,MATCH(9.99E+307,'Price History'!$A:$A))-'Price History'!O3)*(ROW()-3)/(MATCH(9.99E+307,'Returns (Calc)'!$A:$A)-3),"")</f>
        <v>38.663164556962</v>
      </c>
      <c r="AK55" s="144" t="n">
        <f aca="false">IFERROR('Price History'!Q3+(INDEX('Price History'!Q:Q,MATCH(9.99E+307,'Price History'!$A:$A))-'Price History'!Q3)*(ROW()-3)/(MATCH(9.99E+307,'Returns (Calc)'!$A:$A)-3),"")</f>
        <v>158.080886075949</v>
      </c>
      <c r="AL55" s="144" t="n">
        <f aca="false">IFERROR('Price History'!R3+(INDEX('Price History'!R:R,MATCH(9.99E+307,'Price History'!$A:$A))-'Price History'!R3)*(ROW()-3)/(MATCH(9.99E+307,'Returns (Calc)'!$A:$A)-3),"")</f>
        <v>32.0817721518987</v>
      </c>
      <c r="AM55" s="144" t="n">
        <f aca="false">IFERROR('Price History'!S3+(INDEX('Price History'!S:S,MATCH(9.99E+307,'Price History'!$A:$A))-'Price History'!S3)*(ROW()-3)/(MATCH(9.99E+307,'Returns (Calc)'!$A:$A)-3),"")</f>
        <v>39.273670886076</v>
      </c>
      <c r="AN55" s="144" t="n">
        <f aca="false">IFERROR('Price History'!T3+(INDEX('Price History'!T:T,MATCH(9.99E+307,'Price History'!$A:$A))-'Price History'!T3)*(ROW()-3)/(MATCH(9.99E+307,'Returns (Calc)'!$A:$A)-3),"")</f>
        <v>18.0535443037975</v>
      </c>
      <c r="AO55" s="145" t="n">
        <f aca="false">IFERROR('Price History'!V3+(INDEX('Price History'!V:V,MATCH(9.99E+307,'Price History'!$A:$A))-'Price History'!V3)*(ROW()-3)/(MATCH(9.99E+307,'Returns (Calc)'!$A:$A)-3),"")</f>
        <v>0</v>
      </c>
    </row>
    <row r="56" customFormat="false" ht="15" hidden="false" customHeight="true" outlineLevel="0" collapsed="false">
      <c r="A56" s="141" t="n">
        <f aca="false">IF('Price History'!A57="","",'Price History'!A57)</f>
        <v>45562</v>
      </c>
      <c r="B56" s="142" t="n">
        <f aca="false">IFERROR(IF(OR(NOT(ISNUMBER('Price History'!B57)),NOT(ISNUMBER('Price History'!B56)),'Price History'!B56=0),"",'Price History'!B57/'Price History'!B56-1),"")</f>
        <v>-0.0130576297147232</v>
      </c>
      <c r="C56" s="142" t="n">
        <f aca="false">IFERROR(IF(OR(NOT(ISNUMBER('Price History'!C57)),NOT(ISNUMBER('Price History'!C56)),'Price History'!C56=0),"",'Price History'!C57/'Price History'!C56-1),"")</f>
        <v>-0.0108209343460619</v>
      </c>
      <c r="D56" s="142" t="n">
        <f aca="false">IFERROR(IF(OR(NOT(ISNUMBER('Price History'!D57)),NOT(ISNUMBER('Price History'!D56)),'Price History'!D56=0),"",'Price History'!D57/'Price History'!D56-1),"")</f>
        <v>0.0581714972448444</v>
      </c>
      <c r="E56" s="142" t="n">
        <f aca="false">IFERROR(IF(OR(NOT(ISNUMBER('Price History'!E57)),NOT(ISNUMBER('Price History'!E56)),'Price History'!E56=0),"",'Price History'!E57/'Price History'!E56-1),"")</f>
        <v>0.00927522444854034</v>
      </c>
      <c r="F56" s="142" t="n">
        <f aca="false">IFERROR(IF(OR(NOT(ISNUMBER('Price History'!F57)),NOT(ISNUMBER('Price History'!F56)),'Price History'!F56=0),"",'Price History'!F57/'Price History'!F56-1),"")</f>
        <v>0.000431778929188331</v>
      </c>
      <c r="G56" s="142" t="n">
        <f aca="false">IFERROR(IF(OR(NOT(ISNUMBER('Price History'!G57)),NOT(ISNUMBER('Price History'!G56)),'Price History'!G56=0),"",'Price History'!G57/'Price History'!G56-1),"")</f>
        <v>-0.0466915688367129</v>
      </c>
      <c r="H56" s="142" t="n">
        <f aca="false">IFERROR(IF(OR(NOT(ISNUMBER('Price History'!H57)),NOT(ISNUMBER('Price History'!H56)),'Price History'!H56=0),"",'Price History'!H57/'Price History'!H56-1),"")</f>
        <v>0.00770651039576142</v>
      </c>
      <c r="I56" s="142" t="n">
        <f aca="false">IFERROR(IF(OR(NOT(ISNUMBER('Price History'!I57)),NOT(ISNUMBER('Price History'!I56)),'Price History'!I56=0),"",'Price History'!I57/'Price History'!I56-1),"")</f>
        <v>0.0310326377742107</v>
      </c>
      <c r="J56" s="142" t="n">
        <f aca="false">IFERROR(IF(OR(NOT(ISNUMBER('Price History'!J57)),NOT(ISNUMBER('Price History'!J56)),'Price History'!J56=0),"",'Price History'!J57/'Price History'!J56-1),"")</f>
        <v>0.182663566921289</v>
      </c>
      <c r="K56" s="142" t="n">
        <f aca="false">IFERROR(IF(OR(NOT(ISNUMBER('Price History'!K57)),NOT(ISNUMBER('Price History'!K56)),'Price History'!K56=0),"",'Price History'!K57/'Price History'!K56-1),"")</f>
        <v>0.0465900250669893</v>
      </c>
      <c r="L56" s="142" t="n">
        <f aca="false">IFERROR(IF(OR(NOT(ISNUMBER('Price History'!L57)),NOT(ISNUMBER('Price History'!L56)),'Price History'!L56=0),"",'Price History'!L57/'Price History'!L56-1),"")</f>
        <v>0.000937286980231766</v>
      </c>
      <c r="M56" s="142" t="n">
        <f aca="false">IFERROR(IF(OR(NOT(ISNUMBER('Price History'!M57)),NOT(ISNUMBER('Price History'!M56)),'Price History'!M56=0),"",'Price History'!M57/'Price History'!M56-1),"")</f>
        <v>-0.00967741935483868</v>
      </c>
      <c r="N56" s="142" t="n">
        <f aca="false">IFERROR(IF(OR(NOT(ISNUMBER('Price History'!N57)),NOT(ISNUMBER('Price History'!N56)),'Price History'!N56=0),"",'Price History'!N57/'Price History'!N56-1),"")</f>
        <v>0.00616095494801705</v>
      </c>
      <c r="O56" s="142" t="n">
        <f aca="false">IFERROR(IF(OR(NOT(ISNUMBER('Price History'!O57)),NOT(ISNUMBER('Price History'!O56)),'Price History'!O56=0),"",'Price History'!O57/'Price History'!O56-1),"")</f>
        <v>-0.00134786027181855</v>
      </c>
      <c r="P56" s="142" t="n">
        <f aca="false">IFERROR(IF(OR(NOT(ISNUMBER('Price History'!P57)),NOT(ISNUMBER('Price History'!P56)),'Price History'!P56=0),"",'Price History'!P57/'Price History'!P56-1),"")</f>
        <v>0.0223085525928544</v>
      </c>
      <c r="Q56" s="142" t="n">
        <f aca="false">IFERROR(IF(OR(NOT(ISNUMBER('Price History'!Q57)),NOT(ISNUMBER('Price History'!Q56)),'Price History'!Q56=0),"",'Price History'!Q57/'Price History'!Q56-1),"")</f>
        <v>-0.0337206815427391</v>
      </c>
      <c r="R56" s="142" t="n">
        <f aca="false">IFERROR(IF(OR(NOT(ISNUMBER('Price History'!R57)),NOT(ISNUMBER('Price History'!R56)),'Price History'!R56=0),"",'Price History'!R57/'Price History'!R56-1),"")</f>
        <v>0.00841908325537877</v>
      </c>
      <c r="S56" s="142" t="n">
        <f aca="false">IFERROR(IF(OR(NOT(ISNUMBER('Price History'!S57)),NOT(ISNUMBER('Price History'!S56)),'Price History'!S56=0),"",'Price History'!S57/'Price History'!S56-1),"")</f>
        <v>0.0138024663423464</v>
      </c>
      <c r="T56" s="142" t="n">
        <f aca="false">IFERROR(IF(OR(NOT(ISNUMBER('Price History'!T57)),NOT(ISNUMBER('Price History'!T56)),'Price History'!T56=0),"",'Price History'!T57/'Price History'!T56-1),"")</f>
        <v>0.0327715355805245</v>
      </c>
      <c r="U56" s="142" t="str">
        <f aca="false">IFERROR(IF(OR(NOT(ISNUMBER('Price History'!U57)),NOT(ISNUMBER('Price History'!U56)),'Price History'!U56=0),"",'Price History'!U57/'Price History'!U56-1),"")</f>
        <v/>
      </c>
      <c r="V56" s="143" t="n">
        <f aca="false">IFERROR(IF(OR(NOT(ISNUMBER('Price History'!V57)),NOT(ISNUMBER('Price History'!V56)),'Price History'!V56=0),"",'Price History'!V57/'Price History'!V56-1),"")</f>
        <v>0.000227781785050007</v>
      </c>
      <c r="W56" s="144" t="str">
        <f aca="false">IFERROR('Price History'!B3+(INDEX('Price History'!B:B,MATCH(9.99E+307,'Price History'!$A:$A))-'Price History'!B3)*(ROW()-3)/(MATCH(9.99E+307,'Returns (Calc)'!$A:$A)-3),"")</f>
        <v/>
      </c>
      <c r="X56" s="144" t="n">
        <f aca="false">IFERROR('Price History'!C3+(INDEX('Price History'!C:C,MATCH(9.99E+307,'Price History'!$A:$A))-'Price History'!C3)*(ROW()-3)/(MATCH(9.99E+307,'Returns (Calc)'!$A:$A)-3),"")</f>
        <v>30.6892405063291</v>
      </c>
      <c r="Y56" s="144" t="n">
        <f aca="false">IFERROR('Price History'!D3+(INDEX('Price History'!D:D,MATCH(9.99E+307,'Price History'!$A:$A))-'Price History'!D3)*(ROW()-3)/(MATCH(9.99E+307,'Returns (Calc)'!$A:$A)-3),"")</f>
        <v>386.778797468354</v>
      </c>
      <c r="Z56" s="144" t="n">
        <f aca="false">IFERROR('Price History'!E3+(INDEX('Price History'!E:E,MATCH(9.99E+307,'Price History'!$A:$A))-'Price History'!E3)*(ROW()-3)/(MATCH(9.99E+307,'Returns (Calc)'!$A:$A)-3),"")</f>
        <v>54.493670886076</v>
      </c>
      <c r="AA56" s="144" t="n">
        <f aca="false">IFERROR('Price History'!F3+(INDEX('Price History'!F:F,MATCH(9.99E+307,'Price History'!$A:$A))-'Price History'!F3)*(ROW()-3)/(MATCH(9.99E+307,'Returns (Calc)'!$A:$A)-3),"")</f>
        <v>50.0477848101266</v>
      </c>
      <c r="AB56" s="144" t="n">
        <f aca="false">IFERROR('Price History'!G3+(INDEX('Price History'!G:G,MATCH(9.99E+307,'Price History'!$A:$A))-'Price History'!G3)*(ROW()-3)/(MATCH(9.99E+307,'Returns (Calc)'!$A:$A)-3),"")</f>
        <v>27.4860759493671</v>
      </c>
      <c r="AC56" s="144" t="n">
        <f aca="false">IFERROR('Price History'!H3+(INDEX('Price History'!H:H,MATCH(9.99E+307,'Price History'!$A:$A))-'Price History'!H3)*(ROW()-3)/(MATCH(9.99E+307,'Returns (Calc)'!$A:$A)-3),"")</f>
        <v>66.8477848101266</v>
      </c>
      <c r="AD56" s="144" t="n">
        <f aca="false">IFERROR('Price History'!I3+(INDEX('Price History'!I:I,MATCH(9.99E+307,'Price History'!$A:$A))-'Price History'!I3)*(ROW()-3)/(MATCH(9.99E+307,'Returns (Calc)'!$A:$A)-3),"")</f>
        <v>29.4731012658228</v>
      </c>
      <c r="AE56" s="144" t="n">
        <f aca="false">IFERROR('Price History'!J3+(INDEX('Price History'!J:J,MATCH(9.99E+307,'Price History'!$A:$A))-'Price History'!J3)*(ROW()-3)/(MATCH(9.99E+307,'Returns (Calc)'!$A:$A)-3),"")</f>
        <v>45.9275316455696</v>
      </c>
      <c r="AF56" s="144" t="n">
        <f aca="false">IFERROR('Price History'!K3+(INDEX('Price History'!K:K,MATCH(9.99E+307,'Price History'!$A:$A))-'Price History'!K3)*(ROW()-3)/(MATCH(9.99E+307,'Returns (Calc)'!$A:$A)-3),"")</f>
        <v>29.0876582278481</v>
      </c>
      <c r="AG56" s="144" t="n">
        <f aca="false">IFERROR('Price History'!L3+(INDEX('Price History'!L:L,MATCH(9.99E+307,'Price History'!$A:$A))-'Price History'!L3)*(ROW()-3)/(MATCH(9.99E+307,'Returns (Calc)'!$A:$A)-3),"")</f>
        <v>74.3240506329114</v>
      </c>
      <c r="AH56" s="144" t="n">
        <f aca="false">IFERROR('Price History'!M3+(INDEX('Price History'!M:M,MATCH(9.99E+307,'Price History'!$A:$A))-'Price History'!M3)*(ROW()-3)/(MATCH(9.99E+307,'Returns (Calc)'!$A:$A)-3),"")</f>
        <v>10.1876582278481</v>
      </c>
      <c r="AI56" s="144" t="n">
        <f aca="false">IFERROR('Price History'!N3+(INDEX('Price History'!N:N,MATCH(9.99E+307,'Price History'!$A:$A))-'Price History'!N3)*(ROW()-3)/(MATCH(9.99E+307,'Returns (Calc)'!$A:$A)-3),"")</f>
        <v>14.4873417721519</v>
      </c>
      <c r="AJ56" s="144" t="n">
        <f aca="false">IFERROR('Price History'!O3+(INDEX('Price History'!O:O,MATCH(9.99E+307,'Price History'!$A:$A))-'Price History'!O3)*(ROW()-3)/(MATCH(9.99E+307,'Returns (Calc)'!$A:$A)-3),"")</f>
        <v>38.298417721519</v>
      </c>
      <c r="AK56" s="144" t="n">
        <f aca="false">IFERROR('Price History'!Q3+(INDEX('Price History'!Q:Q,MATCH(9.99E+307,'Price History'!$A:$A))-'Price History'!Q3)*(ROW()-3)/(MATCH(9.99E+307,'Returns (Calc)'!$A:$A)-3),"")</f>
        <v>156.589556962025</v>
      </c>
      <c r="AL56" s="144" t="n">
        <f aca="false">IFERROR('Price History'!R3+(INDEX('Price History'!R:R,MATCH(9.99E+307,'Price History'!$A:$A))-'Price History'!R3)*(ROW()-3)/(MATCH(9.99E+307,'Returns (Calc)'!$A:$A)-3),"")</f>
        <v>31.7791139240506</v>
      </c>
      <c r="AM56" s="144" t="n">
        <f aca="false">IFERROR('Price History'!S3+(INDEX('Price History'!S:S,MATCH(9.99E+307,'Price History'!$A:$A))-'Price History'!S3)*(ROW()-3)/(MATCH(9.99E+307,'Returns (Calc)'!$A:$A)-3),"")</f>
        <v>38.903164556962</v>
      </c>
      <c r="AN56" s="144" t="n">
        <f aca="false">IFERROR('Price History'!T3+(INDEX('Price History'!T:T,MATCH(9.99E+307,'Price History'!$A:$A))-'Price History'!T3)*(ROW()-3)/(MATCH(9.99E+307,'Returns (Calc)'!$A:$A)-3),"")</f>
        <v>17.8832278481013</v>
      </c>
      <c r="AO56" s="145" t="n">
        <f aca="false">IFERROR('Price History'!V3+(INDEX('Price History'!V:V,MATCH(9.99E+307,'Price History'!$A:$A))-'Price History'!V3)*(ROW()-3)/(MATCH(9.99E+307,'Returns (Calc)'!$A:$A)-3),"")</f>
        <v>0</v>
      </c>
    </row>
    <row r="57" customFormat="false" ht="15" hidden="false" customHeight="true" outlineLevel="0" collapsed="false">
      <c r="A57" s="141" t="n">
        <f aca="false">IF('Price History'!A58="","",'Price History'!A58)</f>
        <v>45569</v>
      </c>
      <c r="B57" s="142" t="n">
        <f aca="false">IFERROR(IF(OR(NOT(ISNUMBER('Price History'!B58)),NOT(ISNUMBER('Price History'!B57)),'Price History'!B57=0),"",'Price History'!B58/'Price History'!B57-1),"")</f>
        <v>-0.0160239000543183</v>
      </c>
      <c r="C57" s="142" t="n">
        <f aca="false">IFERROR(IF(OR(NOT(ISNUMBER('Price History'!C58)),NOT(ISNUMBER('Price History'!C57)),'Price History'!C57=0),"",'Price History'!C58/'Price History'!C57-1),"")</f>
        <v>0.0412327758493742</v>
      </c>
      <c r="D57" s="142" t="n">
        <f aca="false">IFERROR(IF(OR(NOT(ISNUMBER('Price History'!D58)),NOT(ISNUMBER('Price History'!D57)),'Price History'!D57=0),"",'Price History'!D58/'Price History'!D57-1),"")</f>
        <v>-0.0101489724165428</v>
      </c>
      <c r="E57" s="142" t="n">
        <f aca="false">IFERROR(IF(OR(NOT(ISNUMBER('Price History'!E58)),NOT(ISNUMBER('Price History'!E57)),'Price History'!E57=0),"",'Price History'!E58/'Price History'!E57-1),"")</f>
        <v>0.0228571428571429</v>
      </c>
      <c r="F57" s="142" t="n">
        <f aca="false">IFERROR(IF(OR(NOT(ISNUMBER('Price History'!F58)),NOT(ISNUMBER('Price History'!F57)),'Price History'!F57=0),"",'Price History'!F58/'Price History'!F57-1),"")</f>
        <v>0.00280535174794982</v>
      </c>
      <c r="G57" s="142" t="n">
        <f aca="false">IFERROR(IF(OR(NOT(ISNUMBER('Price History'!G58)),NOT(ISNUMBER('Price History'!G57)),'Price History'!G57=0),"",'Price History'!G58/'Price History'!G57-1),"")</f>
        <v>0.0223901483347329</v>
      </c>
      <c r="H57" s="142" t="n">
        <f aca="false">IFERROR(IF(OR(NOT(ISNUMBER('Price History'!H58)),NOT(ISNUMBER('Price History'!H57)),'Price History'!H57=0),"",'Price History'!H58/'Price History'!H57-1),"")</f>
        <v>-0.00398311160678722</v>
      </c>
      <c r="I57" s="142" t="n">
        <f aca="false">IFERROR(IF(OR(NOT(ISNUMBER('Price History'!I58)),NOT(ISNUMBER('Price History'!I57)),'Price History'!I57=0),"",'Price History'!I58/'Price History'!I57-1),"")</f>
        <v>0.0063570316554229</v>
      </c>
      <c r="J57" s="142" t="n">
        <f aca="false">IFERROR(IF(OR(NOT(ISNUMBER('Price History'!J58)),NOT(ISNUMBER('Price History'!J57)),'Price History'!J57=0),"",'Price History'!J58/'Price History'!J57-1),"")</f>
        <v>-0.0488626790227464</v>
      </c>
      <c r="K57" s="142" t="n">
        <f aca="false">IFERROR(IF(OR(NOT(ISNUMBER('Price History'!K58)),NOT(ISNUMBER('Price History'!K57)),'Price History'!K57=0),"",'Price History'!K58/'Price History'!K57-1),"")</f>
        <v>0.0289890981169476</v>
      </c>
      <c r="L57" s="142" t="n">
        <f aca="false">IFERROR(IF(OR(NOT(ISNUMBER('Price History'!L58)),NOT(ISNUMBER('Price History'!L57)),'Price History'!L57=0),"",'Price History'!L58/'Price History'!L57-1),"")</f>
        <v>-0.0251979228739252</v>
      </c>
      <c r="M57" s="142" t="n">
        <f aca="false">IFERROR(IF(OR(NOT(ISNUMBER('Price History'!M58)),NOT(ISNUMBER('Price History'!M57)),'Price History'!M57=0),"",'Price History'!M58/'Price History'!M57-1),"")</f>
        <v>0.0860477741585233</v>
      </c>
      <c r="N57" s="142" t="n">
        <f aca="false">IFERROR(IF(OR(NOT(ISNUMBER('Price History'!N58)),NOT(ISNUMBER('Price History'!N57)),'Price History'!N57=0),"",'Price History'!N58/'Price History'!N57-1),"")</f>
        <v>0.00497512437810954</v>
      </c>
      <c r="O57" s="142" t="n">
        <f aca="false">IFERROR(IF(OR(NOT(ISNUMBER('Price History'!O58)),NOT(ISNUMBER('Price History'!O57)),'Price History'!O57=0),"",'Price History'!O58/'Price History'!O57-1),"")</f>
        <v>0.014958947250028</v>
      </c>
      <c r="P57" s="142" t="n">
        <f aca="false">IFERROR(IF(OR(NOT(ISNUMBER('Price History'!P58)),NOT(ISNUMBER('Price History'!P57)),'Price History'!P57=0),"",'Price History'!P58/'Price History'!P57-1),"")</f>
        <v>0.0179640718562875</v>
      </c>
      <c r="Q57" s="142" t="n">
        <f aca="false">IFERROR(IF(OR(NOT(ISNUMBER('Price History'!Q58)),NOT(ISNUMBER('Price History'!Q57)),'Price History'!Q57=0),"",'Price History'!Q58/'Price History'!Q57-1),"")</f>
        <v>0.010033938320791</v>
      </c>
      <c r="R57" s="142" t="n">
        <f aca="false">IFERROR(IF(OR(NOT(ISNUMBER('Price History'!R58)),NOT(ISNUMBER('Price History'!R57)),'Price History'!R57=0),"",'Price History'!R58/'Price History'!R57-1),"")</f>
        <v>0.00333951762523199</v>
      </c>
      <c r="S57" s="142" t="n">
        <f aca="false">IFERROR(IF(OR(NOT(ISNUMBER('Price History'!S58)),NOT(ISNUMBER('Price History'!S57)),'Price History'!S57=0),"",'Price History'!S58/'Price History'!S57-1),"")</f>
        <v>-0.00401740877134249</v>
      </c>
      <c r="T57" s="142" t="n">
        <f aca="false">IFERROR(IF(OR(NOT(ISNUMBER('Price History'!T58)),NOT(ISNUMBER('Price History'!T57)),'Price History'!T57=0),"",'Price History'!T58/'Price History'!T57-1),"")</f>
        <v>0.00332426715019651</v>
      </c>
      <c r="U57" s="142" t="str">
        <f aca="false">IFERROR(IF(OR(NOT(ISNUMBER('Price History'!U58)),NOT(ISNUMBER('Price History'!U57)),'Price History'!U57=0),"",'Price History'!U58/'Price History'!U57-1),"")</f>
        <v/>
      </c>
      <c r="V57" s="143" t="n">
        <f aca="false">IFERROR(IF(OR(NOT(ISNUMBER('Price History'!V58)),NOT(ISNUMBER('Price History'!V57)),'Price History'!V57=0),"",'Price History'!V58/'Price History'!V57-1),"")</f>
        <v>0.0334003871408508</v>
      </c>
      <c r="W57" s="144" t="str">
        <f aca="false">IFERROR('Price History'!B3+(INDEX('Price History'!B:B,MATCH(9.99E+307,'Price History'!$A:$A))-'Price History'!B3)*(ROW()-3)/(MATCH(9.99E+307,'Returns (Calc)'!$A:$A)-3),"")</f>
        <v/>
      </c>
      <c r="X57" s="144" t="n">
        <f aca="false">IFERROR('Price History'!C3+(INDEX('Price History'!C:C,MATCH(9.99E+307,'Price History'!$A:$A))-'Price History'!C3)*(ROW()-3)/(MATCH(9.99E+307,'Returns (Calc)'!$A:$A)-3),"")</f>
        <v>30.3969620253165</v>
      </c>
      <c r="Y57" s="144" t="n">
        <f aca="false">IFERROR('Price History'!D3+(INDEX('Price History'!D:D,MATCH(9.99E+307,'Price History'!$A:$A))-'Price History'!D3)*(ROW()-3)/(MATCH(9.99E+307,'Returns (Calc)'!$A:$A)-3),"")</f>
        <v>383.095189873418</v>
      </c>
      <c r="Z57" s="144" t="n">
        <f aca="false">IFERROR('Price History'!E3+(INDEX('Price History'!E:E,MATCH(9.99E+307,'Price History'!$A:$A))-'Price History'!E3)*(ROW()-3)/(MATCH(9.99E+307,'Returns (Calc)'!$A:$A)-3),"")</f>
        <v>53.9746835443038</v>
      </c>
      <c r="AA57" s="144" t="n">
        <f aca="false">IFERROR('Price History'!F3+(INDEX('Price History'!F:F,MATCH(9.99E+307,'Price History'!$A:$A))-'Price History'!F3)*(ROW()-3)/(MATCH(9.99E+307,'Returns (Calc)'!$A:$A)-3),"")</f>
        <v>49.5711392405063</v>
      </c>
      <c r="AB57" s="144" t="n">
        <f aca="false">IFERROR('Price History'!G3+(INDEX('Price History'!G:G,MATCH(9.99E+307,'Price History'!$A:$A))-'Price History'!G3)*(ROW()-3)/(MATCH(9.99E+307,'Returns (Calc)'!$A:$A)-3),"")</f>
        <v>27.2243037974684</v>
      </c>
      <c r="AC57" s="144" t="n">
        <f aca="false">IFERROR('Price History'!H3+(INDEX('Price History'!H:H,MATCH(9.99E+307,'Price History'!$A:$A))-'Price History'!H3)*(ROW()-3)/(MATCH(9.99E+307,'Returns (Calc)'!$A:$A)-3),"")</f>
        <v>66.2111392405063</v>
      </c>
      <c r="AD57" s="144" t="n">
        <f aca="false">IFERROR('Price History'!I3+(INDEX('Price History'!I:I,MATCH(9.99E+307,'Price History'!$A:$A))-'Price History'!I3)*(ROW()-3)/(MATCH(9.99E+307,'Returns (Calc)'!$A:$A)-3),"")</f>
        <v>29.1924050632911</v>
      </c>
      <c r="AE57" s="144" t="n">
        <f aca="false">IFERROR('Price History'!J3+(INDEX('Price History'!J:J,MATCH(9.99E+307,'Price History'!$A:$A))-'Price History'!J3)*(ROW()-3)/(MATCH(9.99E+307,'Returns (Calc)'!$A:$A)-3),"")</f>
        <v>45.4901265822785</v>
      </c>
      <c r="AF57" s="144" t="n">
        <f aca="false">IFERROR('Price History'!K3+(INDEX('Price History'!K:K,MATCH(9.99E+307,'Price History'!$A:$A))-'Price History'!K3)*(ROW()-3)/(MATCH(9.99E+307,'Returns (Calc)'!$A:$A)-3),"")</f>
        <v>28.8106329113924</v>
      </c>
      <c r="AG57" s="144" t="n">
        <f aca="false">IFERROR('Price History'!L3+(INDEX('Price History'!L:L,MATCH(9.99E+307,'Price History'!$A:$A))-'Price History'!L3)*(ROW()-3)/(MATCH(9.99E+307,'Returns (Calc)'!$A:$A)-3),"")</f>
        <v>73.6162025316456</v>
      </c>
      <c r="AH57" s="144" t="n">
        <f aca="false">IFERROR('Price History'!M3+(INDEX('Price History'!M:M,MATCH(9.99E+307,'Price History'!$A:$A))-'Price History'!M3)*(ROW()-3)/(MATCH(9.99E+307,'Returns (Calc)'!$A:$A)-3),"")</f>
        <v>10.0906329113924</v>
      </c>
      <c r="AI57" s="144" t="n">
        <f aca="false">IFERROR('Price History'!N3+(INDEX('Price History'!N:N,MATCH(9.99E+307,'Price History'!$A:$A))-'Price History'!N3)*(ROW()-3)/(MATCH(9.99E+307,'Returns (Calc)'!$A:$A)-3),"")</f>
        <v>14.3493670886076</v>
      </c>
      <c r="AJ57" s="144" t="n">
        <f aca="false">IFERROR('Price History'!O3+(INDEX('Price History'!O:O,MATCH(9.99E+307,'Price History'!$A:$A))-'Price History'!O3)*(ROW()-3)/(MATCH(9.99E+307,'Returns (Calc)'!$A:$A)-3),"")</f>
        <v>37.933670886076</v>
      </c>
      <c r="AK57" s="144" t="n">
        <f aca="false">IFERROR('Price History'!Q3+(INDEX('Price History'!Q:Q,MATCH(9.99E+307,'Price History'!$A:$A))-'Price History'!Q3)*(ROW()-3)/(MATCH(9.99E+307,'Returns (Calc)'!$A:$A)-3),"")</f>
        <v>155.098227848101</v>
      </c>
      <c r="AL57" s="144" t="n">
        <f aca="false">IFERROR('Price History'!R3+(INDEX('Price History'!R:R,MATCH(9.99E+307,'Price History'!$A:$A))-'Price History'!R3)*(ROW()-3)/(MATCH(9.99E+307,'Returns (Calc)'!$A:$A)-3),"")</f>
        <v>31.4764556962025</v>
      </c>
      <c r="AM57" s="144" t="n">
        <f aca="false">IFERROR('Price History'!S3+(INDEX('Price History'!S:S,MATCH(9.99E+307,'Price History'!$A:$A))-'Price History'!S3)*(ROW()-3)/(MATCH(9.99E+307,'Returns (Calc)'!$A:$A)-3),"")</f>
        <v>38.5326582278481</v>
      </c>
      <c r="AN57" s="144" t="n">
        <f aca="false">IFERROR('Price History'!T3+(INDEX('Price History'!T:T,MATCH(9.99E+307,'Price History'!$A:$A))-'Price History'!T3)*(ROW()-3)/(MATCH(9.99E+307,'Returns (Calc)'!$A:$A)-3),"")</f>
        <v>17.7129113924051</v>
      </c>
      <c r="AO57" s="145" t="n">
        <f aca="false">IFERROR('Price History'!V3+(INDEX('Price History'!V:V,MATCH(9.99E+307,'Price History'!$A:$A))-'Price History'!V3)*(ROW()-3)/(MATCH(9.99E+307,'Returns (Calc)'!$A:$A)-3),"")</f>
        <v>0</v>
      </c>
    </row>
    <row r="58" customFormat="false" ht="15" hidden="false" customHeight="true" outlineLevel="0" collapsed="false">
      <c r="A58" s="141" t="n">
        <f aca="false">IF('Price History'!A59="","",'Price History'!A59)</f>
        <v>45576</v>
      </c>
      <c r="B58" s="142" t="n">
        <f aca="false">IFERROR(IF(OR(NOT(ISNUMBER('Price History'!B59)),NOT(ISNUMBER('Price History'!B58)),'Price History'!B58=0),"",'Price History'!B59/'Price History'!B58-1),"")</f>
        <v>-0.0232640668743346</v>
      </c>
      <c r="C58" s="142" t="n">
        <f aca="false">IFERROR(IF(OR(NOT(ISNUMBER('Price History'!C59)),NOT(ISNUMBER('Price History'!C58)),'Price History'!C58=0),"",'Price History'!C59/'Price History'!C58-1),"")</f>
        <v>0.0529346398626125</v>
      </c>
      <c r="D58" s="142" t="n">
        <f aca="false">IFERROR(IF(OR(NOT(ISNUMBER('Price History'!D59)),NOT(ISNUMBER('Price History'!D58)),'Price History'!D58=0),"",'Price History'!D59/'Price History'!D58-1),"")</f>
        <v>0.00922772712292663</v>
      </c>
      <c r="E58" s="142" t="n">
        <f aca="false">IFERROR(IF(OR(NOT(ISNUMBER('Price History'!E59)),NOT(ISNUMBER('Price History'!E58)),'Price History'!E58=0),"",'Price History'!E59/'Price History'!E58-1),"")</f>
        <v>0.0274146172896388</v>
      </c>
      <c r="F58" s="142" t="n">
        <f aca="false">IFERROR(IF(OR(NOT(ISNUMBER('Price History'!F59)),NOT(ISNUMBER('Price History'!F58)),'Price History'!F58=0),"",'Price History'!F59/'Price History'!F58-1),"")</f>
        <v>0.0119431891542932</v>
      </c>
      <c r="G58" s="142" t="n">
        <f aca="false">IFERROR(IF(OR(NOT(ISNUMBER('Price History'!G59)),NOT(ISNUMBER('Price History'!G58)),'Price History'!G58=0),"",'Price History'!G59/'Price History'!G58-1),"")</f>
        <v>0.0956747878456064</v>
      </c>
      <c r="H58" s="142" t="n">
        <f aca="false">IFERROR(IF(OR(NOT(ISNUMBER('Price History'!H59)),NOT(ISNUMBER('Price History'!H58)),'Price History'!H58=0),"",'Price History'!H59/'Price History'!H58-1),"")</f>
        <v>0.000559865632248302</v>
      </c>
      <c r="I58" s="142" t="n">
        <f aca="false">IFERROR(IF(OR(NOT(ISNUMBER('Price History'!I59)),NOT(ISNUMBER('Price History'!I58)),'Price History'!I58=0),"",'Price History'!I59/'Price History'!I58-1),"")</f>
        <v>0.0207554466933095</v>
      </c>
      <c r="J58" s="142" t="n">
        <f aca="false">IFERROR(IF(OR(NOT(ISNUMBER('Price History'!J59)),NOT(ISNUMBER('Price History'!J58)),'Price History'!J58=0),"",'Price History'!J59/'Price History'!J58-1),"")</f>
        <v>0.0468457828953843</v>
      </c>
      <c r="K58" s="142" t="n">
        <f aca="false">IFERROR(IF(OR(NOT(ISNUMBER('Price History'!K59)),NOT(ISNUMBER('Price History'!K58)),'Price History'!K58=0),"",'Price History'!K59/'Price History'!K58-1),"")</f>
        <v>0.0790593145517295</v>
      </c>
      <c r="L58" s="142" t="n">
        <f aca="false">IFERROR(IF(OR(NOT(ISNUMBER('Price History'!L59)),NOT(ISNUMBER('Price History'!L58)),'Price History'!L58=0),"",'Price History'!L59/'Price History'!L58-1),"")</f>
        <v>-0.0178150379879487</v>
      </c>
      <c r="M58" s="142" t="n">
        <f aca="false">IFERROR(IF(OR(NOT(ISNUMBER('Price History'!M59)),NOT(ISNUMBER('Price History'!M58)),'Price History'!M58=0),"",'Price History'!M59/'Price History'!M58-1),"")</f>
        <v>0.0874781304673831</v>
      </c>
      <c r="N58" s="142" t="n">
        <f aca="false">IFERROR(IF(OR(NOT(ISNUMBER('Price History'!N59)),NOT(ISNUMBER('Price History'!N58)),'Price History'!N58=0),"",'Price History'!N59/'Price History'!N58-1),"")</f>
        <v>0.0114242193450114</v>
      </c>
      <c r="O58" s="142" t="n">
        <f aca="false">IFERROR(IF(OR(NOT(ISNUMBER('Price History'!O59)),NOT(ISNUMBER('Price History'!O58)),'Price History'!O58=0),"",'Price History'!O59/'Price History'!O58-1),"")</f>
        <v>0.0216090425531916</v>
      </c>
      <c r="P58" s="142" t="n">
        <f aca="false">IFERROR(IF(OR(NOT(ISNUMBER('Price History'!P59)),NOT(ISNUMBER('Price History'!P58)),'Price History'!P58=0),"",'Price History'!P59/'Price History'!P58-1),"")</f>
        <v>0.0532239819004525</v>
      </c>
      <c r="Q58" s="142" t="n">
        <f aca="false">IFERROR(IF(OR(NOT(ISNUMBER('Price History'!Q59)),NOT(ISNUMBER('Price History'!Q58)),'Price History'!Q58=0),"",'Price History'!Q59/'Price History'!Q58-1),"")</f>
        <v>-0.000328707085463953</v>
      </c>
      <c r="R58" s="142" t="n">
        <f aca="false">IFERROR(IF(OR(NOT(ISNUMBER('Price History'!R59)),NOT(ISNUMBER('Price History'!R58)),'Price History'!R58=0),"",'Price History'!R59/'Price History'!R58-1),"")</f>
        <v>-0.0502958579881657</v>
      </c>
      <c r="S58" s="142" t="n">
        <f aca="false">IFERROR(IF(OR(NOT(ISNUMBER('Price History'!S59)),NOT(ISNUMBER('Price History'!S58)),'Price History'!S58=0),"",'Price History'!S59/'Price History'!S58-1),"")</f>
        <v>-0.059719887955182</v>
      </c>
      <c r="T58" s="142" t="n">
        <f aca="false">IFERROR(IF(OR(NOT(ISNUMBER('Price History'!T59)),NOT(ISNUMBER('Price History'!T58)),'Price History'!T58=0),"",'Price History'!T59/'Price History'!T58-1),"")</f>
        <v>-0.041265060240964</v>
      </c>
      <c r="U58" s="142" t="str">
        <f aca="false">IFERROR(IF(OR(NOT(ISNUMBER('Price History'!U59)),NOT(ISNUMBER('Price History'!U58)),'Price History'!U58=0),"",'Price History'!U59/'Price History'!U58-1),"")</f>
        <v/>
      </c>
      <c r="V58" s="143" t="n">
        <f aca="false">IFERROR(IF(OR(NOT(ISNUMBER('Price History'!V59)),NOT(ISNUMBER('Price History'!V58)),'Price History'!V58=0),"",'Price History'!V59/'Price History'!V58-1),"")</f>
        <v>0.0108348330701145</v>
      </c>
      <c r="W58" s="144" t="str">
        <f aca="false">IFERROR('Price History'!B3+(INDEX('Price History'!B:B,MATCH(9.99E+307,'Price History'!$A:$A))-'Price History'!B3)*(ROW()-3)/(MATCH(9.99E+307,'Returns (Calc)'!$A:$A)-3),"")</f>
        <v/>
      </c>
      <c r="X58" s="144" t="n">
        <f aca="false">IFERROR('Price History'!C3+(INDEX('Price History'!C:C,MATCH(9.99E+307,'Price History'!$A:$A))-'Price History'!C3)*(ROW()-3)/(MATCH(9.99E+307,'Returns (Calc)'!$A:$A)-3),"")</f>
        <v>30.1046835443038</v>
      </c>
      <c r="Y58" s="144" t="n">
        <f aca="false">IFERROR('Price History'!D3+(INDEX('Price History'!D:D,MATCH(9.99E+307,'Price History'!$A:$A))-'Price History'!D3)*(ROW()-3)/(MATCH(9.99E+307,'Returns (Calc)'!$A:$A)-3),"")</f>
        <v>379.411582278481</v>
      </c>
      <c r="Z58" s="144" t="n">
        <f aca="false">IFERROR('Price History'!E3+(INDEX('Price History'!E:E,MATCH(9.99E+307,'Price History'!$A:$A))-'Price History'!E3)*(ROW()-3)/(MATCH(9.99E+307,'Returns (Calc)'!$A:$A)-3),"")</f>
        <v>53.4556962025316</v>
      </c>
      <c r="AA58" s="144" t="n">
        <f aca="false">IFERROR('Price History'!F3+(INDEX('Price History'!F:F,MATCH(9.99E+307,'Price History'!$A:$A))-'Price History'!F3)*(ROW()-3)/(MATCH(9.99E+307,'Returns (Calc)'!$A:$A)-3),"")</f>
        <v>49.0944936708861</v>
      </c>
      <c r="AB58" s="144" t="n">
        <f aca="false">IFERROR('Price History'!G3+(INDEX('Price History'!G:G,MATCH(9.99E+307,'Price History'!$A:$A))-'Price History'!G3)*(ROW()-3)/(MATCH(9.99E+307,'Returns (Calc)'!$A:$A)-3),"")</f>
        <v>26.9625316455696</v>
      </c>
      <c r="AC58" s="144" t="n">
        <f aca="false">IFERROR('Price History'!H3+(INDEX('Price History'!H:H,MATCH(9.99E+307,'Price History'!$A:$A))-'Price History'!H3)*(ROW()-3)/(MATCH(9.99E+307,'Returns (Calc)'!$A:$A)-3),"")</f>
        <v>65.5744936708861</v>
      </c>
      <c r="AD58" s="144" t="n">
        <f aca="false">IFERROR('Price History'!I3+(INDEX('Price History'!I:I,MATCH(9.99E+307,'Price History'!$A:$A))-'Price History'!I3)*(ROW()-3)/(MATCH(9.99E+307,'Returns (Calc)'!$A:$A)-3),"")</f>
        <v>28.9117088607595</v>
      </c>
      <c r="AE58" s="144" t="n">
        <f aca="false">IFERROR('Price History'!J3+(INDEX('Price History'!J:J,MATCH(9.99E+307,'Price History'!$A:$A))-'Price History'!J3)*(ROW()-3)/(MATCH(9.99E+307,'Returns (Calc)'!$A:$A)-3),"")</f>
        <v>45.0527215189873</v>
      </c>
      <c r="AF58" s="144" t="n">
        <f aca="false">IFERROR('Price History'!K3+(INDEX('Price History'!K:K,MATCH(9.99E+307,'Price History'!$A:$A))-'Price History'!K3)*(ROW()-3)/(MATCH(9.99E+307,'Returns (Calc)'!$A:$A)-3),"")</f>
        <v>28.5336075949367</v>
      </c>
      <c r="AG58" s="144" t="n">
        <f aca="false">IFERROR('Price History'!L3+(INDEX('Price History'!L:L,MATCH(9.99E+307,'Price History'!$A:$A))-'Price History'!L3)*(ROW()-3)/(MATCH(9.99E+307,'Returns (Calc)'!$A:$A)-3),"")</f>
        <v>72.9083544303798</v>
      </c>
      <c r="AH58" s="144" t="n">
        <f aca="false">IFERROR('Price History'!M3+(INDEX('Price History'!M:M,MATCH(9.99E+307,'Price History'!$A:$A))-'Price History'!M3)*(ROW()-3)/(MATCH(9.99E+307,'Returns (Calc)'!$A:$A)-3),"")</f>
        <v>9.99360759493671</v>
      </c>
      <c r="AI58" s="144" t="n">
        <f aca="false">IFERROR('Price History'!N3+(INDEX('Price History'!N:N,MATCH(9.99E+307,'Price History'!$A:$A))-'Price History'!N3)*(ROW()-3)/(MATCH(9.99E+307,'Returns (Calc)'!$A:$A)-3),"")</f>
        <v>14.2113924050633</v>
      </c>
      <c r="AJ58" s="144" t="n">
        <f aca="false">IFERROR('Price History'!O3+(INDEX('Price History'!O:O,MATCH(9.99E+307,'Price History'!$A:$A))-'Price History'!O3)*(ROW()-3)/(MATCH(9.99E+307,'Returns (Calc)'!$A:$A)-3),"")</f>
        <v>37.5689240506329</v>
      </c>
      <c r="AK58" s="144" t="n">
        <f aca="false">IFERROR('Price History'!Q3+(INDEX('Price History'!Q:Q,MATCH(9.99E+307,'Price History'!$A:$A))-'Price History'!Q3)*(ROW()-3)/(MATCH(9.99E+307,'Returns (Calc)'!$A:$A)-3),"")</f>
        <v>153.606898734177</v>
      </c>
      <c r="AL58" s="144" t="n">
        <f aca="false">IFERROR('Price History'!R3+(INDEX('Price History'!R:R,MATCH(9.99E+307,'Price History'!$A:$A))-'Price History'!R3)*(ROW()-3)/(MATCH(9.99E+307,'Returns (Calc)'!$A:$A)-3),"")</f>
        <v>31.1737974683544</v>
      </c>
      <c r="AM58" s="144" t="n">
        <f aca="false">IFERROR('Price History'!S3+(INDEX('Price History'!S:S,MATCH(9.99E+307,'Price History'!$A:$A))-'Price History'!S3)*(ROW()-3)/(MATCH(9.99E+307,'Returns (Calc)'!$A:$A)-3),"")</f>
        <v>38.1621518987342</v>
      </c>
      <c r="AN58" s="144" t="n">
        <f aca="false">IFERROR('Price History'!T3+(INDEX('Price History'!T:T,MATCH(9.99E+307,'Price History'!$A:$A))-'Price History'!T3)*(ROW()-3)/(MATCH(9.99E+307,'Returns (Calc)'!$A:$A)-3),"")</f>
        <v>17.5425949367089</v>
      </c>
      <c r="AO58" s="145" t="n">
        <f aca="false">IFERROR('Price History'!V3+(INDEX('Price History'!V:V,MATCH(9.99E+307,'Price History'!$A:$A))-'Price History'!V3)*(ROW()-3)/(MATCH(9.99E+307,'Returns (Calc)'!$A:$A)-3),"")</f>
        <v>0</v>
      </c>
    </row>
    <row r="59" customFormat="false" ht="15" hidden="false" customHeight="true" outlineLevel="0" collapsed="false">
      <c r="A59" s="141" t="n">
        <f aca="false">IF('Price History'!A60="","",'Price History'!A60)</f>
        <v>45583</v>
      </c>
      <c r="B59" s="142" t="n">
        <f aca="false">IFERROR(IF(OR(NOT(ISNUMBER('Price History'!B60)),NOT(ISNUMBER('Price History'!B59)),'Price History'!B59=0),"",'Price History'!B60/'Price History'!B59-1),"")</f>
        <v>-0.0010496144685318</v>
      </c>
      <c r="C59" s="142" t="n">
        <f aca="false">IFERROR(IF(OR(NOT(ISNUMBER('Price History'!C60)),NOT(ISNUMBER('Price History'!C59)),'Price History'!C59=0),"",'Price History'!C60/'Price History'!C59-1),"")</f>
        <v>-0.0357862419648853</v>
      </c>
      <c r="D59" s="142" t="n">
        <f aca="false">IFERROR(IF(OR(NOT(ISNUMBER('Price History'!D60)),NOT(ISNUMBER('Price History'!D59)),'Price History'!D59=0),"",'Price History'!D60/'Price History'!D59-1),"")</f>
        <v>-0.139678047482554</v>
      </c>
      <c r="E59" s="142" t="n">
        <f aca="false">IFERROR(IF(OR(NOT(ISNUMBER('Price History'!E60)),NOT(ISNUMBER('Price History'!E59)),'Price History'!E59=0),"",'Price History'!E60/'Price History'!E59-1),"")</f>
        <v>-0.00874488480295965</v>
      </c>
      <c r="F59" s="142" t="n">
        <f aca="false">IFERROR(IF(OR(NOT(ISNUMBER('Price History'!F60)),NOT(ISNUMBER('Price History'!F59)),'Price History'!F59=0),"",'Price History'!F60/'Price History'!F59-1),"")</f>
        <v>0.0125465178096758</v>
      </c>
      <c r="G59" s="142" t="n">
        <f aca="false">IFERROR(IF(OR(NOT(ISNUMBER('Price History'!G60)),NOT(ISNUMBER('Price History'!G59)),'Price History'!G59=0),"",'Price History'!G60/'Price History'!G59-1),"")</f>
        <v>-0.0313554028732042</v>
      </c>
      <c r="H59" s="142" t="n">
        <f aca="false">IFERROR(IF(OR(NOT(ISNUMBER('Price History'!H60)),NOT(ISNUMBER('Price History'!H59)),'Price History'!H59=0),"",'Price History'!H60/'Price History'!H59-1),"")</f>
        <v>0.0193445243804957</v>
      </c>
      <c r="I59" s="142" t="n">
        <f aca="false">IFERROR(IF(OR(NOT(ISNUMBER('Price History'!I60)),NOT(ISNUMBER('Price History'!I59)),'Price History'!I59=0),"",'Price History'!I60/'Price History'!I59-1),"")</f>
        <v>-0.155847436221268</v>
      </c>
      <c r="J59" s="142" t="n">
        <f aca="false">IFERROR(IF(OR(NOT(ISNUMBER('Price History'!J60)),NOT(ISNUMBER('Price History'!J59)),'Price History'!J59=0),"",'Price History'!J60/'Price History'!J59-1),"")</f>
        <v>0.0395788286170913</v>
      </c>
      <c r="K59" s="142" t="n">
        <f aca="false">IFERROR(IF(OR(NOT(ISNUMBER('Price History'!K60)),NOT(ISNUMBER('Price History'!K59)),'Price History'!K59=0),"",'Price History'!K60/'Price History'!K59-1),"")</f>
        <v>0.0237280571258554</v>
      </c>
      <c r="L59" s="142" t="n">
        <f aca="false">IFERROR(IF(OR(NOT(ISNUMBER('Price History'!L60)),NOT(ISNUMBER('Price History'!L59)),'Price History'!L59=0),"",'Price History'!L60/'Price History'!L59-1),"")</f>
        <v>0.0187605583711212</v>
      </c>
      <c r="M59" s="142" t="n">
        <f aca="false">IFERROR(IF(OR(NOT(ISNUMBER('Price History'!M60)),NOT(ISNUMBER('Price History'!M59)),'Price History'!M59=0),"",'Price History'!M60/'Price History'!M59-1),"")</f>
        <v>-0.01241094001379</v>
      </c>
      <c r="N59" s="142" t="n">
        <f aca="false">IFERROR(IF(OR(NOT(ISNUMBER('Price History'!N60)),NOT(ISNUMBER('Price History'!N59)),'Price History'!N59=0),"",'Price History'!N60/'Price History'!N59-1),"")</f>
        <v>0.0094126506024097</v>
      </c>
      <c r="O59" s="142" t="n">
        <f aca="false">IFERROR(IF(OR(NOT(ISNUMBER('Price History'!O60)),NOT(ISNUMBER('Price History'!O59)),'Price History'!O59=0),"",'Price History'!O60/'Price History'!O59-1),"")</f>
        <v>0.00433886538670136</v>
      </c>
      <c r="P59" s="142" t="n">
        <f aca="false">IFERROR(IF(OR(NOT(ISNUMBER('Price History'!P60)),NOT(ISNUMBER('Price History'!P59)),'Price History'!P59=0),"",'Price History'!P60/'Price History'!P59-1),"")</f>
        <v>0.0522528328231566</v>
      </c>
      <c r="Q59" s="142" t="n">
        <f aca="false">IFERROR(IF(OR(NOT(ISNUMBER('Price History'!Q60)),NOT(ISNUMBER('Price History'!Q59)),'Price History'!Q59=0),"",'Price History'!Q60/'Price History'!Q59-1),"")</f>
        <v>0.0459975886887583</v>
      </c>
      <c r="R59" s="142" t="n">
        <f aca="false">IFERROR(IF(OR(NOT(ISNUMBER('Price History'!R60)),NOT(ISNUMBER('Price History'!R59)),'Price History'!R59=0),"",'Price History'!R60/'Price History'!R59-1),"")</f>
        <v>0.0465342679127725</v>
      </c>
      <c r="S59" s="142" t="n">
        <f aca="false">IFERROR(IF(OR(NOT(ISNUMBER('Price History'!S60)),NOT(ISNUMBER('Price History'!S59)),'Price History'!S59=0),"",'Price History'!S60/'Price History'!S59-1),"")</f>
        <v>0.061487130600572</v>
      </c>
      <c r="T59" s="142" t="n">
        <f aca="false">IFERROR(IF(OR(NOT(ISNUMBER('Price History'!T60)),NOT(ISNUMBER('Price History'!T59)),'Price History'!T59=0),"",'Price History'!T60/'Price History'!T59-1),"")</f>
        <v>0.0235626767200754</v>
      </c>
      <c r="U59" s="142" t="str">
        <f aca="false">IFERROR(IF(OR(NOT(ISNUMBER('Price History'!U60)),NOT(ISNUMBER('Price History'!U59)),'Price History'!U59=0),"",'Price History'!U60/'Price History'!U59-1),"")</f>
        <v/>
      </c>
      <c r="V59" s="143" t="n">
        <f aca="false">IFERROR(IF(OR(NOT(ISNUMBER('Price History'!V60)),NOT(ISNUMBER('Price History'!V59)),'Price History'!V59=0),"",'Price History'!V60/'Price History'!V59-1),"")</f>
        <v>0.028558971005014</v>
      </c>
      <c r="W59" s="144" t="str">
        <f aca="false">IFERROR('Price History'!B3+(INDEX('Price History'!B:B,MATCH(9.99E+307,'Price History'!$A:$A))-'Price History'!B3)*(ROW()-3)/(MATCH(9.99E+307,'Returns (Calc)'!$A:$A)-3),"")</f>
        <v/>
      </c>
      <c r="X59" s="144" t="n">
        <f aca="false">IFERROR('Price History'!C3+(INDEX('Price History'!C:C,MATCH(9.99E+307,'Price History'!$A:$A))-'Price History'!C3)*(ROW()-3)/(MATCH(9.99E+307,'Returns (Calc)'!$A:$A)-3),"")</f>
        <v>29.8124050632911</v>
      </c>
      <c r="Y59" s="144" t="n">
        <f aca="false">IFERROR('Price History'!D3+(INDEX('Price History'!D:D,MATCH(9.99E+307,'Price History'!$A:$A))-'Price History'!D3)*(ROW()-3)/(MATCH(9.99E+307,'Returns (Calc)'!$A:$A)-3),"")</f>
        <v>375.727974683544</v>
      </c>
      <c r="Z59" s="144" t="n">
        <f aca="false">IFERROR('Price History'!E3+(INDEX('Price History'!E:E,MATCH(9.99E+307,'Price History'!$A:$A))-'Price History'!E3)*(ROW()-3)/(MATCH(9.99E+307,'Returns (Calc)'!$A:$A)-3),"")</f>
        <v>52.9367088607595</v>
      </c>
      <c r="AA59" s="144" t="n">
        <f aca="false">IFERROR('Price History'!F3+(INDEX('Price History'!F:F,MATCH(9.99E+307,'Price History'!$A:$A))-'Price History'!F3)*(ROW()-3)/(MATCH(9.99E+307,'Returns (Calc)'!$A:$A)-3),"")</f>
        <v>48.6178481012658</v>
      </c>
      <c r="AB59" s="144" t="n">
        <f aca="false">IFERROR('Price History'!G3+(INDEX('Price History'!G:G,MATCH(9.99E+307,'Price History'!$A:$A))-'Price History'!G3)*(ROW()-3)/(MATCH(9.99E+307,'Returns (Calc)'!$A:$A)-3),"")</f>
        <v>26.7007594936709</v>
      </c>
      <c r="AC59" s="144" t="n">
        <f aca="false">IFERROR('Price History'!H3+(INDEX('Price History'!H:H,MATCH(9.99E+307,'Price History'!$A:$A))-'Price History'!H3)*(ROW()-3)/(MATCH(9.99E+307,'Returns (Calc)'!$A:$A)-3),"")</f>
        <v>64.9378481012658</v>
      </c>
      <c r="AD59" s="144" t="n">
        <f aca="false">IFERROR('Price History'!I3+(INDEX('Price History'!I:I,MATCH(9.99E+307,'Price History'!$A:$A))-'Price History'!I3)*(ROW()-3)/(MATCH(9.99E+307,'Returns (Calc)'!$A:$A)-3),"")</f>
        <v>28.6310126582279</v>
      </c>
      <c r="AE59" s="144" t="n">
        <f aca="false">IFERROR('Price History'!J3+(INDEX('Price History'!J:J,MATCH(9.99E+307,'Price History'!$A:$A))-'Price History'!J3)*(ROW()-3)/(MATCH(9.99E+307,'Returns (Calc)'!$A:$A)-3),"")</f>
        <v>44.6153164556962</v>
      </c>
      <c r="AF59" s="144" t="n">
        <f aca="false">IFERROR('Price History'!K3+(INDEX('Price History'!K:K,MATCH(9.99E+307,'Price History'!$A:$A))-'Price History'!K3)*(ROW()-3)/(MATCH(9.99E+307,'Returns (Calc)'!$A:$A)-3),"")</f>
        <v>28.256582278481</v>
      </c>
      <c r="AG59" s="144" t="n">
        <f aca="false">IFERROR('Price History'!L3+(INDEX('Price History'!L:L,MATCH(9.99E+307,'Price History'!$A:$A))-'Price History'!L3)*(ROW()-3)/(MATCH(9.99E+307,'Returns (Calc)'!$A:$A)-3),"")</f>
        <v>72.2005063291139</v>
      </c>
      <c r="AH59" s="144" t="n">
        <f aca="false">IFERROR('Price History'!M3+(INDEX('Price History'!M:M,MATCH(9.99E+307,'Price History'!$A:$A))-'Price History'!M3)*(ROW()-3)/(MATCH(9.99E+307,'Returns (Calc)'!$A:$A)-3),"")</f>
        <v>9.89658227848101</v>
      </c>
      <c r="AI59" s="144" t="n">
        <f aca="false">IFERROR('Price History'!N3+(INDEX('Price History'!N:N,MATCH(9.99E+307,'Price History'!$A:$A))-'Price History'!N3)*(ROW()-3)/(MATCH(9.99E+307,'Returns (Calc)'!$A:$A)-3),"")</f>
        <v>14.073417721519</v>
      </c>
      <c r="AJ59" s="144" t="n">
        <f aca="false">IFERROR('Price History'!O3+(INDEX('Price History'!O:O,MATCH(9.99E+307,'Price History'!$A:$A))-'Price History'!O3)*(ROW()-3)/(MATCH(9.99E+307,'Returns (Calc)'!$A:$A)-3),"")</f>
        <v>37.2041772151899</v>
      </c>
      <c r="AK59" s="144" t="n">
        <f aca="false">IFERROR('Price History'!Q3+(INDEX('Price History'!Q:Q,MATCH(9.99E+307,'Price History'!$A:$A))-'Price History'!Q3)*(ROW()-3)/(MATCH(9.99E+307,'Returns (Calc)'!$A:$A)-3),"")</f>
        <v>152.115569620253</v>
      </c>
      <c r="AL59" s="144" t="n">
        <f aca="false">IFERROR('Price History'!R3+(INDEX('Price History'!R:R,MATCH(9.99E+307,'Price History'!$A:$A))-'Price History'!R3)*(ROW()-3)/(MATCH(9.99E+307,'Returns (Calc)'!$A:$A)-3),"")</f>
        <v>30.8711392405063</v>
      </c>
      <c r="AM59" s="144" t="n">
        <f aca="false">IFERROR('Price History'!S3+(INDEX('Price History'!S:S,MATCH(9.99E+307,'Price History'!$A:$A))-'Price History'!S3)*(ROW()-3)/(MATCH(9.99E+307,'Returns (Calc)'!$A:$A)-3),"")</f>
        <v>37.7916455696203</v>
      </c>
      <c r="AN59" s="144" t="n">
        <f aca="false">IFERROR('Price History'!T3+(INDEX('Price History'!T:T,MATCH(9.99E+307,'Price History'!$A:$A))-'Price History'!T3)*(ROW()-3)/(MATCH(9.99E+307,'Returns (Calc)'!$A:$A)-3),"")</f>
        <v>17.3722784810127</v>
      </c>
      <c r="AO59" s="145" t="n">
        <f aca="false">IFERROR('Price History'!V3+(INDEX('Price History'!V:V,MATCH(9.99E+307,'Price History'!$A:$A))-'Price History'!V3)*(ROW()-3)/(MATCH(9.99E+307,'Returns (Calc)'!$A:$A)-3),"")</f>
        <v>0</v>
      </c>
    </row>
    <row r="60" customFormat="false" ht="15" hidden="false" customHeight="true" outlineLevel="0" collapsed="false">
      <c r="A60" s="141" t="n">
        <f aca="false">IF('Price History'!A61="","",'Price History'!A61)</f>
        <v>45590</v>
      </c>
      <c r="B60" s="142" t="n">
        <f aca="false">IFERROR(IF(OR(NOT(ISNUMBER('Price History'!B61)),NOT(ISNUMBER('Price History'!B60)),'Price History'!B60=0),"",'Price History'!B61/'Price History'!B60-1),"")</f>
        <v>-0.0225904223075368</v>
      </c>
      <c r="C60" s="142" t="n">
        <f aca="false">IFERROR(IF(OR(NOT(ISNUMBER('Price History'!C61)),NOT(ISNUMBER('Price History'!C60)),'Price History'!C60=0),"",'Price History'!C61/'Price History'!C60-1),"")</f>
        <v>-0.0197014925373135</v>
      </c>
      <c r="D60" s="142" t="n">
        <f aca="false">IFERROR(IF(OR(NOT(ISNUMBER('Price History'!D61)),NOT(ISNUMBER('Price History'!D60)),'Price History'!D60=0),"",'Price History'!D61/'Price History'!D60-1),"")</f>
        <v>-0.0159839176764979</v>
      </c>
      <c r="E60" s="142" t="n">
        <f aca="false">IFERROR(IF(OR(NOT(ISNUMBER('Price History'!E61)),NOT(ISNUMBER('Price History'!E60)),'Price History'!E60=0),"",'Price History'!E61/'Price History'!E60-1),"")</f>
        <v>-0.0382853588192049</v>
      </c>
      <c r="F60" s="142" t="n">
        <f aca="false">IFERROR(IF(OR(NOT(ISNUMBER('Price History'!F61)),NOT(ISNUMBER('Price History'!F60)),'Price History'!F60=0),"",'Price History'!F61/'Price History'!F60-1),"")</f>
        <v>-0.0332878294655046</v>
      </c>
      <c r="G60" s="142" t="n">
        <f aca="false">IFERROR(IF(OR(NOT(ISNUMBER('Price History'!G61)),NOT(ISNUMBER('Price History'!G60)),'Price History'!G60=0),"",'Price History'!G61/'Price History'!G60-1),"")</f>
        <v>-0.0308228011348981</v>
      </c>
      <c r="H60" s="142" t="n">
        <f aca="false">IFERROR(IF(OR(NOT(ISNUMBER('Price History'!H61)),NOT(ISNUMBER('Price History'!H60)),'Price History'!H60=0),"",'Price History'!H61/'Price History'!H60-1),"")</f>
        <v>-0.0236041405269761</v>
      </c>
      <c r="I60" s="142" t="n">
        <f aca="false">IFERROR(IF(OR(NOT(ISNUMBER('Price History'!I61)),NOT(ISNUMBER('Price History'!I60)),'Price History'!I60=0),"",'Price History'!I61/'Price History'!I60-1),"")</f>
        <v>-0.00792938360263318</v>
      </c>
      <c r="J60" s="142" t="n">
        <f aca="false">IFERROR(IF(OR(NOT(ISNUMBER('Price History'!J61)),NOT(ISNUMBER('Price History'!J60)),'Price History'!J60=0),"",'Price History'!J61/'Price History'!J60-1),"")</f>
        <v>-0.0291191897268945</v>
      </c>
      <c r="K60" s="142" t="n">
        <f aca="false">IFERROR(IF(OR(NOT(ISNUMBER('Price History'!K61)),NOT(ISNUMBER('Price History'!K60)),'Price History'!K60=0),"",'Price History'!K61/'Price History'!K60-1),"")</f>
        <v>0.0256484778028045</v>
      </c>
      <c r="L60" s="142" t="n">
        <f aca="false">IFERROR(IF(OR(NOT(ISNUMBER('Price History'!L61)),NOT(ISNUMBER('Price History'!L60)),'Price History'!L60=0),"",'Price History'!L61/'Price History'!L60-1),"")</f>
        <v>-0.0404957235119567</v>
      </c>
      <c r="M60" s="142" t="n">
        <f aca="false">IFERROR(IF(OR(NOT(ISNUMBER('Price History'!M61)),NOT(ISNUMBER('Price History'!M60)),'Price History'!M60=0),"",'Price History'!M61/'Price History'!M60-1),"")</f>
        <v>0.0439841750058181</v>
      </c>
      <c r="N60" s="142" t="n">
        <f aca="false">IFERROR(IF(OR(NOT(ISNUMBER('Price History'!N61)),NOT(ISNUMBER('Price History'!N60)),'Price History'!N60=0),"",'Price History'!N61/'Price History'!N60-1),"")</f>
        <v>-0.0231256993659081</v>
      </c>
      <c r="O60" s="142" t="n">
        <f aca="false">IFERROR(IF(OR(NOT(ISNUMBER('Price History'!O61)),NOT(ISNUMBER('Price History'!O60)),'Price History'!O60=0),"",'Price History'!O61/'Price History'!O60-1),"")</f>
        <v>-0.0146884112755157</v>
      </c>
      <c r="P60" s="142" t="n">
        <f aca="false">IFERROR(IF(OR(NOT(ISNUMBER('Price History'!P61)),NOT(ISNUMBER('Price History'!P60)),'Price History'!P60=0),"",'Price History'!P61/'Price History'!P60-1),"")</f>
        <v>0.0132693681739309</v>
      </c>
      <c r="Q60" s="142" t="n">
        <f aca="false">IFERROR(IF(OR(NOT(ISNUMBER('Price History'!Q61)),NOT(ISNUMBER('Price History'!Q60)),'Price History'!Q60=0),"",'Price History'!Q61/'Price History'!Q60-1),"")</f>
        <v>-0.030562347188264</v>
      </c>
      <c r="R60" s="142" t="n">
        <f aca="false">IFERROR(IF(OR(NOT(ISNUMBER('Price History'!R61)),NOT(ISNUMBER('Price History'!R60)),'Price History'!R60=0),"",'Price History'!R61/'Price History'!R60-1),"")</f>
        <v>0.0122790697674418</v>
      </c>
      <c r="S60" s="142" t="n">
        <f aca="false">IFERROR(IF(OR(NOT(ISNUMBER('Price History'!S61)),NOT(ISNUMBER('Price History'!S60)),'Price History'!S60=0),"",'Price History'!S61/'Price History'!S60-1),"")</f>
        <v>0.0162775033677594</v>
      </c>
      <c r="T60" s="142" t="n">
        <f aca="false">IFERROR(IF(OR(NOT(ISNUMBER('Price History'!T61)),NOT(ISNUMBER('Price History'!T60)),'Price History'!T60=0),"",'Price History'!T61/'Price History'!T60-1),"")</f>
        <v>0.0171884591774096</v>
      </c>
      <c r="U60" s="142" t="str">
        <f aca="false">IFERROR(IF(OR(NOT(ISNUMBER('Price History'!U61)),NOT(ISNUMBER('Price History'!U60)),'Price History'!U60=0),"",'Price History'!U61/'Price History'!U60-1),"")</f>
        <v/>
      </c>
      <c r="V60" s="143" t="n">
        <f aca="false">IFERROR(IF(OR(NOT(ISNUMBER('Price History'!V61)),NOT(ISNUMBER('Price History'!V60)),'Price History'!V60=0),"",'Price History'!V61/'Price History'!V60-1),"")</f>
        <v>-0.00897272855729814</v>
      </c>
      <c r="W60" s="144" t="str">
        <f aca="false">IFERROR('Price History'!B3+(INDEX('Price History'!B:B,MATCH(9.99E+307,'Price History'!$A:$A))-'Price History'!B3)*(ROW()-3)/(MATCH(9.99E+307,'Returns (Calc)'!$A:$A)-3),"")</f>
        <v/>
      </c>
      <c r="X60" s="144" t="n">
        <f aca="false">IFERROR('Price History'!C3+(INDEX('Price History'!C:C,MATCH(9.99E+307,'Price History'!$A:$A))-'Price History'!C3)*(ROW()-3)/(MATCH(9.99E+307,'Returns (Calc)'!$A:$A)-3),"")</f>
        <v>29.5201265822785</v>
      </c>
      <c r="Y60" s="144" t="n">
        <f aca="false">IFERROR('Price History'!D3+(INDEX('Price History'!D:D,MATCH(9.99E+307,'Price History'!$A:$A))-'Price History'!D3)*(ROW()-3)/(MATCH(9.99E+307,'Returns (Calc)'!$A:$A)-3),"")</f>
        <v>372.044367088608</v>
      </c>
      <c r="Z60" s="144" t="n">
        <f aca="false">IFERROR('Price History'!E3+(INDEX('Price History'!E:E,MATCH(9.99E+307,'Price History'!$A:$A))-'Price History'!E3)*(ROW()-3)/(MATCH(9.99E+307,'Returns (Calc)'!$A:$A)-3),"")</f>
        <v>52.4177215189873</v>
      </c>
      <c r="AA60" s="144" t="n">
        <f aca="false">IFERROR('Price History'!F3+(INDEX('Price History'!F:F,MATCH(9.99E+307,'Price History'!$A:$A))-'Price History'!F3)*(ROW()-3)/(MATCH(9.99E+307,'Returns (Calc)'!$A:$A)-3),"")</f>
        <v>48.1412025316456</v>
      </c>
      <c r="AB60" s="144" t="n">
        <f aca="false">IFERROR('Price History'!G3+(INDEX('Price History'!G:G,MATCH(9.99E+307,'Price History'!$A:$A))-'Price History'!G3)*(ROW()-3)/(MATCH(9.99E+307,'Returns (Calc)'!$A:$A)-3),"")</f>
        <v>26.4389873417722</v>
      </c>
      <c r="AC60" s="144" t="n">
        <f aca="false">IFERROR('Price History'!H3+(INDEX('Price History'!H:H,MATCH(9.99E+307,'Price History'!$A:$A))-'Price History'!H3)*(ROW()-3)/(MATCH(9.99E+307,'Returns (Calc)'!$A:$A)-3),"")</f>
        <v>64.3012025316456</v>
      </c>
      <c r="AD60" s="144" t="n">
        <f aca="false">IFERROR('Price History'!I3+(INDEX('Price History'!I:I,MATCH(9.99E+307,'Price History'!$A:$A))-'Price History'!I3)*(ROW()-3)/(MATCH(9.99E+307,'Returns (Calc)'!$A:$A)-3),"")</f>
        <v>28.3503164556962</v>
      </c>
      <c r="AE60" s="144" t="n">
        <f aca="false">IFERROR('Price History'!J3+(INDEX('Price History'!J:J,MATCH(9.99E+307,'Price History'!$A:$A))-'Price History'!J3)*(ROW()-3)/(MATCH(9.99E+307,'Returns (Calc)'!$A:$A)-3),"")</f>
        <v>44.1779113924051</v>
      </c>
      <c r="AF60" s="144" t="n">
        <f aca="false">IFERROR('Price History'!K3+(INDEX('Price History'!K:K,MATCH(9.99E+307,'Price History'!$A:$A))-'Price History'!K3)*(ROW()-3)/(MATCH(9.99E+307,'Returns (Calc)'!$A:$A)-3),"")</f>
        <v>27.9795569620253</v>
      </c>
      <c r="AG60" s="144" t="n">
        <f aca="false">IFERROR('Price History'!L3+(INDEX('Price History'!L:L,MATCH(9.99E+307,'Price History'!$A:$A))-'Price History'!L3)*(ROW()-3)/(MATCH(9.99E+307,'Returns (Calc)'!$A:$A)-3),"")</f>
        <v>71.4926582278481</v>
      </c>
      <c r="AH60" s="144" t="n">
        <f aca="false">IFERROR('Price History'!M3+(INDEX('Price History'!M:M,MATCH(9.99E+307,'Price History'!$A:$A))-'Price History'!M3)*(ROW()-3)/(MATCH(9.99E+307,'Returns (Calc)'!$A:$A)-3),"")</f>
        <v>9.79955696202532</v>
      </c>
      <c r="AI60" s="144" t="n">
        <f aca="false">IFERROR('Price History'!N3+(INDEX('Price History'!N:N,MATCH(9.99E+307,'Price History'!$A:$A))-'Price History'!N3)*(ROW()-3)/(MATCH(9.99E+307,'Returns (Calc)'!$A:$A)-3),"")</f>
        <v>13.9354430379747</v>
      </c>
      <c r="AJ60" s="144" t="n">
        <f aca="false">IFERROR('Price History'!O3+(INDEX('Price History'!O:O,MATCH(9.99E+307,'Price History'!$A:$A))-'Price History'!O3)*(ROW()-3)/(MATCH(9.99E+307,'Returns (Calc)'!$A:$A)-3),"")</f>
        <v>36.8394303797468</v>
      </c>
      <c r="AK60" s="144" t="n">
        <f aca="false">IFERROR('Price History'!Q3+(INDEX('Price History'!Q:Q,MATCH(9.99E+307,'Price History'!$A:$A))-'Price History'!Q3)*(ROW()-3)/(MATCH(9.99E+307,'Returns (Calc)'!$A:$A)-3),"")</f>
        <v>150.624240506329</v>
      </c>
      <c r="AL60" s="144" t="n">
        <f aca="false">IFERROR('Price History'!R3+(INDEX('Price History'!R:R,MATCH(9.99E+307,'Price History'!$A:$A))-'Price History'!R3)*(ROW()-3)/(MATCH(9.99E+307,'Returns (Calc)'!$A:$A)-3),"")</f>
        <v>30.5684810126582</v>
      </c>
      <c r="AM60" s="144" t="n">
        <f aca="false">IFERROR('Price History'!S3+(INDEX('Price History'!S:S,MATCH(9.99E+307,'Price History'!$A:$A))-'Price History'!S3)*(ROW()-3)/(MATCH(9.99E+307,'Returns (Calc)'!$A:$A)-3),"")</f>
        <v>37.4211392405063</v>
      </c>
      <c r="AN60" s="144" t="n">
        <f aca="false">IFERROR('Price History'!T3+(INDEX('Price History'!T:T,MATCH(9.99E+307,'Price History'!$A:$A))-'Price History'!T3)*(ROW()-3)/(MATCH(9.99E+307,'Returns (Calc)'!$A:$A)-3),"")</f>
        <v>17.2019620253165</v>
      </c>
      <c r="AO60" s="145" t="n">
        <f aca="false">IFERROR('Price History'!V3+(INDEX('Price History'!V:V,MATCH(9.99E+307,'Price History'!$A:$A))-'Price History'!V3)*(ROW()-3)/(MATCH(9.99E+307,'Returns (Calc)'!$A:$A)-3),"")</f>
        <v>0</v>
      </c>
    </row>
    <row r="61" customFormat="false" ht="15" hidden="false" customHeight="true" outlineLevel="0" collapsed="false">
      <c r="A61" s="141" t="n">
        <f aca="false">IF('Price History'!A62="","",'Price History'!A62)</f>
        <v>45597</v>
      </c>
      <c r="B61" s="142" t="n">
        <f aca="false">IFERROR(IF(OR(NOT(ISNUMBER('Price History'!B62)),NOT(ISNUMBER('Price History'!B61)),'Price History'!B61=0),"",'Price History'!B62/'Price History'!B61-1),"")</f>
        <v>-0.00190192673447454</v>
      </c>
      <c r="C61" s="142" t="n">
        <f aca="false">IFERROR(IF(OR(NOT(ISNUMBER('Price History'!C62)),NOT(ISNUMBER('Price History'!C61)),'Price History'!C61=0),"",'Price History'!C62/'Price History'!C61-1),"")</f>
        <v>0.000203004466098333</v>
      </c>
      <c r="D61" s="142" t="n">
        <f aca="false">IFERROR(IF(OR(NOT(ISNUMBER('Price History'!D62)),NOT(ISNUMBER('Price History'!D61)),'Price History'!D61=0),"",'Price History'!D62/'Price History'!D61-1),"")</f>
        <v>-0.0497449890709603</v>
      </c>
      <c r="E61" s="142" t="n">
        <f aca="false">IFERROR(IF(OR(NOT(ISNUMBER('Price History'!E62)),NOT(ISNUMBER('Price History'!E61)),'Price History'!E61=0),"",'Price History'!E62/'Price History'!E61-1),"")</f>
        <v>-0.0236387157473833</v>
      </c>
      <c r="F61" s="142" t="n">
        <f aca="false">IFERROR(IF(OR(NOT(ISNUMBER('Price History'!F62)),NOT(ISNUMBER('Price History'!F61)),'Price History'!F61=0),"",'Price History'!F62/'Price History'!F61-1),"")</f>
        <v>-0.00238974581794482</v>
      </c>
      <c r="G61" s="142" t="n">
        <f aca="false">IFERROR(IF(OR(NOT(ISNUMBER('Price History'!G62)),NOT(ISNUMBER('Price History'!G61)),'Price History'!G61=0),"",'Price History'!G62/'Price History'!G61-1),"")</f>
        <v>0.00838323353293413</v>
      </c>
      <c r="H61" s="142" t="n">
        <f aca="false">IFERROR(IF(OR(NOT(ISNUMBER('Price History'!H62)),NOT(ISNUMBER('Price History'!H61)),'Price History'!H61=0),"",'Price History'!H62/'Price History'!H61-1),"")</f>
        <v>-0.000963778009798411</v>
      </c>
      <c r="I61" s="142" t="n">
        <f aca="false">IFERROR(IF(OR(NOT(ISNUMBER('Price History'!I62)),NOT(ISNUMBER('Price History'!I61)),'Price History'!I61=0),"",'Price History'!I62/'Price History'!I61-1),"")</f>
        <v>-0.00557985220931989</v>
      </c>
      <c r="J61" s="142" t="n">
        <f aca="false">IFERROR(IF(OR(NOT(ISNUMBER('Price History'!J62)),NOT(ISNUMBER('Price History'!J61)),'Price History'!J61=0),"",'Price History'!J62/'Price History'!J61-1),"")</f>
        <v>-0.0758196721311476</v>
      </c>
      <c r="K61" s="142" t="n">
        <f aca="false">IFERROR(IF(OR(NOT(ISNUMBER('Price History'!K62)),NOT(ISNUMBER('Price History'!K61)),'Price History'!K61=0),"",'Price History'!K62/'Price History'!K61-1),"")</f>
        <v>-0.0433550580901105</v>
      </c>
      <c r="L61" s="142" t="n">
        <f aca="false">IFERROR(IF(OR(NOT(ISNUMBER('Price History'!L62)),NOT(ISNUMBER('Price History'!L61)),'Price History'!L61=0),"",'Price History'!L62/'Price History'!L61-1),"")</f>
        <v>-0.0352010187374933</v>
      </c>
      <c r="M61" s="142" t="n">
        <f aca="false">IFERROR(IF(OR(NOT(ISNUMBER('Price History'!M62)),NOT(ISNUMBER('Price History'!M61)),'Price History'!M61=0),"",'Price History'!M62/'Price History'!M61-1),"")</f>
        <v>-0.0655372269282211</v>
      </c>
      <c r="N61" s="142" t="n">
        <f aca="false">IFERROR(IF(OR(NOT(ISNUMBER('Price History'!N62)),NOT(ISNUMBER('Price History'!N61)),'Price History'!N61=0),"",'Price History'!N62/'Price History'!N61-1),"")</f>
        <v>-0.00152730049637273</v>
      </c>
      <c r="O61" s="142" t="n">
        <f aca="false">IFERROR(IF(OR(NOT(ISNUMBER('Price History'!O62)),NOT(ISNUMBER('Price History'!O61)),'Price History'!O61=0),"",'Price History'!O62/'Price History'!O61-1),"")</f>
        <v>-0.0137016332346815</v>
      </c>
      <c r="P61" s="142" t="n">
        <f aca="false">IFERROR(IF(OR(NOT(ISNUMBER('Price History'!P62)),NOT(ISNUMBER('Price History'!P61)),'Price History'!P61=0),"",'Price History'!P62/'Price History'!P61-1),"")</f>
        <v>-0.0515765085121385</v>
      </c>
      <c r="Q61" s="142" t="n">
        <f aca="false">IFERROR(IF(OR(NOT(ISNUMBER('Price History'!Q62)),NOT(ISNUMBER('Price History'!Q61)),'Price History'!Q61=0),"",'Price History'!Q62/'Price History'!Q61-1),"")</f>
        <v>0.0319582057286976</v>
      </c>
      <c r="R61" s="142" t="n">
        <f aca="false">IFERROR(IF(OR(NOT(ISNUMBER('Price History'!R62)),NOT(ISNUMBER('Price History'!R61)),'Price History'!R61=0),"",'Price History'!R62/'Price History'!R61-1),"")</f>
        <v>0.00716780003675788</v>
      </c>
      <c r="S61" s="142" t="n">
        <f aca="false">IFERROR(IF(OR(NOT(ISNUMBER('Price History'!S62)),NOT(ISNUMBER('Price History'!S61)),'Price History'!S61=0),"",'Price History'!S62/'Price History'!S61-1),"")</f>
        <v>-0.00209875179498509</v>
      </c>
      <c r="T61" s="142" t="n">
        <f aca="false">IFERROR(IF(OR(NOT(ISNUMBER('Price History'!T62)),NOT(ISNUMBER('Price History'!T61)),'Price History'!T61=0),"",'Price History'!T62/'Price History'!T61-1),"")</f>
        <v>0.00211225105612556</v>
      </c>
      <c r="U61" s="142" t="str">
        <f aca="false">IFERROR(IF(OR(NOT(ISNUMBER('Price History'!U62)),NOT(ISNUMBER('Price History'!U61)),'Price History'!U61=0),"",'Price History'!U62/'Price History'!U61-1),"")</f>
        <v/>
      </c>
      <c r="V61" s="143" t="n">
        <f aca="false">IFERROR(IF(OR(NOT(ISNUMBER('Price History'!V62)),NOT(ISNUMBER('Price History'!V61)),'Price History'!V61=0),"",'Price History'!V62/'Price History'!V61-1),"")</f>
        <v>-0.0337206815427391</v>
      </c>
      <c r="W61" s="144" t="str">
        <f aca="false">IFERROR('Price History'!B3+(INDEX('Price History'!B:B,MATCH(9.99E+307,'Price History'!$A:$A))-'Price History'!B3)*(ROW()-3)/(MATCH(9.99E+307,'Returns (Calc)'!$A:$A)-3),"")</f>
        <v/>
      </c>
      <c r="X61" s="144" t="n">
        <f aca="false">IFERROR('Price History'!C3+(INDEX('Price History'!C:C,MATCH(9.99E+307,'Price History'!$A:$A))-'Price History'!C3)*(ROW()-3)/(MATCH(9.99E+307,'Returns (Calc)'!$A:$A)-3),"")</f>
        <v>29.2278481012658</v>
      </c>
      <c r="Y61" s="144" t="n">
        <f aca="false">IFERROR('Price History'!D3+(INDEX('Price History'!D:D,MATCH(9.99E+307,'Price History'!$A:$A))-'Price History'!D3)*(ROW()-3)/(MATCH(9.99E+307,'Returns (Calc)'!$A:$A)-3),"")</f>
        <v>368.360759493671</v>
      </c>
      <c r="Z61" s="144" t="n">
        <f aca="false">IFERROR('Price History'!E3+(INDEX('Price History'!E:E,MATCH(9.99E+307,'Price History'!$A:$A))-'Price History'!E3)*(ROW()-3)/(MATCH(9.99E+307,'Returns (Calc)'!$A:$A)-3),"")</f>
        <v>51.8987341772152</v>
      </c>
      <c r="AA61" s="144" t="n">
        <f aca="false">IFERROR('Price History'!F3+(INDEX('Price History'!F:F,MATCH(9.99E+307,'Price History'!$A:$A))-'Price History'!F3)*(ROW()-3)/(MATCH(9.99E+307,'Returns (Calc)'!$A:$A)-3),"")</f>
        <v>47.6645569620253</v>
      </c>
      <c r="AB61" s="144" t="n">
        <f aca="false">IFERROR('Price History'!G3+(INDEX('Price History'!G:G,MATCH(9.99E+307,'Price History'!$A:$A))-'Price History'!G3)*(ROW()-3)/(MATCH(9.99E+307,'Returns (Calc)'!$A:$A)-3),"")</f>
        <v>26.1772151898734</v>
      </c>
      <c r="AC61" s="144" t="n">
        <f aca="false">IFERROR('Price History'!H3+(INDEX('Price History'!H:H,MATCH(9.99E+307,'Price History'!$A:$A))-'Price History'!H3)*(ROW()-3)/(MATCH(9.99E+307,'Returns (Calc)'!$A:$A)-3),"")</f>
        <v>63.6645569620253</v>
      </c>
      <c r="AD61" s="144" t="n">
        <f aca="false">IFERROR('Price History'!I3+(INDEX('Price History'!I:I,MATCH(9.99E+307,'Price History'!$A:$A))-'Price History'!I3)*(ROW()-3)/(MATCH(9.99E+307,'Returns (Calc)'!$A:$A)-3),"")</f>
        <v>28.0696202531646</v>
      </c>
      <c r="AE61" s="144" t="n">
        <f aca="false">IFERROR('Price History'!J3+(INDEX('Price History'!J:J,MATCH(9.99E+307,'Price History'!$A:$A))-'Price History'!J3)*(ROW()-3)/(MATCH(9.99E+307,'Returns (Calc)'!$A:$A)-3),"")</f>
        <v>43.7405063291139</v>
      </c>
      <c r="AF61" s="144" t="n">
        <f aca="false">IFERROR('Price History'!K3+(INDEX('Price History'!K:K,MATCH(9.99E+307,'Price History'!$A:$A))-'Price History'!K3)*(ROW()-3)/(MATCH(9.99E+307,'Returns (Calc)'!$A:$A)-3),"")</f>
        <v>27.7025316455696</v>
      </c>
      <c r="AG61" s="144" t="n">
        <f aca="false">IFERROR('Price History'!L3+(INDEX('Price History'!L:L,MATCH(9.99E+307,'Price History'!$A:$A))-'Price History'!L3)*(ROW()-3)/(MATCH(9.99E+307,'Returns (Calc)'!$A:$A)-3),"")</f>
        <v>70.7848101265823</v>
      </c>
      <c r="AH61" s="144" t="n">
        <f aca="false">IFERROR('Price History'!M3+(INDEX('Price History'!M:M,MATCH(9.99E+307,'Price History'!$A:$A))-'Price History'!M3)*(ROW()-3)/(MATCH(9.99E+307,'Returns (Calc)'!$A:$A)-3),"")</f>
        <v>9.70253164556962</v>
      </c>
      <c r="AI61" s="144" t="n">
        <f aca="false">IFERROR('Price History'!N3+(INDEX('Price History'!N:N,MATCH(9.99E+307,'Price History'!$A:$A))-'Price History'!N3)*(ROW()-3)/(MATCH(9.99E+307,'Returns (Calc)'!$A:$A)-3),"")</f>
        <v>13.7974683544304</v>
      </c>
      <c r="AJ61" s="144" t="n">
        <f aca="false">IFERROR('Price History'!O3+(INDEX('Price History'!O:O,MATCH(9.99E+307,'Price History'!$A:$A))-'Price History'!O3)*(ROW()-3)/(MATCH(9.99E+307,'Returns (Calc)'!$A:$A)-3),"")</f>
        <v>36.4746835443038</v>
      </c>
      <c r="AK61" s="144" t="n">
        <f aca="false">IFERROR('Price History'!Q3+(INDEX('Price History'!Q:Q,MATCH(9.99E+307,'Price History'!$A:$A))-'Price History'!Q3)*(ROW()-3)/(MATCH(9.99E+307,'Returns (Calc)'!$A:$A)-3),"")</f>
        <v>149.132911392405</v>
      </c>
      <c r="AL61" s="144" t="n">
        <f aca="false">IFERROR('Price History'!R3+(INDEX('Price History'!R:R,MATCH(9.99E+307,'Price History'!$A:$A))-'Price History'!R3)*(ROW()-3)/(MATCH(9.99E+307,'Returns (Calc)'!$A:$A)-3),"")</f>
        <v>30.2658227848101</v>
      </c>
      <c r="AM61" s="144" t="n">
        <f aca="false">IFERROR('Price History'!S3+(INDEX('Price History'!S:S,MATCH(9.99E+307,'Price History'!$A:$A))-'Price History'!S3)*(ROW()-3)/(MATCH(9.99E+307,'Returns (Calc)'!$A:$A)-3),"")</f>
        <v>37.0506329113924</v>
      </c>
      <c r="AN61" s="144" t="n">
        <f aca="false">IFERROR('Price History'!T3+(INDEX('Price History'!T:T,MATCH(9.99E+307,'Price History'!$A:$A))-'Price History'!T3)*(ROW()-3)/(MATCH(9.99E+307,'Returns (Calc)'!$A:$A)-3),"")</f>
        <v>17.0316455696203</v>
      </c>
      <c r="AO61" s="145" t="n">
        <f aca="false">IFERROR('Price History'!V3+(INDEX('Price History'!V:V,MATCH(9.99E+307,'Price History'!$A:$A))-'Price History'!V3)*(ROW()-3)/(MATCH(9.99E+307,'Returns (Calc)'!$A:$A)-3),"")</f>
        <v>0</v>
      </c>
    </row>
    <row r="62" customFormat="false" ht="15" hidden="false" customHeight="true" outlineLevel="0" collapsed="false">
      <c r="A62" s="141" t="n">
        <f aca="false">IF('Price History'!A63="","",'Price History'!A63)</f>
        <v>45604</v>
      </c>
      <c r="B62" s="142" t="n">
        <f aca="false">IFERROR(IF(OR(NOT(ISNUMBER('Price History'!B63)),NOT(ISNUMBER('Price History'!B62)),'Price History'!B62=0),"",'Price History'!B63/'Price History'!B62-1),"")</f>
        <v>0.0246064623032312</v>
      </c>
      <c r="C62" s="142" t="n">
        <f aca="false">IFERROR(IF(OR(NOT(ISNUMBER('Price History'!C63)),NOT(ISNUMBER('Price History'!C62)),'Price History'!C62=0),"",'Price History'!C63/'Price History'!C62-1),"")</f>
        <v>0.0159326161964684</v>
      </c>
      <c r="D62" s="142" t="n">
        <f aca="false">IFERROR(IF(OR(NOT(ISNUMBER('Price History'!D63)),NOT(ISNUMBER('Price History'!D62)),'Price History'!D62=0),"",'Price History'!D63/'Price History'!D62-1),"")</f>
        <v>-0.00780275125911445</v>
      </c>
      <c r="E62" s="142" t="n">
        <f aca="false">IFERROR(IF(OR(NOT(ISNUMBER('Price History'!E63)),NOT(ISNUMBER('Price History'!E62)),'Price History'!E62=0),"",'Price History'!E63/'Price History'!E62-1),"")</f>
        <v>0.0871476752589737</v>
      </c>
      <c r="F62" s="142" t="n">
        <f aca="false">IFERROR(IF(OR(NOT(ISNUMBER('Price History'!F63)),NOT(ISNUMBER('Price History'!F62)),'Price History'!F62=0),"",'Price History'!F63/'Price History'!F62-1),"")</f>
        <v>0.0886324041811846</v>
      </c>
      <c r="G62" s="142" t="n">
        <f aca="false">IFERROR(IF(OR(NOT(ISNUMBER('Price History'!G63)),NOT(ISNUMBER('Price History'!G62)),'Price History'!G62=0),"",'Price History'!G63/'Price History'!G62-1),"")</f>
        <v>0.0888097123251519</v>
      </c>
      <c r="H62" s="142" t="n">
        <f aca="false">IFERROR(IF(OR(NOT(ISNUMBER('Price History'!H63)),NOT(ISNUMBER('Price History'!H62)),'Price History'!H62=0),"",'Price History'!H63/'Price History'!H62-1),"")</f>
        <v>0.0347294798617253</v>
      </c>
      <c r="I62" s="142" t="n">
        <f aca="false">IFERROR(IF(OR(NOT(ISNUMBER('Price History'!I63)),NOT(ISNUMBER('Price History'!I62)),'Price History'!I62=0),"",'Price History'!I63/'Price History'!I62-1),"")</f>
        <v>0.02699423718532</v>
      </c>
      <c r="J62" s="142" t="n">
        <f aca="false">IFERROR(IF(OR(NOT(ISNUMBER('Price History'!J63)),NOT(ISNUMBER('Price History'!J62)),'Price History'!J62=0),"",'Price History'!J63/'Price History'!J62-1),"")</f>
        <v>0.122052005644023</v>
      </c>
      <c r="K62" s="142" t="n">
        <f aca="false">IFERROR(IF(OR(NOT(ISNUMBER('Price History'!K63)),NOT(ISNUMBER('Price History'!K62)),'Price History'!K62=0),"",'Price History'!K63/'Price History'!K62-1),"")</f>
        <v>0.0902695497630333</v>
      </c>
      <c r="L62" s="142" t="n">
        <f aca="false">IFERROR(IF(OR(NOT(ISNUMBER('Price History'!L63)),NOT(ISNUMBER('Price History'!L62)),'Price History'!L62=0),"",'Price History'!L63/'Price History'!L62-1),"")</f>
        <v>0.0214009616291129</v>
      </c>
      <c r="M62" s="142" t="n">
        <f aca="false">IFERROR(IF(OR(NOT(ISNUMBER('Price History'!M63)),NOT(ISNUMBER('Price History'!M62)),'Price History'!M62=0),"",'Price History'!M63/'Price History'!M62-1),"")</f>
        <v>0.392891221374046</v>
      </c>
      <c r="N62" s="142" t="n">
        <f aca="false">IFERROR(IF(OR(NOT(ISNUMBER('Price History'!N63)),NOT(ISNUMBER('Price History'!N62)),'Price History'!N62=0),"",'Price History'!N63/'Price History'!N62-1),"")</f>
        <v>0.0347992351816444</v>
      </c>
      <c r="O62" s="142" t="n">
        <f aca="false">IFERROR(IF(OR(NOT(ISNUMBER('Price History'!O63)),NOT(ISNUMBER('Price History'!O62)),'Price History'!O62=0),"",'Price History'!O63/'Price History'!O62-1),"")</f>
        <v>0.0597910646810402</v>
      </c>
      <c r="P62" s="142" t="n">
        <f aca="false">IFERROR(IF(OR(NOT(ISNUMBER('Price History'!P63)),NOT(ISNUMBER('Price History'!P62)),'Price History'!P62=0),"",'Price History'!P63/'Price History'!P62-1),"")</f>
        <v>0.0427509293680297</v>
      </c>
      <c r="Q62" s="142" t="n">
        <f aca="false">IFERROR(IF(OR(NOT(ISNUMBER('Price History'!Q63)),NOT(ISNUMBER('Price History'!Q62)),'Price History'!Q62=0),"",'Price History'!Q63/'Price History'!Q62-1),"")</f>
        <v>0.0589344319530758</v>
      </c>
      <c r="R62" s="142" t="n">
        <f aca="false">IFERROR(IF(OR(NOT(ISNUMBER('Price History'!R63)),NOT(ISNUMBER('Price History'!R62)),'Price History'!R62=0),"",'Price History'!R63/'Price History'!R62-1),"")</f>
        <v>-0.00784671532846715</v>
      </c>
      <c r="S62" s="142" t="n">
        <f aca="false">IFERROR(IF(OR(NOT(ISNUMBER('Price History'!S63)),NOT(ISNUMBER('Price History'!S62)),'Price History'!S62=0),"",'Price History'!S63/'Price History'!S62-1),"")</f>
        <v>0.0149435466017267</v>
      </c>
      <c r="T62" s="142" t="n">
        <f aca="false">IFERROR(IF(OR(NOT(ISNUMBER('Price History'!T63)),NOT(ISNUMBER('Price History'!T62)),'Price History'!T62=0),"",'Price History'!T63/'Price History'!T62-1),"")</f>
        <v>0.0186690755796446</v>
      </c>
      <c r="U62" s="142" t="str">
        <f aca="false">IFERROR(IF(OR(NOT(ISNUMBER('Price History'!U63)),NOT(ISNUMBER('Price History'!U62)),'Price History'!U62=0),"",'Price History'!U63/'Price History'!U62-1),"")</f>
        <v/>
      </c>
      <c r="V62" s="143" t="n">
        <f aca="false">IFERROR(IF(OR(NOT(ISNUMBER('Price History'!V63)),NOT(ISNUMBER('Price History'!V62)),'Price History'!V62=0),"",'Price History'!V63/'Price History'!V62-1),"")</f>
        <v>0.010033938320791</v>
      </c>
      <c r="W62" s="144" t="str">
        <f aca="false">IFERROR('Price History'!B3+(INDEX('Price History'!B:B,MATCH(9.99E+307,'Price History'!$A:$A))-'Price History'!B3)*(ROW()-3)/(MATCH(9.99E+307,'Returns (Calc)'!$A:$A)-3),"")</f>
        <v/>
      </c>
      <c r="X62" s="144" t="n">
        <f aca="false">IFERROR('Price History'!C3+(INDEX('Price History'!C:C,MATCH(9.99E+307,'Price History'!$A:$A))-'Price History'!C3)*(ROW()-3)/(MATCH(9.99E+307,'Returns (Calc)'!$A:$A)-3),"")</f>
        <v>28.9355696202532</v>
      </c>
      <c r="Y62" s="144" t="n">
        <f aca="false">IFERROR('Price History'!D3+(INDEX('Price History'!D:D,MATCH(9.99E+307,'Price History'!$A:$A))-'Price History'!D3)*(ROW()-3)/(MATCH(9.99E+307,'Returns (Calc)'!$A:$A)-3),"")</f>
        <v>364.677151898734</v>
      </c>
      <c r="Z62" s="144" t="n">
        <f aca="false">IFERROR('Price History'!E3+(INDEX('Price History'!E:E,MATCH(9.99E+307,'Price History'!$A:$A))-'Price History'!E3)*(ROW()-3)/(MATCH(9.99E+307,'Returns (Calc)'!$A:$A)-3),"")</f>
        <v>51.379746835443</v>
      </c>
      <c r="AA62" s="144" t="n">
        <f aca="false">IFERROR('Price History'!F3+(INDEX('Price History'!F:F,MATCH(9.99E+307,'Price History'!$A:$A))-'Price History'!F3)*(ROW()-3)/(MATCH(9.99E+307,'Returns (Calc)'!$A:$A)-3),"")</f>
        <v>47.1879113924051</v>
      </c>
      <c r="AB62" s="144" t="n">
        <f aca="false">IFERROR('Price History'!G3+(INDEX('Price History'!G:G,MATCH(9.99E+307,'Price History'!$A:$A))-'Price History'!G3)*(ROW()-3)/(MATCH(9.99E+307,'Returns (Calc)'!$A:$A)-3),"")</f>
        <v>25.9154430379747</v>
      </c>
      <c r="AC62" s="144" t="n">
        <f aca="false">IFERROR('Price History'!H3+(INDEX('Price History'!H:H,MATCH(9.99E+307,'Price History'!$A:$A))-'Price History'!H3)*(ROW()-3)/(MATCH(9.99E+307,'Returns (Calc)'!$A:$A)-3),"")</f>
        <v>63.0279113924051</v>
      </c>
      <c r="AD62" s="144" t="n">
        <f aca="false">IFERROR('Price History'!I3+(INDEX('Price History'!I:I,MATCH(9.99E+307,'Price History'!$A:$A))-'Price History'!I3)*(ROW()-3)/(MATCH(9.99E+307,'Returns (Calc)'!$A:$A)-3),"")</f>
        <v>27.7889240506329</v>
      </c>
      <c r="AE62" s="144" t="n">
        <f aca="false">IFERROR('Price History'!J3+(INDEX('Price History'!J:J,MATCH(9.99E+307,'Price History'!$A:$A))-'Price History'!J3)*(ROW()-3)/(MATCH(9.99E+307,'Returns (Calc)'!$A:$A)-3),"")</f>
        <v>43.3031012658228</v>
      </c>
      <c r="AF62" s="144" t="n">
        <f aca="false">IFERROR('Price History'!K3+(INDEX('Price History'!K:K,MATCH(9.99E+307,'Price History'!$A:$A))-'Price History'!K3)*(ROW()-3)/(MATCH(9.99E+307,'Returns (Calc)'!$A:$A)-3),"")</f>
        <v>27.4255063291139</v>
      </c>
      <c r="AG62" s="144" t="n">
        <f aca="false">IFERROR('Price History'!L3+(INDEX('Price History'!L:L,MATCH(9.99E+307,'Price History'!$A:$A))-'Price History'!L3)*(ROW()-3)/(MATCH(9.99E+307,'Returns (Calc)'!$A:$A)-3),"")</f>
        <v>70.0769620253165</v>
      </c>
      <c r="AH62" s="144" t="n">
        <f aca="false">IFERROR('Price History'!M3+(INDEX('Price History'!M:M,MATCH(9.99E+307,'Price History'!$A:$A))-'Price History'!M3)*(ROW()-3)/(MATCH(9.99E+307,'Returns (Calc)'!$A:$A)-3),"")</f>
        <v>9.60550632911392</v>
      </c>
      <c r="AI62" s="144" t="n">
        <f aca="false">IFERROR('Price History'!N3+(INDEX('Price History'!N:N,MATCH(9.99E+307,'Price History'!$A:$A))-'Price History'!N3)*(ROW()-3)/(MATCH(9.99E+307,'Returns (Calc)'!$A:$A)-3),"")</f>
        <v>13.6594936708861</v>
      </c>
      <c r="AJ62" s="144" t="n">
        <f aca="false">IFERROR('Price History'!O3+(INDEX('Price History'!O:O,MATCH(9.99E+307,'Price History'!$A:$A))-'Price History'!O3)*(ROW()-3)/(MATCH(9.99E+307,'Returns (Calc)'!$A:$A)-3),"")</f>
        <v>36.1099367088608</v>
      </c>
      <c r="AK62" s="144" t="n">
        <f aca="false">IFERROR('Price History'!Q3+(INDEX('Price History'!Q:Q,MATCH(9.99E+307,'Price History'!$A:$A))-'Price History'!Q3)*(ROW()-3)/(MATCH(9.99E+307,'Returns (Calc)'!$A:$A)-3),"")</f>
        <v>147.641582278481</v>
      </c>
      <c r="AL62" s="144" t="n">
        <f aca="false">IFERROR('Price History'!R3+(INDEX('Price History'!R:R,MATCH(9.99E+307,'Price History'!$A:$A))-'Price History'!R3)*(ROW()-3)/(MATCH(9.99E+307,'Returns (Calc)'!$A:$A)-3),"")</f>
        <v>29.963164556962</v>
      </c>
      <c r="AM62" s="144" t="n">
        <f aca="false">IFERROR('Price History'!S3+(INDEX('Price History'!S:S,MATCH(9.99E+307,'Price History'!$A:$A))-'Price History'!S3)*(ROW()-3)/(MATCH(9.99E+307,'Returns (Calc)'!$A:$A)-3),"")</f>
        <v>36.6801265822785</v>
      </c>
      <c r="AN62" s="144" t="n">
        <f aca="false">IFERROR('Price History'!T3+(INDEX('Price History'!T:T,MATCH(9.99E+307,'Price History'!$A:$A))-'Price History'!T3)*(ROW()-3)/(MATCH(9.99E+307,'Returns (Calc)'!$A:$A)-3),"")</f>
        <v>16.8613291139241</v>
      </c>
      <c r="AO62" s="145" t="n">
        <f aca="false">IFERROR('Price History'!V3+(INDEX('Price History'!V:V,MATCH(9.99E+307,'Price History'!$A:$A))-'Price History'!V3)*(ROW()-3)/(MATCH(9.99E+307,'Returns (Calc)'!$A:$A)-3),"")</f>
        <v>0</v>
      </c>
    </row>
    <row r="63" customFormat="false" ht="15" hidden="false" customHeight="true" outlineLevel="0" collapsed="false">
      <c r="A63" s="141" t="n">
        <f aca="false">IF('Price History'!A64="","",'Price History'!A64)</f>
        <v>45611</v>
      </c>
      <c r="B63" s="142" t="n">
        <f aca="false">IFERROR(IF(OR(NOT(ISNUMBER('Price History'!B64)),NOT(ISNUMBER('Price History'!B63)),'Price History'!B63=0),"",'Price History'!B64/'Price History'!B63-1),"")</f>
        <v>0.0175669119430744</v>
      </c>
      <c r="C63" s="142" t="n">
        <f aca="false">IFERROR(IF(OR(NOT(ISNUMBER('Price History'!C64)),NOT(ISNUMBER('Price History'!C63)),'Price History'!C63=0),"",'Price History'!C64/'Price History'!C63-1),"")</f>
        <v>-0.0650284686844471</v>
      </c>
      <c r="D63" s="142" t="n">
        <f aca="false">IFERROR(IF(OR(NOT(ISNUMBER('Price History'!D64)),NOT(ISNUMBER('Price History'!D63)),'Price History'!D63=0),"",'Price History'!D64/'Price History'!D63-1),"")</f>
        <v>-0.0161827989575126</v>
      </c>
      <c r="E63" s="142" t="n">
        <f aca="false">IFERROR(IF(OR(NOT(ISNUMBER('Price History'!E64)),NOT(ISNUMBER('Price History'!E63)),'Price History'!E63=0),"",'Price History'!E64/'Price History'!E63-1),"")</f>
        <v>-0.102376599634369</v>
      </c>
      <c r="F63" s="142" t="n">
        <f aca="false">IFERROR(IF(OR(NOT(ISNUMBER('Price History'!F64)),NOT(ISNUMBER('Price History'!F63)),'Price History'!F63=0),"",'Price History'!F64/'Price History'!F63-1),"")</f>
        <v>-0.0194038807761552</v>
      </c>
      <c r="G63" s="142" t="n">
        <f aca="false">IFERROR(IF(OR(NOT(ISNUMBER('Price History'!G64)),NOT(ISNUMBER('Price History'!G63)),'Price History'!G63=0),"",'Price History'!G64/'Price History'!G63-1),"")</f>
        <v>0.020361168343231</v>
      </c>
      <c r="H63" s="142" t="n">
        <f aca="false">IFERROR(IF(OR(NOT(ISNUMBER('Price History'!H64)),NOT(ISNUMBER('Price History'!H63)),'Price History'!H63=0),"",'Price History'!H64/'Price History'!H63-1),"")</f>
        <v>0.00124310465387301</v>
      </c>
      <c r="I63" s="142" t="n">
        <f aca="false">IFERROR(IF(OR(NOT(ISNUMBER('Price History'!I64)),NOT(ISNUMBER('Price History'!I63)),'Price History'!I63=0),"",'Price History'!I64/'Price History'!I63-1),"")</f>
        <v>-0.106172474896633</v>
      </c>
      <c r="J63" s="142" t="n">
        <f aca="false">IFERROR(IF(OR(NOT(ISNUMBER('Price History'!J64)),NOT(ISNUMBER('Price History'!J63)),'Price History'!J63=0),"",'Price History'!J64/'Price History'!J63-1),"")</f>
        <v>-0.139046079223929</v>
      </c>
      <c r="K63" s="142" t="n">
        <f aca="false">IFERROR(IF(OR(NOT(ISNUMBER('Price History'!K64)),NOT(ISNUMBER('Price History'!K63)),'Price History'!K63=0),"",'Price History'!K64/'Price History'!K63-1),"")</f>
        <v>-0.038239489234531</v>
      </c>
      <c r="L63" s="142" t="n">
        <f aca="false">IFERROR(IF(OR(NOT(ISNUMBER('Price History'!L64)),NOT(ISNUMBER('Price History'!L63)),'Price History'!L63=0),"",'Price History'!L64/'Price History'!L63-1),"")</f>
        <v>-0.0207679527413698</v>
      </c>
      <c r="M63" s="142" t="n">
        <f aca="false">IFERROR(IF(OR(NOT(ISNUMBER('Price History'!M64)),NOT(ISNUMBER('Price History'!M63)),'Price History'!M63=0),"",'Price History'!M64/'Price History'!M63-1),"")</f>
        <v>0.126391505394759</v>
      </c>
      <c r="N63" s="142" t="n">
        <f aca="false">IFERROR(IF(OR(NOT(ISNUMBER('Price History'!N64)),NOT(ISNUMBER('Price History'!N63)),'Price History'!N63=0),"",'Price History'!N64/'Price History'!N63-1),"")</f>
        <v>-0.0155210643015521</v>
      </c>
      <c r="O63" s="142" t="n">
        <f aca="false">IFERROR(IF(OR(NOT(ISNUMBER('Price History'!O64)),NOT(ISNUMBER('Price History'!O63)),'Price History'!O63=0),"",'Price History'!O64/'Price History'!O63-1),"")</f>
        <v>-0.0308305369127516</v>
      </c>
      <c r="P63" s="142" t="n">
        <f aca="false">IFERROR(IF(OR(NOT(ISNUMBER('Price History'!P64)),NOT(ISNUMBER('Price History'!P63)),'Price History'!P63=0),"",'Price History'!P64/'Price History'!P63-1),"")</f>
        <v>-0.0754774637127578</v>
      </c>
      <c r="Q63" s="142" t="n">
        <f aca="false">IFERROR(IF(OR(NOT(ISNUMBER('Price History'!Q64)),NOT(ISNUMBER('Price History'!Q63)),'Price History'!Q63=0),"",'Price History'!Q64/'Price History'!Q63-1),"")</f>
        <v>0.00764919221892524</v>
      </c>
      <c r="R63" s="142" t="n">
        <f aca="false">IFERROR(IF(OR(NOT(ISNUMBER('Price History'!R64)),NOT(ISNUMBER('Price History'!R63)),'Price History'!R63=0),"",'Price History'!R64/'Price History'!R63-1),"")</f>
        <v>0.00901232297222743</v>
      </c>
      <c r="S63" s="142" t="n">
        <f aca="false">IFERROR(IF(OR(NOT(ISNUMBER('Price History'!S64)),NOT(ISNUMBER('Price History'!S63)),'Price History'!S63=0),"",'Price History'!S64/'Price History'!S63-1),"")</f>
        <v>0.021594503217363</v>
      </c>
      <c r="T63" s="142" t="n">
        <f aca="false">IFERROR(IF(OR(NOT(ISNUMBER('Price History'!T64)),NOT(ISNUMBER('Price History'!T63)),'Price History'!T63=0),"",'Price History'!T64/'Price History'!T63-1),"")</f>
        <v>0.00354714750221707</v>
      </c>
      <c r="U63" s="142" t="str">
        <f aca="false">IFERROR(IF(OR(NOT(ISNUMBER('Price History'!U64)),NOT(ISNUMBER('Price History'!U63)),'Price History'!U63=0),"",'Price History'!U64/'Price History'!U63-1),"")</f>
        <v/>
      </c>
      <c r="V63" s="143" t="n">
        <f aca="false">IFERROR(IF(OR(NOT(ISNUMBER('Price History'!V64)),NOT(ISNUMBER('Price History'!V63)),'Price History'!V63=0),"",'Price History'!V64/'Price History'!V63-1),"")</f>
        <v>-0.000328707085463953</v>
      </c>
      <c r="W63" s="144" t="str">
        <f aca="false">IFERROR('Price History'!B3+(INDEX('Price History'!B:B,MATCH(9.99E+307,'Price History'!$A:$A))-'Price History'!B3)*(ROW()-3)/(MATCH(9.99E+307,'Returns (Calc)'!$A:$A)-3),"")</f>
        <v/>
      </c>
      <c r="X63" s="144" t="n">
        <f aca="false">IFERROR('Price History'!C3+(INDEX('Price History'!C:C,MATCH(9.99E+307,'Price History'!$A:$A))-'Price History'!C3)*(ROW()-3)/(MATCH(9.99E+307,'Returns (Calc)'!$A:$A)-3),"")</f>
        <v>28.6432911392405</v>
      </c>
      <c r="Y63" s="144" t="n">
        <f aca="false">IFERROR('Price History'!D3+(INDEX('Price History'!D:D,MATCH(9.99E+307,'Price History'!$A:$A))-'Price History'!D3)*(ROW()-3)/(MATCH(9.99E+307,'Returns (Calc)'!$A:$A)-3),"")</f>
        <v>360.993544303798</v>
      </c>
      <c r="Z63" s="144" t="n">
        <f aca="false">IFERROR('Price History'!E3+(INDEX('Price History'!E:E,MATCH(9.99E+307,'Price History'!$A:$A))-'Price History'!E3)*(ROW()-3)/(MATCH(9.99E+307,'Returns (Calc)'!$A:$A)-3),"")</f>
        <v>50.8607594936709</v>
      </c>
      <c r="AA63" s="144" t="n">
        <f aca="false">IFERROR('Price History'!F3+(INDEX('Price History'!F:F,MATCH(9.99E+307,'Price History'!$A:$A))-'Price History'!F3)*(ROW()-3)/(MATCH(9.99E+307,'Returns (Calc)'!$A:$A)-3),"")</f>
        <v>46.7112658227848</v>
      </c>
      <c r="AB63" s="144" t="n">
        <f aca="false">IFERROR('Price History'!G3+(INDEX('Price History'!G:G,MATCH(9.99E+307,'Price History'!$A:$A))-'Price History'!G3)*(ROW()-3)/(MATCH(9.99E+307,'Returns (Calc)'!$A:$A)-3),"")</f>
        <v>25.653670886076</v>
      </c>
      <c r="AC63" s="144" t="n">
        <f aca="false">IFERROR('Price History'!H3+(INDEX('Price History'!H:H,MATCH(9.99E+307,'Price History'!$A:$A))-'Price History'!H3)*(ROW()-3)/(MATCH(9.99E+307,'Returns (Calc)'!$A:$A)-3),"")</f>
        <v>62.3912658227848</v>
      </c>
      <c r="AD63" s="144" t="n">
        <f aca="false">IFERROR('Price History'!I3+(INDEX('Price History'!I:I,MATCH(9.99E+307,'Price History'!$A:$A))-'Price History'!I3)*(ROW()-3)/(MATCH(9.99E+307,'Returns (Calc)'!$A:$A)-3),"")</f>
        <v>27.5082278481013</v>
      </c>
      <c r="AE63" s="144" t="n">
        <f aca="false">IFERROR('Price History'!J3+(INDEX('Price History'!J:J,MATCH(9.99E+307,'Price History'!$A:$A))-'Price History'!J3)*(ROW()-3)/(MATCH(9.99E+307,'Returns (Calc)'!$A:$A)-3),"")</f>
        <v>42.8656962025316</v>
      </c>
      <c r="AF63" s="144" t="n">
        <f aca="false">IFERROR('Price History'!K3+(INDEX('Price History'!K:K,MATCH(9.99E+307,'Price History'!$A:$A))-'Price History'!K3)*(ROW()-3)/(MATCH(9.99E+307,'Returns (Calc)'!$A:$A)-3),"")</f>
        <v>27.1484810126582</v>
      </c>
      <c r="AG63" s="144" t="n">
        <f aca="false">IFERROR('Price History'!L3+(INDEX('Price History'!L:L,MATCH(9.99E+307,'Price History'!$A:$A))-'Price History'!L3)*(ROW()-3)/(MATCH(9.99E+307,'Returns (Calc)'!$A:$A)-3),"")</f>
        <v>69.3691139240506</v>
      </c>
      <c r="AH63" s="144" t="n">
        <f aca="false">IFERROR('Price History'!M3+(INDEX('Price History'!M:M,MATCH(9.99E+307,'Price History'!$A:$A))-'Price History'!M3)*(ROW()-3)/(MATCH(9.99E+307,'Returns (Calc)'!$A:$A)-3),"")</f>
        <v>9.50848101265823</v>
      </c>
      <c r="AI63" s="144" t="n">
        <f aca="false">IFERROR('Price History'!N3+(INDEX('Price History'!N:N,MATCH(9.99E+307,'Price History'!$A:$A))-'Price History'!N3)*(ROW()-3)/(MATCH(9.99E+307,'Returns (Calc)'!$A:$A)-3),"")</f>
        <v>13.5215189873418</v>
      </c>
      <c r="AJ63" s="144" t="n">
        <f aca="false">IFERROR('Price History'!O3+(INDEX('Price History'!O:O,MATCH(9.99E+307,'Price History'!$A:$A))-'Price History'!O3)*(ROW()-3)/(MATCH(9.99E+307,'Returns (Calc)'!$A:$A)-3),"")</f>
        <v>35.7451898734177</v>
      </c>
      <c r="AK63" s="144" t="n">
        <f aca="false">IFERROR('Price History'!Q3+(INDEX('Price History'!Q:Q,MATCH(9.99E+307,'Price History'!$A:$A))-'Price History'!Q3)*(ROW()-3)/(MATCH(9.99E+307,'Returns (Calc)'!$A:$A)-3),"")</f>
        <v>146.150253164557</v>
      </c>
      <c r="AL63" s="144" t="n">
        <f aca="false">IFERROR('Price History'!R3+(INDEX('Price History'!R:R,MATCH(9.99E+307,'Price History'!$A:$A))-'Price History'!R3)*(ROW()-3)/(MATCH(9.99E+307,'Returns (Calc)'!$A:$A)-3),"")</f>
        <v>29.6605063291139</v>
      </c>
      <c r="AM63" s="144" t="n">
        <f aca="false">IFERROR('Price History'!S3+(INDEX('Price History'!S:S,MATCH(9.99E+307,'Price History'!$A:$A))-'Price History'!S3)*(ROW()-3)/(MATCH(9.99E+307,'Returns (Calc)'!$A:$A)-3),"")</f>
        <v>36.3096202531646</v>
      </c>
      <c r="AN63" s="144" t="n">
        <f aca="false">IFERROR('Price History'!T3+(INDEX('Price History'!T:T,MATCH(9.99E+307,'Price History'!$A:$A))-'Price History'!T3)*(ROW()-3)/(MATCH(9.99E+307,'Returns (Calc)'!$A:$A)-3),"")</f>
        <v>16.6910126582278</v>
      </c>
      <c r="AO63" s="145" t="n">
        <f aca="false">IFERROR('Price History'!V3+(INDEX('Price History'!V:V,MATCH(9.99E+307,'Price History'!$A:$A))-'Price History'!V3)*(ROW()-3)/(MATCH(9.99E+307,'Returns (Calc)'!$A:$A)-3),"")</f>
        <v>0</v>
      </c>
    </row>
    <row r="64" customFormat="false" ht="15" hidden="false" customHeight="true" outlineLevel="0" collapsed="false">
      <c r="A64" s="141" t="n">
        <f aca="false">IF('Price History'!A65="","",'Price History'!A65)</f>
        <v>45618</v>
      </c>
      <c r="B64" s="142" t="n">
        <f aca="false">IFERROR(IF(OR(NOT(ISNUMBER('Price History'!B65)),NOT(ISNUMBER('Price History'!B64)),'Price History'!B64=0),"",'Price History'!B65/'Price History'!B64-1),"")</f>
        <v>0.0174424379680951</v>
      </c>
      <c r="C64" s="142" t="n">
        <f aca="false">IFERROR(IF(OR(NOT(ISNUMBER('Price History'!C65)),NOT(ISNUMBER('Price History'!C64)),'Price History'!C64=0),"",'Price History'!C65/'Price History'!C64-1),"")</f>
        <v>0.0856837606837608</v>
      </c>
      <c r="D64" s="142" t="n">
        <f aca="false">IFERROR(IF(OR(NOT(ISNUMBER('Price History'!D65)),NOT(ISNUMBER('Price History'!D64)),'Price History'!D64=0),"",'Price History'!D65/'Price History'!D64-1),"")</f>
        <v>0.0216239526860524</v>
      </c>
      <c r="E64" s="142" t="n">
        <f aca="false">IFERROR(IF(OR(NOT(ISNUMBER('Price History'!E65)),NOT(ISNUMBER('Price History'!E64)),'Price History'!E64=0),"",'Price History'!E65/'Price History'!E64-1),"")</f>
        <v>-0.00370301795963712</v>
      </c>
      <c r="F64" s="142" t="n">
        <f aca="false">IFERROR(IF(OR(NOT(ISNUMBER('Price History'!F65)),NOT(ISNUMBER('Price History'!F64)),'Price History'!F64=0),"",'Price History'!F65/'Price History'!F64-1),"")</f>
        <v>0.036515707874337</v>
      </c>
      <c r="G64" s="142" t="n">
        <f aca="false">IFERROR(IF(OR(NOT(ISNUMBER('Price History'!G65)),NOT(ISNUMBER('Price History'!G64)),'Price History'!G64=0),"",'Price History'!G65/'Price History'!G64-1),"")</f>
        <v>0.10547570970424</v>
      </c>
      <c r="H64" s="142" t="n">
        <f aca="false">IFERROR(IF(OR(NOT(ISNUMBER('Price History'!H65)),NOT(ISNUMBER('Price History'!H64)),'Price History'!H64=0),"",'Price History'!H65/'Price History'!H64-1),"")</f>
        <v>0.0271591526344379</v>
      </c>
      <c r="I64" s="142" t="n">
        <f aca="false">IFERROR(IF(OR(NOT(ISNUMBER('Price History'!I65)),NOT(ISNUMBER('Price History'!I64)),'Price History'!I64=0),"",'Price History'!I65/'Price History'!I64-1),"")</f>
        <v>0.0437799438295059</v>
      </c>
      <c r="J64" s="142" t="n">
        <f aca="false">IFERROR(IF(OR(NOT(ISNUMBER('Price History'!J65)),NOT(ISNUMBER('Price History'!J64)),'Price History'!J64=0),"",'Price History'!J65/'Price History'!J64-1),"")</f>
        <v>0.0653103808033386</v>
      </c>
      <c r="K64" s="142" t="n">
        <f aca="false">IFERROR(IF(OR(NOT(ISNUMBER('Price History'!K65)),NOT(ISNUMBER('Price History'!K64)),'Price History'!K64=0),"",'Price History'!K65/'Price History'!K64-1),"")</f>
        <v>-0.000211864406779672</v>
      </c>
      <c r="L64" s="142" t="n">
        <f aca="false">IFERROR(IF(OR(NOT(ISNUMBER('Price History'!L65)),NOT(ISNUMBER('Price History'!L64)),'Price History'!L64=0),"",'Price History'!L65/'Price History'!L64-1),"")</f>
        <v>0.0209256291827693</v>
      </c>
      <c r="M64" s="142" t="n">
        <f aca="false">IFERROR(IF(OR(NOT(ISNUMBER('Price History'!M65)),NOT(ISNUMBER('Price History'!M64)),'Price History'!M64=0),"",'Price History'!M65/'Price History'!M64-1),"")</f>
        <v>-0.0215903907556637</v>
      </c>
      <c r="N64" s="142" t="n">
        <f aca="false">IFERROR(IF(OR(NOT(ISNUMBER('Price History'!N65)),NOT(ISNUMBER('Price History'!N64)),'Price History'!N64=0),"",'Price History'!N65/'Price History'!N64-1),"")</f>
        <v>0.0251501501501501</v>
      </c>
      <c r="O64" s="142" t="n">
        <f aca="false">IFERROR(IF(OR(NOT(ISNUMBER('Price History'!O65)),NOT(ISNUMBER('Price History'!O64)),'Price History'!O64=0),"",'Price History'!O65/'Price History'!O64-1),"")</f>
        <v>0.0178532785111447</v>
      </c>
      <c r="P64" s="142" t="n">
        <f aca="false">IFERROR(IF(OR(NOT(ISNUMBER('Price History'!P65)),NOT(ISNUMBER('Price History'!P64)),'Price History'!P64=0),"",'Price History'!P65/'Price History'!P64-1),"")</f>
        <v>0.0218696634165152</v>
      </c>
      <c r="Q64" s="142" t="n">
        <f aca="false">IFERROR(IF(OR(NOT(ISNUMBER('Price History'!Q65)),NOT(ISNUMBER('Price History'!Q64)),'Price History'!Q64=0),"",'Price History'!Q65/'Price History'!Q64-1),"")</f>
        <v>0.000916170407695649</v>
      </c>
      <c r="R64" s="142" t="n">
        <f aca="false">IFERROR(IF(OR(NOT(ISNUMBER('Price History'!R65)),NOT(ISNUMBER('Price History'!R64)),'Price History'!R64=0),"",'Price History'!R65/'Price History'!R64-1),"")</f>
        <v>0.00747356908494345</v>
      </c>
      <c r="S64" s="142" t="n">
        <f aca="false">IFERROR(IF(OR(NOT(ISNUMBER('Price History'!S65)),NOT(ISNUMBER('Price History'!S64)),'Price History'!S64=0),"",'Price History'!S65/'Price History'!S64-1),"")</f>
        <v>0.00427031066510075</v>
      </c>
      <c r="T64" s="142" t="n">
        <f aca="false">IFERROR(IF(OR(NOT(ISNUMBER('Price History'!T65)),NOT(ISNUMBER('Price History'!T64)),'Price History'!T64=0),"",'Price History'!T65/'Price History'!T64-1),"")</f>
        <v>-0.00471281296023574</v>
      </c>
      <c r="U64" s="142" t="str">
        <f aca="false">IFERROR(IF(OR(NOT(ISNUMBER('Price History'!U65)),NOT(ISNUMBER('Price History'!U64)),'Price History'!U64=0),"",'Price History'!U65/'Price History'!U64-1),"")</f>
        <v/>
      </c>
      <c r="V64" s="143" t="n">
        <f aca="false">IFERROR(IF(OR(NOT(ISNUMBER('Price History'!V65)),NOT(ISNUMBER('Price History'!V64)),'Price History'!V64=0),"",'Price History'!V65/'Price History'!V64-1),"")</f>
        <v>0.0459975886887583</v>
      </c>
      <c r="W64" s="144" t="str">
        <f aca="false">IFERROR('Price History'!B3+(INDEX('Price History'!B:B,MATCH(9.99E+307,'Price History'!$A:$A))-'Price History'!B3)*(ROW()-3)/(MATCH(9.99E+307,'Returns (Calc)'!$A:$A)-3),"")</f>
        <v/>
      </c>
      <c r="X64" s="144" t="n">
        <f aca="false">IFERROR('Price History'!C3+(INDEX('Price History'!C:C,MATCH(9.99E+307,'Price History'!$A:$A))-'Price History'!C3)*(ROW()-3)/(MATCH(9.99E+307,'Returns (Calc)'!$A:$A)-3),"")</f>
        <v>28.3510126582278</v>
      </c>
      <c r="Y64" s="144" t="n">
        <f aca="false">IFERROR('Price History'!D3+(INDEX('Price History'!D:D,MATCH(9.99E+307,'Price History'!$A:$A))-'Price History'!D3)*(ROW()-3)/(MATCH(9.99E+307,'Returns (Calc)'!$A:$A)-3),"")</f>
        <v>357.309936708861</v>
      </c>
      <c r="Z64" s="144" t="n">
        <f aca="false">IFERROR('Price History'!E3+(INDEX('Price History'!E:E,MATCH(9.99E+307,'Price History'!$A:$A))-'Price History'!E3)*(ROW()-3)/(MATCH(9.99E+307,'Returns (Calc)'!$A:$A)-3),"")</f>
        <v>50.3417721518987</v>
      </c>
      <c r="AA64" s="144" t="n">
        <f aca="false">IFERROR('Price History'!F3+(INDEX('Price History'!F:F,MATCH(9.99E+307,'Price History'!$A:$A))-'Price History'!F3)*(ROW()-3)/(MATCH(9.99E+307,'Returns (Calc)'!$A:$A)-3),"")</f>
        <v>46.2346202531646</v>
      </c>
      <c r="AB64" s="144" t="n">
        <f aca="false">IFERROR('Price History'!G3+(INDEX('Price History'!G:G,MATCH(9.99E+307,'Price History'!$A:$A))-'Price History'!G3)*(ROW()-3)/(MATCH(9.99E+307,'Returns (Calc)'!$A:$A)-3),"")</f>
        <v>25.3918987341772</v>
      </c>
      <c r="AC64" s="144" t="n">
        <f aca="false">IFERROR('Price History'!H3+(INDEX('Price History'!H:H,MATCH(9.99E+307,'Price History'!$A:$A))-'Price History'!H3)*(ROW()-3)/(MATCH(9.99E+307,'Returns (Calc)'!$A:$A)-3),"")</f>
        <v>61.7546202531646</v>
      </c>
      <c r="AD64" s="144" t="n">
        <f aca="false">IFERROR('Price History'!I3+(INDEX('Price History'!I:I,MATCH(9.99E+307,'Price History'!$A:$A))-'Price History'!I3)*(ROW()-3)/(MATCH(9.99E+307,'Returns (Calc)'!$A:$A)-3),"")</f>
        <v>27.2275316455696</v>
      </c>
      <c r="AE64" s="144" t="n">
        <f aca="false">IFERROR('Price History'!J3+(INDEX('Price History'!J:J,MATCH(9.99E+307,'Price History'!$A:$A))-'Price History'!J3)*(ROW()-3)/(MATCH(9.99E+307,'Returns (Calc)'!$A:$A)-3),"")</f>
        <v>42.4282911392405</v>
      </c>
      <c r="AF64" s="144" t="n">
        <f aca="false">IFERROR('Price History'!K3+(INDEX('Price History'!K:K,MATCH(9.99E+307,'Price History'!$A:$A))-'Price History'!K3)*(ROW()-3)/(MATCH(9.99E+307,'Returns (Calc)'!$A:$A)-3),"")</f>
        <v>26.8714556962025</v>
      </c>
      <c r="AG64" s="144" t="n">
        <f aca="false">IFERROR('Price History'!L3+(INDEX('Price History'!L:L,MATCH(9.99E+307,'Price History'!$A:$A))-'Price History'!L3)*(ROW()-3)/(MATCH(9.99E+307,'Returns (Calc)'!$A:$A)-3),"")</f>
        <v>68.6612658227848</v>
      </c>
      <c r="AH64" s="144" t="n">
        <f aca="false">IFERROR('Price History'!M3+(INDEX('Price History'!M:M,MATCH(9.99E+307,'Price History'!$A:$A))-'Price History'!M3)*(ROW()-3)/(MATCH(9.99E+307,'Returns (Calc)'!$A:$A)-3),"")</f>
        <v>9.41145569620253</v>
      </c>
      <c r="AI64" s="144" t="n">
        <f aca="false">IFERROR('Price History'!N3+(INDEX('Price History'!N:N,MATCH(9.99E+307,'Price History'!$A:$A))-'Price History'!N3)*(ROW()-3)/(MATCH(9.99E+307,'Returns (Calc)'!$A:$A)-3),"")</f>
        <v>13.3835443037975</v>
      </c>
      <c r="AJ64" s="144" t="n">
        <f aca="false">IFERROR('Price History'!O3+(INDEX('Price History'!O:O,MATCH(9.99E+307,'Price History'!$A:$A))-'Price History'!O3)*(ROW()-3)/(MATCH(9.99E+307,'Returns (Calc)'!$A:$A)-3),"")</f>
        <v>35.3804430379747</v>
      </c>
      <c r="AK64" s="144" t="n">
        <f aca="false">IFERROR('Price History'!Q3+(INDEX('Price History'!Q:Q,MATCH(9.99E+307,'Price History'!$A:$A))-'Price History'!Q3)*(ROW()-3)/(MATCH(9.99E+307,'Returns (Calc)'!$A:$A)-3),"")</f>
        <v>144.658924050633</v>
      </c>
      <c r="AL64" s="144" t="n">
        <f aca="false">IFERROR('Price History'!R3+(INDEX('Price History'!R:R,MATCH(9.99E+307,'Price History'!$A:$A))-'Price History'!R3)*(ROW()-3)/(MATCH(9.99E+307,'Returns (Calc)'!$A:$A)-3),"")</f>
        <v>29.3578481012658</v>
      </c>
      <c r="AM64" s="144" t="n">
        <f aca="false">IFERROR('Price History'!S3+(INDEX('Price History'!S:S,MATCH(9.99E+307,'Price History'!$A:$A))-'Price History'!S3)*(ROW()-3)/(MATCH(9.99E+307,'Returns (Calc)'!$A:$A)-3),"")</f>
        <v>35.9391139240506</v>
      </c>
      <c r="AN64" s="144" t="n">
        <f aca="false">IFERROR('Price History'!T3+(INDEX('Price History'!T:T,MATCH(9.99E+307,'Price History'!$A:$A))-'Price History'!T3)*(ROW()-3)/(MATCH(9.99E+307,'Returns (Calc)'!$A:$A)-3),"")</f>
        <v>16.5206962025316</v>
      </c>
      <c r="AO64" s="145" t="n">
        <f aca="false">IFERROR('Price History'!V3+(INDEX('Price History'!V:V,MATCH(9.99E+307,'Price History'!$A:$A))-'Price History'!V3)*(ROW()-3)/(MATCH(9.99E+307,'Returns (Calc)'!$A:$A)-3),"")</f>
        <v>0</v>
      </c>
    </row>
    <row r="65" customFormat="false" ht="15" hidden="false" customHeight="true" outlineLevel="0" collapsed="false">
      <c r="A65" s="141" t="n">
        <f aca="false">IF('Price History'!A66="","",'Price History'!A66)</f>
        <v>45625</v>
      </c>
      <c r="B65" s="142" t="n">
        <f aca="false">IFERROR(IF(OR(NOT(ISNUMBER('Price History'!B66)),NOT(ISNUMBER('Price History'!B65)),'Price History'!B65=0),"",'Price History'!B66/'Price History'!B65-1),"")</f>
        <v>0.00738065020013656</v>
      </c>
      <c r="C65" s="142" t="n">
        <f aca="false">IFERROR(IF(OR(NOT(ISNUMBER('Price History'!C66)),NOT(ISNUMBER('Price History'!C65)),'Price History'!C65=0),"",'Price History'!C66/'Price History'!C65-1),"")</f>
        <v>-0.00157449320999814</v>
      </c>
      <c r="D65" s="142" t="n">
        <f aca="false">IFERROR(IF(OR(NOT(ISNUMBER('Price History'!D66)),NOT(ISNUMBER('Price History'!D65)),'Price History'!D65=0),"",'Price History'!D66/'Price History'!D65-1),"")</f>
        <v>0.020412470602424</v>
      </c>
      <c r="E65" s="142" t="n">
        <f aca="false">IFERROR(IF(OR(NOT(ISNUMBER('Price History'!E66)),NOT(ISNUMBER('Price History'!E65)),'Price History'!E65=0),"",'Price History'!E66/'Price History'!E65-1),"")</f>
        <v>-0.0130706807904356</v>
      </c>
      <c r="F65" s="142" t="n">
        <f aca="false">IFERROR(IF(OR(NOT(ISNUMBER('Price History'!F66)),NOT(ISNUMBER('Price History'!F65)),'Price History'!F65=0),"",'Price History'!F66/'Price History'!F65-1),"")</f>
        <v>0.00679000196811641</v>
      </c>
      <c r="G65" s="142" t="n">
        <f aca="false">IFERROR(IF(OR(NOT(ISNUMBER('Price History'!G66)),NOT(ISNUMBER('Price History'!G65)),'Price History'!G65=0),"",'Price History'!G66/'Price History'!G65-1),"")</f>
        <v>-0.070699473514559</v>
      </c>
      <c r="H65" s="142" t="n">
        <f aca="false">IFERROR(IF(OR(NOT(ISNUMBER('Price History'!H66)),NOT(ISNUMBER('Price History'!H65)),'Price History'!H65=0),"",'Price History'!H66/'Price History'!H65-1),"")</f>
        <v>0.00936768149882905</v>
      </c>
      <c r="I65" s="142" t="n">
        <f aca="false">IFERROR(IF(OR(NOT(ISNUMBER('Price History'!I66)),NOT(ISNUMBER('Price History'!I65)),'Price History'!I65=0),"",'Price History'!I66/'Price History'!I65-1),"")</f>
        <v>0.0117125672681229</v>
      </c>
      <c r="J65" s="142" t="n">
        <f aca="false">IFERROR(IF(OR(NOT(ISNUMBER('Price History'!J66)),NOT(ISNUMBER('Price History'!J65)),'Price History'!J65=0),"",'Price History'!J66/'Price History'!J65-1),"")</f>
        <v>-0.0456370580746254</v>
      </c>
      <c r="K65" s="142" t="n">
        <f aca="false">IFERROR(IF(OR(NOT(ISNUMBER('Price History'!K66)),NOT(ISNUMBER('Price History'!K65)),'Price History'!K65=0),"",'Price History'!K66/'Price History'!K65-1),"")</f>
        <v>-0.0260648442466624</v>
      </c>
      <c r="L65" s="142" t="n">
        <f aca="false">IFERROR(IF(OR(NOT(ISNUMBER('Price History'!L66)),NOT(ISNUMBER('Price History'!L65)),'Price History'!L65=0),"",'Price History'!L66/'Price History'!L65-1),"")</f>
        <v>0.00849413719878123</v>
      </c>
      <c r="M65" s="142" t="n">
        <f aca="false">IFERROR(IF(OR(NOT(ISNUMBER('Price History'!M66)),NOT(ISNUMBER('Price History'!M65)),'Price History'!M65=0),"",'Price History'!M66/'Price History'!M65-1),"")</f>
        <v>0.0424242424242425</v>
      </c>
      <c r="N65" s="142" t="n">
        <f aca="false">IFERROR(IF(OR(NOT(ISNUMBER('Price History'!N66)),NOT(ISNUMBER('Price History'!N65)),'Price History'!N65=0),"",'Price History'!N66/'Price History'!N65-1),"")</f>
        <v>0.00622482607103625</v>
      </c>
      <c r="O65" s="142" t="n">
        <f aca="false">IFERROR(IF(OR(NOT(ISNUMBER('Price History'!O66)),NOT(ISNUMBER('Price History'!O65)),'Price History'!O65=0),"",'Price History'!O66/'Price History'!O65-1),"")</f>
        <v>0.0130753694057617</v>
      </c>
      <c r="P65" s="142" t="n">
        <f aca="false">IFERROR(IF(OR(NOT(ISNUMBER('Price History'!P66)),NOT(ISNUMBER('Price History'!P65)),'Price History'!P65=0),"",'Price History'!P66/'Price History'!P65-1),"")</f>
        <v>-0.0285175202156334</v>
      </c>
      <c r="Q65" s="142" t="n">
        <f aca="false">IFERROR(IF(OR(NOT(ISNUMBER('Price History'!Q66)),NOT(ISNUMBER('Price History'!Q65)),'Price History'!Q65=0),"",'Price History'!Q66/'Price History'!Q65-1),"")</f>
        <v>0.0166394246485782</v>
      </c>
      <c r="R65" s="142" t="n">
        <f aca="false">IFERROR(IF(OR(NOT(ISNUMBER('Price History'!R66)),NOT(ISNUMBER('Price History'!R65)),'Price History'!R65=0),"",'Price History'!R66/'Price History'!R65-1),"")</f>
        <v>0.0023520897412701</v>
      </c>
      <c r="S65" s="142" t="n">
        <f aca="false">IFERROR(IF(OR(NOT(ISNUMBER('Price History'!S66)),NOT(ISNUMBER('Price History'!S65)),'Price History'!S65=0),"",'Price History'!S66/'Price History'!S65-1),"")</f>
        <v>-0.0146699266503667</v>
      </c>
      <c r="T65" s="142" t="n">
        <f aca="false">IFERROR(IF(OR(NOT(ISNUMBER('Price History'!T66)),NOT(ISNUMBER('Price History'!T65)),'Price History'!T65=0),"",'Price History'!T66/'Price History'!T65-1),"")</f>
        <v>-0.0192364604912696</v>
      </c>
      <c r="U65" s="142" t="str">
        <f aca="false">IFERROR(IF(OR(NOT(ISNUMBER('Price History'!U66)),NOT(ISNUMBER('Price History'!U65)),'Price History'!U65=0),"",'Price History'!U66/'Price History'!U65-1),"")</f>
        <v/>
      </c>
      <c r="V65" s="143" t="n">
        <f aca="false">IFERROR(IF(OR(NOT(ISNUMBER('Price History'!V66)),NOT(ISNUMBER('Price History'!V65)),'Price History'!V65=0),"",'Price History'!V66/'Price History'!V65-1),"")</f>
        <v>-0.030562347188264</v>
      </c>
      <c r="W65" s="144" t="str">
        <f aca="false">IFERROR('Price History'!B3+(INDEX('Price History'!B:B,MATCH(9.99E+307,'Price History'!$A:$A))-'Price History'!B3)*(ROW()-3)/(MATCH(9.99E+307,'Returns (Calc)'!$A:$A)-3),"")</f>
        <v/>
      </c>
      <c r="X65" s="144" t="n">
        <f aca="false">IFERROR('Price History'!C3+(INDEX('Price History'!C:C,MATCH(9.99E+307,'Price History'!$A:$A))-'Price History'!C3)*(ROW()-3)/(MATCH(9.99E+307,'Returns (Calc)'!$A:$A)-3),"")</f>
        <v>28.0587341772152</v>
      </c>
      <c r="Y65" s="144" t="n">
        <f aca="false">IFERROR('Price History'!D3+(INDEX('Price History'!D:D,MATCH(9.99E+307,'Price History'!$A:$A))-'Price History'!D3)*(ROW()-3)/(MATCH(9.99E+307,'Returns (Calc)'!$A:$A)-3),"")</f>
        <v>353.626329113924</v>
      </c>
      <c r="Z65" s="144" t="n">
        <f aca="false">IFERROR('Price History'!E3+(INDEX('Price History'!E:E,MATCH(9.99E+307,'Price History'!$A:$A))-'Price History'!E3)*(ROW()-3)/(MATCH(9.99E+307,'Returns (Calc)'!$A:$A)-3),"")</f>
        <v>49.8227848101266</v>
      </c>
      <c r="AA65" s="144" t="n">
        <f aca="false">IFERROR('Price History'!F3+(INDEX('Price History'!F:F,MATCH(9.99E+307,'Price History'!$A:$A))-'Price History'!F3)*(ROW()-3)/(MATCH(9.99E+307,'Returns (Calc)'!$A:$A)-3),"")</f>
        <v>45.7579746835443</v>
      </c>
      <c r="AB65" s="144" t="n">
        <f aca="false">IFERROR('Price History'!G3+(INDEX('Price History'!G:G,MATCH(9.99E+307,'Price History'!$A:$A))-'Price History'!G3)*(ROW()-3)/(MATCH(9.99E+307,'Returns (Calc)'!$A:$A)-3),"")</f>
        <v>25.1301265822785</v>
      </c>
      <c r="AC65" s="144" t="n">
        <f aca="false">IFERROR('Price History'!H3+(INDEX('Price History'!H:H,MATCH(9.99E+307,'Price History'!$A:$A))-'Price History'!H3)*(ROW()-3)/(MATCH(9.99E+307,'Returns (Calc)'!$A:$A)-3),"")</f>
        <v>61.1179746835443</v>
      </c>
      <c r="AD65" s="144" t="n">
        <f aca="false">IFERROR('Price History'!I3+(INDEX('Price History'!I:I,MATCH(9.99E+307,'Price History'!$A:$A))-'Price History'!I3)*(ROW()-3)/(MATCH(9.99E+307,'Returns (Calc)'!$A:$A)-3),"")</f>
        <v>26.946835443038</v>
      </c>
      <c r="AE65" s="144" t="n">
        <f aca="false">IFERROR('Price History'!J3+(INDEX('Price History'!J:J,MATCH(9.99E+307,'Price History'!$A:$A))-'Price History'!J3)*(ROW()-3)/(MATCH(9.99E+307,'Returns (Calc)'!$A:$A)-3),"")</f>
        <v>41.9908860759494</v>
      </c>
      <c r="AF65" s="144" t="n">
        <f aca="false">IFERROR('Price History'!K3+(INDEX('Price History'!K:K,MATCH(9.99E+307,'Price History'!$A:$A))-'Price History'!K3)*(ROW()-3)/(MATCH(9.99E+307,'Returns (Calc)'!$A:$A)-3),"")</f>
        <v>26.5944303797468</v>
      </c>
      <c r="AG65" s="144" t="n">
        <f aca="false">IFERROR('Price History'!L3+(INDEX('Price History'!L:L,MATCH(9.99E+307,'Price History'!$A:$A))-'Price History'!L3)*(ROW()-3)/(MATCH(9.99E+307,'Returns (Calc)'!$A:$A)-3),"")</f>
        <v>67.953417721519</v>
      </c>
      <c r="AH65" s="144" t="n">
        <f aca="false">IFERROR('Price History'!M3+(INDEX('Price History'!M:M,MATCH(9.99E+307,'Price History'!$A:$A))-'Price History'!M3)*(ROW()-3)/(MATCH(9.99E+307,'Returns (Calc)'!$A:$A)-3),"")</f>
        <v>9.31443037974684</v>
      </c>
      <c r="AI65" s="144" t="n">
        <f aca="false">IFERROR('Price History'!N3+(INDEX('Price History'!N:N,MATCH(9.99E+307,'Price History'!$A:$A))-'Price History'!N3)*(ROW()-3)/(MATCH(9.99E+307,'Returns (Calc)'!$A:$A)-3),"")</f>
        <v>13.2455696202532</v>
      </c>
      <c r="AJ65" s="144" t="n">
        <f aca="false">IFERROR('Price History'!O3+(INDEX('Price History'!O:O,MATCH(9.99E+307,'Price History'!$A:$A))-'Price History'!O3)*(ROW()-3)/(MATCH(9.99E+307,'Returns (Calc)'!$A:$A)-3),"")</f>
        <v>35.0156962025316</v>
      </c>
      <c r="AK65" s="144" t="n">
        <f aca="false">IFERROR('Price History'!Q3+(INDEX('Price History'!Q:Q,MATCH(9.99E+307,'Price History'!$A:$A))-'Price History'!Q3)*(ROW()-3)/(MATCH(9.99E+307,'Returns (Calc)'!$A:$A)-3),"")</f>
        <v>143.167594936709</v>
      </c>
      <c r="AL65" s="144" t="n">
        <f aca="false">IFERROR('Price History'!R3+(INDEX('Price History'!R:R,MATCH(9.99E+307,'Price History'!$A:$A))-'Price History'!R3)*(ROW()-3)/(MATCH(9.99E+307,'Returns (Calc)'!$A:$A)-3),"")</f>
        <v>29.0551898734177</v>
      </c>
      <c r="AM65" s="144" t="n">
        <f aca="false">IFERROR('Price History'!S3+(INDEX('Price History'!S:S,MATCH(9.99E+307,'Price History'!$A:$A))-'Price History'!S3)*(ROW()-3)/(MATCH(9.99E+307,'Returns (Calc)'!$A:$A)-3),"")</f>
        <v>35.5686075949367</v>
      </c>
      <c r="AN65" s="144" t="n">
        <f aca="false">IFERROR('Price History'!T3+(INDEX('Price History'!T:T,MATCH(9.99E+307,'Price History'!$A:$A))-'Price History'!T3)*(ROW()-3)/(MATCH(9.99E+307,'Returns (Calc)'!$A:$A)-3),"")</f>
        <v>16.3503797468354</v>
      </c>
      <c r="AO65" s="145" t="n">
        <f aca="false">IFERROR('Price History'!V3+(INDEX('Price History'!V:V,MATCH(9.99E+307,'Price History'!$A:$A))-'Price History'!V3)*(ROW()-3)/(MATCH(9.99E+307,'Returns (Calc)'!$A:$A)-3),"")</f>
        <v>0</v>
      </c>
    </row>
    <row r="66" customFormat="false" ht="15" hidden="false" customHeight="true" outlineLevel="0" collapsed="false">
      <c r="A66" s="141" t="n">
        <f aca="false">IF('Price History'!A67="","",'Price History'!A67)</f>
        <v>45632</v>
      </c>
      <c r="B66" s="142" t="n">
        <f aca="false">IFERROR(IF(OR(NOT(ISNUMBER('Price History'!B67)),NOT(ISNUMBER('Price History'!B66)),'Price History'!B66=0),"",'Price History'!B67/'Price History'!B66-1),"")</f>
        <v>0.0717733025798075</v>
      </c>
      <c r="C66" s="142" t="n">
        <f aca="false">IFERROR(IF(OR(NOT(ISNUMBER('Price History'!C67)),NOT(ISNUMBER('Price History'!C66)),'Price History'!C66=0),"",'Price History'!C67/'Price History'!C66-1),"")</f>
        <v>0.0669229252907551</v>
      </c>
      <c r="D66" s="142" t="n">
        <f aca="false">IFERROR(IF(OR(NOT(ISNUMBER('Price History'!D67)),NOT(ISNUMBER('Price History'!D66)),'Price History'!D66=0),"",'Price History'!D67/'Price History'!D66-1),"")</f>
        <v>0.0325768992110629</v>
      </c>
      <c r="E66" s="142" t="n">
        <f aca="false">IFERROR(IF(OR(NOT(ISNUMBER('Price History'!E67)),NOT(ISNUMBER('Price History'!E66)),'Price History'!E66=0),"",'Price History'!E67/'Price History'!E66-1),"")</f>
        <v>0.107644991212654</v>
      </c>
      <c r="F66" s="142" t="n">
        <f aca="false">IFERROR(IF(OR(NOT(ISNUMBER('Price History'!F67)),NOT(ISNUMBER('Price History'!F66)),'Price History'!F66=0),"",'Price History'!F67/'Price History'!F66-1),"")</f>
        <v>-0.0208190792688886</v>
      </c>
      <c r="G66" s="142" t="n">
        <f aca="false">IFERROR(IF(OR(NOT(ISNUMBER('Price History'!G67)),NOT(ISNUMBER('Price History'!G66)),'Price History'!G66=0),"",'Price History'!G67/'Price History'!G66-1),"")</f>
        <v>0.0568851890391953</v>
      </c>
      <c r="H66" s="142" t="n">
        <f aca="false">IFERROR(IF(OR(NOT(ISNUMBER('Price History'!H67)),NOT(ISNUMBER('Price History'!H66)),'Price History'!H66=0),"",'Price History'!H67/'Price History'!H66-1),"")</f>
        <v>-0.0252975076715817</v>
      </c>
      <c r="I66" s="142" t="n">
        <f aca="false">IFERROR(IF(OR(NOT(ISNUMBER('Price History'!I67)),NOT(ISNUMBER('Price History'!I66)),'Price History'!I66=0),"",'Price History'!I67/'Price History'!I66-1),"")</f>
        <v>0.0020337922403002</v>
      </c>
      <c r="J66" s="142" t="n">
        <f aca="false">IFERROR(IF(OR(NOT(ISNUMBER('Price History'!J67)),NOT(ISNUMBER('Price History'!J66)),'Price History'!J66=0),"",'Price History'!J67/'Price History'!J66-1),"")</f>
        <v>0.0328373524884555</v>
      </c>
      <c r="K66" s="142" t="n">
        <f aca="false">IFERROR(IF(OR(NOT(ISNUMBER('Price History'!K67)),NOT(ISNUMBER('Price History'!K66)),'Price History'!K66=0),"",'Price History'!K67/'Price History'!K66-1),"")</f>
        <v>0.0303887438352191</v>
      </c>
      <c r="L66" s="142" t="n">
        <f aca="false">IFERROR(IF(OR(NOT(ISNUMBER('Price History'!L67)),NOT(ISNUMBER('Price History'!L66)),'Price History'!L66=0),"",'Price History'!L67/'Price History'!L66-1),"")</f>
        <v>-0.0409228234001647</v>
      </c>
      <c r="M66" s="142" t="n">
        <f aca="false">IFERROR(IF(OR(NOT(ISNUMBER('Price History'!M67)),NOT(ISNUMBER('Price History'!M66)),'Price History'!M66=0),"",'Price History'!M67/'Price History'!M66-1),"")</f>
        <v>0.13804412641622</v>
      </c>
      <c r="N66" s="142" t="n">
        <f aca="false">IFERROR(IF(OR(NOT(ISNUMBER('Price History'!N67)),NOT(ISNUMBER('Price History'!N66)),'Price History'!N66=0),"",'Price History'!N67/'Price History'!N66-1),"")</f>
        <v>-0.0240174672489083</v>
      </c>
      <c r="O66" s="142" t="n">
        <f aca="false">IFERROR(IF(OR(NOT(ISNUMBER('Price History'!O67)),NOT(ISNUMBER('Price History'!O66)),'Price History'!O66=0),"",'Price History'!O67/'Price History'!O66-1),"")</f>
        <v>0.0193074501573978</v>
      </c>
      <c r="P66" s="142" t="n">
        <f aca="false">IFERROR(IF(OR(NOT(ISNUMBER('Price History'!P67)),NOT(ISNUMBER('Price History'!P66)),'Price History'!P66=0),"",'Price History'!P67/'Price History'!P66-1),"")</f>
        <v>0.0994395427556738</v>
      </c>
      <c r="Q66" s="142" t="n">
        <f aca="false">IFERROR(IF(OR(NOT(ISNUMBER('Price History'!Q67)),NOT(ISNUMBER('Price History'!Q66)),'Price History'!Q66=0),"",'Price History'!Q67/'Price History'!Q66-1),"")</f>
        <v>-0.0129264606578989</v>
      </c>
      <c r="R66" s="142" t="n">
        <f aca="false">IFERROR(IF(OR(NOT(ISNUMBER('Price History'!R67)),NOT(ISNUMBER('Price History'!R66)),'Price History'!R66=0),"",'Price History'!R67/'Price History'!R66-1),"")</f>
        <v>-0.0173285198555957</v>
      </c>
      <c r="S66" s="142" t="n">
        <f aca="false">IFERROR(IF(OR(NOT(ISNUMBER('Price History'!S67)),NOT(ISNUMBER('Price History'!S66)),'Price History'!S66=0),"",'Price History'!S67/'Price History'!S66-1),"")</f>
        <v>-0.0137015859315999</v>
      </c>
      <c r="T66" s="142" t="n">
        <f aca="false">IFERROR(IF(OR(NOT(ISNUMBER('Price History'!T67)),NOT(ISNUMBER('Price History'!T66)),'Price History'!T66=0),"",'Price History'!T67/'Price History'!T66-1),"")</f>
        <v>0.000603500301749937</v>
      </c>
      <c r="U66" s="142" t="str">
        <f aca="false">IFERROR(IF(OR(NOT(ISNUMBER('Price History'!U67)),NOT(ISNUMBER('Price History'!U66)),'Price History'!U66=0),"",'Price History'!U67/'Price History'!U66-1),"")</f>
        <v/>
      </c>
      <c r="V66" s="143" t="n">
        <f aca="false">IFERROR(IF(OR(NOT(ISNUMBER('Price History'!V67)),NOT(ISNUMBER('Price History'!V66)),'Price History'!V66=0),"",'Price History'!V67/'Price History'!V66-1),"")</f>
        <v>0.0319582057286976</v>
      </c>
      <c r="W66" s="144" t="str">
        <f aca="false">IFERROR('Price History'!B3+(INDEX('Price History'!B:B,MATCH(9.99E+307,'Price History'!$A:$A))-'Price History'!B3)*(ROW()-3)/(MATCH(9.99E+307,'Returns (Calc)'!$A:$A)-3),"")</f>
        <v/>
      </c>
      <c r="X66" s="144" t="n">
        <f aca="false">IFERROR('Price History'!C3+(INDEX('Price History'!C:C,MATCH(9.99E+307,'Price History'!$A:$A))-'Price History'!C3)*(ROW()-3)/(MATCH(9.99E+307,'Returns (Calc)'!$A:$A)-3),"")</f>
        <v>27.7664556962025</v>
      </c>
      <c r="Y66" s="144" t="n">
        <f aca="false">IFERROR('Price History'!D3+(INDEX('Price History'!D:D,MATCH(9.99E+307,'Price History'!$A:$A))-'Price History'!D3)*(ROW()-3)/(MATCH(9.99E+307,'Returns (Calc)'!$A:$A)-3),"")</f>
        <v>349.942721518987</v>
      </c>
      <c r="Z66" s="144" t="n">
        <f aca="false">IFERROR('Price History'!E3+(INDEX('Price History'!E:E,MATCH(9.99E+307,'Price History'!$A:$A))-'Price History'!E3)*(ROW()-3)/(MATCH(9.99E+307,'Returns (Calc)'!$A:$A)-3),"")</f>
        <v>49.3037974683544</v>
      </c>
      <c r="AA66" s="144" t="n">
        <f aca="false">IFERROR('Price History'!F3+(INDEX('Price History'!F:F,MATCH(9.99E+307,'Price History'!$A:$A))-'Price History'!F3)*(ROW()-3)/(MATCH(9.99E+307,'Returns (Calc)'!$A:$A)-3),"")</f>
        <v>45.2813291139241</v>
      </c>
      <c r="AB66" s="144" t="n">
        <f aca="false">IFERROR('Price History'!G3+(INDEX('Price History'!G:G,MATCH(9.99E+307,'Price History'!$A:$A))-'Price History'!G3)*(ROW()-3)/(MATCH(9.99E+307,'Returns (Calc)'!$A:$A)-3),"")</f>
        <v>24.8683544303797</v>
      </c>
      <c r="AC66" s="144" t="n">
        <f aca="false">IFERROR('Price History'!H3+(INDEX('Price History'!H:H,MATCH(9.99E+307,'Price History'!$A:$A))-'Price History'!H3)*(ROW()-3)/(MATCH(9.99E+307,'Returns (Calc)'!$A:$A)-3),"")</f>
        <v>60.4813291139241</v>
      </c>
      <c r="AD66" s="144" t="n">
        <f aca="false">IFERROR('Price History'!I3+(INDEX('Price History'!I:I,MATCH(9.99E+307,'Price History'!$A:$A))-'Price History'!I3)*(ROW()-3)/(MATCH(9.99E+307,'Returns (Calc)'!$A:$A)-3),"")</f>
        <v>26.6661392405063</v>
      </c>
      <c r="AE66" s="144" t="n">
        <f aca="false">IFERROR('Price History'!J3+(INDEX('Price History'!J:J,MATCH(9.99E+307,'Price History'!$A:$A))-'Price History'!J3)*(ROW()-3)/(MATCH(9.99E+307,'Returns (Calc)'!$A:$A)-3),"")</f>
        <v>41.5534810126582</v>
      </c>
      <c r="AF66" s="144" t="n">
        <f aca="false">IFERROR('Price History'!K3+(INDEX('Price History'!K:K,MATCH(9.99E+307,'Price History'!$A:$A))-'Price History'!K3)*(ROW()-3)/(MATCH(9.99E+307,'Returns (Calc)'!$A:$A)-3),"")</f>
        <v>26.3174050632911</v>
      </c>
      <c r="AG66" s="144" t="n">
        <f aca="false">IFERROR('Price History'!L3+(INDEX('Price History'!L:L,MATCH(9.99E+307,'Price History'!$A:$A))-'Price History'!L3)*(ROW()-3)/(MATCH(9.99E+307,'Returns (Calc)'!$A:$A)-3),"")</f>
        <v>67.2455696202532</v>
      </c>
      <c r="AH66" s="144" t="n">
        <f aca="false">IFERROR('Price History'!M3+(INDEX('Price History'!M:M,MATCH(9.99E+307,'Price History'!$A:$A))-'Price History'!M3)*(ROW()-3)/(MATCH(9.99E+307,'Returns (Calc)'!$A:$A)-3),"")</f>
        <v>9.21740506329114</v>
      </c>
      <c r="AI66" s="144" t="n">
        <f aca="false">IFERROR('Price History'!N3+(INDEX('Price History'!N:N,MATCH(9.99E+307,'Price History'!$A:$A))-'Price History'!N3)*(ROW()-3)/(MATCH(9.99E+307,'Returns (Calc)'!$A:$A)-3),"")</f>
        <v>13.1075949367089</v>
      </c>
      <c r="AJ66" s="144" t="n">
        <f aca="false">IFERROR('Price History'!O3+(INDEX('Price History'!O:O,MATCH(9.99E+307,'Price History'!$A:$A))-'Price History'!O3)*(ROW()-3)/(MATCH(9.99E+307,'Returns (Calc)'!$A:$A)-3),"")</f>
        <v>34.6509493670886</v>
      </c>
      <c r="AK66" s="144" t="n">
        <f aca="false">IFERROR('Price History'!Q3+(INDEX('Price History'!Q:Q,MATCH(9.99E+307,'Price History'!$A:$A))-'Price History'!Q3)*(ROW()-3)/(MATCH(9.99E+307,'Returns (Calc)'!$A:$A)-3),"")</f>
        <v>141.676265822785</v>
      </c>
      <c r="AL66" s="144" t="n">
        <f aca="false">IFERROR('Price History'!R3+(INDEX('Price History'!R:R,MATCH(9.99E+307,'Price History'!$A:$A))-'Price History'!R3)*(ROW()-3)/(MATCH(9.99E+307,'Returns (Calc)'!$A:$A)-3),"")</f>
        <v>28.7525316455696</v>
      </c>
      <c r="AM66" s="144" t="n">
        <f aca="false">IFERROR('Price History'!S3+(INDEX('Price History'!S:S,MATCH(9.99E+307,'Price History'!$A:$A))-'Price History'!S3)*(ROW()-3)/(MATCH(9.99E+307,'Returns (Calc)'!$A:$A)-3),"")</f>
        <v>35.1981012658228</v>
      </c>
      <c r="AN66" s="144" t="n">
        <f aca="false">IFERROR('Price History'!T3+(INDEX('Price History'!T:T,MATCH(9.99E+307,'Price History'!$A:$A))-'Price History'!T3)*(ROW()-3)/(MATCH(9.99E+307,'Returns (Calc)'!$A:$A)-3),"")</f>
        <v>16.1800632911392</v>
      </c>
      <c r="AO66" s="145" t="n">
        <f aca="false">IFERROR('Price History'!V3+(INDEX('Price History'!V:V,MATCH(9.99E+307,'Price History'!$A:$A))-'Price History'!V3)*(ROW()-3)/(MATCH(9.99E+307,'Returns (Calc)'!$A:$A)-3),"")</f>
        <v>0</v>
      </c>
    </row>
    <row r="67" customFormat="false" ht="15" hidden="false" customHeight="true" outlineLevel="0" collapsed="false">
      <c r="A67" s="141" t="n">
        <f aca="false">IF('Price History'!A68="","",'Price History'!A68)</f>
        <v>45639</v>
      </c>
      <c r="B67" s="142" t="n">
        <f aca="false">IFERROR(IF(OR(NOT(ISNUMBER('Price History'!B68)),NOT(ISNUMBER('Price History'!B67)),'Price History'!B67=0),"",'Price History'!B68/'Price History'!B67-1),"")</f>
        <v>-0.157823350694445</v>
      </c>
      <c r="C67" s="142" t="n">
        <f aca="false">IFERROR(IF(OR(NOT(ISNUMBER('Price History'!C68)),NOT(ISNUMBER('Price History'!C67)),'Price History'!C67=0),"",'Price History'!C68/'Price History'!C67-1),"")</f>
        <v>0.0380600461893765</v>
      </c>
      <c r="D67" s="142" t="n">
        <f aca="false">IFERROR(IF(OR(NOT(ISNUMBER('Price History'!D68)),NOT(ISNUMBER('Price History'!D67)),'Price History'!D67=0),"",'Price History'!D68/'Price History'!D67-1),"")</f>
        <v>0.0135496702007412</v>
      </c>
      <c r="E67" s="142" t="n">
        <f aca="false">IFERROR(IF(OR(NOT(ISNUMBER('Price History'!E68)),NOT(ISNUMBER('Price History'!E67)),'Price History'!E67=0),"",'Price History'!E68/'Price History'!E67-1),"")</f>
        <v>0.252167507225024</v>
      </c>
      <c r="F67" s="142" t="n">
        <f aca="false">IFERROR(IF(OR(NOT(ISNUMBER('Price History'!F68)),NOT(ISNUMBER('Price History'!F67)),'Price History'!F67=0),"",'Price History'!F68/'Price History'!F67-1),"")</f>
        <v>-0.0123777201038132</v>
      </c>
      <c r="G67" s="142" t="n">
        <f aca="false">IFERROR(IF(OR(NOT(ISNUMBER('Price History'!G68)),NOT(ISNUMBER('Price History'!G67)),'Price History'!G67=0),"",'Price History'!G68/'Price History'!G67-1),"")</f>
        <v>0.00645443605732421</v>
      </c>
      <c r="H67" s="142" t="n">
        <f aca="false">IFERROR(IF(OR(NOT(ISNUMBER('Price History'!H68)),NOT(ISNUMBER('Price History'!H67)),'Price History'!H67=0),"",'Price History'!H68/'Price History'!H67-1),"")</f>
        <v>-0.0201950395454196</v>
      </c>
      <c r="I67" s="142" t="n">
        <f aca="false">IFERROR(IF(OR(NOT(ISNUMBER('Price History'!I68)),NOT(ISNUMBER('Price History'!I67)),'Price History'!I67=0),"",'Price History'!I68/'Price History'!I67-1),"")</f>
        <v>0.00827478532396575</v>
      </c>
      <c r="J67" s="142" t="n">
        <f aca="false">IFERROR(IF(OR(NOT(ISNUMBER('Price History'!J68)),NOT(ISNUMBER('Price History'!J67)),'Price History'!J67=0),"",'Price History'!J68/'Price History'!J67-1),"")</f>
        <v>0.0131147540983605</v>
      </c>
      <c r="K67" s="142" t="n">
        <f aca="false">IFERROR(IF(OR(NOT(ISNUMBER('Price History'!K68)),NOT(ISNUMBER('Price History'!K67)),'Price History'!K67=0),"",'Price History'!K68/'Price History'!K67-1),"")</f>
        <v>-0.0575068628141057</v>
      </c>
      <c r="L67" s="142" t="n">
        <f aca="false">IFERROR(IF(OR(NOT(ISNUMBER('Price History'!L68)),NOT(ISNUMBER('Price History'!L67)),'Price History'!L67=0),"",'Price History'!L68/'Price History'!L67-1),"")</f>
        <v>-0.00773195876288657</v>
      </c>
      <c r="M67" s="142" t="n">
        <f aca="false">IFERROR(IF(OR(NOT(ISNUMBER('Price History'!M68)),NOT(ISNUMBER('Price History'!M67)),'Price History'!M67=0),"",'Price History'!M68/'Price History'!M67-1),"")</f>
        <v>-0.00353680901231346</v>
      </c>
      <c r="N67" s="142" t="n">
        <f aca="false">IFERROR(IF(OR(NOT(ISNUMBER('Price History'!N68)),NOT(ISNUMBER('Price History'!N67)),'Price History'!N67=0),"",'Price History'!N68/'Price History'!N67-1),"")</f>
        <v>-0.0149142431021625</v>
      </c>
      <c r="O67" s="142" t="n">
        <f aca="false">IFERROR(IF(OR(NOT(ISNUMBER('Price History'!O68)),NOT(ISNUMBER('Price History'!O67)),'Price History'!O67=0),"",'Price History'!O68/'Price History'!O67-1),"")</f>
        <v>-0.00936792258595842</v>
      </c>
      <c r="P67" s="142" t="n">
        <f aca="false">IFERROR(IF(OR(NOT(ISNUMBER('Price History'!P68)),NOT(ISNUMBER('Price History'!P67)),'Price History'!P67=0),"",'Price History'!P68/'Price History'!P67-1),"")</f>
        <v>-0.00686418008378331</v>
      </c>
      <c r="Q67" s="142" t="n">
        <f aca="false">IFERROR(IF(OR(NOT(ISNUMBER('Price History'!Q68)),NOT(ISNUMBER('Price History'!Q67)),'Price History'!Q67=0),"",'Price History'!Q68/'Price History'!Q67-1),"")</f>
        <v>0.0119881421637291</v>
      </c>
      <c r="R67" s="142" t="n">
        <f aca="false">IFERROR(IF(OR(NOT(ISNUMBER('Price History'!R68)),NOT(ISNUMBER('Price History'!R67)),'Price History'!R67=0),"",'Price History'!R68/'Price History'!R67-1),"")</f>
        <v>0.038574577516532</v>
      </c>
      <c r="S67" s="142" t="n">
        <f aca="false">IFERROR(IF(OR(NOT(ISNUMBER('Price History'!S68)),NOT(ISNUMBER('Price History'!S67)),'Price History'!S67=0),"",'Price History'!S68/'Price History'!S67-1),"")</f>
        <v>0.0598337344126012</v>
      </c>
      <c r="T67" s="142" t="n">
        <f aca="false">IFERROR(IF(OR(NOT(ISNUMBER('Price History'!T68)),NOT(ISNUMBER('Price History'!T67)),'Price History'!T67=0),"",'Price History'!T68/'Price History'!T67-1),"")</f>
        <v>0.0775030156815439</v>
      </c>
      <c r="U67" s="142" t="str">
        <f aca="false">IFERROR(IF(OR(NOT(ISNUMBER('Price History'!U68)),NOT(ISNUMBER('Price History'!U67)),'Price History'!U67=0),"",'Price History'!U68/'Price History'!U67-1),"")</f>
        <v/>
      </c>
      <c r="V67" s="143" t="n">
        <f aca="false">IFERROR(IF(OR(NOT(ISNUMBER('Price History'!V68)),NOT(ISNUMBER('Price History'!V67)),'Price History'!V67=0),"",'Price History'!V68/'Price History'!V67-1),"")</f>
        <v>0.0589344319530758</v>
      </c>
      <c r="W67" s="144" t="str">
        <f aca="false">IFERROR('Price History'!B3+(INDEX('Price History'!B:B,MATCH(9.99E+307,'Price History'!$A:$A))-'Price History'!B3)*(ROW()-3)/(MATCH(9.99E+307,'Returns (Calc)'!$A:$A)-3),"")</f>
        <v/>
      </c>
      <c r="X67" s="144" t="n">
        <f aca="false">IFERROR('Price History'!C3+(INDEX('Price History'!C:C,MATCH(9.99E+307,'Price History'!$A:$A))-'Price History'!C3)*(ROW()-3)/(MATCH(9.99E+307,'Returns (Calc)'!$A:$A)-3),"")</f>
        <v>27.4741772151899</v>
      </c>
      <c r="Y67" s="144" t="n">
        <f aca="false">IFERROR('Price History'!D3+(INDEX('Price History'!D:D,MATCH(9.99E+307,'Price History'!$A:$A))-'Price History'!D3)*(ROW()-3)/(MATCH(9.99E+307,'Returns (Calc)'!$A:$A)-3),"")</f>
        <v>346.259113924051</v>
      </c>
      <c r="Z67" s="144" t="n">
        <f aca="false">IFERROR('Price History'!E3+(INDEX('Price History'!E:E,MATCH(9.99E+307,'Price History'!$A:$A))-'Price History'!E3)*(ROW()-3)/(MATCH(9.99E+307,'Returns (Calc)'!$A:$A)-3),"")</f>
        <v>48.7848101265823</v>
      </c>
      <c r="AA67" s="144" t="n">
        <f aca="false">IFERROR('Price History'!F3+(INDEX('Price History'!F:F,MATCH(9.99E+307,'Price History'!$A:$A))-'Price History'!F3)*(ROW()-3)/(MATCH(9.99E+307,'Returns (Calc)'!$A:$A)-3),"")</f>
        <v>44.8046835443038</v>
      </c>
      <c r="AB67" s="144" t="n">
        <f aca="false">IFERROR('Price History'!G3+(INDEX('Price History'!G:G,MATCH(9.99E+307,'Price History'!$A:$A))-'Price History'!G3)*(ROW()-3)/(MATCH(9.99E+307,'Returns (Calc)'!$A:$A)-3),"")</f>
        <v>24.606582278481</v>
      </c>
      <c r="AC67" s="144" t="n">
        <f aca="false">IFERROR('Price History'!H3+(INDEX('Price History'!H:H,MATCH(9.99E+307,'Price History'!$A:$A))-'Price History'!H3)*(ROW()-3)/(MATCH(9.99E+307,'Returns (Calc)'!$A:$A)-3),"")</f>
        <v>59.8446835443038</v>
      </c>
      <c r="AD67" s="144" t="n">
        <f aca="false">IFERROR('Price History'!I3+(INDEX('Price History'!I:I,MATCH(9.99E+307,'Price History'!$A:$A))-'Price History'!I3)*(ROW()-3)/(MATCH(9.99E+307,'Returns (Calc)'!$A:$A)-3),"")</f>
        <v>26.3854430379747</v>
      </c>
      <c r="AE67" s="144" t="n">
        <f aca="false">IFERROR('Price History'!J3+(INDEX('Price History'!J:J,MATCH(9.99E+307,'Price History'!$A:$A))-'Price History'!J3)*(ROW()-3)/(MATCH(9.99E+307,'Returns (Calc)'!$A:$A)-3),"")</f>
        <v>41.1160759493671</v>
      </c>
      <c r="AF67" s="144" t="n">
        <f aca="false">IFERROR('Price History'!K3+(INDEX('Price History'!K:K,MATCH(9.99E+307,'Price History'!$A:$A))-'Price History'!K3)*(ROW()-3)/(MATCH(9.99E+307,'Returns (Calc)'!$A:$A)-3),"")</f>
        <v>26.0403797468354</v>
      </c>
      <c r="AG67" s="144" t="n">
        <f aca="false">IFERROR('Price History'!L3+(INDEX('Price History'!L:L,MATCH(9.99E+307,'Price History'!$A:$A))-'Price History'!L3)*(ROW()-3)/(MATCH(9.99E+307,'Returns (Calc)'!$A:$A)-3),"")</f>
        <v>66.5377215189874</v>
      </c>
      <c r="AH67" s="144" t="n">
        <f aca="false">IFERROR('Price History'!M3+(INDEX('Price History'!M:M,MATCH(9.99E+307,'Price History'!$A:$A))-'Price History'!M3)*(ROW()-3)/(MATCH(9.99E+307,'Returns (Calc)'!$A:$A)-3),"")</f>
        <v>9.12037974683544</v>
      </c>
      <c r="AI67" s="144" t="n">
        <f aca="false">IFERROR('Price History'!N3+(INDEX('Price History'!N:N,MATCH(9.99E+307,'Price History'!$A:$A))-'Price History'!N3)*(ROW()-3)/(MATCH(9.99E+307,'Returns (Calc)'!$A:$A)-3),"")</f>
        <v>12.9696202531646</v>
      </c>
      <c r="AJ67" s="144" t="n">
        <f aca="false">IFERROR('Price History'!O3+(INDEX('Price History'!O:O,MATCH(9.99E+307,'Price History'!$A:$A))-'Price History'!O3)*(ROW()-3)/(MATCH(9.99E+307,'Returns (Calc)'!$A:$A)-3),"")</f>
        <v>34.2862025316456</v>
      </c>
      <c r="AK67" s="144" t="n">
        <f aca="false">IFERROR('Price History'!Q3+(INDEX('Price History'!Q:Q,MATCH(9.99E+307,'Price History'!$A:$A))-'Price History'!Q3)*(ROW()-3)/(MATCH(9.99E+307,'Returns (Calc)'!$A:$A)-3),"")</f>
        <v>140.184936708861</v>
      </c>
      <c r="AL67" s="144" t="n">
        <f aca="false">IFERROR('Price History'!R3+(INDEX('Price History'!R:R,MATCH(9.99E+307,'Price History'!$A:$A))-'Price History'!R3)*(ROW()-3)/(MATCH(9.99E+307,'Returns (Calc)'!$A:$A)-3),"")</f>
        <v>28.4498734177215</v>
      </c>
      <c r="AM67" s="144" t="n">
        <f aca="false">IFERROR('Price History'!S3+(INDEX('Price History'!S:S,MATCH(9.99E+307,'Price History'!$A:$A))-'Price History'!S3)*(ROW()-3)/(MATCH(9.99E+307,'Returns (Calc)'!$A:$A)-3),"")</f>
        <v>34.8275949367089</v>
      </c>
      <c r="AN67" s="144" t="n">
        <f aca="false">IFERROR('Price History'!T3+(INDEX('Price History'!T:T,MATCH(9.99E+307,'Price History'!$A:$A))-'Price History'!T3)*(ROW()-3)/(MATCH(9.99E+307,'Returns (Calc)'!$A:$A)-3),"")</f>
        <v>16.009746835443</v>
      </c>
      <c r="AO67" s="145" t="n">
        <f aca="false">IFERROR('Price History'!V3+(INDEX('Price History'!V:V,MATCH(9.99E+307,'Price History'!$A:$A))-'Price History'!V3)*(ROW()-3)/(MATCH(9.99E+307,'Returns (Calc)'!$A:$A)-3),"")</f>
        <v>0</v>
      </c>
    </row>
    <row r="68" customFormat="false" ht="15" hidden="false" customHeight="true" outlineLevel="0" collapsed="false">
      <c r="A68" s="141" t="n">
        <f aca="false">IF('Price History'!A69="","",'Price History'!A69)</f>
        <v>45646</v>
      </c>
      <c r="B68" s="142" t="n">
        <f aca="false">IFERROR(IF(OR(NOT(ISNUMBER('Price History'!B69)),NOT(ISNUMBER('Price History'!B68)),'Price History'!B68=0),"",'Price History'!B69/'Price History'!B68-1),"")</f>
        <v>-0.0397689450063347</v>
      </c>
      <c r="C68" s="142" t="n">
        <f aca="false">IFERROR(IF(OR(NOT(ISNUMBER('Price History'!C69)),NOT(ISNUMBER('Price History'!C68)),'Price History'!C68=0),"",'Price History'!C69/'Price History'!C68-1),"")</f>
        <v>0.00391563584586629</v>
      </c>
      <c r="D68" s="142" t="n">
        <f aca="false">IFERROR(IF(OR(NOT(ISNUMBER('Price History'!D69)),NOT(ISNUMBER('Price History'!D68)),'Price History'!D68=0),"",'Price History'!D69/'Price History'!D68-1),"")</f>
        <v>-0.0179564640447218</v>
      </c>
      <c r="E68" s="142" t="n">
        <f aca="false">IFERROR(IF(OR(NOT(ISNUMBER('Price History'!E69)),NOT(ISNUMBER('Price History'!E68)),'Price History'!E68=0),"",'Price History'!E69/'Price History'!E68-1),"")</f>
        <v>-0.0178304747250758</v>
      </c>
      <c r="F68" s="142" t="n">
        <f aca="false">IFERROR(IF(OR(NOT(ISNUMBER('Price History'!F69)),NOT(ISNUMBER('Price History'!F68)),'Price History'!F68=0),"",'Price History'!F69/'Price History'!F68-1),"")</f>
        <v>-0.0538710329492622</v>
      </c>
      <c r="G68" s="142" t="n">
        <f aca="false">IFERROR(IF(OR(NOT(ISNUMBER('Price History'!G69)),NOT(ISNUMBER('Price History'!G68)),'Price History'!G68=0),"",'Price History'!G69/'Price History'!G68-1),"")</f>
        <v>-0.0155434782608697</v>
      </c>
      <c r="H68" s="142" t="n">
        <f aca="false">IFERROR(IF(OR(NOT(ISNUMBER('Price History'!H69)),NOT(ISNUMBER('Price History'!H68)),'Price History'!H68=0),"",'Price History'!H69/'Price History'!H68-1),"")</f>
        <v>-0.0315830721003135</v>
      </c>
      <c r="I68" s="142" t="n">
        <f aca="false">IFERROR(IF(OR(NOT(ISNUMBER('Price History'!I69)),NOT(ISNUMBER('Price History'!I68)),'Price History'!I68=0),"",'Price History'!I69/'Price History'!I68-1),"")</f>
        <v>-0.0373180551254257</v>
      </c>
      <c r="J68" s="142" t="n">
        <f aca="false">IFERROR(IF(OR(NOT(ISNUMBER('Price History'!J69)),NOT(ISNUMBER('Price History'!J68)),'Price History'!J68=0),"",'Price History'!J69/'Price History'!J68-1),"")</f>
        <v>-0.120721780915956</v>
      </c>
      <c r="K68" s="142" t="n">
        <f aca="false">IFERROR(IF(OR(NOT(ISNUMBER('Price History'!K69)),NOT(ISNUMBER('Price History'!K68)),'Price History'!K68=0),"",'Price History'!K69/'Price History'!K68-1),"")</f>
        <v>0.00336071695294993</v>
      </c>
      <c r="L68" s="142" t="n">
        <f aca="false">IFERROR(IF(OR(NOT(ISNUMBER('Price History'!L69)),NOT(ISNUMBER('Price History'!L68)),'Price History'!L68=0),"",'Price History'!L69/'Price History'!L68-1),"")</f>
        <v>-0.0622414622414622</v>
      </c>
      <c r="M68" s="142" t="n">
        <f aca="false">IFERROR(IF(OR(NOT(ISNUMBER('Price History'!M69)),NOT(ISNUMBER('Price History'!M68)),'Price History'!M68=0),"",'Price History'!M69/'Price History'!M68-1),"")</f>
        <v>0.0588931247535165</v>
      </c>
      <c r="N68" s="142" t="n">
        <f aca="false">IFERROR(IF(OR(NOT(ISNUMBER('Price History'!N69)),NOT(ISNUMBER('Price History'!N68)),'Price History'!N68=0),"",'Price History'!N69/'Price History'!N68-1),"")</f>
        <v>-0.0299015897047692</v>
      </c>
      <c r="O68" s="142" t="n">
        <f aca="false">IFERROR(IF(OR(NOT(ISNUMBER('Price History'!O69)),NOT(ISNUMBER('Price History'!O68)),'Price History'!O68=0),"",'Price History'!O69/'Price History'!O68-1),"")</f>
        <v>-0.0224462225917075</v>
      </c>
      <c r="P68" s="142" t="n">
        <f aca="false">IFERROR(IF(OR(NOT(ISNUMBER('Price History'!P69)),NOT(ISNUMBER('Price History'!P68)),'Price History'!P68=0),"",'Price History'!P69/'Price History'!P68-1),"")</f>
        <v>-0.0188036794226764</v>
      </c>
      <c r="Q68" s="142" t="n">
        <f aca="false">IFERROR(IF(OR(NOT(ISNUMBER('Price History'!Q69)),NOT(ISNUMBER('Price History'!Q68)),'Price History'!Q68=0),"",'Price History'!Q69/'Price History'!Q68-1),"")</f>
        <v>0.00946402704007721</v>
      </c>
      <c r="R68" s="142" t="n">
        <f aca="false">IFERROR(IF(OR(NOT(ISNUMBER('Price History'!R69)),NOT(ISNUMBER('Price History'!R68)),'Price History'!R68=0),"",'Price History'!R69/'Price History'!R68-1),"")</f>
        <v>-0.0164485320127343</v>
      </c>
      <c r="S68" s="142" t="n">
        <f aca="false">IFERROR(IF(OR(NOT(ISNUMBER('Price History'!S69)),NOT(ISNUMBER('Price History'!S68)),'Price History'!S68=0),"",'Price History'!S69/'Price History'!S68-1),"")</f>
        <v>-0.030859737847043</v>
      </c>
      <c r="T68" s="142" t="n">
        <f aca="false">IFERROR(IF(OR(NOT(ISNUMBER('Price History'!T69)),NOT(ISNUMBER('Price History'!T68)),'Price History'!T68=0),"",'Price History'!T69/'Price History'!T68-1),"")</f>
        <v>-0.0153932269801287</v>
      </c>
      <c r="U68" s="142" t="str">
        <f aca="false">IFERROR(IF(OR(NOT(ISNUMBER('Price History'!U69)),NOT(ISNUMBER('Price History'!U68)),'Price History'!U68=0),"",'Price History'!U69/'Price History'!U68-1),"")</f>
        <v/>
      </c>
      <c r="V68" s="143" t="n">
        <f aca="false">IFERROR(IF(OR(NOT(ISNUMBER('Price History'!V69)),NOT(ISNUMBER('Price History'!V68)),'Price History'!V68=0),"",'Price History'!V69/'Price History'!V68-1),"")</f>
        <v>0.00764919221892524</v>
      </c>
      <c r="W68" s="144" t="str">
        <f aca="false">IFERROR('Price History'!B3+(INDEX('Price History'!B:B,MATCH(9.99E+307,'Price History'!$A:$A))-'Price History'!B3)*(ROW()-3)/(MATCH(9.99E+307,'Returns (Calc)'!$A:$A)-3),"")</f>
        <v/>
      </c>
      <c r="X68" s="144" t="n">
        <f aca="false">IFERROR('Price History'!C3+(INDEX('Price History'!C:C,MATCH(9.99E+307,'Price History'!$A:$A))-'Price History'!C3)*(ROW()-3)/(MATCH(9.99E+307,'Returns (Calc)'!$A:$A)-3),"")</f>
        <v>27.1818987341772</v>
      </c>
      <c r="Y68" s="144" t="n">
        <f aca="false">IFERROR('Price History'!D3+(INDEX('Price History'!D:D,MATCH(9.99E+307,'Price History'!$A:$A))-'Price History'!D3)*(ROW()-3)/(MATCH(9.99E+307,'Returns (Calc)'!$A:$A)-3),"")</f>
        <v>342.575506329114</v>
      </c>
      <c r="Z68" s="144" t="n">
        <f aca="false">IFERROR('Price History'!E3+(INDEX('Price History'!E:E,MATCH(9.99E+307,'Price History'!$A:$A))-'Price History'!E3)*(ROW()-3)/(MATCH(9.99E+307,'Returns (Calc)'!$A:$A)-3),"")</f>
        <v>48.2658227848101</v>
      </c>
      <c r="AA68" s="144" t="n">
        <f aca="false">IFERROR('Price History'!F3+(INDEX('Price History'!F:F,MATCH(9.99E+307,'Price History'!$A:$A))-'Price History'!F3)*(ROW()-3)/(MATCH(9.99E+307,'Returns (Calc)'!$A:$A)-3),"")</f>
        <v>44.3280379746835</v>
      </c>
      <c r="AB68" s="144" t="n">
        <f aca="false">IFERROR('Price History'!G3+(INDEX('Price History'!G:G,MATCH(9.99E+307,'Price History'!$A:$A))-'Price History'!G3)*(ROW()-3)/(MATCH(9.99E+307,'Returns (Calc)'!$A:$A)-3),"")</f>
        <v>24.3448101265823</v>
      </c>
      <c r="AC68" s="144" t="n">
        <f aca="false">IFERROR('Price History'!H3+(INDEX('Price History'!H:H,MATCH(9.99E+307,'Price History'!$A:$A))-'Price History'!H3)*(ROW()-3)/(MATCH(9.99E+307,'Returns (Calc)'!$A:$A)-3),"")</f>
        <v>59.2080379746835</v>
      </c>
      <c r="AD68" s="144" t="n">
        <f aca="false">IFERROR('Price History'!I3+(INDEX('Price History'!I:I,MATCH(9.99E+307,'Price History'!$A:$A))-'Price History'!I3)*(ROW()-3)/(MATCH(9.99E+307,'Returns (Calc)'!$A:$A)-3),"")</f>
        <v>26.104746835443</v>
      </c>
      <c r="AE68" s="144" t="n">
        <f aca="false">IFERROR('Price History'!J3+(INDEX('Price History'!J:J,MATCH(9.99E+307,'Price History'!$A:$A))-'Price History'!J3)*(ROW()-3)/(MATCH(9.99E+307,'Returns (Calc)'!$A:$A)-3),"")</f>
        <v>40.678670886076</v>
      </c>
      <c r="AF68" s="144" t="n">
        <f aca="false">IFERROR('Price History'!K3+(INDEX('Price History'!K:K,MATCH(9.99E+307,'Price History'!$A:$A))-'Price History'!K3)*(ROW()-3)/(MATCH(9.99E+307,'Returns (Calc)'!$A:$A)-3),"")</f>
        <v>25.7633544303798</v>
      </c>
      <c r="AG68" s="144" t="n">
        <f aca="false">IFERROR('Price History'!L3+(INDEX('Price History'!L:L,MATCH(9.99E+307,'Price History'!$A:$A))-'Price History'!L3)*(ROW()-3)/(MATCH(9.99E+307,'Returns (Calc)'!$A:$A)-3),"")</f>
        <v>65.8298734177215</v>
      </c>
      <c r="AH68" s="144" t="n">
        <f aca="false">IFERROR('Price History'!M3+(INDEX('Price History'!M:M,MATCH(9.99E+307,'Price History'!$A:$A))-'Price History'!M3)*(ROW()-3)/(MATCH(9.99E+307,'Returns (Calc)'!$A:$A)-3),"")</f>
        <v>9.02335443037975</v>
      </c>
      <c r="AI68" s="144" t="n">
        <f aca="false">IFERROR('Price History'!N3+(INDEX('Price History'!N:N,MATCH(9.99E+307,'Price History'!$A:$A))-'Price History'!N3)*(ROW()-3)/(MATCH(9.99E+307,'Returns (Calc)'!$A:$A)-3),"")</f>
        <v>12.8316455696203</v>
      </c>
      <c r="AJ68" s="144" t="n">
        <f aca="false">IFERROR('Price History'!O3+(INDEX('Price History'!O:O,MATCH(9.99E+307,'Price History'!$A:$A))-'Price History'!O3)*(ROW()-3)/(MATCH(9.99E+307,'Returns (Calc)'!$A:$A)-3),"")</f>
        <v>33.9214556962025</v>
      </c>
      <c r="AK68" s="144" t="n">
        <f aca="false">IFERROR('Price History'!Q3+(INDEX('Price History'!Q:Q,MATCH(9.99E+307,'Price History'!$A:$A))-'Price History'!Q3)*(ROW()-3)/(MATCH(9.99E+307,'Returns (Calc)'!$A:$A)-3),"")</f>
        <v>138.693607594937</v>
      </c>
      <c r="AL68" s="144" t="n">
        <f aca="false">IFERROR('Price History'!R3+(INDEX('Price History'!R:R,MATCH(9.99E+307,'Price History'!$A:$A))-'Price History'!R3)*(ROW()-3)/(MATCH(9.99E+307,'Returns (Calc)'!$A:$A)-3),"")</f>
        <v>28.1472151898734</v>
      </c>
      <c r="AM68" s="144" t="n">
        <f aca="false">IFERROR('Price History'!S3+(INDEX('Price History'!S:S,MATCH(9.99E+307,'Price History'!$A:$A))-'Price History'!S3)*(ROW()-3)/(MATCH(9.99E+307,'Returns (Calc)'!$A:$A)-3),"")</f>
        <v>34.4570886075949</v>
      </c>
      <c r="AN68" s="144" t="n">
        <f aca="false">IFERROR('Price History'!T3+(INDEX('Price History'!T:T,MATCH(9.99E+307,'Price History'!$A:$A))-'Price History'!T3)*(ROW()-3)/(MATCH(9.99E+307,'Returns (Calc)'!$A:$A)-3),"")</f>
        <v>15.8394303797468</v>
      </c>
      <c r="AO68" s="145" t="n">
        <f aca="false">IFERROR('Price History'!V3+(INDEX('Price History'!V:V,MATCH(9.99E+307,'Price History'!$A:$A))-'Price History'!V3)*(ROW()-3)/(MATCH(9.99E+307,'Returns (Calc)'!$A:$A)-3),"")</f>
        <v>0</v>
      </c>
    </row>
    <row r="69" customFormat="false" ht="15" hidden="false" customHeight="true" outlineLevel="0" collapsed="false">
      <c r="A69" s="141" t="n">
        <f aca="false">IF('Price History'!A70="","",'Price History'!A70)</f>
        <v>45653</v>
      </c>
      <c r="B69" s="142" t="n">
        <f aca="false">IFERROR(IF(OR(NOT(ISNUMBER('Price History'!B70)),NOT(ISNUMBER('Price History'!B69)),'Price History'!B69=0),"",'Price History'!B70/'Price History'!B69-1),"")</f>
        <v>-0.00154303732361294</v>
      </c>
      <c r="C69" s="142" t="n">
        <f aca="false">IFERROR(IF(OR(NOT(ISNUMBER('Price History'!C70)),NOT(ISNUMBER('Price History'!C69)),'Price History'!C69=0),"",'Price History'!C70/'Price History'!C69-1),"")</f>
        <v>0.00195018172147865</v>
      </c>
      <c r="D69" s="142" t="n">
        <f aca="false">IFERROR(IF(OR(NOT(ISNUMBER('Price History'!D70)),NOT(ISNUMBER('Price History'!D69)),'Price History'!D69=0),"",'Price History'!D70/'Price History'!D69-1),"")</f>
        <v>0.0112123738607941</v>
      </c>
      <c r="E69" s="142" t="n">
        <f aca="false">IFERROR(IF(OR(NOT(ISNUMBER('Price History'!E70)),NOT(ISNUMBER('Price History'!E69)),'Price History'!E69=0),"",'Price History'!E70/'Price History'!E69-1),"")</f>
        <v>0.097866654379579</v>
      </c>
      <c r="F69" s="142" t="n">
        <f aca="false">IFERROR(IF(OR(NOT(ISNUMBER('Price History'!F70)),NOT(ISNUMBER('Price History'!F69)),'Price History'!F69=0),"",'Price History'!F70/'Price History'!F69-1),"")</f>
        <v>0.00395256916996045</v>
      </c>
      <c r="G69" s="142" t="n">
        <f aca="false">IFERROR(IF(OR(NOT(ISNUMBER('Price History'!G70)),NOT(ISNUMBER('Price History'!G69)),'Price History'!G69=0),"",'Price History'!G70/'Price History'!G69-1),"")</f>
        <v>-0.0200949541790879</v>
      </c>
      <c r="H69" s="142" t="n">
        <f aca="false">IFERROR(IF(OR(NOT(ISNUMBER('Price History'!H70)),NOT(ISNUMBER('Price History'!H69)),'Price History'!H69=0),"",'Price History'!H70/'Price History'!H69-1),"")</f>
        <v>0.00453184429877807</v>
      </c>
      <c r="I69" s="142" t="n">
        <f aca="false">IFERROR(IF(OR(NOT(ISNUMBER('Price History'!I70)),NOT(ISNUMBER('Price History'!I69)),'Price History'!I69=0),"",'Price History'!I70/'Price History'!I69-1),"")</f>
        <v>0.0246099404857649</v>
      </c>
      <c r="J69" s="142" t="n">
        <f aca="false">IFERROR(IF(OR(NOT(ISNUMBER('Price History'!J70)),NOT(ISNUMBER('Price History'!J69)),'Price History'!J69=0),"",'Price History'!J70/'Price History'!J69-1),"")</f>
        <v>-0.0165068034798125</v>
      </c>
      <c r="K69" s="142" t="n">
        <f aca="false">IFERROR(IF(OR(NOT(ISNUMBER('Price History'!K70)),NOT(ISNUMBER('Price History'!K69)),'Price History'!K69=0),"",'Price History'!K70/'Price History'!K69-1),"")</f>
        <v>0.0171194640863417</v>
      </c>
      <c r="L69" s="142" t="n">
        <f aca="false">IFERROR(IF(OR(NOT(ISNUMBER('Price History'!L70)),NOT(ISNUMBER('Price History'!L69)),'Price History'!L69=0),"",'Price History'!L70/'Price History'!L69-1),"")</f>
        <v>0.0185679113664341</v>
      </c>
      <c r="M69" s="142" t="n">
        <f aca="false">IFERROR(IF(OR(NOT(ISNUMBER('Price History'!M70)),NOT(ISNUMBER('Price History'!M69)),'Price History'!M69=0),"",'Price History'!M70/'Price History'!M69-1),"")</f>
        <v>-0.0182495344506518</v>
      </c>
      <c r="N69" s="142" t="n">
        <f aca="false">IFERROR(IF(OR(NOT(ISNUMBER('Price History'!N70)),NOT(ISNUMBER('Price History'!N69)),'Price History'!N69=0),"",'Price History'!N70/'Price History'!N69-1),"")</f>
        <v>0.00663285212641451</v>
      </c>
      <c r="O69" s="142" t="n">
        <f aca="false">IFERROR(IF(OR(NOT(ISNUMBER('Price History'!O70)),NOT(ISNUMBER('Price History'!O69)),'Price History'!O69=0),"",'Price History'!O70/'Price History'!O69-1),"")</f>
        <v>0.0126501541405337</v>
      </c>
      <c r="P69" s="142" t="n">
        <f aca="false">IFERROR(IF(OR(NOT(ISNUMBER('Price History'!P70)),NOT(ISNUMBER('Price History'!P69)),'Price History'!P69=0),"",'Price History'!P70/'Price History'!P69-1),"")</f>
        <v>0.0224270989796447</v>
      </c>
      <c r="Q69" s="142" t="n">
        <f aca="false">IFERROR(IF(OR(NOT(ISNUMBER('Price History'!Q70)),NOT(ISNUMBER('Price History'!Q69)),'Price History'!Q69=0),"",'Price History'!Q70/'Price History'!Q69-1),"")</f>
        <v>0.00296565579259545</v>
      </c>
      <c r="R69" s="142" t="n">
        <f aca="false">IFERROR(IF(OR(NOT(ISNUMBER('Price History'!R70)),NOT(ISNUMBER('Price History'!R69)),'Price History'!R69=0),"",'Price History'!R70/'Price History'!R69-1),"")</f>
        <v>0.0172630821794642</v>
      </c>
      <c r="S69" s="142" t="n">
        <f aca="false">IFERROR(IF(OR(NOT(ISNUMBER('Price History'!S70)),NOT(ISNUMBER('Price History'!S69)),'Price History'!S69=0),"",'Price History'!S70/'Price History'!S69-1),"")</f>
        <v>0.0178913738019169</v>
      </c>
      <c r="T69" s="142" t="n">
        <f aca="false">IFERROR(IF(OR(NOT(ISNUMBER('Price History'!T70)),NOT(ISNUMBER('Price History'!T69)),'Price History'!T69=0),"",'Price History'!T70/'Price History'!T69-1),"")</f>
        <v>0.0386583285957931</v>
      </c>
      <c r="U69" s="142" t="str">
        <f aca="false">IFERROR(IF(OR(NOT(ISNUMBER('Price History'!U70)),NOT(ISNUMBER('Price History'!U69)),'Price History'!U69=0),"",'Price History'!U70/'Price History'!U69-1),"")</f>
        <v/>
      </c>
      <c r="V69" s="143" t="n">
        <f aca="false">IFERROR(IF(OR(NOT(ISNUMBER('Price History'!V70)),NOT(ISNUMBER('Price History'!V69)),'Price History'!V69=0),"",'Price History'!V70/'Price History'!V69-1),"")</f>
        <v>0.000916170407695649</v>
      </c>
      <c r="W69" s="144" t="str">
        <f aca="false">IFERROR('Price History'!B3+(INDEX('Price History'!B:B,MATCH(9.99E+307,'Price History'!$A:$A))-'Price History'!B3)*(ROW()-3)/(MATCH(9.99E+307,'Returns (Calc)'!$A:$A)-3),"")</f>
        <v/>
      </c>
      <c r="X69" s="144" t="n">
        <f aca="false">IFERROR('Price History'!C3+(INDEX('Price History'!C:C,MATCH(9.99E+307,'Price History'!$A:$A))-'Price History'!C3)*(ROW()-3)/(MATCH(9.99E+307,'Returns (Calc)'!$A:$A)-3),"")</f>
        <v>26.8896202531646</v>
      </c>
      <c r="Y69" s="144" t="n">
        <f aca="false">IFERROR('Price History'!D3+(INDEX('Price History'!D:D,MATCH(9.99E+307,'Price History'!$A:$A))-'Price History'!D3)*(ROW()-3)/(MATCH(9.99E+307,'Returns (Calc)'!$A:$A)-3),"")</f>
        <v>338.891898734177</v>
      </c>
      <c r="Z69" s="144" t="n">
        <f aca="false">IFERROR('Price History'!E3+(INDEX('Price History'!E:E,MATCH(9.99E+307,'Price History'!$A:$A))-'Price History'!E3)*(ROW()-3)/(MATCH(9.99E+307,'Returns (Calc)'!$A:$A)-3),"")</f>
        <v>47.746835443038</v>
      </c>
      <c r="AA69" s="144" t="n">
        <f aca="false">IFERROR('Price History'!F3+(INDEX('Price History'!F:F,MATCH(9.99E+307,'Price History'!$A:$A))-'Price History'!F3)*(ROW()-3)/(MATCH(9.99E+307,'Returns (Calc)'!$A:$A)-3),"")</f>
        <v>43.8513924050633</v>
      </c>
      <c r="AB69" s="144" t="n">
        <f aca="false">IFERROR('Price History'!G3+(INDEX('Price History'!G:G,MATCH(9.99E+307,'Price History'!$A:$A))-'Price History'!G3)*(ROW()-3)/(MATCH(9.99E+307,'Returns (Calc)'!$A:$A)-3),"")</f>
        <v>24.0830379746835</v>
      </c>
      <c r="AC69" s="144" t="n">
        <f aca="false">IFERROR('Price History'!H3+(INDEX('Price History'!H:H,MATCH(9.99E+307,'Price History'!$A:$A))-'Price History'!H3)*(ROW()-3)/(MATCH(9.99E+307,'Returns (Calc)'!$A:$A)-3),"")</f>
        <v>58.5713924050633</v>
      </c>
      <c r="AD69" s="144" t="n">
        <f aca="false">IFERROR('Price History'!I3+(INDEX('Price History'!I:I,MATCH(9.99E+307,'Price History'!$A:$A))-'Price History'!I3)*(ROW()-3)/(MATCH(9.99E+307,'Returns (Calc)'!$A:$A)-3),"")</f>
        <v>25.8240506329114</v>
      </c>
      <c r="AE69" s="144" t="n">
        <f aca="false">IFERROR('Price History'!J3+(INDEX('Price History'!J:J,MATCH(9.99E+307,'Price History'!$A:$A))-'Price History'!J3)*(ROW()-3)/(MATCH(9.99E+307,'Returns (Calc)'!$A:$A)-3),"")</f>
        <v>40.2412658227848</v>
      </c>
      <c r="AF69" s="144" t="n">
        <f aca="false">IFERROR('Price History'!K3+(INDEX('Price History'!K:K,MATCH(9.99E+307,'Price History'!$A:$A))-'Price History'!K3)*(ROW()-3)/(MATCH(9.99E+307,'Returns (Calc)'!$A:$A)-3),"")</f>
        <v>25.4863291139241</v>
      </c>
      <c r="AG69" s="144" t="n">
        <f aca="false">IFERROR('Price History'!L3+(INDEX('Price History'!L:L,MATCH(9.99E+307,'Price History'!$A:$A))-'Price History'!L3)*(ROW()-3)/(MATCH(9.99E+307,'Returns (Calc)'!$A:$A)-3),"")</f>
        <v>65.1220253164557</v>
      </c>
      <c r="AH69" s="144" t="n">
        <f aca="false">IFERROR('Price History'!M3+(INDEX('Price History'!M:M,MATCH(9.99E+307,'Price History'!$A:$A))-'Price History'!M3)*(ROW()-3)/(MATCH(9.99E+307,'Returns (Calc)'!$A:$A)-3),"")</f>
        <v>8.92632911392405</v>
      </c>
      <c r="AI69" s="144" t="n">
        <f aca="false">IFERROR('Price History'!N3+(INDEX('Price History'!N:N,MATCH(9.99E+307,'Price History'!$A:$A))-'Price History'!N3)*(ROW()-3)/(MATCH(9.99E+307,'Returns (Calc)'!$A:$A)-3),"")</f>
        <v>12.693670886076</v>
      </c>
      <c r="AJ69" s="144" t="n">
        <f aca="false">IFERROR('Price History'!O3+(INDEX('Price History'!O:O,MATCH(9.99E+307,'Price History'!$A:$A))-'Price History'!O3)*(ROW()-3)/(MATCH(9.99E+307,'Returns (Calc)'!$A:$A)-3),"")</f>
        <v>33.5567088607595</v>
      </c>
      <c r="AK69" s="144" t="n">
        <f aca="false">IFERROR('Price History'!Q3+(INDEX('Price History'!Q:Q,MATCH(9.99E+307,'Price History'!$A:$A))-'Price History'!Q3)*(ROW()-3)/(MATCH(9.99E+307,'Returns (Calc)'!$A:$A)-3),"")</f>
        <v>137.202278481013</v>
      </c>
      <c r="AL69" s="144" t="n">
        <f aca="false">IFERROR('Price History'!R3+(INDEX('Price History'!R:R,MATCH(9.99E+307,'Price History'!$A:$A))-'Price History'!R3)*(ROW()-3)/(MATCH(9.99E+307,'Returns (Calc)'!$A:$A)-3),"")</f>
        <v>27.8445569620253</v>
      </c>
      <c r="AM69" s="144" t="n">
        <f aca="false">IFERROR('Price History'!S3+(INDEX('Price History'!S:S,MATCH(9.99E+307,'Price History'!$A:$A))-'Price History'!S3)*(ROW()-3)/(MATCH(9.99E+307,'Returns (Calc)'!$A:$A)-3),"")</f>
        <v>34.086582278481</v>
      </c>
      <c r="AN69" s="144" t="n">
        <f aca="false">IFERROR('Price History'!T3+(INDEX('Price History'!T:T,MATCH(9.99E+307,'Price History'!$A:$A))-'Price History'!T3)*(ROW()-3)/(MATCH(9.99E+307,'Returns (Calc)'!$A:$A)-3),"")</f>
        <v>15.6691139240506</v>
      </c>
      <c r="AO69" s="145" t="n">
        <f aca="false">IFERROR('Price History'!V3+(INDEX('Price History'!V:V,MATCH(9.99E+307,'Price History'!$A:$A))-'Price History'!V3)*(ROW()-3)/(MATCH(9.99E+307,'Returns (Calc)'!$A:$A)-3),"")</f>
        <v>0</v>
      </c>
    </row>
    <row r="70" customFormat="false" ht="15" hidden="false" customHeight="true" outlineLevel="0" collapsed="false">
      <c r="A70" s="141" t="n">
        <f aca="false">IF('Price History'!A71="","",'Price History'!A71)</f>
        <v>45660</v>
      </c>
      <c r="B70" s="142" t="n">
        <f aca="false">IFERROR(IF(OR(NOT(ISNUMBER('Price History'!B71)),NOT(ISNUMBER('Price History'!B70)),'Price History'!B70=0),"",'Price History'!B71/'Price History'!B70-1),"")</f>
        <v>-0.0356342949292242</v>
      </c>
      <c r="C70" s="142" t="n">
        <f aca="false">IFERROR(IF(OR(NOT(ISNUMBER('Price History'!C71)),NOT(ISNUMBER('Price History'!C70)),'Price History'!C70=0),"",'Price History'!C71/'Price History'!C70-1),"")</f>
        <v>0.0191984428912679</v>
      </c>
      <c r="D70" s="142" t="n">
        <f aca="false">IFERROR(IF(OR(NOT(ISNUMBER('Price History'!D71)),NOT(ISNUMBER('Price History'!D70)),'Price History'!D70=0),"",'Price History'!D71/'Price History'!D70-1),"")</f>
        <v>0.0010803741506269</v>
      </c>
      <c r="E70" s="142" t="n">
        <f aca="false">IFERROR(IF(OR(NOT(ISNUMBER('Price History'!E71)),NOT(ISNUMBER('Price History'!E70)),'Price History'!E70=0),"",'Price History'!E71/'Price History'!E70-1),"")</f>
        <v>-0.038066059512318</v>
      </c>
      <c r="F70" s="142" t="n">
        <f aca="false">IFERROR(IF(OR(NOT(ISNUMBER('Price History'!F71)),NOT(ISNUMBER('Price History'!F70)),'Price History'!F70=0),"",'Price History'!F71/'Price History'!F70-1),"")</f>
        <v>0.00787401574803148</v>
      </c>
      <c r="G70" s="142" t="n">
        <f aca="false">IFERROR(IF(OR(NOT(ISNUMBER('Price History'!G71)),NOT(ISNUMBER('Price History'!G70)),'Price History'!G70=0),"",'Price History'!G71/'Price History'!G70-1),"")</f>
        <v>0.0112676056338028</v>
      </c>
      <c r="H70" s="142" t="n">
        <f aca="false">IFERROR(IF(OR(NOT(ISNUMBER('Price History'!H71)),NOT(ISNUMBER('Price History'!H70)),'Price History'!H70=0),"",'Price History'!H71/'Price History'!H70-1),"")</f>
        <v>-0.000563924917425185</v>
      </c>
      <c r="I70" s="142" t="n">
        <f aca="false">IFERROR(IF(OR(NOT(ISNUMBER('Price History'!I71)),NOT(ISNUMBER('Price History'!I70)),'Price History'!I70=0),"",'Price History'!I71/'Price History'!I70-1),"")</f>
        <v>0.0188383045525904</v>
      </c>
      <c r="J70" s="142" t="n">
        <f aca="false">IFERROR(IF(OR(NOT(ISNUMBER('Price History'!J71)),NOT(ISNUMBER('Price History'!J70)),'Price History'!J70=0),"",'Price History'!J71/'Price History'!J70-1),"")</f>
        <v>0.0153095940122476</v>
      </c>
      <c r="K70" s="142" t="n">
        <f aca="false">IFERROR(IF(OR(NOT(ISNUMBER('Price History'!K71)),NOT(ISNUMBER('Price History'!K70)),'Price History'!K70=0),"",'Price History'!K71/'Price History'!K70-1),"")</f>
        <v>0.0544456641053788</v>
      </c>
      <c r="L70" s="142" t="n">
        <f aca="false">IFERROR(IF(OR(NOT(ISNUMBER('Price History'!L71)),NOT(ISNUMBER('Price History'!L70)),'Price History'!L70=0),"",'Price History'!L71/'Price History'!L70-1),"")</f>
        <v>0.00372645785074011</v>
      </c>
      <c r="M70" s="142" t="n">
        <f aca="false">IFERROR(IF(OR(NOT(ISNUMBER('Price History'!M71)),NOT(ISNUMBER('Price History'!M70)),'Price History'!M70=0),"",'Price History'!M71/'Price History'!M70-1),"")</f>
        <v>0.0102427921092565</v>
      </c>
      <c r="N70" s="142" t="n">
        <f aca="false">IFERROR(IF(OR(NOT(ISNUMBER('Price History'!N71)),NOT(ISNUMBER('Price History'!N70)),'Price History'!N70=0),"",'Price History'!N71/'Price History'!N70-1),"")</f>
        <v>-0.00116279069767444</v>
      </c>
      <c r="O70" s="142" t="n">
        <f aca="false">IFERROR(IF(OR(NOT(ISNUMBER('Price History'!O71)),NOT(ISNUMBER('Price History'!O70)),'Price History'!O70=0),"",'Price History'!O71/'Price History'!O70-1),"")</f>
        <v>0.00304429981104337</v>
      </c>
      <c r="P70" s="142" t="n">
        <f aca="false">IFERROR(IF(OR(NOT(ISNUMBER('Price History'!P71)),NOT(ISNUMBER('Price History'!P70)),'Price History'!P70=0),"",'Price History'!P71/'Price History'!P70-1),"")</f>
        <v>0.0345997973657548</v>
      </c>
      <c r="Q70" s="142" t="n">
        <f aca="false">IFERROR(IF(OR(NOT(ISNUMBER('Price History'!Q71)),NOT(ISNUMBER('Price History'!Q70)),'Price History'!Q70=0),"",'Price History'!Q71/'Price History'!Q70-1),"")</f>
        <v>-0.0117639577769298</v>
      </c>
      <c r="R70" s="142" t="n">
        <f aca="false">IFERROR(IF(OR(NOT(ISNUMBER('Price History'!R71)),NOT(ISNUMBER('Price History'!R70)),'Price History'!R70=0),"",'Price History'!R71/'Price History'!R70-1),"")</f>
        <v>0.00919215131695261</v>
      </c>
      <c r="S70" s="142" t="n">
        <f aca="false">IFERROR(IF(OR(NOT(ISNUMBER('Price History'!S71)),NOT(ISNUMBER('Price History'!S70)),'Price History'!S70=0),"",'Price History'!S71/'Price History'!S70-1),"")</f>
        <v>0.0130780498012137</v>
      </c>
      <c r="T70" s="142" t="n">
        <f aca="false">IFERROR(IF(OR(NOT(ISNUMBER('Price History'!T71)),NOT(ISNUMBER('Price History'!T70)),'Price History'!T70=0),"",'Price History'!T71/'Price History'!T70-1),"")</f>
        <v>0.00191570881226055</v>
      </c>
      <c r="U70" s="142" t="str">
        <f aca="false">IFERROR(IF(OR(NOT(ISNUMBER('Price History'!U71)),NOT(ISNUMBER('Price History'!U70)),'Price History'!U70=0),"",'Price History'!U71/'Price History'!U70-1),"")</f>
        <v/>
      </c>
      <c r="V70" s="143" t="n">
        <f aca="false">IFERROR(IF(OR(NOT(ISNUMBER('Price History'!V71)),NOT(ISNUMBER('Price History'!V70)),'Price History'!V70=0),"",'Price History'!V71/'Price History'!V70-1),"")</f>
        <v>0.0166394246485782</v>
      </c>
      <c r="W70" s="144" t="str">
        <f aca="false">IFERROR('Price History'!B3+(INDEX('Price History'!B:B,MATCH(9.99E+307,'Price History'!$A:$A))-'Price History'!B3)*(ROW()-3)/(MATCH(9.99E+307,'Returns (Calc)'!$A:$A)-3),"")</f>
        <v/>
      </c>
      <c r="X70" s="144" t="n">
        <f aca="false">IFERROR('Price History'!C3+(INDEX('Price History'!C:C,MATCH(9.99E+307,'Price History'!$A:$A))-'Price History'!C3)*(ROW()-3)/(MATCH(9.99E+307,'Returns (Calc)'!$A:$A)-3),"")</f>
        <v>26.5973417721519</v>
      </c>
      <c r="Y70" s="144" t="n">
        <f aca="false">IFERROR('Price History'!D3+(INDEX('Price History'!D:D,MATCH(9.99E+307,'Price History'!$A:$A))-'Price History'!D3)*(ROW()-3)/(MATCH(9.99E+307,'Returns (Calc)'!$A:$A)-3),"")</f>
        <v>335.208291139241</v>
      </c>
      <c r="Z70" s="144" t="n">
        <f aca="false">IFERROR('Price History'!E3+(INDEX('Price History'!E:E,MATCH(9.99E+307,'Price History'!$A:$A))-'Price History'!E3)*(ROW()-3)/(MATCH(9.99E+307,'Returns (Calc)'!$A:$A)-3),"")</f>
        <v>47.2278481012658</v>
      </c>
      <c r="AA70" s="144" t="n">
        <f aca="false">IFERROR('Price History'!F3+(INDEX('Price History'!F:F,MATCH(9.99E+307,'Price History'!$A:$A))-'Price History'!F3)*(ROW()-3)/(MATCH(9.99E+307,'Returns (Calc)'!$A:$A)-3),"")</f>
        <v>43.374746835443</v>
      </c>
      <c r="AB70" s="144" t="n">
        <f aca="false">IFERROR('Price History'!G3+(INDEX('Price History'!G:G,MATCH(9.99E+307,'Price History'!$A:$A))-'Price History'!G3)*(ROW()-3)/(MATCH(9.99E+307,'Returns (Calc)'!$A:$A)-3),"")</f>
        <v>23.8212658227848</v>
      </c>
      <c r="AC70" s="144" t="n">
        <f aca="false">IFERROR('Price History'!H3+(INDEX('Price History'!H:H,MATCH(9.99E+307,'Price History'!$A:$A))-'Price History'!H3)*(ROW()-3)/(MATCH(9.99E+307,'Returns (Calc)'!$A:$A)-3),"")</f>
        <v>57.934746835443</v>
      </c>
      <c r="AD70" s="144" t="n">
        <f aca="false">IFERROR('Price History'!I3+(INDEX('Price History'!I:I,MATCH(9.99E+307,'Price History'!$A:$A))-'Price History'!I3)*(ROW()-3)/(MATCH(9.99E+307,'Returns (Calc)'!$A:$A)-3),"")</f>
        <v>25.5433544303797</v>
      </c>
      <c r="AE70" s="144" t="n">
        <f aca="false">IFERROR('Price History'!J3+(INDEX('Price History'!J:J,MATCH(9.99E+307,'Price History'!$A:$A))-'Price History'!J3)*(ROW()-3)/(MATCH(9.99E+307,'Returns (Calc)'!$A:$A)-3),"")</f>
        <v>39.8038607594937</v>
      </c>
      <c r="AF70" s="144" t="n">
        <f aca="false">IFERROR('Price History'!K3+(INDEX('Price History'!K:K,MATCH(9.99E+307,'Price History'!$A:$A))-'Price History'!K3)*(ROW()-3)/(MATCH(9.99E+307,'Returns (Calc)'!$A:$A)-3),"")</f>
        <v>25.2093037974684</v>
      </c>
      <c r="AG70" s="144" t="n">
        <f aca="false">IFERROR('Price History'!L3+(INDEX('Price History'!L:L,MATCH(9.99E+307,'Price History'!$A:$A))-'Price History'!L3)*(ROW()-3)/(MATCH(9.99E+307,'Returns (Calc)'!$A:$A)-3),"")</f>
        <v>64.4141772151899</v>
      </c>
      <c r="AH70" s="144" t="n">
        <f aca="false">IFERROR('Price History'!M3+(INDEX('Price History'!M:M,MATCH(9.99E+307,'Price History'!$A:$A))-'Price History'!M3)*(ROW()-3)/(MATCH(9.99E+307,'Returns (Calc)'!$A:$A)-3),"")</f>
        <v>8.82930379746836</v>
      </c>
      <c r="AI70" s="144" t="n">
        <f aca="false">IFERROR('Price History'!N3+(INDEX('Price History'!N:N,MATCH(9.99E+307,'Price History'!$A:$A))-'Price History'!N3)*(ROW()-3)/(MATCH(9.99E+307,'Returns (Calc)'!$A:$A)-3),"")</f>
        <v>12.5556962025316</v>
      </c>
      <c r="AJ70" s="144" t="n">
        <f aca="false">IFERROR('Price History'!O3+(INDEX('Price History'!O:O,MATCH(9.99E+307,'Price History'!$A:$A))-'Price History'!O3)*(ROW()-3)/(MATCH(9.99E+307,'Returns (Calc)'!$A:$A)-3),"")</f>
        <v>33.1919620253165</v>
      </c>
      <c r="AK70" s="144" t="n">
        <f aca="false">IFERROR('Price History'!Q3+(INDEX('Price History'!Q:Q,MATCH(9.99E+307,'Price History'!$A:$A))-'Price History'!Q3)*(ROW()-3)/(MATCH(9.99E+307,'Returns (Calc)'!$A:$A)-3),"")</f>
        <v>135.710949367089</v>
      </c>
      <c r="AL70" s="144" t="n">
        <f aca="false">IFERROR('Price History'!R3+(INDEX('Price History'!R:R,MATCH(9.99E+307,'Price History'!$A:$A))-'Price History'!R3)*(ROW()-3)/(MATCH(9.99E+307,'Returns (Calc)'!$A:$A)-3),"")</f>
        <v>27.5418987341772</v>
      </c>
      <c r="AM70" s="144" t="n">
        <f aca="false">IFERROR('Price History'!S3+(INDEX('Price History'!S:S,MATCH(9.99E+307,'Price History'!$A:$A))-'Price History'!S3)*(ROW()-3)/(MATCH(9.99E+307,'Returns (Calc)'!$A:$A)-3),"")</f>
        <v>33.7160759493671</v>
      </c>
      <c r="AN70" s="144" t="n">
        <f aca="false">IFERROR('Price History'!T3+(INDEX('Price History'!T:T,MATCH(9.99E+307,'Price History'!$A:$A))-'Price History'!T3)*(ROW()-3)/(MATCH(9.99E+307,'Returns (Calc)'!$A:$A)-3),"")</f>
        <v>15.4987974683544</v>
      </c>
      <c r="AO70" s="145" t="n">
        <f aca="false">IFERROR('Price History'!V3+(INDEX('Price History'!V:V,MATCH(9.99E+307,'Price History'!$A:$A))-'Price History'!V3)*(ROW()-3)/(MATCH(9.99E+307,'Returns (Calc)'!$A:$A)-3),"")</f>
        <v>0</v>
      </c>
    </row>
    <row r="71" customFormat="false" ht="15" hidden="false" customHeight="true" outlineLevel="0" collapsed="false">
      <c r="A71" s="141" t="n">
        <f aca="false">IF('Price History'!A72="","",'Price History'!A72)</f>
        <v>45667</v>
      </c>
      <c r="B71" s="142" t="n">
        <f aca="false">IFERROR(IF(OR(NOT(ISNUMBER('Price History'!B72)),NOT(ISNUMBER('Price History'!B71)),'Price History'!B71=0),"",'Price History'!B72/'Price History'!B71-1),"")</f>
        <v>-0.0572496922683884</v>
      </c>
      <c r="C71" s="142" t="n">
        <f aca="false">IFERROR(IF(OR(NOT(ISNUMBER('Price History'!C72)),NOT(ISNUMBER('Price History'!C71)),'Price History'!C71=0),"",'Price History'!C72/'Price History'!C71-1),"")</f>
        <v>-0.00746527777777772</v>
      </c>
      <c r="D71" s="142" t="n">
        <f aca="false">IFERROR(IF(OR(NOT(ISNUMBER('Price History'!D72)),NOT(ISNUMBER('Price History'!D71)),'Price History'!D71=0),"",'Price History'!D72/'Price History'!D71-1),"")</f>
        <v>0.0345062622475931</v>
      </c>
      <c r="E71" s="142" t="n">
        <f aca="false">IFERROR(IF(OR(NOT(ISNUMBER('Price History'!E72)),NOT(ISNUMBER('Price History'!E71)),'Price History'!E71=0),"",'Price History'!E72/'Price History'!E71-1),"")</f>
        <v>-0.0354275741710296</v>
      </c>
      <c r="F71" s="142" t="n">
        <f aca="false">IFERROR(IF(OR(NOT(ISNUMBER('Price History'!F72)),NOT(ISNUMBER('Price History'!F71)),'Price History'!F71=0),"",'Price History'!F72/'Price History'!F71-1),"")</f>
        <v>-0.0262880067567567</v>
      </c>
      <c r="G71" s="142" t="n">
        <f aca="false">IFERROR(IF(OR(NOT(ISNUMBER('Price History'!G72)),NOT(ISNUMBER('Price History'!G71)),'Price History'!G71=0),"",'Price History'!G72/'Price History'!G71-1),"")</f>
        <v>-0.0283008356545962</v>
      </c>
      <c r="H71" s="142" t="n">
        <f aca="false">IFERROR(IF(OR(NOT(ISNUMBER('Price History'!H72)),NOT(ISNUMBER('Price History'!H71)),'Price History'!H71=0),"",'Price History'!H72/'Price History'!H71-1),"")</f>
        <v>-0.0249879090762535</v>
      </c>
      <c r="I71" s="142" t="n">
        <f aca="false">IFERROR(IF(OR(NOT(ISNUMBER('Price History'!I72)),NOT(ISNUMBER('Price History'!I71)),'Price History'!I71=0),"",'Price History'!I72/'Price History'!I71-1),"")</f>
        <v>0.0397534668721109</v>
      </c>
      <c r="J71" s="142" t="n">
        <f aca="false">IFERROR(IF(OR(NOT(ISNUMBER('Price History'!J72)),NOT(ISNUMBER('Price History'!J71)),'Price History'!J71=0),"",'Price History'!J72/'Price History'!J71-1),"")</f>
        <v>0.105327823076064</v>
      </c>
      <c r="K71" s="142" t="n">
        <f aca="false">IFERROR(IF(OR(NOT(ISNUMBER('Price History'!K72)),NOT(ISNUMBER('Price History'!K71)),'Price History'!K71=0),"",'Price History'!K72/'Price History'!K71-1),"")</f>
        <v>-0.0591991116663196</v>
      </c>
      <c r="L71" s="142" t="n">
        <f aca="false">IFERROR(IF(OR(NOT(ISNUMBER('Price History'!L72)),NOT(ISNUMBER('Price History'!L71)),'Price History'!L71=0),"",'Price History'!L72/'Price History'!L71-1),"")</f>
        <v>-0.0192655027092113</v>
      </c>
      <c r="M71" s="142" t="n">
        <f aca="false">IFERROR(IF(OR(NOT(ISNUMBER('Price History'!M72)),NOT(ISNUMBER('Price History'!M71)),'Price History'!M71=0),"",'Price History'!M72/'Price History'!M71-1),"")</f>
        <v>-0.1580923770184</v>
      </c>
      <c r="N71" s="142" t="n">
        <f aca="false">IFERROR(IF(OR(NOT(ISNUMBER('Price History'!N72)),NOT(ISNUMBER('Price History'!N71)),'Price History'!N71=0),"",'Price History'!N72/'Price History'!N71-1),"")</f>
        <v>-0.0155219247186651</v>
      </c>
      <c r="O71" s="142" t="n">
        <f aca="false">IFERROR(IF(OR(NOT(ISNUMBER('Price History'!O72)),NOT(ISNUMBER('Price History'!O71)),'Price History'!O71=0),"",'Price History'!O72/'Price History'!O71-1),"")</f>
        <v>-0.0135007849293562</v>
      </c>
      <c r="P71" s="142" t="n">
        <f aca="false">IFERROR(IF(OR(NOT(ISNUMBER('Price History'!P72)),NOT(ISNUMBER('Price History'!P71)),'Price History'!P71=0),"",'Price History'!P72/'Price History'!P71-1),"")</f>
        <v>-0.00112618126621944</v>
      </c>
      <c r="Q71" s="142" t="n">
        <f aca="false">IFERROR(IF(OR(NOT(ISNUMBER('Price History'!Q72)),NOT(ISNUMBER('Price History'!Q71)),'Price History'!Q71=0),"",'Price History'!Q72/'Price History'!Q71-1),"")</f>
        <v>-0.0228428029084357</v>
      </c>
      <c r="R71" s="142" t="n">
        <f aca="false">IFERROR(IF(OR(NOT(ISNUMBER('Price History'!R72)),NOT(ISNUMBER('Price History'!R71)),'Price History'!R71=0),"",'Price History'!R72/'Price History'!R71-1),"")</f>
        <v>0.00928358731826928</v>
      </c>
      <c r="S71" s="142" t="n">
        <f aca="false">IFERROR(IF(OR(NOT(ISNUMBER('Price History'!S72)),NOT(ISNUMBER('Price History'!S71)),'Price History'!S71=0),"",'Price History'!S72/'Price History'!S71-1),"")</f>
        <v>0.0193121966332748</v>
      </c>
      <c r="T71" s="142" t="n">
        <f aca="false">IFERROR(IF(OR(NOT(ISNUMBER('Price History'!T72)),NOT(ISNUMBER('Price History'!T71)),'Price History'!T71=0),"",'Price History'!T72/'Price History'!T71-1),"")</f>
        <v>-0.00081944823818636</v>
      </c>
      <c r="U71" s="142" t="str">
        <f aca="false">IFERROR(IF(OR(NOT(ISNUMBER('Price History'!U72)),NOT(ISNUMBER('Price History'!U71)),'Price History'!U71=0),"",'Price History'!U72/'Price History'!U71-1),"")</f>
        <v/>
      </c>
      <c r="V71" s="143" t="n">
        <f aca="false">IFERROR(IF(OR(NOT(ISNUMBER('Price History'!V72)),NOT(ISNUMBER('Price History'!V71)),'Price History'!V71=0),"",'Price History'!V72/'Price History'!V71-1),"")</f>
        <v>-0.0129264606578989</v>
      </c>
      <c r="W71" s="144" t="str">
        <f aca="false">IFERROR('Price History'!B3+(INDEX('Price History'!B:B,MATCH(9.99E+307,'Price History'!$A:$A))-'Price History'!B3)*(ROW()-3)/(MATCH(9.99E+307,'Returns (Calc)'!$A:$A)-3),"")</f>
        <v/>
      </c>
      <c r="X71" s="144" t="n">
        <f aca="false">IFERROR('Price History'!C3+(INDEX('Price History'!C:C,MATCH(9.99E+307,'Price History'!$A:$A))-'Price History'!C3)*(ROW()-3)/(MATCH(9.99E+307,'Returns (Calc)'!$A:$A)-3),"")</f>
        <v>26.3050632911392</v>
      </c>
      <c r="Y71" s="144" t="n">
        <f aca="false">IFERROR('Price History'!D3+(INDEX('Price History'!D:D,MATCH(9.99E+307,'Price History'!$A:$A))-'Price History'!D3)*(ROW()-3)/(MATCH(9.99E+307,'Returns (Calc)'!$A:$A)-3),"")</f>
        <v>331.524683544304</v>
      </c>
      <c r="Z71" s="144" t="n">
        <f aca="false">IFERROR('Price History'!E3+(INDEX('Price History'!E:E,MATCH(9.99E+307,'Price History'!$A:$A))-'Price History'!E3)*(ROW()-3)/(MATCH(9.99E+307,'Returns (Calc)'!$A:$A)-3),"")</f>
        <v>46.7088607594937</v>
      </c>
      <c r="AA71" s="144" t="n">
        <f aca="false">IFERROR('Price History'!F3+(INDEX('Price History'!F:F,MATCH(9.99E+307,'Price History'!$A:$A))-'Price History'!F3)*(ROW()-3)/(MATCH(9.99E+307,'Returns (Calc)'!$A:$A)-3),"")</f>
        <v>42.8981012658228</v>
      </c>
      <c r="AB71" s="144" t="n">
        <f aca="false">IFERROR('Price History'!G3+(INDEX('Price History'!G:G,MATCH(9.99E+307,'Price History'!$A:$A))-'Price History'!G3)*(ROW()-3)/(MATCH(9.99E+307,'Returns (Calc)'!$A:$A)-3),"")</f>
        <v>23.5594936708861</v>
      </c>
      <c r="AC71" s="144" t="n">
        <f aca="false">IFERROR('Price History'!H3+(INDEX('Price History'!H:H,MATCH(9.99E+307,'Price History'!$A:$A))-'Price History'!H3)*(ROW()-3)/(MATCH(9.99E+307,'Returns (Calc)'!$A:$A)-3),"")</f>
        <v>57.2981012658228</v>
      </c>
      <c r="AD71" s="144" t="n">
        <f aca="false">IFERROR('Price History'!I3+(INDEX('Price History'!I:I,MATCH(9.99E+307,'Price History'!$A:$A))-'Price History'!I3)*(ROW()-3)/(MATCH(9.99E+307,'Returns (Calc)'!$A:$A)-3),"")</f>
        <v>25.2626582278481</v>
      </c>
      <c r="AE71" s="144" t="n">
        <f aca="false">IFERROR('Price History'!J3+(INDEX('Price History'!J:J,MATCH(9.99E+307,'Price History'!$A:$A))-'Price History'!J3)*(ROW()-3)/(MATCH(9.99E+307,'Returns (Calc)'!$A:$A)-3),"")</f>
        <v>39.3664556962025</v>
      </c>
      <c r="AF71" s="144" t="n">
        <f aca="false">IFERROR('Price History'!K3+(INDEX('Price History'!K:K,MATCH(9.99E+307,'Price History'!$A:$A))-'Price History'!K3)*(ROW()-3)/(MATCH(9.99E+307,'Returns (Calc)'!$A:$A)-3),"")</f>
        <v>24.9322784810127</v>
      </c>
      <c r="AG71" s="144" t="n">
        <f aca="false">IFERROR('Price History'!L3+(INDEX('Price History'!L:L,MATCH(9.99E+307,'Price History'!$A:$A))-'Price History'!L3)*(ROW()-3)/(MATCH(9.99E+307,'Returns (Calc)'!$A:$A)-3),"")</f>
        <v>63.7063291139241</v>
      </c>
      <c r="AH71" s="144" t="n">
        <f aca="false">IFERROR('Price History'!M3+(INDEX('Price History'!M:M,MATCH(9.99E+307,'Price History'!$A:$A))-'Price History'!M3)*(ROW()-3)/(MATCH(9.99E+307,'Returns (Calc)'!$A:$A)-3),"")</f>
        <v>8.73227848101266</v>
      </c>
      <c r="AI71" s="144" t="n">
        <f aca="false">IFERROR('Price History'!N3+(INDEX('Price History'!N:N,MATCH(9.99E+307,'Price History'!$A:$A))-'Price History'!N3)*(ROW()-3)/(MATCH(9.99E+307,'Returns (Calc)'!$A:$A)-3),"")</f>
        <v>12.4177215189873</v>
      </c>
      <c r="AJ71" s="144" t="n">
        <f aca="false">IFERROR('Price History'!O3+(INDEX('Price History'!O:O,MATCH(9.99E+307,'Price History'!$A:$A))-'Price History'!O3)*(ROW()-3)/(MATCH(9.99E+307,'Returns (Calc)'!$A:$A)-3),"")</f>
        <v>32.8272151898734</v>
      </c>
      <c r="AK71" s="144" t="n">
        <f aca="false">IFERROR('Price History'!Q3+(INDEX('Price History'!Q:Q,MATCH(9.99E+307,'Price History'!$A:$A))-'Price History'!Q3)*(ROW()-3)/(MATCH(9.99E+307,'Returns (Calc)'!$A:$A)-3),"")</f>
        <v>134.219620253165</v>
      </c>
      <c r="AL71" s="144" t="n">
        <f aca="false">IFERROR('Price History'!R3+(INDEX('Price History'!R:R,MATCH(9.99E+307,'Price History'!$A:$A))-'Price History'!R3)*(ROW()-3)/(MATCH(9.99E+307,'Returns (Calc)'!$A:$A)-3),"")</f>
        <v>27.2392405063291</v>
      </c>
      <c r="AM71" s="144" t="n">
        <f aca="false">IFERROR('Price History'!S3+(INDEX('Price History'!S:S,MATCH(9.99E+307,'Price History'!$A:$A))-'Price History'!S3)*(ROW()-3)/(MATCH(9.99E+307,'Returns (Calc)'!$A:$A)-3),"")</f>
        <v>33.3455696202532</v>
      </c>
      <c r="AN71" s="144" t="n">
        <f aca="false">IFERROR('Price History'!T3+(INDEX('Price History'!T:T,MATCH(9.99E+307,'Price History'!$A:$A))-'Price History'!T3)*(ROW()-3)/(MATCH(9.99E+307,'Returns (Calc)'!$A:$A)-3),"")</f>
        <v>15.3284810126582</v>
      </c>
      <c r="AO71" s="145" t="n">
        <f aca="false">IFERROR('Price History'!V3+(INDEX('Price History'!V:V,MATCH(9.99E+307,'Price History'!$A:$A))-'Price History'!V3)*(ROW()-3)/(MATCH(9.99E+307,'Returns (Calc)'!$A:$A)-3),"")</f>
        <v>0</v>
      </c>
    </row>
    <row r="72" customFormat="false" ht="15" hidden="false" customHeight="true" outlineLevel="0" collapsed="false">
      <c r="A72" s="141" t="n">
        <f aca="false">IF('Price History'!A73="","",'Price History'!A73)</f>
        <v>45674</v>
      </c>
      <c r="B72" s="142" t="n">
        <f aca="false">IFERROR(IF(OR(NOT(ISNUMBER('Price History'!B73)),NOT(ISNUMBER('Price History'!B72)),'Price History'!B72=0),"",'Price History'!B73/'Price History'!B72-1),"")</f>
        <v>0.0592973985021679</v>
      </c>
      <c r="C72" s="142" t="n">
        <f aca="false">IFERROR(IF(OR(NOT(ISNUMBER('Price History'!C73)),NOT(ISNUMBER('Price History'!C72)),'Price History'!C72=0),"",'Price History'!C73/'Price History'!C72-1),"")</f>
        <v>0.0490641945076089</v>
      </c>
      <c r="D72" s="142" t="n">
        <f aca="false">IFERROR(IF(OR(NOT(ISNUMBER('Price History'!D73)),NOT(ISNUMBER('Price History'!D72)),'Price History'!D72=0),"",'Price History'!D73/'Price History'!D72-1),"")</f>
        <v>0.0234310657222863</v>
      </c>
      <c r="E72" s="142" t="n">
        <f aca="false">IFERROR(IF(OR(NOT(ISNUMBER('Price History'!E73)),NOT(ISNUMBER('Price History'!E72)),'Price History'!E72=0),"",'Price History'!E73/'Price History'!E72-1),"")</f>
        <v>0.0585308485616067</v>
      </c>
      <c r="F72" s="142" t="n">
        <f aca="false">IFERROR(IF(OR(NOT(ISNUMBER('Price History'!F73)),NOT(ISNUMBER('Price History'!F72)),'Price History'!F72=0),"",'Price History'!F73/'Price History'!F72-1),"")</f>
        <v>0.0488994904044235</v>
      </c>
      <c r="G72" s="142" t="n">
        <f aca="false">IFERROR(IF(OR(NOT(ISNUMBER('Price History'!G73)),NOT(ISNUMBER('Price History'!G72)),'Price History'!G72=0),"",'Price History'!G73/'Price History'!G72-1),"")</f>
        <v>0.0233918128654971</v>
      </c>
      <c r="H72" s="142" t="n">
        <f aca="false">IFERROR(IF(OR(NOT(ISNUMBER('Price History'!H73)),NOT(ISNUMBER('Price History'!H72)),'Price History'!H72=0),"",'Price History'!H73/'Price History'!H72-1),"")</f>
        <v>0.0483630952380953</v>
      </c>
      <c r="I72" s="142" t="n">
        <f aca="false">IFERROR(IF(OR(NOT(ISNUMBER('Price History'!I73)),NOT(ISNUMBER('Price History'!I72)),'Price History'!I72=0),"",'Price History'!I73/'Price History'!I72-1),"")</f>
        <v>0.108921161825726</v>
      </c>
      <c r="J72" s="142" t="n">
        <f aca="false">IFERROR(IF(OR(NOT(ISNUMBER('Price History'!J73)),NOT(ISNUMBER('Price History'!J72)),'Price History'!J72=0),"",'Price History'!J73/'Price History'!J72-1),"")</f>
        <v>0.0644704931285369</v>
      </c>
      <c r="K72" s="142" t="n">
        <f aca="false">IFERROR(IF(OR(NOT(ISNUMBER('Price History'!K73)),NOT(ISNUMBER('Price History'!K72)),'Price History'!K72=0),"",'Price History'!K73/'Price History'!K72-1),"")</f>
        <v>0.0132044850988491</v>
      </c>
      <c r="L72" s="142" t="n">
        <f aca="false">IFERROR(IF(OR(NOT(ISNUMBER('Price History'!L73)),NOT(ISNUMBER('Price History'!L72)),'Price History'!L72=0),"",'Price History'!L73/'Price History'!L72-1),"")</f>
        <v>0.0567833026396563</v>
      </c>
      <c r="M72" s="142" t="n">
        <f aca="false">IFERROR(IF(OR(NOT(ISNUMBER('Price History'!M73)),NOT(ISNUMBER('Price History'!M72)),'Price History'!M72=0),"",'Price History'!M73/'Price History'!M72-1),"")</f>
        <v>0.0670532262860539</v>
      </c>
      <c r="N72" s="142" t="n">
        <f aca="false">IFERROR(IF(OR(NOT(ISNUMBER('Price History'!N73)),NOT(ISNUMBER('Price History'!N72)),'Price History'!N72=0),"",'Price History'!N73/'Price History'!N72-1),"")</f>
        <v>0.0362633031139139</v>
      </c>
      <c r="O72" s="142" t="n">
        <f aca="false">IFERROR(IF(OR(NOT(ISNUMBER('Price History'!O73)),NOT(ISNUMBER('Price History'!O72)),'Price History'!O72=0),"",'Price History'!O73/'Price History'!O72-1),"")</f>
        <v>0.0321451304901337</v>
      </c>
      <c r="P72" s="142" t="n">
        <f aca="false">IFERROR(IF(OR(NOT(ISNUMBER('Price History'!P73)),NOT(ISNUMBER('Price History'!P72)),'Price History'!P72=0),"",'Price History'!P73/'Price History'!P72-1),"")</f>
        <v>0.0149999999999999</v>
      </c>
      <c r="Q72" s="142" t="n">
        <f aca="false">IFERROR(IF(OR(NOT(ISNUMBER('Price History'!Q73)),NOT(ISNUMBER('Price History'!Q72)),'Price History'!Q72=0),"",'Price History'!Q73/'Price History'!Q72-1),"")</f>
        <v>0.0386869485052022</v>
      </c>
      <c r="R72" s="142" t="n">
        <f aca="false">IFERROR(IF(OR(NOT(ISNUMBER('Price History'!R73)),NOT(ISNUMBER('Price History'!R72)),'Price History'!R72=0),"",'Price History'!R73/'Price History'!R72-1),"")</f>
        <v>0.00399166955918084</v>
      </c>
      <c r="S72" s="142" t="n">
        <f aca="false">IFERROR(IF(OR(NOT(ISNUMBER('Price History'!S73)),NOT(ISNUMBER('Price History'!S72)),'Price History'!S72=0),"",'Price History'!S73/'Price History'!S72-1),"")</f>
        <v>-0.00942249240121584</v>
      </c>
      <c r="T72" s="142" t="n">
        <f aca="false">IFERROR(IF(OR(NOT(ISNUMBER('Price History'!T73)),NOT(ISNUMBER('Price History'!T72)),'Price History'!T72=0),"",'Price History'!T73/'Price History'!T72-1),"")</f>
        <v>-0.0440131219245489</v>
      </c>
      <c r="U72" s="142" t="str">
        <f aca="false">IFERROR(IF(OR(NOT(ISNUMBER('Price History'!U73)),NOT(ISNUMBER('Price History'!U72)),'Price History'!U72=0),"",'Price History'!U73/'Price History'!U72-1),"")</f>
        <v/>
      </c>
      <c r="V72" s="143" t="n">
        <f aca="false">IFERROR(IF(OR(NOT(ISNUMBER('Price History'!V73)),NOT(ISNUMBER('Price History'!V72)),'Price History'!V72=0),"",'Price History'!V73/'Price History'!V72-1),"")</f>
        <v>0.0119881421637291</v>
      </c>
      <c r="W72" s="144" t="str">
        <f aca="false">IFERROR('Price History'!B3+(INDEX('Price History'!B:B,MATCH(9.99E+307,'Price History'!$A:$A))-'Price History'!B3)*(ROW()-3)/(MATCH(9.99E+307,'Returns (Calc)'!$A:$A)-3),"")</f>
        <v/>
      </c>
      <c r="X72" s="144" t="n">
        <f aca="false">IFERROR('Price History'!C3+(INDEX('Price History'!C:C,MATCH(9.99E+307,'Price History'!$A:$A))-'Price History'!C3)*(ROW()-3)/(MATCH(9.99E+307,'Returns (Calc)'!$A:$A)-3),"")</f>
        <v>26.0127848101266</v>
      </c>
      <c r="Y72" s="144" t="n">
        <f aca="false">IFERROR('Price History'!D3+(INDEX('Price History'!D:D,MATCH(9.99E+307,'Price History'!$A:$A))-'Price History'!D3)*(ROW()-3)/(MATCH(9.99E+307,'Returns (Calc)'!$A:$A)-3),"")</f>
        <v>327.841075949367</v>
      </c>
      <c r="Z72" s="144" t="n">
        <f aca="false">IFERROR('Price History'!E3+(INDEX('Price History'!E:E,MATCH(9.99E+307,'Price History'!$A:$A))-'Price History'!E3)*(ROW()-3)/(MATCH(9.99E+307,'Returns (Calc)'!$A:$A)-3),"")</f>
        <v>46.1898734177215</v>
      </c>
      <c r="AA72" s="144" t="n">
        <f aca="false">IFERROR('Price History'!F3+(INDEX('Price History'!F:F,MATCH(9.99E+307,'Price History'!$A:$A))-'Price History'!F3)*(ROW()-3)/(MATCH(9.99E+307,'Returns (Calc)'!$A:$A)-3),"")</f>
        <v>42.4214556962025</v>
      </c>
      <c r="AB72" s="144" t="n">
        <f aca="false">IFERROR('Price History'!G3+(INDEX('Price History'!G:G,MATCH(9.99E+307,'Price History'!$A:$A))-'Price History'!G3)*(ROW()-3)/(MATCH(9.99E+307,'Returns (Calc)'!$A:$A)-3),"")</f>
        <v>23.2977215189873</v>
      </c>
      <c r="AC72" s="144" t="n">
        <f aca="false">IFERROR('Price History'!H3+(INDEX('Price History'!H:H,MATCH(9.99E+307,'Price History'!$A:$A))-'Price History'!H3)*(ROW()-3)/(MATCH(9.99E+307,'Returns (Calc)'!$A:$A)-3),"")</f>
        <v>56.6614556962025</v>
      </c>
      <c r="AD72" s="144" t="n">
        <f aca="false">IFERROR('Price History'!I3+(INDEX('Price History'!I:I,MATCH(9.99E+307,'Price History'!$A:$A))-'Price History'!I3)*(ROW()-3)/(MATCH(9.99E+307,'Returns (Calc)'!$A:$A)-3),"")</f>
        <v>24.9819620253165</v>
      </c>
      <c r="AE72" s="144" t="n">
        <f aca="false">IFERROR('Price History'!J3+(INDEX('Price History'!J:J,MATCH(9.99E+307,'Price History'!$A:$A))-'Price History'!J3)*(ROW()-3)/(MATCH(9.99E+307,'Returns (Calc)'!$A:$A)-3),"")</f>
        <v>38.9290506329114</v>
      </c>
      <c r="AF72" s="144" t="n">
        <f aca="false">IFERROR('Price History'!K3+(INDEX('Price History'!K:K,MATCH(9.99E+307,'Price History'!$A:$A))-'Price History'!K3)*(ROW()-3)/(MATCH(9.99E+307,'Returns (Calc)'!$A:$A)-3),"")</f>
        <v>24.655253164557</v>
      </c>
      <c r="AG72" s="144" t="n">
        <f aca="false">IFERROR('Price History'!L3+(INDEX('Price History'!L:L,MATCH(9.99E+307,'Price History'!$A:$A))-'Price History'!L3)*(ROW()-3)/(MATCH(9.99E+307,'Returns (Calc)'!$A:$A)-3),"")</f>
        <v>62.9984810126582</v>
      </c>
      <c r="AH72" s="144" t="n">
        <f aca="false">IFERROR('Price History'!M3+(INDEX('Price History'!M:M,MATCH(9.99E+307,'Price History'!$A:$A))-'Price History'!M3)*(ROW()-3)/(MATCH(9.99E+307,'Returns (Calc)'!$A:$A)-3),"")</f>
        <v>8.63525316455696</v>
      </c>
      <c r="AI72" s="144" t="n">
        <f aca="false">IFERROR('Price History'!N3+(INDEX('Price History'!N:N,MATCH(9.99E+307,'Price History'!$A:$A))-'Price History'!N3)*(ROW()-3)/(MATCH(9.99E+307,'Returns (Calc)'!$A:$A)-3),"")</f>
        <v>12.279746835443</v>
      </c>
      <c r="AJ72" s="144" t="n">
        <f aca="false">IFERROR('Price History'!O3+(INDEX('Price History'!O:O,MATCH(9.99E+307,'Price History'!$A:$A))-'Price History'!O3)*(ROW()-3)/(MATCH(9.99E+307,'Returns (Calc)'!$A:$A)-3),"")</f>
        <v>32.4624683544304</v>
      </c>
      <c r="AK72" s="144" t="n">
        <f aca="false">IFERROR('Price History'!Q3+(INDEX('Price History'!Q:Q,MATCH(9.99E+307,'Price History'!$A:$A))-'Price History'!Q3)*(ROW()-3)/(MATCH(9.99E+307,'Returns (Calc)'!$A:$A)-3),"")</f>
        <v>132.728291139241</v>
      </c>
      <c r="AL72" s="144" t="n">
        <f aca="false">IFERROR('Price History'!R3+(INDEX('Price History'!R:R,MATCH(9.99E+307,'Price History'!$A:$A))-'Price History'!R3)*(ROW()-3)/(MATCH(9.99E+307,'Returns (Calc)'!$A:$A)-3),"")</f>
        <v>26.936582278481</v>
      </c>
      <c r="AM72" s="144" t="n">
        <f aca="false">IFERROR('Price History'!S3+(INDEX('Price History'!S:S,MATCH(9.99E+307,'Price History'!$A:$A))-'Price History'!S3)*(ROW()-3)/(MATCH(9.99E+307,'Returns (Calc)'!$A:$A)-3),"")</f>
        <v>32.9750632911392</v>
      </c>
      <c r="AN72" s="144" t="n">
        <f aca="false">IFERROR('Price History'!T3+(INDEX('Price History'!T:T,MATCH(9.99E+307,'Price History'!$A:$A))-'Price History'!T3)*(ROW()-3)/(MATCH(9.99E+307,'Returns (Calc)'!$A:$A)-3),"")</f>
        <v>15.158164556962</v>
      </c>
      <c r="AO72" s="145" t="n">
        <f aca="false">IFERROR('Price History'!V3+(INDEX('Price History'!V:V,MATCH(9.99E+307,'Price History'!$A:$A))-'Price History'!V3)*(ROW()-3)/(MATCH(9.99E+307,'Returns (Calc)'!$A:$A)-3),"")</f>
        <v>0</v>
      </c>
    </row>
    <row r="73" customFormat="false" ht="15" hidden="false" customHeight="true" outlineLevel="0" collapsed="false">
      <c r="A73" s="141" t="n">
        <f aca="false">IF('Price History'!A74="","",'Price History'!A74)</f>
        <v>45681</v>
      </c>
      <c r="B73" s="142" t="n">
        <f aca="false">IFERROR(IF(OR(NOT(ISNUMBER('Price History'!B74)),NOT(ISNUMBER('Price History'!B73)),'Price History'!B73=0),"",'Price History'!B74/'Price History'!B73-1),"")</f>
        <v>0.0125351752366334</v>
      </c>
      <c r="C73" s="142" t="n">
        <f aca="false">IFERROR(IF(OR(NOT(ISNUMBER('Price History'!C74)),NOT(ISNUMBER('Price History'!C73)),'Price History'!C73=0),"",'Price History'!C74/'Price History'!C73-1),"")</f>
        <v>0.0768653605669027</v>
      </c>
      <c r="D73" s="142" t="n">
        <f aca="false">IFERROR(IF(OR(NOT(ISNUMBER('Price History'!D74)),NOT(ISNUMBER('Price History'!D73)),'Price History'!D73=0),"",'Price History'!D74/'Price History'!D73-1),"")</f>
        <v>-0.0318405558014459</v>
      </c>
      <c r="E73" s="142" t="n">
        <f aca="false">IFERROR(IF(OR(NOT(ISNUMBER('Price History'!E74)),NOT(ISNUMBER('Price History'!E73)),'Price History'!E73=0),"",'Price History'!E74/'Price History'!E73-1),"")</f>
        <v>0.0305956755832835</v>
      </c>
      <c r="F73" s="142" t="n">
        <f aca="false">IFERROR(IF(OR(NOT(ISNUMBER('Price History'!F74)),NOT(ISNUMBER('Price History'!F73)),'Price History'!F73=0),"",'Price History'!F74/'Price History'!F73-1),"")</f>
        <v>0.0050651230101304</v>
      </c>
      <c r="G73" s="142" t="n">
        <f aca="false">IFERROR(IF(OR(NOT(ISNUMBER('Price History'!G74)),NOT(ISNUMBER('Price History'!G73)),'Price History'!G73=0),"",'Price History'!G74/'Price History'!G73-1),"")</f>
        <v>0.0501960784313726</v>
      </c>
      <c r="H73" s="142" t="n">
        <f aca="false">IFERROR(IF(OR(NOT(ISNUMBER('Price History'!H74)),NOT(ISNUMBER('Price History'!H73)),'Price History'!H73=0),"",'Price History'!H74/'Price History'!H73-1),"")</f>
        <v>0.00220802775806317</v>
      </c>
      <c r="I73" s="142" t="n">
        <f aca="false">IFERROR(IF(OR(NOT(ISNUMBER('Price History'!I74)),NOT(ISNUMBER('Price History'!I73)),'Price History'!I73=0),"",'Price History'!I74/'Price History'!I73-1),"")</f>
        <v>-0.0101563544033142</v>
      </c>
      <c r="J73" s="142" t="n">
        <f aca="false">IFERROR(IF(OR(NOT(ISNUMBER('Price History'!J74)),NOT(ISNUMBER('Price History'!J73)),'Price History'!J73=0),"",'Price History'!J74/'Price History'!J73-1),"")</f>
        <v>-0.0242073286500855</v>
      </c>
      <c r="K73" s="142" t="n">
        <f aca="false">IFERROR(IF(OR(NOT(ISNUMBER('Price History'!K74)),NOT(ISNUMBER('Price History'!K73)),'Price History'!K73=0),"",'Price History'!K74/'Price History'!K73-1),"")</f>
        <v>0.0356752821259556</v>
      </c>
      <c r="L73" s="142" t="n">
        <f aca="false">IFERROR(IF(OR(NOT(ISNUMBER('Price History'!L74)),NOT(ISNUMBER('Price History'!L73)),'Price History'!L73=0),"",'Price History'!L74/'Price History'!L73-1),"")</f>
        <v>0.0863587956239713</v>
      </c>
      <c r="M73" s="142" t="n">
        <f aca="false">IFERROR(IF(OR(NOT(ISNUMBER('Price History'!M74)),NOT(ISNUMBER('Price History'!M73)),'Price History'!M73=0),"",'Price History'!M74/'Price History'!M73-1),"")</f>
        <v>0.100459802145743</v>
      </c>
      <c r="N73" s="142" t="n">
        <f aca="false">IFERROR(IF(OR(NOT(ISNUMBER('Price History'!N74)),NOT(ISNUMBER('Price History'!N73)),'Price History'!N73=0),"",'Price History'!N74/'Price History'!N73-1),"")</f>
        <v>0.00266260935717</v>
      </c>
      <c r="O73" s="142" t="n">
        <f aca="false">IFERROR(IF(OR(NOT(ISNUMBER('Price History'!O74)),NOT(ISNUMBER('Price History'!O73)),'Price History'!O73=0),"",'Price History'!O74/'Price History'!O73-1),"")</f>
        <v>0.0271353684859699</v>
      </c>
      <c r="P73" s="142" t="n">
        <f aca="false">IFERROR(IF(OR(NOT(ISNUMBER('Price History'!P74)),NOT(ISNUMBER('Price History'!P73)),'Price History'!P73=0),"",'Price History'!P74/'Price History'!P73-1),"")</f>
        <v>0.0490679030232784</v>
      </c>
      <c r="Q73" s="142" t="n">
        <f aca="false">IFERROR(IF(OR(NOT(ISNUMBER('Price History'!Q74)),NOT(ISNUMBER('Price History'!Q73)),'Price History'!Q73=0),"",'Price History'!Q74/'Price History'!Q73-1),"")</f>
        <v>0.0330934795701652</v>
      </c>
      <c r="R73" s="142" t="n">
        <f aca="false">IFERROR(IF(OR(NOT(ISNUMBER('Price History'!R74)),NOT(ISNUMBER('Price History'!R73)),'Price History'!R73=0),"",'Price History'!R74/'Price History'!R73-1),"")</f>
        <v>-0.0112359550561798</v>
      </c>
      <c r="S73" s="142" t="n">
        <f aca="false">IFERROR(IF(OR(NOT(ISNUMBER('Price History'!S74)),NOT(ISNUMBER('Price History'!S73)),'Price History'!S73=0),"",'Price History'!S74/'Price History'!S73-1),"")</f>
        <v>-0.0223995090518564</v>
      </c>
      <c r="T73" s="142" t="n">
        <f aca="false">IFERROR(IF(OR(NOT(ISNUMBER('Price History'!T74)),NOT(ISNUMBER('Price History'!T73)),'Price History'!T73=0),"",'Price History'!T74/'Price History'!T73-1),"")</f>
        <v>-0.0305976551329711</v>
      </c>
      <c r="U73" s="142" t="str">
        <f aca="false">IFERROR(IF(OR(NOT(ISNUMBER('Price History'!U74)),NOT(ISNUMBER('Price History'!U73)),'Price History'!U73=0),"",'Price History'!U74/'Price History'!U73-1),"")</f>
        <v/>
      </c>
      <c r="V73" s="143" t="n">
        <f aca="false">IFERROR(IF(OR(NOT(ISNUMBER('Price History'!V74)),NOT(ISNUMBER('Price History'!V73)),'Price History'!V73=0),"",'Price History'!V74/'Price History'!V73-1),"")</f>
        <v>0.00946402704007721</v>
      </c>
      <c r="W73" s="144" t="str">
        <f aca="false">IFERROR('Price History'!B3+(INDEX('Price History'!B:B,MATCH(9.99E+307,'Price History'!$A:$A))-'Price History'!B3)*(ROW()-3)/(MATCH(9.99E+307,'Returns (Calc)'!$A:$A)-3),"")</f>
        <v/>
      </c>
      <c r="X73" s="144" t="n">
        <f aca="false">IFERROR('Price History'!C3+(INDEX('Price History'!C:C,MATCH(9.99E+307,'Price History'!$A:$A))-'Price History'!C3)*(ROW()-3)/(MATCH(9.99E+307,'Returns (Calc)'!$A:$A)-3),"")</f>
        <v>25.7205063291139</v>
      </c>
      <c r="Y73" s="144" t="n">
        <f aca="false">IFERROR('Price History'!D3+(INDEX('Price History'!D:D,MATCH(9.99E+307,'Price History'!$A:$A))-'Price History'!D3)*(ROW()-3)/(MATCH(9.99E+307,'Returns (Calc)'!$A:$A)-3),"")</f>
        <v>324.15746835443</v>
      </c>
      <c r="Z73" s="144" t="n">
        <f aca="false">IFERROR('Price History'!E3+(INDEX('Price History'!E:E,MATCH(9.99E+307,'Price History'!$A:$A))-'Price History'!E3)*(ROW()-3)/(MATCH(9.99E+307,'Returns (Calc)'!$A:$A)-3),"")</f>
        <v>45.6708860759494</v>
      </c>
      <c r="AA73" s="144" t="n">
        <f aca="false">IFERROR('Price History'!F3+(INDEX('Price History'!F:F,MATCH(9.99E+307,'Price History'!$A:$A))-'Price History'!F3)*(ROW()-3)/(MATCH(9.99E+307,'Returns (Calc)'!$A:$A)-3),"")</f>
        <v>41.9448101265823</v>
      </c>
      <c r="AB73" s="144" t="n">
        <f aca="false">IFERROR('Price History'!G3+(INDEX('Price History'!G:G,MATCH(9.99E+307,'Price History'!$A:$A))-'Price History'!G3)*(ROW()-3)/(MATCH(9.99E+307,'Returns (Calc)'!$A:$A)-3),"")</f>
        <v>23.0359493670886</v>
      </c>
      <c r="AC73" s="144" t="n">
        <f aca="false">IFERROR('Price History'!H3+(INDEX('Price History'!H:H,MATCH(9.99E+307,'Price History'!$A:$A))-'Price History'!H3)*(ROW()-3)/(MATCH(9.99E+307,'Returns (Calc)'!$A:$A)-3),"")</f>
        <v>56.0248101265823</v>
      </c>
      <c r="AD73" s="144" t="n">
        <f aca="false">IFERROR('Price History'!I3+(INDEX('Price History'!I:I,MATCH(9.99E+307,'Price History'!$A:$A))-'Price History'!I3)*(ROW()-3)/(MATCH(9.99E+307,'Returns (Calc)'!$A:$A)-3),"")</f>
        <v>24.7012658227848</v>
      </c>
      <c r="AE73" s="144" t="n">
        <f aca="false">IFERROR('Price History'!J3+(INDEX('Price History'!J:J,MATCH(9.99E+307,'Price History'!$A:$A))-'Price History'!J3)*(ROW()-3)/(MATCH(9.99E+307,'Returns (Calc)'!$A:$A)-3),"")</f>
        <v>38.4916455696203</v>
      </c>
      <c r="AF73" s="144" t="n">
        <f aca="false">IFERROR('Price History'!K3+(INDEX('Price History'!K:K,MATCH(9.99E+307,'Price History'!$A:$A))-'Price History'!K3)*(ROW()-3)/(MATCH(9.99E+307,'Returns (Calc)'!$A:$A)-3),"")</f>
        <v>24.3782278481013</v>
      </c>
      <c r="AG73" s="144" t="n">
        <f aca="false">IFERROR('Price History'!L3+(INDEX('Price History'!L:L,MATCH(9.99E+307,'Price History'!$A:$A))-'Price History'!L3)*(ROW()-3)/(MATCH(9.99E+307,'Returns (Calc)'!$A:$A)-3),"")</f>
        <v>62.2906329113924</v>
      </c>
      <c r="AH73" s="144" t="n">
        <f aca="false">IFERROR('Price History'!M3+(INDEX('Price History'!M:M,MATCH(9.99E+307,'Price History'!$A:$A))-'Price History'!M3)*(ROW()-3)/(MATCH(9.99E+307,'Returns (Calc)'!$A:$A)-3),"")</f>
        <v>8.53822784810127</v>
      </c>
      <c r="AI73" s="144" t="n">
        <f aca="false">IFERROR('Price History'!N3+(INDEX('Price History'!N:N,MATCH(9.99E+307,'Price History'!$A:$A))-'Price History'!N3)*(ROW()-3)/(MATCH(9.99E+307,'Returns (Calc)'!$A:$A)-3),"")</f>
        <v>12.1417721518987</v>
      </c>
      <c r="AJ73" s="144" t="n">
        <f aca="false">IFERROR('Price History'!O3+(INDEX('Price History'!O:O,MATCH(9.99E+307,'Price History'!$A:$A))-'Price History'!O3)*(ROW()-3)/(MATCH(9.99E+307,'Returns (Calc)'!$A:$A)-3),"")</f>
        <v>32.0977215189873</v>
      </c>
      <c r="AK73" s="144" t="n">
        <f aca="false">IFERROR('Price History'!Q3+(INDEX('Price History'!Q:Q,MATCH(9.99E+307,'Price History'!$A:$A))-'Price History'!Q3)*(ROW()-3)/(MATCH(9.99E+307,'Returns (Calc)'!$A:$A)-3),"")</f>
        <v>131.236962025316</v>
      </c>
      <c r="AL73" s="144" t="n">
        <f aca="false">IFERROR('Price History'!R3+(INDEX('Price History'!R:R,MATCH(9.99E+307,'Price History'!$A:$A))-'Price History'!R3)*(ROW()-3)/(MATCH(9.99E+307,'Returns (Calc)'!$A:$A)-3),"")</f>
        <v>26.6339240506329</v>
      </c>
      <c r="AM73" s="144" t="n">
        <f aca="false">IFERROR('Price History'!S3+(INDEX('Price History'!S:S,MATCH(9.99E+307,'Price History'!$A:$A))-'Price History'!S3)*(ROW()-3)/(MATCH(9.99E+307,'Returns (Calc)'!$A:$A)-3),"")</f>
        <v>32.6045569620253</v>
      </c>
      <c r="AN73" s="144" t="n">
        <f aca="false">IFERROR('Price History'!T3+(INDEX('Price History'!T:T,MATCH(9.99E+307,'Price History'!$A:$A))-'Price History'!T3)*(ROW()-3)/(MATCH(9.99E+307,'Returns (Calc)'!$A:$A)-3),"")</f>
        <v>14.9878481012658</v>
      </c>
      <c r="AO73" s="145" t="n">
        <f aca="false">IFERROR('Price History'!V3+(INDEX('Price History'!V:V,MATCH(9.99E+307,'Price History'!$A:$A))-'Price History'!V3)*(ROW()-3)/(MATCH(9.99E+307,'Returns (Calc)'!$A:$A)-3),"")</f>
        <v>0</v>
      </c>
    </row>
    <row r="74" customFormat="false" ht="15" hidden="false" customHeight="true" outlineLevel="0" collapsed="false">
      <c r="A74" s="141" t="n">
        <f aca="false">IF('Price History'!A75="","",'Price History'!A75)</f>
        <v>45688</v>
      </c>
      <c r="B74" s="142" t="n">
        <f aca="false">IFERROR(IF(OR(NOT(ISNUMBER('Price History'!B75)),NOT(ISNUMBER('Price History'!B74)),'Price History'!B74=0),"",'Price History'!B75/'Price History'!B74-1),"")</f>
        <v>0.00475446736184471</v>
      </c>
      <c r="C74" s="142" t="n">
        <f aca="false">IFERROR(IF(OR(NOT(ISNUMBER('Price History'!C75)),NOT(ISNUMBER('Price History'!C74)),'Price History'!C74=0),"",'Price History'!C75/'Price History'!C74-1),"")</f>
        <v>-0.107919795618177</v>
      </c>
      <c r="D74" s="142" t="n">
        <f aca="false">IFERROR(IF(OR(NOT(ISNUMBER('Price History'!D75)),NOT(ISNUMBER('Price History'!D74)),'Price History'!D74=0),"",'Price History'!D75/'Price History'!D74-1),"")</f>
        <v>0.00964189235990842</v>
      </c>
      <c r="E74" s="142" t="n">
        <f aca="false">IFERROR(IF(OR(NOT(ISNUMBER('Price History'!E75)),NOT(ISNUMBER('Price History'!E74)),'Price History'!E74=0),"",'Price History'!E75/'Price History'!E74-1),"")</f>
        <v>-0.0957376233518534</v>
      </c>
      <c r="F74" s="142" t="n">
        <f aca="false">IFERROR(IF(OR(NOT(ISNUMBER('Price History'!F75)),NOT(ISNUMBER('Price History'!F74)),'Price History'!F74=0),"",'Price History'!F75/'Price History'!F74-1),"")</f>
        <v>-0.0151187904967602</v>
      </c>
      <c r="G74" s="142" t="n">
        <f aca="false">IFERROR(IF(OR(NOT(ISNUMBER('Price History'!G75)),NOT(ISNUMBER('Price History'!G74)),'Price History'!G74=0),"",'Price History'!G75/'Price History'!G74-1),"")</f>
        <v>0.0617731782780326</v>
      </c>
      <c r="H74" s="142" t="n">
        <f aca="false">IFERROR(IF(OR(NOT(ISNUMBER('Price History'!H75)),NOT(ISNUMBER('Price History'!H74)),'Price History'!H74=0),"",'Price History'!H75/'Price History'!H74-1),"")</f>
        <v>-0.0025965850971752</v>
      </c>
      <c r="I74" s="142" t="n">
        <f aca="false">IFERROR(IF(OR(NOT(ISNUMBER('Price History'!I75)),NOT(ISNUMBER('Price History'!I74)),'Price History'!I74=0),"",'Price History'!I75/'Price History'!I74-1),"")</f>
        <v>-0.0153908464965571</v>
      </c>
      <c r="J74" s="142" t="n">
        <f aca="false">IFERROR(IF(OR(NOT(ISNUMBER('Price History'!J75)),NOT(ISNUMBER('Price History'!J74)),'Price History'!J74=0),"",'Price History'!J75/'Price History'!J74-1),"")</f>
        <v>-0.115770016538574</v>
      </c>
      <c r="K74" s="142" t="n">
        <f aca="false">IFERROR(IF(OR(NOT(ISNUMBER('Price History'!K75)),NOT(ISNUMBER('Price History'!K74)),'Price History'!K74=0),"",'Price History'!K75/'Price History'!K74-1),"")</f>
        <v>-0.158101933216169</v>
      </c>
      <c r="L74" s="142" t="n">
        <f aca="false">IFERROR(IF(OR(NOT(ISNUMBER('Price History'!L75)),NOT(ISNUMBER('Price History'!L74)),'Price History'!L74=0),"",'Price History'!L75/'Price History'!L74-1),"")</f>
        <v>0.00267355850637219</v>
      </c>
      <c r="M74" s="142" t="n">
        <f aca="false">IFERROR(IF(OR(NOT(ISNUMBER('Price History'!M75)),NOT(ISNUMBER('Price History'!M74)),'Price History'!M74=0),"",'Price History'!M75/'Price History'!M74-1),"")</f>
        <v>0.0444416307926057</v>
      </c>
      <c r="N74" s="142" t="n">
        <f aca="false">IFERROR(IF(OR(NOT(ISNUMBER('Price History'!N75)),NOT(ISNUMBER('Price History'!N74)),'Price History'!N74=0),"",'Price History'!N75/'Price History'!N74-1),"")</f>
        <v>-0.00834597875569043</v>
      </c>
      <c r="O74" s="142" t="n">
        <f aca="false">IFERROR(IF(OR(NOT(ISNUMBER('Price History'!O75)),NOT(ISNUMBER('Price History'!O74)),'Price History'!O74=0),"",'Price History'!O75/'Price History'!O74-1),"")</f>
        <v>-0.0127088962273593</v>
      </c>
      <c r="P74" s="142" t="n">
        <f aca="false">IFERROR(IF(OR(NOT(ISNUMBER('Price History'!P75)),NOT(ISNUMBER('Price History'!P74)),'Price History'!P74=0),"",'Price History'!P75/'Price History'!P74-1),"")</f>
        <v>-0.0565785839241322</v>
      </c>
      <c r="Q74" s="142" t="n">
        <f aca="false">IFERROR(IF(OR(NOT(ISNUMBER('Price History'!Q75)),NOT(ISNUMBER('Price History'!Q74)),'Price History'!Q74=0),"",'Price History'!Q75/'Price History'!Q74-1),"")</f>
        <v>0.0351323985149274</v>
      </c>
      <c r="R74" s="142" t="n">
        <f aca="false">IFERROR(IF(OR(NOT(ISNUMBER('Price History'!R75)),NOT(ISNUMBER('Price History'!R74)),'Price History'!R74=0),"",'Price History'!R75/'Price History'!R74-1),"")</f>
        <v>0.00944055944055933</v>
      </c>
      <c r="S74" s="142" t="n">
        <f aca="false">IFERROR(IF(OR(NOT(ISNUMBER('Price History'!S75)),NOT(ISNUMBER('Price History'!S74)),'Price History'!S74=0),"",'Price History'!S75/'Price History'!S74-1),"")</f>
        <v>0.0105670642393807</v>
      </c>
      <c r="T74" s="142" t="n">
        <f aca="false">IFERROR(IF(OR(NOT(ISNUMBER('Price History'!T75)),NOT(ISNUMBER('Price History'!T74)),'Price History'!T74=0),"",'Price History'!T75/'Price History'!T74-1),"")</f>
        <v>0.00914454277286136</v>
      </c>
      <c r="U74" s="142" t="str">
        <f aca="false">IFERROR(IF(OR(NOT(ISNUMBER('Price History'!U75)),NOT(ISNUMBER('Price History'!U74)),'Price History'!U74=0),"",'Price History'!U75/'Price History'!U74-1),"")</f>
        <v/>
      </c>
      <c r="V74" s="143" t="n">
        <f aca="false">IFERROR(IF(OR(NOT(ISNUMBER('Price History'!V75)),NOT(ISNUMBER('Price History'!V74)),'Price History'!V74=0),"",'Price History'!V75/'Price History'!V74-1),"")</f>
        <v>0.00296565579259545</v>
      </c>
      <c r="W74" s="144" t="str">
        <f aca="false">IFERROR('Price History'!B3+(INDEX('Price History'!B:B,MATCH(9.99E+307,'Price History'!$A:$A))-'Price History'!B3)*(ROW()-3)/(MATCH(9.99E+307,'Returns (Calc)'!$A:$A)-3),"")</f>
        <v/>
      </c>
      <c r="X74" s="144" t="n">
        <f aca="false">IFERROR('Price History'!C3+(INDEX('Price History'!C:C,MATCH(9.99E+307,'Price History'!$A:$A))-'Price History'!C3)*(ROW()-3)/(MATCH(9.99E+307,'Returns (Calc)'!$A:$A)-3),"")</f>
        <v>25.4282278481013</v>
      </c>
      <c r="Y74" s="144" t="n">
        <f aca="false">IFERROR('Price History'!D3+(INDEX('Price History'!D:D,MATCH(9.99E+307,'Price History'!$A:$A))-'Price History'!D3)*(ROW()-3)/(MATCH(9.99E+307,'Returns (Calc)'!$A:$A)-3),"")</f>
        <v>320.473860759494</v>
      </c>
      <c r="Z74" s="144" t="n">
        <f aca="false">IFERROR('Price History'!E3+(INDEX('Price History'!E:E,MATCH(9.99E+307,'Price History'!$A:$A))-'Price History'!E3)*(ROW()-3)/(MATCH(9.99E+307,'Returns (Calc)'!$A:$A)-3),"")</f>
        <v>45.1518987341772</v>
      </c>
      <c r="AA74" s="144" t="n">
        <f aca="false">IFERROR('Price History'!F3+(INDEX('Price History'!F:F,MATCH(9.99E+307,'Price History'!$A:$A))-'Price History'!F3)*(ROW()-3)/(MATCH(9.99E+307,'Returns (Calc)'!$A:$A)-3),"")</f>
        <v>41.468164556962</v>
      </c>
      <c r="AB74" s="144" t="n">
        <f aca="false">IFERROR('Price History'!G3+(INDEX('Price History'!G:G,MATCH(9.99E+307,'Price History'!$A:$A))-'Price History'!G3)*(ROW()-3)/(MATCH(9.99E+307,'Returns (Calc)'!$A:$A)-3),"")</f>
        <v>22.7741772151899</v>
      </c>
      <c r="AC74" s="144" t="n">
        <f aca="false">IFERROR('Price History'!H3+(INDEX('Price History'!H:H,MATCH(9.99E+307,'Price History'!$A:$A))-'Price History'!H3)*(ROW()-3)/(MATCH(9.99E+307,'Returns (Calc)'!$A:$A)-3),"")</f>
        <v>55.388164556962</v>
      </c>
      <c r="AD74" s="144" t="n">
        <f aca="false">IFERROR('Price History'!I3+(INDEX('Price History'!I:I,MATCH(9.99E+307,'Price History'!$A:$A))-'Price History'!I3)*(ROW()-3)/(MATCH(9.99E+307,'Returns (Calc)'!$A:$A)-3),"")</f>
        <v>24.4205696202532</v>
      </c>
      <c r="AE74" s="144" t="n">
        <f aca="false">IFERROR('Price History'!J3+(INDEX('Price History'!J:J,MATCH(9.99E+307,'Price History'!$A:$A))-'Price History'!J3)*(ROW()-3)/(MATCH(9.99E+307,'Returns (Calc)'!$A:$A)-3),"")</f>
        <v>38.0542405063291</v>
      </c>
      <c r="AF74" s="144" t="n">
        <f aca="false">IFERROR('Price History'!K3+(INDEX('Price History'!K:K,MATCH(9.99E+307,'Price History'!$A:$A))-'Price History'!K3)*(ROW()-3)/(MATCH(9.99E+307,'Returns (Calc)'!$A:$A)-3),"")</f>
        <v>24.1012025316456</v>
      </c>
      <c r="AG74" s="144" t="n">
        <f aca="false">IFERROR('Price History'!L3+(INDEX('Price History'!L:L,MATCH(9.99E+307,'Price History'!$A:$A))-'Price History'!L3)*(ROW()-3)/(MATCH(9.99E+307,'Returns (Calc)'!$A:$A)-3),"")</f>
        <v>61.5827848101266</v>
      </c>
      <c r="AH74" s="144" t="n">
        <f aca="false">IFERROR('Price History'!M3+(INDEX('Price History'!M:M,MATCH(9.99E+307,'Price History'!$A:$A))-'Price History'!M3)*(ROW()-3)/(MATCH(9.99E+307,'Returns (Calc)'!$A:$A)-3),"")</f>
        <v>8.44120253164557</v>
      </c>
      <c r="AI74" s="144" t="n">
        <f aca="false">IFERROR('Price History'!N3+(INDEX('Price History'!N:N,MATCH(9.99E+307,'Price History'!$A:$A))-'Price History'!N3)*(ROW()-3)/(MATCH(9.99E+307,'Returns (Calc)'!$A:$A)-3),"")</f>
        <v>12.0037974683544</v>
      </c>
      <c r="AJ74" s="144" t="n">
        <f aca="false">IFERROR('Price History'!O3+(INDEX('Price History'!O:O,MATCH(9.99E+307,'Price History'!$A:$A))-'Price History'!O3)*(ROW()-3)/(MATCH(9.99E+307,'Returns (Calc)'!$A:$A)-3),"")</f>
        <v>31.7329746835443</v>
      </c>
      <c r="AK74" s="144" t="n">
        <f aca="false">IFERROR('Price History'!Q3+(INDEX('Price History'!Q:Q,MATCH(9.99E+307,'Price History'!$A:$A))-'Price History'!Q3)*(ROW()-3)/(MATCH(9.99E+307,'Returns (Calc)'!$A:$A)-3),"")</f>
        <v>129.745632911392</v>
      </c>
      <c r="AL74" s="144" t="n">
        <f aca="false">IFERROR('Price History'!R3+(INDEX('Price History'!R:R,MATCH(9.99E+307,'Price History'!$A:$A))-'Price History'!R3)*(ROW()-3)/(MATCH(9.99E+307,'Returns (Calc)'!$A:$A)-3),"")</f>
        <v>26.3312658227848</v>
      </c>
      <c r="AM74" s="144" t="n">
        <f aca="false">IFERROR('Price History'!S3+(INDEX('Price History'!S:S,MATCH(9.99E+307,'Price History'!$A:$A))-'Price History'!S3)*(ROW()-3)/(MATCH(9.99E+307,'Returns (Calc)'!$A:$A)-3),"")</f>
        <v>32.2340506329114</v>
      </c>
      <c r="AN74" s="144" t="n">
        <f aca="false">IFERROR('Price History'!T3+(INDEX('Price History'!T:T,MATCH(9.99E+307,'Price History'!$A:$A))-'Price History'!T3)*(ROW()-3)/(MATCH(9.99E+307,'Returns (Calc)'!$A:$A)-3),"")</f>
        <v>14.8175316455696</v>
      </c>
      <c r="AO74" s="145" t="n">
        <f aca="false">IFERROR('Price History'!V3+(INDEX('Price History'!V:V,MATCH(9.99E+307,'Price History'!$A:$A))-'Price History'!V3)*(ROW()-3)/(MATCH(9.99E+307,'Returns (Calc)'!$A:$A)-3),"")</f>
        <v>0</v>
      </c>
    </row>
    <row r="75" customFormat="false" ht="15" hidden="false" customHeight="true" outlineLevel="0" collapsed="false">
      <c r="A75" s="141" t="n">
        <f aca="false">IF('Price History'!A76="","",'Price History'!A76)</f>
        <v>45695</v>
      </c>
      <c r="B75" s="142" t="n">
        <f aca="false">IFERROR(IF(OR(NOT(ISNUMBER('Price History'!B76)),NOT(ISNUMBER('Price History'!B75)),'Price History'!B75=0),"",'Price History'!B76/'Price History'!B75-1),"")</f>
        <v>-0.0100125728654703</v>
      </c>
      <c r="C75" s="142" t="n">
        <f aca="false">IFERROR(IF(OR(NOT(ISNUMBER('Price History'!C76)),NOT(ISNUMBER('Price History'!C75)),'Price History'!C75=0),"",'Price History'!C76/'Price History'!C75-1),"")</f>
        <v>0.028117677688102</v>
      </c>
      <c r="D75" s="142" t="n">
        <f aca="false">IFERROR(IF(OR(NOT(ISNUMBER('Price History'!D76)),NOT(ISNUMBER('Price History'!D75)),'Price History'!D75=0),"",'Price History'!D76/'Price History'!D75-1),"")</f>
        <v>-0.015696820844939</v>
      </c>
      <c r="E75" s="142" t="n">
        <f aca="false">IFERROR(IF(OR(NOT(ISNUMBER('Price History'!E76)),NOT(ISNUMBER('Price History'!E75)),'Price History'!E75=0),"",'Price History'!E76/'Price History'!E75-1),"")</f>
        <v>0.0162318308955018</v>
      </c>
      <c r="F75" s="142" t="n">
        <f aca="false">IFERROR(IF(OR(NOT(ISNUMBER('Price History'!F76)),NOT(ISNUMBER('Price History'!F75)),'Price History'!F75=0),"",'Price History'!F76/'Price History'!F75-1),"")</f>
        <v>-0.0115914786967418</v>
      </c>
      <c r="G75" s="142" t="n">
        <f aca="false">IFERROR(IF(OR(NOT(ISNUMBER('Price History'!G76)),NOT(ISNUMBER('Price History'!G75)),'Price History'!G75=0),"",'Price History'!G76/'Price History'!G75-1),"")</f>
        <v>0.0590836012861737</v>
      </c>
      <c r="H75" s="142" t="n">
        <f aca="false">IFERROR(IF(OR(NOT(ISNUMBER('Price History'!H76)),NOT(ISNUMBER('Price History'!H75)),'Price History'!H75=0),"",'Price History'!H76/'Price History'!H75-1),"")</f>
        <v>-0.00481224360997157</v>
      </c>
      <c r="I75" s="142" t="n">
        <f aca="false">IFERROR(IF(OR(NOT(ISNUMBER('Price History'!I76)),NOT(ISNUMBER('Price History'!I75)),'Price History'!I75=0),"",'Price History'!I76/'Price History'!I75-1),"")</f>
        <v>0.0127519539284244</v>
      </c>
      <c r="J75" s="142" t="n">
        <f aca="false">IFERROR(IF(OR(NOT(ISNUMBER('Price History'!J76)),NOT(ISNUMBER('Price History'!J75)),'Price History'!J75=0),"",'Price History'!J76/'Price History'!J75-1),"")</f>
        <v>0.011662449114314</v>
      </c>
      <c r="K75" s="142" t="n">
        <f aca="false">IFERROR(IF(OR(NOT(ISNUMBER('Price History'!K76)),NOT(ISNUMBER('Price History'!K75)),'Price History'!K75=0),"",'Price History'!K76/'Price History'!K75-1),"")</f>
        <v>0.0813293253173013</v>
      </c>
      <c r="L75" s="142" t="n">
        <f aca="false">IFERROR(IF(OR(NOT(ISNUMBER('Price History'!L76)),NOT(ISNUMBER('Price History'!L75)),'Price History'!L75=0),"",'Price History'!L76/'Price History'!L75-1),"")</f>
        <v>-0.0159096969158298</v>
      </c>
      <c r="M75" s="142" t="n">
        <f aca="false">IFERROR(IF(OR(NOT(ISNUMBER('Price History'!M76)),NOT(ISNUMBER('Price History'!M75)),'Price History'!M75=0),"",'Price History'!M76/'Price History'!M75-1),"")</f>
        <v>0.343799248393745</v>
      </c>
      <c r="N75" s="142" t="n">
        <f aca="false">IFERROR(IF(OR(NOT(ISNUMBER('Price History'!N76)),NOT(ISNUMBER('Price History'!N75)),'Price History'!N75=0),"",'Price History'!N76/'Price History'!N75-1),"")</f>
        <v>-0.009946442234124</v>
      </c>
      <c r="O75" s="142" t="n">
        <f aca="false">IFERROR(IF(OR(NOT(ISNUMBER('Price History'!O76)),NOT(ISNUMBER('Price History'!O75)),'Price History'!O75=0),"",'Price History'!O76/'Price History'!O75-1),"")</f>
        <v>0.0198662071761606</v>
      </c>
      <c r="P75" s="142" t="n">
        <f aca="false">IFERROR(IF(OR(NOT(ISNUMBER('Price History'!P76)),NOT(ISNUMBER('Price History'!P75)),'Price History'!P75=0),"",'Price History'!P76/'Price History'!P75-1),"")</f>
        <v>-0.0153223051773778</v>
      </c>
      <c r="Q75" s="142" t="n">
        <f aca="false">IFERROR(IF(OR(NOT(ISNUMBER('Price History'!Q76)),NOT(ISNUMBER('Price History'!Q75)),'Price History'!Q75=0),"",'Price History'!Q76/'Price History'!Q75-1),"")</f>
        <v>0.0182001422812426</v>
      </c>
      <c r="R75" s="142" t="n">
        <f aca="false">IFERROR(IF(OR(NOT(ISNUMBER('Price History'!R76)),NOT(ISNUMBER('Price History'!R75)),'Price History'!R75=0),"",'Price History'!R76/'Price History'!R75-1),"")</f>
        <v>-0.0114305507447178</v>
      </c>
      <c r="S75" s="142" t="n">
        <f aca="false">IFERROR(IF(OR(NOT(ISNUMBER('Price History'!S76)),NOT(ISNUMBER('Price History'!S75)),'Price History'!S75=0),"",'Price History'!S76/'Price History'!S75-1),"")</f>
        <v>0.00310591158505025</v>
      </c>
      <c r="T75" s="142" t="n">
        <f aca="false">IFERROR(IF(OR(NOT(ISNUMBER('Price History'!T76)),NOT(ISNUMBER('Price History'!T75)),'Price History'!T75=0),"",'Price History'!T76/'Price History'!T75-1),"")</f>
        <v>0.00760011692487561</v>
      </c>
      <c r="U75" s="142" t="str">
        <f aca="false">IFERROR(IF(OR(NOT(ISNUMBER('Price History'!U76)),NOT(ISNUMBER('Price History'!U75)),'Price History'!U75=0),"",'Price History'!U76/'Price History'!U75-1),"")</f>
        <v/>
      </c>
      <c r="V75" s="143" t="n">
        <f aca="false">IFERROR(IF(OR(NOT(ISNUMBER('Price History'!V76)),NOT(ISNUMBER('Price History'!V75)),'Price History'!V75=0),"",'Price History'!V76/'Price History'!V75-1),"")</f>
        <v>-0.0117639577769298</v>
      </c>
      <c r="W75" s="144" t="str">
        <f aca="false">IFERROR('Price History'!B3+(INDEX('Price History'!B:B,MATCH(9.99E+307,'Price History'!$A:$A))-'Price History'!B3)*(ROW()-3)/(MATCH(9.99E+307,'Returns (Calc)'!$A:$A)-3),"")</f>
        <v/>
      </c>
      <c r="X75" s="144" t="n">
        <f aca="false">IFERROR('Price History'!C3+(INDEX('Price History'!C:C,MATCH(9.99E+307,'Price History'!$A:$A))-'Price History'!C3)*(ROW()-3)/(MATCH(9.99E+307,'Returns (Calc)'!$A:$A)-3),"")</f>
        <v>25.1359493670886</v>
      </c>
      <c r="Y75" s="144" t="n">
        <f aca="false">IFERROR('Price History'!D3+(INDEX('Price History'!D:D,MATCH(9.99E+307,'Price History'!$A:$A))-'Price History'!D3)*(ROW()-3)/(MATCH(9.99E+307,'Returns (Calc)'!$A:$A)-3),"")</f>
        <v>316.790253164557</v>
      </c>
      <c r="Z75" s="144" t="n">
        <f aca="false">IFERROR('Price History'!E3+(INDEX('Price History'!E:E,MATCH(9.99E+307,'Price History'!$A:$A))-'Price History'!E3)*(ROW()-3)/(MATCH(9.99E+307,'Returns (Calc)'!$A:$A)-3),"")</f>
        <v>44.6329113924051</v>
      </c>
      <c r="AA75" s="144" t="n">
        <f aca="false">IFERROR('Price History'!F3+(INDEX('Price History'!F:F,MATCH(9.99E+307,'Price History'!$A:$A))-'Price History'!F3)*(ROW()-3)/(MATCH(9.99E+307,'Returns (Calc)'!$A:$A)-3),"")</f>
        <v>40.9915189873418</v>
      </c>
      <c r="AB75" s="144" t="n">
        <f aca="false">IFERROR('Price History'!G3+(INDEX('Price History'!G:G,MATCH(9.99E+307,'Price History'!$A:$A))-'Price History'!G3)*(ROW()-3)/(MATCH(9.99E+307,'Returns (Calc)'!$A:$A)-3),"")</f>
        <v>22.5124050632911</v>
      </c>
      <c r="AC75" s="144" t="n">
        <f aca="false">IFERROR('Price History'!H3+(INDEX('Price History'!H:H,MATCH(9.99E+307,'Price History'!$A:$A))-'Price History'!H3)*(ROW()-3)/(MATCH(9.99E+307,'Returns (Calc)'!$A:$A)-3),"")</f>
        <v>54.7515189873418</v>
      </c>
      <c r="AD75" s="144" t="n">
        <f aca="false">IFERROR('Price History'!I3+(INDEX('Price History'!I:I,MATCH(9.99E+307,'Price History'!$A:$A))-'Price History'!I3)*(ROW()-3)/(MATCH(9.99E+307,'Returns (Calc)'!$A:$A)-3),"")</f>
        <v>24.1398734177215</v>
      </c>
      <c r="AE75" s="144" t="n">
        <f aca="false">IFERROR('Price History'!J3+(INDEX('Price History'!J:J,MATCH(9.99E+307,'Price History'!$A:$A))-'Price History'!J3)*(ROW()-3)/(MATCH(9.99E+307,'Returns (Calc)'!$A:$A)-3),"")</f>
        <v>37.616835443038</v>
      </c>
      <c r="AF75" s="144" t="n">
        <f aca="false">IFERROR('Price History'!K3+(INDEX('Price History'!K:K,MATCH(9.99E+307,'Price History'!$A:$A))-'Price History'!K3)*(ROW()-3)/(MATCH(9.99E+307,'Returns (Calc)'!$A:$A)-3),"")</f>
        <v>23.8241772151899</v>
      </c>
      <c r="AG75" s="144" t="n">
        <f aca="false">IFERROR('Price History'!L3+(INDEX('Price History'!L:L,MATCH(9.99E+307,'Price History'!$A:$A))-'Price History'!L3)*(ROW()-3)/(MATCH(9.99E+307,'Returns (Calc)'!$A:$A)-3),"")</f>
        <v>60.8749367088608</v>
      </c>
      <c r="AH75" s="144" t="n">
        <f aca="false">IFERROR('Price History'!M3+(INDEX('Price History'!M:M,MATCH(9.99E+307,'Price History'!$A:$A))-'Price History'!M3)*(ROW()-3)/(MATCH(9.99E+307,'Returns (Calc)'!$A:$A)-3),"")</f>
        <v>8.34417721518987</v>
      </c>
      <c r="AI75" s="144" t="n">
        <f aca="false">IFERROR('Price History'!N3+(INDEX('Price History'!N:N,MATCH(9.99E+307,'Price History'!$A:$A))-'Price History'!N3)*(ROW()-3)/(MATCH(9.99E+307,'Returns (Calc)'!$A:$A)-3),"")</f>
        <v>11.8658227848101</v>
      </c>
      <c r="AJ75" s="144" t="n">
        <f aca="false">IFERROR('Price History'!O3+(INDEX('Price History'!O:O,MATCH(9.99E+307,'Price History'!$A:$A))-'Price History'!O3)*(ROW()-3)/(MATCH(9.99E+307,'Returns (Calc)'!$A:$A)-3),"")</f>
        <v>31.3682278481013</v>
      </c>
      <c r="AK75" s="144" t="n">
        <f aca="false">IFERROR('Price History'!Q3+(INDEX('Price History'!Q:Q,MATCH(9.99E+307,'Price History'!$A:$A))-'Price History'!Q3)*(ROW()-3)/(MATCH(9.99E+307,'Returns (Calc)'!$A:$A)-3),"")</f>
        <v>128.254303797468</v>
      </c>
      <c r="AL75" s="144" t="n">
        <f aca="false">IFERROR('Price History'!R3+(INDEX('Price History'!R:R,MATCH(9.99E+307,'Price History'!$A:$A))-'Price History'!R3)*(ROW()-3)/(MATCH(9.99E+307,'Returns (Calc)'!$A:$A)-3),"")</f>
        <v>26.0286075949367</v>
      </c>
      <c r="AM75" s="144" t="n">
        <f aca="false">IFERROR('Price History'!S3+(INDEX('Price History'!S:S,MATCH(9.99E+307,'Price History'!$A:$A))-'Price History'!S3)*(ROW()-3)/(MATCH(9.99E+307,'Returns (Calc)'!$A:$A)-3),"")</f>
        <v>31.8635443037975</v>
      </c>
      <c r="AN75" s="144" t="n">
        <f aca="false">IFERROR('Price History'!T3+(INDEX('Price History'!T:T,MATCH(9.99E+307,'Price History'!$A:$A))-'Price History'!T3)*(ROW()-3)/(MATCH(9.99E+307,'Returns (Calc)'!$A:$A)-3),"")</f>
        <v>14.6472151898734</v>
      </c>
      <c r="AO75" s="145" t="n">
        <f aca="false">IFERROR('Price History'!V3+(INDEX('Price History'!V:V,MATCH(9.99E+307,'Price History'!$A:$A))-'Price History'!V3)*(ROW()-3)/(MATCH(9.99E+307,'Returns (Calc)'!$A:$A)-3),"")</f>
        <v>0</v>
      </c>
    </row>
    <row r="76" customFormat="false" ht="15" hidden="false" customHeight="true" outlineLevel="0" collapsed="false">
      <c r="A76" s="141" t="n">
        <f aca="false">IF('Price History'!A77="","",'Price History'!A77)</f>
        <v>45702</v>
      </c>
      <c r="B76" s="142" t="n">
        <f aca="false">IFERROR(IF(OR(NOT(ISNUMBER('Price History'!B77)),NOT(ISNUMBER('Price History'!B76)),'Price History'!B76=0),"",'Price History'!B77/'Price History'!B76-1),"")</f>
        <v>0.0625533978340684</v>
      </c>
      <c r="C76" s="142" t="n">
        <f aca="false">IFERROR(IF(OR(NOT(ISNUMBER('Price History'!C77)),NOT(ISNUMBER('Price History'!C76)),'Price History'!C76=0),"",'Price History'!C77/'Price History'!C76-1),"")</f>
        <v>-0.0979150839875074</v>
      </c>
      <c r="D76" s="142" t="n">
        <f aca="false">IFERROR(IF(OR(NOT(ISNUMBER('Price History'!D77)),NOT(ISNUMBER('Price History'!D76)),'Price History'!D76=0),"",'Price History'!D77/'Price History'!D76-1),"")</f>
        <v>0.0349470984289837</v>
      </c>
      <c r="E76" s="142" t="n">
        <f aca="false">IFERROR(IF(OR(NOT(ISNUMBER('Price History'!E77)),NOT(ISNUMBER('Price History'!E76)),'Price History'!E76=0),"",'Price History'!E77/'Price History'!E76-1),"")</f>
        <v>0.0363669178360331</v>
      </c>
      <c r="F76" s="142" t="n">
        <f aca="false">IFERROR(IF(OR(NOT(ISNUMBER('Price History'!F77)),NOT(ISNUMBER('Price History'!F76)),'Price History'!F76=0),"",'Price History'!F77/'Price History'!F76-1),"")</f>
        <v>0.00306391970417308</v>
      </c>
      <c r="G76" s="142" t="n">
        <f aca="false">IFERROR(IF(OR(NOT(ISNUMBER('Price History'!G77)),NOT(ISNUMBER('Price History'!G76)),'Price History'!G76=0),"",'Price History'!G77/'Price History'!G76-1),"")</f>
        <v>0.0714421252371917</v>
      </c>
      <c r="H76" s="142" t="n">
        <f aca="false">IFERROR(IF(OR(NOT(ISNUMBER('Price History'!H77)),NOT(ISNUMBER('Price History'!H76)),'Price History'!H76=0),"",'Price History'!H77/'Price History'!H76-1),"")</f>
        <v>0.0119698771304002</v>
      </c>
      <c r="I76" s="142" t="n">
        <f aca="false">IFERROR(IF(OR(NOT(ISNUMBER('Price History'!I77)),NOT(ISNUMBER('Price History'!I76)),'Price History'!I76=0),"",'Price History'!I77/'Price History'!I76-1),"")</f>
        <v>0.00406173842404556</v>
      </c>
      <c r="J76" s="142" t="n">
        <f aca="false">IFERROR(IF(OR(NOT(ISNUMBER('Price History'!J77)),NOT(ISNUMBER('Price History'!J76)),'Price History'!J76=0),"",'Price History'!J77/'Price History'!J76-1),"")</f>
        <v>0.0781946710168571</v>
      </c>
      <c r="K76" s="142" t="n">
        <f aca="false">IFERROR(IF(OR(NOT(ISNUMBER('Price History'!K77)),NOT(ISNUMBER('Price History'!K76)),'Price History'!K76=0),"",'Price History'!K77/'Price History'!K76-1),"")</f>
        <v>0.0694208494208495</v>
      </c>
      <c r="L76" s="142" t="n">
        <f aca="false">IFERROR(IF(OR(NOT(ISNUMBER('Price History'!L77)),NOT(ISNUMBER('Price History'!L76)),'Price History'!L76=0),"",'Price History'!L77/'Price History'!L76-1),"")</f>
        <v>0.0298049132947977</v>
      </c>
      <c r="M76" s="142" t="n">
        <f aca="false">IFERROR(IF(OR(NOT(ISNUMBER('Price History'!M77)),NOT(ISNUMBER('Price History'!M76)),'Price History'!M76=0),"",'Price History'!M77/'Price History'!M76-1),"")</f>
        <v>0.0749661705006766</v>
      </c>
      <c r="N76" s="142" t="n">
        <f aca="false">IFERROR(IF(OR(NOT(ISNUMBER('Price History'!N77)),NOT(ISNUMBER('Price History'!N76)),'Price History'!N76=0),"",'Price History'!N77/'Price History'!N76-1),"")</f>
        <v>0.00850077279752703</v>
      </c>
      <c r="O76" s="142" t="n">
        <f aca="false">IFERROR(IF(OR(NOT(ISNUMBER('Price History'!O77)),NOT(ISNUMBER('Price History'!O76)),'Price History'!O76=0),"",'Price History'!O77/'Price History'!O76-1),"")</f>
        <v>0.0101371496720333</v>
      </c>
      <c r="P76" s="142" t="n">
        <f aca="false">IFERROR(IF(OR(NOT(ISNUMBER('Price History'!P77)),NOT(ISNUMBER('Price History'!P76)),'Price History'!P76=0),"",'Price History'!P77/'Price History'!P76-1),"")</f>
        <v>-0.0107537539025719</v>
      </c>
      <c r="Q76" s="142" t="n">
        <f aca="false">IFERROR(IF(OR(NOT(ISNUMBER('Price History'!Q77)),NOT(ISNUMBER('Price History'!Q76)),'Price History'!Q76=0),"",'Price History'!Q77/'Price History'!Q76-1),"")</f>
        <v>0.0183697234352256</v>
      </c>
      <c r="R76" s="142" t="n">
        <f aca="false">IFERROR(IF(OR(NOT(ISNUMBER('Price History'!R77)),NOT(ISNUMBER('Price History'!R76)),'Price History'!R76=0),"",'Price History'!R77/'Price History'!R76-1),"")</f>
        <v>-0.0192711983181499</v>
      </c>
      <c r="S76" s="142" t="n">
        <f aca="false">IFERROR(IF(OR(NOT(ISNUMBER('Price History'!S77)),NOT(ISNUMBER('Price History'!S76)),'Price History'!S76=0),"",'Price History'!S77/'Price History'!S76-1),"")</f>
        <v>-0.0135204871503768</v>
      </c>
      <c r="T76" s="142" t="n">
        <f aca="false">IFERROR(IF(OR(NOT(ISNUMBER('Price History'!T77)),NOT(ISNUMBER('Price History'!T76)),'Price History'!T76=0),"",'Price History'!T77/'Price History'!T76-1),"")</f>
        <v>-0.000290107339715684</v>
      </c>
      <c r="U76" s="142" t="str">
        <f aca="false">IFERROR(IF(OR(NOT(ISNUMBER('Price History'!U77)),NOT(ISNUMBER('Price History'!U76)),'Price History'!U76=0),"",'Price History'!U77/'Price History'!U76-1),"")</f>
        <v/>
      </c>
      <c r="V76" s="143" t="n">
        <f aca="false">IFERROR(IF(OR(NOT(ISNUMBER('Price History'!V77)),NOT(ISNUMBER('Price History'!V76)),'Price History'!V76=0),"",'Price History'!V77/'Price History'!V76-1),"")</f>
        <v>-0.0228428029084357</v>
      </c>
      <c r="W76" s="144" t="str">
        <f aca="false">IFERROR('Price History'!B3+(INDEX('Price History'!B:B,MATCH(9.99E+307,'Price History'!$A:$A))-'Price History'!B3)*(ROW()-3)/(MATCH(9.99E+307,'Returns (Calc)'!$A:$A)-3),"")</f>
        <v/>
      </c>
      <c r="X76" s="144" t="n">
        <f aca="false">IFERROR('Price History'!C3+(INDEX('Price History'!C:C,MATCH(9.99E+307,'Price History'!$A:$A))-'Price History'!C3)*(ROW()-3)/(MATCH(9.99E+307,'Returns (Calc)'!$A:$A)-3),"")</f>
        <v>24.843670886076</v>
      </c>
      <c r="Y76" s="144" t="n">
        <f aca="false">IFERROR('Price History'!D3+(INDEX('Price History'!D:D,MATCH(9.99E+307,'Price History'!$A:$A))-'Price History'!D3)*(ROW()-3)/(MATCH(9.99E+307,'Returns (Calc)'!$A:$A)-3),"")</f>
        <v>313.10664556962</v>
      </c>
      <c r="Z76" s="144" t="n">
        <f aca="false">IFERROR('Price History'!E3+(INDEX('Price History'!E:E,MATCH(9.99E+307,'Price History'!$A:$A))-'Price History'!E3)*(ROW()-3)/(MATCH(9.99E+307,'Returns (Calc)'!$A:$A)-3),"")</f>
        <v>44.1139240506329</v>
      </c>
      <c r="AA76" s="144" t="n">
        <f aca="false">IFERROR('Price History'!F3+(INDEX('Price History'!F:F,MATCH(9.99E+307,'Price History'!$A:$A))-'Price History'!F3)*(ROW()-3)/(MATCH(9.99E+307,'Returns (Calc)'!$A:$A)-3),"")</f>
        <v>40.5148734177215</v>
      </c>
      <c r="AB76" s="144" t="n">
        <f aca="false">IFERROR('Price History'!G3+(INDEX('Price History'!G:G,MATCH(9.99E+307,'Price History'!$A:$A))-'Price History'!G3)*(ROW()-3)/(MATCH(9.99E+307,'Returns (Calc)'!$A:$A)-3),"")</f>
        <v>22.2506329113924</v>
      </c>
      <c r="AC76" s="144" t="n">
        <f aca="false">IFERROR('Price History'!H3+(INDEX('Price History'!H:H,MATCH(9.99E+307,'Price History'!$A:$A))-'Price History'!H3)*(ROW()-3)/(MATCH(9.99E+307,'Returns (Calc)'!$A:$A)-3),"")</f>
        <v>54.1148734177215</v>
      </c>
      <c r="AD76" s="144" t="n">
        <f aca="false">IFERROR('Price History'!I3+(INDEX('Price History'!I:I,MATCH(9.99E+307,'Price History'!$A:$A))-'Price History'!I3)*(ROW()-3)/(MATCH(9.99E+307,'Returns (Calc)'!$A:$A)-3),"")</f>
        <v>23.8591772151899</v>
      </c>
      <c r="AE76" s="144" t="n">
        <f aca="false">IFERROR('Price History'!J3+(INDEX('Price History'!J:J,MATCH(9.99E+307,'Price History'!$A:$A))-'Price History'!J3)*(ROW()-3)/(MATCH(9.99E+307,'Returns (Calc)'!$A:$A)-3),"")</f>
        <v>37.1794303797468</v>
      </c>
      <c r="AF76" s="144" t="n">
        <f aca="false">IFERROR('Price History'!K3+(INDEX('Price History'!K:K,MATCH(9.99E+307,'Price History'!$A:$A))-'Price History'!K3)*(ROW()-3)/(MATCH(9.99E+307,'Returns (Calc)'!$A:$A)-3),"")</f>
        <v>23.5471518987342</v>
      </c>
      <c r="AG76" s="144" t="n">
        <f aca="false">IFERROR('Price History'!L3+(INDEX('Price History'!L:L,MATCH(9.99E+307,'Price History'!$A:$A))-'Price History'!L3)*(ROW()-3)/(MATCH(9.99E+307,'Returns (Calc)'!$A:$A)-3),"")</f>
        <v>60.1670886075949</v>
      </c>
      <c r="AH76" s="144" t="n">
        <f aca="false">IFERROR('Price History'!M3+(INDEX('Price History'!M:M,MATCH(9.99E+307,'Price History'!$A:$A))-'Price History'!M3)*(ROW()-3)/(MATCH(9.99E+307,'Returns (Calc)'!$A:$A)-3),"")</f>
        <v>8.24715189873418</v>
      </c>
      <c r="AI76" s="144" t="n">
        <f aca="false">IFERROR('Price History'!N3+(INDEX('Price History'!N:N,MATCH(9.99E+307,'Price History'!$A:$A))-'Price History'!N3)*(ROW()-3)/(MATCH(9.99E+307,'Returns (Calc)'!$A:$A)-3),"")</f>
        <v>11.7278481012658</v>
      </c>
      <c r="AJ76" s="144" t="n">
        <f aca="false">IFERROR('Price History'!O3+(INDEX('Price History'!O:O,MATCH(9.99E+307,'Price History'!$A:$A))-'Price History'!O3)*(ROW()-3)/(MATCH(9.99E+307,'Returns (Calc)'!$A:$A)-3),"")</f>
        <v>31.0034810126582</v>
      </c>
      <c r="AK76" s="144" t="n">
        <f aca="false">IFERROR('Price History'!Q3+(INDEX('Price History'!Q:Q,MATCH(9.99E+307,'Price History'!$A:$A))-'Price History'!Q3)*(ROW()-3)/(MATCH(9.99E+307,'Returns (Calc)'!$A:$A)-3),"")</f>
        <v>126.762974683544</v>
      </c>
      <c r="AL76" s="144" t="n">
        <f aca="false">IFERROR('Price History'!R3+(INDEX('Price History'!R:R,MATCH(9.99E+307,'Price History'!$A:$A))-'Price History'!R3)*(ROW()-3)/(MATCH(9.99E+307,'Returns (Calc)'!$A:$A)-3),"")</f>
        <v>25.7259493670886</v>
      </c>
      <c r="AM76" s="144" t="n">
        <f aca="false">IFERROR('Price History'!S3+(INDEX('Price History'!S:S,MATCH(9.99E+307,'Price History'!$A:$A))-'Price History'!S3)*(ROW()-3)/(MATCH(9.99E+307,'Returns (Calc)'!$A:$A)-3),"")</f>
        <v>31.4930379746835</v>
      </c>
      <c r="AN76" s="144" t="n">
        <f aca="false">IFERROR('Price History'!T3+(INDEX('Price History'!T:T,MATCH(9.99E+307,'Price History'!$A:$A))-'Price History'!T3)*(ROW()-3)/(MATCH(9.99E+307,'Returns (Calc)'!$A:$A)-3),"")</f>
        <v>14.4768987341772</v>
      </c>
      <c r="AO76" s="145" t="n">
        <f aca="false">IFERROR('Price History'!V3+(INDEX('Price History'!V:V,MATCH(9.99E+307,'Price History'!$A:$A))-'Price History'!V3)*(ROW()-3)/(MATCH(9.99E+307,'Returns (Calc)'!$A:$A)-3),"")</f>
        <v>0</v>
      </c>
    </row>
    <row r="77" customFormat="false" ht="15" hidden="false" customHeight="true" outlineLevel="0" collapsed="false">
      <c r="A77" s="141" t="n">
        <f aca="false">IF('Price History'!A78="","",'Price History'!A78)</f>
        <v>45709</v>
      </c>
      <c r="B77" s="142" t="n">
        <f aca="false">IFERROR(IF(OR(NOT(ISNUMBER('Price History'!B78)),NOT(ISNUMBER('Price History'!B77)),'Price History'!B77=0),"",'Price History'!B78/'Price History'!B77-1),"")</f>
        <v>-0.03442280945758</v>
      </c>
      <c r="C77" s="142" t="n">
        <f aca="false">IFERROR(IF(OR(NOT(ISNUMBER('Price History'!C78)),NOT(ISNUMBER('Price History'!C77)),'Price History'!C77=0),"",'Price History'!C78/'Price History'!C77-1),"")</f>
        <v>-0.0801908861233275</v>
      </c>
      <c r="D77" s="142" t="n">
        <f aca="false">IFERROR(IF(OR(NOT(ISNUMBER('Price History'!D78)),NOT(ISNUMBER('Price History'!D77)),'Price History'!D77=0),"",'Price History'!D78/'Price History'!D77-1),"")</f>
        <v>-0.019072248262486</v>
      </c>
      <c r="E77" s="142" t="n">
        <f aca="false">IFERROR(IF(OR(NOT(ISNUMBER('Price History'!E78)),NOT(ISNUMBER('Price History'!E77)),'Price History'!E77=0),"",'Price History'!E78/'Price History'!E77-1),"")</f>
        <v>-0.0617353824720276</v>
      </c>
      <c r="F77" s="142" t="n">
        <f aca="false">IFERROR(IF(OR(NOT(ISNUMBER('Price History'!F78)),NOT(ISNUMBER('Price History'!F77)),'Price History'!F77=0),"",'Price History'!F78/'Price History'!F77-1),"")</f>
        <v>-0.0365493996208132</v>
      </c>
      <c r="G77" s="142" t="n">
        <f aca="false">IFERROR(IF(OR(NOT(ISNUMBER('Price History'!G78)),NOT(ISNUMBER('Price History'!G77)),'Price History'!G77=0),"",'Price History'!G78/'Price History'!G77-1),"")</f>
        <v>-0.0997077835827505</v>
      </c>
      <c r="H77" s="142" t="n">
        <f aca="false">IFERROR(IF(OR(NOT(ISNUMBER('Price History'!H78)),NOT(ISNUMBER('Price History'!H77)),'Price History'!H77=0),"",'Price History'!H78/'Price History'!H77-1),"")</f>
        <v>0.00728497571674769</v>
      </c>
      <c r="I77" s="142" t="n">
        <f aca="false">IFERROR(IF(OR(NOT(ISNUMBER('Price History'!I78)),NOT(ISNUMBER('Price History'!I77)),'Price History'!I77=0),"",'Price History'!I78/'Price History'!I77-1),"")</f>
        <v>0.00471952535059339</v>
      </c>
      <c r="J77" s="142" t="n">
        <f aca="false">IFERROR(IF(OR(NOT(ISNUMBER('Price History'!J78)),NOT(ISNUMBER('Price History'!J77)),'Price History'!J77=0),"",'Price History'!J78/'Price History'!J77-1),"")</f>
        <v>-0.00685898729070011</v>
      </c>
      <c r="K77" s="142" t="n">
        <f aca="false">IFERROR(IF(OR(NOT(ISNUMBER('Price History'!K78)),NOT(ISNUMBER('Price History'!K77)),'Price History'!K77=0),"",'Price History'!K78/'Price History'!K77-1),"")</f>
        <v>-0.0318434544010398</v>
      </c>
      <c r="L77" s="142" t="n">
        <f aca="false">IFERROR(IF(OR(NOT(ISNUMBER('Price History'!L78)),NOT(ISNUMBER('Price History'!L77)),'Price History'!L77=0),"",'Price History'!L78/'Price History'!L77-1),"")</f>
        <v>0.00105244693913353</v>
      </c>
      <c r="M77" s="142" t="n">
        <f aca="false">IFERROR(IF(OR(NOT(ISNUMBER('Price History'!M78)),NOT(ISNUMBER('Price History'!M77)),'Price History'!M77=0),"",'Price History'!M78/'Price History'!M77-1),"")</f>
        <v>-0.149462907015777</v>
      </c>
      <c r="N77" s="142" t="n">
        <f aca="false">IFERROR(IF(OR(NOT(ISNUMBER('Price History'!N78)),NOT(ISNUMBER('Price History'!N77)),'Price History'!N77=0),"",'Price History'!N78/'Price History'!N77-1),"")</f>
        <v>0.0149425287356322</v>
      </c>
      <c r="O77" s="142" t="n">
        <f aca="false">IFERROR(IF(OR(NOT(ISNUMBER('Price History'!O78)),NOT(ISNUMBER('Price History'!O77)),'Price History'!O77=0),"",'Price History'!O78/'Price History'!O77-1),"")</f>
        <v>-0.0305981896890988</v>
      </c>
      <c r="P77" s="142" t="n">
        <f aca="false">IFERROR(IF(OR(NOT(ISNUMBER('Price History'!P78)),NOT(ISNUMBER('Price History'!P77)),'Price History'!P77=0),"",'Price History'!P78/'Price History'!P77-1),"")</f>
        <v>-0.0277527301873559</v>
      </c>
      <c r="Q77" s="142" t="n">
        <f aca="false">IFERROR(IF(OR(NOT(ISNUMBER('Price History'!Q78)),NOT(ISNUMBER('Price History'!Q77)),'Price History'!Q77=0),"",'Price History'!Q78/'Price History'!Q77-1),"")</f>
        <v>-0.0149223864383523</v>
      </c>
      <c r="R77" s="142" t="n">
        <f aca="false">IFERROR(IF(OR(NOT(ISNUMBER('Price History'!R78)),NOT(ISNUMBER('Price History'!R77)),'Price History'!R77=0),"",'Price History'!R78/'Price History'!R77-1),"")</f>
        <v>0.0230439442658092</v>
      </c>
      <c r="S77" s="142" t="n">
        <f aca="false">IFERROR(IF(OR(NOT(ISNUMBER('Price History'!S78)),NOT(ISNUMBER('Price History'!S77)),'Price History'!S77=0),"",'Price History'!S78/'Price History'!S77-1),"")</f>
        <v>0.0321196903117809</v>
      </c>
      <c r="T77" s="142" t="n">
        <f aca="false">IFERROR(IF(OR(NOT(ISNUMBER('Price History'!T78)),NOT(ISNUMBER('Price History'!T77)),'Price History'!T77=0),"",'Price History'!T78/'Price History'!T77-1),"")</f>
        <v>0.038595473012188</v>
      </c>
      <c r="U77" s="142" t="str">
        <f aca="false">IFERROR(IF(OR(NOT(ISNUMBER('Price History'!U78)),NOT(ISNUMBER('Price History'!U77)),'Price History'!U77=0),"",'Price History'!U78/'Price History'!U77-1),"")</f>
        <v/>
      </c>
      <c r="V77" s="143" t="n">
        <f aca="false">IFERROR(IF(OR(NOT(ISNUMBER('Price History'!V78)),NOT(ISNUMBER('Price History'!V77)),'Price History'!V77=0),"",'Price History'!V78/'Price History'!V77-1),"")</f>
        <v>0.0386869485052022</v>
      </c>
      <c r="W77" s="144" t="str">
        <f aca="false">IFERROR('Price History'!B3+(INDEX('Price History'!B:B,MATCH(9.99E+307,'Price History'!$A:$A))-'Price History'!B3)*(ROW()-3)/(MATCH(9.99E+307,'Returns (Calc)'!$A:$A)-3),"")</f>
        <v/>
      </c>
      <c r="X77" s="144" t="n">
        <f aca="false">IFERROR('Price History'!C3+(INDEX('Price History'!C:C,MATCH(9.99E+307,'Price History'!$A:$A))-'Price History'!C3)*(ROW()-3)/(MATCH(9.99E+307,'Returns (Calc)'!$A:$A)-3),"")</f>
        <v>24.5513924050633</v>
      </c>
      <c r="Y77" s="144" t="n">
        <f aca="false">IFERROR('Price History'!D3+(INDEX('Price History'!D:D,MATCH(9.99E+307,'Price History'!$A:$A))-'Price History'!D3)*(ROW()-3)/(MATCH(9.99E+307,'Returns (Calc)'!$A:$A)-3),"")</f>
        <v>309.423037974684</v>
      </c>
      <c r="Z77" s="144" t="n">
        <f aca="false">IFERROR('Price History'!E3+(INDEX('Price History'!E:E,MATCH(9.99E+307,'Price History'!$A:$A))-'Price History'!E3)*(ROW()-3)/(MATCH(9.99E+307,'Returns (Calc)'!$A:$A)-3),"")</f>
        <v>43.5949367088608</v>
      </c>
      <c r="AA77" s="144" t="n">
        <f aca="false">IFERROR('Price History'!F3+(INDEX('Price History'!F:F,MATCH(9.99E+307,'Price History'!$A:$A))-'Price History'!F3)*(ROW()-3)/(MATCH(9.99E+307,'Returns (Calc)'!$A:$A)-3),"")</f>
        <v>40.0382278481013</v>
      </c>
      <c r="AB77" s="144" t="n">
        <f aca="false">IFERROR('Price History'!G3+(INDEX('Price History'!G:G,MATCH(9.99E+307,'Price History'!$A:$A))-'Price History'!G3)*(ROW()-3)/(MATCH(9.99E+307,'Returns (Calc)'!$A:$A)-3),"")</f>
        <v>21.9888607594937</v>
      </c>
      <c r="AC77" s="144" t="n">
        <f aca="false">IFERROR('Price History'!H3+(INDEX('Price History'!H:H,MATCH(9.99E+307,'Price History'!$A:$A))-'Price History'!H3)*(ROW()-3)/(MATCH(9.99E+307,'Returns (Calc)'!$A:$A)-3),"")</f>
        <v>53.4782278481013</v>
      </c>
      <c r="AD77" s="144" t="n">
        <f aca="false">IFERROR('Price History'!I3+(INDEX('Price History'!I:I,MATCH(9.99E+307,'Price History'!$A:$A))-'Price History'!I3)*(ROW()-3)/(MATCH(9.99E+307,'Returns (Calc)'!$A:$A)-3),"")</f>
        <v>23.5784810126582</v>
      </c>
      <c r="AE77" s="144" t="n">
        <f aca="false">IFERROR('Price History'!J3+(INDEX('Price History'!J:J,MATCH(9.99E+307,'Price History'!$A:$A))-'Price History'!J3)*(ROW()-3)/(MATCH(9.99E+307,'Returns (Calc)'!$A:$A)-3),"")</f>
        <v>36.7420253164557</v>
      </c>
      <c r="AF77" s="144" t="n">
        <f aca="false">IFERROR('Price History'!K3+(INDEX('Price History'!K:K,MATCH(9.99E+307,'Price History'!$A:$A))-'Price History'!K3)*(ROW()-3)/(MATCH(9.99E+307,'Returns (Calc)'!$A:$A)-3),"")</f>
        <v>23.2701265822785</v>
      </c>
      <c r="AG77" s="144" t="n">
        <f aca="false">IFERROR('Price History'!L3+(INDEX('Price History'!L:L,MATCH(9.99E+307,'Price History'!$A:$A))-'Price History'!L3)*(ROW()-3)/(MATCH(9.99E+307,'Returns (Calc)'!$A:$A)-3),"")</f>
        <v>59.4592405063291</v>
      </c>
      <c r="AH77" s="144" t="n">
        <f aca="false">IFERROR('Price History'!M3+(INDEX('Price History'!M:M,MATCH(9.99E+307,'Price History'!$A:$A))-'Price History'!M3)*(ROW()-3)/(MATCH(9.99E+307,'Returns (Calc)'!$A:$A)-3),"")</f>
        <v>8.15012658227848</v>
      </c>
      <c r="AI77" s="144" t="n">
        <f aca="false">IFERROR('Price History'!N3+(INDEX('Price History'!N:N,MATCH(9.99E+307,'Price History'!$A:$A))-'Price History'!N3)*(ROW()-3)/(MATCH(9.99E+307,'Returns (Calc)'!$A:$A)-3),"")</f>
        <v>11.5898734177215</v>
      </c>
      <c r="AJ77" s="144" t="n">
        <f aca="false">IFERROR('Price History'!O3+(INDEX('Price History'!O:O,MATCH(9.99E+307,'Price History'!$A:$A))-'Price History'!O3)*(ROW()-3)/(MATCH(9.99E+307,'Returns (Calc)'!$A:$A)-3),"")</f>
        <v>30.6387341772152</v>
      </c>
      <c r="AK77" s="144" t="n">
        <f aca="false">IFERROR('Price History'!Q3+(INDEX('Price History'!Q:Q,MATCH(9.99E+307,'Price History'!$A:$A))-'Price History'!Q3)*(ROW()-3)/(MATCH(9.99E+307,'Returns (Calc)'!$A:$A)-3),"")</f>
        <v>125.27164556962</v>
      </c>
      <c r="AL77" s="144" t="n">
        <f aca="false">IFERROR('Price History'!R3+(INDEX('Price History'!R:R,MATCH(9.99E+307,'Price History'!$A:$A))-'Price History'!R3)*(ROW()-3)/(MATCH(9.99E+307,'Returns (Calc)'!$A:$A)-3),"")</f>
        <v>25.4232911392405</v>
      </c>
      <c r="AM77" s="144" t="n">
        <f aca="false">IFERROR('Price History'!S3+(INDEX('Price History'!S:S,MATCH(9.99E+307,'Price History'!$A:$A))-'Price History'!S3)*(ROW()-3)/(MATCH(9.99E+307,'Returns (Calc)'!$A:$A)-3),"")</f>
        <v>31.1225316455696</v>
      </c>
      <c r="AN77" s="144" t="n">
        <f aca="false">IFERROR('Price History'!T3+(INDEX('Price History'!T:T,MATCH(9.99E+307,'Price History'!$A:$A))-'Price History'!T3)*(ROW()-3)/(MATCH(9.99E+307,'Returns (Calc)'!$A:$A)-3),"")</f>
        <v>14.306582278481</v>
      </c>
      <c r="AO77" s="145" t="n">
        <f aca="false">IFERROR('Price History'!V3+(INDEX('Price History'!V:V,MATCH(9.99E+307,'Price History'!$A:$A))-'Price History'!V3)*(ROW()-3)/(MATCH(9.99E+307,'Returns (Calc)'!$A:$A)-3),"")</f>
        <v>0</v>
      </c>
    </row>
    <row r="78" customFormat="false" ht="15" hidden="false" customHeight="true" outlineLevel="0" collapsed="false">
      <c r="A78" s="141" t="n">
        <f aca="false">IF('Price History'!A79="","",'Price History'!A79)</f>
        <v>45716</v>
      </c>
      <c r="B78" s="142" t="n">
        <f aca="false">IFERROR(IF(OR(NOT(ISNUMBER('Price History'!B79)),NOT(ISNUMBER('Price History'!B78)),'Price History'!B78=0),"",'Price History'!B79/'Price History'!B78-1),"")</f>
        <v>-0.0129636298163486</v>
      </c>
      <c r="C78" s="142" t="n">
        <f aca="false">IFERROR(IF(OR(NOT(ISNUMBER('Price History'!C79)),NOT(ISNUMBER('Price History'!C78)),'Price History'!C78=0),"",'Price History'!C79/'Price History'!C78-1),"")</f>
        <v>-0.0534079348931842</v>
      </c>
      <c r="D78" s="142" t="n">
        <f aca="false">IFERROR(IF(OR(NOT(ISNUMBER('Price History'!D79)),NOT(ISNUMBER('Price History'!D78)),'Price History'!D78=0),"",'Price History'!D79/'Price History'!D78-1),"")</f>
        <v>-0.038158400615148</v>
      </c>
      <c r="E78" s="142" t="n">
        <f aca="false">IFERROR(IF(OR(NOT(ISNUMBER('Price History'!E79)),NOT(ISNUMBER('Price History'!E78)),'Price History'!E78=0),"",'Price History'!E79/'Price History'!E78-1),"")</f>
        <v>-0.0879309544800705</v>
      </c>
      <c r="F78" s="142" t="n">
        <f aca="false">IFERROR(IF(OR(NOT(ISNUMBER('Price History'!F79)),NOT(ISNUMBER('Price History'!F78)),'Price History'!F78=0),"",'Price History'!F79/'Price History'!F78-1),"")</f>
        <v>-0.0112605225757079</v>
      </c>
      <c r="G78" s="142" t="n">
        <f aca="false">IFERROR(IF(OR(NOT(ISNUMBER('Price History'!G79)),NOT(ISNUMBER('Price History'!G78)),'Price History'!G78=0),"",'Price History'!G79/'Price History'!G78-1),"")</f>
        <v>-0.0418019081341595</v>
      </c>
      <c r="H78" s="142" t="n">
        <f aca="false">IFERROR(IF(OR(NOT(ISNUMBER('Price History'!H79)),NOT(ISNUMBER('Price History'!H78)),'Price History'!H78=0),"",'Price History'!H79/'Price History'!H78-1),"")</f>
        <v>0.0102651839178785</v>
      </c>
      <c r="I78" s="142" t="n">
        <f aca="false">IFERROR(IF(OR(NOT(ISNUMBER('Price History'!I79)),NOT(ISNUMBER('Price History'!I78)),'Price History'!I78=0),"",'Price History'!I79/'Price History'!I78-1),"")</f>
        <v>-0.0581130049657764</v>
      </c>
      <c r="J78" s="142" t="n">
        <f aca="false">IFERROR(IF(OR(NOT(ISNUMBER('Price History'!J79)),NOT(ISNUMBER('Price History'!J78)),'Price History'!J78=0),"",'Price History'!J79/'Price History'!J78-1),"")</f>
        <v>-0.0527117611212675</v>
      </c>
      <c r="K78" s="142" t="n">
        <f aca="false">IFERROR(IF(OR(NOT(ISNUMBER('Price History'!K79)),NOT(ISNUMBER('Price History'!K78)),'Price History'!K78=0),"",'Price History'!K79/'Price History'!K78-1),"")</f>
        <v>-0.0707786396181385</v>
      </c>
      <c r="L78" s="142" t="n">
        <f aca="false">IFERROR(IF(OR(NOT(ISNUMBER('Price History'!L79)),NOT(ISNUMBER('Price History'!L78)),'Price History'!L78=0),"",'Price History'!L79/'Price History'!L78-1),"")</f>
        <v>0.0243560539688104</v>
      </c>
      <c r="M78" s="142" t="n">
        <f aca="false">IFERROR(IF(OR(NOT(ISNUMBER('Price History'!M79)),NOT(ISNUMBER('Price History'!M78)),'Price History'!M78=0),"",'Price History'!M79/'Price History'!M78-1),"")</f>
        <v>-0.162111494819931</v>
      </c>
      <c r="N78" s="142" t="n">
        <f aca="false">IFERROR(IF(OR(NOT(ISNUMBER('Price History'!N79)),NOT(ISNUMBER('Price History'!N78)),'Price History'!N78=0),"",'Price History'!N79/'Price History'!N78-1),"")</f>
        <v>0.0117025292563233</v>
      </c>
      <c r="O78" s="142" t="n">
        <f aca="false">IFERROR(IF(OR(NOT(ISNUMBER('Price History'!O79)),NOT(ISNUMBER('Price History'!O78)),'Price History'!O78=0),"",'Price History'!O79/'Price History'!O78-1),"")</f>
        <v>-0.00111641124530604</v>
      </c>
      <c r="P78" s="142" t="n">
        <f aca="false">IFERROR(IF(OR(NOT(ISNUMBER('Price History'!P79)),NOT(ISNUMBER('Price History'!P78)),'Price History'!P78=0),"",'Price History'!P79/'Price History'!P78-1),"")</f>
        <v>-0.0893446001648804</v>
      </c>
      <c r="Q78" s="142" t="n">
        <f aca="false">IFERROR(IF(OR(NOT(ISNUMBER('Price History'!Q79)),NOT(ISNUMBER('Price History'!Q78)),'Price History'!Q78=0),"",'Price History'!Q79/'Price History'!Q78-1),"")</f>
        <v>0.0406570126817378</v>
      </c>
      <c r="R78" s="142" t="n">
        <f aca="false">IFERROR(IF(OR(NOT(ISNUMBER('Price History'!R79)),NOT(ISNUMBER('Price History'!R78)),'Price History'!R78=0),"",'Price History'!R79/'Price History'!R78-1),"")</f>
        <v>0.0139689191548804</v>
      </c>
      <c r="S78" s="142" t="n">
        <f aca="false">IFERROR(IF(OR(NOT(ISNUMBER('Price History'!S79)),NOT(ISNUMBER('Price History'!S78)),'Price History'!S78=0),"",'Price History'!S79/'Price History'!S78-1),"")</f>
        <v>0.0271667511403952</v>
      </c>
      <c r="T78" s="142" t="n">
        <f aca="false">IFERROR(IF(OR(NOT(ISNUMBER('Price History'!T79)),NOT(ISNUMBER('Price History'!T78)),'Price History'!T78=0),"",'Price History'!T79/'Price History'!T78-1),"")</f>
        <v>0.00251466890192797</v>
      </c>
      <c r="U78" s="142" t="str">
        <f aca="false">IFERROR(IF(OR(NOT(ISNUMBER('Price History'!U79)),NOT(ISNUMBER('Price History'!U78)),'Price History'!U78=0),"",'Price History'!U79/'Price History'!U78-1),"")</f>
        <v/>
      </c>
      <c r="V78" s="143" t="n">
        <f aca="false">IFERROR(IF(OR(NOT(ISNUMBER('Price History'!V79)),NOT(ISNUMBER('Price History'!V78)),'Price History'!V78=0),"",'Price History'!V79/'Price History'!V78-1),"")</f>
        <v>0.0330934795701652</v>
      </c>
      <c r="W78" s="144" t="str">
        <f aca="false">IFERROR('Price History'!B3+(INDEX('Price History'!B:B,MATCH(9.99E+307,'Price History'!$A:$A))-'Price History'!B3)*(ROW()-3)/(MATCH(9.99E+307,'Returns (Calc)'!$A:$A)-3),"")</f>
        <v/>
      </c>
      <c r="X78" s="144" t="n">
        <f aca="false">IFERROR('Price History'!C3+(INDEX('Price History'!C:C,MATCH(9.99E+307,'Price History'!$A:$A))-'Price History'!C3)*(ROW()-3)/(MATCH(9.99E+307,'Returns (Calc)'!$A:$A)-3),"")</f>
        <v>24.2591139240506</v>
      </c>
      <c r="Y78" s="144" t="n">
        <f aca="false">IFERROR('Price History'!D3+(INDEX('Price History'!D:D,MATCH(9.99E+307,'Price History'!$A:$A))-'Price History'!D3)*(ROW()-3)/(MATCH(9.99E+307,'Returns (Calc)'!$A:$A)-3),"")</f>
        <v>305.739430379747</v>
      </c>
      <c r="Z78" s="144" t="n">
        <f aca="false">IFERROR('Price History'!E3+(INDEX('Price History'!E:E,MATCH(9.99E+307,'Price History'!$A:$A))-'Price History'!E3)*(ROW()-3)/(MATCH(9.99E+307,'Returns (Calc)'!$A:$A)-3),"")</f>
        <v>43.0759493670886</v>
      </c>
      <c r="AA78" s="144" t="n">
        <f aca="false">IFERROR('Price History'!F3+(INDEX('Price History'!F:F,MATCH(9.99E+307,'Price History'!$A:$A))-'Price History'!F3)*(ROW()-3)/(MATCH(9.99E+307,'Returns (Calc)'!$A:$A)-3),"")</f>
        <v>39.561582278481</v>
      </c>
      <c r="AB78" s="144" t="n">
        <f aca="false">IFERROR('Price History'!G3+(INDEX('Price History'!G:G,MATCH(9.99E+307,'Price History'!$A:$A))-'Price History'!G3)*(ROW()-3)/(MATCH(9.99E+307,'Returns (Calc)'!$A:$A)-3),"")</f>
        <v>21.7270886075949</v>
      </c>
      <c r="AC78" s="144" t="n">
        <f aca="false">IFERROR('Price History'!H3+(INDEX('Price History'!H:H,MATCH(9.99E+307,'Price History'!$A:$A))-'Price History'!H3)*(ROW()-3)/(MATCH(9.99E+307,'Returns (Calc)'!$A:$A)-3),"")</f>
        <v>52.841582278481</v>
      </c>
      <c r="AD78" s="144" t="n">
        <f aca="false">IFERROR('Price History'!I3+(INDEX('Price History'!I:I,MATCH(9.99E+307,'Price History'!$A:$A))-'Price History'!I3)*(ROW()-3)/(MATCH(9.99E+307,'Returns (Calc)'!$A:$A)-3),"")</f>
        <v>23.2977848101266</v>
      </c>
      <c r="AE78" s="144" t="n">
        <f aca="false">IFERROR('Price History'!J3+(INDEX('Price History'!J:J,MATCH(9.99E+307,'Price History'!$A:$A))-'Price History'!J3)*(ROW()-3)/(MATCH(9.99E+307,'Returns (Calc)'!$A:$A)-3),"")</f>
        <v>36.3046202531646</v>
      </c>
      <c r="AF78" s="144" t="n">
        <f aca="false">IFERROR('Price History'!K3+(INDEX('Price History'!K:K,MATCH(9.99E+307,'Price History'!$A:$A))-'Price History'!K3)*(ROW()-3)/(MATCH(9.99E+307,'Returns (Calc)'!$A:$A)-3),"")</f>
        <v>22.9931012658228</v>
      </c>
      <c r="AG78" s="144" t="n">
        <f aca="false">IFERROR('Price History'!L3+(INDEX('Price History'!L:L,MATCH(9.99E+307,'Price History'!$A:$A))-'Price History'!L3)*(ROW()-3)/(MATCH(9.99E+307,'Returns (Calc)'!$A:$A)-3),"")</f>
        <v>58.7513924050633</v>
      </c>
      <c r="AH78" s="144" t="n">
        <f aca="false">IFERROR('Price History'!M3+(INDEX('Price History'!M:M,MATCH(9.99E+307,'Price History'!$A:$A))-'Price History'!M3)*(ROW()-3)/(MATCH(9.99E+307,'Returns (Calc)'!$A:$A)-3),"")</f>
        <v>8.05310126582279</v>
      </c>
      <c r="AI78" s="144" t="n">
        <f aca="false">IFERROR('Price History'!N3+(INDEX('Price History'!N:N,MATCH(9.99E+307,'Price History'!$A:$A))-'Price History'!N3)*(ROW()-3)/(MATCH(9.99E+307,'Returns (Calc)'!$A:$A)-3),"")</f>
        <v>11.4518987341772</v>
      </c>
      <c r="AJ78" s="144" t="n">
        <f aca="false">IFERROR('Price History'!O3+(INDEX('Price History'!O:O,MATCH(9.99E+307,'Price History'!$A:$A))-'Price History'!O3)*(ROW()-3)/(MATCH(9.99E+307,'Returns (Calc)'!$A:$A)-3),"")</f>
        <v>30.2739873417722</v>
      </c>
      <c r="AK78" s="144" t="n">
        <f aca="false">IFERROR('Price History'!Q3+(INDEX('Price History'!Q:Q,MATCH(9.99E+307,'Price History'!$A:$A))-'Price History'!Q3)*(ROW()-3)/(MATCH(9.99E+307,'Returns (Calc)'!$A:$A)-3),"")</f>
        <v>123.780316455696</v>
      </c>
      <c r="AL78" s="144" t="n">
        <f aca="false">IFERROR('Price History'!R3+(INDEX('Price History'!R:R,MATCH(9.99E+307,'Price History'!$A:$A))-'Price History'!R3)*(ROW()-3)/(MATCH(9.99E+307,'Returns (Calc)'!$A:$A)-3),"")</f>
        <v>25.1206329113924</v>
      </c>
      <c r="AM78" s="144" t="n">
        <f aca="false">IFERROR('Price History'!S3+(INDEX('Price History'!S:S,MATCH(9.99E+307,'Price History'!$A:$A))-'Price History'!S3)*(ROW()-3)/(MATCH(9.99E+307,'Returns (Calc)'!$A:$A)-3),"")</f>
        <v>30.7520253164557</v>
      </c>
      <c r="AN78" s="144" t="n">
        <f aca="false">IFERROR('Price History'!T3+(INDEX('Price History'!T:T,MATCH(9.99E+307,'Price History'!$A:$A))-'Price History'!T3)*(ROW()-3)/(MATCH(9.99E+307,'Returns (Calc)'!$A:$A)-3),"")</f>
        <v>14.1362658227848</v>
      </c>
      <c r="AO78" s="145" t="n">
        <f aca="false">IFERROR('Price History'!V3+(INDEX('Price History'!V:V,MATCH(9.99E+307,'Price History'!$A:$A))-'Price History'!V3)*(ROW()-3)/(MATCH(9.99E+307,'Returns (Calc)'!$A:$A)-3),"")</f>
        <v>0</v>
      </c>
    </row>
    <row r="79" customFormat="false" ht="15" hidden="false" customHeight="true" outlineLevel="0" collapsed="false">
      <c r="A79" s="141" t="n">
        <f aca="false">IF('Price History'!A80="","",'Price History'!A80)</f>
        <v>45723</v>
      </c>
      <c r="B79" s="142" t="n">
        <f aca="false">IFERROR(IF(OR(NOT(ISNUMBER('Price History'!B80)),NOT(ISNUMBER('Price History'!B79)),'Price History'!B79=0),"",'Price History'!B80/'Price History'!B79-1),"")</f>
        <v>0.0247172564757387</v>
      </c>
      <c r="C79" s="142" t="n">
        <f aca="false">IFERROR(IF(OR(NOT(ISNUMBER('Price History'!C80)),NOT(ISNUMBER('Price History'!C79)),'Price History'!C79=0),"",'Price History'!C80/'Price History'!C79-1),"")</f>
        <v>-0.10413756045137</v>
      </c>
      <c r="D79" s="142" t="n">
        <f aca="false">IFERROR(IF(OR(NOT(ISNUMBER('Price History'!D80)),NOT(ISNUMBER('Price History'!D79)),'Price History'!D79=0),"",'Price History'!D80/'Price History'!D79-1),"")</f>
        <v>0.0326342988479493</v>
      </c>
      <c r="E79" s="142" t="n">
        <f aca="false">IFERROR(IF(OR(NOT(ISNUMBER('Price History'!E80)),NOT(ISNUMBER('Price History'!E79)),'Price History'!E79=0),"",'Price History'!E80/'Price History'!E79-1),"")</f>
        <v>-0.0223850223850224</v>
      </c>
      <c r="F79" s="142" t="n">
        <f aca="false">IFERROR(IF(OR(NOT(ISNUMBER('Price History'!F80)),NOT(ISNUMBER('Price History'!F79)),'Price History'!F79=0),"",'Price History'!F80/'Price History'!F79-1),"")</f>
        <v>-0.0448916408668731</v>
      </c>
      <c r="G79" s="142" t="n">
        <f aca="false">IFERROR(IF(OR(NOT(ISNUMBER('Price History'!G80)),NOT(ISNUMBER('Price History'!G79)),'Price History'!G79=0),"",'Price History'!G80/'Price History'!G79-1),"")</f>
        <v>-0.144118250872511</v>
      </c>
      <c r="H79" s="142" t="n">
        <f aca="false">IFERROR(IF(OR(NOT(ISNUMBER('Price History'!H80)),NOT(ISNUMBER('Price History'!H79)),'Price History'!H79=0),"",'Price History'!H80/'Price History'!H79-1),"")</f>
        <v>-0.0274805634670156</v>
      </c>
      <c r="I79" s="142" t="n">
        <f aca="false">IFERROR(IF(OR(NOT(ISNUMBER('Price History'!I80)),NOT(ISNUMBER('Price History'!I79)),'Price History'!I79=0),"",'Price History'!I80/'Price History'!I79-1),"")</f>
        <v>0.00341977771444846</v>
      </c>
      <c r="J79" s="142" t="n">
        <f aca="false">IFERROR(IF(OR(NOT(ISNUMBER('Price History'!J80)),NOT(ISNUMBER('Price History'!J79)),'Price History'!J79=0),"",'Price History'!J80/'Price History'!J79-1),"")</f>
        <v>-0.00718344590972453</v>
      </c>
      <c r="K79" s="142" t="n">
        <f aca="false">IFERROR(IF(OR(NOT(ISNUMBER('Price History'!K80)),NOT(ISNUMBER('Price History'!K79)),'Price History'!K79=0),"",'Price History'!K80/'Price History'!K79-1),"")</f>
        <v>-0.0978409182117345</v>
      </c>
      <c r="L79" s="142" t="n">
        <f aca="false">IFERROR(IF(OR(NOT(ISNUMBER('Price History'!L80)),NOT(ISNUMBER('Price History'!L79)),'Price History'!L79=0),"",'Price History'!L80/'Price History'!L79-1),"")</f>
        <v>-0.032329798152583</v>
      </c>
      <c r="M79" s="142" t="n">
        <f aca="false">IFERROR(IF(OR(NOT(ISNUMBER('Price History'!M80)),NOT(ISNUMBER('Price History'!M79)),'Price History'!M79=0),"",'Price History'!M80/'Price History'!M79-1),"")</f>
        <v>-0.000117757889778636</v>
      </c>
      <c r="N79" s="142" t="n">
        <f aca="false">IFERROR(IF(OR(NOT(ISNUMBER('Price History'!N80)),NOT(ISNUMBER('Price History'!N79)),'Price History'!N79=0),"",'Price History'!N80/'Price History'!N79-1),"")</f>
        <v>-0.00261194029850742</v>
      </c>
      <c r="O79" s="142" t="n">
        <f aca="false">IFERROR(IF(OR(NOT(ISNUMBER('Price History'!O80)),NOT(ISNUMBER('Price History'!O79)),'Price History'!O79=0),"",'Price History'!O80/'Price History'!O79-1),"")</f>
        <v>-0.0526315789473685</v>
      </c>
      <c r="P79" s="142" t="n">
        <f aca="false">IFERROR(IF(OR(NOT(ISNUMBER('Price History'!P80)),NOT(ISNUMBER('Price History'!P79)),'Price History'!P79=0),"",'Price History'!P80/'Price History'!P79-1),"")</f>
        <v>-0.0190109765757611</v>
      </c>
      <c r="Q79" s="142" t="n">
        <f aca="false">IFERROR(IF(OR(NOT(ISNUMBER('Price History'!Q80)),NOT(ISNUMBER('Price History'!Q79)),'Price History'!Q79=0),"",'Price History'!Q80/'Price History'!Q79-1),"")</f>
        <v>-0.047936419408812</v>
      </c>
      <c r="R79" s="142" t="n">
        <f aca="false">IFERROR(IF(OR(NOT(ISNUMBER('Price History'!R80)),NOT(ISNUMBER('Price History'!R79)),'Price History'!R79=0),"",'Price History'!R80/'Price History'!R79-1),"")</f>
        <v>-0.0103323574995695</v>
      </c>
      <c r="S79" s="142" t="n">
        <f aca="false">IFERROR(IF(OR(NOT(ISNUMBER('Price History'!S80)),NOT(ISNUMBER('Price History'!S79)),'Price History'!S79=0),"",'Price History'!S80/'Price History'!S79-1),"")</f>
        <v>-0.0127306819303266</v>
      </c>
      <c r="T79" s="142" t="n">
        <f aca="false">IFERROR(IF(OR(NOT(ISNUMBER('Price History'!T80)),NOT(ISNUMBER('Price History'!T79)),'Price History'!T79=0),"",'Price History'!T80/'Price History'!T79-1),"")</f>
        <v>-0.0103121516164996</v>
      </c>
      <c r="U79" s="142" t="str">
        <f aca="false">IFERROR(IF(OR(NOT(ISNUMBER('Price History'!U80)),NOT(ISNUMBER('Price History'!U79)),'Price History'!U79=0),"",'Price History'!U80/'Price History'!U79-1),"")</f>
        <v/>
      </c>
      <c r="V79" s="143" t="n">
        <f aca="false">IFERROR(IF(OR(NOT(ISNUMBER('Price History'!V80)),NOT(ISNUMBER('Price History'!V79)),'Price History'!V79=0),"",'Price History'!V80/'Price History'!V79-1),"")</f>
        <v>0.0351323985149274</v>
      </c>
      <c r="W79" s="144" t="str">
        <f aca="false">IFERROR('Price History'!B3+(INDEX('Price History'!B:B,MATCH(9.99E+307,'Price History'!$A:$A))-'Price History'!B3)*(ROW()-3)/(MATCH(9.99E+307,'Returns (Calc)'!$A:$A)-3),"")</f>
        <v/>
      </c>
      <c r="X79" s="144" t="n">
        <f aca="false">IFERROR('Price History'!C3+(INDEX('Price History'!C:C,MATCH(9.99E+307,'Price History'!$A:$A))-'Price History'!C3)*(ROW()-3)/(MATCH(9.99E+307,'Returns (Calc)'!$A:$A)-3),"")</f>
        <v>23.966835443038</v>
      </c>
      <c r="Y79" s="144" t="n">
        <f aca="false">IFERROR('Price History'!D3+(INDEX('Price History'!D:D,MATCH(9.99E+307,'Price History'!$A:$A))-'Price History'!D3)*(ROW()-3)/(MATCH(9.99E+307,'Returns (Calc)'!$A:$A)-3),"")</f>
        <v>302.05582278481</v>
      </c>
      <c r="Z79" s="144" t="n">
        <f aca="false">IFERROR('Price History'!E3+(INDEX('Price History'!E:E,MATCH(9.99E+307,'Price History'!$A:$A))-'Price History'!E3)*(ROW()-3)/(MATCH(9.99E+307,'Returns (Calc)'!$A:$A)-3),"")</f>
        <v>42.5569620253165</v>
      </c>
      <c r="AA79" s="144" t="n">
        <f aca="false">IFERROR('Price History'!F3+(INDEX('Price History'!F:F,MATCH(9.99E+307,'Price History'!$A:$A))-'Price History'!F3)*(ROW()-3)/(MATCH(9.99E+307,'Returns (Calc)'!$A:$A)-3),"")</f>
        <v>39.0849367088608</v>
      </c>
      <c r="AB79" s="144" t="n">
        <f aca="false">IFERROR('Price History'!G3+(INDEX('Price History'!G:G,MATCH(9.99E+307,'Price History'!$A:$A))-'Price History'!G3)*(ROW()-3)/(MATCH(9.99E+307,'Returns (Calc)'!$A:$A)-3),"")</f>
        <v>21.4653164556962</v>
      </c>
      <c r="AC79" s="144" t="n">
        <f aca="false">IFERROR('Price History'!H3+(INDEX('Price History'!H:H,MATCH(9.99E+307,'Price History'!$A:$A))-'Price History'!H3)*(ROW()-3)/(MATCH(9.99E+307,'Returns (Calc)'!$A:$A)-3),"")</f>
        <v>52.2049367088608</v>
      </c>
      <c r="AD79" s="144" t="n">
        <f aca="false">IFERROR('Price History'!I3+(INDEX('Price History'!I:I,MATCH(9.99E+307,'Price History'!$A:$A))-'Price History'!I3)*(ROW()-3)/(MATCH(9.99E+307,'Returns (Calc)'!$A:$A)-3),"")</f>
        <v>23.0170886075949</v>
      </c>
      <c r="AE79" s="144" t="n">
        <f aca="false">IFERROR('Price History'!J3+(INDEX('Price History'!J:J,MATCH(9.99E+307,'Price History'!$A:$A))-'Price History'!J3)*(ROW()-3)/(MATCH(9.99E+307,'Returns (Calc)'!$A:$A)-3),"")</f>
        <v>35.8672151898734</v>
      </c>
      <c r="AF79" s="144" t="n">
        <f aca="false">IFERROR('Price History'!K3+(INDEX('Price History'!K:K,MATCH(9.99E+307,'Price History'!$A:$A))-'Price History'!K3)*(ROW()-3)/(MATCH(9.99E+307,'Returns (Calc)'!$A:$A)-3),"")</f>
        <v>22.7160759493671</v>
      </c>
      <c r="AG79" s="144" t="n">
        <f aca="false">IFERROR('Price History'!L3+(INDEX('Price History'!L:L,MATCH(9.99E+307,'Price History'!$A:$A))-'Price History'!L3)*(ROW()-3)/(MATCH(9.99E+307,'Returns (Calc)'!$A:$A)-3),"")</f>
        <v>58.0435443037975</v>
      </c>
      <c r="AH79" s="144" t="n">
        <f aca="false">IFERROR('Price History'!M3+(INDEX('Price History'!M:M,MATCH(9.99E+307,'Price History'!$A:$A))-'Price History'!M3)*(ROW()-3)/(MATCH(9.99E+307,'Returns (Calc)'!$A:$A)-3),"")</f>
        <v>7.95607594936709</v>
      </c>
      <c r="AI79" s="144" t="n">
        <f aca="false">IFERROR('Price History'!N3+(INDEX('Price History'!N:N,MATCH(9.99E+307,'Price History'!$A:$A))-'Price History'!N3)*(ROW()-3)/(MATCH(9.99E+307,'Returns (Calc)'!$A:$A)-3),"")</f>
        <v>11.3139240506329</v>
      </c>
      <c r="AJ79" s="144" t="n">
        <f aca="false">IFERROR('Price History'!O3+(INDEX('Price History'!O:O,MATCH(9.99E+307,'Price History'!$A:$A))-'Price History'!O3)*(ROW()-3)/(MATCH(9.99E+307,'Returns (Calc)'!$A:$A)-3),"")</f>
        <v>29.9092405063291</v>
      </c>
      <c r="AK79" s="144" t="n">
        <f aca="false">IFERROR('Price History'!Q3+(INDEX('Price History'!Q:Q,MATCH(9.99E+307,'Price History'!$A:$A))-'Price History'!Q3)*(ROW()-3)/(MATCH(9.99E+307,'Returns (Calc)'!$A:$A)-3),"")</f>
        <v>122.288987341772</v>
      </c>
      <c r="AL79" s="144" t="n">
        <f aca="false">IFERROR('Price History'!R3+(INDEX('Price History'!R:R,MATCH(9.99E+307,'Price History'!$A:$A))-'Price History'!R3)*(ROW()-3)/(MATCH(9.99E+307,'Returns (Calc)'!$A:$A)-3),"")</f>
        <v>24.8179746835443</v>
      </c>
      <c r="AM79" s="144" t="n">
        <f aca="false">IFERROR('Price History'!S3+(INDEX('Price History'!S:S,MATCH(9.99E+307,'Price History'!$A:$A))-'Price History'!S3)*(ROW()-3)/(MATCH(9.99E+307,'Returns (Calc)'!$A:$A)-3),"")</f>
        <v>30.3815189873418</v>
      </c>
      <c r="AN79" s="144" t="n">
        <f aca="false">IFERROR('Price History'!T3+(INDEX('Price History'!T:T,MATCH(9.99E+307,'Price History'!$A:$A))-'Price History'!T3)*(ROW()-3)/(MATCH(9.99E+307,'Returns (Calc)'!$A:$A)-3),"")</f>
        <v>13.9659493670886</v>
      </c>
      <c r="AO79" s="145" t="n">
        <f aca="false">IFERROR('Price History'!V3+(INDEX('Price History'!V:V,MATCH(9.99E+307,'Price History'!$A:$A))-'Price History'!V3)*(ROW()-3)/(MATCH(9.99E+307,'Returns (Calc)'!$A:$A)-3),"")</f>
        <v>0</v>
      </c>
    </row>
    <row r="80" customFormat="false" ht="15" hidden="false" customHeight="true" outlineLevel="0" collapsed="false">
      <c r="A80" s="141" t="n">
        <f aca="false">IF('Price History'!A81="","",'Price History'!A81)</f>
        <v>45730</v>
      </c>
      <c r="B80" s="142" t="n">
        <f aca="false">IFERROR(IF(OR(NOT(ISNUMBER('Price History'!B81)),NOT(ISNUMBER('Price History'!B80)),'Price History'!B80=0),"",'Price History'!B81/'Price History'!B80-1),"")</f>
        <v>-0.121628838451268</v>
      </c>
      <c r="C80" s="142" t="n">
        <f aca="false">IFERROR(IF(OR(NOT(ISNUMBER('Price History'!C81)),NOT(ISNUMBER('Price History'!C80)),'Price History'!C80=0),"",'Price History'!C81/'Price History'!C80-1),"")</f>
        <v>0.00179942418426116</v>
      </c>
      <c r="D80" s="142" t="n">
        <f aca="false">IFERROR(IF(OR(NOT(ISNUMBER('Price History'!D81)),NOT(ISNUMBER('Price History'!D80)),'Price History'!D80=0),"",'Price History'!D81/'Price History'!D80-1),"")</f>
        <v>-0.0248842192576207</v>
      </c>
      <c r="E80" s="142" t="n">
        <f aca="false">IFERROR(IF(OR(NOT(ISNUMBER('Price History'!E81)),NOT(ISNUMBER('Price History'!E80)),'Price History'!E80=0),"",'Price History'!E81/'Price History'!E80-1),"")</f>
        <v>0.00296627810158201</v>
      </c>
      <c r="F80" s="142" t="n">
        <f aca="false">IFERROR(IF(OR(NOT(ISNUMBER('Price History'!F81)),NOT(ISNUMBER('Price History'!F80)),'Price History'!F80=0),"",'Price History'!F81/'Price History'!F80-1),"")</f>
        <v>-0.0187543412827043</v>
      </c>
      <c r="G80" s="142" t="n">
        <f aca="false">IFERROR(IF(OR(NOT(ISNUMBER('Price History'!G81)),NOT(ISNUMBER('Price History'!G80)),'Price History'!G80=0),"",'Price History'!G81/'Price History'!G80-1),"")</f>
        <v>0.0605660829935237</v>
      </c>
      <c r="H80" s="142" t="n">
        <f aca="false">IFERROR(IF(OR(NOT(ISNUMBER('Price History'!H81)),NOT(ISNUMBER('Price History'!H80)),'Price History'!H80=0),"",'Price History'!H81/'Price History'!H80-1),"")</f>
        <v>-0.00839005857210706</v>
      </c>
      <c r="I80" s="142" t="n">
        <f aca="false">IFERROR(IF(OR(NOT(ISNUMBER('Price History'!I81)),NOT(ISNUMBER('Price History'!I80)),'Price History'!I80=0),"",'Price History'!I81/'Price History'!I80-1),"")</f>
        <v>0.00241408690712874</v>
      </c>
      <c r="J80" s="142" t="n">
        <f aca="false">IFERROR(IF(OR(NOT(ISNUMBER('Price History'!J81)),NOT(ISNUMBER('Price History'!J80)),'Price History'!J80=0),"",'Price History'!J81/'Price History'!J80-1),"")</f>
        <v>0.084233261339093</v>
      </c>
      <c r="K80" s="142" t="n">
        <f aca="false">IFERROR(IF(OR(NOT(ISNUMBER('Price History'!K81)),NOT(ISNUMBER('Price History'!K80)),'Price History'!K80=0),"",'Price History'!K81/'Price History'!K80-1),"")</f>
        <v>0.079715302491103</v>
      </c>
      <c r="L80" s="142" t="n">
        <f aca="false">IFERROR(IF(OR(NOT(ISNUMBER('Price History'!L81)),NOT(ISNUMBER('Price History'!L80)),'Price History'!L80=0),"",'Price History'!L81/'Price History'!L80-1),"")</f>
        <v>-0.0669082552589713</v>
      </c>
      <c r="M80" s="142" t="n">
        <f aca="false">IFERROR(IF(OR(NOT(ISNUMBER('Price History'!M81)),NOT(ISNUMBER('Price History'!M80)),'Price History'!M80=0),"",'Price History'!M81/'Price History'!M80-1),"")</f>
        <v>0.0156636438582027</v>
      </c>
      <c r="N80" s="142" t="n">
        <f aca="false">IFERROR(IF(OR(NOT(ISNUMBER('Price History'!N81)),NOT(ISNUMBER('Price History'!N80)),'Price History'!N80=0),"",'Price History'!N81/'Price History'!N80-1),"")</f>
        <v>-0.0288065843621399</v>
      </c>
      <c r="O80" s="142" t="n">
        <f aca="false">IFERROR(IF(OR(NOT(ISNUMBER('Price History'!O81)),NOT(ISNUMBER('Price History'!O80)),'Price History'!O80=0),"",'Price History'!O81/'Price History'!O80-1),"")</f>
        <v>-0.0071857571857572</v>
      </c>
      <c r="P80" s="142" t="n">
        <f aca="false">IFERROR(IF(OR(NOT(ISNUMBER('Price History'!P81)),NOT(ISNUMBER('Price History'!P80)),'Price History'!P80=0),"",'Price History'!P81/'Price History'!P80-1),"")</f>
        <v>-0.0169569731226208</v>
      </c>
      <c r="Q80" s="142" t="n">
        <f aca="false">IFERROR(IF(OR(NOT(ISNUMBER('Price History'!Q81)),NOT(ISNUMBER('Price History'!Q80)),'Price History'!Q80=0),"",'Price History'!Q81/'Price History'!Q80-1),"")</f>
        <v>-0.039161125918983</v>
      </c>
      <c r="R80" s="142" t="n">
        <f aca="false">IFERROR(IF(OR(NOT(ISNUMBER('Price History'!R81)),NOT(ISNUMBER('Price History'!R80)),'Price History'!R80=0),"",'Price History'!R81/'Price History'!R80-1),"")</f>
        <v>-0.00522011484252649</v>
      </c>
      <c r="S80" s="142" t="n">
        <f aca="false">IFERROR(IF(OR(NOT(ISNUMBER('Price History'!S81)),NOT(ISNUMBER('Price History'!S80)),'Price History'!S80=0),"",'Price History'!S81/'Price History'!S80-1),"")</f>
        <v>0.0198920431827268</v>
      </c>
      <c r="T80" s="142" t="n">
        <f aca="false">IFERROR(IF(OR(NOT(ISNUMBER('Price History'!T81)),NOT(ISNUMBER('Price History'!T80)),'Price History'!T80=0),"",'Price History'!T81/'Price History'!T80-1),"")</f>
        <v>-0.00872993522951271</v>
      </c>
      <c r="U80" s="142" t="str">
        <f aca="false">IFERROR(IF(OR(NOT(ISNUMBER('Price History'!U81)),NOT(ISNUMBER('Price History'!U80)),'Price History'!U80=0),"",'Price History'!U81/'Price History'!U80-1),"")</f>
        <v/>
      </c>
      <c r="V80" s="143" t="n">
        <f aca="false">IFERROR(IF(OR(NOT(ISNUMBER('Price History'!V81)),NOT(ISNUMBER('Price History'!V80)),'Price History'!V80=0),"",'Price History'!V81/'Price History'!V80-1),"")</f>
        <v>0.0182001422812426</v>
      </c>
      <c r="W80" s="144" t="str">
        <f aca="false">IFERROR('Price History'!B3+(INDEX('Price History'!B:B,MATCH(9.99E+307,'Price History'!$A:$A))-'Price History'!B3)*(ROW()-3)/(MATCH(9.99E+307,'Returns (Calc)'!$A:$A)-3),"")</f>
        <v/>
      </c>
      <c r="X80" s="144" t="n">
        <f aca="false">IFERROR('Price History'!C3+(INDEX('Price History'!C:C,MATCH(9.99E+307,'Price History'!$A:$A))-'Price History'!C3)*(ROW()-3)/(MATCH(9.99E+307,'Returns (Calc)'!$A:$A)-3),"")</f>
        <v>23.6745569620253</v>
      </c>
      <c r="Y80" s="144" t="n">
        <f aca="false">IFERROR('Price History'!D3+(INDEX('Price History'!D:D,MATCH(9.99E+307,'Price History'!$A:$A))-'Price History'!D3)*(ROW()-3)/(MATCH(9.99E+307,'Returns (Calc)'!$A:$A)-3),"")</f>
        <v>298.372215189873</v>
      </c>
      <c r="Z80" s="144" t="n">
        <f aca="false">IFERROR('Price History'!E3+(INDEX('Price History'!E:E,MATCH(9.99E+307,'Price History'!$A:$A))-'Price History'!E3)*(ROW()-3)/(MATCH(9.99E+307,'Returns (Calc)'!$A:$A)-3),"")</f>
        <v>42.0379746835443</v>
      </c>
      <c r="AA80" s="144" t="n">
        <f aca="false">IFERROR('Price History'!F3+(INDEX('Price History'!F:F,MATCH(9.99E+307,'Price History'!$A:$A))-'Price History'!F3)*(ROW()-3)/(MATCH(9.99E+307,'Returns (Calc)'!$A:$A)-3),"")</f>
        <v>38.6082911392405</v>
      </c>
      <c r="AB80" s="144" t="n">
        <f aca="false">IFERROR('Price History'!G3+(INDEX('Price History'!G:G,MATCH(9.99E+307,'Price History'!$A:$A))-'Price History'!G3)*(ROW()-3)/(MATCH(9.99E+307,'Returns (Calc)'!$A:$A)-3),"")</f>
        <v>21.2035443037975</v>
      </c>
      <c r="AC80" s="144" t="n">
        <f aca="false">IFERROR('Price History'!H3+(INDEX('Price History'!H:H,MATCH(9.99E+307,'Price History'!$A:$A))-'Price History'!H3)*(ROW()-3)/(MATCH(9.99E+307,'Returns (Calc)'!$A:$A)-3),"")</f>
        <v>51.5682911392405</v>
      </c>
      <c r="AD80" s="144" t="n">
        <f aca="false">IFERROR('Price History'!I3+(INDEX('Price History'!I:I,MATCH(9.99E+307,'Price History'!$A:$A))-'Price History'!I3)*(ROW()-3)/(MATCH(9.99E+307,'Returns (Calc)'!$A:$A)-3),"")</f>
        <v>22.7363924050633</v>
      </c>
      <c r="AE80" s="144" t="n">
        <f aca="false">IFERROR('Price History'!J3+(INDEX('Price History'!J:J,MATCH(9.99E+307,'Price History'!$A:$A))-'Price History'!J3)*(ROW()-3)/(MATCH(9.99E+307,'Returns (Calc)'!$A:$A)-3),"")</f>
        <v>35.4298101265823</v>
      </c>
      <c r="AF80" s="144" t="n">
        <f aca="false">IFERROR('Price History'!K3+(INDEX('Price History'!K:K,MATCH(9.99E+307,'Price History'!$A:$A))-'Price History'!K3)*(ROW()-3)/(MATCH(9.99E+307,'Returns (Calc)'!$A:$A)-3),"")</f>
        <v>22.4390506329114</v>
      </c>
      <c r="AG80" s="144" t="n">
        <f aca="false">IFERROR('Price History'!L3+(INDEX('Price History'!L:L,MATCH(9.99E+307,'Price History'!$A:$A))-'Price History'!L3)*(ROW()-3)/(MATCH(9.99E+307,'Returns (Calc)'!$A:$A)-3),"")</f>
        <v>57.3356962025317</v>
      </c>
      <c r="AH80" s="144" t="n">
        <f aca="false">IFERROR('Price History'!M3+(INDEX('Price History'!M:M,MATCH(9.99E+307,'Price History'!$A:$A))-'Price History'!M3)*(ROW()-3)/(MATCH(9.99E+307,'Returns (Calc)'!$A:$A)-3),"")</f>
        <v>7.85905063291139</v>
      </c>
      <c r="AI80" s="144" t="n">
        <f aca="false">IFERROR('Price History'!N3+(INDEX('Price History'!N:N,MATCH(9.99E+307,'Price History'!$A:$A))-'Price History'!N3)*(ROW()-3)/(MATCH(9.99E+307,'Returns (Calc)'!$A:$A)-3),"")</f>
        <v>11.1759493670886</v>
      </c>
      <c r="AJ80" s="144" t="n">
        <f aca="false">IFERROR('Price History'!O3+(INDEX('Price History'!O:O,MATCH(9.99E+307,'Price History'!$A:$A))-'Price History'!O3)*(ROW()-3)/(MATCH(9.99E+307,'Returns (Calc)'!$A:$A)-3),"")</f>
        <v>29.5444936708861</v>
      </c>
      <c r="AK80" s="144" t="n">
        <f aca="false">IFERROR('Price History'!Q3+(INDEX('Price History'!Q:Q,MATCH(9.99E+307,'Price History'!$A:$A))-'Price History'!Q3)*(ROW()-3)/(MATCH(9.99E+307,'Returns (Calc)'!$A:$A)-3),"")</f>
        <v>120.797658227848</v>
      </c>
      <c r="AL80" s="144" t="n">
        <f aca="false">IFERROR('Price History'!R3+(INDEX('Price History'!R:R,MATCH(9.99E+307,'Price History'!$A:$A))-'Price History'!R3)*(ROW()-3)/(MATCH(9.99E+307,'Returns (Calc)'!$A:$A)-3),"")</f>
        <v>24.5153164556962</v>
      </c>
      <c r="AM80" s="144" t="n">
        <f aca="false">IFERROR('Price History'!S3+(INDEX('Price History'!S:S,MATCH(9.99E+307,'Price History'!$A:$A))-'Price History'!S3)*(ROW()-3)/(MATCH(9.99E+307,'Returns (Calc)'!$A:$A)-3),"")</f>
        <v>30.0110126582279</v>
      </c>
      <c r="AN80" s="144" t="n">
        <f aca="false">IFERROR('Price History'!T3+(INDEX('Price History'!T:T,MATCH(9.99E+307,'Price History'!$A:$A))-'Price History'!T3)*(ROW()-3)/(MATCH(9.99E+307,'Returns (Calc)'!$A:$A)-3),"")</f>
        <v>13.7956329113924</v>
      </c>
      <c r="AO80" s="145" t="n">
        <f aca="false">IFERROR('Price History'!V3+(INDEX('Price History'!V:V,MATCH(9.99E+307,'Price History'!$A:$A))-'Price History'!V3)*(ROW()-3)/(MATCH(9.99E+307,'Returns (Calc)'!$A:$A)-3),"")</f>
        <v>0</v>
      </c>
    </row>
    <row r="81" customFormat="false" ht="15" hidden="false" customHeight="true" outlineLevel="0" collapsed="false">
      <c r="A81" s="141" t="n">
        <f aca="false">IF('Price History'!A82="","",'Price History'!A82)</f>
        <v>45737</v>
      </c>
      <c r="B81" s="142" t="n">
        <f aca="false">IFERROR(IF(OR(NOT(ISNUMBER('Price History'!B82)),NOT(ISNUMBER('Price History'!B81)),'Price History'!B81=0),"",'Price History'!B82/'Price History'!B81-1),"")</f>
        <v>-0.0189491817398795</v>
      </c>
      <c r="C81" s="142" t="n">
        <f aca="false">IFERROR(IF(OR(NOT(ISNUMBER('Price History'!C82)),NOT(ISNUMBER('Price History'!C81)),'Price History'!C81=0),"",'Price History'!C82/'Price History'!C81-1),"")</f>
        <v>-0.00455035325110775</v>
      </c>
      <c r="D81" s="142" t="n">
        <f aca="false">IFERROR(IF(OR(NOT(ISNUMBER('Price History'!D82)),NOT(ISNUMBER('Price History'!D81)),'Price History'!D81=0),"",'Price History'!D82/'Price History'!D81-1),"")</f>
        <v>0.00310484156801572</v>
      </c>
      <c r="E81" s="142" t="n">
        <f aca="false">IFERROR(IF(OR(NOT(ISNUMBER('Price History'!E82)),NOT(ISNUMBER('Price History'!E81)),'Price History'!E81=0),"",'Price History'!E82/'Price History'!E81-1),"")</f>
        <v>-0.0169148549784672</v>
      </c>
      <c r="F81" s="142" t="n">
        <f aca="false">IFERROR(IF(OR(NOT(ISNUMBER('Price History'!F82)),NOT(ISNUMBER('Price History'!F81)),'Price History'!F81=0),"",'Price History'!F82/'Price History'!F81-1),"")</f>
        <v>0.00967437470504939</v>
      </c>
      <c r="G81" s="142" t="n">
        <f aca="false">IFERROR(IF(OR(NOT(ISNUMBER('Price History'!G82)),NOT(ISNUMBER('Price History'!G81)),'Price History'!G81=0),"",'Price History'!G82/'Price History'!G81-1),"")</f>
        <v>0.0240868483546308</v>
      </c>
      <c r="H81" s="142" t="n">
        <f aca="false">IFERROR(IF(OR(NOT(ISNUMBER('Price History'!H82)),NOT(ISNUMBER('Price History'!H81)),'Price History'!H81=0),"",'Price History'!H82/'Price History'!H81-1),"")</f>
        <v>0.00478927203065127</v>
      </c>
      <c r="I81" s="142" t="n">
        <f aca="false">IFERROR(IF(OR(NOT(ISNUMBER('Price History'!I82)),NOT(ISNUMBER('Price History'!I81)),'Price History'!I81=0),"",'Price History'!I82/'Price History'!I81-1),"")</f>
        <v>-0.00906644000566659</v>
      </c>
      <c r="J81" s="142" t="n">
        <f aca="false">IFERROR(IF(OR(NOT(ISNUMBER('Price History'!J82)),NOT(ISNUMBER('Price History'!J81)),'Price History'!J81=0),"",'Price History'!J82/'Price History'!J81-1),"")</f>
        <v>-0.0601593625498008</v>
      </c>
      <c r="K81" s="142" t="n">
        <f aca="false">IFERROR(IF(OR(NOT(ISNUMBER('Price History'!K82)),NOT(ISNUMBER('Price History'!K81)),'Price History'!K81=0),"",'Price History'!K82/'Price History'!K81-1),"")</f>
        <v>-0.0326301911667765</v>
      </c>
      <c r="L81" s="142" t="n">
        <f aca="false">IFERROR(IF(OR(NOT(ISNUMBER('Price History'!L82)),NOT(ISNUMBER('Price History'!L81)),'Price History'!L81=0),"",'Price History'!L82/'Price History'!L81-1),"")</f>
        <v>-0.0223548356540684</v>
      </c>
      <c r="M81" s="142" t="n">
        <f aca="false">IFERROR(IF(OR(NOT(ISNUMBER('Price History'!M82)),NOT(ISNUMBER('Price History'!M81)),'Price History'!M81=0),"",'Price History'!M82/'Price History'!M81-1),"")</f>
        <v>0.0547309833024119</v>
      </c>
      <c r="N81" s="142" t="n">
        <f aca="false">IFERROR(IF(OR(NOT(ISNUMBER('Price History'!N82)),NOT(ISNUMBER('Price History'!N81)),'Price History'!N81=0),"",'Price History'!N82/'Price History'!N81-1),"")</f>
        <v>0.00423728813559321</v>
      </c>
      <c r="O81" s="142" t="n">
        <f aca="false">IFERROR(IF(OR(NOT(ISNUMBER('Price History'!O82)),NOT(ISNUMBER('Price History'!O81)),'Price History'!O81=0),"",'Price History'!O82/'Price History'!O81-1),"")</f>
        <v>0.0037809225451011</v>
      </c>
      <c r="P81" s="142" t="n">
        <f aca="false">IFERROR(IF(OR(NOT(ISNUMBER('Price History'!P82)),NOT(ISNUMBER('Price History'!P81)),'Price History'!P81=0),"",'Price History'!P82/'Price History'!P81-1),"")</f>
        <v>0.01906829382774</v>
      </c>
      <c r="Q81" s="142" t="n">
        <f aca="false">IFERROR(IF(OR(NOT(ISNUMBER('Price History'!Q82)),NOT(ISNUMBER('Price History'!Q81)),'Price History'!Q81=0),"",'Price History'!Q82/'Price History'!Q81-1),"")</f>
        <v>0.0116449213510548</v>
      </c>
      <c r="R81" s="142" t="n">
        <f aca="false">IFERROR(IF(OR(NOT(ISNUMBER('Price History'!R82)),NOT(ISNUMBER('Price History'!R81)),'Price History'!R81=0),"",'Price History'!R82/'Price History'!R81-1),"")</f>
        <v>0.0192408605912191</v>
      </c>
      <c r="S81" s="142" t="n">
        <f aca="false">IFERROR(IF(OR(NOT(ISNUMBER('Price History'!S82)),NOT(ISNUMBER('Price History'!S81)),'Price History'!S81=0),"",'Price History'!S82/'Price History'!S81-1),"")</f>
        <v>0.0100950700774283</v>
      </c>
      <c r="T81" s="142" t="n">
        <f aca="false">IFERROR(IF(OR(NOT(ISNUMBER('Price History'!T82)),NOT(ISNUMBER('Price History'!T81)),'Price History'!T81=0),"",'Price History'!T82/'Price History'!T81-1),"")</f>
        <v>0.0116477272727271</v>
      </c>
      <c r="U81" s="142" t="str">
        <f aca="false">IFERROR(IF(OR(NOT(ISNUMBER('Price History'!U82)),NOT(ISNUMBER('Price History'!U81)),'Price History'!U81=0),"",'Price History'!U82/'Price History'!U81-1),"")</f>
        <v/>
      </c>
      <c r="V81" s="143" t="n">
        <f aca="false">IFERROR(IF(OR(NOT(ISNUMBER('Price History'!V82)),NOT(ISNUMBER('Price History'!V81)),'Price History'!V81=0),"",'Price History'!V82/'Price History'!V81-1),"")</f>
        <v>0.0183697234352256</v>
      </c>
      <c r="W81" s="144" t="str">
        <f aca="false">IFERROR('Price History'!B3+(INDEX('Price History'!B:B,MATCH(9.99E+307,'Price History'!$A:$A))-'Price History'!B3)*(ROW()-3)/(MATCH(9.99E+307,'Returns (Calc)'!$A:$A)-3),"")</f>
        <v/>
      </c>
      <c r="X81" s="144" t="n">
        <f aca="false">IFERROR('Price History'!C3+(INDEX('Price History'!C:C,MATCH(9.99E+307,'Price History'!$A:$A))-'Price History'!C3)*(ROW()-3)/(MATCH(9.99E+307,'Returns (Calc)'!$A:$A)-3),"")</f>
        <v>23.3822784810127</v>
      </c>
      <c r="Y81" s="144" t="n">
        <f aca="false">IFERROR('Price History'!D3+(INDEX('Price History'!D:D,MATCH(9.99E+307,'Price History'!$A:$A))-'Price History'!D3)*(ROW()-3)/(MATCH(9.99E+307,'Returns (Calc)'!$A:$A)-3),"")</f>
        <v>294.688607594937</v>
      </c>
      <c r="Z81" s="144" t="n">
        <f aca="false">IFERROR('Price History'!E3+(INDEX('Price History'!E:E,MATCH(9.99E+307,'Price History'!$A:$A))-'Price History'!E3)*(ROW()-3)/(MATCH(9.99E+307,'Returns (Calc)'!$A:$A)-3),"")</f>
        <v>41.5189873417722</v>
      </c>
      <c r="AA81" s="144" t="n">
        <f aca="false">IFERROR('Price History'!F3+(INDEX('Price History'!F:F,MATCH(9.99E+307,'Price History'!$A:$A))-'Price History'!F3)*(ROW()-3)/(MATCH(9.99E+307,'Returns (Calc)'!$A:$A)-3),"")</f>
        <v>38.1316455696203</v>
      </c>
      <c r="AB81" s="144" t="n">
        <f aca="false">IFERROR('Price History'!G3+(INDEX('Price History'!G:G,MATCH(9.99E+307,'Price History'!$A:$A))-'Price History'!G3)*(ROW()-3)/(MATCH(9.99E+307,'Returns (Calc)'!$A:$A)-3),"")</f>
        <v>20.9417721518987</v>
      </c>
      <c r="AC81" s="144" t="n">
        <f aca="false">IFERROR('Price History'!H3+(INDEX('Price History'!H:H,MATCH(9.99E+307,'Price History'!$A:$A))-'Price History'!H3)*(ROW()-3)/(MATCH(9.99E+307,'Returns (Calc)'!$A:$A)-3),"")</f>
        <v>50.9316455696203</v>
      </c>
      <c r="AD81" s="144" t="n">
        <f aca="false">IFERROR('Price History'!I3+(INDEX('Price History'!I:I,MATCH(9.99E+307,'Price History'!$A:$A))-'Price History'!I3)*(ROW()-3)/(MATCH(9.99E+307,'Returns (Calc)'!$A:$A)-3),"")</f>
        <v>22.4556962025316</v>
      </c>
      <c r="AE81" s="144" t="n">
        <f aca="false">IFERROR('Price History'!J3+(INDEX('Price History'!J:J,MATCH(9.99E+307,'Price History'!$A:$A))-'Price History'!J3)*(ROW()-3)/(MATCH(9.99E+307,'Returns (Calc)'!$A:$A)-3),"")</f>
        <v>34.9924050632911</v>
      </c>
      <c r="AF81" s="144" t="n">
        <f aca="false">IFERROR('Price History'!K3+(INDEX('Price History'!K:K,MATCH(9.99E+307,'Price History'!$A:$A))-'Price History'!K3)*(ROW()-3)/(MATCH(9.99E+307,'Returns (Calc)'!$A:$A)-3),"")</f>
        <v>22.1620253164557</v>
      </c>
      <c r="AG81" s="144" t="n">
        <f aca="false">IFERROR('Price History'!L3+(INDEX('Price History'!L:L,MATCH(9.99E+307,'Price History'!$A:$A))-'Price History'!L3)*(ROW()-3)/(MATCH(9.99E+307,'Returns (Calc)'!$A:$A)-3),"")</f>
        <v>56.6278481012658</v>
      </c>
      <c r="AH81" s="144" t="n">
        <f aca="false">IFERROR('Price History'!M3+(INDEX('Price History'!M:M,MATCH(9.99E+307,'Price History'!$A:$A))-'Price History'!M3)*(ROW()-3)/(MATCH(9.99E+307,'Returns (Calc)'!$A:$A)-3),"")</f>
        <v>7.7620253164557</v>
      </c>
      <c r="AI81" s="144" t="n">
        <f aca="false">IFERROR('Price History'!N3+(INDEX('Price History'!N:N,MATCH(9.99E+307,'Price History'!$A:$A))-'Price History'!N3)*(ROW()-3)/(MATCH(9.99E+307,'Returns (Calc)'!$A:$A)-3),"")</f>
        <v>11.0379746835443</v>
      </c>
      <c r="AJ81" s="144" t="n">
        <f aca="false">IFERROR('Price History'!O3+(INDEX('Price History'!O:O,MATCH(9.99E+307,'Price History'!$A:$A))-'Price History'!O3)*(ROW()-3)/(MATCH(9.99E+307,'Returns (Calc)'!$A:$A)-3),"")</f>
        <v>29.179746835443</v>
      </c>
      <c r="AK81" s="144" t="n">
        <f aca="false">IFERROR('Price History'!Q3+(INDEX('Price History'!Q:Q,MATCH(9.99E+307,'Price History'!$A:$A))-'Price History'!Q3)*(ROW()-3)/(MATCH(9.99E+307,'Returns (Calc)'!$A:$A)-3),"")</f>
        <v>119.306329113924</v>
      </c>
      <c r="AL81" s="144" t="n">
        <f aca="false">IFERROR('Price History'!R3+(INDEX('Price History'!R:R,MATCH(9.99E+307,'Price History'!$A:$A))-'Price History'!R3)*(ROW()-3)/(MATCH(9.99E+307,'Returns (Calc)'!$A:$A)-3),"")</f>
        <v>24.2126582278481</v>
      </c>
      <c r="AM81" s="144" t="n">
        <f aca="false">IFERROR('Price History'!S3+(INDEX('Price History'!S:S,MATCH(9.99E+307,'Price History'!$A:$A))-'Price History'!S3)*(ROW()-3)/(MATCH(9.99E+307,'Returns (Calc)'!$A:$A)-3),"")</f>
        <v>29.6405063291139</v>
      </c>
      <c r="AN81" s="144" t="n">
        <f aca="false">IFERROR('Price History'!T3+(INDEX('Price History'!T:T,MATCH(9.99E+307,'Price History'!$A:$A))-'Price History'!T3)*(ROW()-3)/(MATCH(9.99E+307,'Returns (Calc)'!$A:$A)-3),"")</f>
        <v>13.6253164556962</v>
      </c>
      <c r="AO81" s="145" t="n">
        <f aca="false">IFERROR('Price History'!V3+(INDEX('Price History'!V:V,MATCH(9.99E+307,'Price History'!$A:$A))-'Price History'!V3)*(ROW()-3)/(MATCH(9.99E+307,'Returns (Calc)'!$A:$A)-3),"")</f>
        <v>0</v>
      </c>
    </row>
    <row r="82" customFormat="false" ht="15" hidden="false" customHeight="true" outlineLevel="0" collapsed="false">
      <c r="A82" s="141" t="n">
        <f aca="false">IF('Price History'!A83="","",'Price History'!A83)</f>
        <v>45744</v>
      </c>
      <c r="B82" s="142" t="n">
        <f aca="false">IFERROR(IF(OR(NOT(ISNUMBER('Price History'!B83)),NOT(ISNUMBER('Price History'!B82)),'Price History'!B82=0),"",'Price History'!B83/'Price History'!B82-1),"")</f>
        <v>-0.00400247895470751</v>
      </c>
      <c r="C82" s="142" t="n">
        <f aca="false">IFERROR(IF(OR(NOT(ISNUMBER('Price History'!C83)),NOT(ISNUMBER('Price History'!C82)),'Price History'!C82=0),"",'Price History'!C83/'Price History'!C82-1),"")</f>
        <v>-0.0624323348971491</v>
      </c>
      <c r="D82" s="142" t="n">
        <f aca="false">IFERROR(IF(OR(NOT(ISNUMBER('Price History'!D83)),NOT(ISNUMBER('Price History'!D82)),'Price History'!D82=0),"",'Price History'!D83/'Price History'!D82-1),"")</f>
        <v>-0.0581309890606891</v>
      </c>
      <c r="E82" s="142" t="n">
        <f aca="false">IFERROR(IF(OR(NOT(ISNUMBER('Price History'!E83)),NOT(ISNUMBER('Price History'!E82)),'Price History'!E82=0),"",'Price History'!E83/'Price History'!E82-1),"")</f>
        <v>-0.117591175383966</v>
      </c>
      <c r="F82" s="142" t="n">
        <f aca="false">IFERROR(IF(OR(NOT(ISNUMBER('Price History'!F83)),NOT(ISNUMBER('Price History'!F82)),'Price History'!F82=0),"",'Price History'!F83/'Price History'!F82-1),"")</f>
        <v>-0.00467398924982465</v>
      </c>
      <c r="G82" s="142" t="n">
        <f aca="false">IFERROR(IF(OR(NOT(ISNUMBER('Price History'!G83)),NOT(ISNUMBER('Price History'!G82)),'Price History'!G82=0),"",'Price History'!G83/'Price History'!G82-1),"")</f>
        <v>-0.0141342756183745</v>
      </c>
      <c r="H82" s="142" t="n">
        <f aca="false">IFERROR(IF(OR(NOT(ISNUMBER('Price History'!H83)),NOT(ISNUMBER('Price History'!H82)),'Price History'!H82=0),"",'Price History'!H83/'Price History'!H82-1),"")</f>
        <v>-0.000238322211630115</v>
      </c>
      <c r="I82" s="142" t="n">
        <f aca="false">IFERROR(IF(OR(NOT(ISNUMBER('Price History'!I83)),NOT(ISNUMBER('Price History'!I82)),'Price History'!I82=0),"",'Price History'!I83/'Price History'!I82-1),"")</f>
        <v>-0.0466047176554683</v>
      </c>
      <c r="J82" s="142" t="n">
        <f aca="false">IFERROR(IF(OR(NOT(ISNUMBER('Price History'!J83)),NOT(ISNUMBER('Price History'!J82)),'Price History'!J82=0),"",'Price History'!J83/'Price History'!J82-1),"")</f>
        <v>-0.066341670199237</v>
      </c>
      <c r="K82" s="142" t="n">
        <f aca="false">IFERROR(IF(OR(NOT(ISNUMBER('Price History'!K83)),NOT(ISNUMBER('Price History'!K82)),'Price History'!K82=0),"",'Price History'!K83/'Price History'!K82-1),"")</f>
        <v>-0.0682282793867122</v>
      </c>
      <c r="L82" s="142" t="n">
        <f aca="false">IFERROR(IF(OR(NOT(ISNUMBER('Price History'!L83)),NOT(ISNUMBER('Price History'!L82)),'Price History'!L82=0),"",'Price History'!L83/'Price History'!L82-1),"")</f>
        <v>0.0186997383974421</v>
      </c>
      <c r="M82" s="142" t="n">
        <f aca="false">IFERROR(IF(OR(NOT(ISNUMBER('Price History'!M83)),NOT(ISNUMBER('Price History'!M82)),'Price History'!M82=0),"",'Price History'!M83/'Price History'!M82-1),"")</f>
        <v>-0.0561785400175902</v>
      </c>
      <c r="N82" s="142" t="n">
        <f aca="false">IFERROR(IF(OR(NOT(ISNUMBER('Price History'!N83)),NOT(ISNUMBER('Price History'!N82)),'Price History'!N82=0),"",'Price History'!N83/'Price History'!N82-1),"")</f>
        <v>0.00268507863444567</v>
      </c>
      <c r="O82" s="142" t="n">
        <f aca="false">IFERROR(IF(OR(NOT(ISNUMBER('Price History'!O83)),NOT(ISNUMBER('Price History'!O82)),'Price History'!O82=0),"",'Price History'!O83/'Price History'!O82-1),"")</f>
        <v>-0.0196943607404219</v>
      </c>
      <c r="P82" s="142" t="n">
        <f aca="false">IFERROR(IF(OR(NOT(ISNUMBER('Price History'!P83)),NOT(ISNUMBER('Price History'!P82)),'Price History'!P82=0),"",'Price History'!P83/'Price History'!P82-1),"")</f>
        <v>-0.0649432897691289</v>
      </c>
      <c r="Q82" s="142" t="n">
        <f aca="false">IFERROR(IF(OR(NOT(ISNUMBER('Price History'!Q83)),NOT(ISNUMBER('Price History'!Q82)),'Price History'!Q82=0),"",'Price History'!Q83/'Price History'!Q82-1),"")</f>
        <v>0.0214246971614536</v>
      </c>
      <c r="R82" s="142" t="n">
        <f aca="false">IFERROR(IF(OR(NOT(ISNUMBER('Price History'!R83)),NOT(ISNUMBER('Price History'!R82)),'Price History'!R82=0),"",'Price History'!R83/'Price History'!R82-1),"")</f>
        <v>-0.0120130427321092</v>
      </c>
      <c r="S82" s="142" t="n">
        <f aca="false">IFERROR(IF(OR(NOT(ISNUMBER('Price History'!S83)),NOT(ISNUMBER('Price History'!S82)),'Price History'!S82=0),"",'Price History'!S83/'Price History'!S82-1),"")</f>
        <v>-0.0305647195808267</v>
      </c>
      <c r="T82" s="142" t="n">
        <f aca="false">IFERROR(IF(OR(NOT(ISNUMBER('Price History'!T83)),NOT(ISNUMBER('Price History'!T82)),'Price History'!T82=0),"",'Price History'!T83/'Price History'!T82-1),"")</f>
        <v>-0.00336983993260309</v>
      </c>
      <c r="U82" s="142" t="str">
        <f aca="false">IFERROR(IF(OR(NOT(ISNUMBER('Price History'!U83)),NOT(ISNUMBER('Price History'!U82)),'Price History'!U82=0),"",'Price History'!U83/'Price History'!U82-1),"")</f>
        <v/>
      </c>
      <c r="V82" s="143" t="n">
        <f aca="false">IFERROR(IF(OR(NOT(ISNUMBER('Price History'!V83)),NOT(ISNUMBER('Price History'!V82)),'Price History'!V82=0),"",'Price History'!V83/'Price History'!V82-1),"")</f>
        <v>-0.0149223864383523</v>
      </c>
      <c r="W82" s="144" t="str">
        <f aca="false">IFERROR('Price History'!B3+(INDEX('Price History'!B:B,MATCH(9.99E+307,'Price History'!$A:$A))-'Price History'!B3)*(ROW()-3)/(MATCH(9.99E+307,'Returns (Calc)'!$A:$A)-3),"")</f>
        <v/>
      </c>
      <c r="X82" s="144" t="n">
        <f aca="false">IFERROR('Price History'!C3+(INDEX('Price History'!C:C,MATCH(9.99E+307,'Price History'!$A:$A))-'Price History'!C3)*(ROW()-3)/(MATCH(9.99E+307,'Returns (Calc)'!$A:$A)-3),"")</f>
        <v>23.09</v>
      </c>
      <c r="Y82" s="144" t="n">
        <f aca="false">IFERROR('Price History'!D3+(INDEX('Price History'!D:D,MATCH(9.99E+307,'Price History'!$A:$A))-'Price History'!D3)*(ROW()-3)/(MATCH(9.99E+307,'Returns (Calc)'!$A:$A)-3),"")</f>
        <v>291.005</v>
      </c>
      <c r="Z82" s="144" t="n">
        <f aca="false">IFERROR('Price History'!E3+(INDEX('Price History'!E:E,MATCH(9.99E+307,'Price History'!$A:$A))-'Price History'!E3)*(ROW()-3)/(MATCH(9.99E+307,'Returns (Calc)'!$A:$A)-3),"")</f>
        <v>41</v>
      </c>
      <c r="AA82" s="144" t="n">
        <f aca="false">IFERROR('Price History'!F3+(INDEX('Price History'!F:F,MATCH(9.99E+307,'Price History'!$A:$A))-'Price History'!F3)*(ROW()-3)/(MATCH(9.99E+307,'Returns (Calc)'!$A:$A)-3),"")</f>
        <v>37.655</v>
      </c>
      <c r="AB82" s="144" t="n">
        <f aca="false">IFERROR('Price History'!G3+(INDEX('Price History'!G:G,MATCH(9.99E+307,'Price History'!$A:$A))-'Price History'!G3)*(ROW()-3)/(MATCH(9.99E+307,'Returns (Calc)'!$A:$A)-3),"")</f>
        <v>20.68</v>
      </c>
      <c r="AC82" s="144" t="n">
        <f aca="false">IFERROR('Price History'!H3+(INDEX('Price History'!H:H,MATCH(9.99E+307,'Price History'!$A:$A))-'Price History'!H3)*(ROW()-3)/(MATCH(9.99E+307,'Returns (Calc)'!$A:$A)-3),"")</f>
        <v>50.295</v>
      </c>
      <c r="AD82" s="144" t="n">
        <f aca="false">IFERROR('Price History'!I3+(INDEX('Price History'!I:I,MATCH(9.99E+307,'Price History'!$A:$A))-'Price History'!I3)*(ROW()-3)/(MATCH(9.99E+307,'Returns (Calc)'!$A:$A)-3),"")</f>
        <v>22.175</v>
      </c>
      <c r="AE82" s="144" t="n">
        <f aca="false">IFERROR('Price History'!J3+(INDEX('Price History'!J:J,MATCH(9.99E+307,'Price History'!$A:$A))-'Price History'!J3)*(ROW()-3)/(MATCH(9.99E+307,'Returns (Calc)'!$A:$A)-3),"")</f>
        <v>34.555</v>
      </c>
      <c r="AF82" s="144" t="n">
        <f aca="false">IFERROR('Price History'!K3+(INDEX('Price History'!K:K,MATCH(9.99E+307,'Price History'!$A:$A))-'Price History'!K3)*(ROW()-3)/(MATCH(9.99E+307,'Returns (Calc)'!$A:$A)-3),"")</f>
        <v>21.885</v>
      </c>
      <c r="AG82" s="144" t="n">
        <f aca="false">IFERROR('Price History'!L3+(INDEX('Price History'!L:L,MATCH(9.99E+307,'Price History'!$A:$A))-'Price History'!L3)*(ROW()-3)/(MATCH(9.99E+307,'Returns (Calc)'!$A:$A)-3),"")</f>
        <v>55.92</v>
      </c>
      <c r="AH82" s="144" t="n">
        <f aca="false">IFERROR('Price History'!M3+(INDEX('Price History'!M:M,MATCH(9.99E+307,'Price History'!$A:$A))-'Price History'!M3)*(ROW()-3)/(MATCH(9.99E+307,'Returns (Calc)'!$A:$A)-3),"")</f>
        <v>7.665</v>
      </c>
      <c r="AI82" s="144" t="n">
        <f aca="false">IFERROR('Price History'!N3+(INDEX('Price History'!N:N,MATCH(9.99E+307,'Price History'!$A:$A))-'Price History'!N3)*(ROW()-3)/(MATCH(9.99E+307,'Returns (Calc)'!$A:$A)-3),"")</f>
        <v>10.9</v>
      </c>
      <c r="AJ82" s="144" t="n">
        <f aca="false">IFERROR('Price History'!O3+(INDEX('Price History'!O:O,MATCH(9.99E+307,'Price History'!$A:$A))-'Price History'!O3)*(ROW()-3)/(MATCH(9.99E+307,'Returns (Calc)'!$A:$A)-3),"")</f>
        <v>28.815</v>
      </c>
      <c r="AK82" s="144" t="n">
        <f aca="false">IFERROR('Price History'!Q3+(INDEX('Price History'!Q:Q,MATCH(9.99E+307,'Price History'!$A:$A))-'Price History'!Q3)*(ROW()-3)/(MATCH(9.99E+307,'Returns (Calc)'!$A:$A)-3),"")</f>
        <v>117.815</v>
      </c>
      <c r="AL82" s="144" t="n">
        <f aca="false">IFERROR('Price History'!R3+(INDEX('Price History'!R:R,MATCH(9.99E+307,'Price History'!$A:$A))-'Price History'!R3)*(ROW()-3)/(MATCH(9.99E+307,'Returns (Calc)'!$A:$A)-3),"")</f>
        <v>23.91</v>
      </c>
      <c r="AM82" s="144" t="n">
        <f aca="false">IFERROR('Price History'!S3+(INDEX('Price History'!S:S,MATCH(9.99E+307,'Price History'!$A:$A))-'Price History'!S3)*(ROW()-3)/(MATCH(9.99E+307,'Returns (Calc)'!$A:$A)-3),"")</f>
        <v>29.27</v>
      </c>
      <c r="AN82" s="144" t="n">
        <f aca="false">IFERROR('Price History'!T3+(INDEX('Price History'!T:T,MATCH(9.99E+307,'Price History'!$A:$A))-'Price History'!T3)*(ROW()-3)/(MATCH(9.99E+307,'Returns (Calc)'!$A:$A)-3),"")</f>
        <v>13.455</v>
      </c>
      <c r="AO82" s="145" t="n">
        <f aca="false">IFERROR('Price History'!V3+(INDEX('Price History'!V:V,MATCH(9.99E+307,'Price History'!$A:$A))-'Price History'!V3)*(ROW()-3)/(MATCH(9.99E+307,'Returns (Calc)'!$A:$A)-3),"")</f>
        <v>0</v>
      </c>
    </row>
    <row r="83" customFormat="false" ht="15" hidden="false" customHeight="true" outlineLevel="0" collapsed="false">
      <c r="A83" s="141" t="n">
        <f aca="false">IF('Price History'!A84="","",'Price History'!A84)</f>
        <v>45751</v>
      </c>
      <c r="B83" s="142" t="n">
        <f aca="false">IFERROR(IF(OR(NOT(ISNUMBER('Price History'!B84)),NOT(ISNUMBER('Price History'!B83)),'Price History'!B83=0),"",'Price History'!B84/'Price History'!B83-1),"")</f>
        <v>-0.0949936480775712</v>
      </c>
      <c r="C83" s="142" t="n">
        <f aca="false">IFERROR(IF(OR(NOT(ISNUMBER('Price History'!C84)),NOT(ISNUMBER('Price History'!C83)),'Price History'!C83=0),"",'Price History'!C84/'Price History'!C83-1),"")</f>
        <v>-0.174108288426995</v>
      </c>
      <c r="D83" s="142" t="n">
        <f aca="false">IFERROR(IF(OR(NOT(ISNUMBER('Price History'!D84)),NOT(ISNUMBER('Price History'!D83)),'Price History'!D83=0),"",'Price History'!D84/'Price History'!D83-1),"")</f>
        <v>-0.102339400669258</v>
      </c>
      <c r="E83" s="142" t="n">
        <f aca="false">IFERROR(IF(OR(NOT(ISNUMBER('Price History'!E84)),NOT(ISNUMBER('Price History'!E83)),'Price History'!E83=0),"",'Price History'!E84/'Price History'!E83-1),"")</f>
        <v>-0.134996112207668</v>
      </c>
      <c r="F83" s="142" t="n">
        <f aca="false">IFERROR(IF(OR(NOT(ISNUMBER('Price History'!F84)),NOT(ISNUMBER('Price History'!F83)),'Price History'!F83=0),"",'Price History'!F84/'Price History'!F83-1),"")</f>
        <v>-0.104719417703686</v>
      </c>
      <c r="G83" s="142" t="n">
        <f aca="false">IFERROR(IF(OR(NOT(ISNUMBER('Price History'!G84)),NOT(ISNUMBER('Price History'!G83)),'Price History'!G83=0),"",'Price History'!G84/'Price History'!G83-1),"")</f>
        <v>-0.0993503584229392</v>
      </c>
      <c r="H83" s="142" t="n">
        <f aca="false">IFERROR(IF(OR(NOT(ISNUMBER('Price History'!H84)),NOT(ISNUMBER('Price History'!H83)),'Price History'!H83=0),"",'Price History'!H84/'Price History'!H83-1),"")</f>
        <v>-0.0803337306317045</v>
      </c>
      <c r="I83" s="142" t="n">
        <f aca="false">IFERROR(IF(OR(NOT(ISNUMBER('Price History'!I84)),NOT(ISNUMBER('Price History'!I83)),'Price History'!I83=0),"",'Price History'!I84/'Price History'!I83-1),"")</f>
        <v>-0.144099565152197</v>
      </c>
      <c r="J83" s="142" t="n">
        <f aca="false">IFERROR(IF(OR(NOT(ISNUMBER('Price History'!J84)),NOT(ISNUMBER('Price History'!J83)),'Price History'!J83=0),"",'Price History'!J84/'Price History'!J83-1),"")</f>
        <v>-0.267196367763905</v>
      </c>
      <c r="K83" s="142" t="n">
        <f aca="false">IFERROR(IF(OR(NOT(ISNUMBER('Price History'!K84)),NOT(ISNUMBER('Price History'!K83)),'Price History'!K83=0),"",'Price History'!K84/'Price History'!K83-1),"")</f>
        <v>-0.140049364658561</v>
      </c>
      <c r="L83" s="142" t="n">
        <f aca="false">IFERROR(IF(OR(NOT(ISNUMBER('Price History'!L84)),NOT(ISNUMBER('Price History'!L83)),'Price History'!L83=0),"",'Price History'!L84/'Price History'!L83-1),"")</f>
        <v>-0.110614418870078</v>
      </c>
      <c r="M83" s="142" t="n">
        <f aca="false">IFERROR(IF(OR(NOT(ISNUMBER('Price History'!M84)),NOT(ISNUMBER('Price History'!M83)),'Price History'!M83=0),"",'Price History'!M84/'Price History'!M83-1),"")</f>
        <v>-0.137914967967385</v>
      </c>
      <c r="N83" s="142" t="n">
        <f aca="false">IFERROR(IF(OR(NOT(ISNUMBER('Price History'!N84)),NOT(ISNUMBER('Price History'!N83)),'Price History'!N83=0),"",'Price History'!N84/'Price History'!N83-1),"")</f>
        <v>-0.0833970925784239</v>
      </c>
      <c r="O83" s="142" t="n">
        <f aca="false">IFERROR(IF(OR(NOT(ISNUMBER('Price History'!O84)),NOT(ISNUMBER('Price History'!O83)),'Price History'!O83=0),"",'Price History'!O84/'Price History'!O83-1),"")</f>
        <v>-0.107036996377209</v>
      </c>
      <c r="P83" s="142" t="n">
        <f aca="false">IFERROR(IF(OR(NOT(ISNUMBER('Price History'!P84)),NOT(ISNUMBER('Price History'!P83)),'Price History'!P83=0),"",'Price History'!P84/'Price History'!P83-1),"")</f>
        <v>-0.111631057200911</v>
      </c>
      <c r="Q83" s="142" t="n">
        <f aca="false">IFERROR(IF(OR(NOT(ISNUMBER('Price History'!Q84)),NOT(ISNUMBER('Price History'!Q83)),'Price History'!Q83=0),"",'Price History'!Q84/'Price History'!Q83-1),"")</f>
        <v>-0.0866743369619731</v>
      </c>
      <c r="R83" s="142" t="n">
        <f aca="false">IFERROR(IF(OR(NOT(ISNUMBER('Price History'!R84)),NOT(ISNUMBER('Price History'!R83)),'Price History'!R83=0),"",'Price History'!R84/'Price History'!R83-1),"")</f>
        <v>-0.0276185513288172</v>
      </c>
      <c r="S83" s="142" t="n">
        <f aca="false">IFERROR(IF(OR(NOT(ISNUMBER('Price History'!S84)),NOT(ISNUMBER('Price History'!S83)),'Price History'!S83=0),"",'Price History'!S84/'Price History'!S83-1),"")</f>
        <v>-0.0011009908918026</v>
      </c>
      <c r="T83" s="142" t="n">
        <f aca="false">IFERROR(IF(OR(NOT(ISNUMBER('Price History'!T84)),NOT(ISNUMBER('Price History'!T83)),'Price History'!T83=0),"",'Price History'!T84/'Price History'!T83-1),"")</f>
        <v>-0.00479008171315865</v>
      </c>
      <c r="U83" s="142" t="str">
        <f aca="false">IFERROR(IF(OR(NOT(ISNUMBER('Price History'!U84)),NOT(ISNUMBER('Price History'!U83)),'Price History'!U83=0),"",'Price History'!U84/'Price History'!U83-1),"")</f>
        <v/>
      </c>
      <c r="V83" s="143" t="n">
        <f aca="false">IFERROR(IF(OR(NOT(ISNUMBER('Price History'!V84)),NOT(ISNUMBER('Price History'!V83)),'Price History'!V83=0),"",'Price History'!V84/'Price History'!V83-1),"")</f>
        <v>0.0406570126817378</v>
      </c>
      <c r="W83" s="144" t="str">
        <f aca="false">IFERROR('Price History'!B3+(INDEX('Price History'!B:B,MATCH(9.99E+307,'Price History'!$A:$A))-'Price History'!B3)*(ROW()-3)/(MATCH(9.99E+307,'Returns (Calc)'!$A:$A)-3),"")</f>
        <v/>
      </c>
      <c r="X83" s="144" t="n">
        <f aca="false">IFERROR('Price History'!C3+(INDEX('Price History'!C:C,MATCH(9.99E+307,'Price History'!$A:$A))-'Price History'!C3)*(ROW()-3)/(MATCH(9.99E+307,'Returns (Calc)'!$A:$A)-3),"")</f>
        <v>22.7977215189873</v>
      </c>
      <c r="Y83" s="144" t="n">
        <f aca="false">IFERROR('Price History'!D3+(INDEX('Price History'!D:D,MATCH(9.99E+307,'Price History'!$A:$A))-'Price History'!D3)*(ROW()-3)/(MATCH(9.99E+307,'Returns (Calc)'!$A:$A)-3),"")</f>
        <v>287.321392405063</v>
      </c>
      <c r="Z83" s="144" t="n">
        <f aca="false">IFERROR('Price History'!E3+(INDEX('Price History'!E:E,MATCH(9.99E+307,'Price History'!$A:$A))-'Price History'!E3)*(ROW()-3)/(MATCH(9.99E+307,'Returns (Calc)'!$A:$A)-3),"")</f>
        <v>40.4810126582279</v>
      </c>
      <c r="AA83" s="144" t="n">
        <f aca="false">IFERROR('Price History'!F3+(INDEX('Price History'!F:F,MATCH(9.99E+307,'Price History'!$A:$A))-'Price History'!F3)*(ROW()-3)/(MATCH(9.99E+307,'Returns (Calc)'!$A:$A)-3),"")</f>
        <v>37.1783544303798</v>
      </c>
      <c r="AB83" s="144" t="n">
        <f aca="false">IFERROR('Price History'!G3+(INDEX('Price History'!G:G,MATCH(9.99E+307,'Price History'!$A:$A))-'Price History'!G3)*(ROW()-3)/(MATCH(9.99E+307,'Returns (Calc)'!$A:$A)-3),"")</f>
        <v>20.4182278481013</v>
      </c>
      <c r="AC83" s="144" t="n">
        <f aca="false">IFERROR('Price History'!H3+(INDEX('Price History'!H:H,MATCH(9.99E+307,'Price History'!$A:$A))-'Price History'!H3)*(ROW()-3)/(MATCH(9.99E+307,'Returns (Calc)'!$A:$A)-3),"")</f>
        <v>49.6583544303797</v>
      </c>
      <c r="AD83" s="144" t="n">
        <f aca="false">IFERROR('Price History'!I3+(INDEX('Price History'!I:I,MATCH(9.99E+307,'Price History'!$A:$A))-'Price History'!I3)*(ROW()-3)/(MATCH(9.99E+307,'Returns (Calc)'!$A:$A)-3),"")</f>
        <v>21.8943037974684</v>
      </c>
      <c r="AE83" s="144" t="n">
        <f aca="false">IFERROR('Price History'!J3+(INDEX('Price History'!J:J,MATCH(9.99E+307,'Price History'!$A:$A))-'Price History'!J3)*(ROW()-3)/(MATCH(9.99E+307,'Returns (Calc)'!$A:$A)-3),"")</f>
        <v>34.1175949367089</v>
      </c>
      <c r="AF83" s="144" t="n">
        <f aca="false">IFERROR('Price History'!K3+(INDEX('Price History'!K:K,MATCH(9.99E+307,'Price History'!$A:$A))-'Price History'!K3)*(ROW()-3)/(MATCH(9.99E+307,'Returns (Calc)'!$A:$A)-3),"")</f>
        <v>21.6079746835443</v>
      </c>
      <c r="AG83" s="144" t="n">
        <f aca="false">IFERROR('Price History'!L3+(INDEX('Price History'!L:L,MATCH(9.99E+307,'Price History'!$A:$A))-'Price History'!L3)*(ROW()-3)/(MATCH(9.99E+307,'Returns (Calc)'!$A:$A)-3),"")</f>
        <v>55.2121518987342</v>
      </c>
      <c r="AH83" s="144" t="n">
        <f aca="false">IFERROR('Price History'!M3+(INDEX('Price History'!M:M,MATCH(9.99E+307,'Price History'!$A:$A))-'Price History'!M3)*(ROW()-3)/(MATCH(9.99E+307,'Returns (Calc)'!$A:$A)-3),"")</f>
        <v>7.5679746835443</v>
      </c>
      <c r="AI83" s="144" t="n">
        <f aca="false">IFERROR('Price History'!N3+(INDEX('Price History'!N:N,MATCH(9.99E+307,'Price History'!$A:$A))-'Price History'!N3)*(ROW()-3)/(MATCH(9.99E+307,'Returns (Calc)'!$A:$A)-3),"")</f>
        <v>10.7620253164557</v>
      </c>
      <c r="AJ83" s="144" t="n">
        <f aca="false">IFERROR('Price History'!O3+(INDEX('Price History'!O:O,MATCH(9.99E+307,'Price History'!$A:$A))-'Price History'!O3)*(ROW()-3)/(MATCH(9.99E+307,'Returns (Calc)'!$A:$A)-3),"")</f>
        <v>28.450253164557</v>
      </c>
      <c r="AK83" s="144" t="n">
        <f aca="false">IFERROR('Price History'!Q3+(INDEX('Price History'!Q:Q,MATCH(9.99E+307,'Price History'!$A:$A))-'Price History'!Q3)*(ROW()-3)/(MATCH(9.99E+307,'Returns (Calc)'!$A:$A)-3),"")</f>
        <v>116.323670886076</v>
      </c>
      <c r="AL83" s="144" t="n">
        <f aca="false">IFERROR('Price History'!R3+(INDEX('Price History'!R:R,MATCH(9.99E+307,'Price History'!$A:$A))-'Price History'!R3)*(ROW()-3)/(MATCH(9.99E+307,'Returns (Calc)'!$A:$A)-3),"")</f>
        <v>23.6073417721519</v>
      </c>
      <c r="AM83" s="144" t="n">
        <f aca="false">IFERROR('Price History'!S3+(INDEX('Price History'!S:S,MATCH(9.99E+307,'Price History'!$A:$A))-'Price History'!S3)*(ROW()-3)/(MATCH(9.99E+307,'Returns (Calc)'!$A:$A)-3),"")</f>
        <v>28.8994936708861</v>
      </c>
      <c r="AN83" s="144" t="n">
        <f aca="false">IFERROR('Price History'!T3+(INDEX('Price History'!T:T,MATCH(9.99E+307,'Price History'!$A:$A))-'Price History'!T3)*(ROW()-3)/(MATCH(9.99E+307,'Returns (Calc)'!$A:$A)-3),"")</f>
        <v>13.2846835443038</v>
      </c>
      <c r="AO83" s="145" t="n">
        <f aca="false">IFERROR('Price History'!V3+(INDEX('Price History'!V:V,MATCH(9.99E+307,'Price History'!$A:$A))-'Price History'!V3)*(ROW()-3)/(MATCH(9.99E+307,'Returns (Calc)'!$A:$A)-3),"")</f>
        <v>0</v>
      </c>
    </row>
    <row r="84" customFormat="false" ht="15" hidden="false" customHeight="true" outlineLevel="0" collapsed="false">
      <c r="A84" s="141" t="n">
        <f aca="false">IF('Price History'!A85="","",'Price History'!A85)</f>
        <v>45758</v>
      </c>
      <c r="B84" s="142" t="n">
        <f aca="false">IFERROR(IF(OR(NOT(ISNUMBER('Price History'!B85)),NOT(ISNUMBER('Price History'!B84)),'Price History'!B84=0),"",'Price History'!B85/'Price History'!B84-1),"")</f>
        <v>0.00974016672873646</v>
      </c>
      <c r="C84" s="142" t="n">
        <f aca="false">IFERROR(IF(OR(NOT(ISNUMBER('Price History'!C85)),NOT(ISNUMBER('Price History'!C84)),'Price History'!C84=0),"",'Price History'!C85/'Price History'!C84-1),"")</f>
        <v>0.128942053751748</v>
      </c>
      <c r="D84" s="142" t="n">
        <f aca="false">IFERROR(IF(OR(NOT(ISNUMBER('Price History'!D85)),NOT(ISNUMBER('Price History'!D84)),'Price History'!D84=0),"",'Price History'!D85/'Price History'!D84-1),"")</f>
        <v>0.104478360441985</v>
      </c>
      <c r="E84" s="142" t="n">
        <f aca="false">IFERROR(IF(OR(NOT(ISNUMBER('Price History'!E85)),NOT(ISNUMBER('Price History'!E84)),'Price History'!E84=0),"",'Price History'!E85/'Price History'!E84-1),"")</f>
        <v>0.243673074263587</v>
      </c>
      <c r="F84" s="142" t="n">
        <f aca="false">IFERROR(IF(OR(NOT(ISNUMBER('Price History'!F85)),NOT(ISNUMBER('Price History'!F84)),'Price History'!F84=0),"",'Price History'!F85/'Price History'!F84-1),"")</f>
        <v>0.0125885129819039</v>
      </c>
      <c r="G84" s="142" t="n">
        <f aca="false">IFERROR(IF(OR(NOT(ISNUMBER('Price History'!G85)),NOT(ISNUMBER('Price History'!G84)),'Price History'!G84=0),"",'Price History'!G85/'Price History'!G84-1),"")</f>
        <v>0.174853873896282</v>
      </c>
      <c r="H84" s="142" t="n">
        <f aca="false">IFERROR(IF(OR(NOT(ISNUMBER('Price History'!H85)),NOT(ISNUMBER('Price History'!H84)),'Price History'!H84=0),"",'Price History'!H85/'Price History'!H84-1),"")</f>
        <v>0.0160705028512183</v>
      </c>
      <c r="I84" s="142" t="n">
        <f aca="false">IFERROR(IF(OR(NOT(ISNUMBER('Price History'!I85)),NOT(ISNUMBER('Price History'!I84)),'Price History'!I84=0),"",'Price History'!I85/'Price History'!I84-1),"")</f>
        <v>0.162578836720392</v>
      </c>
      <c r="J84" s="142" t="n">
        <f aca="false">IFERROR(IF(OR(NOT(ISNUMBER('Price History'!J85)),NOT(ISNUMBER('Price History'!J84)),'Price History'!J84=0),"",'Price History'!J85/'Price History'!J84-1),"")</f>
        <v>0.0745043370508054</v>
      </c>
      <c r="K84" s="142" t="n">
        <f aca="false">IFERROR(IF(OR(NOT(ISNUMBER('Price History'!K85)),NOT(ISNUMBER('Price History'!K84)),'Price History'!K84=0),"",'Price History'!K85/'Price History'!K84-1),"")</f>
        <v>0.176251727437015</v>
      </c>
      <c r="L84" s="142" t="n">
        <f aca="false">IFERROR(IF(OR(NOT(ISNUMBER('Price History'!L85)),NOT(ISNUMBER('Price History'!L84)),'Price History'!L84=0),"",'Price History'!L85/'Price History'!L84-1),"")</f>
        <v>-0.0204256229280292</v>
      </c>
      <c r="M84" s="142" t="n">
        <f aca="false">IFERROR(IF(OR(NOT(ISNUMBER('Price History'!M85)),NOT(ISNUMBER('Price History'!M84)),'Price History'!M84=0),"",'Price History'!M85/'Price History'!M84-1),"")</f>
        <v>0.196459937846237</v>
      </c>
      <c r="N84" s="142" t="n">
        <f aca="false">IFERROR(IF(OR(NOT(ISNUMBER('Price History'!N85)),NOT(ISNUMBER('Price History'!N84)),'Price History'!N84=0),"",'Price History'!N85/'Price History'!N84-1),"")</f>
        <v>0.000834724540901499</v>
      </c>
      <c r="O84" s="142" t="n">
        <f aca="false">IFERROR(IF(OR(NOT(ISNUMBER('Price History'!O85)),NOT(ISNUMBER('Price History'!O84)),'Price History'!O84=0),"",'Price History'!O85/'Price History'!O84-1),"")</f>
        <v>0.0910990902385049</v>
      </c>
      <c r="P84" s="142" t="n">
        <f aca="false">IFERROR(IF(OR(NOT(ISNUMBER('Price History'!P85)),NOT(ISNUMBER('Price History'!P84)),'Price History'!P84=0),"",'Price History'!P85/'Price History'!P84-1),"")</f>
        <v>0.0700027723870251</v>
      </c>
      <c r="Q84" s="142" t="n">
        <f aca="false">IFERROR(IF(OR(NOT(ISNUMBER('Price History'!Q85)),NOT(ISNUMBER('Price History'!Q84)),'Price History'!Q84=0),"",'Price History'!Q85/'Price History'!Q84-1),"")</f>
        <v>0.0647307729577829</v>
      </c>
      <c r="R84" s="142" t="n">
        <f aca="false">IFERROR(IF(OR(NOT(ISNUMBER('Price History'!R85)),NOT(ISNUMBER('Price History'!R84)),'Price History'!R84=0),"",'Price History'!R85/'Price History'!R84-1),"")</f>
        <v>-0.0396570203644159</v>
      </c>
      <c r="S84" s="142" t="n">
        <f aca="false">IFERROR(IF(OR(NOT(ISNUMBER('Price History'!S85)),NOT(ISNUMBER('Price History'!S84)),'Price History'!S84=0),"",'Price History'!S85/'Price History'!S84-1),"")</f>
        <v>-0.0527054108216432</v>
      </c>
      <c r="T84" s="142" t="n">
        <f aca="false">IFERROR(IF(OR(NOT(ISNUMBER('Price History'!T85)),NOT(ISNUMBER('Price History'!T84)),'Price History'!T84=0),"",'Price History'!T85/'Price History'!T84-1),"")</f>
        <v>-0.0144394110985276</v>
      </c>
      <c r="U84" s="142" t="str">
        <f aca="false">IFERROR(IF(OR(NOT(ISNUMBER('Price History'!U85)),NOT(ISNUMBER('Price History'!U84)),'Price History'!U84=0),"",'Price History'!U85/'Price History'!U84-1),"")</f>
        <v/>
      </c>
      <c r="V84" s="143" t="n">
        <f aca="false">IFERROR(IF(OR(NOT(ISNUMBER('Price History'!V85)),NOT(ISNUMBER('Price History'!V84)),'Price History'!V84=0),"",'Price History'!V85/'Price History'!V84-1),"")</f>
        <v>-0.047936419408812</v>
      </c>
      <c r="W84" s="144" t="str">
        <f aca="false">IFERROR('Price History'!B3+(INDEX('Price History'!B:B,MATCH(9.99E+307,'Price History'!$A:$A))-'Price History'!B3)*(ROW()-3)/(MATCH(9.99E+307,'Returns (Calc)'!$A:$A)-3),"")</f>
        <v/>
      </c>
      <c r="X84" s="144" t="n">
        <f aca="false">IFERROR('Price History'!C3+(INDEX('Price History'!C:C,MATCH(9.99E+307,'Price History'!$A:$A))-'Price History'!C3)*(ROW()-3)/(MATCH(9.99E+307,'Returns (Calc)'!$A:$A)-3),"")</f>
        <v>22.5054430379747</v>
      </c>
      <c r="Y84" s="144" t="n">
        <f aca="false">IFERROR('Price History'!D3+(INDEX('Price History'!D:D,MATCH(9.99E+307,'Price History'!$A:$A))-'Price History'!D3)*(ROW()-3)/(MATCH(9.99E+307,'Returns (Calc)'!$A:$A)-3),"")</f>
        <v>283.637784810127</v>
      </c>
      <c r="Z84" s="144" t="n">
        <f aca="false">IFERROR('Price History'!E3+(INDEX('Price History'!E:E,MATCH(9.99E+307,'Price History'!$A:$A))-'Price History'!E3)*(ROW()-3)/(MATCH(9.99E+307,'Returns (Calc)'!$A:$A)-3),"")</f>
        <v>39.9620253164557</v>
      </c>
      <c r="AA84" s="144" t="n">
        <f aca="false">IFERROR('Price History'!F3+(INDEX('Price History'!F:F,MATCH(9.99E+307,'Price History'!$A:$A))-'Price History'!F3)*(ROW()-3)/(MATCH(9.99E+307,'Returns (Calc)'!$A:$A)-3),"")</f>
        <v>36.7017088607595</v>
      </c>
      <c r="AB84" s="144" t="n">
        <f aca="false">IFERROR('Price History'!G3+(INDEX('Price History'!G:G,MATCH(9.99E+307,'Price History'!$A:$A))-'Price History'!G3)*(ROW()-3)/(MATCH(9.99E+307,'Returns (Calc)'!$A:$A)-3),"")</f>
        <v>20.1564556962025</v>
      </c>
      <c r="AC84" s="144" t="n">
        <f aca="false">IFERROR('Price History'!H3+(INDEX('Price History'!H:H,MATCH(9.99E+307,'Price History'!$A:$A))-'Price History'!H3)*(ROW()-3)/(MATCH(9.99E+307,'Returns (Calc)'!$A:$A)-3),"")</f>
        <v>49.0217088607595</v>
      </c>
      <c r="AD84" s="144" t="n">
        <f aca="false">IFERROR('Price History'!I3+(INDEX('Price History'!I:I,MATCH(9.99E+307,'Price History'!$A:$A))-'Price History'!I3)*(ROW()-3)/(MATCH(9.99E+307,'Returns (Calc)'!$A:$A)-3),"")</f>
        <v>21.6136075949367</v>
      </c>
      <c r="AE84" s="144" t="n">
        <f aca="false">IFERROR('Price History'!J3+(INDEX('Price History'!J:J,MATCH(9.99E+307,'Price History'!$A:$A))-'Price History'!J3)*(ROW()-3)/(MATCH(9.99E+307,'Returns (Calc)'!$A:$A)-3),"")</f>
        <v>33.6801898734177</v>
      </c>
      <c r="AF84" s="144" t="n">
        <f aca="false">IFERROR('Price History'!K3+(INDEX('Price History'!K:K,MATCH(9.99E+307,'Price History'!$A:$A))-'Price History'!K3)*(ROW()-3)/(MATCH(9.99E+307,'Returns (Calc)'!$A:$A)-3),"")</f>
        <v>21.3309493670886</v>
      </c>
      <c r="AG84" s="144" t="n">
        <f aca="false">IFERROR('Price History'!L3+(INDEX('Price History'!L:L,MATCH(9.99E+307,'Price History'!$A:$A))-'Price History'!L3)*(ROW()-3)/(MATCH(9.99E+307,'Returns (Calc)'!$A:$A)-3),"")</f>
        <v>54.5043037974684</v>
      </c>
      <c r="AH84" s="144" t="n">
        <f aca="false">IFERROR('Price History'!M3+(INDEX('Price History'!M:M,MATCH(9.99E+307,'Price History'!$A:$A))-'Price History'!M3)*(ROW()-3)/(MATCH(9.99E+307,'Returns (Calc)'!$A:$A)-3),"")</f>
        <v>7.47094936708861</v>
      </c>
      <c r="AI84" s="144" t="n">
        <f aca="false">IFERROR('Price History'!N3+(INDEX('Price History'!N:N,MATCH(9.99E+307,'Price History'!$A:$A))-'Price History'!N3)*(ROW()-3)/(MATCH(9.99E+307,'Returns (Calc)'!$A:$A)-3),"")</f>
        <v>10.6240506329114</v>
      </c>
      <c r="AJ84" s="144" t="n">
        <f aca="false">IFERROR('Price History'!O3+(INDEX('Price History'!O:O,MATCH(9.99E+307,'Price History'!$A:$A))-'Price History'!O3)*(ROW()-3)/(MATCH(9.99E+307,'Returns (Calc)'!$A:$A)-3),"")</f>
        <v>28.0855063291139</v>
      </c>
      <c r="AK84" s="144" t="n">
        <f aca="false">IFERROR('Price History'!Q3+(INDEX('Price History'!Q:Q,MATCH(9.99E+307,'Price History'!$A:$A))-'Price History'!Q3)*(ROW()-3)/(MATCH(9.99E+307,'Returns (Calc)'!$A:$A)-3),"")</f>
        <v>114.832341772152</v>
      </c>
      <c r="AL84" s="144" t="n">
        <f aca="false">IFERROR('Price History'!R3+(INDEX('Price History'!R:R,MATCH(9.99E+307,'Price History'!$A:$A))-'Price History'!R3)*(ROW()-3)/(MATCH(9.99E+307,'Returns (Calc)'!$A:$A)-3),"")</f>
        <v>23.3046835443038</v>
      </c>
      <c r="AM84" s="144" t="n">
        <f aca="false">IFERROR('Price History'!S3+(INDEX('Price History'!S:S,MATCH(9.99E+307,'Price History'!$A:$A))-'Price History'!S3)*(ROW()-3)/(MATCH(9.99E+307,'Returns (Calc)'!$A:$A)-3),"")</f>
        <v>28.5289873417722</v>
      </c>
      <c r="AN84" s="144" t="n">
        <f aca="false">IFERROR('Price History'!T3+(INDEX('Price History'!T:T,MATCH(9.99E+307,'Price History'!$A:$A))-'Price History'!T3)*(ROW()-3)/(MATCH(9.99E+307,'Returns (Calc)'!$A:$A)-3),"")</f>
        <v>13.1143670886076</v>
      </c>
      <c r="AO84" s="145" t="n">
        <f aca="false">IFERROR('Price History'!V3+(INDEX('Price History'!V:V,MATCH(9.99E+307,'Price History'!$A:$A))-'Price History'!V3)*(ROW()-3)/(MATCH(9.99E+307,'Returns (Calc)'!$A:$A)-3),"")</f>
        <v>0</v>
      </c>
    </row>
    <row r="85" customFormat="false" ht="15" hidden="false" customHeight="true" outlineLevel="0" collapsed="false">
      <c r="A85" s="141" t="n">
        <f aca="false">IF('Price History'!A86="","",'Price History'!A86)</f>
        <v>45765</v>
      </c>
      <c r="B85" s="142" t="n">
        <f aca="false">IFERROR(IF(OR(NOT(ISNUMBER('Price History'!B86)),NOT(ISNUMBER('Price History'!B85)),'Price History'!B85=0),"",'Price History'!B86/'Price History'!B85-1),"")</f>
        <v>-0.0104122336652765</v>
      </c>
      <c r="C85" s="142" t="n">
        <f aca="false">IFERROR(IF(OR(NOT(ISNUMBER('Price History'!C86)),NOT(ISNUMBER('Price History'!C85)),'Price History'!C85=0),"",'Price History'!C86/'Price History'!C85-1),"")</f>
        <v>-0.0202284298885372</v>
      </c>
      <c r="D85" s="142" t="n">
        <f aca="false">IFERROR(IF(OR(NOT(ISNUMBER('Price History'!D86)),NOT(ISNUMBER('Price History'!D85)),'Price History'!D85=0),"",'Price History'!D86/'Price History'!D85-1),"")</f>
        <v>-0.0428478454995385</v>
      </c>
      <c r="E85" s="142" t="n">
        <f aca="false">IFERROR(IF(OR(NOT(ISNUMBER('Price History'!E86)),NOT(ISNUMBER('Price History'!E85)),'Price History'!E85=0),"",'Price History'!E86/'Price History'!E85-1),"")</f>
        <v>-0.0601579005893473</v>
      </c>
      <c r="F85" s="142" t="n">
        <f aca="false">IFERROR(IF(OR(NOT(ISNUMBER('Price History'!F86)),NOT(ISNUMBER('Price History'!F85)),'Price History'!F85=0),"",'Price History'!F86/'Price History'!F85-1),"")</f>
        <v>0.0186480186480187</v>
      </c>
      <c r="G85" s="142" t="n">
        <f aca="false">IFERROR(IF(OR(NOT(ISNUMBER('Price History'!G86)),NOT(ISNUMBER('Price History'!G85)),'Price History'!G85=0),"",'Price History'!G86/'Price History'!G85-1),"")</f>
        <v>-0.00603366147983475</v>
      </c>
      <c r="H85" s="142" t="n">
        <f aca="false">IFERROR(IF(OR(NOT(ISNUMBER('Price History'!H86)),NOT(ISNUMBER('Price History'!H85)),'Price History'!H85=0),"",'Price History'!H86/'Price History'!H85-1),"")</f>
        <v>0.0147108843537416</v>
      </c>
      <c r="I85" s="142" t="n">
        <f aca="false">IFERROR(IF(OR(NOT(ISNUMBER('Price History'!I86)),NOT(ISNUMBER('Price History'!I85)),'Price History'!I85=0),"",'Price History'!I86/'Price History'!I85-1),"")</f>
        <v>-0.0534960819770945</v>
      </c>
      <c r="J85" s="142" t="n">
        <f aca="false">IFERROR(IF(OR(NOT(ISNUMBER('Price History'!J86)),NOT(ISNUMBER('Price History'!J85)),'Price History'!J85=0),"",'Price History'!J86/'Price History'!J85-1),"")</f>
        <v>-0.0106674354908464</v>
      </c>
      <c r="K85" s="142" t="n">
        <f aca="false">IFERROR(IF(OR(NOT(ISNUMBER('Price History'!K86)),NOT(ISNUMBER('Price History'!K85)),'Price History'!K85=0),"",'Price History'!K86/'Price History'!K85-1),"")</f>
        <v>-0.0851333032083145</v>
      </c>
      <c r="L85" s="142" t="n">
        <f aca="false">IFERROR(IF(OR(NOT(ISNUMBER('Price History'!L86)),NOT(ISNUMBER('Price History'!L85)),'Price History'!L85=0),"",'Price History'!L86/'Price History'!L85-1),"")</f>
        <v>0.0610262008733624</v>
      </c>
      <c r="M85" s="142" t="n">
        <f aca="false">IFERROR(IF(OR(NOT(ISNUMBER('Price History'!M86)),NOT(ISNUMBER('Price History'!M85)),'Price History'!M85=0),"",'Price History'!M86/'Price History'!M85-1),"")</f>
        <v>0.0590626764539808</v>
      </c>
      <c r="N85" s="142" t="n">
        <f aca="false">IFERROR(IF(OR(NOT(ISNUMBER('Price History'!N86)),NOT(ISNUMBER('Price History'!N85)),'Price History'!N85=0),"",'Price History'!N86/'Price History'!N85-1),"")</f>
        <v>0.00458715596330284</v>
      </c>
      <c r="O85" s="142" t="n">
        <f aca="false">IFERROR(IF(OR(NOT(ISNUMBER('Price History'!O86)),NOT(ISNUMBER('Price History'!O85)),'Price History'!O85=0),"",'Price History'!O86/'Price History'!O85-1),"")</f>
        <v>-0.0173521126760564</v>
      </c>
      <c r="P85" s="142" t="n">
        <f aca="false">IFERROR(IF(OR(NOT(ISNUMBER('Price History'!P86)),NOT(ISNUMBER('Price History'!P85)),'Price History'!P85=0),"",'Price History'!P86/'Price History'!P85-1),"")</f>
        <v>-0.0340069957248348</v>
      </c>
      <c r="Q85" s="142" t="n">
        <f aca="false">IFERROR(IF(OR(NOT(ISNUMBER('Price History'!Q86)),NOT(ISNUMBER('Price History'!Q85)),'Price History'!Q85=0),"",'Price History'!Q86/'Price History'!Q85-1),"")</f>
        <v>-0.0113763917119194</v>
      </c>
      <c r="R85" s="142" t="n">
        <f aca="false">IFERROR(IF(OR(NOT(ISNUMBER('Price History'!R86)),NOT(ISNUMBER('Price History'!R85)),'Price History'!R85=0),"",'Price History'!R86/'Price History'!R85-1),"")</f>
        <v>-0.0213913690476191</v>
      </c>
      <c r="S85" s="142" t="n">
        <f aca="false">IFERROR(IF(OR(NOT(ISNUMBER('Price History'!S86)),NOT(ISNUMBER('Price History'!S85)),'Price History'!S85=0),"",'Price History'!S86/'Price History'!S85-1),"")</f>
        <v>-0.00719272265707649</v>
      </c>
      <c r="T85" s="142" t="n">
        <f aca="false">IFERROR(IF(OR(NOT(ISNUMBER('Price History'!T86)),NOT(ISNUMBER('Price History'!T85)),'Price History'!T85=0),"",'Price History'!T86/'Price History'!T85-1),"")</f>
        <v>-0.020683711577133</v>
      </c>
      <c r="U85" s="142" t="str">
        <f aca="false">IFERROR(IF(OR(NOT(ISNUMBER('Price History'!U86)),NOT(ISNUMBER('Price History'!U85)),'Price History'!U85=0),"",'Price History'!U86/'Price History'!U85-1),"")</f>
        <v/>
      </c>
      <c r="V85" s="143" t="n">
        <f aca="false">IFERROR(IF(OR(NOT(ISNUMBER('Price History'!V86)),NOT(ISNUMBER('Price History'!V85)),'Price History'!V85=0),"",'Price History'!V86/'Price History'!V85-1),"")</f>
        <v>-0.039161125918983</v>
      </c>
      <c r="W85" s="144" t="str">
        <f aca="false">IFERROR('Price History'!B3+(INDEX('Price History'!B:B,MATCH(9.99E+307,'Price History'!$A:$A))-'Price History'!B3)*(ROW()-3)/(MATCH(9.99E+307,'Returns (Calc)'!$A:$A)-3),"")</f>
        <v/>
      </c>
      <c r="X85" s="144" t="n">
        <f aca="false">IFERROR('Price History'!C3+(INDEX('Price History'!C:C,MATCH(9.99E+307,'Price History'!$A:$A))-'Price History'!C3)*(ROW()-3)/(MATCH(9.99E+307,'Returns (Calc)'!$A:$A)-3),"")</f>
        <v>22.213164556962</v>
      </c>
      <c r="Y85" s="144" t="n">
        <f aca="false">IFERROR('Price History'!D3+(INDEX('Price History'!D:D,MATCH(9.99E+307,'Price History'!$A:$A))-'Price History'!D3)*(ROW()-3)/(MATCH(9.99E+307,'Returns (Calc)'!$A:$A)-3),"")</f>
        <v>279.95417721519</v>
      </c>
      <c r="Z85" s="144" t="n">
        <f aca="false">IFERROR('Price History'!E3+(INDEX('Price History'!E:E,MATCH(9.99E+307,'Price History'!$A:$A))-'Price History'!E3)*(ROW()-3)/(MATCH(9.99E+307,'Returns (Calc)'!$A:$A)-3),"")</f>
        <v>39.4430379746835</v>
      </c>
      <c r="AA85" s="144" t="n">
        <f aca="false">IFERROR('Price History'!F3+(INDEX('Price History'!F:F,MATCH(9.99E+307,'Price History'!$A:$A))-'Price History'!F3)*(ROW()-3)/(MATCH(9.99E+307,'Returns (Calc)'!$A:$A)-3),"")</f>
        <v>36.2250632911392</v>
      </c>
      <c r="AB85" s="144" t="n">
        <f aca="false">IFERROR('Price History'!G3+(INDEX('Price History'!G:G,MATCH(9.99E+307,'Price History'!$A:$A))-'Price History'!G3)*(ROW()-3)/(MATCH(9.99E+307,'Returns (Calc)'!$A:$A)-3),"")</f>
        <v>19.8946835443038</v>
      </c>
      <c r="AC85" s="144" t="n">
        <f aca="false">IFERROR('Price History'!H3+(INDEX('Price History'!H:H,MATCH(9.99E+307,'Price History'!$A:$A))-'Price History'!H3)*(ROW()-3)/(MATCH(9.99E+307,'Returns (Calc)'!$A:$A)-3),"")</f>
        <v>48.3850632911392</v>
      </c>
      <c r="AD85" s="144" t="n">
        <f aca="false">IFERROR('Price History'!I3+(INDEX('Price History'!I:I,MATCH(9.99E+307,'Price History'!$A:$A))-'Price History'!I3)*(ROW()-3)/(MATCH(9.99E+307,'Returns (Calc)'!$A:$A)-3),"")</f>
        <v>21.3329113924051</v>
      </c>
      <c r="AE85" s="144" t="n">
        <f aca="false">IFERROR('Price History'!J3+(INDEX('Price History'!J:J,MATCH(9.99E+307,'Price History'!$A:$A))-'Price History'!J3)*(ROW()-3)/(MATCH(9.99E+307,'Returns (Calc)'!$A:$A)-3),"")</f>
        <v>33.2427848101266</v>
      </c>
      <c r="AF85" s="144" t="n">
        <f aca="false">IFERROR('Price History'!K3+(INDEX('Price History'!K:K,MATCH(9.99E+307,'Price History'!$A:$A))-'Price History'!K3)*(ROW()-3)/(MATCH(9.99E+307,'Returns (Calc)'!$A:$A)-3),"")</f>
        <v>21.0539240506329</v>
      </c>
      <c r="AG85" s="144" t="n">
        <f aca="false">IFERROR('Price History'!L3+(INDEX('Price History'!L:L,MATCH(9.99E+307,'Price History'!$A:$A))-'Price History'!L3)*(ROW()-3)/(MATCH(9.99E+307,'Returns (Calc)'!$A:$A)-3),"")</f>
        <v>53.7964556962025</v>
      </c>
      <c r="AH85" s="144" t="n">
        <f aca="false">IFERROR('Price History'!M3+(INDEX('Price History'!M:M,MATCH(9.99E+307,'Price History'!$A:$A))-'Price History'!M3)*(ROW()-3)/(MATCH(9.99E+307,'Returns (Calc)'!$A:$A)-3),"")</f>
        <v>7.37392405063291</v>
      </c>
      <c r="AI85" s="144" t="n">
        <f aca="false">IFERROR('Price History'!N3+(INDEX('Price History'!N:N,MATCH(9.99E+307,'Price History'!$A:$A))-'Price History'!N3)*(ROW()-3)/(MATCH(9.99E+307,'Returns (Calc)'!$A:$A)-3),"")</f>
        <v>10.4860759493671</v>
      </c>
      <c r="AJ85" s="144" t="n">
        <f aca="false">IFERROR('Price History'!O3+(INDEX('Price History'!O:O,MATCH(9.99E+307,'Price History'!$A:$A))-'Price History'!O3)*(ROW()-3)/(MATCH(9.99E+307,'Returns (Calc)'!$A:$A)-3),"")</f>
        <v>27.7207594936709</v>
      </c>
      <c r="AK85" s="144" t="n">
        <f aca="false">IFERROR('Price History'!Q3+(INDEX('Price History'!Q:Q,MATCH(9.99E+307,'Price History'!$A:$A))-'Price History'!Q3)*(ROW()-3)/(MATCH(9.99E+307,'Returns (Calc)'!$A:$A)-3),"")</f>
        <v>113.341012658228</v>
      </c>
      <c r="AL85" s="144" t="n">
        <f aca="false">IFERROR('Price History'!R3+(INDEX('Price History'!R:R,MATCH(9.99E+307,'Price History'!$A:$A))-'Price History'!R3)*(ROW()-3)/(MATCH(9.99E+307,'Returns (Calc)'!$A:$A)-3),"")</f>
        <v>23.0020253164557</v>
      </c>
      <c r="AM85" s="144" t="n">
        <f aca="false">IFERROR('Price History'!S3+(INDEX('Price History'!S:S,MATCH(9.99E+307,'Price History'!$A:$A))-'Price History'!S3)*(ROW()-3)/(MATCH(9.99E+307,'Returns (Calc)'!$A:$A)-3),"")</f>
        <v>28.1584810126582</v>
      </c>
      <c r="AN85" s="144" t="n">
        <f aca="false">IFERROR('Price History'!T3+(INDEX('Price History'!T:T,MATCH(9.99E+307,'Price History'!$A:$A))-'Price History'!T3)*(ROW()-3)/(MATCH(9.99E+307,'Returns (Calc)'!$A:$A)-3),"")</f>
        <v>12.9440506329114</v>
      </c>
      <c r="AO85" s="145" t="n">
        <f aca="false">IFERROR('Price History'!V3+(INDEX('Price History'!V:V,MATCH(9.99E+307,'Price History'!$A:$A))-'Price History'!V3)*(ROW()-3)/(MATCH(9.99E+307,'Returns (Calc)'!$A:$A)-3),"")</f>
        <v>0</v>
      </c>
    </row>
    <row r="86" customFormat="false" ht="15" hidden="false" customHeight="true" outlineLevel="0" collapsed="false">
      <c r="A86" s="141" t="n">
        <f aca="false">IF('Price History'!A87="","",'Price History'!A87)</f>
        <v>45772</v>
      </c>
      <c r="B86" s="142" t="n">
        <f aca="false">IFERROR(IF(OR(NOT(ISNUMBER('Price History'!B87)),NOT(ISNUMBER('Price History'!B86)),'Price History'!B86=0),"",'Price History'!B87/'Price History'!B86-1),"")</f>
        <v>0.0542431192660551</v>
      </c>
      <c r="C86" s="142" t="n">
        <f aca="false">IFERROR(IF(OR(NOT(ISNUMBER('Price History'!C87)),NOT(ISNUMBER('Price History'!C86)),'Price History'!C86=0),"",'Price History'!C87/'Price History'!C86-1),"")</f>
        <v>0.0942415730337078</v>
      </c>
      <c r="D86" s="142" t="n">
        <f aca="false">IFERROR(IF(OR(NOT(ISNUMBER('Price History'!D87)),NOT(ISNUMBER('Price History'!D86)),'Price History'!D86=0),"",'Price History'!D87/'Price History'!D86-1),"")</f>
        <v>0.0579696394686906</v>
      </c>
      <c r="E86" s="142" t="n">
        <f aca="false">IFERROR(IF(OR(NOT(ISNUMBER('Price History'!E87)),NOT(ISNUMBER('Price History'!E86)),'Price History'!E86=0),"",'Price History'!E87/'Price History'!E86-1),"")</f>
        <v>0.124704212020823</v>
      </c>
      <c r="F86" s="142" t="n">
        <f aca="false">IFERROR(IF(OR(NOT(ISNUMBER('Price History'!F87)),NOT(ISNUMBER('Price History'!F86)),'Price History'!F86=0),"",'Price History'!F87/'Price History'!F86-1),"")</f>
        <v>0.0280956013221461</v>
      </c>
      <c r="G86" s="142" t="n">
        <f aca="false">IFERROR(IF(OR(NOT(ISNUMBER('Price History'!G87)),NOT(ISNUMBER('Price History'!G86)),'Price History'!G86=0),"",'Price History'!G87/'Price History'!G86-1),"")</f>
        <v>0.131203407880724</v>
      </c>
      <c r="H86" s="142" t="n">
        <f aca="false">IFERROR(IF(OR(NOT(ISNUMBER('Price History'!H87)),NOT(ISNUMBER('Price History'!H86)),'Price History'!H86=0),"",'Price History'!H87/'Price History'!H86-1),"")</f>
        <v>0.0143300092181347</v>
      </c>
      <c r="I86" s="142" t="n">
        <f aca="false">IFERROR(IF(OR(NOT(ISNUMBER('Price History'!I87)),NOT(ISNUMBER('Price History'!I86)),'Price History'!I86=0),"",'Price History'!I87/'Price History'!I86-1),"")</f>
        <v>0.0948893488298042</v>
      </c>
      <c r="J86" s="142" t="n">
        <f aca="false">IFERROR(IF(OR(NOT(ISNUMBER('Price History'!J87)),NOT(ISNUMBER('Price History'!J86)),'Price History'!J86=0),"",'Price History'!J87/'Price History'!J86-1),"")</f>
        <v>0.159551216669095</v>
      </c>
      <c r="K86" s="142" t="n">
        <f aca="false">IFERROR(IF(OR(NOT(ISNUMBER('Price History'!K87)),NOT(ISNUMBER('Price History'!K86)),'Price History'!K86=0),"",'Price History'!K87/'Price History'!K86-1),"")</f>
        <v>0.0938456979156377</v>
      </c>
      <c r="L86" s="142" t="n">
        <f aca="false">IFERROR(IF(OR(NOT(ISNUMBER('Price History'!L87)),NOT(ISNUMBER('Price History'!L86)),'Price History'!L86=0),"",'Price History'!L87/'Price History'!L86-1),"")</f>
        <v>0.00133758617141666</v>
      </c>
      <c r="M86" s="142" t="n">
        <f aca="false">IFERROR(IF(OR(NOT(ISNUMBER('Price History'!M87)),NOT(ISNUMBER('Price History'!M86)),'Price History'!M86=0),"",'Price History'!M87/'Price History'!M86-1),"")</f>
        <v>0.202601834079761</v>
      </c>
      <c r="N86" s="142" t="n">
        <f aca="false">IFERROR(IF(OR(NOT(ISNUMBER('Price History'!N87)),NOT(ISNUMBER('Price History'!N86)),'Price History'!N86=0),"",'Price History'!N87/'Price History'!N86-1),"")</f>
        <v>0.00996264009962644</v>
      </c>
      <c r="O86" s="142" t="n">
        <f aca="false">IFERROR(IF(OR(NOT(ISNUMBER('Price History'!O87)),NOT(ISNUMBER('Price History'!O86)),'Price History'!O86=0),"",'Price History'!O87/'Price History'!O86-1),"")</f>
        <v>0.0652448113748425</v>
      </c>
      <c r="P86" s="142" t="n">
        <f aca="false">IFERROR(IF(OR(NOT(ISNUMBER('Price History'!P87)),NOT(ISNUMBER('Price History'!P86)),'Price History'!P86=0),"",'Price History'!P87/'Price History'!P86-1),"")</f>
        <v>0.0880439884664386</v>
      </c>
      <c r="Q86" s="142" t="n">
        <f aca="false">IFERROR(IF(OR(NOT(ISNUMBER('Price History'!Q87)),NOT(ISNUMBER('Price History'!Q86)),'Price History'!Q86=0),"",'Price History'!Q87/'Price History'!Q86-1),"")</f>
        <v>0.0168773781760156</v>
      </c>
      <c r="R86" s="142" t="n">
        <f aca="false">IFERROR(IF(OR(NOT(ISNUMBER('Price History'!R87)),NOT(ISNUMBER('Price History'!R86)),'Price History'!R86=0),"",'Price History'!R87/'Price History'!R86-1),"")</f>
        <v>0.00361148070708994</v>
      </c>
      <c r="S86" s="142" t="n">
        <f aca="false">IFERROR(IF(OR(NOT(ISNUMBER('Price History'!S87)),NOT(ISNUMBER('Price History'!S86)),'Price History'!S86=0),"",'Price History'!S87/'Price History'!S86-1),"")</f>
        <v>0.00383549968037511</v>
      </c>
      <c r="T86" s="142" t="n">
        <f aca="false">IFERROR(IF(OR(NOT(ISNUMBER('Price History'!T87)),NOT(ISNUMBER('Price History'!T86)),'Price History'!T86=0),"",'Price History'!T87/'Price History'!T86-1),"")</f>
        <v>0.0170137870343208</v>
      </c>
      <c r="U86" s="142" t="str">
        <f aca="false">IFERROR(IF(OR(NOT(ISNUMBER('Price History'!U87)),NOT(ISNUMBER('Price History'!U86)),'Price History'!U86=0),"",'Price History'!U87/'Price History'!U86-1),"")</f>
        <v/>
      </c>
      <c r="V86" s="143" t="n">
        <f aca="false">IFERROR(IF(OR(NOT(ISNUMBER('Price History'!V87)),NOT(ISNUMBER('Price History'!V86)),'Price History'!V86=0),"",'Price History'!V87/'Price History'!V86-1),"")</f>
        <v>0.0116449213510548</v>
      </c>
      <c r="W86" s="144" t="str">
        <f aca="false">IFERROR('Price History'!B3+(INDEX('Price History'!B:B,MATCH(9.99E+307,'Price History'!$A:$A))-'Price History'!B3)*(ROW()-3)/(MATCH(9.99E+307,'Returns (Calc)'!$A:$A)-3),"")</f>
        <v/>
      </c>
      <c r="X86" s="144" t="n">
        <f aca="false">IFERROR('Price History'!C3+(INDEX('Price History'!C:C,MATCH(9.99E+307,'Price History'!$A:$A))-'Price History'!C3)*(ROW()-3)/(MATCH(9.99E+307,'Returns (Calc)'!$A:$A)-3),"")</f>
        <v>21.9208860759494</v>
      </c>
      <c r="Y86" s="144" t="n">
        <f aca="false">IFERROR('Price History'!D3+(INDEX('Price History'!D:D,MATCH(9.99E+307,'Price History'!$A:$A))-'Price History'!D3)*(ROW()-3)/(MATCH(9.99E+307,'Returns (Calc)'!$A:$A)-3),"")</f>
        <v>276.270569620253</v>
      </c>
      <c r="Z86" s="144" t="n">
        <f aca="false">IFERROR('Price History'!E3+(INDEX('Price History'!E:E,MATCH(9.99E+307,'Price History'!$A:$A))-'Price History'!E3)*(ROW()-3)/(MATCH(9.99E+307,'Returns (Calc)'!$A:$A)-3),"")</f>
        <v>38.9240506329114</v>
      </c>
      <c r="AA86" s="144" t="n">
        <f aca="false">IFERROR('Price History'!F3+(INDEX('Price History'!F:F,MATCH(9.99E+307,'Price History'!$A:$A))-'Price History'!F3)*(ROW()-3)/(MATCH(9.99E+307,'Returns (Calc)'!$A:$A)-3),"")</f>
        <v>35.748417721519</v>
      </c>
      <c r="AB86" s="144" t="n">
        <f aca="false">IFERROR('Price History'!G3+(INDEX('Price History'!G:G,MATCH(9.99E+307,'Price History'!$A:$A))-'Price History'!G3)*(ROW()-3)/(MATCH(9.99E+307,'Returns (Calc)'!$A:$A)-3),"")</f>
        <v>19.6329113924051</v>
      </c>
      <c r="AC86" s="144" t="n">
        <f aca="false">IFERROR('Price History'!H3+(INDEX('Price History'!H:H,MATCH(9.99E+307,'Price History'!$A:$A))-'Price History'!H3)*(ROW()-3)/(MATCH(9.99E+307,'Returns (Calc)'!$A:$A)-3),"")</f>
        <v>47.748417721519</v>
      </c>
      <c r="AD86" s="144" t="n">
        <f aca="false">IFERROR('Price History'!I3+(INDEX('Price History'!I:I,MATCH(9.99E+307,'Price History'!$A:$A))-'Price History'!I3)*(ROW()-3)/(MATCH(9.99E+307,'Returns (Calc)'!$A:$A)-3),"")</f>
        <v>21.0522151898734</v>
      </c>
      <c r="AE86" s="144" t="n">
        <f aca="false">IFERROR('Price History'!J3+(INDEX('Price History'!J:J,MATCH(9.99E+307,'Price History'!$A:$A))-'Price History'!J3)*(ROW()-3)/(MATCH(9.99E+307,'Returns (Calc)'!$A:$A)-3),"")</f>
        <v>32.8053797468354</v>
      </c>
      <c r="AF86" s="144" t="n">
        <f aca="false">IFERROR('Price History'!K3+(INDEX('Price History'!K:K,MATCH(9.99E+307,'Price History'!$A:$A))-'Price History'!K3)*(ROW()-3)/(MATCH(9.99E+307,'Returns (Calc)'!$A:$A)-3),"")</f>
        <v>20.7768987341772</v>
      </c>
      <c r="AG86" s="144" t="n">
        <f aca="false">IFERROR('Price History'!L3+(INDEX('Price History'!L:L,MATCH(9.99E+307,'Price History'!$A:$A))-'Price History'!L3)*(ROW()-3)/(MATCH(9.99E+307,'Returns (Calc)'!$A:$A)-3),"")</f>
        <v>53.0886075949367</v>
      </c>
      <c r="AH86" s="144" t="n">
        <f aca="false">IFERROR('Price History'!M3+(INDEX('Price History'!M:M,MATCH(9.99E+307,'Price History'!$A:$A))-'Price History'!M3)*(ROW()-3)/(MATCH(9.99E+307,'Returns (Calc)'!$A:$A)-3),"")</f>
        <v>7.27689873417721</v>
      </c>
      <c r="AI86" s="144" t="n">
        <f aca="false">IFERROR('Price History'!N3+(INDEX('Price History'!N:N,MATCH(9.99E+307,'Price History'!$A:$A))-'Price History'!N3)*(ROW()-3)/(MATCH(9.99E+307,'Returns (Calc)'!$A:$A)-3),"")</f>
        <v>10.3481012658228</v>
      </c>
      <c r="AJ86" s="144" t="n">
        <f aca="false">IFERROR('Price History'!O3+(INDEX('Price History'!O:O,MATCH(9.99E+307,'Price History'!$A:$A))-'Price History'!O3)*(ROW()-3)/(MATCH(9.99E+307,'Returns (Calc)'!$A:$A)-3),"")</f>
        <v>27.3560126582279</v>
      </c>
      <c r="AK86" s="144" t="n">
        <f aca="false">IFERROR('Price History'!Q3+(INDEX('Price History'!Q:Q,MATCH(9.99E+307,'Price History'!$A:$A))-'Price History'!Q3)*(ROW()-3)/(MATCH(9.99E+307,'Returns (Calc)'!$A:$A)-3),"")</f>
        <v>111.849683544304</v>
      </c>
      <c r="AL86" s="144" t="n">
        <f aca="false">IFERROR('Price History'!R3+(INDEX('Price History'!R:R,MATCH(9.99E+307,'Price History'!$A:$A))-'Price History'!R3)*(ROW()-3)/(MATCH(9.99E+307,'Returns (Calc)'!$A:$A)-3),"")</f>
        <v>22.6993670886076</v>
      </c>
      <c r="AM86" s="144" t="n">
        <f aca="false">IFERROR('Price History'!S3+(INDEX('Price History'!S:S,MATCH(9.99E+307,'Price History'!$A:$A))-'Price History'!S3)*(ROW()-3)/(MATCH(9.99E+307,'Returns (Calc)'!$A:$A)-3),"")</f>
        <v>27.7879746835443</v>
      </c>
      <c r="AN86" s="144" t="n">
        <f aca="false">IFERROR('Price History'!T3+(INDEX('Price History'!T:T,MATCH(9.99E+307,'Price History'!$A:$A))-'Price History'!T3)*(ROW()-3)/(MATCH(9.99E+307,'Returns (Calc)'!$A:$A)-3),"")</f>
        <v>12.7737341772152</v>
      </c>
      <c r="AO86" s="145" t="n">
        <f aca="false">IFERROR('Price History'!V3+(INDEX('Price History'!V:V,MATCH(9.99E+307,'Price History'!$A:$A))-'Price History'!V3)*(ROW()-3)/(MATCH(9.99E+307,'Returns (Calc)'!$A:$A)-3),"")</f>
        <v>0</v>
      </c>
    </row>
    <row r="87" customFormat="false" ht="15" hidden="false" customHeight="true" outlineLevel="0" collapsed="false">
      <c r="A87" s="141" t="n">
        <f aca="false">IF('Price History'!A88="","",'Price History'!A88)</f>
        <v>45779</v>
      </c>
      <c r="B87" s="142" t="n">
        <f aca="false">IFERROR(IF(OR(NOT(ISNUMBER('Price History'!B88)),NOT(ISNUMBER('Price History'!B87)),'Price History'!B87=0),"",'Price History'!B88/'Price History'!B87-1),"")</f>
        <v>0.0357609050364407</v>
      </c>
      <c r="C87" s="142" t="n">
        <f aca="false">IFERROR(IF(OR(NOT(ISNUMBER('Price History'!C88)),NOT(ISNUMBER('Price History'!C87)),'Price History'!C87=0),"",'Price History'!C88/'Price History'!C87-1),"")</f>
        <v>0.168271082017713</v>
      </c>
      <c r="D87" s="142" t="n">
        <f aca="false">IFERROR(IF(OR(NOT(ISNUMBER('Price History'!D88)),NOT(ISNUMBER('Price History'!D87)),'Price History'!D87=0),"",'Price History'!D88/'Price History'!D87-1),"")</f>
        <v>0.0224494066301977</v>
      </c>
      <c r="E87" s="142" t="n">
        <f aca="false">IFERROR(IF(OR(NOT(ISNUMBER('Price History'!E88)),NOT(ISNUMBER('Price History'!E87)),'Price History'!E87=0),"",'Price History'!E88/'Price History'!E87-1),"")</f>
        <v>0.0589101620029455</v>
      </c>
      <c r="F87" s="142" t="n">
        <f aca="false">IFERROR(IF(OR(NOT(ISNUMBER('Price History'!F88)),NOT(ISNUMBER('Price History'!F87)),'Price History'!F87=0),"",'Price History'!F88/'Price History'!F87-1),"")</f>
        <v>0.0338815382712996</v>
      </c>
      <c r="G87" s="142" t="n">
        <f aca="false">IFERROR(IF(OR(NOT(ISNUMBER('Price History'!G88)),NOT(ISNUMBER('Price History'!G87)),'Price History'!G87=0),"",'Price History'!G88/'Price History'!G87-1),"")</f>
        <v>0.0369045377518358</v>
      </c>
      <c r="H87" s="142" t="n">
        <f aca="false">IFERROR(IF(OR(NOT(ISNUMBER('Price History'!H88)),NOT(ISNUMBER('Price History'!H87)),'Price History'!H87=0),"",'Price History'!H88/'Price History'!H87-1),"")</f>
        <v>0.016606080634501</v>
      </c>
      <c r="I87" s="142" t="n">
        <f aca="false">IFERROR(IF(OR(NOT(ISNUMBER('Price History'!I88)),NOT(ISNUMBER('Price History'!I87)),'Price History'!I87=0),"",'Price History'!I88/'Price History'!I87-1),"")</f>
        <v>0.00508942852988237</v>
      </c>
      <c r="J87" s="142" t="n">
        <f aca="false">IFERROR(IF(OR(NOT(ISNUMBER('Price History'!J88)),NOT(ISNUMBER('Price History'!J87)),'Price History'!J87=0),"",'Price History'!J88/'Price History'!J87-1),"")</f>
        <v>0.0116863533551144</v>
      </c>
      <c r="K87" s="142" t="n">
        <f aca="false">IFERROR(IF(OR(NOT(ISNUMBER('Price History'!K88)),NOT(ISNUMBER('Price History'!K87)),'Price History'!K87=0),"",'Price History'!K88/'Price History'!K87-1),"")</f>
        <v>0.0314277973448929</v>
      </c>
      <c r="L87" s="142" t="n">
        <f aca="false">IFERROR(IF(OR(NOT(ISNUMBER('Price History'!L88)),NOT(ISNUMBER('Price History'!L87)),'Price History'!L87=0),"",'Price History'!L88/'Price History'!L87-1),"")</f>
        <v>0.0310316481709825</v>
      </c>
      <c r="M87" s="142" t="n">
        <f aca="false">IFERROR(IF(OR(NOT(ISNUMBER('Price History'!M88)),NOT(ISNUMBER('Price History'!M87)),'Price History'!M87=0),"",'Price History'!M88/'Price History'!M87-1),"")</f>
        <v>0.101968434119525</v>
      </c>
      <c r="N87" s="142" t="n">
        <f aca="false">IFERROR(IF(OR(NOT(ISNUMBER('Price History'!N88)),NOT(ISNUMBER('Price History'!N87)),'Price History'!N87=0),"",'Price History'!N88/'Price History'!N87-1),"")</f>
        <v>0.0152075626798192</v>
      </c>
      <c r="O87" s="142" t="n">
        <f aca="false">IFERROR(IF(OR(NOT(ISNUMBER('Price History'!O88)),NOT(ISNUMBER('Price History'!O87)),'Price History'!O87=0),"",'Price History'!O88/'Price History'!O87-1),"")</f>
        <v>0.0402583423035521</v>
      </c>
      <c r="P87" s="142" t="n">
        <f aca="false">IFERROR(IF(OR(NOT(ISNUMBER('Price History'!P88)),NOT(ISNUMBER('Price History'!P87)),'Price History'!P87=0),"",'Price History'!P88/'Price History'!P87-1),"")</f>
        <v>0.0859115000616295</v>
      </c>
      <c r="Q87" s="142" t="n">
        <f aca="false">IFERROR(IF(OR(NOT(ISNUMBER('Price History'!Q88)),NOT(ISNUMBER('Price History'!Q87)),'Price History'!Q87=0),"",'Price History'!Q88/'Price History'!Q87-1),"")</f>
        <v>0.0370873317641378</v>
      </c>
      <c r="R87" s="142" t="n">
        <f aca="false">IFERROR(IF(OR(NOT(ISNUMBER('Price History'!R88)),NOT(ISNUMBER('Price History'!R87)),'Price History'!R87=0),"",'Price History'!R88/'Price History'!R87-1),"")</f>
        <v>-0.0187499999999999</v>
      </c>
      <c r="S87" s="142" t="n">
        <f aca="false">IFERROR(IF(OR(NOT(ISNUMBER('Price History'!S88)),NOT(ISNUMBER('Price History'!S87)),'Price History'!S87=0),"",'Price History'!S88/'Price History'!S87-1),"")</f>
        <v>-0.0215453194650818</v>
      </c>
      <c r="T87" s="142" t="n">
        <f aca="false">IFERROR(IF(OR(NOT(ISNUMBER('Price History'!T88)),NOT(ISNUMBER('Price History'!T87)),'Price History'!T87=0),"",'Price History'!T88/'Price History'!T87-1),"")</f>
        <v>-0.0164407268531872</v>
      </c>
      <c r="U87" s="142" t="str">
        <f aca="false">IFERROR(IF(OR(NOT(ISNUMBER('Price History'!U88)),NOT(ISNUMBER('Price History'!U87)),'Price History'!U87=0),"",'Price History'!U88/'Price History'!U87-1),"")</f>
        <v/>
      </c>
      <c r="V87" s="143" t="n">
        <f aca="false">IFERROR(IF(OR(NOT(ISNUMBER('Price History'!V88)),NOT(ISNUMBER('Price History'!V87)),'Price History'!V87=0),"",'Price History'!V88/'Price History'!V87-1),"")</f>
        <v>0.0214246971614536</v>
      </c>
      <c r="W87" s="144" t="str">
        <f aca="false">IFERROR('Price History'!B3+(INDEX('Price History'!B:B,MATCH(9.99E+307,'Price History'!$A:$A))-'Price History'!B3)*(ROW()-3)/(MATCH(9.99E+307,'Returns (Calc)'!$A:$A)-3),"")</f>
        <v/>
      </c>
      <c r="X87" s="144" t="n">
        <f aca="false">IFERROR('Price History'!C3+(INDEX('Price History'!C:C,MATCH(9.99E+307,'Price History'!$A:$A))-'Price History'!C3)*(ROW()-3)/(MATCH(9.99E+307,'Returns (Calc)'!$A:$A)-3),"")</f>
        <v>21.6286075949367</v>
      </c>
      <c r="Y87" s="144" t="n">
        <f aca="false">IFERROR('Price History'!D3+(INDEX('Price History'!D:D,MATCH(9.99E+307,'Price History'!$A:$A))-'Price History'!D3)*(ROW()-3)/(MATCH(9.99E+307,'Returns (Calc)'!$A:$A)-3),"")</f>
        <v>272.586962025317</v>
      </c>
      <c r="Z87" s="144" t="n">
        <f aca="false">IFERROR('Price History'!E3+(INDEX('Price History'!E:E,MATCH(9.99E+307,'Price History'!$A:$A))-'Price History'!E3)*(ROW()-3)/(MATCH(9.99E+307,'Returns (Calc)'!$A:$A)-3),"")</f>
        <v>38.4050632911392</v>
      </c>
      <c r="AA87" s="144" t="n">
        <f aca="false">IFERROR('Price History'!F3+(INDEX('Price History'!F:F,MATCH(9.99E+307,'Price History'!$A:$A))-'Price History'!F3)*(ROW()-3)/(MATCH(9.99E+307,'Returns (Calc)'!$A:$A)-3),"")</f>
        <v>35.2717721518987</v>
      </c>
      <c r="AB87" s="144" t="n">
        <f aca="false">IFERROR('Price History'!G3+(INDEX('Price History'!G:G,MATCH(9.99E+307,'Price History'!$A:$A))-'Price History'!G3)*(ROW()-3)/(MATCH(9.99E+307,'Returns (Calc)'!$A:$A)-3),"")</f>
        <v>19.3711392405063</v>
      </c>
      <c r="AC87" s="144" t="n">
        <f aca="false">IFERROR('Price History'!H3+(INDEX('Price History'!H:H,MATCH(9.99E+307,'Price History'!$A:$A))-'Price History'!H3)*(ROW()-3)/(MATCH(9.99E+307,'Returns (Calc)'!$A:$A)-3),"")</f>
        <v>47.1117721518987</v>
      </c>
      <c r="AD87" s="144" t="n">
        <f aca="false">IFERROR('Price History'!I3+(INDEX('Price History'!I:I,MATCH(9.99E+307,'Price History'!$A:$A))-'Price History'!I3)*(ROW()-3)/(MATCH(9.99E+307,'Returns (Calc)'!$A:$A)-3),"")</f>
        <v>20.7715189873418</v>
      </c>
      <c r="AE87" s="144" t="n">
        <f aca="false">IFERROR('Price History'!J3+(INDEX('Price History'!J:J,MATCH(9.99E+307,'Price History'!$A:$A))-'Price History'!J3)*(ROW()-3)/(MATCH(9.99E+307,'Returns (Calc)'!$A:$A)-3),"")</f>
        <v>32.3679746835443</v>
      </c>
      <c r="AF87" s="144" t="n">
        <f aca="false">IFERROR('Price History'!K3+(INDEX('Price History'!K:K,MATCH(9.99E+307,'Price History'!$A:$A))-'Price History'!K3)*(ROW()-3)/(MATCH(9.99E+307,'Returns (Calc)'!$A:$A)-3),"")</f>
        <v>20.4998734177215</v>
      </c>
      <c r="AG87" s="144" t="n">
        <f aca="false">IFERROR('Price History'!L3+(INDEX('Price History'!L:L,MATCH(9.99E+307,'Price History'!$A:$A))-'Price History'!L3)*(ROW()-3)/(MATCH(9.99E+307,'Returns (Calc)'!$A:$A)-3),"")</f>
        <v>52.3807594936709</v>
      </c>
      <c r="AH87" s="144" t="n">
        <f aca="false">IFERROR('Price History'!M3+(INDEX('Price History'!M:M,MATCH(9.99E+307,'Price History'!$A:$A))-'Price History'!M3)*(ROW()-3)/(MATCH(9.99E+307,'Returns (Calc)'!$A:$A)-3),"")</f>
        <v>7.17987341772152</v>
      </c>
      <c r="AI87" s="144" t="n">
        <f aca="false">IFERROR('Price History'!N3+(INDEX('Price History'!N:N,MATCH(9.99E+307,'Price History'!$A:$A))-'Price History'!N3)*(ROW()-3)/(MATCH(9.99E+307,'Returns (Calc)'!$A:$A)-3),"")</f>
        <v>10.2101265822785</v>
      </c>
      <c r="AJ87" s="144" t="n">
        <f aca="false">IFERROR('Price History'!O3+(INDEX('Price History'!O:O,MATCH(9.99E+307,'Price History'!$A:$A))-'Price History'!O3)*(ROW()-3)/(MATCH(9.99E+307,'Returns (Calc)'!$A:$A)-3),"")</f>
        <v>26.9912658227848</v>
      </c>
      <c r="AK87" s="144" t="n">
        <f aca="false">IFERROR('Price History'!Q3+(INDEX('Price History'!Q:Q,MATCH(9.99E+307,'Price History'!$A:$A))-'Price History'!Q3)*(ROW()-3)/(MATCH(9.99E+307,'Returns (Calc)'!$A:$A)-3),"")</f>
        <v>110.35835443038</v>
      </c>
      <c r="AL87" s="144" t="n">
        <f aca="false">IFERROR('Price History'!R3+(INDEX('Price History'!R:R,MATCH(9.99E+307,'Price History'!$A:$A))-'Price History'!R3)*(ROW()-3)/(MATCH(9.99E+307,'Returns (Calc)'!$A:$A)-3),"")</f>
        <v>22.3967088607595</v>
      </c>
      <c r="AM87" s="144" t="n">
        <f aca="false">IFERROR('Price History'!S3+(INDEX('Price History'!S:S,MATCH(9.99E+307,'Price History'!$A:$A))-'Price History'!S3)*(ROW()-3)/(MATCH(9.99E+307,'Returns (Calc)'!$A:$A)-3),"")</f>
        <v>27.4174683544304</v>
      </c>
      <c r="AN87" s="144" t="n">
        <f aca="false">IFERROR('Price History'!T3+(INDEX('Price History'!T:T,MATCH(9.99E+307,'Price History'!$A:$A))-'Price History'!T3)*(ROW()-3)/(MATCH(9.99E+307,'Returns (Calc)'!$A:$A)-3),"")</f>
        <v>12.603417721519</v>
      </c>
      <c r="AO87" s="145" t="n">
        <f aca="false">IFERROR('Price History'!V3+(INDEX('Price History'!V:V,MATCH(9.99E+307,'Price History'!$A:$A))-'Price History'!V3)*(ROW()-3)/(MATCH(9.99E+307,'Returns (Calc)'!$A:$A)-3),"")</f>
        <v>0</v>
      </c>
    </row>
    <row r="88" customFormat="false" ht="15" hidden="false" customHeight="true" outlineLevel="0" collapsed="false">
      <c r="A88" s="141" t="n">
        <f aca="false">IF('Price History'!A89="","",'Price History'!A89)</f>
        <v>45786</v>
      </c>
      <c r="B88" s="142" t="n">
        <f aca="false">IFERROR(IF(OR(NOT(ISNUMBER('Price History'!B89)),NOT(ISNUMBER('Price History'!B88)),'Price History'!B88=0),"",'Price History'!B89/'Price History'!B88-1),"")</f>
        <v>0.00632761834746765</v>
      </c>
      <c r="C88" s="142" t="n">
        <f aca="false">IFERROR(IF(OR(NOT(ISNUMBER('Price History'!C89)),NOT(ISNUMBER('Price History'!C88)),'Price History'!C88=0),"",'Price History'!C89/'Price History'!C88-1),"")</f>
        <v>-0.049439683586025</v>
      </c>
      <c r="D88" s="142" t="n">
        <f aca="false">IFERROR(IF(OR(NOT(ISNUMBER('Price History'!D89)),NOT(ISNUMBER('Price History'!D88)),'Price History'!D88=0),"",'Price History'!D89/'Price History'!D88-1),"")</f>
        <v>0.0229943866214477</v>
      </c>
      <c r="E88" s="142" t="n">
        <f aca="false">IFERROR(IF(OR(NOT(ISNUMBER('Price History'!E89)),NOT(ISNUMBER('Price History'!E88)),'Price History'!E88=0),"",'Price History'!E89/'Price History'!E88-1),"")</f>
        <v>0.0224021458374728</v>
      </c>
      <c r="F88" s="142" t="n">
        <f aca="false">IFERROR(IF(OR(NOT(ISNUMBER('Price History'!F89)),NOT(ISNUMBER('Price History'!F88)),'Price History'!F88=0),"",'Price History'!F89/'Price History'!F88-1),"")</f>
        <v>0.011601483076187</v>
      </c>
      <c r="G88" s="142" t="n">
        <f aca="false">IFERROR(IF(OR(NOT(ISNUMBER('Price History'!G89)),NOT(ISNUMBER('Price History'!G88)),'Price History'!G88=0),"",'Price History'!G89/'Price History'!G88-1),"")</f>
        <v>-0.0680951516252043</v>
      </c>
      <c r="H88" s="142" t="n">
        <f aca="false">IFERROR(IF(OR(NOT(ISNUMBER('Price History'!H89)),NOT(ISNUMBER('Price History'!H88)),'Price History'!H88=0),"",'Price History'!H89/'Price History'!H88-1),"")</f>
        <v>-0.00121901665989432</v>
      </c>
      <c r="I88" s="142" t="n">
        <f aca="false">IFERROR(IF(OR(NOT(ISNUMBER('Price History'!I89)),NOT(ISNUMBER('Price History'!I88)),'Price History'!I88=0),"",'Price History'!I89/'Price History'!I88-1),"")</f>
        <v>0.00448495370370372</v>
      </c>
      <c r="J88" s="142" t="n">
        <f aca="false">IFERROR(IF(OR(NOT(ISNUMBER('Price History'!J89)),NOT(ISNUMBER('Price History'!J88)),'Price History'!J88=0),"",'Price History'!J89/'Price History'!J88-1),"")</f>
        <v>0.0637187926965595</v>
      </c>
      <c r="K88" s="142" t="n">
        <f aca="false">IFERROR(IF(OR(NOT(ISNUMBER('Price History'!K89)),NOT(ISNUMBER('Price History'!K88)),'Price History'!K88=0),"",'Price History'!K89/'Price History'!K88-1),"")</f>
        <v>0.0188249715436477</v>
      </c>
      <c r="L88" s="142" t="n">
        <f aca="false">IFERROR(IF(OR(NOT(ISNUMBER('Price History'!L89)),NOT(ISNUMBER('Price History'!L88)),'Price History'!L88=0),"",'Price History'!L89/'Price History'!L88-1),"")</f>
        <v>0.0142515447478573</v>
      </c>
      <c r="M88" s="142" t="n">
        <f aca="false">IFERROR(IF(OR(NOT(ISNUMBER('Price History'!M89)),NOT(ISNUMBER('Price History'!M88)),'Price History'!M88=0),"",'Price History'!M89/'Price History'!M88-1),"")</f>
        <v>-0.0561635017701964</v>
      </c>
      <c r="N88" s="142" t="n">
        <f aca="false">IFERROR(IF(OR(NOT(ISNUMBER('Price History'!N89)),NOT(ISNUMBER('Price History'!N88)),'Price History'!N88=0),"",'Price History'!N89/'Price History'!N88-1),"")</f>
        <v>-0.0129554655870445</v>
      </c>
      <c r="O88" s="142" t="n">
        <f aca="false">IFERROR(IF(OR(NOT(ISNUMBER('Price History'!O89)),NOT(ISNUMBER('Price History'!O88)),'Price History'!O88=0),"",'Price History'!O89/'Price History'!O88-1),"")</f>
        <v>0.00693294701986758</v>
      </c>
      <c r="P88" s="142" t="n">
        <f aca="false">IFERROR(IF(OR(NOT(ISNUMBER('Price History'!P89)),NOT(ISNUMBER('Price History'!P88)),'Price History'!P88=0),"",'Price History'!P89/'Price History'!P88-1),"")</f>
        <v>-0.0153802497162314</v>
      </c>
      <c r="Q88" s="142" t="n">
        <f aca="false">IFERROR(IF(OR(NOT(ISNUMBER('Price History'!Q89)),NOT(ISNUMBER('Price History'!Q88)),'Price History'!Q88=0),"",'Price History'!Q89/'Price History'!Q88-1),"")</f>
        <v>0.0141996682864376</v>
      </c>
      <c r="R88" s="142" t="n">
        <f aca="false">IFERROR(IF(OR(NOT(ISNUMBER('Price History'!R89)),NOT(ISNUMBER('Price History'!R88)),'Price History'!R88=0),"",'Price History'!R89/'Price History'!R88-1),"")</f>
        <v>-0.100559737502413</v>
      </c>
      <c r="S88" s="142" t="n">
        <f aca="false">IFERROR(IF(OR(NOT(ISNUMBER('Price History'!S89)),NOT(ISNUMBER('Price History'!S88)),'Price History'!S88=0),"",'Price History'!S89/'Price History'!S88-1),"")</f>
        <v>-0.107061503416857</v>
      </c>
      <c r="T88" s="142" t="n">
        <f aca="false">IFERROR(IF(OR(NOT(ISNUMBER('Price History'!T89)),NOT(ISNUMBER('Price History'!T88)),'Price History'!T88=0),"",'Price History'!T89/'Price History'!T88-1),"")</f>
        <v>-0.092375366568915</v>
      </c>
      <c r="U88" s="142" t="str">
        <f aca="false">IFERROR(IF(OR(NOT(ISNUMBER('Price History'!U89)),NOT(ISNUMBER('Price History'!U88)),'Price History'!U88=0),"",'Price History'!U89/'Price History'!U88-1),"")</f>
        <v/>
      </c>
      <c r="V88" s="143" t="n">
        <f aca="false">IFERROR(IF(OR(NOT(ISNUMBER('Price History'!V89)),NOT(ISNUMBER('Price History'!V88)),'Price History'!V88=0),"",'Price History'!V89/'Price History'!V88-1),"")</f>
        <v>-0.0866743369619731</v>
      </c>
      <c r="W88" s="144" t="str">
        <f aca="false">IFERROR('Price History'!B3+(INDEX('Price History'!B:B,MATCH(9.99E+307,'Price History'!$A:$A))-'Price History'!B3)*(ROW()-3)/(MATCH(9.99E+307,'Returns (Calc)'!$A:$A)-3),"")</f>
        <v/>
      </c>
      <c r="X88" s="144" t="n">
        <f aca="false">IFERROR('Price History'!C3+(INDEX('Price History'!C:C,MATCH(9.99E+307,'Price History'!$A:$A))-'Price History'!C3)*(ROW()-3)/(MATCH(9.99E+307,'Returns (Calc)'!$A:$A)-3),"")</f>
        <v>21.336329113924</v>
      </c>
      <c r="Y88" s="144" t="n">
        <f aca="false">IFERROR('Price History'!D3+(INDEX('Price History'!D:D,MATCH(9.99E+307,'Price History'!$A:$A))-'Price History'!D3)*(ROW()-3)/(MATCH(9.99E+307,'Returns (Calc)'!$A:$A)-3),"")</f>
        <v>268.90335443038</v>
      </c>
      <c r="Z88" s="144" t="n">
        <f aca="false">IFERROR('Price History'!E3+(INDEX('Price History'!E:E,MATCH(9.99E+307,'Price History'!$A:$A))-'Price History'!E3)*(ROW()-3)/(MATCH(9.99E+307,'Returns (Calc)'!$A:$A)-3),"")</f>
        <v>37.8860759493671</v>
      </c>
      <c r="AA88" s="144" t="n">
        <f aca="false">IFERROR('Price History'!F3+(INDEX('Price History'!F:F,MATCH(9.99E+307,'Price History'!$A:$A))-'Price History'!F3)*(ROW()-3)/(MATCH(9.99E+307,'Returns (Calc)'!$A:$A)-3),"")</f>
        <v>34.7951265822785</v>
      </c>
      <c r="AB88" s="144" t="n">
        <f aca="false">IFERROR('Price History'!G3+(INDEX('Price History'!G:G,MATCH(9.99E+307,'Price History'!$A:$A))-'Price History'!G3)*(ROW()-3)/(MATCH(9.99E+307,'Returns (Calc)'!$A:$A)-3),"")</f>
        <v>19.1093670886076</v>
      </c>
      <c r="AC88" s="144" t="n">
        <f aca="false">IFERROR('Price History'!H3+(INDEX('Price History'!H:H,MATCH(9.99E+307,'Price History'!$A:$A))-'Price History'!H3)*(ROW()-3)/(MATCH(9.99E+307,'Returns (Calc)'!$A:$A)-3),"")</f>
        <v>46.4751265822785</v>
      </c>
      <c r="AD88" s="144" t="n">
        <f aca="false">IFERROR('Price History'!I3+(INDEX('Price History'!I:I,MATCH(9.99E+307,'Price History'!$A:$A))-'Price History'!I3)*(ROW()-3)/(MATCH(9.99E+307,'Returns (Calc)'!$A:$A)-3),"")</f>
        <v>20.4908227848101</v>
      </c>
      <c r="AE88" s="144" t="n">
        <f aca="false">IFERROR('Price History'!J3+(INDEX('Price History'!J:J,MATCH(9.99E+307,'Price History'!$A:$A))-'Price History'!J3)*(ROW()-3)/(MATCH(9.99E+307,'Returns (Calc)'!$A:$A)-3),"")</f>
        <v>31.9305696202532</v>
      </c>
      <c r="AF88" s="144" t="n">
        <f aca="false">IFERROR('Price History'!K3+(INDEX('Price History'!K:K,MATCH(9.99E+307,'Price History'!$A:$A))-'Price History'!K3)*(ROW()-3)/(MATCH(9.99E+307,'Returns (Calc)'!$A:$A)-3),"")</f>
        <v>20.2228481012658</v>
      </c>
      <c r="AG88" s="144" t="n">
        <f aca="false">IFERROR('Price History'!L3+(INDEX('Price History'!L:L,MATCH(9.99E+307,'Price History'!$A:$A))-'Price History'!L3)*(ROW()-3)/(MATCH(9.99E+307,'Returns (Calc)'!$A:$A)-3),"")</f>
        <v>51.6729113924051</v>
      </c>
      <c r="AH88" s="144" t="n">
        <f aca="false">IFERROR('Price History'!M3+(INDEX('Price History'!M:M,MATCH(9.99E+307,'Price History'!$A:$A))-'Price History'!M3)*(ROW()-3)/(MATCH(9.99E+307,'Returns (Calc)'!$A:$A)-3),"")</f>
        <v>7.08284810126582</v>
      </c>
      <c r="AI88" s="144" t="n">
        <f aca="false">IFERROR('Price History'!N3+(INDEX('Price History'!N:N,MATCH(9.99E+307,'Price History'!$A:$A))-'Price History'!N3)*(ROW()-3)/(MATCH(9.99E+307,'Returns (Calc)'!$A:$A)-3),"")</f>
        <v>10.0721518987342</v>
      </c>
      <c r="AJ88" s="144" t="n">
        <f aca="false">IFERROR('Price History'!O3+(INDEX('Price History'!O:O,MATCH(9.99E+307,'Price History'!$A:$A))-'Price History'!O3)*(ROW()-3)/(MATCH(9.99E+307,'Returns (Calc)'!$A:$A)-3),"")</f>
        <v>26.6265189873418</v>
      </c>
      <c r="AK88" s="144" t="n">
        <f aca="false">IFERROR('Price History'!Q3+(INDEX('Price History'!Q:Q,MATCH(9.99E+307,'Price History'!$A:$A))-'Price History'!Q3)*(ROW()-3)/(MATCH(9.99E+307,'Returns (Calc)'!$A:$A)-3),"")</f>
        <v>108.867025316456</v>
      </c>
      <c r="AL88" s="144" t="n">
        <f aca="false">IFERROR('Price History'!R3+(INDEX('Price History'!R:R,MATCH(9.99E+307,'Price History'!$A:$A))-'Price History'!R3)*(ROW()-3)/(MATCH(9.99E+307,'Returns (Calc)'!$A:$A)-3),"")</f>
        <v>22.0940506329114</v>
      </c>
      <c r="AM88" s="144" t="n">
        <f aca="false">IFERROR('Price History'!S3+(INDEX('Price History'!S:S,MATCH(9.99E+307,'Price History'!$A:$A))-'Price History'!S3)*(ROW()-3)/(MATCH(9.99E+307,'Returns (Calc)'!$A:$A)-3),"")</f>
        <v>27.0469620253165</v>
      </c>
      <c r="AN88" s="144" t="n">
        <f aca="false">IFERROR('Price History'!T3+(INDEX('Price History'!T:T,MATCH(9.99E+307,'Price History'!$A:$A))-'Price History'!T3)*(ROW()-3)/(MATCH(9.99E+307,'Returns (Calc)'!$A:$A)-3),"")</f>
        <v>12.4331012658228</v>
      </c>
      <c r="AO88" s="145" t="n">
        <f aca="false">IFERROR('Price History'!V3+(INDEX('Price History'!V:V,MATCH(9.99E+307,'Price History'!$A:$A))-'Price History'!V3)*(ROW()-3)/(MATCH(9.99E+307,'Returns (Calc)'!$A:$A)-3),"")</f>
        <v>0</v>
      </c>
    </row>
    <row r="89" customFormat="false" ht="15" hidden="false" customHeight="true" outlineLevel="0" collapsed="false">
      <c r="A89" s="141" t="n">
        <f aca="false">IF('Price History'!A90="","",'Price History'!A90)</f>
        <v>45793</v>
      </c>
      <c r="B89" s="142" t="n">
        <f aca="false">IFERROR(IF(OR(NOT(ISNUMBER('Price History'!B90)),NOT(ISNUMBER('Price History'!B89)),'Price History'!B89=0),"",'Price History'!B90/'Price History'!B89-1),"")</f>
        <v>0.088316635357963</v>
      </c>
      <c r="C89" s="142" t="n">
        <f aca="false">IFERROR(IF(OR(NOT(ISNUMBER('Price History'!C90)),NOT(ISNUMBER('Price History'!C89)),'Price History'!C89=0),"",'Price History'!C90/'Price History'!C89-1),"")</f>
        <v>0.114424410540916</v>
      </c>
      <c r="D89" s="142" t="n">
        <f aca="false">IFERROR(IF(OR(NOT(ISNUMBER('Price History'!D90)),NOT(ISNUMBER('Price History'!D89)),'Price History'!D89=0),"",'Price History'!D90/'Price History'!D89-1),"")</f>
        <v>0.0593161000843088</v>
      </c>
      <c r="E89" s="142" t="n">
        <f aca="false">IFERROR(IF(OR(NOT(ISNUMBER('Price History'!E90)),NOT(ISNUMBER('Price History'!E89)),'Price History'!E89=0),"",'Price History'!E90/'Price History'!E89-1),"")</f>
        <v>0.0979934897731136</v>
      </c>
      <c r="F89" s="142" t="n">
        <f aca="false">IFERROR(IF(OR(NOT(ISNUMBER('Price History'!F90)),NOT(ISNUMBER('Price History'!F89)),'Price History'!F89=0),"",'Price History'!F90/'Price History'!F89-1),"")</f>
        <v>0.0489477417829274</v>
      </c>
      <c r="G89" s="142" t="n">
        <f aca="false">IFERROR(IF(OR(NOT(ISNUMBER('Price History'!G90)),NOT(ISNUMBER('Price History'!G89)),'Price History'!G89=0),"",'Price History'!G90/'Price History'!G89-1),"")</f>
        <v>0.0699532346063911</v>
      </c>
      <c r="H89" s="142" t="n">
        <f aca="false">IFERROR(IF(OR(NOT(ISNUMBER('Price History'!H90)),NOT(ISNUMBER('Price History'!H89)),'Price History'!H89=0),"",'Price History'!H90/'Price History'!H89-1),"")</f>
        <v>0.0320585842148087</v>
      </c>
      <c r="I89" s="142" t="n">
        <f aca="false">IFERROR(IF(OR(NOT(ISNUMBER('Price History'!I90)),NOT(ISNUMBER('Price History'!I89)),'Price History'!I89=0),"",'Price History'!I90/'Price History'!I89-1),"")</f>
        <v>0.128186662825868</v>
      </c>
      <c r="J89" s="142" t="n">
        <f aca="false">IFERROR(IF(OR(NOT(ISNUMBER('Price History'!J90)),NOT(ISNUMBER('Price History'!J89)),'Price History'!J89=0),"",'Price History'!J90/'Price History'!J89-1),"")</f>
        <v>0.14140588510042</v>
      </c>
      <c r="K89" s="142" t="n">
        <f aca="false">IFERROR(IF(OR(NOT(ISNUMBER('Price History'!K90)),NOT(ISNUMBER('Price History'!K89)),'Price History'!K89=0),"",'Price History'!K90/'Price History'!K89-1),"")</f>
        <v>0.160708147129598</v>
      </c>
      <c r="L89" s="142" t="n">
        <f aca="false">IFERROR(IF(OR(NOT(ISNUMBER('Price History'!L90)),NOT(ISNUMBER('Price History'!L89)),'Price History'!L89=0),"",'Price History'!L90/'Price History'!L89-1),"")</f>
        <v>0.033998231305886</v>
      </c>
      <c r="M89" s="142" t="n">
        <f aca="false">IFERROR(IF(OR(NOT(ISNUMBER('Price History'!M90)),NOT(ISNUMBER('Price History'!M89)),'Price History'!M89=0),"",'Price History'!M90/'Price History'!M89-1),"")</f>
        <v>0.104177323103154</v>
      </c>
      <c r="N89" s="142" t="n">
        <f aca="false">IFERROR(IF(OR(NOT(ISNUMBER('Price History'!N90)),NOT(ISNUMBER('Price History'!N89)),'Price History'!N89=0),"",'Price History'!N90/'Price History'!N89-1),"")</f>
        <v>0.0340442986054144</v>
      </c>
      <c r="O89" s="142" t="n">
        <f aca="false">IFERROR(IF(OR(NOT(ISNUMBER('Price History'!O90)),NOT(ISNUMBER('Price History'!O89)),'Price History'!O89=0),"",'Price History'!O90/'Price History'!O89-1),"")</f>
        <v>0.0682355359161444</v>
      </c>
      <c r="P89" s="142" t="n">
        <f aca="false">IFERROR(IF(OR(NOT(ISNUMBER('Price History'!P90)),NOT(ISNUMBER('Price History'!P89)),'Price History'!P89=0),"",'Price History'!P90/'Price History'!P89-1),"")</f>
        <v>0.100236324860222</v>
      </c>
      <c r="Q89" s="142" t="n">
        <f aca="false">IFERROR(IF(OR(NOT(ISNUMBER('Price History'!Q90)),NOT(ISNUMBER('Price History'!Q89)),'Price History'!Q89=0),"",'Price History'!Q90/'Price History'!Q89-1),"")</f>
        <v>0.0374121359919666</v>
      </c>
      <c r="R89" s="142" t="n">
        <f aca="false">IFERROR(IF(OR(NOT(ISNUMBER('Price History'!R90)),NOT(ISNUMBER('Price History'!R89)),'Price History'!R89=0),"",'Price History'!R90/'Price History'!R89-1),"")</f>
        <v>0.0630901287553647</v>
      </c>
      <c r="S89" s="142" t="n">
        <f aca="false">IFERROR(IF(OR(NOT(ISNUMBER('Price History'!S90)),NOT(ISNUMBER('Price History'!S89)),'Price History'!S89=0),"",'Price History'!S90/'Price History'!S89-1),"")</f>
        <v>0.0911078717201166</v>
      </c>
      <c r="T89" s="142" t="n">
        <f aca="false">IFERROR(IF(OR(NOT(ISNUMBER('Price History'!T90)),NOT(ISNUMBER('Price History'!T89)),'Price History'!T89=0),"",'Price History'!T90/'Price History'!T89-1),"")</f>
        <v>0.0197092084006463</v>
      </c>
      <c r="U89" s="142" t="str">
        <f aca="false">IFERROR(IF(OR(NOT(ISNUMBER('Price History'!U90)),NOT(ISNUMBER('Price History'!U89)),'Price History'!U89=0),"",'Price History'!U90/'Price History'!U89-1),"")</f>
        <v/>
      </c>
      <c r="V89" s="143" t="n">
        <f aca="false">IFERROR(IF(OR(NOT(ISNUMBER('Price History'!V90)),NOT(ISNUMBER('Price History'!V89)),'Price History'!V89=0),"",'Price History'!V90/'Price History'!V89-1),"")</f>
        <v>0.0647307729577829</v>
      </c>
      <c r="W89" s="144" t="str">
        <f aca="false">IFERROR('Price History'!B3+(INDEX('Price History'!B:B,MATCH(9.99E+307,'Price History'!$A:$A))-'Price History'!B3)*(ROW()-3)/(MATCH(9.99E+307,'Returns (Calc)'!$A:$A)-3),"")</f>
        <v/>
      </c>
      <c r="X89" s="144" t="n">
        <f aca="false">IFERROR('Price History'!C3+(INDEX('Price History'!C:C,MATCH(9.99E+307,'Price History'!$A:$A))-'Price History'!C3)*(ROW()-3)/(MATCH(9.99E+307,'Returns (Calc)'!$A:$A)-3),"")</f>
        <v>21.0440506329114</v>
      </c>
      <c r="Y89" s="144" t="n">
        <f aca="false">IFERROR('Price History'!D3+(INDEX('Price History'!D:D,MATCH(9.99E+307,'Price History'!$A:$A))-'Price History'!D3)*(ROW()-3)/(MATCH(9.99E+307,'Returns (Calc)'!$A:$A)-3),"")</f>
        <v>265.219746835443</v>
      </c>
      <c r="Z89" s="144" t="n">
        <f aca="false">IFERROR('Price History'!E3+(INDEX('Price History'!E:E,MATCH(9.99E+307,'Price History'!$A:$A))-'Price History'!E3)*(ROW()-3)/(MATCH(9.99E+307,'Returns (Calc)'!$A:$A)-3),"")</f>
        <v>37.3670886075949</v>
      </c>
      <c r="AA89" s="144" t="n">
        <f aca="false">IFERROR('Price History'!F3+(INDEX('Price History'!F:F,MATCH(9.99E+307,'Price History'!$A:$A))-'Price History'!F3)*(ROW()-3)/(MATCH(9.99E+307,'Returns (Calc)'!$A:$A)-3),"")</f>
        <v>34.3184810126582</v>
      </c>
      <c r="AB89" s="144" t="n">
        <f aca="false">IFERROR('Price History'!G3+(INDEX('Price History'!G:G,MATCH(9.99E+307,'Price History'!$A:$A))-'Price History'!G3)*(ROW()-3)/(MATCH(9.99E+307,'Returns (Calc)'!$A:$A)-3),"")</f>
        <v>18.8475949367089</v>
      </c>
      <c r="AC89" s="144" t="n">
        <f aca="false">IFERROR('Price History'!H3+(INDEX('Price History'!H:H,MATCH(9.99E+307,'Price History'!$A:$A))-'Price History'!H3)*(ROW()-3)/(MATCH(9.99E+307,'Returns (Calc)'!$A:$A)-3),"")</f>
        <v>45.8384810126582</v>
      </c>
      <c r="AD89" s="144" t="n">
        <f aca="false">IFERROR('Price History'!I3+(INDEX('Price History'!I:I,MATCH(9.99E+307,'Price History'!$A:$A))-'Price History'!I3)*(ROW()-3)/(MATCH(9.99E+307,'Returns (Calc)'!$A:$A)-3),"")</f>
        <v>20.2101265822785</v>
      </c>
      <c r="AE89" s="144" t="n">
        <f aca="false">IFERROR('Price History'!J3+(INDEX('Price History'!J:J,MATCH(9.99E+307,'Price History'!$A:$A))-'Price History'!J3)*(ROW()-3)/(MATCH(9.99E+307,'Returns (Calc)'!$A:$A)-3),"")</f>
        <v>31.493164556962</v>
      </c>
      <c r="AF89" s="144" t="n">
        <f aca="false">IFERROR('Price History'!K3+(INDEX('Price History'!K:K,MATCH(9.99E+307,'Price History'!$A:$A))-'Price History'!K3)*(ROW()-3)/(MATCH(9.99E+307,'Returns (Calc)'!$A:$A)-3),"")</f>
        <v>19.9458227848101</v>
      </c>
      <c r="AG89" s="144" t="n">
        <f aca="false">IFERROR('Price History'!L3+(INDEX('Price History'!L:L,MATCH(9.99E+307,'Price History'!$A:$A))-'Price History'!L3)*(ROW()-3)/(MATCH(9.99E+307,'Returns (Calc)'!$A:$A)-3),"")</f>
        <v>50.9650632911392</v>
      </c>
      <c r="AH89" s="144" t="n">
        <f aca="false">IFERROR('Price History'!M3+(INDEX('Price History'!M:M,MATCH(9.99E+307,'Price History'!$A:$A))-'Price History'!M3)*(ROW()-3)/(MATCH(9.99E+307,'Returns (Calc)'!$A:$A)-3),"")</f>
        <v>6.98582278481013</v>
      </c>
      <c r="AI89" s="144" t="n">
        <f aca="false">IFERROR('Price History'!N3+(INDEX('Price History'!N:N,MATCH(9.99E+307,'Price History'!$A:$A))-'Price History'!N3)*(ROW()-3)/(MATCH(9.99E+307,'Returns (Calc)'!$A:$A)-3),"")</f>
        <v>9.93417721518988</v>
      </c>
      <c r="AJ89" s="144" t="n">
        <f aca="false">IFERROR('Price History'!O3+(INDEX('Price History'!O:O,MATCH(9.99E+307,'Price History'!$A:$A))-'Price History'!O3)*(ROW()-3)/(MATCH(9.99E+307,'Returns (Calc)'!$A:$A)-3),"")</f>
        <v>26.2617721518987</v>
      </c>
      <c r="AK89" s="144" t="n">
        <f aca="false">IFERROR('Price History'!Q3+(INDEX('Price History'!Q:Q,MATCH(9.99E+307,'Price History'!$A:$A))-'Price History'!Q3)*(ROW()-3)/(MATCH(9.99E+307,'Returns (Calc)'!$A:$A)-3),"")</f>
        <v>107.375696202532</v>
      </c>
      <c r="AL89" s="144" t="n">
        <f aca="false">IFERROR('Price History'!R3+(INDEX('Price History'!R:R,MATCH(9.99E+307,'Price History'!$A:$A))-'Price History'!R3)*(ROW()-3)/(MATCH(9.99E+307,'Returns (Calc)'!$A:$A)-3),"")</f>
        <v>21.7913924050633</v>
      </c>
      <c r="AM89" s="144" t="n">
        <f aca="false">IFERROR('Price History'!S3+(INDEX('Price History'!S:S,MATCH(9.99E+307,'Price History'!$A:$A))-'Price History'!S3)*(ROW()-3)/(MATCH(9.99E+307,'Returns (Calc)'!$A:$A)-3),"")</f>
        <v>26.6764556962025</v>
      </c>
      <c r="AN89" s="144" t="n">
        <f aca="false">IFERROR('Price History'!T3+(INDEX('Price History'!T:T,MATCH(9.99E+307,'Price History'!$A:$A))-'Price History'!T3)*(ROW()-3)/(MATCH(9.99E+307,'Returns (Calc)'!$A:$A)-3),"")</f>
        <v>12.2627848101266</v>
      </c>
      <c r="AO89" s="145" t="n">
        <f aca="false">IFERROR('Price History'!V3+(INDEX('Price History'!V:V,MATCH(9.99E+307,'Price History'!$A:$A))-'Price History'!V3)*(ROW()-3)/(MATCH(9.99E+307,'Returns (Calc)'!$A:$A)-3),"")</f>
        <v>0</v>
      </c>
    </row>
    <row r="90" customFormat="false" ht="15" hidden="false" customHeight="true" outlineLevel="0" collapsed="false">
      <c r="A90" s="141" t="n">
        <f aca="false">IF('Price History'!A91="","",'Price History'!A91)</f>
        <v>45800</v>
      </c>
      <c r="B90" s="142" t="n">
        <f aca="false">IFERROR(IF(OR(NOT(ISNUMBER('Price History'!B91)),NOT(ISNUMBER('Price History'!B90)),'Price History'!B90=0),"",'Price History'!B91/'Price History'!B90-1),"")</f>
        <v>-0.0226308345120226</v>
      </c>
      <c r="C90" s="142" t="n">
        <f aca="false">IFERROR(IF(OR(NOT(ISNUMBER('Price History'!C91)),NOT(ISNUMBER('Price History'!C90)),'Price History'!C90=0),"",'Price History'!C91/'Price History'!C90-1),"")</f>
        <v>-0.0541381456129434</v>
      </c>
      <c r="D90" s="142" t="n">
        <f aca="false">IFERROR(IF(OR(NOT(ISNUMBER('Price History'!D91)),NOT(ISNUMBER('Price History'!D90)),'Price History'!D90=0),"",'Price History'!D91/'Price History'!D90-1),"")</f>
        <v>-0.0208546916311445</v>
      </c>
      <c r="E90" s="142" t="n">
        <f aca="false">IFERROR(IF(OR(NOT(ISNUMBER('Price History'!E91)),NOT(ISNUMBER('Price History'!E90)),'Price History'!E90=0),"",'Price History'!E91/'Price History'!E90-1),"")</f>
        <v>0.00048672566371688</v>
      </c>
      <c r="F90" s="142" t="n">
        <f aca="false">IFERROR(IF(OR(NOT(ISNUMBER('Price History'!F91)),NOT(ISNUMBER('Price History'!F90)),'Price History'!F90=0),"",'Price History'!F91/'Price History'!F90-1),"")</f>
        <v>-0.0400135256988278</v>
      </c>
      <c r="G90" s="142" t="n">
        <f aca="false">IFERROR(IF(OR(NOT(ISNUMBER('Price History'!G91)),NOT(ISNUMBER('Price History'!G90)),'Price History'!G90=0),"",'Price History'!G91/'Price History'!G90-1),"")</f>
        <v>0.0371517027863779</v>
      </c>
      <c r="H90" s="142" t="n">
        <f aca="false">IFERROR(IF(OR(NOT(ISNUMBER('Price History'!H91)),NOT(ISNUMBER('Price History'!H90)),'Price History'!H90=0),"",'Price History'!H91/'Price History'!H90-1),"")</f>
        <v>-0.0258593503626616</v>
      </c>
      <c r="I90" s="142" t="n">
        <f aca="false">IFERROR(IF(OR(NOT(ISNUMBER('Price History'!I91)),NOT(ISNUMBER('Price History'!I90)),'Price History'!I90=0),"",'Price History'!I91/'Price History'!I90-1),"")</f>
        <v>-0.0405974722328609</v>
      </c>
      <c r="J90" s="142" t="n">
        <f aca="false">IFERROR(IF(OR(NOT(ISNUMBER('Price History'!J91)),NOT(ISNUMBER('Price History'!J90)),'Price History'!J90=0),"",'Price History'!J91/'Price History'!J90-1),"")</f>
        <v>-0.0472634271099744</v>
      </c>
      <c r="K90" s="142" t="n">
        <f aca="false">IFERROR(IF(OR(NOT(ISNUMBER('Price History'!K91)),NOT(ISNUMBER('Price History'!K90)),'Price History'!K90=0),"",'Price History'!K91/'Price History'!K90-1),"")</f>
        <v>-0.0303568784244039</v>
      </c>
      <c r="L90" s="142" t="n">
        <f aca="false">IFERROR(IF(OR(NOT(ISNUMBER('Price History'!L91)),NOT(ISNUMBER('Price History'!L90)),'Price History'!L90=0),"",'Price History'!L91/'Price History'!L90-1),"")</f>
        <v>-0.0588235294117647</v>
      </c>
      <c r="M90" s="142" t="n">
        <f aca="false">IFERROR(IF(OR(NOT(ISNUMBER('Price History'!M91)),NOT(ISNUMBER('Price History'!M90)),'Price History'!M90=0),"",'Price History'!M91/'Price History'!M90-1),"")</f>
        <v>-0.0479462631253861</v>
      </c>
      <c r="N90" s="142" t="n">
        <f aca="false">IFERROR(IF(OR(NOT(ISNUMBER('Price History'!N91)),NOT(ISNUMBER('Price History'!N90)),'Price History'!N90=0),"",'Price History'!N91/'Price History'!N90-1),"")</f>
        <v>-0.0269734232447442</v>
      </c>
      <c r="O90" s="142" t="n">
        <f aca="false">IFERROR(IF(OR(NOT(ISNUMBER('Price History'!O91)),NOT(ISNUMBER('Price History'!O90)),'Price History'!O90=0),"",'Price History'!O91/'Price History'!O90-1),"")</f>
        <v>-0.0223184223184224</v>
      </c>
      <c r="P90" s="142" t="n">
        <f aca="false">IFERROR(IF(OR(NOT(ISNUMBER('Price History'!P91)),NOT(ISNUMBER('Price History'!P90)),'Price History'!P90=0),"",'Price History'!P91/'Price History'!P90-1),"")</f>
        <v>-0.0115255658005029</v>
      </c>
      <c r="Q90" s="142" t="n">
        <f aca="false">IFERROR(IF(OR(NOT(ISNUMBER('Price History'!Q91)),NOT(ISNUMBER('Price History'!Q90)),'Price History'!Q90=0),"",'Price History'!Q91/'Price History'!Q90-1),"")</f>
        <v>-0.0317210099836831</v>
      </c>
      <c r="R90" s="142" t="n">
        <f aca="false">IFERROR(IF(OR(NOT(ISNUMBER('Price History'!R91)),NOT(ISNUMBER('Price History'!R90)),'Price History'!R90=0),"",'Price History'!R91/'Price History'!R90-1),"")</f>
        <v>-0.0161485668146951</v>
      </c>
      <c r="S90" s="142" t="n">
        <f aca="false">IFERROR(IF(OR(NOT(ISNUMBER('Price History'!S91)),NOT(ISNUMBER('Price History'!S90)),'Price History'!S90=0),"",'Price History'!S91/'Price History'!S90-1),"")</f>
        <v>-0.0173680694722778</v>
      </c>
      <c r="T90" s="142" t="n">
        <f aca="false">IFERROR(IF(OR(NOT(ISNUMBER('Price History'!T91)),NOT(ISNUMBER('Price History'!T90)),'Price History'!T90=0),"",'Price History'!T91/'Price History'!T90-1),"")</f>
        <v>0.00697084917617241</v>
      </c>
      <c r="U90" s="142" t="str">
        <f aca="false">IFERROR(IF(OR(NOT(ISNUMBER('Price History'!U91)),NOT(ISNUMBER('Price History'!U90)),'Price History'!U90=0),"",'Price History'!U91/'Price History'!U90-1),"")</f>
        <v/>
      </c>
      <c r="V90" s="143" t="str">
        <f aca="false">IFERROR(IF(OR(NOT(ISNUMBER('Price History'!V91)),NOT(ISNUMBER('Price History'!V90)),'Price History'!V90=0),"",'Price History'!V91/'Price History'!V90-1),"")</f>
        <v/>
      </c>
      <c r="W90" s="144" t="str">
        <f aca="false">IFERROR('Price History'!B3+(INDEX('Price History'!B:B,MATCH(9.99E+307,'Price History'!$A:$A))-'Price History'!B3)*(ROW()-3)/(MATCH(9.99E+307,'Returns (Calc)'!$A:$A)-3),"")</f>
        <v/>
      </c>
      <c r="X90" s="144" t="n">
        <f aca="false">IFERROR('Price History'!C3+(INDEX('Price History'!C:C,MATCH(9.99E+307,'Price History'!$A:$A))-'Price History'!C3)*(ROW()-3)/(MATCH(9.99E+307,'Returns (Calc)'!$A:$A)-3),"")</f>
        <v>20.7517721518987</v>
      </c>
      <c r="Y90" s="144" t="n">
        <f aca="false">IFERROR('Price History'!D3+(INDEX('Price History'!D:D,MATCH(9.99E+307,'Price History'!$A:$A))-'Price History'!D3)*(ROW()-3)/(MATCH(9.99E+307,'Returns (Calc)'!$A:$A)-3),"")</f>
        <v>261.536139240506</v>
      </c>
      <c r="Z90" s="144" t="n">
        <f aca="false">IFERROR('Price History'!E3+(INDEX('Price History'!E:E,MATCH(9.99E+307,'Price History'!$A:$A))-'Price History'!E3)*(ROW()-3)/(MATCH(9.99E+307,'Returns (Calc)'!$A:$A)-3),"")</f>
        <v>36.8481012658228</v>
      </c>
      <c r="AA90" s="144" t="n">
        <f aca="false">IFERROR('Price History'!F3+(INDEX('Price History'!F:F,MATCH(9.99E+307,'Price History'!$A:$A))-'Price History'!F3)*(ROW()-3)/(MATCH(9.99E+307,'Returns (Calc)'!$A:$A)-3),"")</f>
        <v>33.841835443038</v>
      </c>
      <c r="AB90" s="144" t="n">
        <f aca="false">IFERROR('Price History'!G3+(INDEX('Price History'!G:G,MATCH(9.99E+307,'Price History'!$A:$A))-'Price History'!G3)*(ROW()-3)/(MATCH(9.99E+307,'Returns (Calc)'!$A:$A)-3),"")</f>
        <v>18.5858227848101</v>
      </c>
      <c r="AC90" s="144" t="n">
        <f aca="false">IFERROR('Price History'!H3+(INDEX('Price History'!H:H,MATCH(9.99E+307,'Price History'!$A:$A))-'Price History'!H3)*(ROW()-3)/(MATCH(9.99E+307,'Returns (Calc)'!$A:$A)-3),"")</f>
        <v>45.201835443038</v>
      </c>
      <c r="AD90" s="144" t="n">
        <f aca="false">IFERROR('Price History'!I3+(INDEX('Price History'!I:I,MATCH(9.99E+307,'Price History'!$A:$A))-'Price History'!I3)*(ROW()-3)/(MATCH(9.99E+307,'Returns (Calc)'!$A:$A)-3),"")</f>
        <v>19.9294303797468</v>
      </c>
      <c r="AE90" s="144" t="n">
        <f aca="false">IFERROR('Price History'!J3+(INDEX('Price History'!J:J,MATCH(9.99E+307,'Price History'!$A:$A))-'Price History'!J3)*(ROW()-3)/(MATCH(9.99E+307,'Returns (Calc)'!$A:$A)-3),"")</f>
        <v>31.0557594936709</v>
      </c>
      <c r="AF90" s="144" t="n">
        <f aca="false">IFERROR('Price History'!K3+(INDEX('Price History'!K:K,MATCH(9.99E+307,'Price History'!$A:$A))-'Price History'!K3)*(ROW()-3)/(MATCH(9.99E+307,'Returns (Calc)'!$A:$A)-3),"")</f>
        <v>19.6687974683544</v>
      </c>
      <c r="AG90" s="144" t="n">
        <f aca="false">IFERROR('Price History'!L3+(INDEX('Price History'!L:L,MATCH(9.99E+307,'Price History'!$A:$A))-'Price History'!L3)*(ROW()-3)/(MATCH(9.99E+307,'Returns (Calc)'!$A:$A)-3),"")</f>
        <v>50.2572151898734</v>
      </c>
      <c r="AH90" s="144" t="n">
        <f aca="false">IFERROR('Price History'!M3+(INDEX('Price History'!M:M,MATCH(9.99E+307,'Price History'!$A:$A))-'Price History'!M3)*(ROW()-3)/(MATCH(9.99E+307,'Returns (Calc)'!$A:$A)-3),"")</f>
        <v>6.88879746835443</v>
      </c>
      <c r="AI90" s="144" t="n">
        <f aca="false">IFERROR('Price History'!N3+(INDEX('Price History'!N:N,MATCH(9.99E+307,'Price History'!$A:$A))-'Price History'!N3)*(ROW()-3)/(MATCH(9.99E+307,'Returns (Calc)'!$A:$A)-3),"")</f>
        <v>9.79620253164557</v>
      </c>
      <c r="AJ90" s="144" t="n">
        <f aca="false">IFERROR('Price History'!O3+(INDEX('Price History'!O:O,MATCH(9.99E+307,'Price History'!$A:$A))-'Price History'!O3)*(ROW()-3)/(MATCH(9.99E+307,'Returns (Calc)'!$A:$A)-3),"")</f>
        <v>25.8970253164557</v>
      </c>
      <c r="AK90" s="144" t="n">
        <f aca="false">IFERROR('Price History'!Q3+(INDEX('Price History'!Q:Q,MATCH(9.99E+307,'Price History'!$A:$A))-'Price History'!Q3)*(ROW()-3)/(MATCH(9.99E+307,'Returns (Calc)'!$A:$A)-3),"")</f>
        <v>105.884367088608</v>
      </c>
      <c r="AL90" s="144" t="n">
        <f aca="false">IFERROR('Price History'!R3+(INDEX('Price History'!R:R,MATCH(9.99E+307,'Price History'!$A:$A))-'Price History'!R3)*(ROW()-3)/(MATCH(9.99E+307,'Returns (Calc)'!$A:$A)-3),"")</f>
        <v>21.4887341772152</v>
      </c>
      <c r="AM90" s="144" t="n">
        <f aca="false">IFERROR('Price History'!S3+(INDEX('Price History'!S:S,MATCH(9.99E+307,'Price History'!$A:$A))-'Price History'!S3)*(ROW()-3)/(MATCH(9.99E+307,'Returns (Calc)'!$A:$A)-3),"")</f>
        <v>26.3059493670886</v>
      </c>
      <c r="AN90" s="144" t="n">
        <f aca="false">IFERROR('Price History'!T3+(INDEX('Price History'!T:T,MATCH(9.99E+307,'Price History'!$A:$A))-'Price History'!T3)*(ROW()-3)/(MATCH(9.99E+307,'Returns (Calc)'!$A:$A)-3),"")</f>
        <v>12.0924683544304</v>
      </c>
      <c r="AO90" s="145" t="n">
        <f aca="false">IFERROR('Price History'!V3+(INDEX('Price History'!V:V,MATCH(9.99E+307,'Price History'!$A:$A))-'Price History'!V3)*(ROW()-3)/(MATCH(9.99E+307,'Returns (Calc)'!$A:$A)-3),"")</f>
        <v>0</v>
      </c>
    </row>
    <row r="91" customFormat="false" ht="15" hidden="false" customHeight="true" outlineLevel="0" collapsed="false">
      <c r="A91" s="141" t="n">
        <f aca="false">IF('Price History'!A92="","",'Price History'!A92)</f>
        <v>45807</v>
      </c>
      <c r="B91" s="142" t="n">
        <f aca="false">IFERROR(IF(OR(NOT(ISNUMBER('Price History'!B92)),NOT(ISNUMBER('Price History'!B91)),'Price History'!B91=0),"",'Price History'!B92/'Price History'!B91-1),"")</f>
        <v>0.018151046137997</v>
      </c>
      <c r="C91" s="142" t="n">
        <f aca="false">IFERROR(IF(OR(NOT(ISNUMBER('Price History'!C92)),NOT(ISNUMBER('Price History'!C91)),'Price History'!C91=0),"",'Price History'!C92/'Price History'!C91-1),"")</f>
        <v>-0.05</v>
      </c>
      <c r="D91" s="142" t="n">
        <f aca="false">IFERROR(IF(OR(NOT(ISNUMBER('Price History'!D92)),NOT(ISNUMBER('Price History'!D91)),'Price History'!D91=0),"",'Price History'!D92/'Price History'!D91-1),"")</f>
        <v>0.00584134681619042</v>
      </c>
      <c r="E91" s="142" t="n">
        <f aca="false">IFERROR(IF(OR(NOT(ISNUMBER('Price History'!E92)),NOT(ISNUMBER('Price History'!E91)),'Price History'!E91=0),"",'Price History'!E92/'Price History'!E91-1),"")</f>
        <v>0.0583786652514262</v>
      </c>
      <c r="F91" s="142" t="n">
        <f aca="false">IFERROR(IF(OR(NOT(ISNUMBER('Price History'!F92)),NOT(ISNUMBER('Price History'!F91)),'Price History'!F91=0),"",'Price History'!F92/'Price History'!F91-1),"")</f>
        <v>0.0117412234354819</v>
      </c>
      <c r="G91" s="142" t="n">
        <f aca="false">IFERROR(IF(OR(NOT(ISNUMBER('Price History'!G92)),NOT(ISNUMBER('Price History'!G91)),'Price History'!G91=0),"",'Price History'!G92/'Price History'!G91-1),"")</f>
        <v>0.0345917471466197</v>
      </c>
      <c r="H91" s="142" t="n">
        <f aca="false">IFERROR(IF(OR(NOT(ISNUMBER('Price History'!H92)),NOT(ISNUMBER('Price History'!H91)),'Price History'!H91=0),"",'Price History'!H92/'Price History'!H91-1),"")</f>
        <v>0.00647458724506311</v>
      </c>
      <c r="I91" s="142" t="n">
        <f aca="false">IFERROR(IF(OR(NOT(ISNUMBER('Price History'!I92)),NOT(ISNUMBER('Price History'!I91)),'Price History'!I91=0),"",'Price History'!I92/'Price History'!I91-1),"")</f>
        <v>-0.000399201596806398</v>
      </c>
      <c r="J91" s="142" t="n">
        <f aca="false">IFERROR(IF(OR(NOT(ISNUMBER('Price History'!J92)),NOT(ISNUMBER('Price History'!J91)),'Price History'!J91=0),"",'Price History'!J92/'Price History'!J91-1),"")</f>
        <v>0.0117040695801569</v>
      </c>
      <c r="K91" s="142" t="n">
        <f aca="false">IFERROR(IF(OR(NOT(ISNUMBER('Price History'!K92)),NOT(ISNUMBER('Price History'!K91)),'Price History'!K91=0),"",'Price History'!K92/'Price History'!K91-1),"")</f>
        <v>0.0292455711667683</v>
      </c>
      <c r="L91" s="142" t="n">
        <f aca="false">IFERROR(IF(OR(NOT(ISNUMBER('Price History'!L92)),NOT(ISNUMBER('Price History'!L91)),'Price History'!L91=0),"",'Price History'!L92/'Price History'!L91-1),"")</f>
        <v>0.0438206785137316</v>
      </c>
      <c r="M91" s="142" t="n">
        <f aca="false">IFERROR(IF(OR(NOT(ISNUMBER('Price History'!M92)),NOT(ISNUMBER('Price History'!M91)),'Price History'!M91=0),"",'Price History'!M92/'Price History'!M91-1),"")</f>
        <v>0.0686886708296164</v>
      </c>
      <c r="N91" s="142" t="n">
        <f aca="false">IFERROR(IF(OR(NOT(ISNUMBER('Price History'!N92)),NOT(ISNUMBER('Price History'!N91)),'Price History'!N91=0),"",'Price History'!N92/'Price History'!N91-1),"")</f>
        <v>0.0110069302894416</v>
      </c>
      <c r="O91" s="142" t="n">
        <f aca="false">IFERROR(IF(OR(NOT(ISNUMBER('Price History'!O92)),NOT(ISNUMBER('Price History'!O91)),'Price History'!O91=0),"",'Price History'!O92/'Price History'!O91-1),"")</f>
        <v>0.0243038472891863</v>
      </c>
      <c r="P91" s="142" t="n">
        <f aca="false">IFERROR(IF(OR(NOT(ISNUMBER('Price History'!P92)),NOT(ISNUMBER('Price History'!P91)),'Price History'!P91=0),"",'Price History'!P92/'Price History'!P91-1),"")</f>
        <v>0.00699597201611191</v>
      </c>
      <c r="Q91" s="142" t="n">
        <f aca="false">IFERROR(IF(OR(NOT(ISNUMBER('Price History'!Q92)),NOT(ISNUMBER('Price History'!Q91)),'Price History'!Q91=0),"",'Price History'!Q92/'Price History'!Q91-1),"")</f>
        <v>0.0329601279561294</v>
      </c>
      <c r="R91" s="142" t="n">
        <f aca="false">IFERROR(IF(OR(NOT(ISNUMBER('Price History'!R92)),NOT(ISNUMBER('Price History'!R91)),'Price History'!R91=0),"",'Price History'!R92/'Price History'!R91-1),"")</f>
        <v>0.0482150184653263</v>
      </c>
      <c r="S91" s="142" t="n">
        <f aca="false">IFERROR(IF(OR(NOT(ISNUMBER('Price History'!S92)),NOT(ISNUMBER('Price History'!S91)),'Price History'!S91=0),"",'Price History'!S92/'Price History'!S91-1),"")</f>
        <v>0.0652617267165192</v>
      </c>
      <c r="T91" s="142" t="n">
        <f aca="false">IFERROR(IF(OR(NOT(ISNUMBER('Price History'!T92)),NOT(ISNUMBER('Price History'!T91)),'Price History'!T91=0),"",'Price History'!T92/'Price History'!T91-1),"")</f>
        <v>0.0330396475770924</v>
      </c>
      <c r="U91" s="142" t="str">
        <f aca="false">IFERROR(IF(OR(NOT(ISNUMBER('Price History'!U92)),NOT(ISNUMBER('Price History'!U91)),'Price History'!U91=0),"",'Price History'!U92/'Price History'!U91-1),"")</f>
        <v/>
      </c>
      <c r="V91" s="143" t="str">
        <f aca="false">IFERROR(IF(OR(NOT(ISNUMBER('Price History'!V92)),NOT(ISNUMBER('Price History'!V91)),'Price History'!V91=0),"",'Price History'!V92/'Price History'!V91-1),"")</f>
        <v/>
      </c>
      <c r="W91" s="144" t="str">
        <f aca="false">IFERROR('Price History'!B3+(INDEX('Price History'!B:B,MATCH(9.99E+307,'Price History'!$A:$A))-'Price History'!B3)*(ROW()-3)/(MATCH(9.99E+307,'Returns (Calc)'!$A:$A)-3),"")</f>
        <v/>
      </c>
      <c r="X91" s="144" t="n">
        <f aca="false">IFERROR('Price History'!C3+(INDEX('Price History'!C:C,MATCH(9.99E+307,'Price History'!$A:$A))-'Price History'!C3)*(ROW()-3)/(MATCH(9.99E+307,'Returns (Calc)'!$A:$A)-3),"")</f>
        <v>20.4594936708861</v>
      </c>
      <c r="Y91" s="144" t="n">
        <f aca="false">IFERROR('Price History'!D3+(INDEX('Price History'!D:D,MATCH(9.99E+307,'Price History'!$A:$A))-'Price History'!D3)*(ROW()-3)/(MATCH(9.99E+307,'Returns (Calc)'!$A:$A)-3),"")</f>
        <v>257.85253164557</v>
      </c>
      <c r="Z91" s="144" t="n">
        <f aca="false">IFERROR('Price History'!E3+(INDEX('Price History'!E:E,MATCH(9.99E+307,'Price History'!$A:$A))-'Price History'!E3)*(ROW()-3)/(MATCH(9.99E+307,'Returns (Calc)'!$A:$A)-3),"")</f>
        <v>36.3291139240506</v>
      </c>
      <c r="AA91" s="144" t="n">
        <f aca="false">IFERROR('Price History'!F3+(INDEX('Price History'!F:F,MATCH(9.99E+307,'Price History'!$A:$A))-'Price History'!F3)*(ROW()-3)/(MATCH(9.99E+307,'Returns (Calc)'!$A:$A)-3),"")</f>
        <v>33.3651898734177</v>
      </c>
      <c r="AB91" s="144" t="n">
        <f aca="false">IFERROR('Price History'!G3+(INDEX('Price History'!G:G,MATCH(9.99E+307,'Price History'!$A:$A))-'Price History'!G3)*(ROW()-3)/(MATCH(9.99E+307,'Returns (Calc)'!$A:$A)-3),"")</f>
        <v>18.3240506329114</v>
      </c>
      <c r="AC91" s="144" t="n">
        <f aca="false">IFERROR('Price History'!H3+(INDEX('Price History'!H:H,MATCH(9.99E+307,'Price History'!$A:$A))-'Price History'!H3)*(ROW()-3)/(MATCH(9.99E+307,'Returns (Calc)'!$A:$A)-3),"")</f>
        <v>44.5651898734177</v>
      </c>
      <c r="AD91" s="144" t="n">
        <f aca="false">IFERROR('Price History'!I3+(INDEX('Price History'!I:I,MATCH(9.99E+307,'Price History'!$A:$A))-'Price History'!I3)*(ROW()-3)/(MATCH(9.99E+307,'Returns (Calc)'!$A:$A)-3),"")</f>
        <v>19.6487341772152</v>
      </c>
      <c r="AE91" s="144" t="n">
        <f aca="false">IFERROR('Price History'!J3+(INDEX('Price History'!J:J,MATCH(9.99E+307,'Price History'!$A:$A))-'Price History'!J3)*(ROW()-3)/(MATCH(9.99E+307,'Returns (Calc)'!$A:$A)-3),"")</f>
        <v>30.6183544303797</v>
      </c>
      <c r="AF91" s="144" t="n">
        <f aca="false">IFERROR('Price History'!K3+(INDEX('Price History'!K:K,MATCH(9.99E+307,'Price History'!$A:$A))-'Price History'!K3)*(ROW()-3)/(MATCH(9.99E+307,'Returns (Calc)'!$A:$A)-3),"")</f>
        <v>19.3917721518987</v>
      </c>
      <c r="AG91" s="144" t="n">
        <f aca="false">IFERROR('Price History'!L3+(INDEX('Price History'!L:L,MATCH(9.99E+307,'Price History'!$A:$A))-'Price History'!L3)*(ROW()-3)/(MATCH(9.99E+307,'Returns (Calc)'!$A:$A)-3),"")</f>
        <v>49.5493670886076</v>
      </c>
      <c r="AH91" s="144" t="n">
        <f aca="false">IFERROR('Price History'!M3+(INDEX('Price History'!M:M,MATCH(9.99E+307,'Price History'!$A:$A))-'Price History'!M3)*(ROW()-3)/(MATCH(9.99E+307,'Returns (Calc)'!$A:$A)-3),"")</f>
        <v>6.79177215189874</v>
      </c>
      <c r="AI91" s="144" t="n">
        <f aca="false">IFERROR('Price History'!N3+(INDEX('Price History'!N:N,MATCH(9.99E+307,'Price History'!$A:$A))-'Price History'!N3)*(ROW()-3)/(MATCH(9.99E+307,'Returns (Calc)'!$A:$A)-3),"")</f>
        <v>9.65822784810127</v>
      </c>
      <c r="AJ91" s="144" t="n">
        <f aca="false">IFERROR('Price History'!O3+(INDEX('Price History'!O:O,MATCH(9.99E+307,'Price History'!$A:$A))-'Price History'!O3)*(ROW()-3)/(MATCH(9.99E+307,'Returns (Calc)'!$A:$A)-3),"")</f>
        <v>25.5322784810127</v>
      </c>
      <c r="AK91" s="144" t="n">
        <f aca="false">IFERROR('Price History'!Q3+(INDEX('Price History'!Q:Q,MATCH(9.99E+307,'Price History'!$A:$A))-'Price History'!Q3)*(ROW()-3)/(MATCH(9.99E+307,'Returns (Calc)'!$A:$A)-3),"")</f>
        <v>104.393037974684</v>
      </c>
      <c r="AL91" s="144" t="n">
        <f aca="false">IFERROR('Price History'!R3+(INDEX('Price History'!R:R,MATCH(9.99E+307,'Price History'!$A:$A))-'Price History'!R3)*(ROW()-3)/(MATCH(9.99E+307,'Returns (Calc)'!$A:$A)-3),"")</f>
        <v>21.1860759493671</v>
      </c>
      <c r="AM91" s="144" t="n">
        <f aca="false">IFERROR('Price History'!S3+(INDEX('Price History'!S:S,MATCH(9.99E+307,'Price History'!$A:$A))-'Price History'!S3)*(ROW()-3)/(MATCH(9.99E+307,'Returns (Calc)'!$A:$A)-3),"")</f>
        <v>25.9354430379747</v>
      </c>
      <c r="AN91" s="144" t="n">
        <f aca="false">IFERROR('Price History'!T3+(INDEX('Price History'!T:T,MATCH(9.99E+307,'Price History'!$A:$A))-'Price History'!T3)*(ROW()-3)/(MATCH(9.99E+307,'Returns (Calc)'!$A:$A)-3),"")</f>
        <v>11.9221518987342</v>
      </c>
      <c r="AO91" s="145" t="n">
        <f aca="false">IFERROR('Price History'!V3+(INDEX('Price History'!V:V,MATCH(9.99E+307,'Price History'!$A:$A))-'Price History'!V3)*(ROW()-3)/(MATCH(9.99E+307,'Returns (Calc)'!$A:$A)-3),"")</f>
        <v>0</v>
      </c>
    </row>
    <row r="92" customFormat="false" ht="15" hidden="false" customHeight="true" outlineLevel="0" collapsed="false">
      <c r="A92" s="141" t="n">
        <f aca="false">IF('Price History'!A93="","",'Price History'!A93)</f>
        <v>45814</v>
      </c>
      <c r="B92" s="142" t="n">
        <f aca="false">IFERROR(IF(OR(NOT(ISNUMBER('Price History'!B93)),NOT(ISNUMBER('Price History'!B92)),'Price History'!B92=0),"",'Price History'!B93/'Price History'!B92-1),"")</f>
        <v>0.00440868245440762</v>
      </c>
      <c r="C92" s="142" t="n">
        <f aca="false">IFERROR(IF(OR(NOT(ISNUMBER('Price History'!C93)),NOT(ISNUMBER('Price History'!C92)),'Price History'!C92=0),"",'Price History'!C93/'Price History'!C92-1),"")</f>
        <v>0.122460757156048</v>
      </c>
      <c r="D92" s="142" t="n">
        <f aca="false">IFERROR(IF(OR(NOT(ISNUMBER('Price History'!D93)),NOT(ISNUMBER('Price History'!D92)),'Price History'!D92=0),"",'Price History'!D93/'Price History'!D92-1),"")</f>
        <v>0.0220517737296262</v>
      </c>
      <c r="E92" s="142" t="n">
        <f aca="false">IFERROR(IF(OR(NOT(ISNUMBER('Price History'!E93)),NOT(ISNUMBER('Price History'!E92)),'Price History'!E92=0),"",'Price History'!E93/'Price History'!E92-1),"")</f>
        <v>0.0200576657891438</v>
      </c>
      <c r="F92" s="142" t="n">
        <f aca="false">IFERROR(IF(OR(NOT(ISNUMBER('Price History'!F93)),NOT(ISNUMBER('Price History'!F92)),'Price History'!F92=0),"",'Price History'!F93/'Price History'!F92-1),"")</f>
        <v>0.0184518974120924</v>
      </c>
      <c r="G92" s="142" t="n">
        <f aca="false">IFERROR(IF(OR(NOT(ISNUMBER('Price History'!G93)),NOT(ISNUMBER('Price History'!G92)),'Price History'!G92=0),"",'Price History'!G93/'Price History'!G92-1),"")</f>
        <v>-0.00627970128988464</v>
      </c>
      <c r="H92" s="142" t="n">
        <f aca="false">IFERROR(IF(OR(NOT(ISNUMBER('Price History'!H93)),NOT(ISNUMBER('Price History'!H92)),'Price History'!H92=0),"",'Price History'!H93/'Price History'!H92-1),"")</f>
        <v>0.00369893856545511</v>
      </c>
      <c r="I92" s="142" t="n">
        <f aca="false">IFERROR(IF(OR(NOT(ISNUMBER('Price History'!I93)),NOT(ISNUMBER('Price History'!I92)),'Price History'!I92=0),"",'Price History'!I93/'Price History'!I92-1),"")</f>
        <v>0.0674920127795526</v>
      </c>
      <c r="J92" s="142" t="n">
        <f aca="false">IFERROR(IF(OR(NOT(ISNUMBER('Price History'!J93)),NOT(ISNUMBER('Price History'!J92)),'Price History'!J92=0),"",'Price History'!J93/'Price History'!J92-1),"")</f>
        <v>0.149225217575886</v>
      </c>
      <c r="K92" s="142" t="n">
        <f aca="false">IFERROR(IF(OR(NOT(ISNUMBER('Price History'!K93)),NOT(ISNUMBER('Price History'!K92)),'Price History'!K92=0),"",'Price History'!K93/'Price History'!K92-1),"")</f>
        <v>0.048742488315157</v>
      </c>
      <c r="L92" s="142" t="n">
        <f aca="false">IFERROR(IF(OR(NOT(ISNUMBER('Price History'!L93)),NOT(ISNUMBER('Price History'!L92)),'Price History'!L92=0),"",'Price History'!L93/'Price History'!L92-1),"")</f>
        <v>0.0017411491584447</v>
      </c>
      <c r="M92" s="142" t="n">
        <f aca="false">IFERROR(IF(OR(NOT(ISNUMBER('Price History'!M93)),NOT(ISNUMBER('Price History'!M92)),'Price History'!M92=0),"",'Price History'!M93/'Price History'!M92-1),"")</f>
        <v>-0.0308089239641828</v>
      </c>
      <c r="N92" s="142" t="n">
        <f aca="false">IFERROR(IF(OR(NOT(ISNUMBER('Price History'!N93)),NOT(ISNUMBER('Price History'!N92)),'Price History'!N92=0),"",'Price History'!N93/'Price History'!N92-1),"")</f>
        <v>0.0141129032258063</v>
      </c>
      <c r="O92" s="142" t="n">
        <f aca="false">IFERROR(IF(OR(NOT(ISNUMBER('Price History'!O93)),NOT(ISNUMBER('Price History'!O92)),'Price History'!O92=0),"",'Price History'!O93/'Price History'!O92-1),"")</f>
        <v>0.0148895292987512</v>
      </c>
      <c r="P92" s="142" t="n">
        <f aca="false">IFERROR(IF(OR(NOT(ISNUMBER('Price History'!P93)),NOT(ISNUMBER('Price History'!P92)),'Price History'!P92=0),"",'Price History'!P93/'Price History'!P92-1),"")</f>
        <v>0.0613684210526315</v>
      </c>
      <c r="Q92" s="142" t="n">
        <f aca="false">IFERROR(IF(OR(NOT(ISNUMBER('Price History'!Q93)),NOT(ISNUMBER('Price History'!Q92)),'Price History'!Q92=0),"",'Price History'!Q93/'Price History'!Q92-1),"")</f>
        <v>0.0137698390753747</v>
      </c>
      <c r="R92" s="142" t="n">
        <f aca="false">IFERROR(IF(OR(NOT(ISNUMBER('Price History'!R93)),NOT(ISNUMBER('Price History'!R92)),'Price History'!R92=0),"",'Price History'!R93/'Price History'!R92-1),"")</f>
        <v>0.00782932080641996</v>
      </c>
      <c r="S92" s="142" t="n">
        <f aca="false">IFERROR(IF(OR(NOT(ISNUMBER('Price History'!S93)),NOT(ISNUMBER('Price History'!S92)),'Price History'!S92=0),"",'Price History'!S93/'Price History'!S92-1),"")</f>
        <v>0.0402042118698149</v>
      </c>
      <c r="T92" s="142" t="n">
        <f aca="false">IFERROR(IF(OR(NOT(ISNUMBER('Price History'!T93)),NOT(ISNUMBER('Price History'!T92)),'Price History'!T92=0),"",'Price History'!T93/'Price History'!T92-1),"")</f>
        <v>0.0191897654584223</v>
      </c>
      <c r="U92" s="142" t="str">
        <f aca="false">IFERROR(IF(OR(NOT(ISNUMBER('Price History'!U93)),NOT(ISNUMBER('Price History'!U92)),'Price History'!U92=0),"",'Price History'!U93/'Price History'!U92-1),"")</f>
        <v/>
      </c>
      <c r="V92" s="143" t="n">
        <f aca="false">IFERROR(IF(OR(NOT(ISNUMBER('Price History'!V93)),NOT(ISNUMBER('Price History'!V92)),'Price History'!V92=0),"",'Price History'!V93/'Price History'!V92-1),"")</f>
        <v>0.0370873317641378</v>
      </c>
      <c r="W92" s="144" t="str">
        <f aca="false">IFERROR('Price History'!B3+(INDEX('Price History'!B:B,MATCH(9.99E+307,'Price History'!$A:$A))-'Price History'!B3)*(ROW()-3)/(MATCH(9.99E+307,'Returns (Calc)'!$A:$A)-3),"")</f>
        <v/>
      </c>
      <c r="X92" s="144" t="n">
        <f aca="false">IFERROR('Price History'!C3+(INDEX('Price History'!C:C,MATCH(9.99E+307,'Price History'!$A:$A))-'Price History'!C3)*(ROW()-3)/(MATCH(9.99E+307,'Returns (Calc)'!$A:$A)-3),"")</f>
        <v>20.1672151898734</v>
      </c>
      <c r="Y92" s="144" t="n">
        <f aca="false">IFERROR('Price History'!D3+(INDEX('Price History'!D:D,MATCH(9.99E+307,'Price History'!$A:$A))-'Price History'!D3)*(ROW()-3)/(MATCH(9.99E+307,'Returns (Calc)'!$A:$A)-3),"")</f>
        <v>254.168924050633</v>
      </c>
      <c r="Z92" s="144" t="n">
        <f aca="false">IFERROR('Price History'!E3+(INDEX('Price History'!E:E,MATCH(9.99E+307,'Price History'!$A:$A))-'Price History'!E3)*(ROW()-3)/(MATCH(9.99E+307,'Returns (Calc)'!$A:$A)-3),"")</f>
        <v>35.8101265822785</v>
      </c>
      <c r="AA92" s="144" t="n">
        <f aca="false">IFERROR('Price History'!F3+(INDEX('Price History'!F:F,MATCH(9.99E+307,'Price History'!$A:$A))-'Price History'!F3)*(ROW()-3)/(MATCH(9.99E+307,'Returns (Calc)'!$A:$A)-3),"")</f>
        <v>32.8885443037975</v>
      </c>
      <c r="AB92" s="144" t="n">
        <f aca="false">IFERROR('Price History'!G3+(INDEX('Price History'!G:G,MATCH(9.99E+307,'Price History'!$A:$A))-'Price History'!G3)*(ROW()-3)/(MATCH(9.99E+307,'Returns (Calc)'!$A:$A)-3),"")</f>
        <v>18.0622784810127</v>
      </c>
      <c r="AC92" s="144" t="n">
        <f aca="false">IFERROR('Price History'!H3+(INDEX('Price History'!H:H,MATCH(9.99E+307,'Price History'!$A:$A))-'Price History'!H3)*(ROW()-3)/(MATCH(9.99E+307,'Returns (Calc)'!$A:$A)-3),"")</f>
        <v>43.9285443037975</v>
      </c>
      <c r="AD92" s="144" t="n">
        <f aca="false">IFERROR('Price History'!I3+(INDEX('Price History'!I:I,MATCH(9.99E+307,'Price History'!$A:$A))-'Price History'!I3)*(ROW()-3)/(MATCH(9.99E+307,'Returns (Calc)'!$A:$A)-3),"")</f>
        <v>19.3680379746835</v>
      </c>
      <c r="AE92" s="144" t="n">
        <f aca="false">IFERROR('Price History'!J3+(INDEX('Price History'!J:J,MATCH(9.99E+307,'Price History'!$A:$A))-'Price History'!J3)*(ROW()-3)/(MATCH(9.99E+307,'Returns (Calc)'!$A:$A)-3),"")</f>
        <v>30.1809493670886</v>
      </c>
      <c r="AF92" s="144" t="n">
        <f aca="false">IFERROR('Price History'!K3+(INDEX('Price History'!K:K,MATCH(9.99E+307,'Price History'!$A:$A))-'Price History'!K3)*(ROW()-3)/(MATCH(9.99E+307,'Returns (Calc)'!$A:$A)-3),"")</f>
        <v>19.114746835443</v>
      </c>
      <c r="AG92" s="144" t="n">
        <f aca="false">IFERROR('Price History'!L3+(INDEX('Price History'!L:L,MATCH(9.99E+307,'Price History'!$A:$A))-'Price History'!L3)*(ROW()-3)/(MATCH(9.99E+307,'Returns (Calc)'!$A:$A)-3),"")</f>
        <v>48.8415189873418</v>
      </c>
      <c r="AH92" s="144" t="n">
        <f aca="false">IFERROR('Price History'!M3+(INDEX('Price History'!M:M,MATCH(9.99E+307,'Price History'!$A:$A))-'Price History'!M3)*(ROW()-3)/(MATCH(9.99E+307,'Returns (Calc)'!$A:$A)-3),"")</f>
        <v>6.69474683544304</v>
      </c>
      <c r="AI92" s="144" t="n">
        <f aca="false">IFERROR('Price History'!N3+(INDEX('Price History'!N:N,MATCH(9.99E+307,'Price History'!$A:$A))-'Price History'!N3)*(ROW()-3)/(MATCH(9.99E+307,'Returns (Calc)'!$A:$A)-3),"")</f>
        <v>9.52025316455696</v>
      </c>
      <c r="AJ92" s="144" t="n">
        <f aca="false">IFERROR('Price History'!O3+(INDEX('Price History'!O:O,MATCH(9.99E+307,'Price History'!$A:$A))-'Price History'!O3)*(ROW()-3)/(MATCH(9.99E+307,'Returns (Calc)'!$A:$A)-3),"")</f>
        <v>25.1675316455696</v>
      </c>
      <c r="AK92" s="144" t="n">
        <f aca="false">IFERROR('Price History'!Q3+(INDEX('Price History'!Q:Q,MATCH(9.99E+307,'Price History'!$A:$A))-'Price History'!Q3)*(ROW()-3)/(MATCH(9.99E+307,'Returns (Calc)'!$A:$A)-3),"")</f>
        <v>102.90170886076</v>
      </c>
      <c r="AL92" s="144" t="n">
        <f aca="false">IFERROR('Price History'!R3+(INDEX('Price History'!R:R,MATCH(9.99E+307,'Price History'!$A:$A))-'Price History'!R3)*(ROW()-3)/(MATCH(9.99E+307,'Returns (Calc)'!$A:$A)-3),"")</f>
        <v>20.883417721519</v>
      </c>
      <c r="AM92" s="144" t="n">
        <f aca="false">IFERROR('Price History'!S3+(INDEX('Price History'!S:S,MATCH(9.99E+307,'Price History'!$A:$A))-'Price History'!S3)*(ROW()-3)/(MATCH(9.99E+307,'Returns (Calc)'!$A:$A)-3),"")</f>
        <v>25.5649367088608</v>
      </c>
      <c r="AN92" s="144" t="n">
        <f aca="false">IFERROR('Price History'!T3+(INDEX('Price History'!T:T,MATCH(9.99E+307,'Price History'!$A:$A))-'Price History'!T3)*(ROW()-3)/(MATCH(9.99E+307,'Returns (Calc)'!$A:$A)-3),"")</f>
        <v>11.751835443038</v>
      </c>
      <c r="AO92" s="145" t="n">
        <f aca="false">IFERROR('Price History'!V3+(INDEX('Price History'!V:V,MATCH(9.99E+307,'Price History'!$A:$A))-'Price History'!V3)*(ROW()-3)/(MATCH(9.99E+307,'Returns (Calc)'!$A:$A)-3),"")</f>
        <v>0</v>
      </c>
    </row>
    <row r="93" customFormat="false" ht="15" hidden="false" customHeight="true" outlineLevel="0" collapsed="false">
      <c r="A93" s="141" t="n">
        <f aca="false">IF('Price History'!A94="","",'Price History'!A94)</f>
        <v>45821</v>
      </c>
      <c r="B93" s="142" t="n">
        <f aca="false">IFERROR(IF(OR(NOT(ISNUMBER('Price History'!B94)),NOT(ISNUMBER('Price History'!B93)),'Price History'!B93=0),"",'Price History'!B94/'Price History'!B93-1),"")</f>
        <v>-0.06053919217116</v>
      </c>
      <c r="C93" s="142" t="n">
        <f aca="false">IFERROR(IF(OR(NOT(ISNUMBER('Price History'!C94)),NOT(ISNUMBER('Price History'!C93)),'Price History'!C93=0),"",'Price History'!C94/'Price History'!C93-1),"")</f>
        <v>-0.0503856041131106</v>
      </c>
      <c r="D93" s="142" t="n">
        <f aca="false">IFERROR(IF(OR(NOT(ISNUMBER('Price History'!D94)),NOT(ISNUMBER('Price History'!D93)),'Price History'!D93=0),"",'Price History'!D94/'Price History'!D93-1),"")</f>
        <v>0.0106003752345216</v>
      </c>
      <c r="E93" s="142" t="n">
        <f aca="false">IFERROR(IF(OR(NOT(ISNUMBER('Price History'!E94)),NOT(ISNUMBER('Price History'!E93)),'Price History'!E93=0),"",'Price History'!E94/'Price History'!E93-1),"")</f>
        <v>0.00716889926672404</v>
      </c>
      <c r="F93" s="142" t="n">
        <f aca="false">IFERROR(IF(OR(NOT(ISNUMBER('Price History'!F94)),NOT(ISNUMBER('Price History'!F93)),'Price History'!F93=0),"",'Price History'!F94/'Price History'!F93-1),"")</f>
        <v>-0.00603919781221518</v>
      </c>
      <c r="G93" s="142" t="n">
        <f aca="false">IFERROR(IF(OR(NOT(ISNUMBER('Price History'!G94)),NOT(ISNUMBER('Price History'!G93)),'Price History'!G93=0),"",'Price History'!G94/'Price History'!G93-1),"")</f>
        <v>0.0260461144321094</v>
      </c>
      <c r="H93" s="142" t="n">
        <f aca="false">IFERROR(IF(OR(NOT(ISNUMBER('Price History'!H94)),NOT(ISNUMBER('Price History'!H93)),'Price History'!H93=0),"",'Price History'!H94/'Price History'!H93-1),"")</f>
        <v>-0.00352507610959785</v>
      </c>
      <c r="I93" s="142" t="n">
        <f aca="false">IFERROR(IF(OR(NOT(ISNUMBER('Price History'!I94)),NOT(ISNUMBER('Price History'!I93)),'Price History'!I93=0),"",'Price History'!I94/'Price History'!I93-1),"")</f>
        <v>0.073824666417259</v>
      </c>
      <c r="J93" s="142" t="n">
        <f aca="false">IFERROR(IF(OR(NOT(ISNUMBER('Price History'!J94)),NOT(ISNUMBER('Price History'!J93)),'Price History'!J93=0),"",'Price History'!J94/'Price History'!J93-1),"")</f>
        <v>0.0649242704100481</v>
      </c>
      <c r="K93" s="142" t="n">
        <f aca="false">IFERROR(IF(OR(NOT(ISNUMBER('Price History'!K94)),NOT(ISNUMBER('Price History'!K93)),'Price History'!K93=0),"",'Price History'!K94/'Price History'!K93-1),"")</f>
        <v>0.00183927560837582</v>
      </c>
      <c r="L93" s="142" t="n">
        <f aca="false">IFERROR(IF(OR(NOT(ISNUMBER('Price History'!L94)),NOT(ISNUMBER('Price History'!L93)),'Price History'!L93=0),"",'Price History'!L94/'Price History'!L93-1),"")</f>
        <v>-0.0139049826187717</v>
      </c>
      <c r="M93" s="142" t="n">
        <f aca="false">IFERROR(IF(OR(NOT(ISNUMBER('Price History'!M94)),NOT(ISNUMBER('Price History'!M93)),'Price History'!M93=0),"",'Price History'!M94/'Price History'!M93-1),"")</f>
        <v>0.0757907923582839</v>
      </c>
      <c r="N93" s="142" t="n">
        <f aca="false">IFERROR(IF(OR(NOT(ISNUMBER('Price History'!N94)),NOT(ISNUMBER('Price History'!N93)),'Price History'!N93=0),"",'Price History'!N94/'Price History'!N93-1),"")</f>
        <v>0.0135188866799205</v>
      </c>
      <c r="O93" s="142" t="n">
        <f aca="false">IFERROR(IF(OR(NOT(ISNUMBER('Price History'!O94)),NOT(ISNUMBER('Price History'!O93)),'Price History'!O93=0),"",'Price History'!O94/'Price History'!O93-1),"")</f>
        <v>-0.00709891150023667</v>
      </c>
      <c r="P93" s="142" t="n">
        <f aca="false">IFERROR(IF(OR(NOT(ISNUMBER('Price History'!P94)),NOT(ISNUMBER('Price History'!P93)),'Price History'!P93=0),"",'Price History'!P94/'Price History'!P93-1),"")</f>
        <v>0.0325795894079144</v>
      </c>
      <c r="Q93" s="142" t="n">
        <f aca="false">IFERROR(IF(OR(NOT(ISNUMBER('Price History'!Q94)),NOT(ISNUMBER('Price History'!Q93)),'Price History'!Q93=0),"",'Price History'!Q94/'Price History'!Q93-1),"")</f>
        <v>-0.0469125027274711</v>
      </c>
      <c r="R93" s="142" t="n">
        <f aca="false">IFERROR(IF(OR(NOT(ISNUMBER('Price History'!R94)),NOT(ISNUMBER('Price History'!R93)),'Price History'!R93=0),"",'Price History'!R94/'Price History'!R93-1),"")</f>
        <v>0.00271897455816661</v>
      </c>
      <c r="S93" s="142" t="n">
        <f aca="false">IFERROR(IF(OR(NOT(ISNUMBER('Price History'!S94)),NOT(ISNUMBER('Price History'!S93)),'Price History'!S93=0),"",'Price History'!S94/'Price History'!S93-1),"")</f>
        <v>0.00695296523517386</v>
      </c>
      <c r="T93" s="142" t="n">
        <f aca="false">IFERROR(IF(OR(NOT(ISNUMBER('Price History'!T94)),NOT(ISNUMBER('Price History'!T93)),'Price History'!T93=0),"",'Price History'!T94/'Price History'!T93-1),"")</f>
        <v>-0.00179318589360433</v>
      </c>
      <c r="U93" s="142" t="str">
        <f aca="false">IFERROR(IF(OR(NOT(ISNUMBER('Price History'!U94)),NOT(ISNUMBER('Price History'!U93)),'Price History'!U93=0),"",'Price History'!U94/'Price History'!U93-1),"")</f>
        <v/>
      </c>
      <c r="V93" s="143" t="n">
        <f aca="false">IFERROR(IF(OR(NOT(ISNUMBER('Price History'!V94)),NOT(ISNUMBER('Price History'!V93)),'Price History'!V93=0),"",'Price History'!V94/'Price History'!V93-1),"")</f>
        <v>0.0141996682864376</v>
      </c>
      <c r="W93" s="144" t="str">
        <f aca="false">IFERROR('Price History'!B3+(INDEX('Price History'!B:B,MATCH(9.99E+307,'Price History'!$A:$A))-'Price History'!B3)*(ROW()-3)/(MATCH(9.99E+307,'Returns (Calc)'!$A:$A)-3),"")</f>
        <v/>
      </c>
      <c r="X93" s="144" t="n">
        <f aca="false">IFERROR('Price History'!C3+(INDEX('Price History'!C:C,MATCH(9.99E+307,'Price History'!$A:$A))-'Price History'!C3)*(ROW()-3)/(MATCH(9.99E+307,'Returns (Calc)'!$A:$A)-3),"")</f>
        <v>19.8749367088608</v>
      </c>
      <c r="Y93" s="144" t="n">
        <f aca="false">IFERROR('Price History'!D3+(INDEX('Price History'!D:D,MATCH(9.99E+307,'Price History'!$A:$A))-'Price History'!D3)*(ROW()-3)/(MATCH(9.99E+307,'Returns (Calc)'!$A:$A)-3),"")</f>
        <v>250.485316455696</v>
      </c>
      <c r="Z93" s="144" t="n">
        <f aca="false">IFERROR('Price History'!E3+(INDEX('Price History'!E:E,MATCH(9.99E+307,'Price History'!$A:$A))-'Price History'!E3)*(ROW()-3)/(MATCH(9.99E+307,'Returns (Calc)'!$A:$A)-3),"")</f>
        <v>35.2911392405063</v>
      </c>
      <c r="AA93" s="144" t="n">
        <f aca="false">IFERROR('Price History'!F3+(INDEX('Price History'!F:F,MATCH(9.99E+307,'Price History'!$A:$A))-'Price History'!F3)*(ROW()-3)/(MATCH(9.99E+307,'Returns (Calc)'!$A:$A)-3),"")</f>
        <v>32.4118987341772</v>
      </c>
      <c r="AB93" s="144" t="n">
        <f aca="false">IFERROR('Price History'!G3+(INDEX('Price History'!G:G,MATCH(9.99E+307,'Price History'!$A:$A))-'Price History'!G3)*(ROW()-3)/(MATCH(9.99E+307,'Returns (Calc)'!$A:$A)-3),"")</f>
        <v>17.8005063291139</v>
      </c>
      <c r="AC93" s="144" t="n">
        <f aca="false">IFERROR('Price History'!H3+(INDEX('Price History'!H:H,MATCH(9.99E+307,'Price History'!$A:$A))-'Price History'!H3)*(ROW()-3)/(MATCH(9.99E+307,'Returns (Calc)'!$A:$A)-3),"")</f>
        <v>43.2918987341772</v>
      </c>
      <c r="AD93" s="144" t="n">
        <f aca="false">IFERROR('Price History'!I3+(INDEX('Price History'!I:I,MATCH(9.99E+307,'Price History'!$A:$A))-'Price History'!I3)*(ROW()-3)/(MATCH(9.99E+307,'Returns (Calc)'!$A:$A)-3),"")</f>
        <v>19.0873417721519</v>
      </c>
      <c r="AE93" s="144" t="n">
        <f aca="false">IFERROR('Price History'!J3+(INDEX('Price History'!J:J,MATCH(9.99E+307,'Price History'!$A:$A))-'Price History'!J3)*(ROW()-3)/(MATCH(9.99E+307,'Returns (Calc)'!$A:$A)-3),"")</f>
        <v>29.7435443037975</v>
      </c>
      <c r="AF93" s="144" t="n">
        <f aca="false">IFERROR('Price History'!K3+(INDEX('Price History'!K:K,MATCH(9.99E+307,'Price History'!$A:$A))-'Price History'!K3)*(ROW()-3)/(MATCH(9.99E+307,'Returns (Calc)'!$A:$A)-3),"")</f>
        <v>18.8377215189873</v>
      </c>
      <c r="AG93" s="144" t="n">
        <f aca="false">IFERROR('Price History'!L3+(INDEX('Price History'!L:L,MATCH(9.99E+307,'Price History'!$A:$A))-'Price History'!L3)*(ROW()-3)/(MATCH(9.99E+307,'Returns (Calc)'!$A:$A)-3),"")</f>
        <v>48.133670886076</v>
      </c>
      <c r="AH93" s="144" t="n">
        <f aca="false">IFERROR('Price History'!M3+(INDEX('Price History'!M:M,MATCH(9.99E+307,'Price History'!$A:$A))-'Price History'!M3)*(ROW()-3)/(MATCH(9.99E+307,'Returns (Calc)'!$A:$A)-3),"")</f>
        <v>6.59772151898734</v>
      </c>
      <c r="AI93" s="144" t="n">
        <f aca="false">IFERROR('Price History'!N3+(INDEX('Price History'!N:N,MATCH(9.99E+307,'Price History'!$A:$A))-'Price History'!N3)*(ROW()-3)/(MATCH(9.99E+307,'Returns (Calc)'!$A:$A)-3),"")</f>
        <v>9.38227848101266</v>
      </c>
      <c r="AJ93" s="144" t="n">
        <f aca="false">IFERROR('Price History'!O3+(INDEX('Price History'!O:O,MATCH(9.99E+307,'Price History'!$A:$A))-'Price History'!O3)*(ROW()-3)/(MATCH(9.99E+307,'Returns (Calc)'!$A:$A)-3),"")</f>
        <v>24.8027848101266</v>
      </c>
      <c r="AK93" s="144" t="n">
        <f aca="false">IFERROR('Price History'!Q3+(INDEX('Price History'!Q:Q,MATCH(9.99E+307,'Price History'!$A:$A))-'Price History'!Q3)*(ROW()-3)/(MATCH(9.99E+307,'Returns (Calc)'!$A:$A)-3),"")</f>
        <v>101.410379746835</v>
      </c>
      <c r="AL93" s="144" t="n">
        <f aca="false">IFERROR('Price History'!R3+(INDEX('Price History'!R:R,MATCH(9.99E+307,'Price History'!$A:$A))-'Price History'!R3)*(ROW()-3)/(MATCH(9.99E+307,'Returns (Calc)'!$A:$A)-3),"")</f>
        <v>20.5807594936709</v>
      </c>
      <c r="AM93" s="144" t="n">
        <f aca="false">IFERROR('Price History'!S3+(INDEX('Price History'!S:S,MATCH(9.99E+307,'Price History'!$A:$A))-'Price History'!S3)*(ROW()-3)/(MATCH(9.99E+307,'Returns (Calc)'!$A:$A)-3),"")</f>
        <v>25.1944303797468</v>
      </c>
      <c r="AN93" s="144" t="n">
        <f aca="false">IFERROR('Price History'!T3+(INDEX('Price History'!T:T,MATCH(9.99E+307,'Price History'!$A:$A))-'Price History'!T3)*(ROW()-3)/(MATCH(9.99E+307,'Returns (Calc)'!$A:$A)-3),"")</f>
        <v>11.5815189873418</v>
      </c>
      <c r="AO93" s="145" t="n">
        <f aca="false">IFERROR('Price History'!V3+(INDEX('Price History'!V:V,MATCH(9.99E+307,'Price History'!$A:$A))-'Price History'!V3)*(ROW()-3)/(MATCH(9.99E+307,'Returns (Calc)'!$A:$A)-3),"")</f>
        <v>0</v>
      </c>
    </row>
    <row r="94" customFormat="false" ht="15" hidden="false" customHeight="true" outlineLevel="0" collapsed="false">
      <c r="A94" s="141" t="n">
        <f aca="false">IF('Price History'!A95="","",'Price History'!A95)</f>
        <v>45828</v>
      </c>
      <c r="B94" s="142" t="n">
        <f aca="false">IFERROR(IF(OR(NOT(ISNUMBER('Price History'!B95)),NOT(ISNUMBER('Price History'!B94)),'Price History'!B94=0),"",'Price History'!B95/'Price History'!B94-1),"")</f>
        <v>-0.0376838235294117</v>
      </c>
      <c r="C94" s="142" t="n">
        <f aca="false">IFERROR(IF(OR(NOT(ISNUMBER('Price History'!C95)),NOT(ISNUMBER('Price History'!C94)),'Price History'!C94=0),"",'Price History'!C95/'Price History'!C94-1),"")</f>
        <v>-0.0660530590146182</v>
      </c>
      <c r="D94" s="142" t="n">
        <f aca="false">IFERROR(IF(OR(NOT(ISNUMBER('Price History'!D95)),NOT(ISNUMBER('Price History'!D94)),'Price History'!D94=0),"",'Price History'!D95/'Price History'!D94-1),"")</f>
        <v>-0.00587447454615386</v>
      </c>
      <c r="E94" s="142" t="n">
        <f aca="false">IFERROR(IF(OR(NOT(ISNUMBER('Price History'!E95)),NOT(ISNUMBER('Price History'!E94)),'Price History'!E94=0),"",'Price History'!E95/'Price History'!E94-1),"")</f>
        <v>0.00756528105425836</v>
      </c>
      <c r="F94" s="142" t="n">
        <f aca="false">IFERROR(IF(OR(NOT(ISNUMBER('Price History'!F95)),NOT(ISNUMBER('Price History'!F94)),'Price History'!F94=0),"",'Price History'!F95/'Price History'!F94-1),"")</f>
        <v>0.00171959188352622</v>
      </c>
      <c r="G94" s="142" t="n">
        <f aca="false">IFERROR(IF(OR(NOT(ISNUMBER('Price History'!G95)),NOT(ISNUMBER('Price History'!G94)),'Price History'!G94=0),"",'Price History'!G95/'Price History'!G94-1),"")</f>
        <v>-0.00898876404494398</v>
      </c>
      <c r="H94" s="142" t="n">
        <f aca="false">IFERROR(IF(OR(NOT(ISNUMBER('Price History'!H95)),NOT(ISNUMBER('Price History'!H94)),'Price History'!H94=0),"",'Price History'!H95/'Price History'!H94-1),"")</f>
        <v>0.00297475478372733</v>
      </c>
      <c r="I94" s="142" t="n">
        <f aca="false">IFERROR(IF(OR(NOT(ISNUMBER('Price History'!I95)),NOT(ISNUMBER('Price History'!I94)),'Price History'!I94=0),"",'Price History'!I95/'Price History'!I94-1),"")</f>
        <v>-0.020322842875392</v>
      </c>
      <c r="J94" s="142" t="n">
        <f aca="false">IFERROR(IF(OR(NOT(ISNUMBER('Price History'!J95)),NOT(ISNUMBER('Price History'!J94)),'Price History'!J94=0),"",'Price History'!J95/'Price History'!J94-1),"")</f>
        <v>0.0692047524065562</v>
      </c>
      <c r="K94" s="142" t="n">
        <f aca="false">IFERROR(IF(OR(NOT(ISNUMBER('Price History'!K95)),NOT(ISNUMBER('Price History'!K94)),'Price History'!K94=0),"",'Price History'!K95/'Price History'!K94-1),"")</f>
        <v>0.0132749611636773</v>
      </c>
      <c r="L94" s="142" t="n">
        <f aca="false">IFERROR(IF(OR(NOT(ISNUMBER('Price History'!L95)),NOT(ISNUMBER('Price History'!L94)),'Price History'!L94=0),"",'Price History'!L95/'Price History'!L94-1),"")</f>
        <v>-0.00538582060321202</v>
      </c>
      <c r="M94" s="142" t="n">
        <f aca="false">IFERROR(IF(OR(NOT(ISNUMBER('Price History'!M95)),NOT(ISNUMBER('Price History'!M94)),'Price History'!M94=0),"",'Price History'!M95/'Price History'!M94-1),"")</f>
        <v>-0.000727802037845615</v>
      </c>
      <c r="N94" s="142" t="n">
        <f aca="false">IFERROR(IF(OR(NOT(ISNUMBER('Price History'!N95)),NOT(ISNUMBER('Price History'!N94)),'Price History'!N94=0),"",'Price History'!N95/'Price History'!N94-1),"")</f>
        <v>-0.00745390349156527</v>
      </c>
      <c r="O94" s="142" t="n">
        <f aca="false">IFERROR(IF(OR(NOT(ISNUMBER('Price History'!O95)),NOT(ISNUMBER('Price History'!O94)),'Price History'!O94=0),"",'Price History'!O95/'Price History'!O94-1),"")</f>
        <v>0.00705433746425155</v>
      </c>
      <c r="P94" s="142" t="n">
        <f aca="false">IFERROR(IF(OR(NOT(ISNUMBER('Price History'!P95)),NOT(ISNUMBER('Price History'!P94)),'Price History'!P94=0),"",'Price History'!P95/'Price History'!P94-1),"")</f>
        <v>-0.00753973971089661</v>
      </c>
      <c r="Q94" s="142" t="n">
        <f aca="false">IFERROR(IF(OR(NOT(ISNUMBER('Price History'!Q95)),NOT(ISNUMBER('Price History'!Q94)),'Price History'!Q94=0),"",'Price History'!Q95/'Price History'!Q94-1),"")</f>
        <v>-0.0404933608058607</v>
      </c>
      <c r="R94" s="142" t="n">
        <f aca="false">IFERROR(IF(OR(NOT(ISNUMBER('Price History'!R95)),NOT(ISNUMBER('Price History'!R94)),'Price History'!R94=0),"",'Price History'!R95/'Price History'!R94-1),"")</f>
        <v>0.0172380398992833</v>
      </c>
      <c r="S94" s="142" t="n">
        <f aca="false">IFERROR(IF(OR(NOT(ISNUMBER('Price History'!S95)),NOT(ISNUMBER('Price History'!S94)),'Price History'!S94=0),"",'Price History'!S95/'Price History'!S94-1),"")</f>
        <v>0.0682372055239642</v>
      </c>
      <c r="T94" s="142" t="n">
        <f aca="false">IFERROR(IF(OR(NOT(ISNUMBER('Price History'!T95)),NOT(ISNUMBER('Price History'!T94)),'Price History'!T94=0),"",'Price History'!T95/'Price History'!T94-1),"")</f>
        <v>0.0431137724550901</v>
      </c>
      <c r="U94" s="142" t="str">
        <f aca="false">IFERROR(IF(OR(NOT(ISNUMBER('Price History'!U95)),NOT(ISNUMBER('Price History'!U94)),'Price History'!U94=0),"",'Price History'!U95/'Price History'!U94-1),"")</f>
        <v/>
      </c>
      <c r="V94" s="143" t="n">
        <f aca="false">IFERROR(IF(OR(NOT(ISNUMBER('Price History'!V95)),NOT(ISNUMBER('Price History'!V94)),'Price History'!V94=0),"",'Price History'!V95/'Price History'!V94-1),"")</f>
        <v>0.0374121359919666</v>
      </c>
      <c r="W94" s="144" t="str">
        <f aca="false">IFERROR('Price History'!B3+(INDEX('Price History'!B:B,MATCH(9.99E+307,'Price History'!$A:$A))-'Price History'!B3)*(ROW()-3)/(MATCH(9.99E+307,'Returns (Calc)'!$A:$A)-3),"")</f>
        <v/>
      </c>
      <c r="X94" s="144" t="n">
        <f aca="false">IFERROR('Price History'!C3+(INDEX('Price History'!C:C,MATCH(9.99E+307,'Price History'!$A:$A))-'Price History'!C3)*(ROW()-3)/(MATCH(9.99E+307,'Returns (Calc)'!$A:$A)-3),"")</f>
        <v>19.5826582278481</v>
      </c>
      <c r="Y94" s="144" t="n">
        <f aca="false">IFERROR('Price History'!D3+(INDEX('Price History'!D:D,MATCH(9.99E+307,'Price History'!$A:$A))-'Price History'!D3)*(ROW()-3)/(MATCH(9.99E+307,'Returns (Calc)'!$A:$A)-3),"")</f>
        <v>246.80170886076</v>
      </c>
      <c r="Z94" s="144" t="n">
        <f aca="false">IFERROR('Price History'!E3+(INDEX('Price History'!E:E,MATCH(9.99E+307,'Price History'!$A:$A))-'Price History'!E3)*(ROW()-3)/(MATCH(9.99E+307,'Returns (Calc)'!$A:$A)-3),"")</f>
        <v>34.7721518987342</v>
      </c>
      <c r="AA94" s="144" t="n">
        <f aca="false">IFERROR('Price History'!F3+(INDEX('Price History'!F:F,MATCH(9.99E+307,'Price History'!$A:$A))-'Price History'!F3)*(ROW()-3)/(MATCH(9.99E+307,'Returns (Calc)'!$A:$A)-3),"")</f>
        <v>31.935253164557</v>
      </c>
      <c r="AB94" s="144" t="n">
        <f aca="false">IFERROR('Price History'!G3+(INDEX('Price History'!G:G,MATCH(9.99E+307,'Price History'!$A:$A))-'Price History'!G3)*(ROW()-3)/(MATCH(9.99E+307,'Returns (Calc)'!$A:$A)-3),"")</f>
        <v>17.5387341772152</v>
      </c>
      <c r="AC94" s="144" t="n">
        <f aca="false">IFERROR('Price History'!H3+(INDEX('Price History'!H:H,MATCH(9.99E+307,'Price History'!$A:$A))-'Price History'!H3)*(ROW()-3)/(MATCH(9.99E+307,'Returns (Calc)'!$A:$A)-3),"")</f>
        <v>42.655253164557</v>
      </c>
      <c r="AD94" s="144" t="n">
        <f aca="false">IFERROR('Price History'!I3+(INDEX('Price History'!I:I,MATCH(9.99E+307,'Price History'!$A:$A))-'Price History'!I3)*(ROW()-3)/(MATCH(9.99E+307,'Returns (Calc)'!$A:$A)-3),"")</f>
        <v>18.8066455696203</v>
      </c>
      <c r="AE94" s="144" t="n">
        <f aca="false">IFERROR('Price History'!J3+(INDEX('Price History'!J:J,MATCH(9.99E+307,'Price History'!$A:$A))-'Price History'!J3)*(ROW()-3)/(MATCH(9.99E+307,'Returns (Calc)'!$A:$A)-3),"")</f>
        <v>29.3061392405063</v>
      </c>
      <c r="AF94" s="144" t="n">
        <f aca="false">IFERROR('Price History'!K3+(INDEX('Price History'!K:K,MATCH(9.99E+307,'Price History'!$A:$A))-'Price History'!K3)*(ROW()-3)/(MATCH(9.99E+307,'Returns (Calc)'!$A:$A)-3),"")</f>
        <v>18.5606962025317</v>
      </c>
      <c r="AG94" s="144" t="n">
        <f aca="false">IFERROR('Price History'!L3+(INDEX('Price History'!L:L,MATCH(9.99E+307,'Price History'!$A:$A))-'Price History'!L3)*(ROW()-3)/(MATCH(9.99E+307,'Returns (Calc)'!$A:$A)-3),"")</f>
        <v>47.4258227848101</v>
      </c>
      <c r="AH94" s="144" t="n">
        <f aca="false">IFERROR('Price History'!M3+(INDEX('Price History'!M:M,MATCH(9.99E+307,'Price History'!$A:$A))-'Price History'!M3)*(ROW()-3)/(MATCH(9.99E+307,'Returns (Calc)'!$A:$A)-3),"")</f>
        <v>6.50069620253165</v>
      </c>
      <c r="AI94" s="144" t="n">
        <f aca="false">IFERROR('Price History'!N3+(INDEX('Price History'!N:N,MATCH(9.99E+307,'Price History'!$A:$A))-'Price History'!N3)*(ROW()-3)/(MATCH(9.99E+307,'Returns (Calc)'!$A:$A)-3),"")</f>
        <v>9.24430379746836</v>
      </c>
      <c r="AJ94" s="144" t="n">
        <f aca="false">IFERROR('Price History'!O3+(INDEX('Price History'!O:O,MATCH(9.99E+307,'Price History'!$A:$A))-'Price History'!O3)*(ROW()-3)/(MATCH(9.99E+307,'Returns (Calc)'!$A:$A)-3),"")</f>
        <v>24.4380379746835</v>
      </c>
      <c r="AK94" s="144" t="n">
        <f aca="false">IFERROR('Price History'!Q3+(INDEX('Price History'!Q:Q,MATCH(9.99E+307,'Price History'!$A:$A))-'Price History'!Q3)*(ROW()-3)/(MATCH(9.99E+307,'Returns (Calc)'!$A:$A)-3),"")</f>
        <v>99.9190506329114</v>
      </c>
      <c r="AL94" s="144" t="n">
        <f aca="false">IFERROR('Price History'!R3+(INDEX('Price History'!R:R,MATCH(9.99E+307,'Price History'!$A:$A))-'Price History'!R3)*(ROW()-3)/(MATCH(9.99E+307,'Returns (Calc)'!$A:$A)-3),"")</f>
        <v>20.2781012658228</v>
      </c>
      <c r="AM94" s="144" t="n">
        <f aca="false">IFERROR('Price History'!S3+(INDEX('Price History'!S:S,MATCH(9.99E+307,'Price History'!$A:$A))-'Price History'!S3)*(ROW()-3)/(MATCH(9.99E+307,'Returns (Calc)'!$A:$A)-3),"")</f>
        <v>24.8239240506329</v>
      </c>
      <c r="AN94" s="144" t="n">
        <f aca="false">IFERROR('Price History'!T3+(INDEX('Price History'!T:T,MATCH(9.99E+307,'Price History'!$A:$A))-'Price History'!T3)*(ROW()-3)/(MATCH(9.99E+307,'Returns (Calc)'!$A:$A)-3),"")</f>
        <v>11.4112025316456</v>
      </c>
      <c r="AO94" s="145" t="n">
        <f aca="false">IFERROR('Price History'!V3+(INDEX('Price History'!V:V,MATCH(9.99E+307,'Price History'!$A:$A))-'Price History'!V3)*(ROW()-3)/(MATCH(9.99E+307,'Returns (Calc)'!$A:$A)-3),"")</f>
        <v>0</v>
      </c>
    </row>
    <row r="95" customFormat="false" ht="15" hidden="false" customHeight="true" outlineLevel="0" collapsed="false">
      <c r="A95" s="141" t="n">
        <f aca="false">IF('Price History'!A96="","",'Price History'!A96)</f>
        <v>45835</v>
      </c>
      <c r="B95" s="142" t="n">
        <f aca="false">IFERROR(IF(OR(NOT(ISNUMBER('Price History'!B96)),NOT(ISNUMBER('Price History'!B95)),'Price History'!B95=0),"",'Price History'!B96/'Price History'!B95-1),"")</f>
        <v>0.0236389684813754</v>
      </c>
      <c r="C95" s="142" t="n">
        <f aca="false">IFERROR(IF(OR(NOT(ISNUMBER('Price History'!C96)),NOT(ISNUMBER('Price History'!C95)),'Price History'!C95=0),"",'Price History'!C96/'Price History'!C95-1),"")</f>
        <v>0.152347826086957</v>
      </c>
      <c r="D95" s="142" t="n">
        <f aca="false">IFERROR(IF(OR(NOT(ISNUMBER('Price History'!D96)),NOT(ISNUMBER('Price History'!D95)),'Price History'!D95=0),"",'Price History'!D96/'Price History'!D95-1),"")</f>
        <v>0.0521022302849217</v>
      </c>
      <c r="E95" s="142" t="n">
        <f aca="false">IFERROR(IF(OR(NOT(ISNUMBER('Price History'!E96)),NOT(ISNUMBER('Price History'!E95)),'Price History'!E95=0),"",'Price History'!E96/'Price History'!E95-1),"")</f>
        <v>0.077426126271597</v>
      </c>
      <c r="F95" s="142" t="n">
        <f aca="false">IFERROR(IF(OR(NOT(ISNUMBER('Price History'!F96)),NOT(ISNUMBER('Price History'!F95)),'Price History'!F95=0),"",'Price History'!F96/'Price History'!F95-1),"")</f>
        <v>0.0255207141222249</v>
      </c>
      <c r="G95" s="142" t="n">
        <f aca="false">IFERROR(IF(OR(NOT(ISNUMBER('Price History'!G96)),NOT(ISNUMBER('Price History'!G95)),'Price History'!G95=0),"",'Price History'!G96/'Price History'!G95-1),"")</f>
        <v>0.0483749055177627</v>
      </c>
      <c r="H95" s="142" t="n">
        <f aca="false">IFERROR(IF(OR(NOT(ISNUMBER('Price History'!H96)),NOT(ISNUMBER('Price History'!H95)),'Price History'!H95=0),"",'Price History'!H96/'Price History'!H95-1),"")</f>
        <v>0.0137875751503005</v>
      </c>
      <c r="I95" s="142" t="n">
        <f aca="false">IFERROR(IF(OR(NOT(ISNUMBER('Price History'!I96)),NOT(ISNUMBER('Price History'!I95)),'Price History'!I95=0),"",'Price History'!I96/'Price History'!I95-1),"")</f>
        <v>0.0469416785206258</v>
      </c>
      <c r="J95" s="142" t="n">
        <f aca="false">IFERROR(IF(OR(NOT(ISNUMBER('Price History'!J96)),NOT(ISNUMBER('Price History'!J95)),'Price History'!J95=0),"",'Price History'!J96/'Price History'!J95-1),"")</f>
        <v>0.00932760158974766</v>
      </c>
      <c r="K95" s="142" t="n">
        <f aca="false">IFERROR(IF(OR(NOT(ISNUMBER('Price History'!K96)),NOT(ISNUMBER('Price History'!K95)),'Price History'!K95=0),"",'Price History'!K96/'Price History'!K95-1),"")</f>
        <v>0.0965853658536586</v>
      </c>
      <c r="L95" s="142" t="n">
        <f aca="false">IFERROR(IF(OR(NOT(ISNUMBER('Price History'!L96)),NOT(ISNUMBER('Price History'!L95)),'Price History'!L95=0),"",'Price History'!L96/'Price History'!L95-1),"")</f>
        <v>-0.000689179875947521</v>
      </c>
      <c r="M95" s="142" t="n">
        <f aca="false">IFERROR(IF(OR(NOT(ISNUMBER('Price History'!M96)),NOT(ISNUMBER('Price History'!M95)),'Price History'!M95=0),"",'Price History'!M96/'Price History'!M95-1),"")</f>
        <v>-0.0477785870356883</v>
      </c>
      <c r="N95" s="142" t="n">
        <f aca="false">IFERROR(IF(OR(NOT(ISNUMBER('Price History'!N96)),NOT(ISNUMBER('Price History'!N95)),'Price History'!N95=0),"",'Price History'!N96/'Price History'!N95-1),"")</f>
        <v>-0.00197628458498023</v>
      </c>
      <c r="O95" s="142" t="n">
        <f aca="false">IFERROR(IF(OR(NOT(ISNUMBER('Price History'!O96)),NOT(ISNUMBER('Price History'!O95)),'Price History'!O95=0),"",'Price History'!O96/'Price History'!O95-1),"")</f>
        <v>0.048182506626278</v>
      </c>
      <c r="P95" s="142" t="n">
        <f aca="false">IFERROR(IF(OR(NOT(ISNUMBER('Price History'!P96)),NOT(ISNUMBER('Price History'!P95)),'Price History'!P95=0),"",'Price History'!P96/'Price History'!P95-1),"")</f>
        <v>0.0909706764734346</v>
      </c>
      <c r="Q95" s="142" t="n">
        <f aca="false">IFERROR(IF(OR(NOT(ISNUMBER('Price History'!Q96)),NOT(ISNUMBER('Price History'!Q95)),'Price History'!Q95=0),"",'Price History'!Q96/'Price History'!Q95-1),"")</f>
        <v>0.0296758030361777</v>
      </c>
      <c r="R95" s="142" t="n">
        <f aca="false">IFERROR(IF(OR(NOT(ISNUMBER('Price History'!R96)),NOT(ISNUMBER('Price History'!R95)),'Price History'!R95=0),"",'Price History'!R96/'Price History'!R95-1),"")</f>
        <v>-0.00913937547600918</v>
      </c>
      <c r="S95" s="142" t="n">
        <f aca="false">IFERROR(IF(OR(NOT(ISNUMBER('Price History'!S96)),NOT(ISNUMBER('Price History'!S95)),'Price History'!S95=0),"",'Price History'!S96/'Price History'!S95-1),"")</f>
        <v>-0.0223384030418252</v>
      </c>
      <c r="T95" s="142" t="n">
        <f aca="false">IFERROR(IF(OR(NOT(ISNUMBER('Price History'!T96)),NOT(ISNUMBER('Price History'!T95)),'Price History'!T95=0),"",'Price History'!T96/'Price History'!T95-1),"")</f>
        <v>-0.0347301951779564</v>
      </c>
      <c r="U95" s="142" t="str">
        <f aca="false">IFERROR(IF(OR(NOT(ISNUMBER('Price History'!U96)),NOT(ISNUMBER('Price History'!U95)),'Price History'!U95=0),"",'Price History'!U96/'Price History'!U95-1),"")</f>
        <v/>
      </c>
      <c r="V95" s="143" t="n">
        <f aca="false">IFERROR(IF(OR(NOT(ISNUMBER('Price History'!V96)),NOT(ISNUMBER('Price History'!V95)),'Price History'!V95=0),"",'Price History'!V96/'Price History'!V95-1),"")</f>
        <v>-0.0317210099836831</v>
      </c>
      <c r="W95" s="144" t="str">
        <f aca="false">IFERROR('Price History'!B3+(INDEX('Price History'!B:B,MATCH(9.99E+307,'Price History'!$A:$A))-'Price History'!B3)*(ROW()-3)/(MATCH(9.99E+307,'Returns (Calc)'!$A:$A)-3),"")</f>
        <v/>
      </c>
      <c r="X95" s="144" t="n">
        <f aca="false">IFERROR('Price History'!C3+(INDEX('Price History'!C:C,MATCH(9.99E+307,'Price History'!$A:$A))-'Price History'!C3)*(ROW()-3)/(MATCH(9.99E+307,'Returns (Calc)'!$A:$A)-3),"")</f>
        <v>19.2903797468354</v>
      </c>
      <c r="Y95" s="144" t="n">
        <f aca="false">IFERROR('Price History'!D3+(INDEX('Price History'!D:D,MATCH(9.99E+307,'Price History'!$A:$A))-'Price History'!D3)*(ROW()-3)/(MATCH(9.99E+307,'Returns (Calc)'!$A:$A)-3),"")</f>
        <v>243.118101265823</v>
      </c>
      <c r="Z95" s="144" t="n">
        <f aca="false">IFERROR('Price History'!E3+(INDEX('Price History'!E:E,MATCH(9.99E+307,'Price History'!$A:$A))-'Price History'!E3)*(ROW()-3)/(MATCH(9.99E+307,'Returns (Calc)'!$A:$A)-3),"")</f>
        <v>34.253164556962</v>
      </c>
      <c r="AA95" s="144" t="n">
        <f aca="false">IFERROR('Price History'!F3+(INDEX('Price History'!F:F,MATCH(9.99E+307,'Price History'!$A:$A))-'Price History'!F3)*(ROW()-3)/(MATCH(9.99E+307,'Returns (Calc)'!$A:$A)-3),"")</f>
        <v>31.4586075949367</v>
      </c>
      <c r="AB95" s="144" t="n">
        <f aca="false">IFERROR('Price History'!G3+(INDEX('Price History'!G:G,MATCH(9.99E+307,'Price History'!$A:$A))-'Price History'!G3)*(ROW()-3)/(MATCH(9.99E+307,'Returns (Calc)'!$A:$A)-3),"")</f>
        <v>17.2769620253165</v>
      </c>
      <c r="AC95" s="144" t="n">
        <f aca="false">IFERROR('Price History'!H3+(INDEX('Price History'!H:H,MATCH(9.99E+307,'Price History'!$A:$A))-'Price History'!H3)*(ROW()-3)/(MATCH(9.99E+307,'Returns (Calc)'!$A:$A)-3),"")</f>
        <v>42.0186075949367</v>
      </c>
      <c r="AD95" s="144" t="n">
        <f aca="false">IFERROR('Price History'!I3+(INDEX('Price History'!I:I,MATCH(9.99E+307,'Price History'!$A:$A))-'Price History'!I3)*(ROW()-3)/(MATCH(9.99E+307,'Returns (Calc)'!$A:$A)-3),"")</f>
        <v>18.5259493670886</v>
      </c>
      <c r="AE95" s="144" t="n">
        <f aca="false">IFERROR('Price History'!J3+(INDEX('Price History'!J:J,MATCH(9.99E+307,'Price History'!$A:$A))-'Price History'!J3)*(ROW()-3)/(MATCH(9.99E+307,'Returns (Calc)'!$A:$A)-3),"")</f>
        <v>28.8687341772152</v>
      </c>
      <c r="AF95" s="144" t="n">
        <f aca="false">IFERROR('Price History'!K3+(INDEX('Price History'!K:K,MATCH(9.99E+307,'Price History'!$A:$A))-'Price History'!K3)*(ROW()-3)/(MATCH(9.99E+307,'Returns (Calc)'!$A:$A)-3),"")</f>
        <v>18.283670886076</v>
      </c>
      <c r="AG95" s="144" t="n">
        <f aca="false">IFERROR('Price History'!L3+(INDEX('Price History'!L:L,MATCH(9.99E+307,'Price History'!$A:$A))-'Price History'!L3)*(ROW()-3)/(MATCH(9.99E+307,'Returns (Calc)'!$A:$A)-3),"")</f>
        <v>46.7179746835443</v>
      </c>
      <c r="AH95" s="144" t="n">
        <f aca="false">IFERROR('Price History'!M3+(INDEX('Price History'!M:M,MATCH(9.99E+307,'Price History'!$A:$A))-'Price History'!M3)*(ROW()-3)/(MATCH(9.99E+307,'Returns (Calc)'!$A:$A)-3),"")</f>
        <v>6.40367088607595</v>
      </c>
      <c r="AI95" s="144" t="n">
        <f aca="false">IFERROR('Price History'!N3+(INDEX('Price History'!N:N,MATCH(9.99E+307,'Price History'!$A:$A))-'Price History'!N3)*(ROW()-3)/(MATCH(9.99E+307,'Returns (Calc)'!$A:$A)-3),"")</f>
        <v>9.10632911392405</v>
      </c>
      <c r="AJ95" s="144" t="n">
        <f aca="false">IFERROR('Price History'!O3+(INDEX('Price History'!O:O,MATCH(9.99E+307,'Price History'!$A:$A))-'Price History'!O3)*(ROW()-3)/(MATCH(9.99E+307,'Returns (Calc)'!$A:$A)-3),"")</f>
        <v>24.0732911392405</v>
      </c>
      <c r="AK95" s="144" t="n">
        <f aca="false">IFERROR('Price History'!Q3+(INDEX('Price History'!Q:Q,MATCH(9.99E+307,'Price History'!$A:$A))-'Price History'!Q3)*(ROW()-3)/(MATCH(9.99E+307,'Returns (Calc)'!$A:$A)-3),"")</f>
        <v>98.4277215189873</v>
      </c>
      <c r="AL95" s="144" t="n">
        <f aca="false">IFERROR('Price History'!R3+(INDEX('Price History'!R:R,MATCH(9.99E+307,'Price History'!$A:$A))-'Price History'!R3)*(ROW()-3)/(MATCH(9.99E+307,'Returns (Calc)'!$A:$A)-3),"")</f>
        <v>19.9754430379747</v>
      </c>
      <c r="AM95" s="144" t="n">
        <f aca="false">IFERROR('Price History'!S3+(INDEX('Price History'!S:S,MATCH(9.99E+307,'Price History'!$A:$A))-'Price History'!S3)*(ROW()-3)/(MATCH(9.99E+307,'Returns (Calc)'!$A:$A)-3),"")</f>
        <v>24.453417721519</v>
      </c>
      <c r="AN95" s="144" t="n">
        <f aca="false">IFERROR('Price History'!T3+(INDEX('Price History'!T:T,MATCH(9.99E+307,'Price History'!$A:$A))-'Price History'!T3)*(ROW()-3)/(MATCH(9.99E+307,'Returns (Calc)'!$A:$A)-3),"")</f>
        <v>11.2408860759494</v>
      </c>
      <c r="AO95" s="145" t="n">
        <f aca="false">IFERROR('Price History'!V3+(INDEX('Price History'!V:V,MATCH(9.99E+307,'Price History'!$A:$A))-'Price History'!V3)*(ROW()-3)/(MATCH(9.99E+307,'Returns (Calc)'!$A:$A)-3),"")</f>
        <v>0</v>
      </c>
    </row>
    <row r="96" customFormat="false" ht="15" hidden="false" customHeight="true" outlineLevel="0" collapsed="false">
      <c r="A96" s="141" t="n">
        <f aca="false">IF('Price History'!A97="","",'Price History'!A97)</f>
        <v>45842</v>
      </c>
      <c r="B96" s="142" t="n">
        <f aca="false">IFERROR(IF(OR(NOT(ISNUMBER('Price History'!B97)),NOT(ISNUMBER('Price History'!B96)),'Price History'!B96=0),"",'Price History'!B97/'Price History'!B96-1),"")</f>
        <v>-0.0168986341134696</v>
      </c>
      <c r="C96" s="142" t="n">
        <f aca="false">IFERROR(IF(OR(NOT(ISNUMBER('Price History'!C97)),NOT(ISNUMBER('Price History'!C96)),'Price History'!C96=0),"",'Price History'!C97/'Price History'!C96-1),"")</f>
        <v>0.0314921018211087</v>
      </c>
      <c r="D96" s="142" t="n">
        <f aca="false">IFERROR(IF(OR(NOT(ISNUMBER('Price History'!D97)),NOT(ISNUMBER('Price History'!D96)),'Price History'!D96=0),"",'Price History'!D97/'Price History'!D96-1),"")</f>
        <v>-0.00182569668078203</v>
      </c>
      <c r="E96" s="142" t="n">
        <f aca="false">IFERROR(IF(OR(NOT(ISNUMBER('Price History'!E97)),NOT(ISNUMBER('Price History'!E96)),'Price History'!E96=0),"",'Price History'!E97/'Price History'!E96-1),"")</f>
        <v>0.0216560509554142</v>
      </c>
      <c r="F96" s="142" t="n">
        <f aca="false">IFERROR(IF(OR(NOT(ISNUMBER('Price History'!F97)),NOT(ISNUMBER('Price History'!F96)),'Price History'!F96=0),"",'Price History'!F97/'Price History'!F96-1),"")</f>
        <v>0.0416248186586319</v>
      </c>
      <c r="G96" s="142" t="n">
        <f aca="false">IFERROR(IF(OR(NOT(ISNUMBER('Price History'!G97)),NOT(ISNUMBER('Price History'!G96)),'Price History'!G96=0),"",'Price History'!G97/'Price History'!G96-1),"")</f>
        <v>0.0295602018745496</v>
      </c>
      <c r="H96" s="142" t="n">
        <f aca="false">IFERROR(IF(OR(NOT(ISNUMBER('Price History'!H97)),NOT(ISNUMBER('Price History'!H96)),'Price History'!H96=0),"",'Price History'!H97/'Price History'!H96-1),"")</f>
        <v>0.0341582984106903</v>
      </c>
      <c r="I96" s="142" t="n">
        <f aca="false">IFERROR(IF(OR(NOT(ISNUMBER('Price History'!I97)),NOT(ISNUMBER('Price History'!I96)),'Price History'!I96=0),"",'Price History'!I97/'Price History'!I96-1),"")</f>
        <v>0.0389492753623191</v>
      </c>
      <c r="J96" s="142" t="n">
        <f aca="false">IFERROR(IF(OR(NOT(ISNUMBER('Price History'!J97)),NOT(ISNUMBER('Price History'!J96)),'Price History'!J96=0),"",'Price History'!J97/'Price History'!J96-1),"")</f>
        <v>-0.01976856316297</v>
      </c>
      <c r="K96" s="142" t="n">
        <f aca="false">IFERROR(IF(OR(NOT(ISNUMBER('Price History'!K97)),NOT(ISNUMBER('Price History'!K96)),'Price History'!K96=0),"",'Price History'!K97/'Price History'!K96-1),"")</f>
        <v>0.0101042196237924</v>
      </c>
      <c r="L96" s="142" t="n">
        <f aca="false">IFERROR(IF(OR(NOT(ISNUMBER('Price History'!L97)),NOT(ISNUMBER('Price History'!L96)),'Price History'!L96=0),"",'Price History'!L97/'Price History'!L96-1),"")</f>
        <v>0.0227586206896553</v>
      </c>
      <c r="M96" s="142" t="n">
        <f aca="false">IFERROR(IF(OR(NOT(ISNUMBER('Price History'!M97)),NOT(ISNUMBER('Price History'!M96)),'Price History'!M96=0),"",'Price History'!M97/'Price History'!M96-1),"")</f>
        <v>0.0276885421447148</v>
      </c>
      <c r="N96" s="142" t="n">
        <f aca="false">IFERROR(IF(OR(NOT(ISNUMBER('Price History'!N97)),NOT(ISNUMBER('Price History'!N96)),'Price History'!N96=0),"",'Price History'!N97/'Price History'!N96-1),"")</f>
        <v>0.0364356435643565</v>
      </c>
      <c r="O96" s="142" t="n">
        <f aca="false">IFERROR(IF(OR(NOT(ISNUMBER('Price History'!O97)),NOT(ISNUMBER('Price History'!O96)),'Price History'!O96=0),"",'Price History'!O97/'Price History'!O96-1),"")</f>
        <v>0.00596044432403131</v>
      </c>
      <c r="P96" s="142" t="n">
        <f aca="false">IFERROR(IF(OR(NOT(ISNUMBER('Price History'!P97)),NOT(ISNUMBER('Price History'!P96)),'Price History'!P96=0),"",'Price History'!P97/'Price History'!P96-1),"")</f>
        <v>0.0272775658653419</v>
      </c>
      <c r="Q96" s="142" t="n">
        <f aca="false">IFERROR(IF(OR(NOT(ISNUMBER('Price History'!Q97)),NOT(ISNUMBER('Price History'!Q96)),'Price History'!Q96=0),"",'Price History'!Q97/'Price History'!Q96-1),"")</f>
        <v>0.0293998377939984</v>
      </c>
      <c r="R96" s="142" t="n">
        <f aca="false">IFERROR(IF(OR(NOT(ISNUMBER('Price History'!R97)),NOT(ISNUMBER('Price History'!R96)),'Price History'!R96=0),"",'Price History'!R97/'Price History'!R96-1),"")</f>
        <v>0.0113374327440432</v>
      </c>
      <c r="S96" s="142" t="n">
        <f aca="false">IFERROR(IF(OR(NOT(ISNUMBER('Price History'!S97)),NOT(ISNUMBER('Price History'!S96)),'Price History'!S96=0),"",'Price History'!S97/'Price History'!S96-1),"")</f>
        <v>0.0243072435585805</v>
      </c>
      <c r="T96" s="142" t="n">
        <f aca="false">IFERROR(IF(OR(NOT(ISNUMBER('Price History'!T97)),NOT(ISNUMBER('Price History'!T96)),'Price History'!T96=0),"",'Price History'!T97/'Price History'!T96-1),"")</f>
        <v>0.007731192387749</v>
      </c>
      <c r="U96" s="142" t="str">
        <f aca="false">IFERROR(IF(OR(NOT(ISNUMBER('Price History'!U97)),NOT(ISNUMBER('Price History'!U96)),'Price History'!U96=0),"",'Price History'!U97/'Price History'!U96-1),"")</f>
        <v/>
      </c>
      <c r="V96" s="143" t="n">
        <f aca="false">IFERROR(IF(OR(NOT(ISNUMBER('Price History'!V97)),NOT(ISNUMBER('Price History'!V96)),'Price History'!V96=0),"",'Price History'!V97/'Price History'!V96-1),"")</f>
        <v>0.0329601279561294</v>
      </c>
      <c r="W96" s="144" t="str">
        <f aca="false">IFERROR('Price History'!B3+(INDEX('Price History'!B:B,MATCH(9.99E+307,'Price History'!$A:$A))-'Price History'!B3)*(ROW()-3)/(MATCH(9.99E+307,'Returns (Calc)'!$A:$A)-3),"")</f>
        <v/>
      </c>
      <c r="X96" s="144" t="n">
        <f aca="false">IFERROR('Price History'!C3+(INDEX('Price History'!C:C,MATCH(9.99E+307,'Price History'!$A:$A))-'Price History'!C3)*(ROW()-3)/(MATCH(9.99E+307,'Returns (Calc)'!$A:$A)-3),"")</f>
        <v>18.9981012658228</v>
      </c>
      <c r="Y96" s="144" t="n">
        <f aca="false">IFERROR('Price History'!D3+(INDEX('Price History'!D:D,MATCH(9.99E+307,'Price History'!$A:$A))-'Price History'!D3)*(ROW()-3)/(MATCH(9.99E+307,'Returns (Calc)'!$A:$A)-3),"")</f>
        <v>239.434493670886</v>
      </c>
      <c r="Z96" s="144" t="n">
        <f aca="false">IFERROR('Price History'!E3+(INDEX('Price History'!E:E,MATCH(9.99E+307,'Price History'!$A:$A))-'Price History'!E3)*(ROW()-3)/(MATCH(9.99E+307,'Returns (Calc)'!$A:$A)-3),"")</f>
        <v>33.7341772151899</v>
      </c>
      <c r="AA96" s="144" t="n">
        <f aca="false">IFERROR('Price History'!F3+(INDEX('Price History'!F:F,MATCH(9.99E+307,'Price History'!$A:$A))-'Price History'!F3)*(ROW()-3)/(MATCH(9.99E+307,'Returns (Calc)'!$A:$A)-3),"")</f>
        <v>30.9819620253165</v>
      </c>
      <c r="AB96" s="144" t="n">
        <f aca="false">IFERROR('Price History'!G3+(INDEX('Price History'!G:G,MATCH(9.99E+307,'Price History'!$A:$A))-'Price History'!G3)*(ROW()-3)/(MATCH(9.99E+307,'Returns (Calc)'!$A:$A)-3),"")</f>
        <v>17.0151898734177</v>
      </c>
      <c r="AC96" s="144" t="n">
        <f aca="false">IFERROR('Price History'!H3+(INDEX('Price History'!H:H,MATCH(9.99E+307,'Price History'!$A:$A))-'Price History'!H3)*(ROW()-3)/(MATCH(9.99E+307,'Returns (Calc)'!$A:$A)-3),"")</f>
        <v>41.3819620253165</v>
      </c>
      <c r="AD96" s="144" t="n">
        <f aca="false">IFERROR('Price History'!I3+(INDEX('Price History'!I:I,MATCH(9.99E+307,'Price History'!$A:$A))-'Price History'!I3)*(ROW()-3)/(MATCH(9.99E+307,'Returns (Calc)'!$A:$A)-3),"")</f>
        <v>18.245253164557</v>
      </c>
      <c r="AE96" s="144" t="n">
        <f aca="false">IFERROR('Price History'!J3+(INDEX('Price History'!J:J,MATCH(9.99E+307,'Price History'!$A:$A))-'Price History'!J3)*(ROW()-3)/(MATCH(9.99E+307,'Returns (Calc)'!$A:$A)-3),"")</f>
        <v>28.4313291139241</v>
      </c>
      <c r="AF96" s="144" t="n">
        <f aca="false">IFERROR('Price History'!K3+(INDEX('Price History'!K:K,MATCH(9.99E+307,'Price History'!$A:$A))-'Price History'!K3)*(ROW()-3)/(MATCH(9.99E+307,'Returns (Calc)'!$A:$A)-3),"")</f>
        <v>18.0066455696203</v>
      </c>
      <c r="AG96" s="144" t="n">
        <f aca="false">IFERROR('Price History'!L3+(INDEX('Price History'!L:L,MATCH(9.99E+307,'Price History'!$A:$A))-'Price History'!L3)*(ROW()-3)/(MATCH(9.99E+307,'Returns (Calc)'!$A:$A)-3),"")</f>
        <v>46.0101265822785</v>
      </c>
      <c r="AH96" s="144" t="n">
        <f aca="false">IFERROR('Price History'!M3+(INDEX('Price History'!M:M,MATCH(9.99E+307,'Price History'!$A:$A))-'Price History'!M3)*(ROW()-3)/(MATCH(9.99E+307,'Returns (Calc)'!$A:$A)-3),"")</f>
        <v>6.30664556962025</v>
      </c>
      <c r="AI96" s="144" t="n">
        <f aca="false">IFERROR('Price History'!N3+(INDEX('Price History'!N:N,MATCH(9.99E+307,'Price History'!$A:$A))-'Price History'!N3)*(ROW()-3)/(MATCH(9.99E+307,'Returns (Calc)'!$A:$A)-3),"")</f>
        <v>8.96835443037975</v>
      </c>
      <c r="AJ96" s="144" t="n">
        <f aca="false">IFERROR('Price History'!O3+(INDEX('Price History'!O:O,MATCH(9.99E+307,'Price History'!$A:$A))-'Price History'!O3)*(ROW()-3)/(MATCH(9.99E+307,'Returns (Calc)'!$A:$A)-3),"")</f>
        <v>23.7085443037975</v>
      </c>
      <c r="AK96" s="144" t="n">
        <f aca="false">IFERROR('Price History'!Q3+(INDEX('Price History'!Q:Q,MATCH(9.99E+307,'Price History'!$A:$A))-'Price History'!Q3)*(ROW()-3)/(MATCH(9.99E+307,'Returns (Calc)'!$A:$A)-3),"")</f>
        <v>96.9363924050633</v>
      </c>
      <c r="AL96" s="144" t="n">
        <f aca="false">IFERROR('Price History'!R3+(INDEX('Price History'!R:R,MATCH(9.99E+307,'Price History'!$A:$A))-'Price History'!R3)*(ROW()-3)/(MATCH(9.99E+307,'Returns (Calc)'!$A:$A)-3),"")</f>
        <v>19.6727848101266</v>
      </c>
      <c r="AM96" s="144" t="n">
        <f aca="false">IFERROR('Price History'!S3+(INDEX('Price History'!S:S,MATCH(9.99E+307,'Price History'!$A:$A))-'Price History'!S3)*(ROW()-3)/(MATCH(9.99E+307,'Returns (Calc)'!$A:$A)-3),"")</f>
        <v>24.0829113924051</v>
      </c>
      <c r="AN96" s="144" t="n">
        <f aca="false">IFERROR('Price History'!T3+(INDEX('Price History'!T:T,MATCH(9.99E+307,'Price History'!$A:$A))-'Price History'!T3)*(ROW()-3)/(MATCH(9.99E+307,'Returns (Calc)'!$A:$A)-3),"")</f>
        <v>11.0705696202532</v>
      </c>
      <c r="AO96" s="145" t="n">
        <f aca="false">IFERROR('Price History'!V3+(INDEX('Price History'!V:V,MATCH(9.99E+307,'Price History'!$A:$A))-'Price History'!V3)*(ROW()-3)/(MATCH(9.99E+307,'Returns (Calc)'!$A:$A)-3),"")</f>
        <v>0</v>
      </c>
    </row>
    <row r="97" customFormat="false" ht="15" hidden="false" customHeight="true" outlineLevel="0" collapsed="false">
      <c r="A97" s="141" t="n">
        <f aca="false">IF('Price History'!A98="","",'Price History'!A98)</f>
        <v>45849</v>
      </c>
      <c r="B97" s="142" t="n">
        <f aca="false">IFERROR(IF(OR(NOT(ISNUMBER('Price History'!B98)),NOT(ISNUMBER('Price History'!B97)),'Price History'!B97=0),"",'Price History'!B98/'Price History'!B97-1),"")</f>
        <v>-0.0420764018876381</v>
      </c>
      <c r="C97" s="142" t="n">
        <f aca="false">IFERROR(IF(OR(NOT(ISNUMBER('Price History'!C98)),NOT(ISNUMBER('Price History'!C97)),'Price History'!C97=0),"",'Price History'!C98/'Price History'!C97-1),"")</f>
        <v>0.0590128755364807</v>
      </c>
      <c r="D97" s="142" t="n">
        <f aca="false">IFERROR(IF(OR(NOT(ISNUMBER('Price History'!D98)),NOT(ISNUMBER('Price History'!D97)),'Price History'!D97=0),"",'Price History'!D98/'Price History'!D97-1),"")</f>
        <v>0.00936110758287811</v>
      </c>
      <c r="E97" s="142" t="n">
        <f aca="false">IFERROR(IF(OR(NOT(ISNUMBER('Price History'!E98)),NOT(ISNUMBER('Price History'!E97)),'Price History'!E97=0),"",'Price History'!E98/'Price History'!E97-1),"")</f>
        <v>-0.0028971688425995</v>
      </c>
      <c r="F97" s="142" t="n">
        <f aca="false">IFERROR(IF(OR(NOT(ISNUMBER('Price History'!F98)),NOT(ISNUMBER('Price History'!F97)),'Price History'!F97=0),"",'Price History'!F98/'Price History'!F97-1),"")</f>
        <v>-0.00128562245553898</v>
      </c>
      <c r="G97" s="142" t="n">
        <f aca="false">IFERROR(IF(OR(NOT(ISNUMBER('Price History'!G98)),NOT(ISNUMBER('Price History'!G97)),'Price History'!G97=0),"",'Price History'!G98/'Price History'!G97-1),"")</f>
        <v>-0.0693277310924371</v>
      </c>
      <c r="H97" s="142" t="n">
        <f aca="false">IFERROR(IF(OR(NOT(ISNUMBER('Price History'!H98)),NOT(ISNUMBER('Price History'!H97)),'Price History'!H97=0),"",'Price History'!H98/'Price History'!H97-1),"")</f>
        <v>-0.00336417157275015</v>
      </c>
      <c r="I97" s="142" t="n">
        <f aca="false">IFERROR(IF(OR(NOT(ISNUMBER('Price History'!I98)),NOT(ISNUMBER('Price History'!I97)),'Price History'!I97=0),"",'Price History'!I98/'Price History'!I97-1),"")</f>
        <v>0</v>
      </c>
      <c r="J97" s="142" t="n">
        <f aca="false">IFERROR(IF(OR(NOT(ISNUMBER('Price History'!J98)),NOT(ISNUMBER('Price History'!J97)),'Price History'!J97=0),"",'Price History'!J98/'Price History'!J97-1),"")</f>
        <v>0.0192654533530086</v>
      </c>
      <c r="K97" s="142" t="n">
        <f aca="false">IFERROR(IF(OR(NOT(ISNUMBER('Price History'!K98)),NOT(ISNUMBER('Price History'!K97)),'Price History'!K97=0),"",'Price History'!K98/'Price History'!K97-1),"")</f>
        <v>0.0350424661843349</v>
      </c>
      <c r="L97" s="142" t="n">
        <f aca="false">IFERROR(IF(OR(NOT(ISNUMBER('Price History'!L98)),NOT(ISNUMBER('Price History'!L97)),'Price History'!L97=0),"",'Price History'!L98/'Price History'!L97-1),"")</f>
        <v>0.0105962816684326</v>
      </c>
      <c r="M97" s="142" t="n">
        <f aca="false">IFERROR(IF(OR(NOT(ISNUMBER('Price History'!M98)),NOT(ISNUMBER('Price History'!M97)),'Price History'!M97=0),"",'Price History'!M98/'Price History'!M97-1),"")</f>
        <v>0.0576064304852633</v>
      </c>
      <c r="N97" s="142" t="n">
        <f aca="false">IFERROR(IF(OR(NOT(ISNUMBER('Price History'!N98)),NOT(ISNUMBER('Price History'!N97)),'Price History'!N97=0),"",'Price History'!N98/'Price History'!N97-1),"")</f>
        <v>-0.000764233855559904</v>
      </c>
      <c r="O97" s="142" t="n">
        <f aca="false">IFERROR(IF(OR(NOT(ISNUMBER('Price History'!O98)),NOT(ISNUMBER('Price History'!O97)),'Price History'!O97=0),"",'Price History'!O98/'Price History'!O97-1),"")</f>
        <v>-0.00305233863003862</v>
      </c>
      <c r="P97" s="142" t="n">
        <f aca="false">IFERROR(IF(OR(NOT(ISNUMBER('Price History'!P98)),NOT(ISNUMBER('Price History'!P97)),'Price History'!P97=0),"",'Price History'!P98/'Price History'!P97-1),"")</f>
        <v>-0.0187383964422952</v>
      </c>
      <c r="Q97" s="142" t="n">
        <f aca="false">IFERROR(IF(OR(NOT(ISNUMBER('Price History'!Q98)),NOT(ISNUMBER('Price History'!Q97)),'Price History'!Q97=0),"",'Price History'!Q98/'Price History'!Q97-1),"")</f>
        <v>-0.0304735642533555</v>
      </c>
      <c r="R97" s="142" t="n">
        <f aca="false">IFERROR(IF(OR(NOT(ISNUMBER('Price History'!R98)),NOT(ISNUMBER('Price History'!R97)),'Price History'!R97=0),"",'Price History'!R98/'Price History'!R97-1),"")</f>
        <v>0.00133003990119707</v>
      </c>
      <c r="S97" s="142" t="n">
        <f aca="false">IFERROR(IF(OR(NOT(ISNUMBER('Price History'!S98)),NOT(ISNUMBER('Price History'!S97)),'Price History'!S97=0),"",'Price History'!S98/'Price History'!S97-1),"")</f>
        <v>0.0149027052681538</v>
      </c>
      <c r="T97" s="142" t="n">
        <f aca="false">IFERROR(IF(OR(NOT(ISNUMBER('Price History'!T98)),NOT(ISNUMBER('Price History'!T97)),'Price History'!T97=0),"",'Price History'!T98/'Price History'!T97-1),"")</f>
        <v>0.023605783416937</v>
      </c>
      <c r="U97" s="142" t="str">
        <f aca="false">IFERROR(IF(OR(NOT(ISNUMBER('Price History'!U98)),NOT(ISNUMBER('Price History'!U97)),'Price History'!U97=0),"",'Price History'!U98/'Price History'!U97-1),"")</f>
        <v/>
      </c>
      <c r="V97" s="143" t="n">
        <f aca="false">IFERROR(IF(OR(NOT(ISNUMBER('Price History'!V98)),NOT(ISNUMBER('Price History'!V97)),'Price History'!V97=0),"",'Price History'!V98/'Price History'!V97-1),"")</f>
        <v>0.0137698390753747</v>
      </c>
      <c r="W97" s="144" t="str">
        <f aca="false">IFERROR('Price History'!B3+(INDEX('Price History'!B:B,MATCH(9.99E+307,'Price History'!$A:$A))-'Price History'!B3)*(ROW()-3)/(MATCH(9.99E+307,'Returns (Calc)'!$A:$A)-3),"")</f>
        <v/>
      </c>
      <c r="X97" s="144" t="n">
        <f aca="false">IFERROR('Price History'!C3+(INDEX('Price History'!C:C,MATCH(9.99E+307,'Price History'!$A:$A))-'Price History'!C3)*(ROW()-3)/(MATCH(9.99E+307,'Returns (Calc)'!$A:$A)-3),"")</f>
        <v>18.7058227848101</v>
      </c>
      <c r="Y97" s="144" t="n">
        <f aca="false">IFERROR('Price History'!D3+(INDEX('Price History'!D:D,MATCH(9.99E+307,'Price History'!$A:$A))-'Price History'!D3)*(ROW()-3)/(MATCH(9.99E+307,'Returns (Calc)'!$A:$A)-3),"")</f>
        <v>235.750886075949</v>
      </c>
      <c r="Z97" s="144" t="n">
        <f aca="false">IFERROR('Price History'!E3+(INDEX('Price History'!E:E,MATCH(9.99E+307,'Price History'!$A:$A))-'Price History'!E3)*(ROW()-3)/(MATCH(9.99E+307,'Returns (Calc)'!$A:$A)-3),"")</f>
        <v>33.2151898734177</v>
      </c>
      <c r="AA97" s="144" t="n">
        <f aca="false">IFERROR('Price History'!F3+(INDEX('Price History'!F:F,MATCH(9.99E+307,'Price History'!$A:$A))-'Price History'!F3)*(ROW()-3)/(MATCH(9.99E+307,'Returns (Calc)'!$A:$A)-3),"")</f>
        <v>30.5053164556962</v>
      </c>
      <c r="AB97" s="144" t="n">
        <f aca="false">IFERROR('Price History'!G3+(INDEX('Price History'!G:G,MATCH(9.99E+307,'Price History'!$A:$A))-'Price History'!G3)*(ROW()-3)/(MATCH(9.99E+307,'Returns (Calc)'!$A:$A)-3),"")</f>
        <v>16.753417721519</v>
      </c>
      <c r="AC97" s="144" t="n">
        <f aca="false">IFERROR('Price History'!H3+(INDEX('Price History'!H:H,MATCH(9.99E+307,'Price History'!$A:$A))-'Price History'!H3)*(ROW()-3)/(MATCH(9.99E+307,'Returns (Calc)'!$A:$A)-3),"")</f>
        <v>40.7453164556962</v>
      </c>
      <c r="AD97" s="144" t="n">
        <f aca="false">IFERROR('Price History'!I3+(INDEX('Price History'!I:I,MATCH(9.99E+307,'Price History'!$A:$A))-'Price History'!I3)*(ROW()-3)/(MATCH(9.99E+307,'Returns (Calc)'!$A:$A)-3),"")</f>
        <v>17.9645569620253</v>
      </c>
      <c r="AE97" s="144" t="n">
        <f aca="false">IFERROR('Price History'!J3+(INDEX('Price History'!J:J,MATCH(9.99E+307,'Price History'!$A:$A))-'Price History'!J3)*(ROW()-3)/(MATCH(9.99E+307,'Returns (Calc)'!$A:$A)-3),"")</f>
        <v>27.9939240506329</v>
      </c>
      <c r="AF97" s="144" t="n">
        <f aca="false">IFERROR('Price History'!K3+(INDEX('Price History'!K:K,MATCH(9.99E+307,'Price History'!$A:$A))-'Price History'!K3)*(ROW()-3)/(MATCH(9.99E+307,'Returns (Calc)'!$A:$A)-3),"")</f>
        <v>17.7296202531646</v>
      </c>
      <c r="AG97" s="144" t="n">
        <f aca="false">IFERROR('Price History'!L3+(INDEX('Price History'!L:L,MATCH(9.99E+307,'Price History'!$A:$A))-'Price History'!L3)*(ROW()-3)/(MATCH(9.99E+307,'Returns (Calc)'!$A:$A)-3),"")</f>
        <v>45.3022784810127</v>
      </c>
      <c r="AH97" s="144" t="n">
        <f aca="false">IFERROR('Price History'!M3+(INDEX('Price History'!M:M,MATCH(9.99E+307,'Price History'!$A:$A))-'Price History'!M3)*(ROW()-3)/(MATCH(9.99E+307,'Returns (Calc)'!$A:$A)-3),"")</f>
        <v>6.20962025316456</v>
      </c>
      <c r="AI97" s="144" t="n">
        <f aca="false">IFERROR('Price History'!N3+(INDEX('Price History'!N:N,MATCH(9.99E+307,'Price History'!$A:$A))-'Price History'!N3)*(ROW()-3)/(MATCH(9.99E+307,'Returns (Calc)'!$A:$A)-3),"")</f>
        <v>8.83037974683544</v>
      </c>
      <c r="AJ97" s="144" t="n">
        <f aca="false">IFERROR('Price History'!O3+(INDEX('Price History'!O:O,MATCH(9.99E+307,'Price History'!$A:$A))-'Price History'!O3)*(ROW()-3)/(MATCH(9.99E+307,'Returns (Calc)'!$A:$A)-3),"")</f>
        <v>23.3437974683544</v>
      </c>
      <c r="AK97" s="144" t="n">
        <f aca="false">IFERROR('Price History'!Q3+(INDEX('Price History'!Q:Q,MATCH(9.99E+307,'Price History'!$A:$A))-'Price History'!Q3)*(ROW()-3)/(MATCH(9.99E+307,'Returns (Calc)'!$A:$A)-3),"")</f>
        <v>95.4450632911392</v>
      </c>
      <c r="AL97" s="144" t="n">
        <f aca="false">IFERROR('Price History'!R3+(INDEX('Price History'!R:R,MATCH(9.99E+307,'Price History'!$A:$A))-'Price History'!R3)*(ROW()-3)/(MATCH(9.99E+307,'Returns (Calc)'!$A:$A)-3),"")</f>
        <v>19.3701265822785</v>
      </c>
      <c r="AM97" s="144" t="n">
        <f aca="false">IFERROR('Price History'!S3+(INDEX('Price History'!S:S,MATCH(9.99E+307,'Price History'!$A:$A))-'Price History'!S3)*(ROW()-3)/(MATCH(9.99E+307,'Returns (Calc)'!$A:$A)-3),"")</f>
        <v>23.7124050632911</v>
      </c>
      <c r="AN97" s="144" t="n">
        <f aca="false">IFERROR('Price History'!T3+(INDEX('Price History'!T:T,MATCH(9.99E+307,'Price History'!$A:$A))-'Price History'!T3)*(ROW()-3)/(MATCH(9.99E+307,'Returns (Calc)'!$A:$A)-3),"")</f>
        <v>10.900253164557</v>
      </c>
      <c r="AO97" s="145" t="n">
        <f aca="false">IFERROR('Price History'!V3+(INDEX('Price History'!V:V,MATCH(9.99E+307,'Price History'!$A:$A))-'Price History'!V3)*(ROW()-3)/(MATCH(9.99E+307,'Returns (Calc)'!$A:$A)-3),"")</f>
        <v>0</v>
      </c>
    </row>
    <row r="98" customFormat="false" ht="15" hidden="false" customHeight="true" outlineLevel="0" collapsed="false">
      <c r="A98" s="141" t="n">
        <f aca="false">IF('Price History'!A99="","",'Price History'!A99)</f>
        <v>45856</v>
      </c>
      <c r="B98" s="142" t="n">
        <f aca="false">IFERROR(IF(OR(NOT(ISNUMBER('Price History'!B99)),NOT(ISNUMBER('Price History'!B98)),'Price History'!B98=0),"",'Price History'!B99/'Price History'!B98-1),"")</f>
        <v>0.00671528828952805</v>
      </c>
      <c r="C98" s="142" t="n">
        <f aca="false">IFERROR(IF(OR(NOT(ISNUMBER('Price History'!C99)),NOT(ISNUMBER('Price History'!C98)),'Price History'!C98=0),"",'Price History'!C99/'Price History'!C98-1),"")</f>
        <v>0.0295661785023489</v>
      </c>
      <c r="D98" s="142" t="n">
        <f aca="false">IFERROR(IF(OR(NOT(ISNUMBER('Price History'!D99)),NOT(ISNUMBER('Price History'!D98)),'Price History'!D98=0),"",'Price History'!D99/'Price History'!D98-1),"")</f>
        <v>-0.0839845470446853</v>
      </c>
      <c r="E98" s="142" t="n">
        <f aca="false">IFERROR(IF(OR(NOT(ISNUMBER('Price History'!E99)),NOT(ISNUMBER('Price History'!E98)),'Price History'!E98=0),"",'Price History'!E99/'Price History'!E98-1),"")</f>
        <v>0.0326602670197507</v>
      </c>
      <c r="F98" s="142" t="n">
        <f aca="false">IFERROR(IF(OR(NOT(ISNUMBER('Price History'!F99)),NOT(ISNUMBER('Price History'!F98)),'Price History'!F98=0),"",'Price History'!F99/'Price History'!F98-1),"")</f>
        <v>-0.0118000429092469</v>
      </c>
      <c r="G98" s="142" t="n">
        <f aca="false">IFERROR(IF(OR(NOT(ISNUMBER('Price History'!G99)),NOT(ISNUMBER('Price History'!G98)),'Price History'!G98=0),"",'Price History'!G99/'Price History'!G98-1),"")</f>
        <v>-0.00518351308419029</v>
      </c>
      <c r="H98" s="142" t="n">
        <f aca="false">IFERROR(IF(OR(NOT(ISNUMBER('Price History'!H99)),NOT(ISNUMBER('Price History'!H98)),'Price History'!H98=0),"",'Price History'!H99/'Price History'!H98-1),"")</f>
        <v>-0.00421940928270026</v>
      </c>
      <c r="I98" s="142" t="n">
        <f aca="false">IFERROR(IF(OR(NOT(ISNUMBER('Price History'!I99)),NOT(ISNUMBER('Price History'!I98)),'Price History'!I98=0),"",'Price History'!I99/'Price History'!I98-1),"")</f>
        <v>0.00708369659982555</v>
      </c>
      <c r="J98" s="142" t="n">
        <f aca="false">IFERROR(IF(OR(NOT(ISNUMBER('Price History'!J99)),NOT(ISNUMBER('Price History'!J98)),'Price History'!J98=0),"",'Price History'!J99/'Price History'!J98-1),"")</f>
        <v>-0.0813962840826832</v>
      </c>
      <c r="K98" s="142" t="n">
        <f aca="false">IFERROR(IF(OR(NOT(ISNUMBER('Price History'!K99)),NOT(ISNUMBER('Price History'!K98)),'Price History'!K98=0),"",'Price History'!K99/'Price History'!K98-1),"")</f>
        <v>0.0454048140043764</v>
      </c>
      <c r="L98" s="142" t="n">
        <f aca="false">IFERROR(IF(OR(NOT(ISNUMBER('Price History'!L99)),NOT(ISNUMBER('Price History'!L98)),'Price History'!L98=0),"",'Price History'!L99/'Price History'!L98-1),"")</f>
        <v>-0.0219235535220665</v>
      </c>
      <c r="M98" s="142" t="n">
        <f aca="false">IFERROR(IF(OR(NOT(ISNUMBER('Price History'!M99)),NOT(ISNUMBER('Price History'!M98)),'Price History'!M98=0),"",'Price History'!M99/'Price History'!M98-1),"")</f>
        <v>0.08036593947924</v>
      </c>
      <c r="N98" s="142" t="n">
        <f aca="false">IFERROR(IF(OR(NOT(ISNUMBER('Price History'!N99)),NOT(ISNUMBER('Price History'!N98)),'Price History'!N98=0),"",'Price History'!N99/'Price History'!N98-1),"")</f>
        <v>-0.0110898661567878</v>
      </c>
      <c r="O98" s="142" t="n">
        <f aca="false">IFERROR(IF(OR(NOT(ISNUMBER('Price History'!O99)),NOT(ISNUMBER('Price History'!O98)),'Price History'!O98=0),"",'Price History'!O99/'Price History'!O98-1),"")</f>
        <v>0.014858171994597</v>
      </c>
      <c r="P98" s="142" t="n">
        <f aca="false">IFERROR(IF(OR(NOT(ISNUMBER('Price History'!P99)),NOT(ISNUMBER('Price History'!P98)),'Price History'!P98=0),"",'Price History'!P99/'Price History'!P98-1),"")</f>
        <v>0.0433845206142474</v>
      </c>
      <c r="Q98" s="142" t="n">
        <f aca="false">IFERROR(IF(OR(NOT(ISNUMBER('Price History'!Q99)),NOT(ISNUMBER('Price History'!Q98)),'Price History'!Q98=0),"",'Price History'!Q99/'Price History'!Q98-1),"")</f>
        <v>0.00322149988390996</v>
      </c>
      <c r="R98" s="142" t="n">
        <f aca="false">IFERROR(IF(OR(NOT(ISNUMBER('Price History'!R99)),NOT(ISNUMBER('Price History'!R98)),'Price History'!R98=0),"",'Price History'!R99/'Price History'!R98-1),"")</f>
        <v>-0.00208728652751422</v>
      </c>
      <c r="S98" s="142" t="n">
        <f aca="false">IFERROR(IF(OR(NOT(ISNUMBER('Price History'!S99)),NOT(ISNUMBER('Price History'!S98)),'Price History'!S98=0),"",'Price History'!S99/'Price History'!S98-1),"")</f>
        <v>-0.00710811821922941</v>
      </c>
      <c r="T98" s="142" t="n">
        <f aca="false">IFERROR(IF(OR(NOT(ISNUMBER('Price History'!T99)),NOT(ISNUMBER('Price History'!T98)),'Price History'!T98=0),"",'Price History'!T99/'Price History'!T98-1),"")</f>
        <v>0.0109541654655521</v>
      </c>
      <c r="U98" s="142" t="str">
        <f aca="false">IFERROR(IF(OR(NOT(ISNUMBER('Price History'!U99)),NOT(ISNUMBER('Price History'!U98)),'Price History'!U98=0),"",'Price History'!U99/'Price History'!U98-1),"")</f>
        <v/>
      </c>
      <c r="V98" s="143" t="n">
        <f aca="false">IFERROR(IF(OR(NOT(ISNUMBER('Price History'!V99)),NOT(ISNUMBER('Price History'!V98)),'Price History'!V98=0),"",'Price History'!V99/'Price History'!V98-1),"")</f>
        <v>-0.0469125027274711</v>
      </c>
      <c r="W98" s="144" t="str">
        <f aca="false">IFERROR('Price History'!B3+(INDEX('Price History'!B:B,MATCH(9.99E+307,'Price History'!$A:$A))-'Price History'!B3)*(ROW()-3)/(MATCH(9.99E+307,'Returns (Calc)'!$A:$A)-3),"")</f>
        <v/>
      </c>
      <c r="X98" s="144" t="n">
        <f aca="false">IFERROR('Price History'!C3+(INDEX('Price History'!C:C,MATCH(9.99E+307,'Price History'!$A:$A))-'Price History'!C3)*(ROW()-3)/(MATCH(9.99E+307,'Returns (Calc)'!$A:$A)-3),"")</f>
        <v>18.4135443037975</v>
      </c>
      <c r="Y98" s="144" t="n">
        <f aca="false">IFERROR('Price History'!D3+(INDEX('Price History'!D:D,MATCH(9.99E+307,'Price History'!$A:$A))-'Price History'!D3)*(ROW()-3)/(MATCH(9.99E+307,'Returns (Calc)'!$A:$A)-3),"")</f>
        <v>232.067278481013</v>
      </c>
      <c r="Z98" s="144" t="n">
        <f aca="false">IFERROR('Price History'!E3+(INDEX('Price History'!E:E,MATCH(9.99E+307,'Price History'!$A:$A))-'Price History'!E3)*(ROW()-3)/(MATCH(9.99E+307,'Returns (Calc)'!$A:$A)-3),"")</f>
        <v>32.6962025316456</v>
      </c>
      <c r="AA98" s="144" t="n">
        <f aca="false">IFERROR('Price History'!F3+(INDEX('Price History'!F:F,MATCH(9.99E+307,'Price History'!$A:$A))-'Price History'!F3)*(ROW()-3)/(MATCH(9.99E+307,'Returns (Calc)'!$A:$A)-3),"")</f>
        <v>30.028670886076</v>
      </c>
      <c r="AB98" s="144" t="n">
        <f aca="false">IFERROR('Price History'!G3+(INDEX('Price History'!G:G,MATCH(9.99E+307,'Price History'!$A:$A))-'Price History'!G3)*(ROW()-3)/(MATCH(9.99E+307,'Returns (Calc)'!$A:$A)-3),"")</f>
        <v>16.4916455696203</v>
      </c>
      <c r="AC98" s="144" t="n">
        <f aca="false">IFERROR('Price History'!H3+(INDEX('Price History'!H:H,MATCH(9.99E+307,'Price History'!$A:$A))-'Price History'!H3)*(ROW()-3)/(MATCH(9.99E+307,'Returns (Calc)'!$A:$A)-3),"")</f>
        <v>40.108670886076</v>
      </c>
      <c r="AD98" s="144" t="n">
        <f aca="false">IFERROR('Price History'!I3+(INDEX('Price History'!I:I,MATCH(9.99E+307,'Price History'!$A:$A))-'Price History'!I3)*(ROW()-3)/(MATCH(9.99E+307,'Returns (Calc)'!$A:$A)-3),"")</f>
        <v>17.6838607594937</v>
      </c>
      <c r="AE98" s="144" t="n">
        <f aca="false">IFERROR('Price History'!J3+(INDEX('Price History'!J:J,MATCH(9.99E+307,'Price History'!$A:$A))-'Price History'!J3)*(ROW()-3)/(MATCH(9.99E+307,'Returns (Calc)'!$A:$A)-3),"")</f>
        <v>27.5565189873418</v>
      </c>
      <c r="AF98" s="144" t="n">
        <f aca="false">IFERROR('Price History'!K3+(INDEX('Price History'!K:K,MATCH(9.99E+307,'Price History'!$A:$A))-'Price History'!K3)*(ROW()-3)/(MATCH(9.99E+307,'Returns (Calc)'!$A:$A)-3),"")</f>
        <v>17.4525949367089</v>
      </c>
      <c r="AG98" s="144" t="n">
        <f aca="false">IFERROR('Price History'!L3+(INDEX('Price History'!L:L,MATCH(9.99E+307,'Price History'!$A:$A))-'Price History'!L3)*(ROW()-3)/(MATCH(9.99E+307,'Returns (Calc)'!$A:$A)-3),"")</f>
        <v>44.5944303797468</v>
      </c>
      <c r="AH98" s="144" t="n">
        <f aca="false">IFERROR('Price History'!M3+(INDEX('Price History'!M:M,MATCH(9.99E+307,'Price History'!$A:$A))-'Price History'!M3)*(ROW()-3)/(MATCH(9.99E+307,'Returns (Calc)'!$A:$A)-3),"")</f>
        <v>6.11259493670886</v>
      </c>
      <c r="AI98" s="144" t="n">
        <f aca="false">IFERROR('Price History'!N3+(INDEX('Price History'!N:N,MATCH(9.99E+307,'Price History'!$A:$A))-'Price History'!N3)*(ROW()-3)/(MATCH(9.99E+307,'Returns (Calc)'!$A:$A)-3),"")</f>
        <v>8.69240506329114</v>
      </c>
      <c r="AJ98" s="144" t="n">
        <f aca="false">IFERROR('Price History'!O3+(INDEX('Price History'!O:O,MATCH(9.99E+307,'Price History'!$A:$A))-'Price History'!O3)*(ROW()-3)/(MATCH(9.99E+307,'Returns (Calc)'!$A:$A)-3),"")</f>
        <v>22.9790506329114</v>
      </c>
      <c r="AK98" s="144" t="n">
        <f aca="false">IFERROR('Price History'!Q3+(INDEX('Price History'!Q:Q,MATCH(9.99E+307,'Price History'!$A:$A))-'Price History'!Q3)*(ROW()-3)/(MATCH(9.99E+307,'Returns (Calc)'!$A:$A)-3),"")</f>
        <v>93.9537341772152</v>
      </c>
      <c r="AL98" s="144" t="n">
        <f aca="false">IFERROR('Price History'!R3+(INDEX('Price History'!R:R,MATCH(9.99E+307,'Price History'!$A:$A))-'Price History'!R3)*(ROW()-3)/(MATCH(9.99E+307,'Returns (Calc)'!$A:$A)-3),"")</f>
        <v>19.0674683544304</v>
      </c>
      <c r="AM98" s="144" t="n">
        <f aca="false">IFERROR('Price History'!S3+(INDEX('Price History'!S:S,MATCH(9.99E+307,'Price History'!$A:$A))-'Price History'!S3)*(ROW()-3)/(MATCH(9.99E+307,'Returns (Calc)'!$A:$A)-3),"")</f>
        <v>23.3418987341772</v>
      </c>
      <c r="AN98" s="144" t="n">
        <f aca="false">IFERROR('Price History'!T3+(INDEX('Price History'!T:T,MATCH(9.99E+307,'Price History'!$A:$A))-'Price History'!T3)*(ROW()-3)/(MATCH(9.99E+307,'Returns (Calc)'!$A:$A)-3),"")</f>
        <v>10.7299367088608</v>
      </c>
      <c r="AO98" s="145" t="n">
        <f aca="false">IFERROR('Price History'!V3+(INDEX('Price History'!V:V,MATCH(9.99E+307,'Price History'!$A:$A))-'Price History'!V3)*(ROW()-3)/(MATCH(9.99E+307,'Returns (Calc)'!$A:$A)-3),"")</f>
        <v>0</v>
      </c>
    </row>
    <row r="99" customFormat="false" ht="15" hidden="false" customHeight="true" outlineLevel="0" collapsed="false">
      <c r="A99" s="141" t="n">
        <f aca="false">IF('Price History'!A100="","",'Price History'!A100)</f>
        <v>45863</v>
      </c>
      <c r="B99" s="142" t="n">
        <f aca="false">IFERROR(IF(OR(NOT(ISNUMBER('Price History'!B100)),NOT(ISNUMBER('Price History'!B99)),'Price History'!B99=0),"",'Price History'!B100/'Price History'!B99-1),"")</f>
        <v>0.0135323546297055</v>
      </c>
      <c r="C99" s="142" t="n">
        <f aca="false">IFERROR(IF(OR(NOT(ISNUMBER('Price History'!C100)),NOT(ISNUMBER('Price History'!C99)),'Price History'!C99=0),"",'Price History'!C100/'Price History'!C99-1),"")</f>
        <v>0.0223653605296117</v>
      </c>
      <c r="D99" s="142" t="n">
        <f aca="false">IFERROR(IF(OR(NOT(ISNUMBER('Price History'!D100)),NOT(ISNUMBER('Price History'!D99)),'Price History'!D99=0),"",'Price History'!D100/'Price History'!D99-1),"")</f>
        <v>-0.0317612957289849</v>
      </c>
      <c r="E99" s="142" t="n">
        <f aca="false">IFERROR(IF(OR(NOT(ISNUMBER('Price History'!E100)),NOT(ISNUMBER('Price History'!E99)),'Price History'!E99=0),"",'Price History'!E100/'Price History'!E99-1),"")</f>
        <v>0.0241478790469067</v>
      </c>
      <c r="F99" s="142" t="n">
        <f aca="false">IFERROR(IF(OR(NOT(ISNUMBER('Price History'!F100)),NOT(ISNUMBER('Price History'!F99)),'Price History'!F99=0),"",'Price History'!F100/'Price History'!F99-1),"")</f>
        <v>0.0147633521493704</v>
      </c>
      <c r="G99" s="142" t="n">
        <f aca="false">IFERROR(IF(OR(NOT(ISNUMBER('Price History'!G100)),NOT(ISNUMBER('Price History'!G99)),'Price History'!G99=0),"",'Price History'!G100/'Price History'!G99-1),"")</f>
        <v>-0.0168921758130934</v>
      </c>
      <c r="H99" s="142" t="n">
        <f aca="false">IFERROR(IF(OR(NOT(ISNUMBER('Price History'!H100)),NOT(ISNUMBER('Price History'!H99)),'Price History'!H99=0),"",'Price History'!H100/'Price History'!H99-1),"")</f>
        <v>0.0181818181818181</v>
      </c>
      <c r="I99" s="142" t="n">
        <f aca="false">IFERROR(IF(OR(NOT(ISNUMBER('Price History'!I100)),NOT(ISNUMBER('Price History'!I99)),'Price History'!I99=0),"",'Price History'!I100/'Price History'!I99-1),"")</f>
        <v>-0.0311654582837355</v>
      </c>
      <c r="J99" s="142" t="n">
        <f aca="false">IFERROR(IF(OR(NOT(ISNUMBER('Price History'!J100)),NOT(ISNUMBER('Price History'!J99)),'Price History'!J99=0),"",'Price History'!J100/'Price History'!J99-1),"")</f>
        <v>-0.0274056562472638</v>
      </c>
      <c r="K99" s="142" t="n">
        <f aca="false">IFERROR(IF(OR(NOT(ISNUMBER('Price History'!K100)),NOT(ISNUMBER('Price History'!K99)),'Price History'!K99=0),"",'Price History'!K100/'Price History'!K99-1),"")</f>
        <v>0.00633757776614918</v>
      </c>
      <c r="L99" s="142" t="n">
        <f aca="false">IFERROR(IF(OR(NOT(ISNUMBER('Price History'!L100)),NOT(ISNUMBER('Price History'!L99)),'Price History'!L99=0),"",'Price History'!L100/'Price History'!L99-1),"")</f>
        <v>0.0329402592339927</v>
      </c>
      <c r="M99" s="142" t="n">
        <f aca="false">IFERROR(IF(OR(NOT(ISNUMBER('Price History'!M100)),NOT(ISNUMBER('Price History'!M99)),'Price History'!M99=0),"",'Price History'!M100/'Price History'!M99-1),"")</f>
        <v>0.0343929129755081</v>
      </c>
      <c r="N99" s="142" t="n">
        <f aca="false">IFERROR(IF(OR(NOT(ISNUMBER('Price History'!N100)),NOT(ISNUMBER('Price History'!N99)),'Price History'!N99=0),"",'Price History'!N100/'Price History'!N99-1),"")</f>
        <v>0.0108275328692962</v>
      </c>
      <c r="O99" s="142" t="n">
        <f aca="false">IFERROR(IF(OR(NOT(ISNUMBER('Price History'!O100)),NOT(ISNUMBER('Price History'!O99)),'Price History'!O99=0),"",'Price History'!O100/'Price History'!O99-1),"")</f>
        <v>0.01055900621118</v>
      </c>
      <c r="P99" s="142" t="n">
        <f aca="false">IFERROR(IF(OR(NOT(ISNUMBER('Price History'!P100)),NOT(ISNUMBER('Price History'!P99)),'Price History'!P99=0),"",'Price History'!P100/'Price History'!P99-1),"")</f>
        <v>0.0216337030320921</v>
      </c>
      <c r="Q99" s="142" t="n">
        <f aca="false">IFERROR(IF(OR(NOT(ISNUMBER('Price History'!Q100)),NOT(ISNUMBER('Price History'!Q99)),'Price History'!Q99=0),"",'Price History'!Q100/'Price History'!Q99-1),"")</f>
        <v>0.0229120259206757</v>
      </c>
      <c r="R99" s="142" t="n">
        <f aca="false">IFERROR(IF(OR(NOT(ISNUMBER('Price History'!R100)),NOT(ISNUMBER('Price History'!R99)),'Price History'!R99=0),"",'Price History'!R100/'Price History'!R99-1),"")</f>
        <v>0.00304240349876395</v>
      </c>
      <c r="S99" s="142" t="n">
        <f aca="false">IFERROR(IF(OR(NOT(ISNUMBER('Price History'!S100)),NOT(ISNUMBER('Price History'!S99)),'Price History'!S99=0),"",'Price History'!S100/'Price History'!S99-1),"")</f>
        <v>0.00706480783722685</v>
      </c>
      <c r="T99" s="142" t="n">
        <f aca="false">IFERROR(IF(OR(NOT(ISNUMBER('Price History'!T100)),NOT(ISNUMBER('Price History'!T99)),'Price History'!T99=0),"",'Price History'!T100/'Price History'!T99-1),"")</f>
        <v>-0.00114057599087536</v>
      </c>
      <c r="U99" s="142" t="str">
        <f aca="false">IFERROR(IF(OR(NOT(ISNUMBER('Price History'!U100)),NOT(ISNUMBER('Price History'!U99)),'Price History'!U99=0),"",'Price History'!U100/'Price History'!U99-1),"")</f>
        <v/>
      </c>
      <c r="V99" s="143" t="n">
        <f aca="false">IFERROR(IF(OR(NOT(ISNUMBER('Price History'!V100)),NOT(ISNUMBER('Price History'!V99)),'Price History'!V99=0),"",'Price History'!V100/'Price History'!V99-1),"")</f>
        <v>-0.0404933608058607</v>
      </c>
      <c r="W99" s="144" t="str">
        <f aca="false">IFERROR('Price History'!B3+(INDEX('Price History'!B:B,MATCH(9.99E+307,'Price History'!$A:$A))-'Price History'!B3)*(ROW()-3)/(MATCH(9.99E+307,'Returns (Calc)'!$A:$A)-3),"")</f>
        <v/>
      </c>
      <c r="X99" s="144" t="n">
        <f aca="false">IFERROR('Price History'!C3+(INDEX('Price History'!C:C,MATCH(9.99E+307,'Price History'!$A:$A))-'Price History'!C3)*(ROW()-3)/(MATCH(9.99E+307,'Returns (Calc)'!$A:$A)-3),"")</f>
        <v>18.1212658227848</v>
      </c>
      <c r="Y99" s="144" t="n">
        <f aca="false">IFERROR('Price History'!D3+(INDEX('Price History'!D:D,MATCH(9.99E+307,'Price History'!$A:$A))-'Price History'!D3)*(ROW()-3)/(MATCH(9.99E+307,'Returns (Calc)'!$A:$A)-3),"")</f>
        <v>228.383670886076</v>
      </c>
      <c r="Z99" s="144" t="n">
        <f aca="false">IFERROR('Price History'!E3+(INDEX('Price History'!E:E,MATCH(9.99E+307,'Price History'!$A:$A))-'Price History'!E3)*(ROW()-3)/(MATCH(9.99E+307,'Returns (Calc)'!$A:$A)-3),"")</f>
        <v>32.1772151898734</v>
      </c>
      <c r="AA99" s="144" t="n">
        <f aca="false">IFERROR('Price History'!F3+(INDEX('Price History'!F:F,MATCH(9.99E+307,'Price History'!$A:$A))-'Price History'!F3)*(ROW()-3)/(MATCH(9.99E+307,'Returns (Calc)'!$A:$A)-3),"")</f>
        <v>29.5520253164557</v>
      </c>
      <c r="AB99" s="144" t="n">
        <f aca="false">IFERROR('Price History'!G3+(INDEX('Price History'!G:G,MATCH(9.99E+307,'Price History'!$A:$A))-'Price History'!G3)*(ROW()-3)/(MATCH(9.99E+307,'Returns (Calc)'!$A:$A)-3),"")</f>
        <v>16.2298734177215</v>
      </c>
      <c r="AC99" s="144" t="n">
        <f aca="false">IFERROR('Price History'!H3+(INDEX('Price History'!H:H,MATCH(9.99E+307,'Price History'!$A:$A))-'Price History'!H3)*(ROW()-3)/(MATCH(9.99E+307,'Returns (Calc)'!$A:$A)-3),"")</f>
        <v>39.4720253164557</v>
      </c>
      <c r="AD99" s="144" t="n">
        <f aca="false">IFERROR('Price History'!I3+(INDEX('Price History'!I:I,MATCH(9.99E+307,'Price History'!$A:$A))-'Price History'!I3)*(ROW()-3)/(MATCH(9.99E+307,'Returns (Calc)'!$A:$A)-3),"")</f>
        <v>17.403164556962</v>
      </c>
      <c r="AE99" s="144" t="n">
        <f aca="false">IFERROR('Price History'!J3+(INDEX('Price History'!J:J,MATCH(9.99E+307,'Price History'!$A:$A))-'Price History'!J3)*(ROW()-3)/(MATCH(9.99E+307,'Returns (Calc)'!$A:$A)-3),"")</f>
        <v>27.1191139240506</v>
      </c>
      <c r="AF99" s="144" t="n">
        <f aca="false">IFERROR('Price History'!K3+(INDEX('Price History'!K:K,MATCH(9.99E+307,'Price History'!$A:$A))-'Price History'!K3)*(ROW()-3)/(MATCH(9.99E+307,'Returns (Calc)'!$A:$A)-3),"")</f>
        <v>17.1755696202532</v>
      </c>
      <c r="AG99" s="144" t="n">
        <f aca="false">IFERROR('Price History'!L3+(INDEX('Price History'!L:L,MATCH(9.99E+307,'Price History'!$A:$A))-'Price History'!L3)*(ROW()-3)/(MATCH(9.99E+307,'Returns (Calc)'!$A:$A)-3),"")</f>
        <v>43.886582278481</v>
      </c>
      <c r="AH99" s="144" t="n">
        <f aca="false">IFERROR('Price History'!M3+(INDEX('Price History'!M:M,MATCH(9.99E+307,'Price History'!$A:$A))-'Price History'!M3)*(ROW()-3)/(MATCH(9.99E+307,'Returns (Calc)'!$A:$A)-3),"")</f>
        <v>6.01556962025316</v>
      </c>
      <c r="AI99" s="144" t="n">
        <f aca="false">IFERROR('Price History'!N3+(INDEX('Price History'!N:N,MATCH(9.99E+307,'Price History'!$A:$A))-'Price History'!N3)*(ROW()-3)/(MATCH(9.99E+307,'Returns (Calc)'!$A:$A)-3),"")</f>
        <v>8.55443037974684</v>
      </c>
      <c r="AJ99" s="144" t="n">
        <f aca="false">IFERROR('Price History'!O3+(INDEX('Price History'!O:O,MATCH(9.99E+307,'Price History'!$A:$A))-'Price History'!O3)*(ROW()-3)/(MATCH(9.99E+307,'Returns (Calc)'!$A:$A)-3),"")</f>
        <v>22.6143037974684</v>
      </c>
      <c r="AK99" s="144" t="n">
        <f aca="false">IFERROR('Price History'!Q3+(INDEX('Price History'!Q:Q,MATCH(9.99E+307,'Price History'!$A:$A))-'Price History'!Q3)*(ROW()-3)/(MATCH(9.99E+307,'Returns (Calc)'!$A:$A)-3),"")</f>
        <v>92.4624050632911</v>
      </c>
      <c r="AL99" s="144" t="n">
        <f aca="false">IFERROR('Price History'!R3+(INDEX('Price History'!R:R,MATCH(9.99E+307,'Price History'!$A:$A))-'Price History'!R3)*(ROW()-3)/(MATCH(9.99E+307,'Returns (Calc)'!$A:$A)-3),"")</f>
        <v>18.7648101265823</v>
      </c>
      <c r="AM99" s="144" t="n">
        <f aca="false">IFERROR('Price History'!S3+(INDEX('Price History'!S:S,MATCH(9.99E+307,'Price History'!$A:$A))-'Price History'!S3)*(ROW()-3)/(MATCH(9.99E+307,'Returns (Calc)'!$A:$A)-3),"")</f>
        <v>22.9713924050633</v>
      </c>
      <c r="AN99" s="144" t="n">
        <f aca="false">IFERROR('Price History'!T3+(INDEX('Price History'!T:T,MATCH(9.99E+307,'Price History'!$A:$A))-'Price History'!T3)*(ROW()-3)/(MATCH(9.99E+307,'Returns (Calc)'!$A:$A)-3),"")</f>
        <v>10.5596202531646</v>
      </c>
      <c r="AO99" s="145" t="n">
        <f aca="false">IFERROR('Price History'!V3+(INDEX('Price History'!V:V,MATCH(9.99E+307,'Price History'!$A:$A))-'Price History'!V3)*(ROW()-3)/(MATCH(9.99E+307,'Returns (Calc)'!$A:$A)-3),"")</f>
        <v>0</v>
      </c>
    </row>
    <row r="100" customFormat="false" ht="15" hidden="false" customHeight="true" outlineLevel="0" collapsed="false">
      <c r="A100" s="141" t="n">
        <f aca="false">IF('Price History'!A101="","",'Price History'!A101)</f>
        <v>45870</v>
      </c>
      <c r="B100" s="142" t="n">
        <f aca="false">IFERROR(IF(OR(NOT(ISNUMBER('Price History'!B101)),NOT(ISNUMBER('Price History'!B100)),'Price History'!B100=0),"",'Price History'!B101/'Price History'!B100-1),"")</f>
        <v>-0.06187624750499</v>
      </c>
      <c r="C100" s="142" t="n">
        <f aca="false">IFERROR(IF(OR(NOT(ISNUMBER('Price History'!C101)),NOT(ISNUMBER('Price History'!C100)),'Price History'!C100=0),"",'Price History'!C101/'Price History'!C100-1),"")</f>
        <v>0.0287889394469723</v>
      </c>
      <c r="D100" s="142" t="n">
        <f aca="false">IFERROR(IF(OR(NOT(ISNUMBER('Price History'!D101)),NOT(ISNUMBER('Price History'!D100)),'Price History'!D100=0),"",'Price History'!D101/'Price History'!D100-1),"")</f>
        <v>-0.0276670308310041</v>
      </c>
      <c r="E100" s="142" t="n">
        <f aca="false">IFERROR(IF(OR(NOT(ISNUMBER('Price History'!E101)),NOT(ISNUMBER('Price History'!E100)),'Price History'!E100=0),"",'Price History'!E101/'Price History'!E100-1),"")</f>
        <v>-0.00532081377151805</v>
      </c>
      <c r="F100" s="142" t="n">
        <f aca="false">IFERROR(IF(OR(NOT(ISNUMBER('Price History'!F101)),NOT(ISNUMBER('Price History'!F100)),'Price History'!F100=0),"",'Price History'!F101/'Price History'!F100-1),"")</f>
        <v>-0.0502781343602911</v>
      </c>
      <c r="G100" s="142" t="n">
        <f aca="false">IFERROR(IF(OR(NOT(ISNUMBER('Price History'!G101)),NOT(ISNUMBER('Price History'!G100)),'Price History'!G100=0),"",'Price History'!G101/'Price History'!G100-1),"")</f>
        <v>-0.0453923747649171</v>
      </c>
      <c r="H100" s="142" t="n">
        <f aca="false">IFERROR(IF(OR(NOT(ISNUMBER('Price History'!H101)),NOT(ISNUMBER('Price History'!H100)),'Price History'!H100=0),"",'Price History'!H101/'Price History'!H100-1),"")</f>
        <v>-0.0300393462469734</v>
      </c>
      <c r="I100" s="142" t="n">
        <f aca="false">IFERROR(IF(OR(NOT(ISNUMBER('Price History'!I101)),NOT(ISNUMBER('Price History'!I100)),'Price History'!I100=0),"",'Price History'!I101/'Price History'!I100-1),"")</f>
        <v>-0.0170892438288842</v>
      </c>
      <c r="J100" s="142" t="n">
        <f aca="false">IFERROR(IF(OR(NOT(ISNUMBER('Price History'!J101)),NOT(ISNUMBER('Price History'!J100)),'Price History'!J100=0),"",'Price History'!J101/'Price History'!J100-1),"")</f>
        <v>-0.0573460568959309</v>
      </c>
      <c r="K100" s="142" t="n">
        <f aca="false">IFERROR(IF(OR(NOT(ISNUMBER('Price History'!K101)),NOT(ISNUMBER('Price History'!K100)),'Price History'!K100=0),"",'Price History'!K101/'Price History'!K100-1),"")</f>
        <v>0.00127108851398194</v>
      </c>
      <c r="L100" s="142" t="n">
        <f aca="false">IFERROR(IF(OR(NOT(ISNUMBER('Price History'!L101)),NOT(ISNUMBER('Price History'!L100)),'Price History'!L100=0),"",'Price History'!L101/'Price History'!L100-1),"")</f>
        <v>-0.0487781866213795</v>
      </c>
      <c r="M100" s="142" t="n">
        <f aca="false">IFERROR(IF(OR(NOT(ISNUMBER('Price History'!M101)),NOT(ISNUMBER('Price History'!M100)),'Price History'!M100=0),"",'Price History'!M101/'Price History'!M100-1),"")</f>
        <v>-0.0285264483627204</v>
      </c>
      <c r="N100" s="142" t="n">
        <f aca="false">IFERROR(IF(OR(NOT(ISNUMBER('Price History'!N101)),NOT(ISNUMBER('Price History'!N100)),'Price History'!N100=0),"",'Price History'!N101/'Price History'!N100-1),"")</f>
        <v>-0.0344299923488907</v>
      </c>
      <c r="O100" s="142" t="n">
        <f aca="false">IFERROR(IF(OR(NOT(ISNUMBER('Price History'!O101)),NOT(ISNUMBER('Price History'!O100)),'Price History'!O100=0),"",'Price History'!O101/'Price History'!O100-1),"")</f>
        <v>-0.0157169198349285</v>
      </c>
      <c r="P100" s="142" t="n">
        <f aca="false">IFERROR(IF(OR(NOT(ISNUMBER('Price History'!P101)),NOT(ISNUMBER('Price History'!P100)),'Price History'!P100=0),"",'Price History'!P101/'Price History'!P100-1),"")</f>
        <v>-0.0423099149673905</v>
      </c>
      <c r="Q100" s="142" t="n">
        <f aca="false">IFERROR(IF(OR(NOT(ISNUMBER('Price History'!Q101)),NOT(ISNUMBER('Price History'!Q100)),'Price History'!Q100=0),"",'Price History'!Q101/'Price History'!Q100-1),"")</f>
        <v>-0.0495489125823694</v>
      </c>
      <c r="R100" s="142" t="n">
        <f aca="false">IFERROR(IF(OR(NOT(ISNUMBER('Price History'!R101)),NOT(ISNUMBER('Price History'!R100)),'Price History'!R100=0),"",'Price History'!R101/'Price History'!R100-1),"")</f>
        <v>0.0288151658767772</v>
      </c>
      <c r="S100" s="142" t="n">
        <f aca="false">IFERROR(IF(OR(NOT(ISNUMBER('Price History'!S101)),NOT(ISNUMBER('Price History'!S100)),'Price History'!S100=0),"",'Price History'!S101/'Price History'!S100-1),"")</f>
        <v>0.0461135534561781</v>
      </c>
      <c r="T100" s="142" t="n">
        <f aca="false">IFERROR(IF(OR(NOT(ISNUMBER('Price History'!T101)),NOT(ISNUMBER('Price History'!T100)),'Price History'!T100=0),"",'Price History'!T101/'Price History'!T100-1),"")</f>
        <v>0.00856408792463603</v>
      </c>
      <c r="U100" s="142" t="str">
        <f aca="false">IFERROR(IF(OR(NOT(ISNUMBER('Price History'!U101)),NOT(ISNUMBER('Price History'!U100)),'Price History'!U100=0),"",'Price History'!U101/'Price History'!U100-1),"")</f>
        <v/>
      </c>
      <c r="V100" s="143" t="n">
        <f aca="false">IFERROR(IF(OR(NOT(ISNUMBER('Price History'!V101)),NOT(ISNUMBER('Price History'!V100)),'Price History'!V100=0),"",'Price History'!V101/'Price History'!V100-1),"")</f>
        <v>0.0296758030361777</v>
      </c>
      <c r="W100" s="144" t="str">
        <f aca="false">IFERROR('Price History'!B3+(INDEX('Price History'!B:B,MATCH(9.99E+307,'Price History'!$A:$A))-'Price History'!B3)*(ROW()-3)/(MATCH(9.99E+307,'Returns (Calc)'!$A:$A)-3),"")</f>
        <v/>
      </c>
      <c r="X100" s="144" t="n">
        <f aca="false">IFERROR('Price History'!C3+(INDEX('Price History'!C:C,MATCH(9.99E+307,'Price History'!$A:$A))-'Price History'!C3)*(ROW()-3)/(MATCH(9.99E+307,'Returns (Calc)'!$A:$A)-3),"")</f>
        <v>17.8289873417722</v>
      </c>
      <c r="Y100" s="144" t="n">
        <f aca="false">IFERROR('Price History'!D3+(INDEX('Price History'!D:D,MATCH(9.99E+307,'Price History'!$A:$A))-'Price History'!D3)*(ROW()-3)/(MATCH(9.99E+307,'Returns (Calc)'!$A:$A)-3),"")</f>
        <v>224.700063291139</v>
      </c>
      <c r="Z100" s="144" t="n">
        <f aca="false">IFERROR('Price History'!E3+(INDEX('Price History'!E:E,MATCH(9.99E+307,'Price History'!$A:$A))-'Price History'!E3)*(ROW()-3)/(MATCH(9.99E+307,'Returns (Calc)'!$A:$A)-3),"")</f>
        <v>31.6582278481013</v>
      </c>
      <c r="AA100" s="144" t="n">
        <f aca="false">IFERROR('Price History'!F3+(INDEX('Price History'!F:F,MATCH(9.99E+307,'Price History'!$A:$A))-'Price History'!F3)*(ROW()-3)/(MATCH(9.99E+307,'Returns (Calc)'!$A:$A)-3),"")</f>
        <v>29.0753797468354</v>
      </c>
      <c r="AB100" s="144" t="n">
        <f aca="false">IFERROR('Price History'!G3+(INDEX('Price History'!G:G,MATCH(9.99E+307,'Price History'!$A:$A))-'Price History'!G3)*(ROW()-3)/(MATCH(9.99E+307,'Returns (Calc)'!$A:$A)-3),"")</f>
        <v>15.9681012658228</v>
      </c>
      <c r="AC100" s="144" t="n">
        <f aca="false">IFERROR('Price History'!H3+(INDEX('Price History'!H:H,MATCH(9.99E+307,'Price History'!$A:$A))-'Price History'!H3)*(ROW()-3)/(MATCH(9.99E+307,'Returns (Calc)'!$A:$A)-3),"")</f>
        <v>38.8353797468355</v>
      </c>
      <c r="AD100" s="144" t="n">
        <f aca="false">IFERROR('Price History'!I3+(INDEX('Price History'!I:I,MATCH(9.99E+307,'Price History'!$A:$A))-'Price History'!I3)*(ROW()-3)/(MATCH(9.99E+307,'Returns (Calc)'!$A:$A)-3),"")</f>
        <v>17.1224683544304</v>
      </c>
      <c r="AE100" s="144" t="n">
        <f aca="false">IFERROR('Price History'!J3+(INDEX('Price History'!J:J,MATCH(9.99E+307,'Price History'!$A:$A))-'Price History'!J3)*(ROW()-3)/(MATCH(9.99E+307,'Returns (Calc)'!$A:$A)-3),"")</f>
        <v>26.6817088607595</v>
      </c>
      <c r="AF100" s="144" t="n">
        <f aca="false">IFERROR('Price History'!K3+(INDEX('Price History'!K:K,MATCH(9.99E+307,'Price History'!$A:$A))-'Price History'!K3)*(ROW()-3)/(MATCH(9.99E+307,'Returns (Calc)'!$A:$A)-3),"")</f>
        <v>16.8985443037975</v>
      </c>
      <c r="AG100" s="144" t="n">
        <f aca="false">IFERROR('Price History'!L3+(INDEX('Price History'!L:L,MATCH(9.99E+307,'Price History'!$A:$A))-'Price History'!L3)*(ROW()-3)/(MATCH(9.99E+307,'Returns (Calc)'!$A:$A)-3),"")</f>
        <v>43.1787341772152</v>
      </c>
      <c r="AH100" s="144" t="n">
        <f aca="false">IFERROR('Price History'!M3+(INDEX('Price History'!M:M,MATCH(9.99E+307,'Price History'!$A:$A))-'Price History'!M3)*(ROW()-3)/(MATCH(9.99E+307,'Returns (Calc)'!$A:$A)-3),"")</f>
        <v>5.91854430379747</v>
      </c>
      <c r="AI100" s="144" t="n">
        <f aca="false">IFERROR('Price History'!N3+(INDEX('Price History'!N:N,MATCH(9.99E+307,'Price History'!$A:$A))-'Price History'!N3)*(ROW()-3)/(MATCH(9.99E+307,'Returns (Calc)'!$A:$A)-3),"")</f>
        <v>8.41645569620253</v>
      </c>
      <c r="AJ100" s="144" t="n">
        <f aca="false">IFERROR('Price History'!O3+(INDEX('Price History'!O:O,MATCH(9.99E+307,'Price History'!$A:$A))-'Price History'!O3)*(ROW()-3)/(MATCH(9.99E+307,'Returns (Calc)'!$A:$A)-3),"")</f>
        <v>22.2495569620253</v>
      </c>
      <c r="AK100" s="144" t="n">
        <f aca="false">IFERROR('Price History'!Q3+(INDEX('Price History'!Q:Q,MATCH(9.99E+307,'Price History'!$A:$A))-'Price History'!Q3)*(ROW()-3)/(MATCH(9.99E+307,'Returns (Calc)'!$A:$A)-3),"")</f>
        <v>90.9710759493671</v>
      </c>
      <c r="AL100" s="144" t="n">
        <f aca="false">IFERROR('Price History'!R3+(INDEX('Price History'!R:R,MATCH(9.99E+307,'Price History'!$A:$A))-'Price History'!R3)*(ROW()-3)/(MATCH(9.99E+307,'Returns (Calc)'!$A:$A)-3),"")</f>
        <v>18.4621518987342</v>
      </c>
      <c r="AM100" s="144" t="n">
        <f aca="false">IFERROR('Price History'!S3+(INDEX('Price History'!S:S,MATCH(9.99E+307,'Price History'!$A:$A))-'Price History'!S3)*(ROW()-3)/(MATCH(9.99E+307,'Returns (Calc)'!$A:$A)-3),"")</f>
        <v>22.6008860759494</v>
      </c>
      <c r="AN100" s="144" t="n">
        <f aca="false">IFERROR('Price History'!T3+(INDEX('Price History'!T:T,MATCH(9.99E+307,'Price History'!$A:$A))-'Price History'!T3)*(ROW()-3)/(MATCH(9.99E+307,'Returns (Calc)'!$A:$A)-3),"")</f>
        <v>10.3893037974684</v>
      </c>
      <c r="AO100" s="145" t="n">
        <f aca="false">IFERROR('Price History'!V3+(INDEX('Price History'!V:V,MATCH(9.99E+307,'Price History'!$A:$A))-'Price History'!V3)*(ROW()-3)/(MATCH(9.99E+307,'Returns (Calc)'!$A:$A)-3),"")</f>
        <v>0</v>
      </c>
    </row>
    <row r="101" customFormat="false" ht="15" hidden="false" customHeight="true" outlineLevel="0" collapsed="false">
      <c r="A101" s="141" t="n">
        <f aca="false">IF('Price History'!A102="","",'Price History'!A102)</f>
        <v>45877</v>
      </c>
      <c r="B101" s="142" t="n">
        <f aca="false">IFERROR(IF(OR(NOT(ISNUMBER('Price History'!B102)),NOT(ISNUMBER('Price History'!B101)),'Price History'!B101=0),"",'Price History'!B102/'Price History'!B101-1),"")</f>
        <v>-0.0194077055779184</v>
      </c>
      <c r="C101" s="142" t="n">
        <f aca="false">IFERROR(IF(OR(NOT(ISNUMBER('Price History'!C102)),NOT(ISNUMBER('Price History'!C101)),'Price History'!C101=0),"",'Price History'!C102/'Price History'!C101-1),"")</f>
        <v>0.183805392532109</v>
      </c>
      <c r="D101" s="142" t="n">
        <f aca="false">IFERROR(IF(OR(NOT(ISNUMBER('Price History'!D102)),NOT(ISNUMBER('Price History'!D101)),'Price History'!D101=0),"",'Price History'!D102/'Price History'!D101-1),"")</f>
        <v>0.0471027710087406</v>
      </c>
      <c r="E101" s="142" t="n">
        <f aca="false">IFERROR(IF(OR(NOT(ISNUMBER('Price History'!E102)),NOT(ISNUMBER('Price History'!E101)),'Price History'!E101=0),"",'Price History'!E102/'Price History'!E101-1),"")</f>
        <v>0.0565694706663871</v>
      </c>
      <c r="F101" s="142" t="n">
        <f aca="false">IFERROR(IF(OR(NOT(ISNUMBER('Price History'!F102)),NOT(ISNUMBER('Price History'!F101)),'Price History'!F101=0),"",'Price History'!F102/'Price History'!F101-1),"")</f>
        <v>0.0233160621761657</v>
      </c>
      <c r="G101" s="142" t="n">
        <f aca="false">IFERROR(IF(OR(NOT(ISNUMBER('Price History'!G102)),NOT(ISNUMBER('Price History'!G101)),'Price History'!G101=0),"",'Price History'!G102/'Price History'!G101-1),"")</f>
        <v>-0.0497000089549565</v>
      </c>
      <c r="H101" s="142" t="n">
        <f aca="false">IFERROR(IF(OR(NOT(ISNUMBER('Price History'!H102)),NOT(ISNUMBER('Price History'!H101)),'Price History'!H101=0),"",'Price History'!H102/'Price History'!H101-1),"")</f>
        <v>0.0161479054528433</v>
      </c>
      <c r="I101" s="142" t="n">
        <f aca="false">IFERROR(IF(OR(NOT(ISNUMBER('Price History'!I102)),NOT(ISNUMBER('Price History'!I101)),'Price History'!I101=0),"",'Price History'!I102/'Price History'!I101-1),"")</f>
        <v>0.0317045454545455</v>
      </c>
      <c r="J101" s="142" t="n">
        <f aca="false">IFERROR(IF(OR(NOT(ISNUMBER('Price History'!J102)),NOT(ISNUMBER('Price History'!J101)),'Price History'!J101=0),"",'Price History'!J102/'Price History'!J101-1),"")</f>
        <v>0.133607105338554</v>
      </c>
      <c r="K101" s="142" t="n">
        <f aca="false">IFERROR(IF(OR(NOT(ISNUMBER('Price History'!K102)),NOT(ISNUMBER('Price History'!K101)),'Price History'!K101=0),"",'Price History'!K102/'Price History'!K101-1),"")</f>
        <v>0.0516445470282747</v>
      </c>
      <c r="L101" s="142" t="n">
        <f aca="false">IFERROR(IF(OR(NOT(ISNUMBER('Price History'!L102)),NOT(ISNUMBER('Price History'!L101)),'Price History'!L101=0),"",'Price History'!L102/'Price History'!L101-1),"")</f>
        <v>0.00733981352906188</v>
      </c>
      <c r="M101" s="142" t="n">
        <f aca="false">IFERROR(IF(OR(NOT(ISNUMBER('Price History'!M102)),NOT(ISNUMBER('Price History'!M101)),'Price History'!M101=0),"",'Price History'!M102/'Price History'!M101-1),"")</f>
        <v>0.211901212160498</v>
      </c>
      <c r="N101" s="142" t="n">
        <f aca="false">IFERROR(IF(OR(NOT(ISNUMBER('Price History'!N102)),NOT(ISNUMBER('Price History'!N101)),'Price History'!N101=0),"",'Price History'!N102/'Price History'!N101-1),"")</f>
        <v>0.0190174326465928</v>
      </c>
      <c r="O101" s="142" t="n">
        <f aca="false">IFERROR(IF(OR(NOT(ISNUMBER('Price History'!O102)),NOT(ISNUMBER('Price History'!O101)),'Price History'!O101=0),"",'Price History'!O102/'Price History'!O101-1),"")</f>
        <v>0.0349687778768957</v>
      </c>
      <c r="P101" s="142" t="n">
        <f aca="false">IFERROR(IF(OR(NOT(ISNUMBER('Price History'!P102)),NOT(ISNUMBER('Price History'!P101)),'Price History'!P101=0),"",'Price History'!P102/'Price History'!P101-1),"")</f>
        <v>0.0281453385629931</v>
      </c>
      <c r="Q101" s="142" t="n">
        <f aca="false">IFERROR(IF(OR(NOT(ISNUMBER('Price History'!Q102)),NOT(ISNUMBER('Price History'!Q101)),'Price History'!Q101=0),"",'Price History'!Q102/'Price History'!Q101-1),"")</f>
        <v>-0.00758770494242278</v>
      </c>
      <c r="R101" s="142" t="n">
        <f aca="false">IFERROR(IF(OR(NOT(ISNUMBER('Price History'!R102)),NOT(ISNUMBER('Price History'!R101)),'Price History'!R101=0),"",'Price History'!R102/'Price History'!R101-1),"")</f>
        <v>-0.00202690252441506</v>
      </c>
      <c r="S101" s="142" t="n">
        <f aca="false">IFERROR(IF(OR(NOT(ISNUMBER('Price History'!S102)),NOT(ISNUMBER('Price History'!S101)),'Price History'!S101=0),"",'Price History'!S102/'Price History'!S101-1),"")</f>
        <v>0.00599070100143062</v>
      </c>
      <c r="T101" s="142" t="n">
        <f aca="false">IFERROR(IF(OR(NOT(ISNUMBER('Price History'!T102)),NOT(ISNUMBER('Price History'!T101)),'Price History'!T101=0),"",'Price History'!T102/'Price History'!T101-1),"")</f>
        <v>0.0124540050948203</v>
      </c>
      <c r="U101" s="142" t="str">
        <f aca="false">IFERROR(IF(OR(NOT(ISNUMBER('Price History'!U102)),NOT(ISNUMBER('Price History'!U101)),'Price History'!U101=0),"",'Price History'!U102/'Price History'!U101-1),"")</f>
        <v/>
      </c>
      <c r="V101" s="143" t="str">
        <f aca="false">IFERROR(IF(OR(NOT(ISNUMBER('Price History'!V102)),NOT(ISNUMBER('Price History'!V101)),'Price History'!V101=0),"",'Price History'!V102/'Price History'!V101-1),"")</f>
        <v/>
      </c>
      <c r="W101" s="144" t="str">
        <f aca="false">IFERROR('Price History'!B3+(INDEX('Price History'!B:B,MATCH(9.99E+307,'Price History'!$A:$A))-'Price History'!B3)*(ROW()-3)/(MATCH(9.99E+307,'Returns (Calc)'!$A:$A)-3),"")</f>
        <v/>
      </c>
      <c r="X101" s="144" t="n">
        <f aca="false">IFERROR('Price History'!C3+(INDEX('Price History'!C:C,MATCH(9.99E+307,'Price History'!$A:$A))-'Price History'!C3)*(ROW()-3)/(MATCH(9.99E+307,'Returns (Calc)'!$A:$A)-3),"")</f>
        <v>17.5367088607595</v>
      </c>
      <c r="Y101" s="144" t="n">
        <f aca="false">IFERROR('Price History'!D3+(INDEX('Price History'!D:D,MATCH(9.99E+307,'Price History'!$A:$A))-'Price History'!D3)*(ROW()-3)/(MATCH(9.99E+307,'Returns (Calc)'!$A:$A)-3),"")</f>
        <v>221.016455696203</v>
      </c>
      <c r="Z101" s="144" t="n">
        <f aca="false">IFERROR('Price History'!E3+(INDEX('Price History'!E:E,MATCH(9.99E+307,'Price History'!$A:$A))-'Price History'!E3)*(ROW()-3)/(MATCH(9.99E+307,'Returns (Calc)'!$A:$A)-3),"")</f>
        <v>31.1392405063291</v>
      </c>
      <c r="AA101" s="144" t="n">
        <f aca="false">IFERROR('Price History'!F3+(INDEX('Price History'!F:F,MATCH(9.99E+307,'Price History'!$A:$A))-'Price History'!F3)*(ROW()-3)/(MATCH(9.99E+307,'Returns (Calc)'!$A:$A)-3),"")</f>
        <v>28.5987341772152</v>
      </c>
      <c r="AB101" s="144" t="n">
        <f aca="false">IFERROR('Price History'!G3+(INDEX('Price History'!G:G,MATCH(9.99E+307,'Price History'!$A:$A))-'Price History'!G3)*(ROW()-3)/(MATCH(9.99E+307,'Returns (Calc)'!$A:$A)-3),"")</f>
        <v>15.7063291139241</v>
      </c>
      <c r="AC101" s="144" t="n">
        <f aca="false">IFERROR('Price History'!H3+(INDEX('Price History'!H:H,MATCH(9.99E+307,'Price History'!$A:$A))-'Price History'!H3)*(ROW()-3)/(MATCH(9.99E+307,'Returns (Calc)'!$A:$A)-3),"")</f>
        <v>38.1987341772152</v>
      </c>
      <c r="AD101" s="144" t="n">
        <f aca="false">IFERROR('Price History'!I3+(INDEX('Price History'!I:I,MATCH(9.99E+307,'Price History'!$A:$A))-'Price History'!I3)*(ROW()-3)/(MATCH(9.99E+307,'Returns (Calc)'!$A:$A)-3),"")</f>
        <v>16.8417721518987</v>
      </c>
      <c r="AE101" s="144" t="n">
        <f aca="false">IFERROR('Price History'!J3+(INDEX('Price History'!J:J,MATCH(9.99E+307,'Price History'!$A:$A))-'Price History'!J3)*(ROW()-3)/(MATCH(9.99E+307,'Returns (Calc)'!$A:$A)-3),"")</f>
        <v>26.2443037974684</v>
      </c>
      <c r="AF101" s="144" t="n">
        <f aca="false">IFERROR('Price History'!K3+(INDEX('Price History'!K:K,MATCH(9.99E+307,'Price History'!$A:$A))-'Price History'!K3)*(ROW()-3)/(MATCH(9.99E+307,'Returns (Calc)'!$A:$A)-3),"")</f>
        <v>16.6215189873418</v>
      </c>
      <c r="AG101" s="144" t="n">
        <f aca="false">IFERROR('Price History'!L3+(INDEX('Price History'!L:L,MATCH(9.99E+307,'Price History'!$A:$A))-'Price History'!L3)*(ROW()-3)/(MATCH(9.99E+307,'Returns (Calc)'!$A:$A)-3),"")</f>
        <v>42.4708860759494</v>
      </c>
      <c r="AH101" s="144" t="n">
        <f aca="false">IFERROR('Price History'!M3+(INDEX('Price History'!M:M,MATCH(9.99E+307,'Price History'!$A:$A))-'Price History'!M3)*(ROW()-3)/(MATCH(9.99E+307,'Returns (Calc)'!$A:$A)-3),"")</f>
        <v>5.82151898734177</v>
      </c>
      <c r="AI101" s="144" t="n">
        <f aca="false">IFERROR('Price History'!N3+(INDEX('Price History'!N:N,MATCH(9.99E+307,'Price History'!$A:$A))-'Price History'!N3)*(ROW()-3)/(MATCH(9.99E+307,'Returns (Calc)'!$A:$A)-3),"")</f>
        <v>8.27848101265823</v>
      </c>
      <c r="AJ101" s="144" t="n">
        <f aca="false">IFERROR('Price History'!O3+(INDEX('Price History'!O:O,MATCH(9.99E+307,'Price History'!$A:$A))-'Price History'!O3)*(ROW()-3)/(MATCH(9.99E+307,'Returns (Calc)'!$A:$A)-3),"")</f>
        <v>21.8848101265823</v>
      </c>
      <c r="AK101" s="144" t="n">
        <f aca="false">IFERROR('Price History'!Q3+(INDEX('Price History'!Q:Q,MATCH(9.99E+307,'Price History'!$A:$A))-'Price History'!Q3)*(ROW()-3)/(MATCH(9.99E+307,'Returns (Calc)'!$A:$A)-3),"")</f>
        <v>89.4797468354431</v>
      </c>
      <c r="AL101" s="144" t="n">
        <f aca="false">IFERROR('Price History'!R3+(INDEX('Price History'!R:R,MATCH(9.99E+307,'Price History'!$A:$A))-'Price History'!R3)*(ROW()-3)/(MATCH(9.99E+307,'Returns (Calc)'!$A:$A)-3),"")</f>
        <v>18.1594936708861</v>
      </c>
      <c r="AM101" s="144" t="n">
        <f aca="false">IFERROR('Price History'!S3+(INDEX('Price History'!S:S,MATCH(9.99E+307,'Price History'!$A:$A))-'Price History'!S3)*(ROW()-3)/(MATCH(9.99E+307,'Returns (Calc)'!$A:$A)-3),"")</f>
        <v>22.2303797468354</v>
      </c>
      <c r="AN101" s="144" t="n">
        <f aca="false">IFERROR('Price History'!T3+(INDEX('Price History'!T:T,MATCH(9.99E+307,'Price History'!$A:$A))-'Price History'!T3)*(ROW()-3)/(MATCH(9.99E+307,'Returns (Calc)'!$A:$A)-3),"")</f>
        <v>10.2189873417722</v>
      </c>
      <c r="AO101" s="145" t="n">
        <f aca="false">IFERROR('Price History'!V3+(INDEX('Price History'!V:V,MATCH(9.99E+307,'Price History'!$A:$A))-'Price History'!V3)*(ROW()-3)/(MATCH(9.99E+307,'Returns (Calc)'!$A:$A)-3),"")</f>
        <v>0</v>
      </c>
    </row>
    <row r="102" customFormat="false" ht="15" hidden="false" customHeight="true" outlineLevel="0" collapsed="false">
      <c r="A102" s="141" t="n">
        <f aca="false">IF('Price History'!A103="","",'Price History'!A103)</f>
        <v>45884</v>
      </c>
      <c r="B102" s="142" t="n">
        <f aca="false">IFERROR(IF(OR(NOT(ISNUMBER('Price History'!B103)),NOT(ISNUMBER('Price History'!B102)),'Price History'!B102=0),"",'Price History'!B103/'Price History'!B102-1),"")</f>
        <v>0.0404632751795924</v>
      </c>
      <c r="C102" s="142" t="n">
        <f aca="false">IFERROR(IF(OR(NOT(ISNUMBER('Price History'!C103)),NOT(ISNUMBER('Price History'!C102)),'Price History'!C102=0),"",'Price History'!C103/'Price History'!C102-1),"")</f>
        <v>-0.0135076878861905</v>
      </c>
      <c r="D102" s="142" t="n">
        <f aca="false">IFERROR(IF(OR(NOT(ISNUMBER('Price History'!D103)),NOT(ISNUMBER('Price History'!D102)),'Price History'!D102=0),"",'Price History'!D103/'Price History'!D102-1),"")</f>
        <v>0.0274669379450661</v>
      </c>
      <c r="E102" s="142" t="n">
        <f aca="false">IFERROR(IF(OR(NOT(ISNUMBER('Price History'!E103)),NOT(ISNUMBER('Price History'!E102)),'Price History'!E102=0),"",'Price History'!E103/'Price History'!E102-1),"")</f>
        <v>0.00450033090668445</v>
      </c>
      <c r="F102" s="142" t="n">
        <f aca="false">IFERROR(IF(OR(NOT(ISNUMBER('Price History'!F103)),NOT(ISNUMBER('Price History'!F102)),'Price History'!F102=0),"",'Price History'!F103/'Price History'!F102-1),"")</f>
        <v>0.0298293891029169</v>
      </c>
      <c r="G102" s="142" t="n">
        <f aca="false">IFERROR(IF(OR(NOT(ISNUMBER('Price History'!G103)),NOT(ISNUMBER('Price History'!G102)),'Price History'!G102=0),"",'Price History'!G103/'Price History'!G102-1),"")</f>
        <v>0.00800980022615905</v>
      </c>
      <c r="H102" s="142" t="n">
        <f aca="false">IFERROR(IF(OR(NOT(ISNUMBER('Price History'!H103)),NOT(ISNUMBER('Price History'!H102)),'Price History'!H102=0),"",'Price History'!H103/'Price History'!H102-1),"")</f>
        <v>0.0153539075694764</v>
      </c>
      <c r="I102" s="142" t="n">
        <f aca="false">IFERROR(IF(OR(NOT(ISNUMBER('Price History'!I103)),NOT(ISNUMBER('Price History'!I102)),'Price History'!I102=0),"",'Price History'!I103/'Price History'!I102-1),"")</f>
        <v>-0.0435069941623527</v>
      </c>
      <c r="J102" s="142" t="n">
        <f aca="false">IFERROR(IF(OR(NOT(ISNUMBER('Price History'!J103)),NOT(ISNUMBER('Price History'!J102)),'Price History'!J102=0),"",'Price History'!J103/'Price History'!J102-1),"")</f>
        <v>0.016680707666386</v>
      </c>
      <c r="K102" s="142" t="n">
        <f aca="false">IFERROR(IF(OR(NOT(ISNUMBER('Price History'!K103)),NOT(ISNUMBER('Price History'!K102)),'Price History'!K102=0),"",'Price History'!K103/'Price History'!K102-1),"")</f>
        <v>-0.0122908093278464</v>
      </c>
      <c r="L102" s="142" t="n">
        <f aca="false">IFERROR(IF(OR(NOT(ISNUMBER('Price History'!L103)),NOT(ISNUMBER('Price History'!L102)),'Price History'!L102=0),"",'Price History'!L103/'Price History'!L102-1),"")</f>
        <v>0.00856636471051608</v>
      </c>
      <c r="M102" s="142" t="n">
        <f aca="false">IFERROR(IF(OR(NOT(ISNUMBER('Price History'!M103)),NOT(ISNUMBER('Price History'!M102)),'Price History'!M102=0),"",'Price History'!M103/'Price History'!M102-1),"")</f>
        <v>-0.0523641420624734</v>
      </c>
      <c r="N102" s="142" t="n">
        <f aca="false">IFERROR(IF(OR(NOT(ISNUMBER('Price History'!N103)),NOT(ISNUMBER('Price History'!N102)),'Price History'!N102=0),"",'Price History'!N103/'Price History'!N102-1),"")</f>
        <v>0.0167185069984448</v>
      </c>
      <c r="O102" s="142" t="n">
        <f aca="false">IFERROR(IF(OR(NOT(ISNUMBER('Price History'!O103)),NOT(ISNUMBER('Price History'!O102)),'Price History'!O102=0),"",'Price History'!O103/'Price History'!O102-1),"")</f>
        <v>0.00103430443027075</v>
      </c>
      <c r="P102" s="142" t="n">
        <f aca="false">IFERROR(IF(OR(NOT(ISNUMBER('Price History'!P103)),NOT(ISNUMBER('Price History'!P102)),'Price History'!P102=0),"",'Price History'!P103/'Price History'!P102-1),"")</f>
        <v>-0.0121992118722227</v>
      </c>
      <c r="Q102" s="142" t="n">
        <f aca="false">IFERROR(IF(OR(NOT(ISNUMBER('Price History'!Q103)),NOT(ISNUMBER('Price History'!Q102)),'Price History'!Q102=0),"",'Price History'!Q103/'Price History'!Q102-1),"")</f>
        <v>0.0246461981290478</v>
      </c>
      <c r="R102" s="142" t="n">
        <f aca="false">IFERROR(IF(OR(NOT(ISNUMBER('Price History'!R103)),NOT(ISNUMBER('Price History'!R102)),'Price History'!R102=0),"",'Price History'!R103/'Price History'!R102-1),"")</f>
        <v>0.00369276218611536</v>
      </c>
      <c r="S102" s="142" t="n">
        <f aca="false">IFERROR(IF(OR(NOT(ISNUMBER('Price History'!S103)),NOT(ISNUMBER('Price History'!S102)),'Price History'!S102=0),"",'Price History'!S103/'Price History'!S102-1),"")</f>
        <v>-0.00302195360412416</v>
      </c>
      <c r="T102" s="142" t="n">
        <f aca="false">IFERROR(IF(OR(NOT(ISNUMBER('Price History'!T103)),NOT(ISNUMBER('Price History'!T102)),'Price History'!T102=0),"",'Price History'!T103/'Price History'!T102-1),"")</f>
        <v>0.00195694716242656</v>
      </c>
      <c r="U102" s="142" t="str">
        <f aca="false">IFERROR(IF(OR(NOT(ISNUMBER('Price History'!U103)),NOT(ISNUMBER('Price History'!U102)),'Price History'!U102=0),"",'Price History'!U103/'Price History'!U102-1),"")</f>
        <v/>
      </c>
      <c r="V102" s="143" t="str">
        <f aca="false">IFERROR(IF(OR(NOT(ISNUMBER('Price History'!V103)),NOT(ISNUMBER('Price History'!V102)),'Price History'!V102=0),"",'Price History'!V103/'Price History'!V102-1),"")</f>
        <v/>
      </c>
      <c r="W102" s="144" t="str">
        <f aca="false">IFERROR('Price History'!B3+(INDEX('Price History'!B:B,MATCH(9.99E+307,'Price History'!$A:$A))-'Price History'!B3)*(ROW()-3)/(MATCH(9.99E+307,'Returns (Calc)'!$A:$A)-3),"")</f>
        <v/>
      </c>
      <c r="X102" s="144" t="n">
        <f aca="false">IFERROR('Price History'!C3+(INDEX('Price History'!C:C,MATCH(9.99E+307,'Price History'!$A:$A))-'Price History'!C3)*(ROW()-3)/(MATCH(9.99E+307,'Returns (Calc)'!$A:$A)-3),"")</f>
        <v>17.2444303797468</v>
      </c>
      <c r="Y102" s="144" t="n">
        <f aca="false">IFERROR('Price History'!D3+(INDEX('Price History'!D:D,MATCH(9.99E+307,'Price History'!$A:$A))-'Price History'!D3)*(ROW()-3)/(MATCH(9.99E+307,'Returns (Calc)'!$A:$A)-3),"")</f>
        <v>217.332848101266</v>
      </c>
      <c r="Z102" s="144" t="n">
        <f aca="false">IFERROR('Price History'!E3+(INDEX('Price History'!E:E,MATCH(9.99E+307,'Price History'!$A:$A))-'Price History'!E3)*(ROW()-3)/(MATCH(9.99E+307,'Returns (Calc)'!$A:$A)-3),"")</f>
        <v>30.620253164557</v>
      </c>
      <c r="AA102" s="144" t="n">
        <f aca="false">IFERROR('Price History'!F3+(INDEX('Price History'!F:F,MATCH(9.99E+307,'Price History'!$A:$A))-'Price History'!F3)*(ROW()-3)/(MATCH(9.99E+307,'Returns (Calc)'!$A:$A)-3),"")</f>
        <v>28.1220886075949</v>
      </c>
      <c r="AB102" s="144" t="n">
        <f aca="false">IFERROR('Price History'!G3+(INDEX('Price History'!G:G,MATCH(9.99E+307,'Price History'!$A:$A))-'Price History'!G3)*(ROW()-3)/(MATCH(9.99E+307,'Returns (Calc)'!$A:$A)-3),"")</f>
        <v>15.4445569620253</v>
      </c>
      <c r="AC102" s="144" t="n">
        <f aca="false">IFERROR('Price History'!H3+(INDEX('Price History'!H:H,MATCH(9.99E+307,'Price History'!$A:$A))-'Price History'!H3)*(ROW()-3)/(MATCH(9.99E+307,'Returns (Calc)'!$A:$A)-3),"")</f>
        <v>37.5620886075949</v>
      </c>
      <c r="AD102" s="144" t="n">
        <f aca="false">IFERROR('Price History'!I3+(INDEX('Price History'!I:I,MATCH(9.99E+307,'Price History'!$A:$A))-'Price History'!I3)*(ROW()-3)/(MATCH(9.99E+307,'Returns (Calc)'!$A:$A)-3),"")</f>
        <v>16.5610759493671</v>
      </c>
      <c r="AE102" s="144" t="n">
        <f aca="false">IFERROR('Price History'!J3+(INDEX('Price History'!J:J,MATCH(9.99E+307,'Price History'!$A:$A))-'Price History'!J3)*(ROW()-3)/(MATCH(9.99E+307,'Returns (Calc)'!$A:$A)-3),"")</f>
        <v>25.8068987341772</v>
      </c>
      <c r="AF102" s="144" t="n">
        <f aca="false">IFERROR('Price History'!K3+(INDEX('Price History'!K:K,MATCH(9.99E+307,'Price History'!$A:$A))-'Price History'!K3)*(ROW()-3)/(MATCH(9.99E+307,'Returns (Calc)'!$A:$A)-3),"")</f>
        <v>16.3444936708861</v>
      </c>
      <c r="AG102" s="144" t="n">
        <f aca="false">IFERROR('Price History'!L3+(INDEX('Price History'!L:L,MATCH(9.99E+307,'Price History'!$A:$A))-'Price History'!L3)*(ROW()-3)/(MATCH(9.99E+307,'Returns (Calc)'!$A:$A)-3),"")</f>
        <v>41.7630379746835</v>
      </c>
      <c r="AH102" s="144" t="n">
        <f aca="false">IFERROR('Price History'!M3+(INDEX('Price History'!M:M,MATCH(9.99E+307,'Price History'!$A:$A))-'Price History'!M3)*(ROW()-3)/(MATCH(9.99E+307,'Returns (Calc)'!$A:$A)-3),"")</f>
        <v>5.72449367088608</v>
      </c>
      <c r="AI102" s="144" t="n">
        <f aca="false">IFERROR('Price History'!N3+(INDEX('Price History'!N:N,MATCH(9.99E+307,'Price History'!$A:$A))-'Price History'!N3)*(ROW()-3)/(MATCH(9.99E+307,'Returns (Calc)'!$A:$A)-3),"")</f>
        <v>8.14050632911392</v>
      </c>
      <c r="AJ102" s="144" t="n">
        <f aca="false">IFERROR('Price History'!O3+(INDEX('Price History'!O:O,MATCH(9.99E+307,'Price History'!$A:$A))-'Price History'!O3)*(ROW()-3)/(MATCH(9.99E+307,'Returns (Calc)'!$A:$A)-3),"")</f>
        <v>21.5200632911392</v>
      </c>
      <c r="AK102" s="144" t="n">
        <f aca="false">IFERROR('Price History'!Q3+(INDEX('Price History'!Q:Q,MATCH(9.99E+307,'Price History'!$A:$A))-'Price History'!Q3)*(ROW()-3)/(MATCH(9.99E+307,'Returns (Calc)'!$A:$A)-3),"")</f>
        <v>87.988417721519</v>
      </c>
      <c r="AL102" s="144" t="n">
        <f aca="false">IFERROR('Price History'!R3+(INDEX('Price History'!R:R,MATCH(9.99E+307,'Price History'!$A:$A))-'Price History'!R3)*(ROW()-3)/(MATCH(9.99E+307,'Returns (Calc)'!$A:$A)-3),"")</f>
        <v>17.856835443038</v>
      </c>
      <c r="AM102" s="144" t="n">
        <f aca="false">IFERROR('Price History'!S3+(INDEX('Price History'!S:S,MATCH(9.99E+307,'Price History'!$A:$A))-'Price History'!S3)*(ROW()-3)/(MATCH(9.99E+307,'Returns (Calc)'!$A:$A)-3),"")</f>
        <v>21.8598734177215</v>
      </c>
      <c r="AN102" s="144" t="n">
        <f aca="false">IFERROR('Price History'!T3+(INDEX('Price History'!T:T,MATCH(9.99E+307,'Price History'!$A:$A))-'Price History'!T3)*(ROW()-3)/(MATCH(9.99E+307,'Returns (Calc)'!$A:$A)-3),"")</f>
        <v>10.048670886076</v>
      </c>
      <c r="AO102" s="145" t="n">
        <f aca="false">IFERROR('Price History'!V3+(INDEX('Price History'!V:V,MATCH(9.99E+307,'Price History'!$A:$A))-'Price History'!V3)*(ROW()-3)/(MATCH(9.99E+307,'Returns (Calc)'!$A:$A)-3),"")</f>
        <v>0</v>
      </c>
    </row>
    <row r="103" customFormat="false" ht="15" hidden="false" customHeight="true" outlineLevel="0" collapsed="false">
      <c r="A103" s="141" t="n">
        <f aca="false">IF('Price History'!A104="","",'Price History'!A104)</f>
        <v>45891</v>
      </c>
      <c r="B103" s="142" t="n">
        <f aca="false">IFERROR(IF(OR(NOT(ISNUMBER('Price History'!B104)),NOT(ISNUMBER('Price History'!B103)),'Price History'!B103=0),"",'Price History'!B104/'Price History'!B103-1),"")</f>
        <v>0.0204029871776805</v>
      </c>
      <c r="C103" s="142" t="n">
        <f aca="false">IFERROR(IF(OR(NOT(ISNUMBER('Price History'!C104)),NOT(ISNUMBER('Price History'!C103)),'Price History'!C103=0),"",'Price History'!C104/'Price History'!C103-1),"")</f>
        <v>-0.029497450837582</v>
      </c>
      <c r="D103" s="142" t="n">
        <f aca="false">IFERROR(IF(OR(NOT(ISNUMBER('Price History'!D104)),NOT(ISNUMBER('Price History'!D103)),'Price History'!D103=0),"",'Price History'!D104/'Price History'!D103-1),"")</f>
        <v>0.0171571951715721</v>
      </c>
      <c r="E103" s="142" t="n">
        <f aca="false">IFERROR(IF(OR(NOT(ISNUMBER('Price History'!E104)),NOT(ISNUMBER('Price History'!E103)),'Price History'!E103=0),"",'Price History'!E104/'Price History'!E103-1),"")</f>
        <v>-0.0402885755699038</v>
      </c>
      <c r="F103" s="142" t="n">
        <f aca="false">IFERROR(IF(OR(NOT(ISNUMBER('Price History'!F104)),NOT(ISNUMBER('Price History'!F103)),'Price History'!F103=0),"",'Price History'!F104/'Price History'!F103-1),"")</f>
        <v>0.0397605814450619</v>
      </c>
      <c r="G103" s="142" t="n">
        <f aca="false">IFERROR(IF(OR(NOT(ISNUMBER('Price History'!G104)),NOT(ISNUMBER('Price History'!G103)),'Price History'!G103=0),"",'Price History'!G104/'Price History'!G103-1),"")</f>
        <v>-0.0171076002617556</v>
      </c>
      <c r="H103" s="142" t="n">
        <f aca="false">IFERROR(IF(OR(NOT(ISNUMBER('Price History'!H104)),NOT(ISNUMBER('Price History'!H103)),'Price History'!H103=0),"",'Price History'!H104/'Price History'!H103-1),"")</f>
        <v>0.0288825041584759</v>
      </c>
      <c r="I103" s="142" t="n">
        <f aca="false">IFERROR(IF(OR(NOT(ISNUMBER('Price History'!I104)),NOT(ISNUMBER('Price History'!I103)),'Price History'!I103=0),"",'Price History'!I104/'Price History'!I103-1),"")</f>
        <v>-0.0032243205895901</v>
      </c>
      <c r="J103" s="142" t="n">
        <f aca="false">IFERROR(IF(OR(NOT(ISNUMBER('Price History'!J104)),NOT(ISNUMBER('Price History'!J103)),'Price History'!J103=0),"",'Price History'!J104/'Price History'!J103-1),"")</f>
        <v>-0.0264335432548891</v>
      </c>
      <c r="K103" s="142" t="n">
        <f aca="false">IFERROR(IF(OR(NOT(ISNUMBER('Price History'!K104)),NOT(ISNUMBER('Price History'!K103)),'Price History'!K103=0),"",'Price History'!K104/'Price History'!K103-1),"")</f>
        <v>-0.0136659074495861</v>
      </c>
      <c r="L103" s="142" t="n">
        <f aca="false">IFERROR(IF(OR(NOT(ISNUMBER('Price History'!L104)),NOT(ISNUMBER('Price History'!L103)),'Price History'!L103=0),"",'Price History'!L104/'Price History'!L103-1),"")</f>
        <v>0.0534023235380259</v>
      </c>
      <c r="M103" s="142" t="n">
        <f aca="false">IFERROR(IF(OR(NOT(ISNUMBER('Price History'!M104)),NOT(ISNUMBER('Price History'!M103)),'Price History'!M103=0),"",'Price History'!M104/'Price History'!M103-1),"")</f>
        <v>-0.104024383360614</v>
      </c>
      <c r="N103" s="142" t="n">
        <f aca="false">IFERROR(IF(OR(NOT(ISNUMBER('Price History'!N104)),NOT(ISNUMBER('Price History'!N103)),'Price History'!N103=0),"",'Price History'!N104/'Price History'!N103-1),"")</f>
        <v>0.0229445506692161</v>
      </c>
      <c r="O103" s="142" t="n">
        <f aca="false">IFERROR(IF(OR(NOT(ISNUMBER('Price History'!O104)),NOT(ISNUMBER('Price History'!O103)),'Price History'!O103=0),"",'Price History'!O104/'Price History'!O103-1),"")</f>
        <v>-0.0068021353538833</v>
      </c>
      <c r="P103" s="142" t="n">
        <f aca="false">IFERROR(IF(OR(NOT(ISNUMBER('Price History'!P104)),NOT(ISNUMBER('Price History'!P103)),'Price History'!P103=0),"",'Price History'!P104/'Price History'!P103-1),"")</f>
        <v>-0.0246573017018207</v>
      </c>
      <c r="Q103" s="142" t="n">
        <f aca="false">IFERROR(IF(OR(NOT(ISNUMBER('Price History'!Q104)),NOT(ISNUMBER('Price History'!Q103)),'Price History'!Q103=0),"",'Price History'!Q104/'Price History'!Q103-1),"")</f>
        <v>0.0161526306548838</v>
      </c>
      <c r="R103" s="142" t="n">
        <f aca="false">IFERROR(IF(OR(NOT(ISNUMBER('Price History'!R104)),NOT(ISNUMBER('Price History'!R103)),'Price History'!R103=0),"",'Price History'!R104/'Price History'!R103-1),"")</f>
        <v>0.00607064017660042</v>
      </c>
      <c r="S103" s="142" t="n">
        <f aca="false">IFERROR(IF(OR(NOT(ISNUMBER('Price History'!S104)),NOT(ISNUMBER('Price History'!S103)),'Price History'!S103=0),"",'Price History'!S104/'Price History'!S103-1),"")</f>
        <v>0.014798965855398</v>
      </c>
      <c r="T103" s="142" t="n">
        <f aca="false">IFERROR(IF(OR(NOT(ISNUMBER('Price History'!T104)),NOT(ISNUMBER('Price History'!T103)),'Price History'!T103=0),"",'Price History'!T104/'Price History'!T103-1),"")</f>
        <v>-0.0212053571428573</v>
      </c>
      <c r="U103" s="142" t="str">
        <f aca="false">IFERROR(IF(OR(NOT(ISNUMBER('Price History'!U104)),NOT(ISNUMBER('Price History'!U103)),'Price History'!U103=0),"",'Price History'!U104/'Price History'!U103-1),"")</f>
        <v/>
      </c>
      <c r="V103" s="143" t="n">
        <f aca="false">IFERROR(IF(OR(NOT(ISNUMBER('Price History'!V104)),NOT(ISNUMBER('Price History'!V103)),'Price History'!V103=0),"",'Price History'!V104/'Price History'!V103-1),"")</f>
        <v>0.00322149988390996</v>
      </c>
      <c r="W103" s="144" t="str">
        <f aca="false">IFERROR('Price History'!B3+(INDEX('Price History'!B:B,MATCH(9.99E+307,'Price History'!$A:$A))-'Price History'!B3)*(ROW()-3)/(MATCH(9.99E+307,'Returns (Calc)'!$A:$A)-3),"")</f>
        <v/>
      </c>
      <c r="X103" s="144" t="n">
        <f aca="false">IFERROR('Price History'!C3+(INDEX('Price History'!C:C,MATCH(9.99E+307,'Price History'!$A:$A))-'Price History'!C3)*(ROW()-3)/(MATCH(9.99E+307,'Returns (Calc)'!$A:$A)-3),"")</f>
        <v>16.9521518987342</v>
      </c>
      <c r="Y103" s="144" t="n">
        <f aca="false">IFERROR('Price History'!D3+(INDEX('Price History'!D:D,MATCH(9.99E+307,'Price History'!$A:$A))-'Price History'!D3)*(ROW()-3)/(MATCH(9.99E+307,'Returns (Calc)'!$A:$A)-3),"")</f>
        <v>213.649240506329</v>
      </c>
      <c r="Z103" s="144" t="n">
        <f aca="false">IFERROR('Price History'!E3+(INDEX('Price History'!E:E,MATCH(9.99E+307,'Price History'!$A:$A))-'Price History'!E3)*(ROW()-3)/(MATCH(9.99E+307,'Returns (Calc)'!$A:$A)-3),"")</f>
        <v>30.1012658227848</v>
      </c>
      <c r="AA103" s="144" t="n">
        <f aca="false">IFERROR('Price History'!F3+(INDEX('Price History'!F:F,MATCH(9.99E+307,'Price History'!$A:$A))-'Price History'!F3)*(ROW()-3)/(MATCH(9.99E+307,'Returns (Calc)'!$A:$A)-3),"")</f>
        <v>27.6454430379747</v>
      </c>
      <c r="AB103" s="144" t="n">
        <f aca="false">IFERROR('Price History'!G3+(INDEX('Price History'!G:G,MATCH(9.99E+307,'Price History'!$A:$A))-'Price History'!G3)*(ROW()-3)/(MATCH(9.99E+307,'Returns (Calc)'!$A:$A)-3),"")</f>
        <v>15.1827848101266</v>
      </c>
      <c r="AC103" s="144" t="n">
        <f aca="false">IFERROR('Price History'!H3+(INDEX('Price History'!H:H,MATCH(9.99E+307,'Price History'!$A:$A))-'Price History'!H3)*(ROW()-3)/(MATCH(9.99E+307,'Returns (Calc)'!$A:$A)-3),"")</f>
        <v>36.9254430379747</v>
      </c>
      <c r="AD103" s="144" t="n">
        <f aca="false">IFERROR('Price History'!I3+(INDEX('Price History'!I:I,MATCH(9.99E+307,'Price History'!$A:$A))-'Price History'!I3)*(ROW()-3)/(MATCH(9.99E+307,'Returns (Calc)'!$A:$A)-3),"")</f>
        <v>16.2803797468354</v>
      </c>
      <c r="AE103" s="144" t="n">
        <f aca="false">IFERROR('Price History'!J3+(INDEX('Price History'!J:J,MATCH(9.99E+307,'Price History'!$A:$A))-'Price History'!J3)*(ROW()-3)/(MATCH(9.99E+307,'Returns (Calc)'!$A:$A)-3),"")</f>
        <v>25.3694936708861</v>
      </c>
      <c r="AF103" s="144" t="n">
        <f aca="false">IFERROR('Price History'!K3+(INDEX('Price History'!K:K,MATCH(9.99E+307,'Price History'!$A:$A))-'Price History'!K3)*(ROW()-3)/(MATCH(9.99E+307,'Returns (Calc)'!$A:$A)-3),"")</f>
        <v>16.0674683544304</v>
      </c>
      <c r="AG103" s="144" t="n">
        <f aca="false">IFERROR('Price History'!L3+(INDEX('Price History'!L:L,MATCH(9.99E+307,'Price History'!$A:$A))-'Price History'!L3)*(ROW()-3)/(MATCH(9.99E+307,'Returns (Calc)'!$A:$A)-3),"")</f>
        <v>41.0551898734177</v>
      </c>
      <c r="AH103" s="144" t="n">
        <f aca="false">IFERROR('Price History'!M3+(INDEX('Price History'!M:M,MATCH(9.99E+307,'Price History'!$A:$A))-'Price History'!M3)*(ROW()-3)/(MATCH(9.99E+307,'Returns (Calc)'!$A:$A)-3),"")</f>
        <v>5.62746835443038</v>
      </c>
      <c r="AI103" s="144" t="n">
        <f aca="false">IFERROR('Price History'!N3+(INDEX('Price History'!N:N,MATCH(9.99E+307,'Price History'!$A:$A))-'Price History'!N3)*(ROW()-3)/(MATCH(9.99E+307,'Returns (Calc)'!$A:$A)-3),"")</f>
        <v>8.00253164556962</v>
      </c>
      <c r="AJ103" s="144" t="n">
        <f aca="false">IFERROR('Price History'!O3+(INDEX('Price History'!O:O,MATCH(9.99E+307,'Price History'!$A:$A))-'Price History'!O3)*(ROW()-3)/(MATCH(9.99E+307,'Returns (Calc)'!$A:$A)-3),"")</f>
        <v>21.1553164556962</v>
      </c>
      <c r="AK103" s="144" t="n">
        <f aca="false">IFERROR('Price History'!Q3+(INDEX('Price History'!Q:Q,MATCH(9.99E+307,'Price History'!$A:$A))-'Price History'!Q3)*(ROW()-3)/(MATCH(9.99E+307,'Returns (Calc)'!$A:$A)-3),"")</f>
        <v>86.4970886075949</v>
      </c>
      <c r="AL103" s="144" t="n">
        <f aca="false">IFERROR('Price History'!R3+(INDEX('Price History'!R:R,MATCH(9.99E+307,'Price History'!$A:$A))-'Price History'!R3)*(ROW()-3)/(MATCH(9.99E+307,'Returns (Calc)'!$A:$A)-3),"")</f>
        <v>17.5541772151899</v>
      </c>
      <c r="AM103" s="144" t="n">
        <f aca="false">IFERROR('Price History'!S3+(INDEX('Price History'!S:S,MATCH(9.99E+307,'Price History'!$A:$A))-'Price History'!S3)*(ROW()-3)/(MATCH(9.99E+307,'Returns (Calc)'!$A:$A)-3),"")</f>
        <v>21.4893670886076</v>
      </c>
      <c r="AN103" s="144" t="n">
        <f aca="false">IFERROR('Price History'!T3+(INDEX('Price History'!T:T,MATCH(9.99E+307,'Price History'!$A:$A))-'Price History'!T3)*(ROW()-3)/(MATCH(9.99E+307,'Returns (Calc)'!$A:$A)-3),"")</f>
        <v>9.87835443037975</v>
      </c>
      <c r="AO103" s="145" t="n">
        <f aca="false">IFERROR('Price History'!V3+(INDEX('Price History'!V:V,MATCH(9.99E+307,'Price History'!$A:$A))-'Price History'!V3)*(ROW()-3)/(MATCH(9.99E+307,'Returns (Calc)'!$A:$A)-3),"")</f>
        <v>0</v>
      </c>
    </row>
    <row r="104" customFormat="false" ht="15" hidden="false" customHeight="true" outlineLevel="0" collapsed="false">
      <c r="A104" s="141" t="n">
        <f aca="false">IF('Price History'!A105="","",'Price History'!A105)</f>
        <v>45898</v>
      </c>
      <c r="B104" s="142" t="n">
        <f aca="false">IFERROR(IF(OR(NOT(ISNUMBER('Price History'!B105)),NOT(ISNUMBER('Price History'!B104)),'Price History'!B104=0),"",'Price History'!B105/'Price History'!B104-1),"")</f>
        <v>-0.0148858018724626</v>
      </c>
      <c r="C104" s="142" t="n">
        <f aca="false">IFERROR(IF(OR(NOT(ISNUMBER('Price History'!C105)),NOT(ISNUMBER('Price History'!C104)),'Price History'!C104=0),"",'Price History'!C105/'Price History'!C104-1),"")</f>
        <v>0.024765478424015</v>
      </c>
      <c r="D104" s="142" t="n">
        <f aca="false">IFERROR(IF(OR(NOT(ISNUMBER('Price History'!D105)),NOT(ISNUMBER('Price History'!D104)),'Price History'!D104=0),"",'Price History'!D105/'Price History'!D104-1),"")</f>
        <v>-0.0162544169611308</v>
      </c>
      <c r="E104" s="142" t="n">
        <f aca="false">IFERROR(IF(OR(NOT(ISNUMBER('Price History'!E105)),NOT(ISNUMBER('Price History'!E104)),'Price History'!E104=0),"",'Price History'!E105/'Price History'!E104-1),"")</f>
        <v>0.0115333127381321</v>
      </c>
      <c r="F104" s="142" t="n">
        <f aca="false">IFERROR(IF(OR(NOT(ISNUMBER('Price History'!F105)),NOT(ISNUMBER('Price History'!F104)),'Price History'!F104=0),"",'Price History'!F105/'Price History'!F104-1),"")</f>
        <v>0.00842927631578938</v>
      </c>
      <c r="G104" s="142" t="n">
        <f aca="false">IFERROR(IF(OR(NOT(ISNUMBER('Price History'!G105)),NOT(ISNUMBER('Price History'!G104)),'Price History'!G104=0),"",'Price History'!G105/'Price History'!G104-1),"")</f>
        <v>0.00751379113562867</v>
      </c>
      <c r="H104" s="142" t="n">
        <f aca="false">IFERROR(IF(OR(NOT(ISNUMBER('Price History'!H105)),NOT(ISNUMBER('Price History'!H104)),'Price History'!H104=0),"",'Price History'!H105/'Price History'!H104-1),"")</f>
        <v>-0.00220458553791891</v>
      </c>
      <c r="I104" s="142" t="n">
        <f aca="false">IFERROR(IF(OR(NOT(ISNUMBER('Price History'!I105)),NOT(ISNUMBER('Price History'!I104)),'Price History'!I104=0),"",'Price History'!I105/'Price History'!I104-1),"")</f>
        <v>0.00196395563770801</v>
      </c>
      <c r="J104" s="142" t="n">
        <f aca="false">IFERROR(IF(OR(NOT(ISNUMBER('Price History'!J105)),NOT(ISNUMBER('Price History'!J104)),'Price History'!J104=0),"",'Price History'!J105/'Price History'!J104-1),"")</f>
        <v>0.0113201123499873</v>
      </c>
      <c r="K104" s="142" t="n">
        <f aca="false">IFERROR(IF(OR(NOT(ISNUMBER('Price History'!K105)),NOT(ISNUMBER('Price History'!K104)),'Price History'!K104=0),"",'Price History'!K105/'Price History'!K104-1),"")</f>
        <v>-0.0214024218529992</v>
      </c>
      <c r="L104" s="142" t="n">
        <f aca="false">IFERROR(IF(OR(NOT(ISNUMBER('Price History'!L105)),NOT(ISNUMBER('Price History'!L104)),'Price History'!L104=0),"",'Price History'!L105/'Price History'!L104-1),"")</f>
        <v>0.0133456904541243</v>
      </c>
      <c r="M104" s="142" t="n">
        <f aca="false">IFERROR(IF(OR(NOT(ISNUMBER('Price History'!M105)),NOT(ISNUMBER('Price History'!M104)),'Price History'!M104=0),"",'Price History'!M105/'Price History'!M104-1),"")</f>
        <v>-0.0127882071311579</v>
      </c>
      <c r="N104" s="142" t="n">
        <f aca="false">IFERROR(IF(OR(NOT(ISNUMBER('Price History'!N105)),NOT(ISNUMBER('Price History'!N104)),'Price History'!N104=0),"",'Price History'!N105/'Price History'!N104-1),"")</f>
        <v>-0.00112149532710282</v>
      </c>
      <c r="O104" s="142" t="n">
        <f aca="false">IFERROR(IF(OR(NOT(ISNUMBER('Price History'!O105)),NOT(ISNUMBER('Price History'!O104)),'Price History'!O104=0),"",'Price History'!O105/'Price History'!O104-1),"")</f>
        <v>-0.000260078023406996</v>
      </c>
      <c r="P104" s="142" t="n">
        <f aca="false">IFERROR(IF(OR(NOT(ISNUMBER('Price History'!P105)),NOT(ISNUMBER('Price History'!P104)),'Price History'!P104=0),"",'Price History'!P105/'Price History'!P104-1),"")</f>
        <v>-0.00909407362283532</v>
      </c>
      <c r="Q104" s="142" t="n">
        <f aca="false">IFERROR(IF(OR(NOT(ISNUMBER('Price History'!Q105)),NOT(ISNUMBER('Price History'!Q104)),'Price History'!Q104=0),"",'Price History'!Q105/'Price History'!Q104-1),"")</f>
        <v>0.00498185797385253</v>
      </c>
      <c r="R104" s="142" t="n">
        <f aca="false">IFERROR(IF(OR(NOT(ISNUMBER('Price History'!R105)),NOT(ISNUMBER('Price History'!R104)),'Price History'!R104=0),"",'Price History'!R105/'Price History'!R104-1),"")</f>
        <v>0.00713110257816796</v>
      </c>
      <c r="S104" s="142" t="n">
        <f aca="false">IFERROR(IF(OR(NOT(ISNUMBER('Price History'!S105)),NOT(ISNUMBER('Price History'!S104)),'Price History'!S104=0),"",'Price History'!S105/'Price History'!S104-1),"")</f>
        <v>0.0105420363700255</v>
      </c>
      <c r="T104" s="142" t="n">
        <f aca="false">IFERROR(IF(OR(NOT(ISNUMBER('Price History'!T105)),NOT(ISNUMBER('Price History'!T104)),'Price History'!T104=0),"",'Price History'!T105/'Price History'!T104-1),"")</f>
        <v>0.0219498289623719</v>
      </c>
      <c r="U104" s="142" t="str">
        <f aca="false">IFERROR(IF(OR(NOT(ISNUMBER('Price History'!U105)),NOT(ISNUMBER('Price History'!U104)),'Price History'!U104=0),"",'Price History'!U105/'Price History'!U104-1),"")</f>
        <v/>
      </c>
      <c r="V104" s="143" t="n">
        <f aca="false">IFERROR(IF(OR(NOT(ISNUMBER('Price History'!V105)),NOT(ISNUMBER('Price History'!V104)),'Price History'!V104=0),"",'Price History'!V105/'Price History'!V104-1),"")</f>
        <v>0.0229120259206757</v>
      </c>
      <c r="W104" s="144" t="str">
        <f aca="false">IFERROR('Price History'!B3+(INDEX('Price History'!B:B,MATCH(9.99E+307,'Price History'!$A:$A))-'Price History'!B3)*(ROW()-3)/(MATCH(9.99E+307,'Returns (Calc)'!$A:$A)-3),"")</f>
        <v/>
      </c>
      <c r="X104" s="144" t="n">
        <f aca="false">IFERROR('Price History'!C3+(INDEX('Price History'!C:C,MATCH(9.99E+307,'Price History'!$A:$A))-'Price History'!C3)*(ROW()-3)/(MATCH(9.99E+307,'Returns (Calc)'!$A:$A)-3),"")</f>
        <v>16.6598734177215</v>
      </c>
      <c r="Y104" s="144" t="n">
        <f aca="false">IFERROR('Price History'!D3+(INDEX('Price History'!D:D,MATCH(9.99E+307,'Price History'!$A:$A))-'Price History'!D3)*(ROW()-3)/(MATCH(9.99E+307,'Returns (Calc)'!$A:$A)-3),"")</f>
        <v>209.965632911392</v>
      </c>
      <c r="Z104" s="144" t="n">
        <f aca="false">IFERROR('Price History'!E3+(INDEX('Price History'!E:E,MATCH(9.99E+307,'Price History'!$A:$A))-'Price History'!E3)*(ROW()-3)/(MATCH(9.99E+307,'Returns (Calc)'!$A:$A)-3),"")</f>
        <v>29.5822784810127</v>
      </c>
      <c r="AA104" s="144" t="n">
        <f aca="false">IFERROR('Price History'!F3+(INDEX('Price History'!F:F,MATCH(9.99E+307,'Price History'!$A:$A))-'Price History'!F3)*(ROW()-3)/(MATCH(9.99E+307,'Returns (Calc)'!$A:$A)-3),"")</f>
        <v>27.1687974683544</v>
      </c>
      <c r="AB104" s="144" t="n">
        <f aca="false">IFERROR('Price History'!G3+(INDEX('Price History'!G:G,MATCH(9.99E+307,'Price History'!$A:$A))-'Price History'!G3)*(ROW()-3)/(MATCH(9.99E+307,'Returns (Calc)'!$A:$A)-3),"")</f>
        <v>14.9210126582278</v>
      </c>
      <c r="AC104" s="144" t="n">
        <f aca="false">IFERROR('Price History'!H3+(INDEX('Price History'!H:H,MATCH(9.99E+307,'Price History'!$A:$A))-'Price History'!H3)*(ROW()-3)/(MATCH(9.99E+307,'Returns (Calc)'!$A:$A)-3),"")</f>
        <v>36.2887974683544</v>
      </c>
      <c r="AD104" s="144" t="n">
        <f aca="false">IFERROR('Price History'!I3+(INDEX('Price History'!I:I,MATCH(9.99E+307,'Price History'!$A:$A))-'Price History'!I3)*(ROW()-3)/(MATCH(9.99E+307,'Returns (Calc)'!$A:$A)-3),"")</f>
        <v>15.9996835443038</v>
      </c>
      <c r="AE104" s="144" t="n">
        <f aca="false">IFERROR('Price History'!J3+(INDEX('Price History'!J:J,MATCH(9.99E+307,'Price History'!$A:$A))-'Price History'!J3)*(ROW()-3)/(MATCH(9.99E+307,'Returns (Calc)'!$A:$A)-3),"")</f>
        <v>24.9320886075949</v>
      </c>
      <c r="AF104" s="144" t="n">
        <f aca="false">IFERROR('Price History'!K3+(INDEX('Price History'!K:K,MATCH(9.99E+307,'Price History'!$A:$A))-'Price History'!K3)*(ROW()-3)/(MATCH(9.99E+307,'Returns (Calc)'!$A:$A)-3),"")</f>
        <v>15.7904430379747</v>
      </c>
      <c r="AG104" s="144" t="n">
        <f aca="false">IFERROR('Price History'!L3+(INDEX('Price History'!L:L,MATCH(9.99E+307,'Price History'!$A:$A))-'Price History'!L3)*(ROW()-3)/(MATCH(9.99E+307,'Returns (Calc)'!$A:$A)-3),"")</f>
        <v>40.3473417721519</v>
      </c>
      <c r="AH104" s="144" t="n">
        <f aca="false">IFERROR('Price History'!M3+(INDEX('Price History'!M:M,MATCH(9.99E+307,'Price History'!$A:$A))-'Price History'!M3)*(ROW()-3)/(MATCH(9.99E+307,'Returns (Calc)'!$A:$A)-3),"")</f>
        <v>5.53044303797469</v>
      </c>
      <c r="AI104" s="144" t="n">
        <f aca="false">IFERROR('Price History'!N3+(INDEX('Price History'!N:N,MATCH(9.99E+307,'Price History'!$A:$A))-'Price History'!N3)*(ROW()-3)/(MATCH(9.99E+307,'Returns (Calc)'!$A:$A)-3),"")</f>
        <v>7.86455696202532</v>
      </c>
      <c r="AJ104" s="144" t="n">
        <f aca="false">IFERROR('Price History'!O3+(INDEX('Price History'!O:O,MATCH(9.99E+307,'Price History'!$A:$A))-'Price History'!O3)*(ROW()-3)/(MATCH(9.99E+307,'Returns (Calc)'!$A:$A)-3),"")</f>
        <v>20.7905696202532</v>
      </c>
      <c r="AK104" s="144" t="n">
        <f aca="false">IFERROR('Price History'!Q3+(INDEX('Price History'!Q:Q,MATCH(9.99E+307,'Price History'!$A:$A))-'Price History'!Q3)*(ROW()-3)/(MATCH(9.99E+307,'Returns (Calc)'!$A:$A)-3),"")</f>
        <v>85.0057594936709</v>
      </c>
      <c r="AL104" s="144" t="n">
        <f aca="false">IFERROR('Price History'!R3+(INDEX('Price History'!R:R,MATCH(9.99E+307,'Price History'!$A:$A))-'Price History'!R3)*(ROW()-3)/(MATCH(9.99E+307,'Returns (Calc)'!$A:$A)-3),"")</f>
        <v>17.2515189873418</v>
      </c>
      <c r="AM104" s="144" t="n">
        <f aca="false">IFERROR('Price History'!S3+(INDEX('Price History'!S:S,MATCH(9.99E+307,'Price History'!$A:$A))-'Price History'!S3)*(ROW()-3)/(MATCH(9.99E+307,'Returns (Calc)'!$A:$A)-3),"")</f>
        <v>21.1188607594937</v>
      </c>
      <c r="AN104" s="144" t="n">
        <f aca="false">IFERROR('Price History'!T3+(INDEX('Price History'!T:T,MATCH(9.99E+307,'Price History'!$A:$A))-'Price History'!T3)*(ROW()-3)/(MATCH(9.99E+307,'Returns (Calc)'!$A:$A)-3),"")</f>
        <v>9.70803797468355</v>
      </c>
      <c r="AO104" s="145" t="n">
        <f aca="false">IFERROR('Price History'!V3+(INDEX('Price History'!V:V,MATCH(9.99E+307,'Price History'!$A:$A))-'Price History'!V3)*(ROW()-3)/(MATCH(9.99E+307,'Returns (Calc)'!$A:$A)-3),"")</f>
        <v>0</v>
      </c>
    </row>
    <row r="105" customFormat="false" ht="15" hidden="false" customHeight="true" outlineLevel="0" collapsed="false">
      <c r="A105" s="141" t="n">
        <f aca="false">IF('Price History'!A106="","",'Price History'!A106)</f>
        <v>45905</v>
      </c>
      <c r="B105" s="142" t="n">
        <f aca="false">IFERROR(IF(OR(NOT(ISNUMBER('Price History'!B106)),NOT(ISNUMBER('Price History'!B105)),'Price History'!B105=0),"",'Price History'!B106/'Price History'!B105-1),"")</f>
        <v>-0.0216708718811325</v>
      </c>
      <c r="C105" s="142" t="n">
        <f aca="false">IFERROR(IF(OR(NOT(ISNUMBER('Price History'!C106)),NOT(ISNUMBER('Price History'!C105)),'Price History'!C105=0),"",'Price History'!C106/'Price History'!C105-1),"")</f>
        <v>0.0461369461735626</v>
      </c>
      <c r="D105" s="142" t="n">
        <f aca="false">IFERROR(IF(OR(NOT(ISNUMBER('Price History'!D106)),NOT(ISNUMBER('Price History'!D105)),'Price History'!D105=0),"",'Price History'!D106/'Price History'!D105-1),"")</f>
        <v>0.0526187378009109</v>
      </c>
      <c r="E105" s="142" t="n">
        <f aca="false">IFERROR(IF(OR(NOT(ISNUMBER('Price History'!E106)),NOT(ISNUMBER('Price History'!E105)),'Price History'!E105=0),"",'Price History'!E106/'Price History'!E105-1),"")</f>
        <v>0.126098612100852</v>
      </c>
      <c r="F105" s="142" t="n">
        <f aca="false">IFERROR(IF(OR(NOT(ISNUMBER('Price History'!F106)),NOT(ISNUMBER('Price History'!F105)),'Price History'!F105=0),"",'Price History'!F106/'Price History'!F105-1),"")</f>
        <v>0.0109072375127421</v>
      </c>
      <c r="G105" s="142" t="n">
        <f aca="false">IFERROR(IF(OR(NOT(ISNUMBER('Price History'!G106)),NOT(ISNUMBER('Price History'!G105)),'Price History'!G105=0),"",'Price History'!G106/'Price History'!G105-1),"")</f>
        <v>-0.0143490984612481</v>
      </c>
      <c r="H105" s="142" t="n">
        <f aca="false">IFERROR(IF(OR(NOT(ISNUMBER('Price History'!H106)),NOT(ISNUMBER('Price History'!H105)),'Price History'!H105=0),"",'Price History'!H106/'Price History'!H105-1),"")</f>
        <v>-0.000883782589483073</v>
      </c>
      <c r="I105" s="142" t="n">
        <f aca="false">IFERROR(IF(OR(NOT(ISNUMBER('Price History'!I106)),NOT(ISNUMBER('Price History'!I105)),'Price History'!I105=0),"",'Price History'!I106/'Price History'!I105-1),"")</f>
        <v>0.0379338175948345</v>
      </c>
      <c r="J105" s="142" t="n">
        <f aca="false">IFERROR(IF(OR(NOT(ISNUMBER('Price History'!J106)),NOT(ISNUMBER('Price History'!J105)),'Price History'!J105=0),"",'Price History'!J106/'Price History'!J105-1),"")</f>
        <v>0.103854569937721</v>
      </c>
      <c r="K105" s="142" t="n">
        <f aca="false">IFERROR(IF(OR(NOT(ISNUMBER('Price History'!K106)),NOT(ISNUMBER('Price History'!K105)),'Price History'!K105=0),"",'Price History'!K106/'Price History'!K105-1),"")</f>
        <v>-0.041093525179856</v>
      </c>
      <c r="L105" s="142" t="n">
        <f aca="false">IFERROR(IF(OR(NOT(ISNUMBER('Price History'!L106)),NOT(ISNUMBER('Price History'!L105)),'Price History'!L105=0),"",'Price History'!L106/'Price History'!L105-1),"")</f>
        <v>-0.00109749405524062</v>
      </c>
      <c r="M105" s="142" t="n">
        <f aca="false">IFERROR(IF(OR(NOT(ISNUMBER('Price History'!M106)),NOT(ISNUMBER('Price History'!M105)),'Price History'!M105=0),"",'Price History'!M106/'Price History'!M105-1),"")</f>
        <v>-0.0229723693446493</v>
      </c>
      <c r="N105" s="142" t="n">
        <f aca="false">IFERROR(IF(OR(NOT(ISNUMBER('Price History'!N106)),NOT(ISNUMBER('Price History'!N105)),'Price History'!N105=0),"",'Price History'!N106/'Price History'!N105-1),"")</f>
        <v>-0.0101047904191617</v>
      </c>
      <c r="O105" s="142" t="n">
        <f aca="false">IFERROR(IF(OR(NOT(ISNUMBER('Price History'!O106)),NOT(ISNUMBER('Price History'!O105)),'Price History'!O105=0),"",'Price History'!O106/'Price History'!O105-1),"")</f>
        <v>0.004942767950052</v>
      </c>
      <c r="P105" s="142" t="n">
        <f aca="false">IFERROR(IF(OR(NOT(ISNUMBER('Price History'!P106)),NOT(ISNUMBER('Price History'!P105)),'Price History'!P105=0),"",'Price History'!P106/'Price History'!P105-1),"")</f>
        <v>0.0543187107539631</v>
      </c>
      <c r="Q105" s="142" t="n">
        <f aca="false">IFERROR(IF(OR(NOT(ISNUMBER('Price History'!Q106)),NOT(ISNUMBER('Price History'!Q105)),'Price History'!Q105=0),"",'Price History'!Q106/'Price History'!Q105-1),"")</f>
        <v>-0.0243273446230551</v>
      </c>
      <c r="R105" s="142" t="n">
        <f aca="false">IFERROR(IF(OR(NOT(ISNUMBER('Price History'!R106)),NOT(ISNUMBER('Price History'!R105)),'Price History'!R105=0),"",'Price History'!R106/'Price History'!R105-1),"")</f>
        <v>-0.0230573710965867</v>
      </c>
      <c r="S105" s="142" t="n">
        <f aca="false">IFERROR(IF(OR(NOT(ISNUMBER('Price History'!S106)),NOT(ISNUMBER('Price History'!S105)),'Price History'!S105=0),"",'Price History'!S106/'Price History'!S105-1),"")</f>
        <v>-0.0156480918021386</v>
      </c>
      <c r="T105" s="142" t="n">
        <f aca="false">IFERROR(IF(OR(NOT(ISNUMBER('Price History'!T106)),NOT(ISNUMBER('Price History'!T105)),'Price History'!T105=0),"",'Price History'!T106/'Price History'!T105-1),"")</f>
        <v>-0.0418410041841004</v>
      </c>
      <c r="U105" s="142" t="str">
        <f aca="false">IFERROR(IF(OR(NOT(ISNUMBER('Price History'!U106)),NOT(ISNUMBER('Price History'!U105)),'Price History'!U105=0),"",'Price History'!U106/'Price History'!U105-1),"")</f>
        <v/>
      </c>
      <c r="V105" s="143" t="n">
        <f aca="false">IFERROR(IF(OR(NOT(ISNUMBER('Price History'!V106)),NOT(ISNUMBER('Price History'!V105)),'Price History'!V105=0),"",'Price History'!V106/'Price History'!V105-1),"")</f>
        <v>-0.0495489125823694</v>
      </c>
      <c r="W105" s="144" t="str">
        <f aca="false">IFERROR('Price History'!B3+(INDEX('Price History'!B:B,MATCH(9.99E+307,'Price History'!$A:$A))-'Price History'!B3)*(ROW()-3)/(MATCH(9.99E+307,'Returns (Calc)'!$A:$A)-3),"")</f>
        <v/>
      </c>
      <c r="X105" s="144" t="n">
        <f aca="false">IFERROR('Price History'!C3+(INDEX('Price History'!C:C,MATCH(9.99E+307,'Price History'!$A:$A))-'Price History'!C3)*(ROW()-3)/(MATCH(9.99E+307,'Returns (Calc)'!$A:$A)-3),"")</f>
        <v>16.3675949367089</v>
      </c>
      <c r="Y105" s="144" t="n">
        <f aca="false">IFERROR('Price History'!D3+(INDEX('Price History'!D:D,MATCH(9.99E+307,'Price History'!$A:$A))-'Price History'!D3)*(ROW()-3)/(MATCH(9.99E+307,'Returns (Calc)'!$A:$A)-3),"")</f>
        <v>206.282025316456</v>
      </c>
      <c r="Z105" s="144" t="n">
        <f aca="false">IFERROR('Price History'!E3+(INDEX('Price History'!E:E,MATCH(9.99E+307,'Price History'!$A:$A))-'Price History'!E3)*(ROW()-3)/(MATCH(9.99E+307,'Returns (Calc)'!$A:$A)-3),"")</f>
        <v>29.0632911392405</v>
      </c>
      <c r="AA105" s="144" t="n">
        <f aca="false">IFERROR('Price History'!F3+(INDEX('Price History'!F:F,MATCH(9.99E+307,'Price History'!$A:$A))-'Price History'!F3)*(ROW()-3)/(MATCH(9.99E+307,'Returns (Calc)'!$A:$A)-3),"")</f>
        <v>26.6921518987342</v>
      </c>
      <c r="AB105" s="144" t="n">
        <f aca="false">IFERROR('Price History'!G3+(INDEX('Price History'!G:G,MATCH(9.99E+307,'Price History'!$A:$A))-'Price History'!G3)*(ROW()-3)/(MATCH(9.99E+307,'Returns (Calc)'!$A:$A)-3),"")</f>
        <v>14.6592405063291</v>
      </c>
      <c r="AC105" s="144" t="n">
        <f aca="false">IFERROR('Price History'!H3+(INDEX('Price History'!H:H,MATCH(9.99E+307,'Price History'!$A:$A))-'Price History'!H3)*(ROW()-3)/(MATCH(9.99E+307,'Returns (Calc)'!$A:$A)-3),"")</f>
        <v>35.6521518987342</v>
      </c>
      <c r="AD105" s="144" t="n">
        <f aca="false">IFERROR('Price History'!I3+(INDEX('Price History'!I:I,MATCH(9.99E+307,'Price History'!$A:$A))-'Price History'!I3)*(ROW()-3)/(MATCH(9.99E+307,'Returns (Calc)'!$A:$A)-3),"")</f>
        <v>15.7189873417722</v>
      </c>
      <c r="AE105" s="144" t="n">
        <f aca="false">IFERROR('Price History'!J3+(INDEX('Price History'!J:J,MATCH(9.99E+307,'Price History'!$A:$A))-'Price History'!J3)*(ROW()-3)/(MATCH(9.99E+307,'Returns (Calc)'!$A:$A)-3),"")</f>
        <v>24.4946835443038</v>
      </c>
      <c r="AF105" s="144" t="n">
        <f aca="false">IFERROR('Price History'!K3+(INDEX('Price History'!K:K,MATCH(9.99E+307,'Price History'!$A:$A))-'Price History'!K3)*(ROW()-3)/(MATCH(9.99E+307,'Returns (Calc)'!$A:$A)-3),"")</f>
        <v>15.513417721519</v>
      </c>
      <c r="AG105" s="144" t="n">
        <f aca="false">IFERROR('Price History'!L3+(INDEX('Price History'!L:L,MATCH(9.99E+307,'Price History'!$A:$A))-'Price History'!L3)*(ROW()-3)/(MATCH(9.99E+307,'Returns (Calc)'!$A:$A)-3),"")</f>
        <v>39.6394936708861</v>
      </c>
      <c r="AH105" s="144" t="n">
        <f aca="false">IFERROR('Price History'!M3+(INDEX('Price History'!M:M,MATCH(9.99E+307,'Price History'!$A:$A))-'Price History'!M3)*(ROW()-3)/(MATCH(9.99E+307,'Returns (Calc)'!$A:$A)-3),"")</f>
        <v>5.43341772151899</v>
      </c>
      <c r="AI105" s="144" t="n">
        <f aca="false">IFERROR('Price History'!N3+(INDEX('Price History'!N:N,MATCH(9.99E+307,'Price History'!$A:$A))-'Price History'!N3)*(ROW()-3)/(MATCH(9.99E+307,'Returns (Calc)'!$A:$A)-3),"")</f>
        <v>7.72658227848102</v>
      </c>
      <c r="AJ105" s="144" t="n">
        <f aca="false">IFERROR('Price History'!O3+(INDEX('Price History'!O:O,MATCH(9.99E+307,'Price History'!$A:$A))-'Price History'!O3)*(ROW()-3)/(MATCH(9.99E+307,'Returns (Calc)'!$A:$A)-3),"")</f>
        <v>20.4258227848101</v>
      </c>
      <c r="AK105" s="144" t="n">
        <f aca="false">IFERROR('Price History'!Q3+(INDEX('Price History'!Q:Q,MATCH(9.99E+307,'Price History'!$A:$A))-'Price History'!Q3)*(ROW()-3)/(MATCH(9.99E+307,'Returns (Calc)'!$A:$A)-3),"")</f>
        <v>83.5144303797468</v>
      </c>
      <c r="AL105" s="144" t="n">
        <f aca="false">IFERROR('Price History'!R3+(INDEX('Price History'!R:R,MATCH(9.99E+307,'Price History'!$A:$A))-'Price History'!R3)*(ROW()-3)/(MATCH(9.99E+307,'Returns (Calc)'!$A:$A)-3),"")</f>
        <v>16.9488607594937</v>
      </c>
      <c r="AM105" s="144" t="n">
        <f aca="false">IFERROR('Price History'!S3+(INDEX('Price History'!S:S,MATCH(9.99E+307,'Price History'!$A:$A))-'Price History'!S3)*(ROW()-3)/(MATCH(9.99E+307,'Returns (Calc)'!$A:$A)-3),"")</f>
        <v>20.7483544303798</v>
      </c>
      <c r="AN105" s="144" t="n">
        <f aca="false">IFERROR('Price History'!T3+(INDEX('Price History'!T:T,MATCH(9.99E+307,'Price History'!$A:$A))-'Price History'!T3)*(ROW()-3)/(MATCH(9.99E+307,'Returns (Calc)'!$A:$A)-3),"")</f>
        <v>9.53772151898734</v>
      </c>
      <c r="AO105" s="145" t="n">
        <f aca="false">IFERROR('Price History'!V3+(INDEX('Price History'!V:V,MATCH(9.99E+307,'Price History'!$A:$A))-'Price History'!V3)*(ROW()-3)/(MATCH(9.99E+307,'Returns (Calc)'!$A:$A)-3),"")</f>
        <v>0</v>
      </c>
    </row>
    <row r="106" customFormat="false" ht="15" hidden="false" customHeight="true" outlineLevel="0" collapsed="false">
      <c r="A106" s="141" t="n">
        <f aca="false">IF('Price History'!A107="","",'Price History'!A107)</f>
        <v>45912</v>
      </c>
      <c r="B106" s="142" t="n">
        <f aca="false">IFERROR(IF(OR(NOT(ISNUMBER('Price History'!B107)),NOT(ISNUMBER('Price History'!B106)),'Price History'!B106=0),"",'Price History'!B107/'Price History'!B106-1),"")</f>
        <v>0.00111757457661121</v>
      </c>
      <c r="C106" s="142" t="n">
        <f aca="false">IFERROR(IF(OR(NOT(ISNUMBER('Price History'!C107)),NOT(ISNUMBER('Price History'!C106)),'Price History'!C106=0),"",'Price History'!C107/'Price History'!C106-1),"")</f>
        <v>-0.0242212110605531</v>
      </c>
      <c r="D106" s="142" t="n">
        <f aca="false">IFERROR(IF(OR(NOT(ISNUMBER('Price History'!D107)),NOT(ISNUMBER('Price History'!D106)),'Price History'!D106=0),"",'Price History'!D107/'Price History'!D106-1),"")</f>
        <v>0.0411548069741687</v>
      </c>
      <c r="E106" s="142" t="n">
        <f aca="false">IFERROR(IF(OR(NOT(ISNUMBER('Price History'!E107)),NOT(ISNUMBER('Price History'!E106)),'Price History'!E106=0),"",'Price History'!E107/'Price History'!E106-1),"")</f>
        <v>0.0745818894078649</v>
      </c>
      <c r="F106" s="142" t="n">
        <f aca="false">IFERROR(IF(OR(NOT(ISNUMBER('Price History'!F107)),NOT(ISNUMBER('Price History'!F106)),'Price History'!F106=0),"",'Price History'!F107/'Price History'!F106-1),"")</f>
        <v>-0.00796611878592324</v>
      </c>
      <c r="G106" s="142" t="n">
        <f aca="false">IFERROR(IF(OR(NOT(ISNUMBER('Price History'!G107)),NOT(ISNUMBER('Price History'!G106)),'Price History'!G106=0),"",'Price History'!G107/'Price History'!G106-1),"")</f>
        <v>0.0442486351882003</v>
      </c>
      <c r="H106" s="142" t="n">
        <f aca="false">IFERROR(IF(OR(NOT(ISNUMBER('Price History'!H107)),NOT(ISNUMBER('Price History'!H106)),'Price History'!H106=0),"",'Price History'!H107/'Price History'!H106-1),"")</f>
        <v>0.0013268465280849</v>
      </c>
      <c r="I106" s="142" t="n">
        <f aca="false">IFERROR(IF(OR(NOT(ISNUMBER('Price History'!I107)),NOT(ISNUMBER('Price History'!I106)),'Price History'!I106=0),"",'Price History'!I107/'Price History'!I106-1),"")</f>
        <v>0.0650966451899577</v>
      </c>
      <c r="J106" s="142" t="n">
        <f aca="false">IFERROR(IF(OR(NOT(ISNUMBER('Price History'!J107)),NOT(ISNUMBER('Price History'!J106)),'Price History'!J106=0),"",'Price History'!J107/'Price History'!J106-1),"")</f>
        <v>0.196858798414151</v>
      </c>
      <c r="K106" s="142" t="n">
        <f aca="false">IFERROR(IF(OR(NOT(ISNUMBER('Price History'!K107)),NOT(ISNUMBER('Price History'!K106)),'Price History'!K106=0),"",'Price History'!K107/'Price History'!K106-1),"")</f>
        <v>0.0647620190864893</v>
      </c>
      <c r="L106" s="142" t="n">
        <f aca="false">IFERROR(IF(OR(NOT(ISNUMBER('Price History'!L107)),NOT(ISNUMBER('Price History'!L106)),'Price History'!L106=0),"",'Price History'!L107/'Price History'!L106-1),"")</f>
        <v>0.0149240065921992</v>
      </c>
      <c r="M106" s="142" t="n">
        <f aca="false">IFERROR(IF(OR(NOT(ISNUMBER('Price History'!M107)),NOT(ISNUMBER('Price History'!M106)),'Price History'!M106=0),"",'Price History'!M107/'Price History'!M106-1),"")</f>
        <v>0.119652537391418</v>
      </c>
      <c r="N106" s="142" t="n">
        <f aca="false">IFERROR(IF(OR(NOT(ISNUMBER('Price History'!N107)),NOT(ISNUMBER('Price History'!N106)),'Price History'!N106=0),"",'Price History'!N107/'Price History'!N106-1),"")</f>
        <v>-0.00567107750472584</v>
      </c>
      <c r="O106" s="142" t="n">
        <f aca="false">IFERROR(IF(OR(NOT(ISNUMBER('Price History'!O107)),NOT(ISNUMBER('Price History'!O106)),'Price History'!O106=0),"",'Price History'!O107/'Price History'!O106-1),"")</f>
        <v>0.029251876779705</v>
      </c>
      <c r="P106" s="142" t="n">
        <f aca="false">IFERROR(IF(OR(NOT(ISNUMBER('Price History'!P107)),NOT(ISNUMBER('Price History'!P106)),'Price History'!P106=0),"",'Price History'!P107/'Price History'!P106-1),"")</f>
        <v>0.0654310703873386</v>
      </c>
      <c r="Q106" s="142" t="n">
        <f aca="false">IFERROR(IF(OR(NOT(ISNUMBER('Price History'!Q107)),NOT(ISNUMBER('Price History'!Q106)),'Price History'!Q106=0),"",'Price History'!Q107/'Price History'!Q106-1),"")</f>
        <v>-0.0110425844346549</v>
      </c>
      <c r="R106" s="142" t="n">
        <f aca="false">IFERROR(IF(OR(NOT(ISNUMBER('Price History'!R107)),NOT(ISNUMBER('Price History'!R106)),'Price History'!R106=0),"",'Price History'!R107/'Price History'!R106-1),"")</f>
        <v>0.0280616985690392</v>
      </c>
      <c r="S106" s="142" t="n">
        <f aca="false">IFERROR(IF(OR(NOT(ISNUMBER('Price History'!S107)),NOT(ISNUMBER('Price History'!S106)),'Price History'!S106=0),"",'Price History'!S107/'Price History'!S106-1),"")</f>
        <v>0.0349730636757042</v>
      </c>
      <c r="T106" s="142" t="n">
        <f aca="false">IFERROR(IF(OR(NOT(ISNUMBER('Price History'!T107)),NOT(ISNUMBER('Price History'!T106)),'Price History'!T106=0),"",'Price History'!T107/'Price History'!T106-1),"")</f>
        <v>0.00989810771470157</v>
      </c>
      <c r="U106" s="142" t="str">
        <f aca="false">IFERROR(IF(OR(NOT(ISNUMBER('Price History'!U107)),NOT(ISNUMBER('Price History'!U106)),'Price History'!U106=0),"",'Price History'!U107/'Price History'!U106-1),"")</f>
        <v/>
      </c>
      <c r="V106" s="143" t="n">
        <f aca="false">IFERROR(IF(OR(NOT(ISNUMBER('Price History'!V107)),NOT(ISNUMBER('Price History'!V106)),'Price History'!V106=0),"",'Price History'!V107/'Price History'!V106-1),"")</f>
        <v>-0.00758770494242278</v>
      </c>
      <c r="W106" s="144" t="str">
        <f aca="false">IFERROR('Price History'!B3+(INDEX('Price History'!B:B,MATCH(9.99E+307,'Price History'!$A:$A))-'Price History'!B3)*(ROW()-3)/(MATCH(9.99E+307,'Returns (Calc)'!$A:$A)-3),"")</f>
        <v/>
      </c>
      <c r="X106" s="144" t="n">
        <f aca="false">IFERROR('Price History'!C3+(INDEX('Price History'!C:C,MATCH(9.99E+307,'Price History'!$A:$A))-'Price History'!C3)*(ROW()-3)/(MATCH(9.99E+307,'Returns (Calc)'!$A:$A)-3),"")</f>
        <v>16.0753164556962</v>
      </c>
      <c r="Y106" s="144" t="n">
        <f aca="false">IFERROR('Price History'!D3+(INDEX('Price History'!D:D,MATCH(9.99E+307,'Price History'!$A:$A))-'Price History'!D3)*(ROW()-3)/(MATCH(9.99E+307,'Returns (Calc)'!$A:$A)-3),"")</f>
        <v>202.598417721519</v>
      </c>
      <c r="Z106" s="144" t="n">
        <f aca="false">IFERROR('Price History'!E3+(INDEX('Price History'!E:E,MATCH(9.99E+307,'Price History'!$A:$A))-'Price History'!E3)*(ROW()-3)/(MATCH(9.99E+307,'Returns (Calc)'!$A:$A)-3),"")</f>
        <v>28.5443037974684</v>
      </c>
      <c r="AA106" s="144" t="n">
        <f aca="false">IFERROR('Price History'!F3+(INDEX('Price History'!F:F,MATCH(9.99E+307,'Price History'!$A:$A))-'Price History'!F3)*(ROW()-3)/(MATCH(9.99E+307,'Returns (Calc)'!$A:$A)-3),"")</f>
        <v>26.2155063291139</v>
      </c>
      <c r="AB106" s="144" t="n">
        <f aca="false">IFERROR('Price History'!G3+(INDEX('Price History'!G:G,MATCH(9.99E+307,'Price History'!$A:$A))-'Price History'!G3)*(ROW()-3)/(MATCH(9.99E+307,'Returns (Calc)'!$A:$A)-3),"")</f>
        <v>14.3974683544304</v>
      </c>
      <c r="AC106" s="144" t="n">
        <f aca="false">IFERROR('Price History'!H3+(INDEX('Price History'!H:H,MATCH(9.99E+307,'Price History'!$A:$A))-'Price History'!H3)*(ROW()-3)/(MATCH(9.99E+307,'Returns (Calc)'!$A:$A)-3),"")</f>
        <v>35.0155063291139</v>
      </c>
      <c r="AD106" s="144" t="n">
        <f aca="false">IFERROR('Price History'!I3+(INDEX('Price History'!I:I,MATCH(9.99E+307,'Price History'!$A:$A))-'Price History'!I3)*(ROW()-3)/(MATCH(9.99E+307,'Returns (Calc)'!$A:$A)-3),"")</f>
        <v>15.4382911392405</v>
      </c>
      <c r="AE106" s="144" t="n">
        <f aca="false">IFERROR('Price History'!J3+(INDEX('Price History'!J:J,MATCH(9.99E+307,'Price History'!$A:$A))-'Price History'!J3)*(ROW()-3)/(MATCH(9.99E+307,'Returns (Calc)'!$A:$A)-3),"")</f>
        <v>24.0572784810127</v>
      </c>
      <c r="AF106" s="144" t="n">
        <f aca="false">IFERROR('Price History'!K3+(INDEX('Price History'!K:K,MATCH(9.99E+307,'Price History'!$A:$A))-'Price History'!K3)*(ROW()-3)/(MATCH(9.99E+307,'Returns (Calc)'!$A:$A)-3),"")</f>
        <v>15.2363924050633</v>
      </c>
      <c r="AG106" s="144" t="n">
        <f aca="false">IFERROR('Price History'!L3+(INDEX('Price History'!L:L,MATCH(9.99E+307,'Price History'!$A:$A))-'Price History'!L3)*(ROW()-3)/(MATCH(9.99E+307,'Returns (Calc)'!$A:$A)-3),"")</f>
        <v>38.9316455696203</v>
      </c>
      <c r="AH106" s="144" t="n">
        <f aca="false">IFERROR('Price History'!M3+(INDEX('Price History'!M:M,MATCH(9.99E+307,'Price History'!$A:$A))-'Price History'!M3)*(ROW()-3)/(MATCH(9.99E+307,'Returns (Calc)'!$A:$A)-3),"")</f>
        <v>5.33639240506329</v>
      </c>
      <c r="AI106" s="144" t="n">
        <f aca="false">IFERROR('Price History'!N3+(INDEX('Price History'!N:N,MATCH(9.99E+307,'Price History'!$A:$A))-'Price History'!N3)*(ROW()-3)/(MATCH(9.99E+307,'Returns (Calc)'!$A:$A)-3),"")</f>
        <v>7.58860759493671</v>
      </c>
      <c r="AJ106" s="144" t="n">
        <f aca="false">IFERROR('Price History'!O3+(INDEX('Price History'!O:O,MATCH(9.99E+307,'Price History'!$A:$A))-'Price History'!O3)*(ROW()-3)/(MATCH(9.99E+307,'Returns (Calc)'!$A:$A)-3),"")</f>
        <v>20.0610759493671</v>
      </c>
      <c r="AK106" s="144" t="n">
        <f aca="false">IFERROR('Price History'!Q3+(INDEX('Price History'!Q:Q,MATCH(9.99E+307,'Price History'!$A:$A))-'Price History'!Q3)*(ROW()-3)/(MATCH(9.99E+307,'Returns (Calc)'!$A:$A)-3),"")</f>
        <v>82.0231012658228</v>
      </c>
      <c r="AL106" s="144" t="n">
        <f aca="false">IFERROR('Price History'!R3+(INDEX('Price History'!R:R,MATCH(9.99E+307,'Price History'!$A:$A))-'Price History'!R3)*(ROW()-3)/(MATCH(9.99E+307,'Returns (Calc)'!$A:$A)-3),"")</f>
        <v>16.6462025316456</v>
      </c>
      <c r="AM106" s="144" t="n">
        <f aca="false">IFERROR('Price History'!S3+(INDEX('Price History'!S:S,MATCH(9.99E+307,'Price History'!$A:$A))-'Price History'!S3)*(ROW()-3)/(MATCH(9.99E+307,'Returns (Calc)'!$A:$A)-3),"")</f>
        <v>20.3778481012658</v>
      </c>
      <c r="AN106" s="144" t="n">
        <f aca="false">IFERROR('Price History'!T3+(INDEX('Price History'!T:T,MATCH(9.99E+307,'Price History'!$A:$A))-'Price History'!T3)*(ROW()-3)/(MATCH(9.99E+307,'Returns (Calc)'!$A:$A)-3),"")</f>
        <v>9.36740506329114</v>
      </c>
      <c r="AO106" s="145" t="n">
        <f aca="false">IFERROR('Price History'!V3+(INDEX('Price History'!V:V,MATCH(9.99E+307,'Price History'!$A:$A))-'Price History'!V3)*(ROW()-3)/(MATCH(9.99E+307,'Returns (Calc)'!$A:$A)-3),"")</f>
        <v>0</v>
      </c>
    </row>
    <row r="107" customFormat="false" ht="15" hidden="false" customHeight="true" outlineLevel="0" collapsed="false">
      <c r="A107" s="141" t="n">
        <f aca="false">IF('Price History'!A108="","",'Price History'!A108)</f>
        <v>45919</v>
      </c>
      <c r="B107" s="142" t="n">
        <f aca="false">IFERROR(IF(OR(NOT(ISNUMBER('Price History'!B108)),NOT(ISNUMBER('Price History'!B107)),'Price History'!B107=0),"",'Price History'!B108/'Price History'!B107-1),"")</f>
        <v>0.0473437142202884</v>
      </c>
      <c r="C107" s="142" t="n">
        <f aca="false">IFERROR(IF(OR(NOT(ISNUMBER('Price History'!C108)),NOT(ISNUMBER('Price History'!C107)),'Price History'!C107=0),"",'Price History'!C108/'Price History'!C107-1),"")</f>
        <v>0.0733194633761392</v>
      </c>
      <c r="D107" s="142" t="n">
        <f aca="false">IFERROR(IF(OR(NOT(ISNUMBER('Price History'!D108)),NOT(ISNUMBER('Price History'!D107)),'Price History'!D107=0),"",'Price History'!D108/'Price History'!D107-1),"")</f>
        <v>0.145336037796522</v>
      </c>
      <c r="E107" s="142" t="n">
        <f aca="false">IFERROR(IF(OR(NOT(ISNUMBER('Price History'!E108)),NOT(ISNUMBER('Price History'!E107)),'Price History'!E107=0),"",'Price History'!E108/'Price History'!E107-1),"")</f>
        <v>-0.0414750420639373</v>
      </c>
      <c r="F107" s="142" t="n">
        <f aca="false">IFERROR(IF(OR(NOT(ISNUMBER('Price History'!F108)),NOT(ISNUMBER('Price History'!F107)),'Price History'!F107=0),"",'Price History'!F108/'Price History'!F107-1),"")</f>
        <v>0.00569221386460672</v>
      </c>
      <c r="G107" s="142" t="n">
        <f aca="false">IFERROR(IF(OR(NOT(ISNUMBER('Price History'!G108)),NOT(ISNUMBER('Price History'!G107)),'Price History'!G107=0),"",'Price History'!G108/'Price History'!G107-1),"")</f>
        <v>0.152343391727048</v>
      </c>
      <c r="H107" s="142" t="n">
        <f aca="false">IFERROR(IF(OR(NOT(ISNUMBER('Price History'!H108)),NOT(ISNUMBER('Price History'!H107)),'Price History'!H107=0),"",'Price History'!H108/'Price History'!H107-1),"")</f>
        <v>-0.00279740871613665</v>
      </c>
      <c r="I107" s="142" t="n">
        <f aca="false">IFERROR(IF(OR(NOT(ISNUMBER('Price History'!I108)),NOT(ISNUMBER('Price History'!I107)),'Price History'!I107=0),"",'Price History'!I108/'Price History'!I107-1),"")</f>
        <v>0.083854818523154</v>
      </c>
      <c r="J107" s="142" t="n">
        <f aca="false">IFERROR(IF(OR(NOT(ISNUMBER('Price History'!J108)),NOT(ISNUMBER('Price History'!J107)),'Price History'!J107=0),"",'Price History'!J108/'Price History'!J107-1),"")</f>
        <v>0.0349726079755384</v>
      </c>
      <c r="K107" s="142" t="n">
        <f aca="false">IFERROR(IF(OR(NOT(ISNUMBER('Price History'!K108)),NOT(ISNUMBER('Price History'!K107)),'Price History'!K107=0),"",'Price History'!K108/'Price History'!K107-1),"")</f>
        <v>-0.00648252536640359</v>
      </c>
      <c r="L107" s="142" t="n">
        <f aca="false">IFERROR(IF(OR(NOT(ISNUMBER('Price History'!L108)),NOT(ISNUMBER('Price History'!L107)),'Price History'!L107=0),"",'Price History'!L108/'Price History'!L107-1),"")</f>
        <v>-0.00721695985566073</v>
      </c>
      <c r="M107" s="142" t="n">
        <f aca="false">IFERROR(IF(OR(NOT(ISNUMBER('Price History'!M108)),NOT(ISNUMBER('Price History'!M107)),'Price History'!M107=0),"",'Price History'!M108/'Price History'!M107-1),"")</f>
        <v>0.0639328005599953</v>
      </c>
      <c r="N107" s="142" t="n">
        <f aca="false">IFERROR(IF(OR(NOT(ISNUMBER('Price History'!N108)),NOT(ISNUMBER('Price History'!N107)),'Price History'!N107=0),"",'Price History'!N108/'Price History'!N107-1),"")</f>
        <v>-0.00570342205323204</v>
      </c>
      <c r="O107" s="142" t="n">
        <f aca="false">IFERROR(IF(OR(NOT(ISNUMBER('Price History'!O108)),NOT(ISNUMBER('Price History'!O107)),'Price History'!O107=0),"",'Price History'!O108/'Price History'!O107-1),"")</f>
        <v>0.012072434607646</v>
      </c>
      <c r="P107" s="142" t="n">
        <f aca="false">IFERROR(IF(OR(NOT(ISNUMBER('Price History'!P108)),NOT(ISNUMBER('Price History'!P107)),'Price History'!P107=0),"",'Price History'!P108/'Price History'!P107-1),"")</f>
        <v>0.0245885618232282</v>
      </c>
      <c r="Q107" s="142" t="n">
        <f aca="false">IFERROR(IF(OR(NOT(ISNUMBER('Price History'!Q108)),NOT(ISNUMBER('Price History'!Q107)),'Price History'!Q107=0),"",'Price History'!Q108/'Price History'!Q107-1),"")</f>
        <v>0.00641444437845218</v>
      </c>
      <c r="R107" s="142" t="n">
        <f aca="false">IFERROR(IF(OR(NOT(ISNUMBER('Price History'!R108)),NOT(ISNUMBER('Price History'!R107)),'Price History'!R107=0),"",'Price History'!R108/'Price History'!R107-1),"")</f>
        <v>0.00867678958785234</v>
      </c>
      <c r="S107" s="142" t="n">
        <f aca="false">IFERROR(IF(OR(NOT(ISNUMBER('Price History'!S108)),NOT(ISNUMBER('Price History'!S107)),'Price History'!S107=0),"",'Price History'!S108/'Price History'!S107-1),"")</f>
        <v>0.00102397815513267</v>
      </c>
      <c r="T107" s="142" t="n">
        <f aca="false">IFERROR(IF(OR(NOT(ISNUMBER('Price History'!T108)),NOT(ISNUMBER('Price History'!T107)),'Price History'!T107=0),"",'Price History'!T108/'Price History'!T107-1),"")</f>
        <v>0.0394926491784378</v>
      </c>
      <c r="U107" s="142" t="str">
        <f aca="false">IFERROR(IF(OR(NOT(ISNUMBER('Price History'!U108)),NOT(ISNUMBER('Price History'!U107)),'Price History'!U107=0),"",'Price History'!U108/'Price History'!U107-1),"")</f>
        <v/>
      </c>
      <c r="V107" s="143" t="n">
        <f aca="false">IFERROR(IF(OR(NOT(ISNUMBER('Price History'!V108)),NOT(ISNUMBER('Price History'!V107)),'Price History'!V107=0),"",'Price History'!V108/'Price History'!V107-1),"")</f>
        <v>0.0246461981290478</v>
      </c>
      <c r="W107" s="144" t="str">
        <f aca="false">IFERROR('Price History'!B3+(INDEX('Price History'!B:B,MATCH(9.99E+307,'Price History'!$A:$A))-'Price History'!B3)*(ROW()-3)/(MATCH(9.99E+307,'Returns (Calc)'!$A:$A)-3),"")</f>
        <v/>
      </c>
      <c r="X107" s="144" t="n">
        <f aca="false">IFERROR('Price History'!C3+(INDEX('Price History'!C:C,MATCH(9.99E+307,'Price History'!$A:$A))-'Price History'!C3)*(ROW()-3)/(MATCH(9.99E+307,'Returns (Calc)'!$A:$A)-3),"")</f>
        <v>15.7830379746835</v>
      </c>
      <c r="Y107" s="144" t="n">
        <f aca="false">IFERROR('Price History'!D3+(INDEX('Price History'!D:D,MATCH(9.99E+307,'Price History'!$A:$A))-'Price History'!D3)*(ROW()-3)/(MATCH(9.99E+307,'Returns (Calc)'!$A:$A)-3),"")</f>
        <v>198.914810126582</v>
      </c>
      <c r="Z107" s="144" t="n">
        <f aca="false">IFERROR('Price History'!E3+(INDEX('Price History'!E:E,MATCH(9.99E+307,'Price History'!$A:$A))-'Price History'!E3)*(ROW()-3)/(MATCH(9.99E+307,'Returns (Calc)'!$A:$A)-3),"")</f>
        <v>28.0253164556962</v>
      </c>
      <c r="AA107" s="144" t="n">
        <f aca="false">IFERROR('Price History'!F3+(INDEX('Price History'!F:F,MATCH(9.99E+307,'Price History'!$A:$A))-'Price History'!F3)*(ROW()-3)/(MATCH(9.99E+307,'Returns (Calc)'!$A:$A)-3),"")</f>
        <v>25.7388607594937</v>
      </c>
      <c r="AB107" s="144" t="n">
        <f aca="false">IFERROR('Price History'!G3+(INDEX('Price History'!G:G,MATCH(9.99E+307,'Price History'!$A:$A))-'Price History'!G3)*(ROW()-3)/(MATCH(9.99E+307,'Returns (Calc)'!$A:$A)-3),"")</f>
        <v>14.1356962025316</v>
      </c>
      <c r="AC107" s="144" t="n">
        <f aca="false">IFERROR('Price History'!H3+(INDEX('Price History'!H:H,MATCH(9.99E+307,'Price History'!$A:$A))-'Price History'!H3)*(ROW()-3)/(MATCH(9.99E+307,'Returns (Calc)'!$A:$A)-3),"")</f>
        <v>34.3788607594937</v>
      </c>
      <c r="AD107" s="144" t="n">
        <f aca="false">IFERROR('Price History'!I3+(INDEX('Price History'!I:I,MATCH(9.99E+307,'Price History'!$A:$A))-'Price History'!I3)*(ROW()-3)/(MATCH(9.99E+307,'Returns (Calc)'!$A:$A)-3),"")</f>
        <v>15.1575949367089</v>
      </c>
      <c r="AE107" s="144" t="n">
        <f aca="false">IFERROR('Price History'!J3+(INDEX('Price History'!J:J,MATCH(9.99E+307,'Price History'!$A:$A))-'Price History'!J3)*(ROW()-3)/(MATCH(9.99E+307,'Returns (Calc)'!$A:$A)-3),"")</f>
        <v>23.6198734177215</v>
      </c>
      <c r="AF107" s="144" t="n">
        <f aca="false">IFERROR('Price History'!K3+(INDEX('Price History'!K:K,MATCH(9.99E+307,'Price History'!$A:$A))-'Price History'!K3)*(ROW()-3)/(MATCH(9.99E+307,'Returns (Calc)'!$A:$A)-3),"")</f>
        <v>14.9593670886076</v>
      </c>
      <c r="AG107" s="144" t="n">
        <f aca="false">IFERROR('Price History'!L3+(INDEX('Price History'!L:L,MATCH(9.99E+307,'Price History'!$A:$A))-'Price History'!L3)*(ROW()-3)/(MATCH(9.99E+307,'Returns (Calc)'!$A:$A)-3),"")</f>
        <v>38.2237974683544</v>
      </c>
      <c r="AH107" s="144" t="n">
        <f aca="false">IFERROR('Price History'!M3+(INDEX('Price History'!M:M,MATCH(9.99E+307,'Price History'!$A:$A))-'Price History'!M3)*(ROW()-3)/(MATCH(9.99E+307,'Returns (Calc)'!$A:$A)-3),"")</f>
        <v>5.2393670886076</v>
      </c>
      <c r="AI107" s="144" t="n">
        <f aca="false">IFERROR('Price History'!N3+(INDEX('Price History'!N:N,MATCH(9.99E+307,'Price History'!$A:$A))-'Price History'!N3)*(ROW()-3)/(MATCH(9.99E+307,'Returns (Calc)'!$A:$A)-3),"")</f>
        <v>7.4506329113924</v>
      </c>
      <c r="AJ107" s="144" t="n">
        <f aca="false">IFERROR('Price History'!O3+(INDEX('Price History'!O:O,MATCH(9.99E+307,'Price History'!$A:$A))-'Price History'!O3)*(ROW()-3)/(MATCH(9.99E+307,'Returns (Calc)'!$A:$A)-3),"")</f>
        <v>19.6963291139241</v>
      </c>
      <c r="AK107" s="144" t="n">
        <f aca="false">IFERROR('Price History'!Q3+(INDEX('Price History'!Q:Q,MATCH(9.99E+307,'Price History'!$A:$A))-'Price History'!Q3)*(ROW()-3)/(MATCH(9.99E+307,'Returns (Calc)'!$A:$A)-3),"")</f>
        <v>80.5317721518987</v>
      </c>
      <c r="AL107" s="144" t="n">
        <f aca="false">IFERROR('Price History'!R3+(INDEX('Price History'!R:R,MATCH(9.99E+307,'Price History'!$A:$A))-'Price History'!R3)*(ROW()-3)/(MATCH(9.99E+307,'Returns (Calc)'!$A:$A)-3),"")</f>
        <v>16.3435443037975</v>
      </c>
      <c r="AM107" s="144" t="n">
        <f aca="false">IFERROR('Price History'!S3+(INDEX('Price History'!S:S,MATCH(9.99E+307,'Price History'!$A:$A))-'Price History'!S3)*(ROW()-3)/(MATCH(9.99E+307,'Returns (Calc)'!$A:$A)-3),"")</f>
        <v>20.0073417721519</v>
      </c>
      <c r="AN107" s="144" t="n">
        <f aca="false">IFERROR('Price History'!T3+(INDEX('Price History'!T:T,MATCH(9.99E+307,'Price History'!$A:$A))-'Price History'!T3)*(ROW()-3)/(MATCH(9.99E+307,'Returns (Calc)'!$A:$A)-3),"")</f>
        <v>9.19708860759494</v>
      </c>
      <c r="AO107" s="145" t="n">
        <f aca="false">IFERROR('Price History'!V3+(INDEX('Price History'!V:V,MATCH(9.99E+307,'Price History'!$A:$A))-'Price History'!V3)*(ROW()-3)/(MATCH(9.99E+307,'Returns (Calc)'!$A:$A)-3),"")</f>
        <v>0</v>
      </c>
    </row>
    <row r="108" customFormat="false" ht="15" hidden="false" customHeight="true" outlineLevel="0" collapsed="false">
      <c r="A108" s="141" t="n">
        <f aca="false">IF('Price History'!A109="","",'Price History'!A109)</f>
        <v>45926</v>
      </c>
      <c r="B108" s="142" t="n">
        <f aca="false">IFERROR(IF(OR(NOT(ISNUMBER('Price History'!B109)),NOT(ISNUMBER('Price History'!B108)),'Price History'!B108=0),"",'Price History'!B109/'Price History'!B108-1),"")</f>
        <v>-0.0151134189669307</v>
      </c>
      <c r="C108" s="142" t="n">
        <f aca="false">IFERROR(IF(OR(NOT(ISNUMBER('Price History'!C109)),NOT(ISNUMBER('Price History'!C108)),'Price History'!C108=0),"",'Price History'!C109/'Price History'!C108-1),"")</f>
        <v>-0.0475235612592742</v>
      </c>
      <c r="D108" s="142" t="n">
        <f aca="false">IFERROR(IF(OR(NOT(ISNUMBER('Price History'!D109)),NOT(ISNUMBER('Price History'!D108)),'Price History'!D108=0),"",'Price History'!D109/'Price History'!D108-1),"")</f>
        <v>0.0207764159602613</v>
      </c>
      <c r="E108" s="142" t="n">
        <f aca="false">IFERROR(IF(OR(NOT(ISNUMBER('Price History'!E109)),NOT(ISNUMBER('Price History'!E108)),'Price History'!E108=0),"",'Price History'!E109/'Price History'!E108-1),"")</f>
        <v>-0.028524618940347</v>
      </c>
      <c r="F108" s="142" t="n">
        <f aca="false">IFERROR(IF(OR(NOT(ISNUMBER('Price History'!F109)),NOT(ISNUMBER('Price History'!F108)),'Price History'!F108=0),"",'Price History'!F109/'Price History'!F108-1),"")</f>
        <v>0.00303214069132807</v>
      </c>
      <c r="G108" s="142" t="n">
        <f aca="false">IFERROR(IF(OR(NOT(ISNUMBER('Price History'!G109)),NOT(ISNUMBER('Price History'!G108)),'Price History'!G108=0),"",'Price History'!G109/'Price History'!G108-1),"")</f>
        <v>-0.0420248328557784</v>
      </c>
      <c r="H108" s="142" t="n">
        <f aca="false">IFERROR(IF(OR(NOT(ISNUMBER('Price History'!H109)),NOT(ISNUMBER('Price History'!H108)),'Price History'!H108=0),"",'Price History'!H109/'Price History'!H108-1),"")</f>
        <v>0.00767754318618041</v>
      </c>
      <c r="I108" s="142" t="n">
        <f aca="false">IFERROR(IF(OR(NOT(ISNUMBER('Price History'!I109)),NOT(ISNUMBER('Price History'!I108)),'Price History'!I108=0),"",'Price History'!I109/'Price History'!I108-1),"")</f>
        <v>0.0186682063125481</v>
      </c>
      <c r="J108" s="142" t="n">
        <f aca="false">IFERROR(IF(OR(NOT(ISNUMBER('Price History'!J109)),NOT(ISNUMBER('Price History'!J108)),'Price History'!J108=0),"",'Price History'!J109/'Price History'!J108-1),"")</f>
        <v>-0.0335446543977349</v>
      </c>
      <c r="K108" s="142" t="n">
        <f aca="false">IFERROR(IF(OR(NOT(ISNUMBER('Price History'!K109)),NOT(ISNUMBER('Price History'!K108)),'Price History'!K108=0),"",'Price History'!K109/'Price History'!K108-1),"")</f>
        <v>0.00856737588652479</v>
      </c>
      <c r="L108" s="142" t="n">
        <f aca="false">IFERROR(IF(OR(NOT(ISNUMBER('Price History'!L109)),NOT(ISNUMBER('Price History'!L108)),'Price History'!L108=0),"",'Price History'!L109/'Price History'!L108-1),"")</f>
        <v>0.00599727396637895</v>
      </c>
      <c r="M108" s="142" t="n">
        <f aca="false">IFERROR(IF(OR(NOT(ISNUMBER('Price History'!M109)),NOT(ISNUMBER('Price History'!M108)),'Price History'!M108=0),"",'Price History'!M109/'Price History'!M108-1),"")</f>
        <v>-0.0264268874390043</v>
      </c>
      <c r="N108" s="142" t="n">
        <f aca="false">IFERROR(IF(OR(NOT(ISNUMBER('Price History'!N109)),NOT(ISNUMBER('Price History'!N108)),'Price History'!N108=0),"",'Price History'!N109/'Price History'!N108-1),"")</f>
        <v>0.00535372848948379</v>
      </c>
      <c r="O108" s="142" t="n">
        <f aca="false">IFERROR(IF(OR(NOT(ISNUMBER('Price History'!O109)),NOT(ISNUMBER('Price History'!O108)),'Price History'!O108=0),"",'Price History'!O109/'Price History'!O108-1),"")</f>
        <v>-0.00952617627567931</v>
      </c>
      <c r="P108" s="142" t="n">
        <f aca="false">IFERROR(IF(OR(NOT(ISNUMBER('Price History'!P109)),NOT(ISNUMBER('Price History'!P108)),'Price History'!P108=0),"",'Price History'!P109/'Price History'!P108-1),"")</f>
        <v>0.0320488363220144</v>
      </c>
      <c r="Q108" s="142" t="n">
        <f aca="false">IFERROR(IF(OR(NOT(ISNUMBER('Price History'!Q109)),NOT(ISNUMBER('Price History'!Q108)),'Price History'!Q108=0),"",'Price History'!Q109/'Price History'!Q108-1),"")</f>
        <v>-0.0124225435231631</v>
      </c>
      <c r="R108" s="142" t="n">
        <f aca="false">IFERROR(IF(OR(NOT(ISNUMBER('Price History'!R109)),NOT(ISNUMBER('Price History'!R108)),'Price History'!R108=0),"",'Price History'!R109/'Price History'!R108-1),"")</f>
        <v>-0.00232974910394257</v>
      </c>
      <c r="S108" s="142" t="n">
        <f aca="false">IFERROR(IF(OR(NOT(ISNUMBER('Price History'!S109)),NOT(ISNUMBER('Price History'!S108)),'Price History'!S108=0),"",'Price History'!S109/'Price History'!S108-1),"")</f>
        <v>-0.00681953797630208</v>
      </c>
      <c r="T108" s="142" t="n">
        <f aca="false">IFERROR(IF(OR(NOT(ISNUMBER('Price History'!T109)),NOT(ISNUMBER('Price History'!T108)),'Price History'!T108=0),"",'Price History'!T109/'Price History'!T108-1),"")</f>
        <v>0.0257903494176373</v>
      </c>
      <c r="U108" s="142" t="str">
        <f aca="false">IFERROR(IF(OR(NOT(ISNUMBER('Price History'!U109)),NOT(ISNUMBER('Price History'!U108)),'Price History'!U108=0),"",'Price History'!U109/'Price History'!U108-1),"")</f>
        <v/>
      </c>
      <c r="V108" s="143" t="n">
        <f aca="false">IFERROR(IF(OR(NOT(ISNUMBER('Price History'!V109)),NOT(ISNUMBER('Price History'!V108)),'Price History'!V108=0),"",'Price History'!V109/'Price History'!V108-1),"")</f>
        <v>0.0161526306548838</v>
      </c>
      <c r="W108" s="144" t="str">
        <f aca="false">IFERROR('Price History'!B3+(INDEX('Price History'!B:B,MATCH(9.99E+307,'Price History'!$A:$A))-'Price History'!B3)*(ROW()-3)/(MATCH(9.99E+307,'Returns (Calc)'!$A:$A)-3),"")</f>
        <v/>
      </c>
      <c r="X108" s="144" t="n">
        <f aca="false">IFERROR('Price History'!C3+(INDEX('Price History'!C:C,MATCH(9.99E+307,'Price History'!$A:$A))-'Price History'!C3)*(ROW()-3)/(MATCH(9.99E+307,'Returns (Calc)'!$A:$A)-3),"")</f>
        <v>15.4907594936709</v>
      </c>
      <c r="Y108" s="144" t="n">
        <f aca="false">IFERROR('Price History'!D3+(INDEX('Price History'!D:D,MATCH(9.99E+307,'Price History'!$A:$A))-'Price History'!D3)*(ROW()-3)/(MATCH(9.99E+307,'Returns (Calc)'!$A:$A)-3),"")</f>
        <v>195.231202531646</v>
      </c>
      <c r="Z108" s="144" t="n">
        <f aca="false">IFERROR('Price History'!E3+(INDEX('Price History'!E:E,MATCH(9.99E+307,'Price History'!$A:$A))-'Price History'!E3)*(ROW()-3)/(MATCH(9.99E+307,'Returns (Calc)'!$A:$A)-3),"")</f>
        <v>27.5063291139241</v>
      </c>
      <c r="AA108" s="144" t="n">
        <f aca="false">IFERROR('Price History'!F3+(INDEX('Price History'!F:F,MATCH(9.99E+307,'Price History'!$A:$A))-'Price History'!F3)*(ROW()-3)/(MATCH(9.99E+307,'Returns (Calc)'!$A:$A)-3),"")</f>
        <v>25.2622151898734</v>
      </c>
      <c r="AB108" s="144" t="n">
        <f aca="false">IFERROR('Price History'!G3+(INDEX('Price History'!G:G,MATCH(9.99E+307,'Price History'!$A:$A))-'Price History'!G3)*(ROW()-3)/(MATCH(9.99E+307,'Returns (Calc)'!$A:$A)-3),"")</f>
        <v>13.8739240506329</v>
      </c>
      <c r="AC108" s="144" t="n">
        <f aca="false">IFERROR('Price History'!H3+(INDEX('Price History'!H:H,MATCH(9.99E+307,'Price History'!$A:$A))-'Price History'!H3)*(ROW()-3)/(MATCH(9.99E+307,'Returns (Calc)'!$A:$A)-3),"")</f>
        <v>33.7422151898734</v>
      </c>
      <c r="AD108" s="144" t="n">
        <f aca="false">IFERROR('Price History'!I3+(INDEX('Price History'!I:I,MATCH(9.99E+307,'Price History'!$A:$A))-'Price History'!I3)*(ROW()-3)/(MATCH(9.99E+307,'Returns (Calc)'!$A:$A)-3),"")</f>
        <v>14.8768987341772</v>
      </c>
      <c r="AE108" s="144" t="n">
        <f aca="false">IFERROR('Price History'!J3+(INDEX('Price History'!J:J,MATCH(9.99E+307,'Price History'!$A:$A))-'Price History'!J3)*(ROW()-3)/(MATCH(9.99E+307,'Returns (Calc)'!$A:$A)-3),"")</f>
        <v>23.1824683544304</v>
      </c>
      <c r="AF108" s="144" t="n">
        <f aca="false">IFERROR('Price History'!K3+(INDEX('Price History'!K:K,MATCH(9.99E+307,'Price History'!$A:$A))-'Price History'!K3)*(ROW()-3)/(MATCH(9.99E+307,'Returns (Calc)'!$A:$A)-3),"")</f>
        <v>14.6823417721519</v>
      </c>
      <c r="AG108" s="144" t="n">
        <f aca="false">IFERROR('Price History'!L3+(INDEX('Price History'!L:L,MATCH(9.99E+307,'Price History'!$A:$A))-'Price History'!L3)*(ROW()-3)/(MATCH(9.99E+307,'Returns (Calc)'!$A:$A)-3),"")</f>
        <v>37.5159493670886</v>
      </c>
      <c r="AH108" s="144" t="n">
        <f aca="false">IFERROR('Price History'!M3+(INDEX('Price History'!M:M,MATCH(9.99E+307,'Price History'!$A:$A))-'Price History'!M3)*(ROW()-3)/(MATCH(9.99E+307,'Returns (Calc)'!$A:$A)-3),"")</f>
        <v>5.1423417721519</v>
      </c>
      <c r="AI108" s="144" t="n">
        <f aca="false">IFERROR('Price History'!N3+(INDEX('Price History'!N:N,MATCH(9.99E+307,'Price History'!$A:$A))-'Price History'!N3)*(ROW()-3)/(MATCH(9.99E+307,'Returns (Calc)'!$A:$A)-3),"")</f>
        <v>7.3126582278481</v>
      </c>
      <c r="AJ108" s="144" t="n">
        <f aca="false">IFERROR('Price History'!O3+(INDEX('Price History'!O:O,MATCH(9.99E+307,'Price History'!$A:$A))-'Price History'!O3)*(ROW()-3)/(MATCH(9.99E+307,'Returns (Calc)'!$A:$A)-3),"")</f>
        <v>19.331582278481</v>
      </c>
      <c r="AK108" s="144" t="n">
        <f aca="false">IFERROR('Price History'!Q3+(INDEX('Price History'!Q:Q,MATCH(9.99E+307,'Price History'!$A:$A))-'Price History'!Q3)*(ROW()-3)/(MATCH(9.99E+307,'Returns (Calc)'!$A:$A)-3),"")</f>
        <v>79.0404430379747</v>
      </c>
      <c r="AL108" s="144" t="n">
        <f aca="false">IFERROR('Price History'!R3+(INDEX('Price History'!R:R,MATCH(9.99E+307,'Price History'!$A:$A))-'Price History'!R3)*(ROW()-3)/(MATCH(9.99E+307,'Returns (Calc)'!$A:$A)-3),"")</f>
        <v>16.0408860759494</v>
      </c>
      <c r="AM108" s="144" t="n">
        <f aca="false">IFERROR('Price History'!S3+(INDEX('Price History'!S:S,MATCH(9.99E+307,'Price History'!$A:$A))-'Price History'!S3)*(ROW()-3)/(MATCH(9.99E+307,'Returns (Calc)'!$A:$A)-3),"")</f>
        <v>19.636835443038</v>
      </c>
      <c r="AN108" s="144" t="n">
        <f aca="false">IFERROR('Price History'!T3+(INDEX('Price History'!T:T,MATCH(9.99E+307,'Price History'!$A:$A))-'Price History'!T3)*(ROW()-3)/(MATCH(9.99E+307,'Returns (Calc)'!$A:$A)-3),"")</f>
        <v>9.02677215189873</v>
      </c>
      <c r="AO108" s="145" t="n">
        <f aca="false">IFERROR('Price History'!V3+(INDEX('Price History'!V:V,MATCH(9.99E+307,'Price History'!$A:$A))-'Price History'!V3)*(ROW()-3)/(MATCH(9.99E+307,'Returns (Calc)'!$A:$A)-3),"")</f>
        <v>0</v>
      </c>
    </row>
    <row r="109" customFormat="false" ht="15" hidden="false" customHeight="true" outlineLevel="0" collapsed="false">
      <c r="A109" s="141" t="n">
        <f aca="false">IF('Price History'!A110="","",'Price History'!A110)</f>
        <v>45933</v>
      </c>
      <c r="B109" s="142" t="n">
        <f aca="false">IFERROR(IF(OR(NOT(ISNUMBER('Price History'!B110)),NOT(ISNUMBER('Price History'!B109)),'Price History'!B109=0),"",'Price History'!B110/'Price History'!B109-1),"")</f>
        <v>-0.0378222382551267</v>
      </c>
      <c r="C109" s="142" t="n">
        <f aca="false">IFERROR(IF(OR(NOT(ISNUMBER('Price History'!C110)),NOT(ISNUMBER('Price History'!C109)),'Price History'!C109=0),"",'Price History'!C110/'Price History'!C109-1),"")</f>
        <v>0.0210526315789474</v>
      </c>
      <c r="D109" s="142" t="n">
        <f aca="false">IFERROR(IF(OR(NOT(ISNUMBER('Price History'!D110)),NOT(ISNUMBER('Price History'!D109)),'Price History'!D109=0),"",'Price History'!D110/'Price History'!D109-1),"")</f>
        <v>0.0848205312655377</v>
      </c>
      <c r="E109" s="142" t="n">
        <f aca="false">IFERROR(IF(OR(NOT(ISNUMBER('Price History'!E110)),NOT(ISNUMBER('Price History'!E109)),'Price History'!E109=0),"",'Price History'!E110/'Price History'!E109-1),"")</f>
        <v>0.0114738300307173</v>
      </c>
      <c r="F109" s="142" t="n">
        <f aca="false">IFERROR(IF(OR(NOT(ISNUMBER('Price History'!F110)),NOT(ISNUMBER('Price History'!F109)),'Price History'!F109=0),"",'Price History'!F110/'Price History'!F109-1),"")</f>
        <v>0.00110842402257161</v>
      </c>
      <c r="G109" s="142" t="n">
        <f aca="false">IFERROR(IF(OR(NOT(ISNUMBER('Price History'!G110)),NOT(ISNUMBER('Price History'!G109)),'Price History'!G109=0),"",'Price History'!G110/'Price History'!G109-1),"")</f>
        <v>0.0175307411100034</v>
      </c>
      <c r="H109" s="142" t="n">
        <f aca="false">IFERROR(IF(OR(NOT(ISNUMBER('Price History'!H110)),NOT(ISNUMBER('Price History'!H109)),'Price History'!H109=0),"",'Price History'!H110/'Price History'!H109-1),"")</f>
        <v>0.0123809523809524</v>
      </c>
      <c r="I109" s="142" t="n">
        <f aca="false">IFERROR(IF(OR(NOT(ISNUMBER('Price History'!I110)),NOT(ISNUMBER('Price History'!I109)),'Price History'!I109=0),"",'Price History'!I110/'Price History'!I109-1),"")</f>
        <v>0.0349518231626678</v>
      </c>
      <c r="J109" s="142" t="n">
        <f aca="false">IFERROR(IF(OR(NOT(ISNUMBER('Price History'!J110)),NOT(ISNUMBER('Price History'!J109)),'Price History'!J109=0),"",'Price History'!J110/'Price History'!J109-1),"")</f>
        <v>0.195070691631639</v>
      </c>
      <c r="K109" s="142" t="n">
        <f aca="false">IFERROR(IF(OR(NOT(ISNUMBER('Price History'!K110)),NOT(ISNUMBER('Price History'!K109)),'Price History'!K109=0),"",'Price History'!K110/'Price History'!K109-1),"")</f>
        <v>0.0529365436543654</v>
      </c>
      <c r="L109" s="142" t="n">
        <f aca="false">IFERROR(IF(OR(NOT(ISNUMBER('Price History'!L110)),NOT(ISNUMBER('Price History'!L109)),'Price History'!L109=0),"",'Price History'!L110/'Price History'!L109-1),"")</f>
        <v>0.0252009755216331</v>
      </c>
      <c r="M109" s="142" t="n">
        <f aca="false">IFERROR(IF(OR(NOT(ISNUMBER('Price History'!M110)),NOT(ISNUMBER('Price History'!M109)),'Price History'!M109=0),"",'Price History'!M110/'Price History'!M109-1),"")</f>
        <v>-0.025342118601115</v>
      </c>
      <c r="N109" s="142" t="n">
        <f aca="false">IFERROR(IF(OR(NOT(ISNUMBER('Price History'!N110)),NOT(ISNUMBER('Price History'!N109)),'Price History'!N109=0),"",'Price History'!N110/'Price History'!N109-1),"")</f>
        <v>0.00722708254089022</v>
      </c>
      <c r="O109" s="142" t="n">
        <f aca="false">IFERROR(IF(OR(NOT(ISNUMBER('Price History'!O110)),NOT(ISNUMBER('Price History'!O109)),'Price History'!O109=0),"",'Price History'!O110/'Price History'!O109-1),"")</f>
        <v>-0.00409801789746589</v>
      </c>
      <c r="P109" s="142" t="n">
        <f aca="false">IFERROR(IF(OR(NOT(ISNUMBER('Price History'!P110)),NOT(ISNUMBER('Price History'!P109)),'Price History'!P109=0),"",'Price History'!P110/'Price History'!P109-1),"")</f>
        <v>0.0688724584103513</v>
      </c>
      <c r="Q109" s="142" t="n">
        <f aca="false">IFERROR(IF(OR(NOT(ISNUMBER('Price History'!Q110)),NOT(ISNUMBER('Price History'!Q109)),'Price History'!Q109=0),"",'Price History'!Q110/'Price History'!Q109-1),"")</f>
        <v>0.0369595745316562</v>
      </c>
      <c r="R109" s="142" t="n">
        <f aca="false">IFERROR(IF(OR(NOT(ISNUMBER('Price History'!R110)),NOT(ISNUMBER('Price History'!R109)),'Price History'!R109=0),"",'Price History'!R110/'Price History'!R109-1),"")</f>
        <v>0.000179629962277605</v>
      </c>
      <c r="S109" s="142" t="n">
        <f aca="false">IFERROR(IF(OR(NOT(ISNUMBER('Price History'!S110)),NOT(ISNUMBER('Price History'!S109)),'Price History'!S109=0),"",'Price History'!S110/'Price History'!S109-1),"")</f>
        <v>-0.000257488627585678</v>
      </c>
      <c r="T109" s="142" t="n">
        <f aca="false">IFERROR(IF(OR(NOT(ISNUMBER('Price History'!T110)),NOT(ISNUMBER('Price History'!T109)),'Price History'!T109=0),"",'Price History'!T110/'Price History'!T109-1),"")</f>
        <v>0.00919167342524996</v>
      </c>
      <c r="U109" s="142" t="str">
        <f aca="false">IFERROR(IF(OR(NOT(ISNUMBER('Price History'!U110)),NOT(ISNUMBER('Price History'!U109)),'Price History'!U109=0),"",'Price History'!U110/'Price History'!U109-1),"")</f>
        <v/>
      </c>
      <c r="V109" s="143" t="n">
        <f aca="false">IFERROR(IF(OR(NOT(ISNUMBER('Price History'!V110)),NOT(ISNUMBER('Price History'!V109)),'Price History'!V109=0),"",'Price History'!V110/'Price History'!V109-1),"")</f>
        <v>0.00498185797385253</v>
      </c>
      <c r="W109" s="144" t="str">
        <f aca="false">IFERROR('Price History'!B3+(INDEX('Price History'!B:B,MATCH(9.99E+307,'Price History'!$A:$A))-'Price History'!B3)*(ROW()-3)/(MATCH(9.99E+307,'Returns (Calc)'!$A:$A)-3),"")</f>
        <v/>
      </c>
      <c r="X109" s="144" t="n">
        <f aca="false">IFERROR('Price History'!C3+(INDEX('Price History'!C:C,MATCH(9.99E+307,'Price History'!$A:$A))-'Price History'!C3)*(ROW()-3)/(MATCH(9.99E+307,'Returns (Calc)'!$A:$A)-3),"")</f>
        <v>15.1984810126582</v>
      </c>
      <c r="Y109" s="144" t="n">
        <f aca="false">IFERROR('Price History'!D3+(INDEX('Price History'!D:D,MATCH(9.99E+307,'Price History'!$A:$A))-'Price History'!D3)*(ROW()-3)/(MATCH(9.99E+307,'Returns (Calc)'!$A:$A)-3),"")</f>
        <v>191.547594936709</v>
      </c>
      <c r="Z109" s="144" t="n">
        <f aca="false">IFERROR('Price History'!E3+(INDEX('Price History'!E:E,MATCH(9.99E+307,'Price History'!$A:$A))-'Price History'!E3)*(ROW()-3)/(MATCH(9.99E+307,'Returns (Calc)'!$A:$A)-3),"")</f>
        <v>26.9873417721519</v>
      </c>
      <c r="AA109" s="144" t="n">
        <f aca="false">IFERROR('Price History'!F3+(INDEX('Price History'!F:F,MATCH(9.99E+307,'Price History'!$A:$A))-'Price History'!F3)*(ROW()-3)/(MATCH(9.99E+307,'Returns (Calc)'!$A:$A)-3),"")</f>
        <v>24.7855696202532</v>
      </c>
      <c r="AB109" s="144" t="n">
        <f aca="false">IFERROR('Price History'!G3+(INDEX('Price History'!G:G,MATCH(9.99E+307,'Price History'!$A:$A))-'Price History'!G3)*(ROW()-3)/(MATCH(9.99E+307,'Returns (Calc)'!$A:$A)-3),"")</f>
        <v>13.6121518987342</v>
      </c>
      <c r="AC109" s="144" t="n">
        <f aca="false">IFERROR('Price History'!H3+(INDEX('Price History'!H:H,MATCH(9.99E+307,'Price History'!$A:$A))-'Price History'!H3)*(ROW()-3)/(MATCH(9.99E+307,'Returns (Calc)'!$A:$A)-3),"")</f>
        <v>33.1055696202532</v>
      </c>
      <c r="AD109" s="144" t="n">
        <f aca="false">IFERROR('Price History'!I3+(INDEX('Price History'!I:I,MATCH(9.99E+307,'Price History'!$A:$A))-'Price History'!I3)*(ROW()-3)/(MATCH(9.99E+307,'Returns (Calc)'!$A:$A)-3),"")</f>
        <v>14.5962025316456</v>
      </c>
      <c r="AE109" s="144" t="n">
        <f aca="false">IFERROR('Price History'!J3+(INDEX('Price History'!J:J,MATCH(9.99E+307,'Price History'!$A:$A))-'Price History'!J3)*(ROW()-3)/(MATCH(9.99E+307,'Returns (Calc)'!$A:$A)-3),"")</f>
        <v>22.7450632911392</v>
      </c>
      <c r="AF109" s="144" t="n">
        <f aca="false">IFERROR('Price History'!K3+(INDEX('Price History'!K:K,MATCH(9.99E+307,'Price History'!$A:$A))-'Price History'!K3)*(ROW()-3)/(MATCH(9.99E+307,'Returns (Calc)'!$A:$A)-3),"")</f>
        <v>14.4053164556962</v>
      </c>
      <c r="AG109" s="144" t="n">
        <f aca="false">IFERROR('Price History'!L3+(INDEX('Price History'!L:L,MATCH(9.99E+307,'Price History'!$A:$A))-'Price History'!L3)*(ROW()-3)/(MATCH(9.99E+307,'Returns (Calc)'!$A:$A)-3),"")</f>
        <v>36.8081012658228</v>
      </c>
      <c r="AH109" s="144" t="n">
        <f aca="false">IFERROR('Price History'!M3+(INDEX('Price History'!M:M,MATCH(9.99E+307,'Price History'!$A:$A))-'Price History'!M3)*(ROW()-3)/(MATCH(9.99E+307,'Returns (Calc)'!$A:$A)-3),"")</f>
        <v>5.0453164556962</v>
      </c>
      <c r="AI109" s="144" t="n">
        <f aca="false">IFERROR('Price History'!N3+(INDEX('Price History'!N:N,MATCH(9.99E+307,'Price History'!$A:$A))-'Price History'!N3)*(ROW()-3)/(MATCH(9.99E+307,'Returns (Calc)'!$A:$A)-3),"")</f>
        <v>7.1746835443038</v>
      </c>
      <c r="AJ109" s="144" t="n">
        <f aca="false">IFERROR('Price History'!O3+(INDEX('Price History'!O:O,MATCH(9.99E+307,'Price History'!$A:$A))-'Price History'!O3)*(ROW()-3)/(MATCH(9.99E+307,'Returns (Calc)'!$A:$A)-3),"")</f>
        <v>18.966835443038</v>
      </c>
      <c r="AK109" s="144" t="n">
        <f aca="false">IFERROR('Price History'!Q3+(INDEX('Price History'!Q:Q,MATCH(9.99E+307,'Price History'!$A:$A))-'Price History'!Q3)*(ROW()-3)/(MATCH(9.99E+307,'Returns (Calc)'!$A:$A)-3),"")</f>
        <v>77.5491139240506</v>
      </c>
      <c r="AL109" s="144" t="n">
        <f aca="false">IFERROR('Price History'!R3+(INDEX('Price History'!R:R,MATCH(9.99E+307,'Price History'!$A:$A))-'Price History'!R3)*(ROW()-3)/(MATCH(9.99E+307,'Returns (Calc)'!$A:$A)-3),"")</f>
        <v>15.7382278481013</v>
      </c>
      <c r="AM109" s="144" t="n">
        <f aca="false">IFERROR('Price History'!S3+(INDEX('Price History'!S:S,MATCH(9.99E+307,'Price History'!$A:$A))-'Price History'!S3)*(ROW()-3)/(MATCH(9.99E+307,'Returns (Calc)'!$A:$A)-3),"")</f>
        <v>19.2663291139241</v>
      </c>
      <c r="AN109" s="144" t="n">
        <f aca="false">IFERROR('Price History'!T3+(INDEX('Price History'!T:T,MATCH(9.99E+307,'Price History'!$A:$A))-'Price History'!T3)*(ROW()-3)/(MATCH(9.99E+307,'Returns (Calc)'!$A:$A)-3),"")</f>
        <v>8.85645569620253</v>
      </c>
      <c r="AO109" s="145" t="n">
        <f aca="false">IFERROR('Price History'!V3+(INDEX('Price History'!V:V,MATCH(9.99E+307,'Price History'!$A:$A))-'Price History'!V3)*(ROW()-3)/(MATCH(9.99E+307,'Returns (Calc)'!$A:$A)-3),"")</f>
        <v>0</v>
      </c>
    </row>
    <row r="110" customFormat="false" ht="15" hidden="false" customHeight="true" outlineLevel="0" collapsed="false">
      <c r="A110" s="141" t="n">
        <f aca="false">IF('Price History'!A111="","",'Price History'!A111)</f>
        <v>45940</v>
      </c>
      <c r="B110" s="142" t="n">
        <f aca="false">IFERROR(IF(OR(NOT(ISNUMBER('Price History'!B111)),NOT(ISNUMBER('Price History'!B110)),'Price History'!B110=0),"",'Price History'!B111/'Price History'!B110-1),"")</f>
        <v>-0.026619368979639</v>
      </c>
      <c r="C110" s="142" t="n">
        <f aca="false">IFERROR(IF(OR(NOT(ISNUMBER('Price History'!C111)),NOT(ISNUMBER('Price History'!C110)),'Price History'!C110=0),"",'Price History'!C111/'Price History'!C110-1),"")</f>
        <v>0.059106529209622</v>
      </c>
      <c r="D110" s="142" t="n">
        <f aca="false">IFERROR(IF(OR(NOT(ISNUMBER('Price History'!D111)),NOT(ISNUMBER('Price History'!D110)),'Price History'!D110=0),"",'Price History'!D111/'Price History'!D110-1),"")</f>
        <v>-0.0930402644640995</v>
      </c>
      <c r="E110" s="142" t="n">
        <f aca="false">IFERROR(IF(OR(NOT(ISNUMBER('Price History'!E111)),NOT(ISNUMBER('Price History'!E110)),'Price History'!E110=0),"",'Price History'!E111/'Price History'!E110-1),"")</f>
        <v>-0.040610950665436</v>
      </c>
      <c r="F110" s="142" t="n">
        <f aca="false">IFERROR(IF(OR(NOT(ISNUMBER('Price History'!F111)),NOT(ISNUMBER('Price History'!F110)),'Price History'!F110=0),"",'Price History'!F111/'Price History'!F110-1),"")</f>
        <v>-0.054353296426774</v>
      </c>
      <c r="G110" s="142" t="n">
        <f aca="false">IFERROR(IF(OR(NOT(ISNUMBER('Price History'!G111)),NOT(ISNUMBER('Price History'!G110)),'Price History'!G110=0),"",'Price History'!G111/'Price History'!G110-1),"")</f>
        <v>0.00775700171470573</v>
      </c>
      <c r="H110" s="142" t="n">
        <f aca="false">IFERROR(IF(OR(NOT(ISNUMBER('Price History'!H111)),NOT(ISNUMBER('Price History'!H110)),'Price History'!H110=0),"",'Price History'!H111/'Price History'!H110-1),"")</f>
        <v>-0.0345900571676677</v>
      </c>
      <c r="I110" s="142" t="n">
        <f aca="false">IFERROR(IF(OR(NOT(ISNUMBER('Price History'!I111)),NOT(ISNUMBER('Price History'!I110)),'Price History'!I110=0),"",'Price History'!I111/'Price History'!I110-1),"")</f>
        <v>-0.107794815626141</v>
      </c>
      <c r="J110" s="142" t="n">
        <f aca="false">IFERROR(IF(OR(NOT(ISNUMBER('Price History'!J111)),NOT(ISNUMBER('Price History'!J110)),'Price History'!J110=0),"",'Price History'!J111/'Price History'!J110-1),"")</f>
        <v>-0.0332001065814016</v>
      </c>
      <c r="K110" s="142" t="n">
        <f aca="false">IFERROR(IF(OR(NOT(ISNUMBER('Price History'!K111)),NOT(ISNUMBER('Price History'!K110)),'Price History'!K110=0),"",'Price History'!K111/'Price History'!K110-1),"")</f>
        <v>-0.0237751776459902</v>
      </c>
      <c r="L110" s="142" t="n">
        <f aca="false">IFERROR(IF(OR(NOT(ISNUMBER('Price History'!L111)),NOT(ISNUMBER('Price History'!L110)),'Price History'!L110=0),"",'Price History'!L111/'Price History'!L110-1),"")</f>
        <v>-0.0498678414096916</v>
      </c>
      <c r="M110" s="142" t="n">
        <f aca="false">IFERROR(IF(OR(NOT(ISNUMBER('Price History'!M111)),NOT(ISNUMBER('Price History'!M110)),'Price History'!M110=0),"",'Price History'!M111/'Price History'!M110-1),"")</f>
        <v>0.0136938810885769</v>
      </c>
      <c r="N110" s="142" t="n">
        <f aca="false">IFERROR(IF(OR(NOT(ISNUMBER('Price History'!N111)),NOT(ISNUMBER('Price History'!N110)),'Price History'!N110=0),"",'Price History'!N111/'Price History'!N110-1),"")</f>
        <v>-0.0317220543806647</v>
      </c>
      <c r="O110" s="142" t="n">
        <f aca="false">IFERROR(IF(OR(NOT(ISNUMBER('Price History'!O111)),NOT(ISNUMBER('Price History'!O110)),'Price History'!O110=0),"",'Price History'!O111/'Price History'!O110-1),"")</f>
        <v>-0.0131844138394356</v>
      </c>
      <c r="P110" s="142" t="n">
        <f aca="false">IFERROR(IF(OR(NOT(ISNUMBER('Price History'!P111)),NOT(ISNUMBER('Price History'!P110)),'Price History'!P110=0),"",'Price History'!P111/'Price History'!P110-1),"")</f>
        <v>-0.0394632172379206</v>
      </c>
      <c r="Q110" s="142" t="n">
        <f aca="false">IFERROR(IF(OR(NOT(ISNUMBER('Price History'!Q111)),NOT(ISNUMBER('Price History'!Q110)),'Price History'!Q110=0),"",'Price History'!Q111/'Price History'!Q110-1),"")</f>
        <v>-0.0176914654526594</v>
      </c>
      <c r="R110" s="142" t="n">
        <f aca="false">IFERROR(IF(OR(NOT(ISNUMBER('Price History'!R111)),NOT(ISNUMBER('Price History'!R110)),'Price History'!R110=0),"",'Price History'!R111/'Price History'!R110-1),"")</f>
        <v>0.00179597701149437</v>
      </c>
      <c r="S110" s="142" t="n">
        <f aca="false">IFERROR(IF(OR(NOT(ISNUMBER('Price History'!S111)),NOT(ISNUMBER('Price History'!S110)),'Price History'!S110=0),"",'Price History'!S111/'Price History'!S110-1),"")</f>
        <v>0.0048935439560438</v>
      </c>
      <c r="T110" s="142" t="n">
        <f aca="false">IFERROR(IF(OR(NOT(ISNUMBER('Price History'!T111)),NOT(ISNUMBER('Price History'!T110)),'Price History'!T110=0),"",'Price History'!T111/'Price History'!T110-1),"")</f>
        <v>0.00750066970265206</v>
      </c>
      <c r="U110" s="142" t="str">
        <f aca="false">IFERROR(IF(OR(NOT(ISNUMBER('Price History'!U111)),NOT(ISNUMBER('Price History'!U110)),'Price History'!U110=0),"",'Price History'!U111/'Price History'!U110-1),"")</f>
        <v/>
      </c>
      <c r="V110" s="143" t="n">
        <f aca="false">IFERROR(IF(OR(NOT(ISNUMBER('Price History'!V111)),NOT(ISNUMBER('Price History'!V110)),'Price History'!V110=0),"",'Price History'!V111/'Price History'!V110-1),"")</f>
        <v>-0.0243273446230551</v>
      </c>
      <c r="W110" s="144" t="str">
        <f aca="false">IFERROR('Price History'!B3+(INDEX('Price History'!B:B,MATCH(9.99E+307,'Price History'!$A:$A))-'Price History'!B3)*(ROW()-3)/(MATCH(9.99E+307,'Returns (Calc)'!$A:$A)-3),"")</f>
        <v/>
      </c>
      <c r="X110" s="144" t="n">
        <f aca="false">IFERROR('Price History'!C3+(INDEX('Price History'!C:C,MATCH(9.99E+307,'Price History'!$A:$A))-'Price History'!C3)*(ROW()-3)/(MATCH(9.99E+307,'Returns (Calc)'!$A:$A)-3),"")</f>
        <v>14.9062025316456</v>
      </c>
      <c r="Y110" s="144" t="n">
        <f aca="false">IFERROR('Price History'!D3+(INDEX('Price History'!D:D,MATCH(9.99E+307,'Price History'!$A:$A))-'Price History'!D3)*(ROW()-3)/(MATCH(9.99E+307,'Returns (Calc)'!$A:$A)-3),"")</f>
        <v>187.863987341772</v>
      </c>
      <c r="Z110" s="144" t="n">
        <f aca="false">IFERROR('Price History'!E3+(INDEX('Price History'!E:E,MATCH(9.99E+307,'Price History'!$A:$A))-'Price History'!E3)*(ROW()-3)/(MATCH(9.99E+307,'Returns (Calc)'!$A:$A)-3),"")</f>
        <v>26.4683544303797</v>
      </c>
      <c r="AA110" s="144" t="n">
        <f aca="false">IFERROR('Price History'!F3+(INDEX('Price History'!F:F,MATCH(9.99E+307,'Price History'!$A:$A))-'Price History'!F3)*(ROW()-3)/(MATCH(9.99E+307,'Returns (Calc)'!$A:$A)-3),"")</f>
        <v>24.3089240506329</v>
      </c>
      <c r="AB110" s="144" t="n">
        <f aca="false">IFERROR('Price History'!G3+(INDEX('Price History'!G:G,MATCH(9.99E+307,'Price History'!$A:$A))-'Price History'!G3)*(ROW()-3)/(MATCH(9.99E+307,'Returns (Calc)'!$A:$A)-3),"")</f>
        <v>13.3503797468354</v>
      </c>
      <c r="AC110" s="144" t="n">
        <f aca="false">IFERROR('Price History'!H3+(INDEX('Price History'!H:H,MATCH(9.99E+307,'Price History'!$A:$A))-'Price History'!H3)*(ROW()-3)/(MATCH(9.99E+307,'Returns (Calc)'!$A:$A)-3),"")</f>
        <v>32.4689240506329</v>
      </c>
      <c r="AD110" s="144" t="n">
        <f aca="false">IFERROR('Price History'!I3+(INDEX('Price History'!I:I,MATCH(9.99E+307,'Price History'!$A:$A))-'Price History'!I3)*(ROW()-3)/(MATCH(9.99E+307,'Returns (Calc)'!$A:$A)-3),"")</f>
        <v>14.3155063291139</v>
      </c>
      <c r="AE110" s="144" t="n">
        <f aca="false">IFERROR('Price History'!J3+(INDEX('Price History'!J:J,MATCH(9.99E+307,'Price History'!$A:$A))-'Price History'!J3)*(ROW()-3)/(MATCH(9.99E+307,'Returns (Calc)'!$A:$A)-3),"")</f>
        <v>22.3076582278481</v>
      </c>
      <c r="AF110" s="144" t="n">
        <f aca="false">IFERROR('Price History'!K3+(INDEX('Price History'!K:K,MATCH(9.99E+307,'Price History'!$A:$A))-'Price History'!K3)*(ROW()-3)/(MATCH(9.99E+307,'Returns (Calc)'!$A:$A)-3),"")</f>
        <v>14.1282911392405</v>
      </c>
      <c r="AG110" s="144" t="n">
        <f aca="false">IFERROR('Price History'!L3+(INDEX('Price History'!L:L,MATCH(9.99E+307,'Price History'!$A:$A))-'Price History'!L3)*(ROW()-3)/(MATCH(9.99E+307,'Returns (Calc)'!$A:$A)-3),"")</f>
        <v>36.100253164557</v>
      </c>
      <c r="AH110" s="144" t="n">
        <f aca="false">IFERROR('Price History'!M3+(INDEX('Price History'!M:M,MATCH(9.99E+307,'Price History'!$A:$A))-'Price History'!M3)*(ROW()-3)/(MATCH(9.99E+307,'Returns (Calc)'!$A:$A)-3),"")</f>
        <v>4.94829113924051</v>
      </c>
      <c r="AI110" s="144" t="n">
        <f aca="false">IFERROR('Price History'!N3+(INDEX('Price History'!N:N,MATCH(9.99E+307,'Price History'!$A:$A))-'Price History'!N3)*(ROW()-3)/(MATCH(9.99E+307,'Returns (Calc)'!$A:$A)-3),"")</f>
        <v>7.0367088607595</v>
      </c>
      <c r="AJ110" s="144" t="n">
        <f aca="false">IFERROR('Price History'!O3+(INDEX('Price History'!O:O,MATCH(9.99E+307,'Price History'!$A:$A))-'Price History'!O3)*(ROW()-3)/(MATCH(9.99E+307,'Returns (Calc)'!$A:$A)-3),"")</f>
        <v>18.6020886075949</v>
      </c>
      <c r="AK110" s="144" t="n">
        <f aca="false">IFERROR('Price History'!Q3+(INDEX('Price History'!Q:Q,MATCH(9.99E+307,'Price History'!$A:$A))-'Price History'!Q3)*(ROW()-3)/(MATCH(9.99E+307,'Returns (Calc)'!$A:$A)-3),"")</f>
        <v>76.0577848101266</v>
      </c>
      <c r="AL110" s="144" t="n">
        <f aca="false">IFERROR('Price History'!R3+(INDEX('Price History'!R:R,MATCH(9.99E+307,'Price History'!$A:$A))-'Price History'!R3)*(ROW()-3)/(MATCH(9.99E+307,'Returns (Calc)'!$A:$A)-3),"")</f>
        <v>15.4355696202532</v>
      </c>
      <c r="AM110" s="144" t="n">
        <f aca="false">IFERROR('Price History'!S3+(INDEX('Price History'!S:S,MATCH(9.99E+307,'Price History'!$A:$A))-'Price History'!S3)*(ROW()-3)/(MATCH(9.99E+307,'Returns (Calc)'!$A:$A)-3),"")</f>
        <v>18.8958227848101</v>
      </c>
      <c r="AN110" s="144" t="n">
        <f aca="false">IFERROR('Price History'!T3+(INDEX('Price History'!T:T,MATCH(9.99E+307,'Price History'!$A:$A))-'Price History'!T3)*(ROW()-3)/(MATCH(9.99E+307,'Returns (Calc)'!$A:$A)-3),"")</f>
        <v>8.68613924050633</v>
      </c>
      <c r="AO110" s="145" t="n">
        <f aca="false">IFERROR('Price History'!V3+(INDEX('Price History'!V:V,MATCH(9.99E+307,'Price History'!$A:$A))-'Price History'!V3)*(ROW()-3)/(MATCH(9.99E+307,'Returns (Calc)'!$A:$A)-3),"")</f>
        <v>0</v>
      </c>
    </row>
    <row r="111" customFormat="false" ht="15" hidden="false" customHeight="true" outlineLevel="0" collapsed="false">
      <c r="A111" s="141" t="n">
        <f aca="false">IF('Price History'!A112="","",'Price History'!A112)</f>
        <v>45947</v>
      </c>
      <c r="B111" s="142" t="n">
        <f aca="false">IFERROR(IF(OR(NOT(ISNUMBER('Price History'!B112)),NOT(ISNUMBER('Price History'!B111)),'Price History'!B111=0),"",'Price History'!B112/'Price History'!B111-1),"")</f>
        <v>-0.0125922194897929</v>
      </c>
      <c r="C111" s="142" t="n">
        <f aca="false">IFERROR(IF(OR(NOT(ISNUMBER('Price History'!C112)),NOT(ISNUMBER('Price History'!C111)),'Price History'!C111=0),"",'Price History'!C112/'Price History'!C111-1),"")</f>
        <v>-0.0713822193380922</v>
      </c>
      <c r="D111" s="142" t="n">
        <f aca="false">IFERROR(IF(OR(NOT(ISNUMBER('Price History'!D112)),NOT(ISNUMBER('Price History'!D111)),'Price History'!D111=0),"",'Price History'!D112/'Price History'!D111-1),"")</f>
        <v>0.0994236930950692</v>
      </c>
      <c r="E111" s="142" t="n">
        <f aca="false">IFERROR(IF(OR(NOT(ISNUMBER('Price History'!E112)),NOT(ISNUMBER('Price History'!E111)),'Price History'!E111=0),"",'Price History'!E112/'Price History'!E111-1),"")</f>
        <v>0.0760947149551563</v>
      </c>
      <c r="F111" s="142" t="n">
        <f aca="false">IFERROR(IF(OR(NOT(ISNUMBER('Price History'!F112)),NOT(ISNUMBER('Price History'!F111)),'Price History'!F111=0),"",'Price History'!F112/'Price History'!F111-1),"")</f>
        <v>0.0195848855774348</v>
      </c>
      <c r="G111" s="142" t="n">
        <f aca="false">IFERROR(IF(OR(NOT(ISNUMBER('Price History'!G112)),NOT(ISNUMBER('Price History'!G111)),'Price History'!G111=0),"",'Price History'!G112/'Price History'!G111-1),"")</f>
        <v>-0.0183114568141306</v>
      </c>
      <c r="H111" s="142" t="n">
        <f aca="false">IFERROR(IF(OR(NOT(ISNUMBER('Price History'!H112)),NOT(ISNUMBER('Price History'!H111)),'Price History'!H111=0),"",'Price History'!H112/'Price History'!H111-1),"")</f>
        <v>0.0146915523573945</v>
      </c>
      <c r="I111" s="142" t="n">
        <f aca="false">IFERROR(IF(OR(NOT(ISNUMBER('Price History'!I112)),NOT(ISNUMBER('Price History'!I111)),'Price History'!I111=0),"",'Price History'!I112/'Price History'!I111-1),"")</f>
        <v>0.126035805626598</v>
      </c>
      <c r="J111" s="142" t="n">
        <f aca="false">IFERROR(IF(OR(NOT(ISNUMBER('Price History'!J112)),NOT(ISNUMBER('Price History'!J111)),'Price History'!J111=0),"",'Price History'!J112/'Price History'!J111-1),"")</f>
        <v>0.114430603020615</v>
      </c>
      <c r="K111" s="142" t="n">
        <f aca="false">IFERROR(IF(OR(NOT(ISNUMBER('Price History'!K112)),NOT(ISNUMBER('Price History'!K111)),'Price History'!K111=0),"",'Price History'!K112/'Price History'!K111-1),"")</f>
        <v>0.00032837127845875</v>
      </c>
      <c r="L111" s="142" t="n">
        <f aca="false">IFERROR(IF(OR(NOT(ISNUMBER('Price History'!L112)),NOT(ISNUMBER('Price History'!L111)),'Price History'!L111=0),"",'Price History'!L112/'Price History'!L111-1),"")</f>
        <v>0.115541543026706</v>
      </c>
      <c r="M111" s="142" t="n">
        <f aca="false">IFERROR(IF(OR(NOT(ISNUMBER('Price History'!M112)),NOT(ISNUMBER('Price History'!M111)),'Price History'!M111=0),"",'Price History'!M112/'Price History'!M111-1),"")</f>
        <v>0.0154468764249887</v>
      </c>
      <c r="N111" s="142" t="n">
        <f aca="false">IFERROR(IF(OR(NOT(ISNUMBER('Price History'!N112)),NOT(ISNUMBER('Price History'!N111)),'Price History'!N111=0),"",'Price History'!N112/'Price History'!N111-1),"")</f>
        <v>0.00936037441497661</v>
      </c>
      <c r="O111" s="142" t="n">
        <f aca="false">IFERROR(IF(OR(NOT(ISNUMBER('Price History'!O112)),NOT(ISNUMBER('Price History'!O111)),'Price History'!O111=0),"",'Price History'!O112/'Price History'!O111-1),"")</f>
        <v>0.0161688366947492</v>
      </c>
      <c r="P111" s="142" t="n">
        <f aca="false">IFERROR(IF(OR(NOT(ISNUMBER('Price History'!P112)),NOT(ISNUMBER('Price History'!P111)),'Price History'!P111=0),"",'Price History'!P112/'Price History'!P111-1),"")</f>
        <v>0.0513826875990204</v>
      </c>
      <c r="Q111" s="142" t="n">
        <f aca="false">IFERROR(IF(OR(NOT(ISNUMBER('Price History'!Q112)),NOT(ISNUMBER('Price History'!Q111)),'Price History'!Q111=0),"",'Price History'!Q112/'Price History'!Q111-1),"")</f>
        <v>-0.00510383667722636</v>
      </c>
      <c r="R111" s="142" t="n">
        <f aca="false">IFERROR(IF(OR(NOT(ISNUMBER('Price History'!R112)),NOT(ISNUMBER('Price History'!R111)),'Price History'!R111=0),"",'Price History'!R112/'Price History'!R111-1),"")</f>
        <v>0.0136249551810685</v>
      </c>
      <c r="S111" s="142" t="n">
        <f aca="false">IFERROR(IF(OR(NOT(ISNUMBER('Price History'!S112)),NOT(ISNUMBER('Price History'!S111)),'Price History'!S111=0),"",'Price History'!S112/'Price History'!S111-1),"")</f>
        <v>0.0293037163605296</v>
      </c>
      <c r="T111" s="142" t="n">
        <f aca="false">IFERROR(IF(OR(NOT(ISNUMBER('Price History'!T112)),NOT(ISNUMBER('Price History'!T111)),'Price History'!T111=0),"",'Price History'!T112/'Price History'!T111-1),"")</f>
        <v>-0.00292475405477266</v>
      </c>
      <c r="U111" s="142" t="str">
        <f aca="false">IFERROR(IF(OR(NOT(ISNUMBER('Price History'!U112)),NOT(ISNUMBER('Price History'!U111)),'Price History'!U111=0),"",'Price History'!U112/'Price History'!U111-1),"")</f>
        <v/>
      </c>
      <c r="V111" s="143" t="n">
        <f aca="false">IFERROR(IF(OR(NOT(ISNUMBER('Price History'!V112)),NOT(ISNUMBER('Price History'!V111)),'Price History'!V111=0),"",'Price History'!V112/'Price History'!V111-1),"")</f>
        <v>-0.0110425844346549</v>
      </c>
      <c r="W111" s="144" t="str">
        <f aca="false">IFERROR('Price History'!B3+(INDEX('Price History'!B:B,MATCH(9.99E+307,'Price History'!$A:$A))-'Price History'!B3)*(ROW()-3)/(MATCH(9.99E+307,'Returns (Calc)'!$A:$A)-3),"")</f>
        <v/>
      </c>
      <c r="X111" s="144" t="n">
        <f aca="false">IFERROR('Price History'!C3+(INDEX('Price History'!C:C,MATCH(9.99E+307,'Price History'!$A:$A))-'Price History'!C3)*(ROW()-3)/(MATCH(9.99E+307,'Returns (Calc)'!$A:$A)-3),"")</f>
        <v>14.6139240506329</v>
      </c>
      <c r="Y111" s="144" t="n">
        <f aca="false">IFERROR('Price History'!D3+(INDEX('Price History'!D:D,MATCH(9.99E+307,'Price History'!$A:$A))-'Price History'!D3)*(ROW()-3)/(MATCH(9.99E+307,'Returns (Calc)'!$A:$A)-3),"")</f>
        <v>184.180379746835</v>
      </c>
      <c r="Z111" s="144" t="n">
        <f aca="false">IFERROR('Price History'!E3+(INDEX('Price History'!E:E,MATCH(9.99E+307,'Price History'!$A:$A))-'Price History'!E3)*(ROW()-3)/(MATCH(9.99E+307,'Returns (Calc)'!$A:$A)-3),"")</f>
        <v>25.9493670886076</v>
      </c>
      <c r="AA111" s="144" t="n">
        <f aca="false">IFERROR('Price History'!F3+(INDEX('Price History'!F:F,MATCH(9.99E+307,'Price History'!$A:$A))-'Price History'!F3)*(ROW()-3)/(MATCH(9.99E+307,'Returns (Calc)'!$A:$A)-3),"")</f>
        <v>23.8322784810127</v>
      </c>
      <c r="AB111" s="144" t="n">
        <f aca="false">IFERROR('Price History'!G3+(INDEX('Price History'!G:G,MATCH(9.99E+307,'Price History'!$A:$A))-'Price History'!G3)*(ROW()-3)/(MATCH(9.99E+307,'Returns (Calc)'!$A:$A)-3),"")</f>
        <v>13.0886075949367</v>
      </c>
      <c r="AC111" s="144" t="n">
        <f aca="false">IFERROR('Price History'!H3+(INDEX('Price History'!H:H,MATCH(9.99E+307,'Price History'!$A:$A))-'Price History'!H3)*(ROW()-3)/(MATCH(9.99E+307,'Returns (Calc)'!$A:$A)-3),"")</f>
        <v>31.8322784810127</v>
      </c>
      <c r="AD111" s="144" t="n">
        <f aca="false">IFERROR('Price History'!I3+(INDEX('Price History'!I:I,MATCH(9.99E+307,'Price History'!$A:$A))-'Price History'!I3)*(ROW()-3)/(MATCH(9.99E+307,'Returns (Calc)'!$A:$A)-3),"")</f>
        <v>14.0348101265823</v>
      </c>
      <c r="AE111" s="144" t="n">
        <f aca="false">IFERROR('Price History'!J3+(INDEX('Price History'!J:J,MATCH(9.99E+307,'Price History'!$A:$A))-'Price History'!J3)*(ROW()-3)/(MATCH(9.99E+307,'Returns (Calc)'!$A:$A)-3),"")</f>
        <v>21.870253164557</v>
      </c>
      <c r="AF111" s="144" t="n">
        <f aca="false">IFERROR('Price History'!K3+(INDEX('Price History'!K:K,MATCH(9.99E+307,'Price History'!$A:$A))-'Price History'!K3)*(ROW()-3)/(MATCH(9.99E+307,'Returns (Calc)'!$A:$A)-3),"")</f>
        <v>13.8512658227848</v>
      </c>
      <c r="AG111" s="144" t="n">
        <f aca="false">IFERROR('Price History'!L3+(INDEX('Price History'!L:L,MATCH(9.99E+307,'Price History'!$A:$A))-'Price History'!L3)*(ROW()-3)/(MATCH(9.99E+307,'Returns (Calc)'!$A:$A)-3),"")</f>
        <v>35.3924050632911</v>
      </c>
      <c r="AH111" s="144" t="n">
        <f aca="false">IFERROR('Price History'!M3+(INDEX('Price History'!M:M,MATCH(9.99E+307,'Price History'!$A:$A))-'Price History'!M3)*(ROW()-3)/(MATCH(9.99E+307,'Returns (Calc)'!$A:$A)-3),"")</f>
        <v>4.85126582278481</v>
      </c>
      <c r="AI111" s="144" t="n">
        <f aca="false">IFERROR('Price History'!N3+(INDEX('Price History'!N:N,MATCH(9.99E+307,'Price History'!$A:$A))-'Price History'!N3)*(ROW()-3)/(MATCH(9.99E+307,'Returns (Calc)'!$A:$A)-3),"")</f>
        <v>6.89873417721519</v>
      </c>
      <c r="AJ111" s="144" t="n">
        <f aca="false">IFERROR('Price History'!O3+(INDEX('Price History'!O:O,MATCH(9.99E+307,'Price History'!$A:$A))-'Price History'!O3)*(ROW()-3)/(MATCH(9.99E+307,'Returns (Calc)'!$A:$A)-3),"")</f>
        <v>18.2373417721519</v>
      </c>
      <c r="AK111" s="144" t="n">
        <f aca="false">IFERROR('Price History'!Q3+(INDEX('Price History'!Q:Q,MATCH(9.99E+307,'Price History'!$A:$A))-'Price History'!Q3)*(ROW()-3)/(MATCH(9.99E+307,'Returns (Calc)'!$A:$A)-3),"")</f>
        <v>74.5664556962025</v>
      </c>
      <c r="AL111" s="144" t="n">
        <f aca="false">IFERROR('Price History'!R3+(INDEX('Price History'!R:R,MATCH(9.99E+307,'Price History'!$A:$A))-'Price History'!R3)*(ROW()-3)/(MATCH(9.99E+307,'Returns (Calc)'!$A:$A)-3),"")</f>
        <v>15.1329113924051</v>
      </c>
      <c r="AM111" s="144" t="n">
        <f aca="false">IFERROR('Price History'!S3+(INDEX('Price History'!S:S,MATCH(9.99E+307,'Price History'!$A:$A))-'Price History'!S3)*(ROW()-3)/(MATCH(9.99E+307,'Returns (Calc)'!$A:$A)-3),"")</f>
        <v>18.5253164556962</v>
      </c>
      <c r="AN111" s="144" t="n">
        <f aca="false">IFERROR('Price History'!T3+(INDEX('Price History'!T:T,MATCH(9.99E+307,'Price History'!$A:$A))-'Price History'!T3)*(ROW()-3)/(MATCH(9.99E+307,'Returns (Calc)'!$A:$A)-3),"")</f>
        <v>8.51582278481013</v>
      </c>
      <c r="AO111" s="145" t="n">
        <f aca="false">IFERROR('Price History'!V3+(INDEX('Price History'!V:V,MATCH(9.99E+307,'Price History'!$A:$A))-'Price History'!V3)*(ROW()-3)/(MATCH(9.99E+307,'Returns (Calc)'!$A:$A)-3),"")</f>
        <v>0</v>
      </c>
    </row>
    <row r="112" customFormat="false" ht="15" hidden="false" customHeight="true" outlineLevel="0" collapsed="false">
      <c r="A112" s="141" t="n">
        <f aca="false">IF('Price History'!A113="","",'Price History'!A113)</f>
        <v>45954</v>
      </c>
      <c r="B112" s="142" t="n">
        <f aca="false">IFERROR(IF(OR(NOT(ISNUMBER('Price History'!B113)),NOT(ISNUMBER('Price History'!B112)),'Price History'!B112=0),"",'Price History'!B113/'Price History'!B112-1),"")</f>
        <v>0.0607933745423992</v>
      </c>
      <c r="C112" s="142" t="n">
        <f aca="false">IFERROR(IF(OR(NOT(ISNUMBER('Price History'!C113)),NOT(ISNUMBER('Price History'!C112)),'Price History'!C112=0),"",'Price History'!C113/'Price History'!C112-1),"")</f>
        <v>0.0749126484975542</v>
      </c>
      <c r="D112" s="142" t="n">
        <f aca="false">IFERROR(IF(OR(NOT(ISNUMBER('Price History'!D113)),NOT(ISNUMBER('Price History'!D112)),'Price History'!D112=0),"",'Price History'!D113/'Price History'!D112-1),"")</f>
        <v>0.00372605204737253</v>
      </c>
      <c r="E112" s="142" t="n">
        <f aca="false">IFERROR(IF(OR(NOT(ISNUMBER('Price History'!E113)),NOT(ISNUMBER('Price History'!E112)),'Price History'!E112=0),"",'Price History'!E113/'Price History'!E112-1),"")</f>
        <v>0.0137563085796684</v>
      </c>
      <c r="F112" s="142" t="n">
        <f aca="false">IFERROR(IF(OR(NOT(ISNUMBER('Price History'!F113)),NOT(ISNUMBER('Price History'!F112)),'Price History'!F112=0),"",'Price History'!F113/'Price History'!F112-1),"")</f>
        <v>0.0294393986846226</v>
      </c>
      <c r="G112" s="142" t="n">
        <f aca="false">IFERROR(IF(OR(NOT(ISNUMBER('Price History'!G113)),NOT(ISNUMBER('Price History'!G112)),'Price History'!G112=0),"",'Price History'!G113/'Price History'!G112-1),"")</f>
        <v>0.0880653681082868</v>
      </c>
      <c r="H112" s="142" t="n">
        <f aca="false">IFERROR(IF(OR(NOT(ISNUMBER('Price History'!H113)),NOT(ISNUMBER('Price History'!H112)),'Price History'!H112=0),"",'Price History'!H113/'Price History'!H112-1),"")</f>
        <v>0.0169904705621629</v>
      </c>
      <c r="I112" s="142" t="n">
        <f aca="false">IFERROR(IF(OR(NOT(ISNUMBER('Price History'!I113)),NOT(ISNUMBER('Price History'!I112)),'Price History'!I112=0),"",'Price History'!I113/'Price History'!I112-1),"")</f>
        <v>0.0688652675570094</v>
      </c>
      <c r="J112" s="142" t="n">
        <f aca="false">IFERROR(IF(OR(NOT(ISNUMBER('Price History'!J113)),NOT(ISNUMBER('Price History'!J112)),'Price History'!J112=0),"",'Price History'!J113/'Price History'!J112-1),"")</f>
        <v>0.082253437530913</v>
      </c>
      <c r="K112" s="142" t="n">
        <f aca="false">IFERROR(IF(OR(NOT(ISNUMBER('Price History'!K113)),NOT(ISNUMBER('Price History'!K112)),'Price History'!K112=0),"",'Price History'!K113/'Price History'!K112-1),"")</f>
        <v>0.0165773060509902</v>
      </c>
      <c r="L112" s="142" t="n">
        <f aca="false">IFERROR(IF(OR(NOT(ISNUMBER('Price History'!L113)),NOT(ISNUMBER('Price History'!L112)),'Price History'!L112=0),"",'Price History'!L113/'Price History'!L112-1),"")</f>
        <v>0.0189526184538653</v>
      </c>
      <c r="M112" s="142" t="n">
        <f aca="false">IFERROR(IF(OR(NOT(ISNUMBER('Price History'!M113)),NOT(ISNUMBER('Price History'!M112)),'Price History'!M112=0),"",'Price History'!M113/'Price History'!M112-1),"")</f>
        <v>0.0363738422677518</v>
      </c>
      <c r="N112" s="142" t="n">
        <f aca="false">IFERROR(IF(OR(NOT(ISNUMBER('Price History'!N113)),NOT(ISNUMBER('Price History'!N112)),'Price History'!N112=0),"",'Price History'!N113/'Price History'!N112-1),"")</f>
        <v>0.00888717156105101</v>
      </c>
      <c r="O112" s="142" t="n">
        <f aca="false">IFERROR(IF(OR(NOT(ISNUMBER('Price History'!O113)),NOT(ISNUMBER('Price History'!O112)),'Price History'!O112=0),"",'Price History'!O113/'Price History'!O112-1),"")</f>
        <v>0.0107193702369985</v>
      </c>
      <c r="P112" s="142" t="n">
        <f aca="false">IFERROR(IF(OR(NOT(ISNUMBER('Price History'!P113)),NOT(ISNUMBER('Price History'!P112)),'Price History'!P112=0),"",'Price History'!P113/'Price History'!P112-1),"")</f>
        <v>-0.000410972978526658</v>
      </c>
      <c r="Q112" s="142" t="n">
        <f aca="false">IFERROR(IF(OR(NOT(ISNUMBER('Price History'!Q113)),NOT(ISNUMBER('Price History'!Q112)),'Price History'!Q112=0),"",'Price History'!Q113/'Price History'!Q112-1),"")</f>
        <v>0.0160386815260334</v>
      </c>
      <c r="R112" s="142" t="n">
        <f aca="false">IFERROR(IF(OR(NOT(ISNUMBER('Price History'!R113)),NOT(ISNUMBER('Price History'!R112)),'Price History'!R112=0),"",'Price History'!R113/'Price History'!R112-1),"")</f>
        <v>0.0109656880084896</v>
      </c>
      <c r="S112" s="142" t="n">
        <f aca="false">IFERROR(IF(OR(NOT(ISNUMBER('Price History'!S113)),NOT(ISNUMBER('Price History'!S112)),'Price History'!S112=0),"",'Price History'!S113/'Price History'!S112-1),"")</f>
        <v>0.0120351925630811</v>
      </c>
      <c r="T112" s="142" t="n">
        <f aca="false">IFERROR(IF(OR(NOT(ISNUMBER('Price History'!T113)),NOT(ISNUMBER('Price History'!T112)),'Price History'!T112=0),"",'Price History'!T113/'Price History'!T112-1),"")</f>
        <v>-0.0013333333333333</v>
      </c>
      <c r="U112" s="142" t="str">
        <f aca="false">IFERROR(IF(OR(NOT(ISNUMBER('Price History'!U113)),NOT(ISNUMBER('Price History'!U112)),'Price History'!U112=0),"",'Price History'!U113/'Price History'!U112-1),"")</f>
        <v/>
      </c>
      <c r="V112" s="143" t="n">
        <f aca="false">IFERROR(IF(OR(NOT(ISNUMBER('Price History'!V113)),NOT(ISNUMBER('Price History'!V112)),'Price History'!V112=0),"",'Price History'!V113/'Price History'!V112-1),"")</f>
        <v>0.00641444437845218</v>
      </c>
      <c r="W112" s="144" t="str">
        <f aca="false">IFERROR('Price History'!B3+(INDEX('Price History'!B:B,MATCH(9.99E+307,'Price History'!$A:$A))-'Price History'!B3)*(ROW()-3)/(MATCH(9.99E+307,'Returns (Calc)'!$A:$A)-3),"")</f>
        <v/>
      </c>
      <c r="X112" s="144" t="n">
        <f aca="false">IFERROR('Price History'!C3+(INDEX('Price History'!C:C,MATCH(9.99E+307,'Price History'!$A:$A))-'Price History'!C3)*(ROW()-3)/(MATCH(9.99E+307,'Returns (Calc)'!$A:$A)-3),"")</f>
        <v>14.3216455696203</v>
      </c>
      <c r="Y112" s="144" t="n">
        <f aca="false">IFERROR('Price History'!D3+(INDEX('Price History'!D:D,MATCH(9.99E+307,'Price History'!$A:$A))-'Price History'!D3)*(ROW()-3)/(MATCH(9.99E+307,'Returns (Calc)'!$A:$A)-3),"")</f>
        <v>180.496772151899</v>
      </c>
      <c r="Z112" s="144" t="n">
        <f aca="false">IFERROR('Price History'!E3+(INDEX('Price History'!E:E,MATCH(9.99E+307,'Price History'!$A:$A))-'Price History'!E3)*(ROW()-3)/(MATCH(9.99E+307,'Returns (Calc)'!$A:$A)-3),"")</f>
        <v>25.4303797468354</v>
      </c>
      <c r="AA112" s="144" t="n">
        <f aca="false">IFERROR('Price History'!F3+(INDEX('Price History'!F:F,MATCH(9.99E+307,'Price History'!$A:$A))-'Price History'!F3)*(ROW()-3)/(MATCH(9.99E+307,'Returns (Calc)'!$A:$A)-3),"")</f>
        <v>23.3556329113924</v>
      </c>
      <c r="AB112" s="144" t="n">
        <f aca="false">IFERROR('Price History'!G3+(INDEX('Price History'!G:G,MATCH(9.99E+307,'Price History'!$A:$A))-'Price History'!G3)*(ROW()-3)/(MATCH(9.99E+307,'Returns (Calc)'!$A:$A)-3),"")</f>
        <v>12.826835443038</v>
      </c>
      <c r="AC112" s="144" t="n">
        <f aca="false">IFERROR('Price History'!H3+(INDEX('Price History'!H:H,MATCH(9.99E+307,'Price History'!$A:$A))-'Price History'!H3)*(ROW()-3)/(MATCH(9.99E+307,'Returns (Calc)'!$A:$A)-3),"")</f>
        <v>31.1956329113924</v>
      </c>
      <c r="AD112" s="144" t="n">
        <f aca="false">IFERROR('Price History'!I3+(INDEX('Price History'!I:I,MATCH(9.99E+307,'Price History'!$A:$A))-'Price History'!I3)*(ROW()-3)/(MATCH(9.99E+307,'Returns (Calc)'!$A:$A)-3),"")</f>
        <v>13.7541139240506</v>
      </c>
      <c r="AE112" s="144" t="n">
        <f aca="false">IFERROR('Price History'!J3+(INDEX('Price History'!J:J,MATCH(9.99E+307,'Price History'!$A:$A))-'Price History'!J3)*(ROW()-3)/(MATCH(9.99E+307,'Returns (Calc)'!$A:$A)-3),"")</f>
        <v>21.4328481012658</v>
      </c>
      <c r="AF112" s="144" t="n">
        <f aca="false">IFERROR('Price History'!K3+(INDEX('Price History'!K:K,MATCH(9.99E+307,'Price History'!$A:$A))-'Price History'!K3)*(ROW()-3)/(MATCH(9.99E+307,'Returns (Calc)'!$A:$A)-3),"")</f>
        <v>13.5742405063291</v>
      </c>
      <c r="AG112" s="144" t="n">
        <f aca="false">IFERROR('Price History'!L3+(INDEX('Price History'!L:L,MATCH(9.99E+307,'Price History'!$A:$A))-'Price History'!L3)*(ROW()-3)/(MATCH(9.99E+307,'Returns (Calc)'!$A:$A)-3),"")</f>
        <v>34.6845569620253</v>
      </c>
      <c r="AH112" s="144" t="n">
        <f aca="false">IFERROR('Price History'!M3+(INDEX('Price History'!M:M,MATCH(9.99E+307,'Price History'!$A:$A))-'Price History'!M3)*(ROW()-3)/(MATCH(9.99E+307,'Returns (Calc)'!$A:$A)-3),"")</f>
        <v>4.75424050632911</v>
      </c>
      <c r="AI112" s="144" t="n">
        <f aca="false">IFERROR('Price History'!N3+(INDEX('Price History'!N:N,MATCH(9.99E+307,'Price History'!$A:$A))-'Price History'!N3)*(ROW()-3)/(MATCH(9.99E+307,'Returns (Calc)'!$A:$A)-3),"")</f>
        <v>6.76075949367089</v>
      </c>
      <c r="AJ112" s="144" t="n">
        <f aca="false">IFERROR('Price History'!O3+(INDEX('Price History'!O:O,MATCH(9.99E+307,'Price History'!$A:$A))-'Price History'!O3)*(ROW()-3)/(MATCH(9.99E+307,'Returns (Calc)'!$A:$A)-3),"")</f>
        <v>17.8725949367089</v>
      </c>
      <c r="AK112" s="144" t="n">
        <f aca="false">IFERROR('Price History'!Q3+(INDEX('Price History'!Q:Q,MATCH(9.99E+307,'Price History'!$A:$A))-'Price History'!Q3)*(ROW()-3)/(MATCH(9.99E+307,'Returns (Calc)'!$A:$A)-3),"")</f>
        <v>73.0751265822785</v>
      </c>
      <c r="AL112" s="144" t="n">
        <f aca="false">IFERROR('Price History'!R3+(INDEX('Price History'!R:R,MATCH(9.99E+307,'Price History'!$A:$A))-'Price History'!R3)*(ROW()-3)/(MATCH(9.99E+307,'Returns (Calc)'!$A:$A)-3),"")</f>
        <v>14.830253164557</v>
      </c>
      <c r="AM112" s="144" t="n">
        <f aca="false">IFERROR('Price History'!S3+(INDEX('Price History'!S:S,MATCH(9.99E+307,'Price History'!$A:$A))-'Price History'!S3)*(ROW()-3)/(MATCH(9.99E+307,'Returns (Calc)'!$A:$A)-3),"")</f>
        <v>18.1548101265823</v>
      </c>
      <c r="AN112" s="144" t="n">
        <f aca="false">IFERROR('Price History'!T3+(INDEX('Price History'!T:T,MATCH(9.99E+307,'Price History'!$A:$A))-'Price History'!T3)*(ROW()-3)/(MATCH(9.99E+307,'Returns (Calc)'!$A:$A)-3),"")</f>
        <v>8.34550632911392</v>
      </c>
      <c r="AO112" s="145" t="n">
        <f aca="false">IFERROR('Price History'!V3+(INDEX('Price History'!V:V,MATCH(9.99E+307,'Price History'!$A:$A))-'Price History'!V3)*(ROW()-3)/(MATCH(9.99E+307,'Returns (Calc)'!$A:$A)-3),"")</f>
        <v>0</v>
      </c>
    </row>
    <row r="113" customFormat="false" ht="15" hidden="false" customHeight="true" outlineLevel="0" collapsed="false">
      <c r="A113" s="141" t="n">
        <f aca="false">IF('Price History'!A114="","",'Price History'!A114)</f>
        <v>45961</v>
      </c>
      <c r="B113" s="142" t="n">
        <f aca="false">IFERROR(IF(OR(NOT(ISNUMBER('Price History'!B114)),NOT(ISNUMBER('Price History'!B113)),'Price History'!B113=0),"",'Price History'!B114/'Price History'!B113-1),"")</f>
        <v>-0.037367051369088</v>
      </c>
      <c r="C113" s="142" t="n">
        <f aca="false">IFERROR(IF(OR(NOT(ISNUMBER('Price History'!C114)),NOT(ISNUMBER('Price History'!C113)),'Price History'!C113=0),"",'Price History'!C114/'Price History'!C113-1),"")</f>
        <v>0.0251592770771032</v>
      </c>
      <c r="D113" s="142" t="n">
        <f aca="false">IFERROR(IF(OR(NOT(ISNUMBER('Price History'!D114)),NOT(ISNUMBER('Price History'!D113)),'Price History'!D113=0),"",'Price History'!D114/'Price History'!D113-1),"")</f>
        <v>0.0271157706023346</v>
      </c>
      <c r="E113" s="142" t="n">
        <f aca="false">IFERROR(IF(OR(NOT(ISNUMBER('Price History'!E114)),NOT(ISNUMBER('Price History'!E113)),'Price History'!E113=0),"",'Price History'!E114/'Price History'!E113-1),"")</f>
        <v>0.0437528447883477</v>
      </c>
      <c r="F113" s="142" t="n">
        <f aca="false">IFERROR(IF(OR(NOT(ISNUMBER('Price History'!F114)),NOT(ISNUMBER('Price History'!F113)),'Price History'!F113=0),"",'Price History'!F114/'Price History'!F113-1),"")</f>
        <v>-0.021194605009634</v>
      </c>
      <c r="G113" s="142" t="n">
        <f aca="false">IFERROR(IF(OR(NOT(ISNUMBER('Price History'!G114)),NOT(ISNUMBER('Price History'!G113)),'Price History'!G113=0),"",'Price History'!G114/'Price History'!G113-1),"")</f>
        <v>0.029735265114162</v>
      </c>
      <c r="H113" s="142" t="n">
        <f aca="false">IFERROR(IF(OR(NOT(ISNUMBER('Price History'!H114)),NOT(ISNUMBER('Price History'!H113)),'Price History'!H113=0),"",'Price History'!H114/'Price History'!H113-1),"")</f>
        <v>-0.0238250889808963</v>
      </c>
      <c r="I113" s="142" t="n">
        <f aca="false">IFERROR(IF(OR(NOT(ISNUMBER('Price History'!I114)),NOT(ISNUMBER('Price History'!I113)),'Price History'!I113=0),"",'Price History'!I114/'Price History'!I113-1),"")</f>
        <v>0.0219294517637059</v>
      </c>
      <c r="J113" s="142" t="n">
        <f aca="false">IFERROR(IF(OR(NOT(ISNUMBER('Price History'!J114)),NOT(ISNUMBER('Price History'!J113)),'Price History'!J113=0),"",'Price History'!J114/'Price History'!J113-1),"")</f>
        <v>0.0216626296787168</v>
      </c>
      <c r="K113" s="142" t="n">
        <f aca="false">IFERROR(IF(OR(NOT(ISNUMBER('Price History'!K114)),NOT(ISNUMBER('Price History'!K113)),'Price History'!K113=0),"",'Price History'!K114/'Price History'!K113-1),"")</f>
        <v>0.0871858349927344</v>
      </c>
      <c r="L113" s="142" t="n">
        <f aca="false">IFERROR(IF(OR(NOT(ISNUMBER('Price History'!L114)),NOT(ISNUMBER('Price History'!L113)),'Price History'!L113=0),"",'Price History'!L114/'Price History'!L113-1),"")</f>
        <v>-0.0185185185185185</v>
      </c>
      <c r="M113" s="142" t="n">
        <f aca="false">IFERROR(IF(OR(NOT(ISNUMBER('Price History'!M114)),NOT(ISNUMBER('Price History'!M113)),'Price History'!M113=0),"",'Price History'!M114/'Price History'!M113-1),"")</f>
        <v>0.0857932080376971</v>
      </c>
      <c r="N113" s="142" t="n">
        <f aca="false">IFERROR(IF(OR(NOT(ISNUMBER('Price History'!N114)),NOT(ISNUMBER('Price History'!N113)),'Price History'!N113=0),"",'Price History'!N114/'Price History'!N113-1),"")</f>
        <v>-0.0103408655687476</v>
      </c>
      <c r="O113" s="142" t="n">
        <f aca="false">IFERROR(IF(OR(NOT(ISNUMBER('Price History'!O114)),NOT(ISNUMBER('Price History'!O113)),'Price History'!O113=0),"",'Price History'!O114/'Price History'!O113-1),"")</f>
        <v>-8.28569061230855E-005</v>
      </c>
      <c r="P113" s="142" t="n">
        <f aca="false">IFERROR(IF(OR(NOT(ISNUMBER('Price History'!P114)),NOT(ISNUMBER('Price History'!P113)),'Price History'!P113=0),"",'Price History'!P114/'Price History'!P113-1),"")</f>
        <v>0.0185356494329667</v>
      </c>
      <c r="Q113" s="142" t="n">
        <f aca="false">IFERROR(IF(OR(NOT(ISNUMBER('Price History'!Q114)),NOT(ISNUMBER('Price History'!Q113)),'Price History'!Q113=0),"",'Price History'!Q114/'Price History'!Q113-1),"")</f>
        <v>-0.0190934942835587</v>
      </c>
      <c r="R113" s="142" t="n">
        <f aca="false">IFERROR(IF(OR(NOT(ISNUMBER('Price History'!R114)),NOT(ISNUMBER('Price History'!R113)),'Price History'!R113=0),"",'Price History'!R114/'Price History'!R113-1),"")</f>
        <v>0.00157452764170762</v>
      </c>
      <c r="S113" s="142" t="n">
        <f aca="false">IFERROR(IF(OR(NOT(ISNUMBER('Price History'!S114)),NOT(ISNUMBER('Price History'!S113)),'Price History'!S113=0),"",'Price History'!S114/'Price History'!S113-1),"")</f>
        <v>-0.0110719265152137</v>
      </c>
      <c r="T113" s="142" t="n">
        <f aca="false">IFERROR(IF(OR(NOT(ISNUMBER('Price History'!T114)),NOT(ISNUMBER('Price History'!T113)),'Price History'!T113=0),"",'Price History'!T114/'Price History'!T113-1),"")</f>
        <v>0.0077436582109478</v>
      </c>
      <c r="U113" s="142" t="str">
        <f aca="false">IFERROR(IF(OR(NOT(ISNUMBER('Price History'!U114)),NOT(ISNUMBER('Price History'!U113)),'Price History'!U113=0),"",'Price History'!U114/'Price History'!U113-1),"")</f>
        <v/>
      </c>
      <c r="V113" s="143" t="n">
        <f aca="false">IFERROR(IF(OR(NOT(ISNUMBER('Price History'!V114)),NOT(ISNUMBER('Price History'!V113)),'Price History'!V113=0),"",'Price History'!V114/'Price History'!V113-1),"")</f>
        <v>-0.0124225435231631</v>
      </c>
      <c r="W113" s="144" t="str">
        <f aca="false">IFERROR('Price History'!B3+(INDEX('Price History'!B:B,MATCH(9.99E+307,'Price History'!$A:$A))-'Price History'!B3)*(ROW()-3)/(MATCH(9.99E+307,'Returns (Calc)'!$A:$A)-3),"")</f>
        <v/>
      </c>
      <c r="X113" s="144" t="n">
        <f aca="false">IFERROR('Price History'!C3+(INDEX('Price History'!C:C,MATCH(9.99E+307,'Price History'!$A:$A))-'Price History'!C3)*(ROW()-3)/(MATCH(9.99E+307,'Returns (Calc)'!$A:$A)-3),"")</f>
        <v>14.0293670886076</v>
      </c>
      <c r="Y113" s="144" t="n">
        <f aca="false">IFERROR('Price History'!D3+(INDEX('Price History'!D:D,MATCH(9.99E+307,'Price History'!$A:$A))-'Price History'!D3)*(ROW()-3)/(MATCH(9.99E+307,'Returns (Calc)'!$A:$A)-3),"")</f>
        <v>176.813164556962</v>
      </c>
      <c r="Z113" s="144" t="n">
        <f aca="false">IFERROR('Price History'!E3+(INDEX('Price History'!E:E,MATCH(9.99E+307,'Price History'!$A:$A))-'Price History'!E3)*(ROW()-3)/(MATCH(9.99E+307,'Returns (Calc)'!$A:$A)-3),"")</f>
        <v>24.9113924050633</v>
      </c>
      <c r="AA113" s="144" t="n">
        <f aca="false">IFERROR('Price History'!F3+(INDEX('Price History'!F:F,MATCH(9.99E+307,'Price History'!$A:$A))-'Price History'!F3)*(ROW()-3)/(MATCH(9.99E+307,'Returns (Calc)'!$A:$A)-3),"")</f>
        <v>22.8789873417722</v>
      </c>
      <c r="AB113" s="144" t="n">
        <f aca="false">IFERROR('Price History'!G3+(INDEX('Price History'!G:G,MATCH(9.99E+307,'Price History'!$A:$A))-'Price History'!G3)*(ROW()-3)/(MATCH(9.99E+307,'Returns (Calc)'!$A:$A)-3),"")</f>
        <v>12.5650632911392</v>
      </c>
      <c r="AC113" s="144" t="n">
        <f aca="false">IFERROR('Price History'!H3+(INDEX('Price History'!H:H,MATCH(9.99E+307,'Price History'!$A:$A))-'Price History'!H3)*(ROW()-3)/(MATCH(9.99E+307,'Returns (Calc)'!$A:$A)-3),"")</f>
        <v>30.5589873417722</v>
      </c>
      <c r="AD113" s="144" t="n">
        <f aca="false">IFERROR('Price History'!I3+(INDEX('Price History'!I:I,MATCH(9.99E+307,'Price History'!$A:$A))-'Price History'!I3)*(ROW()-3)/(MATCH(9.99E+307,'Returns (Calc)'!$A:$A)-3),"")</f>
        <v>13.473417721519</v>
      </c>
      <c r="AE113" s="144" t="n">
        <f aca="false">IFERROR('Price History'!J3+(INDEX('Price History'!J:J,MATCH(9.99E+307,'Price History'!$A:$A))-'Price History'!J3)*(ROW()-3)/(MATCH(9.99E+307,'Returns (Calc)'!$A:$A)-3),"")</f>
        <v>20.9954430379747</v>
      </c>
      <c r="AF113" s="144" t="n">
        <f aca="false">IFERROR('Price History'!K3+(INDEX('Price History'!K:K,MATCH(9.99E+307,'Price History'!$A:$A))-'Price History'!K3)*(ROW()-3)/(MATCH(9.99E+307,'Returns (Calc)'!$A:$A)-3),"")</f>
        <v>13.2972151898734</v>
      </c>
      <c r="AG113" s="144" t="n">
        <f aca="false">IFERROR('Price History'!L3+(INDEX('Price History'!L:L,MATCH(9.99E+307,'Price History'!$A:$A))-'Price History'!L3)*(ROW()-3)/(MATCH(9.99E+307,'Returns (Calc)'!$A:$A)-3),"")</f>
        <v>33.9767088607595</v>
      </c>
      <c r="AH113" s="144" t="n">
        <f aca="false">IFERROR('Price History'!M3+(INDEX('Price History'!M:M,MATCH(9.99E+307,'Price History'!$A:$A))-'Price History'!M3)*(ROW()-3)/(MATCH(9.99E+307,'Returns (Calc)'!$A:$A)-3),"")</f>
        <v>4.65721518987342</v>
      </c>
      <c r="AI113" s="144" t="n">
        <f aca="false">IFERROR('Price History'!N3+(INDEX('Price History'!N:N,MATCH(9.99E+307,'Price History'!$A:$A))-'Price History'!N3)*(ROW()-3)/(MATCH(9.99E+307,'Returns (Calc)'!$A:$A)-3),"")</f>
        <v>6.62278481012658</v>
      </c>
      <c r="AJ113" s="144" t="n">
        <f aca="false">IFERROR('Price History'!O3+(INDEX('Price History'!O:O,MATCH(9.99E+307,'Price History'!$A:$A))-'Price History'!O3)*(ROW()-3)/(MATCH(9.99E+307,'Returns (Calc)'!$A:$A)-3),"")</f>
        <v>17.5078481012658</v>
      </c>
      <c r="AK113" s="144" t="n">
        <f aca="false">IFERROR('Price History'!Q3+(INDEX('Price History'!Q:Q,MATCH(9.99E+307,'Price History'!$A:$A))-'Price History'!Q3)*(ROW()-3)/(MATCH(9.99E+307,'Returns (Calc)'!$A:$A)-3),"")</f>
        <v>71.5837974683544</v>
      </c>
      <c r="AL113" s="144" t="n">
        <f aca="false">IFERROR('Price History'!R3+(INDEX('Price History'!R:R,MATCH(9.99E+307,'Price History'!$A:$A))-'Price History'!R3)*(ROW()-3)/(MATCH(9.99E+307,'Returns (Calc)'!$A:$A)-3),"")</f>
        <v>14.5275949367089</v>
      </c>
      <c r="AM113" s="144" t="n">
        <f aca="false">IFERROR('Price History'!S3+(INDEX('Price History'!S:S,MATCH(9.99E+307,'Price History'!$A:$A))-'Price History'!S3)*(ROW()-3)/(MATCH(9.99E+307,'Returns (Calc)'!$A:$A)-3),"")</f>
        <v>17.7843037974684</v>
      </c>
      <c r="AN113" s="144" t="n">
        <f aca="false">IFERROR('Price History'!T3+(INDEX('Price History'!T:T,MATCH(9.99E+307,'Price History'!$A:$A))-'Price History'!T3)*(ROW()-3)/(MATCH(9.99E+307,'Returns (Calc)'!$A:$A)-3),"")</f>
        <v>8.17518987341772</v>
      </c>
      <c r="AO113" s="145" t="n">
        <f aca="false">IFERROR('Price History'!V3+(INDEX('Price History'!V:V,MATCH(9.99E+307,'Price History'!$A:$A))-'Price History'!V3)*(ROW()-3)/(MATCH(9.99E+307,'Returns (Calc)'!$A:$A)-3),"")</f>
        <v>0</v>
      </c>
    </row>
    <row r="114" customFormat="false" ht="15" hidden="false" customHeight="true" outlineLevel="0" collapsed="false">
      <c r="A114" s="141" t="n">
        <f aca="false">IF('Price History'!A115="","",'Price History'!A115)</f>
        <v>45968</v>
      </c>
      <c r="B114" s="142" t="n">
        <f aca="false">IFERROR(IF(OR(NOT(ISNUMBER('Price History'!B115)),NOT(ISNUMBER('Price History'!B114)),'Price History'!B114=0),"",'Price History'!B115/'Price History'!B114-1),"")</f>
        <v>-0.0392583232934678</v>
      </c>
      <c r="C114" s="142" t="n">
        <f aca="false">IFERROR(IF(OR(NOT(ISNUMBER('Price History'!C115)),NOT(ISNUMBER('Price History'!C114)),'Price History'!C114=0),"",'Price History'!C115/'Price History'!C114-1),"")</f>
        <v>-0.146109455260321</v>
      </c>
      <c r="D114" s="142" t="n">
        <f aca="false">IFERROR(IF(OR(NOT(ISNUMBER('Price History'!D115)),NOT(ISNUMBER('Price History'!D114)),'Price History'!D114=0),"",'Price History'!D115/'Price History'!D114-1),"")</f>
        <v>-0.0399081742034018</v>
      </c>
      <c r="E114" s="142" t="n">
        <f aca="false">IFERROR(IF(OR(NOT(ISNUMBER('Price History'!E115)),NOT(ISNUMBER('Price History'!E114)),'Price History'!E114=0),"",'Price History'!E115/'Price History'!E114-1),"")</f>
        <v>-0.0546470427909511</v>
      </c>
      <c r="F114" s="142" t="n">
        <f aca="false">IFERROR(IF(OR(NOT(ISNUMBER('Price History'!F115)),NOT(ISNUMBER('Price History'!F114)),'Price History'!F114=0),"",'Price History'!F115/'Price History'!F114-1),"")</f>
        <v>-0.000621632822213059</v>
      </c>
      <c r="G114" s="142" t="n">
        <f aca="false">IFERROR(IF(OR(NOT(ISNUMBER('Price History'!G115)),NOT(ISNUMBER('Price History'!G114)),'Price History'!G114=0),"",'Price History'!G115/'Price History'!G114-1),"")</f>
        <v>-0.00589318600368327</v>
      </c>
      <c r="H114" s="142" t="n">
        <f aca="false">IFERROR(IF(OR(NOT(ISNUMBER('Price History'!H115)),NOT(ISNUMBER('Price History'!H114)),'Price History'!H114=0),"",'Price History'!H115/'Price History'!H114-1),"")</f>
        <v>0.00744102983852968</v>
      </c>
      <c r="I114" s="142" t="n">
        <f aca="false">IFERROR(IF(OR(NOT(ISNUMBER('Price History'!I115)),NOT(ISNUMBER('Price History'!I114)),'Price History'!I114=0),"",'Price History'!I115/'Price History'!I114-1),"")</f>
        <v>-0.0127256092489395</v>
      </c>
      <c r="J114" s="142" t="n">
        <f aca="false">IFERROR(IF(OR(NOT(ISNUMBER('Price History'!J115)),NOT(ISNUMBER('Price History'!J114)),'Price History'!J114=0),"",'Price History'!J115/'Price History'!J114-1),"")</f>
        <v>0.0632520688883917</v>
      </c>
      <c r="K114" s="142" t="n">
        <f aca="false">IFERROR(IF(OR(NOT(ISNUMBER('Price History'!K115)),NOT(ISNUMBER('Price History'!K114)),'Price History'!K114=0),"",'Price History'!K115/'Price History'!K114-1),"")</f>
        <v>-0.0708380773229048</v>
      </c>
      <c r="L114" s="142" t="n">
        <f aca="false">IFERROR(IF(OR(NOT(ISNUMBER('Price History'!L115)),NOT(ISNUMBER('Price History'!L114)),'Price History'!L114=0),"",'Price History'!L115/'Price History'!L114-1),"")</f>
        <v>0.012218435707755</v>
      </c>
      <c r="M114" s="142" t="n">
        <f aca="false">IFERROR(IF(OR(NOT(ISNUMBER('Price History'!M115)),NOT(ISNUMBER('Price History'!M114)),'Price History'!M114=0),"",'Price History'!M115/'Price History'!M114-1),"")</f>
        <v>-0.112435775926573</v>
      </c>
      <c r="N114" s="142" t="n">
        <f aca="false">IFERROR(IF(OR(NOT(ISNUMBER('Price History'!N115)),NOT(ISNUMBER('Price History'!N114)),'Price History'!N114=0),"",'Price History'!N115/'Price History'!N114-1),"")</f>
        <v>-0.00116099071207432</v>
      </c>
      <c r="O114" s="142" t="n">
        <f aca="false">IFERROR(IF(OR(NOT(ISNUMBER('Price History'!O115)),NOT(ISNUMBER('Price History'!O114)),'Price History'!O114=0),"",'Price History'!O115/'Price History'!O114-1),"")</f>
        <v>-0.0260192243950945</v>
      </c>
      <c r="P114" s="142" t="n">
        <f aca="false">IFERROR(IF(OR(NOT(ISNUMBER('Price History'!P115)),NOT(ISNUMBER('Price History'!P114)),'Price History'!P114=0),"",'Price History'!P115/'Price History'!P114-1),"")</f>
        <v>-0.046353606027987</v>
      </c>
      <c r="Q114" s="142" t="n">
        <f aca="false">IFERROR(IF(OR(NOT(ISNUMBER('Price History'!Q115)),NOT(ISNUMBER('Price History'!Q114)),'Price History'!Q114=0),"",'Price History'!Q115/'Price History'!Q114-1),"")</f>
        <v>-0.0138740977399124</v>
      </c>
      <c r="R114" s="142" t="n">
        <f aca="false">IFERROR(IF(OR(NOT(ISNUMBER('Price History'!R115)),NOT(ISNUMBER('Price History'!R114)),'Price History'!R114=0),"",'Price History'!R115/'Price History'!R114-1),"")</f>
        <v>0.00052401746724895</v>
      </c>
      <c r="S114" s="142" t="n">
        <f aca="false">IFERROR(IF(OR(NOT(ISNUMBER('Price History'!S115)),NOT(ISNUMBER('Price History'!S114)),'Price History'!S114=0),"",'Price History'!S115/'Price History'!S114-1),"")</f>
        <v>-0.00406369215458613</v>
      </c>
      <c r="T114" s="142" t="n">
        <f aca="false">IFERROR(IF(OR(NOT(ISNUMBER('Price History'!T115)),NOT(ISNUMBER('Price History'!T114)),'Price History'!T114=0),"",'Price History'!T115/'Price History'!T114-1),"")</f>
        <v>0.00344462109167987</v>
      </c>
      <c r="U114" s="142" t="str">
        <f aca="false">IFERROR(IF(OR(NOT(ISNUMBER('Price History'!U115)),NOT(ISNUMBER('Price History'!U114)),'Price History'!U114=0),"",'Price History'!U115/'Price History'!U114-1),"")</f>
        <v/>
      </c>
      <c r="V114" s="143" t="n">
        <f aca="false">IFERROR(IF(OR(NOT(ISNUMBER('Price History'!V115)),NOT(ISNUMBER('Price History'!V114)),'Price History'!V114=0),"",'Price History'!V115/'Price History'!V114-1),"")</f>
        <v>0.0369595745316562</v>
      </c>
      <c r="W114" s="144" t="str">
        <f aca="false">IFERROR('Price History'!B3+(INDEX('Price History'!B:B,MATCH(9.99E+307,'Price History'!$A:$A))-'Price History'!B3)*(ROW()-3)/(MATCH(9.99E+307,'Returns (Calc)'!$A:$A)-3),"")</f>
        <v/>
      </c>
      <c r="X114" s="144" t="n">
        <f aca="false">IFERROR('Price History'!C3+(INDEX('Price History'!C:C,MATCH(9.99E+307,'Price History'!$A:$A))-'Price History'!C3)*(ROW()-3)/(MATCH(9.99E+307,'Returns (Calc)'!$A:$A)-3),"")</f>
        <v>13.7370886075949</v>
      </c>
      <c r="Y114" s="144" t="n">
        <f aca="false">IFERROR('Price History'!D3+(INDEX('Price History'!D:D,MATCH(9.99E+307,'Price History'!$A:$A))-'Price History'!D3)*(ROW()-3)/(MATCH(9.99E+307,'Returns (Calc)'!$A:$A)-3),"")</f>
        <v>173.129556962025</v>
      </c>
      <c r="Z114" s="144" t="n">
        <f aca="false">IFERROR('Price History'!E3+(INDEX('Price History'!E:E,MATCH(9.99E+307,'Price History'!$A:$A))-'Price History'!E3)*(ROW()-3)/(MATCH(9.99E+307,'Returns (Calc)'!$A:$A)-3),"")</f>
        <v>24.3924050632911</v>
      </c>
      <c r="AA114" s="144" t="n">
        <f aca="false">IFERROR('Price History'!F3+(INDEX('Price History'!F:F,MATCH(9.99E+307,'Price History'!$A:$A))-'Price History'!F3)*(ROW()-3)/(MATCH(9.99E+307,'Returns (Calc)'!$A:$A)-3),"")</f>
        <v>22.4023417721519</v>
      </c>
      <c r="AB114" s="144" t="n">
        <f aca="false">IFERROR('Price History'!G3+(INDEX('Price History'!G:G,MATCH(9.99E+307,'Price History'!$A:$A))-'Price History'!G3)*(ROW()-3)/(MATCH(9.99E+307,'Returns (Calc)'!$A:$A)-3),"")</f>
        <v>12.3032911392405</v>
      </c>
      <c r="AC114" s="144" t="n">
        <f aca="false">IFERROR('Price History'!H3+(INDEX('Price History'!H:H,MATCH(9.99E+307,'Price History'!$A:$A))-'Price History'!H3)*(ROW()-3)/(MATCH(9.99E+307,'Returns (Calc)'!$A:$A)-3),"")</f>
        <v>29.9223417721519</v>
      </c>
      <c r="AD114" s="144" t="n">
        <f aca="false">IFERROR('Price History'!I3+(INDEX('Price History'!I:I,MATCH(9.99E+307,'Price History'!$A:$A))-'Price History'!I3)*(ROW()-3)/(MATCH(9.99E+307,'Returns (Calc)'!$A:$A)-3),"")</f>
        <v>13.1927215189873</v>
      </c>
      <c r="AE114" s="144" t="n">
        <f aca="false">IFERROR('Price History'!J3+(INDEX('Price History'!J:J,MATCH(9.99E+307,'Price History'!$A:$A))-'Price History'!J3)*(ROW()-3)/(MATCH(9.99E+307,'Returns (Calc)'!$A:$A)-3),"")</f>
        <v>20.5580379746835</v>
      </c>
      <c r="AF114" s="144" t="n">
        <f aca="false">IFERROR('Price History'!K3+(INDEX('Price History'!K:K,MATCH(9.99E+307,'Price History'!$A:$A))-'Price History'!K3)*(ROW()-3)/(MATCH(9.99E+307,'Returns (Calc)'!$A:$A)-3),"")</f>
        <v>13.0201898734177</v>
      </c>
      <c r="AG114" s="144" t="n">
        <f aca="false">IFERROR('Price History'!L3+(INDEX('Price History'!L:L,MATCH(9.99E+307,'Price History'!$A:$A))-'Price History'!L3)*(ROW()-3)/(MATCH(9.99E+307,'Returns (Calc)'!$A:$A)-3),"")</f>
        <v>33.2688607594937</v>
      </c>
      <c r="AH114" s="144" t="n">
        <f aca="false">IFERROR('Price History'!M3+(INDEX('Price History'!M:M,MATCH(9.99E+307,'Price History'!$A:$A))-'Price History'!M3)*(ROW()-3)/(MATCH(9.99E+307,'Returns (Calc)'!$A:$A)-3),"")</f>
        <v>4.56018987341772</v>
      </c>
      <c r="AI114" s="144" t="n">
        <f aca="false">IFERROR('Price History'!N3+(INDEX('Price History'!N:N,MATCH(9.99E+307,'Price History'!$A:$A))-'Price History'!N3)*(ROW()-3)/(MATCH(9.99E+307,'Returns (Calc)'!$A:$A)-3),"")</f>
        <v>6.48481012658228</v>
      </c>
      <c r="AJ114" s="144" t="n">
        <f aca="false">IFERROR('Price History'!O3+(INDEX('Price History'!O:O,MATCH(9.99E+307,'Price History'!$A:$A))-'Price History'!O3)*(ROW()-3)/(MATCH(9.99E+307,'Returns (Calc)'!$A:$A)-3),"")</f>
        <v>17.1431012658228</v>
      </c>
      <c r="AK114" s="144" t="n">
        <f aca="false">IFERROR('Price History'!Q3+(INDEX('Price History'!Q:Q,MATCH(9.99E+307,'Price History'!$A:$A))-'Price History'!Q3)*(ROW()-3)/(MATCH(9.99E+307,'Returns (Calc)'!$A:$A)-3),"")</f>
        <v>70.0924683544304</v>
      </c>
      <c r="AL114" s="144" t="n">
        <f aca="false">IFERROR('Price History'!R3+(INDEX('Price History'!R:R,MATCH(9.99E+307,'Price History'!$A:$A))-'Price History'!R3)*(ROW()-3)/(MATCH(9.99E+307,'Returns (Calc)'!$A:$A)-3),"")</f>
        <v>14.2249367088608</v>
      </c>
      <c r="AM114" s="144" t="n">
        <f aca="false">IFERROR('Price History'!S3+(INDEX('Price History'!S:S,MATCH(9.99E+307,'Price History'!$A:$A))-'Price History'!S3)*(ROW()-3)/(MATCH(9.99E+307,'Returns (Calc)'!$A:$A)-3),"")</f>
        <v>17.4137974683544</v>
      </c>
      <c r="AN114" s="144" t="n">
        <f aca="false">IFERROR('Price History'!T3+(INDEX('Price History'!T:T,MATCH(9.99E+307,'Price History'!$A:$A))-'Price History'!T3)*(ROW()-3)/(MATCH(9.99E+307,'Returns (Calc)'!$A:$A)-3),"")</f>
        <v>8.00487341772152</v>
      </c>
      <c r="AO114" s="145" t="n">
        <f aca="false">IFERROR('Price History'!V3+(INDEX('Price History'!V:V,MATCH(9.99E+307,'Price History'!$A:$A))-'Price History'!V3)*(ROW()-3)/(MATCH(9.99E+307,'Returns (Calc)'!$A:$A)-3),"")</f>
        <v>0</v>
      </c>
    </row>
    <row r="115" customFormat="false" ht="15" hidden="false" customHeight="true" outlineLevel="0" collapsed="false">
      <c r="A115" s="141" t="n">
        <f aca="false">IF('Price History'!A116="","",'Price History'!A116)</f>
        <v>45975</v>
      </c>
      <c r="B115" s="142" t="n">
        <f aca="false">IFERROR(IF(OR(NOT(ISNUMBER('Price History'!B116)),NOT(ISNUMBER('Price History'!B115)),'Price History'!B115=0),"",'Price History'!B116/'Price History'!B115-1),"")</f>
        <v>0.0127236580516898</v>
      </c>
      <c r="C115" s="142" t="n">
        <f aca="false">IFERROR(IF(OR(NOT(ISNUMBER('Price History'!C116)),NOT(ISNUMBER('Price History'!C115)),'Price History'!C115=0),"",'Price History'!C116/'Price History'!C115-1),"")</f>
        <v>-0.024359450427033</v>
      </c>
      <c r="D115" s="142" t="n">
        <f aca="false">IFERROR(IF(OR(NOT(ISNUMBER('Price History'!D116)),NOT(ISNUMBER('Price History'!D115)),'Price History'!D115=0),"",'Price History'!D116/'Price History'!D115-1),"")</f>
        <v>-0.00981128347001292</v>
      </c>
      <c r="E115" s="142" t="n">
        <f aca="false">IFERROR(IF(OR(NOT(ISNUMBER('Price History'!E116)),NOT(ISNUMBER('Price History'!E115)),'Price History'!E115=0),"",'Price History'!E116/'Price History'!E115-1),"")</f>
        <v>-0.0199509874585556</v>
      </c>
      <c r="F115" s="142" t="n">
        <f aca="false">IFERROR(IF(OR(NOT(ISNUMBER('Price History'!F116)),NOT(ISNUMBER('Price History'!F115)),'Price History'!F115=0),"",'Price History'!F116/'Price History'!F115-1),"")</f>
        <v>-0.00145137880986934</v>
      </c>
      <c r="G115" s="142" t="n">
        <f aca="false">IFERROR(IF(OR(NOT(ISNUMBER('Price History'!G116)),NOT(ISNUMBER('Price History'!G115)),'Price History'!G115=0),"",'Price History'!G116/'Price History'!G115-1),"")</f>
        <v>-0.00414968506854396</v>
      </c>
      <c r="H115" s="142" t="n">
        <f aca="false">IFERROR(IF(OR(NOT(ISNUMBER('Price History'!H116)),NOT(ISNUMBER('Price History'!H115)),'Price History'!H115=0),"",'Price History'!H116/'Price History'!H115-1),"")</f>
        <v>0.00310214934633302</v>
      </c>
      <c r="I115" s="142" t="n">
        <f aca="false">IFERROR(IF(OR(NOT(ISNUMBER('Price History'!I116)),NOT(ISNUMBER('Price History'!I115)),'Price History'!I115=0),"",'Price History'!I116/'Price History'!I115-1),"")</f>
        <v>-0.0495366470092672</v>
      </c>
      <c r="J115" s="142" t="n">
        <f aca="false">IFERROR(IF(OR(NOT(ISNUMBER('Price History'!J116)),NOT(ISNUMBER('Price History'!J115)),'Price History'!J115=0),"",'Price History'!J116/'Price History'!J115-1),"")</f>
        <v>0.0374437292271446</v>
      </c>
      <c r="K115" s="142" t="n">
        <f aca="false">IFERROR(IF(OR(NOT(ISNUMBER('Price History'!K116)),NOT(ISNUMBER('Price History'!K115)),'Price History'!K115=0),"",'Price History'!K116/'Price History'!K115-1),"")</f>
        <v>0.0107618540223762</v>
      </c>
      <c r="L115" s="142" t="n">
        <f aca="false">IFERROR(IF(OR(NOT(ISNUMBER('Price History'!L116)),NOT(ISNUMBER('Price History'!L115)),'Price History'!L115=0),"",'Price History'!L116/'Price History'!L115-1),"")</f>
        <v>-0.0220890129742157</v>
      </c>
      <c r="M115" s="142" t="n">
        <f aca="false">IFERROR(IF(OR(NOT(ISNUMBER('Price History'!M116)),NOT(ISNUMBER('Price History'!M115)),'Price History'!M115=0),"",'Price History'!M116/'Price History'!M115-1),"")</f>
        <v>-0.0220311358399371</v>
      </c>
      <c r="N115" s="142" t="n">
        <f aca="false">IFERROR(IF(OR(NOT(ISNUMBER('Price History'!N116)),NOT(ISNUMBER('Price History'!N115)),'Price History'!N115=0),"",'Price History'!N116/'Price History'!N115-1),"")</f>
        <v>0.0197597830298335</v>
      </c>
      <c r="O115" s="142" t="n">
        <f aca="false">IFERROR(IF(OR(NOT(ISNUMBER('Price History'!O116)),NOT(ISNUMBER('Price History'!O115)),'Price History'!O115=0),"",'Price History'!O116/'Price History'!O115-1),"")</f>
        <v>-0.00595541943168287</v>
      </c>
      <c r="P115" s="142" t="n">
        <f aca="false">IFERROR(IF(OR(NOT(ISNUMBER('Price History'!P116)),NOT(ISNUMBER('Price History'!P115)),'Price History'!P115=0),"",'Price History'!P116/'Price History'!P115-1),"")</f>
        <v>-0.0058553791887126</v>
      </c>
      <c r="Q115" s="142" t="n">
        <f aca="false">IFERROR(IF(OR(NOT(ISNUMBER('Price History'!Q116)),NOT(ISNUMBER('Price History'!Q115)),'Price History'!Q115=0),"",'Price History'!Q116/'Price History'!Q115-1),"")</f>
        <v>-0.0158992050397481</v>
      </c>
      <c r="R115" s="142" t="n">
        <f aca="false">IFERROR(IF(OR(NOT(ISNUMBER('Price History'!R116)),NOT(ISNUMBER('Price History'!R115)),'Price History'!R115=0),"",'Price History'!R116/'Price History'!R115-1),"")</f>
        <v>-0.0165851955307264</v>
      </c>
      <c r="S115" s="142" t="n">
        <f aca="false">IFERROR(IF(OR(NOT(ISNUMBER('Price History'!S116)),NOT(ISNUMBER('Price History'!S115)),'Price History'!S115=0),"",'Price History'!S116/'Price History'!S115-1),"")</f>
        <v>-0.0132400699475393</v>
      </c>
      <c r="T115" s="142" t="n">
        <f aca="false">IFERROR(IF(OR(NOT(ISNUMBER('Price History'!T116)),NOT(ISNUMBER('Price History'!T115)),'Price History'!T115=0),"",'Price History'!T116/'Price History'!T115-1),"")</f>
        <v>-0.0340639028254555</v>
      </c>
      <c r="U115" s="142" t="str">
        <f aca="false">IFERROR(IF(OR(NOT(ISNUMBER('Price History'!U116)),NOT(ISNUMBER('Price History'!U115)),'Price History'!U115=0),"",'Price History'!U116/'Price History'!U115-1),"")</f>
        <v/>
      </c>
      <c r="V115" s="143" t="n">
        <f aca="false">IFERROR(IF(OR(NOT(ISNUMBER('Price History'!V116)),NOT(ISNUMBER('Price History'!V115)),'Price History'!V115=0),"",'Price History'!V116/'Price History'!V115-1),"")</f>
        <v>-0.0176914654526594</v>
      </c>
      <c r="W115" s="144" t="str">
        <f aca="false">IFERROR('Price History'!B3+(INDEX('Price History'!B:B,MATCH(9.99E+307,'Price History'!$A:$A))-'Price History'!B3)*(ROW()-3)/(MATCH(9.99E+307,'Returns (Calc)'!$A:$A)-3),"")</f>
        <v/>
      </c>
      <c r="X115" s="144" t="n">
        <f aca="false">IFERROR('Price History'!C3+(INDEX('Price History'!C:C,MATCH(9.99E+307,'Price History'!$A:$A))-'Price History'!C3)*(ROW()-3)/(MATCH(9.99E+307,'Returns (Calc)'!$A:$A)-3),"")</f>
        <v>13.4448101265823</v>
      </c>
      <c r="Y115" s="144" t="n">
        <f aca="false">IFERROR('Price History'!D3+(INDEX('Price History'!D:D,MATCH(9.99E+307,'Price History'!$A:$A))-'Price History'!D3)*(ROW()-3)/(MATCH(9.99E+307,'Returns (Calc)'!$A:$A)-3),"")</f>
        <v>169.445949367089</v>
      </c>
      <c r="Z115" s="144" t="n">
        <f aca="false">IFERROR('Price History'!E3+(INDEX('Price History'!E:E,MATCH(9.99E+307,'Price History'!$A:$A))-'Price History'!E3)*(ROW()-3)/(MATCH(9.99E+307,'Returns (Calc)'!$A:$A)-3),"")</f>
        <v>23.873417721519</v>
      </c>
      <c r="AA115" s="144" t="n">
        <f aca="false">IFERROR('Price History'!F3+(INDEX('Price History'!F:F,MATCH(9.99E+307,'Price History'!$A:$A))-'Price History'!F3)*(ROW()-3)/(MATCH(9.99E+307,'Returns (Calc)'!$A:$A)-3),"")</f>
        <v>21.9256962025316</v>
      </c>
      <c r="AB115" s="144" t="n">
        <f aca="false">IFERROR('Price History'!G3+(INDEX('Price History'!G:G,MATCH(9.99E+307,'Price History'!$A:$A))-'Price History'!G3)*(ROW()-3)/(MATCH(9.99E+307,'Returns (Calc)'!$A:$A)-3),"")</f>
        <v>12.0415189873418</v>
      </c>
      <c r="AC115" s="144" t="n">
        <f aca="false">IFERROR('Price History'!H3+(INDEX('Price History'!H:H,MATCH(9.99E+307,'Price History'!$A:$A))-'Price History'!H3)*(ROW()-3)/(MATCH(9.99E+307,'Returns (Calc)'!$A:$A)-3),"")</f>
        <v>29.2856962025317</v>
      </c>
      <c r="AD115" s="144" t="n">
        <f aca="false">IFERROR('Price History'!I3+(INDEX('Price History'!I:I,MATCH(9.99E+307,'Price History'!$A:$A))-'Price History'!I3)*(ROW()-3)/(MATCH(9.99E+307,'Returns (Calc)'!$A:$A)-3),"")</f>
        <v>12.9120253164557</v>
      </c>
      <c r="AE115" s="144" t="n">
        <f aca="false">IFERROR('Price History'!J3+(INDEX('Price History'!J:J,MATCH(9.99E+307,'Price History'!$A:$A))-'Price History'!J3)*(ROW()-3)/(MATCH(9.99E+307,'Returns (Calc)'!$A:$A)-3),"")</f>
        <v>20.1206329113924</v>
      </c>
      <c r="AF115" s="144" t="n">
        <f aca="false">IFERROR('Price History'!K3+(INDEX('Price History'!K:K,MATCH(9.99E+307,'Price History'!$A:$A))-'Price History'!K3)*(ROW()-3)/(MATCH(9.99E+307,'Returns (Calc)'!$A:$A)-3),"")</f>
        <v>12.743164556962</v>
      </c>
      <c r="AG115" s="144" t="n">
        <f aca="false">IFERROR('Price History'!L3+(INDEX('Price History'!L:L,MATCH(9.99E+307,'Price History'!$A:$A))-'Price History'!L3)*(ROW()-3)/(MATCH(9.99E+307,'Returns (Calc)'!$A:$A)-3),"")</f>
        <v>32.5610126582279</v>
      </c>
      <c r="AH115" s="144" t="n">
        <f aca="false">IFERROR('Price History'!M3+(INDEX('Price History'!M:M,MATCH(9.99E+307,'Price History'!$A:$A))-'Price History'!M3)*(ROW()-3)/(MATCH(9.99E+307,'Returns (Calc)'!$A:$A)-3),"")</f>
        <v>4.46316455696203</v>
      </c>
      <c r="AI115" s="144" t="n">
        <f aca="false">IFERROR('Price History'!N3+(INDEX('Price History'!N:N,MATCH(9.99E+307,'Price History'!$A:$A))-'Price History'!N3)*(ROW()-3)/(MATCH(9.99E+307,'Returns (Calc)'!$A:$A)-3),"")</f>
        <v>6.34683544303798</v>
      </c>
      <c r="AJ115" s="144" t="n">
        <f aca="false">IFERROR('Price History'!O3+(INDEX('Price History'!O:O,MATCH(9.99E+307,'Price History'!$A:$A))-'Price History'!O3)*(ROW()-3)/(MATCH(9.99E+307,'Returns (Calc)'!$A:$A)-3),"")</f>
        <v>16.7783544303798</v>
      </c>
      <c r="AK115" s="144" t="n">
        <f aca="false">IFERROR('Price History'!Q3+(INDEX('Price History'!Q:Q,MATCH(9.99E+307,'Price History'!$A:$A))-'Price History'!Q3)*(ROW()-3)/(MATCH(9.99E+307,'Returns (Calc)'!$A:$A)-3),"")</f>
        <v>68.6011392405063</v>
      </c>
      <c r="AL115" s="144" t="n">
        <f aca="false">IFERROR('Price History'!R3+(INDEX('Price History'!R:R,MATCH(9.99E+307,'Price History'!$A:$A))-'Price History'!R3)*(ROW()-3)/(MATCH(9.99E+307,'Returns (Calc)'!$A:$A)-3),"")</f>
        <v>13.9222784810127</v>
      </c>
      <c r="AM115" s="144" t="n">
        <f aca="false">IFERROR('Price History'!S3+(INDEX('Price History'!S:S,MATCH(9.99E+307,'Price History'!$A:$A))-'Price History'!S3)*(ROW()-3)/(MATCH(9.99E+307,'Returns (Calc)'!$A:$A)-3),"")</f>
        <v>17.0432911392405</v>
      </c>
      <c r="AN115" s="144" t="n">
        <f aca="false">IFERROR('Price History'!T3+(INDEX('Price History'!T:T,MATCH(9.99E+307,'Price History'!$A:$A))-'Price History'!T3)*(ROW()-3)/(MATCH(9.99E+307,'Returns (Calc)'!$A:$A)-3),"")</f>
        <v>7.83455696202532</v>
      </c>
      <c r="AO115" s="145" t="n">
        <f aca="false">IFERROR('Price History'!V3+(INDEX('Price History'!V:V,MATCH(9.99E+307,'Price History'!$A:$A))-'Price History'!V3)*(ROW()-3)/(MATCH(9.99E+307,'Returns (Calc)'!$A:$A)-3),"")</f>
        <v>0</v>
      </c>
    </row>
    <row r="116" customFormat="false" ht="15" hidden="false" customHeight="true" outlineLevel="0" collapsed="false">
      <c r="A116" s="141" t="n">
        <f aca="false">IF('Price History'!A117="","",'Price History'!A117)</f>
        <v>45982</v>
      </c>
      <c r="B116" s="142" t="n">
        <f aca="false">IFERROR(IF(OR(NOT(ISNUMBER('Price History'!B117)),NOT(ISNUMBER('Price History'!B116)),'Price History'!B116=0),"",'Price History'!B117/'Price History'!B116-1),"")</f>
        <v>-0.0208993989912718</v>
      </c>
      <c r="C116" s="142" t="n">
        <f aca="false">IFERROR(IF(OR(NOT(ISNUMBER('Price History'!C117)),NOT(ISNUMBER('Price History'!C116)),'Price History'!C116=0),"",'Price History'!C117/'Price History'!C116-1),"")</f>
        <v>-0.106112506660577</v>
      </c>
      <c r="D116" s="142" t="n">
        <f aca="false">IFERROR(IF(OR(NOT(ISNUMBER('Price History'!D117)),NOT(ISNUMBER('Price History'!D116)),'Price History'!D116=0),"",'Price History'!D117/'Price History'!D116-1),"")</f>
        <v>-0.0401329115818673</v>
      </c>
      <c r="E116" s="142" t="n">
        <f aca="false">IFERROR(IF(OR(NOT(ISNUMBER('Price History'!E117)),NOT(ISNUMBER('Price History'!E116)),'Price History'!E116=0),"",'Price History'!E117/'Price History'!E116-1),"")</f>
        <v>-0.00658959197481834</v>
      </c>
      <c r="F116" s="142" t="n">
        <f aca="false">IFERROR(IF(OR(NOT(ISNUMBER('Price History'!F117)),NOT(ISNUMBER('Price History'!F116)),'Price History'!F116=0),"",'Price History'!F117/'Price History'!F116-1),"")</f>
        <v>-0.00778654485049835</v>
      </c>
      <c r="G116" s="142" t="n">
        <f aca="false">IFERROR(IF(OR(NOT(ISNUMBER('Price History'!G117)),NOT(ISNUMBER('Price History'!G116)),'Price History'!G116=0),"",'Price History'!G117/'Price History'!G116-1),"")</f>
        <v>-0.0872088697075675</v>
      </c>
      <c r="H116" s="142" t="n">
        <f aca="false">IFERROR(IF(OR(NOT(ISNUMBER('Price History'!H117)),NOT(ISNUMBER('Price History'!H116)),'Price History'!H116=0),"",'Price History'!H117/'Price History'!H116-1),"")</f>
        <v>-0.00493336278624557</v>
      </c>
      <c r="I116" s="142" t="n">
        <f aca="false">IFERROR(IF(OR(NOT(ISNUMBER('Price History'!I117)),NOT(ISNUMBER('Price History'!I116)),'Price History'!I116=0),"",'Price History'!I117/'Price History'!I116-1),"")</f>
        <v>-0.0311115050522957</v>
      </c>
      <c r="J116" s="142" t="n">
        <f aca="false">IFERROR(IF(OR(NOT(ISNUMBER('Price History'!J117)),NOT(ISNUMBER('Price History'!J116)),'Price History'!J116=0),"",'Price History'!J117/'Price History'!J116-1),"")</f>
        <v>-0.159860497181556</v>
      </c>
      <c r="K116" s="142" t="n">
        <f aca="false">IFERROR(IF(OR(NOT(ISNUMBER('Price History'!K117)),NOT(ISNUMBER('Price History'!K116)),'Price History'!K116=0),"",'Price History'!K117/'Price History'!K116-1),"")</f>
        <v>-0.0594033312249631</v>
      </c>
      <c r="L116" s="142" t="n">
        <f aca="false">IFERROR(IF(OR(NOT(ISNUMBER('Price History'!L117)),NOT(ISNUMBER('Price History'!L116)),'Price History'!L116=0),"",'Price History'!L117/'Price History'!L116-1),"")</f>
        <v>0.0240994206062641</v>
      </c>
      <c r="M116" s="142" t="n">
        <f aca="false">IFERROR(IF(OR(NOT(ISNUMBER('Price History'!M117)),NOT(ISNUMBER('Price History'!M116)),'Price History'!M116=0),"",'Price History'!M117/'Price History'!M116-1),"")</f>
        <v>-0.110108614447446</v>
      </c>
      <c r="N116" s="142" t="n">
        <f aca="false">IFERROR(IF(OR(NOT(ISNUMBER('Price History'!N117)),NOT(ISNUMBER('Price History'!N116)),'Price History'!N116=0),"",'Price History'!N117/'Price History'!N116-1),"")</f>
        <v>-0.00531914893617025</v>
      </c>
      <c r="O116" s="142" t="n">
        <f aca="false">IFERROR(IF(OR(NOT(ISNUMBER('Price History'!O117)),NOT(ISNUMBER('Price History'!O116)),'Price History'!O116=0),"",'Price History'!O117/'Price History'!O116-1),"")</f>
        <v>-0.029955494693598</v>
      </c>
      <c r="P116" s="142" t="n">
        <f aca="false">IFERROR(IF(OR(NOT(ISNUMBER('Price History'!P117)),NOT(ISNUMBER('Price History'!P116)),'Price History'!P116=0),"",'Price History'!P117/'Price History'!P116-1),"")</f>
        <v>-0.0342747658245812</v>
      </c>
      <c r="Q116" s="142" t="n">
        <f aca="false">IFERROR(IF(OR(NOT(ISNUMBER('Price History'!Q117)),NOT(ISNUMBER('Price History'!Q116)),'Price History'!Q116=0),"",'Price History'!Q117/'Price History'!Q116-1),"")</f>
        <v>-0.00618808108520053</v>
      </c>
      <c r="R116" s="142" t="n">
        <f aca="false">IFERROR(IF(OR(NOT(ISNUMBER('Price History'!R117)),NOT(ISNUMBER('Price History'!R116)),'Price History'!R116=0),"",'Price History'!R117/'Price History'!R116-1),"")</f>
        <v>0.0204154091958104</v>
      </c>
      <c r="S116" s="142" t="n">
        <f aca="false">IFERROR(IF(OR(NOT(ISNUMBER('Price History'!S117)),NOT(ISNUMBER('Price History'!S116)),'Price History'!S116=0),"",'Price History'!S117/'Price History'!S116-1),"")</f>
        <v>0.0162025316455696</v>
      </c>
      <c r="T116" s="142" t="n">
        <f aca="false">IFERROR(IF(OR(NOT(ISNUMBER('Price History'!T117)),NOT(ISNUMBER('Price History'!T116)),'Price History'!T116=0),"",'Price History'!T117/'Price History'!T116-1),"")</f>
        <v>0.0139420448332424</v>
      </c>
      <c r="U116" s="142" t="str">
        <f aca="false">IFERROR(IF(OR(NOT(ISNUMBER('Price History'!U117)),NOT(ISNUMBER('Price History'!U116)),'Price History'!U116=0),"",'Price History'!U117/'Price History'!U116-1),"")</f>
        <v/>
      </c>
      <c r="V116" s="143" t="n">
        <f aca="false">IFERROR(IF(OR(NOT(ISNUMBER('Price History'!V117)),NOT(ISNUMBER('Price History'!V116)),'Price History'!V116=0),"",'Price History'!V117/'Price History'!V116-1),"")</f>
        <v>-0.00510383667722636</v>
      </c>
      <c r="W116" s="144" t="str">
        <f aca="false">IFERROR('Price History'!B3+(INDEX('Price History'!B:B,MATCH(9.99E+307,'Price History'!$A:$A))-'Price History'!B3)*(ROW()-3)/(MATCH(9.99E+307,'Returns (Calc)'!$A:$A)-3),"")</f>
        <v/>
      </c>
      <c r="X116" s="144" t="n">
        <f aca="false">IFERROR('Price History'!C3+(INDEX('Price History'!C:C,MATCH(9.99E+307,'Price History'!$A:$A))-'Price History'!C3)*(ROW()-3)/(MATCH(9.99E+307,'Returns (Calc)'!$A:$A)-3),"")</f>
        <v>13.1525316455696</v>
      </c>
      <c r="Y116" s="144" t="n">
        <f aca="false">IFERROR('Price History'!D3+(INDEX('Price History'!D:D,MATCH(9.99E+307,'Price History'!$A:$A))-'Price History'!D3)*(ROW()-3)/(MATCH(9.99E+307,'Returns (Calc)'!$A:$A)-3),"")</f>
        <v>165.762341772152</v>
      </c>
      <c r="Z116" s="144" t="n">
        <f aca="false">IFERROR('Price History'!E3+(INDEX('Price History'!E:E,MATCH(9.99E+307,'Price History'!$A:$A))-'Price History'!E3)*(ROW()-3)/(MATCH(9.99E+307,'Returns (Calc)'!$A:$A)-3),"")</f>
        <v>23.3544303797468</v>
      </c>
      <c r="AA116" s="144" t="n">
        <f aca="false">IFERROR('Price History'!F3+(INDEX('Price History'!F:F,MATCH(9.99E+307,'Price History'!$A:$A))-'Price History'!F3)*(ROW()-3)/(MATCH(9.99E+307,'Returns (Calc)'!$A:$A)-3),"")</f>
        <v>21.4490506329114</v>
      </c>
      <c r="AB116" s="144" t="n">
        <f aca="false">IFERROR('Price History'!G3+(INDEX('Price History'!G:G,MATCH(9.99E+307,'Price History'!$A:$A))-'Price History'!G3)*(ROW()-3)/(MATCH(9.99E+307,'Returns (Calc)'!$A:$A)-3),"")</f>
        <v>11.779746835443</v>
      </c>
      <c r="AC116" s="144" t="n">
        <f aca="false">IFERROR('Price History'!H3+(INDEX('Price History'!H:H,MATCH(9.99E+307,'Price History'!$A:$A))-'Price History'!H3)*(ROW()-3)/(MATCH(9.99E+307,'Returns (Calc)'!$A:$A)-3),"")</f>
        <v>28.6490506329114</v>
      </c>
      <c r="AD116" s="144" t="n">
        <f aca="false">IFERROR('Price History'!I3+(INDEX('Price History'!I:I,MATCH(9.99E+307,'Price History'!$A:$A))-'Price History'!I3)*(ROW()-3)/(MATCH(9.99E+307,'Returns (Calc)'!$A:$A)-3),"")</f>
        <v>12.6313291139241</v>
      </c>
      <c r="AE116" s="144" t="n">
        <f aca="false">IFERROR('Price History'!J3+(INDEX('Price History'!J:J,MATCH(9.99E+307,'Price History'!$A:$A))-'Price History'!J3)*(ROW()-3)/(MATCH(9.99E+307,'Returns (Calc)'!$A:$A)-3),"")</f>
        <v>19.6832278481013</v>
      </c>
      <c r="AF116" s="144" t="n">
        <f aca="false">IFERROR('Price History'!K3+(INDEX('Price History'!K:K,MATCH(9.99E+307,'Price History'!$A:$A))-'Price History'!K3)*(ROW()-3)/(MATCH(9.99E+307,'Returns (Calc)'!$A:$A)-3),"")</f>
        <v>12.4661392405063</v>
      </c>
      <c r="AG116" s="144" t="n">
        <f aca="false">IFERROR('Price History'!L3+(INDEX('Price History'!L:L,MATCH(9.99E+307,'Price History'!$A:$A))-'Price History'!L3)*(ROW()-3)/(MATCH(9.99E+307,'Returns (Calc)'!$A:$A)-3),"")</f>
        <v>31.853164556962</v>
      </c>
      <c r="AH116" s="144" t="n">
        <f aca="false">IFERROR('Price History'!M3+(INDEX('Price History'!M:M,MATCH(9.99E+307,'Price History'!$A:$A))-'Price History'!M3)*(ROW()-3)/(MATCH(9.99E+307,'Returns (Calc)'!$A:$A)-3),"")</f>
        <v>4.36613924050633</v>
      </c>
      <c r="AI116" s="144" t="n">
        <f aca="false">IFERROR('Price History'!N3+(INDEX('Price History'!N:N,MATCH(9.99E+307,'Price History'!$A:$A))-'Price History'!N3)*(ROW()-3)/(MATCH(9.99E+307,'Returns (Calc)'!$A:$A)-3),"")</f>
        <v>6.20886075949367</v>
      </c>
      <c r="AJ116" s="144" t="n">
        <f aca="false">IFERROR('Price History'!O3+(INDEX('Price History'!O:O,MATCH(9.99E+307,'Price History'!$A:$A))-'Price History'!O3)*(ROW()-3)/(MATCH(9.99E+307,'Returns (Calc)'!$A:$A)-3),"")</f>
        <v>16.4136075949367</v>
      </c>
      <c r="AK116" s="144" t="n">
        <f aca="false">IFERROR('Price History'!Q3+(INDEX('Price History'!Q:Q,MATCH(9.99E+307,'Price History'!$A:$A))-'Price History'!Q3)*(ROW()-3)/(MATCH(9.99E+307,'Returns (Calc)'!$A:$A)-3),"")</f>
        <v>67.1098101265823</v>
      </c>
      <c r="AL116" s="144" t="n">
        <f aca="false">IFERROR('Price History'!R3+(INDEX('Price History'!R:R,MATCH(9.99E+307,'Price History'!$A:$A))-'Price History'!R3)*(ROW()-3)/(MATCH(9.99E+307,'Returns (Calc)'!$A:$A)-3),"")</f>
        <v>13.6196202531646</v>
      </c>
      <c r="AM116" s="144" t="n">
        <f aca="false">IFERROR('Price History'!S3+(INDEX('Price History'!S:S,MATCH(9.99E+307,'Price History'!$A:$A))-'Price History'!S3)*(ROW()-3)/(MATCH(9.99E+307,'Returns (Calc)'!$A:$A)-3),"")</f>
        <v>16.6727848101266</v>
      </c>
      <c r="AN116" s="144" t="n">
        <f aca="false">IFERROR('Price History'!T3+(INDEX('Price History'!T:T,MATCH(9.99E+307,'Price History'!$A:$A))-'Price History'!T3)*(ROW()-3)/(MATCH(9.99E+307,'Returns (Calc)'!$A:$A)-3),"")</f>
        <v>7.66424050632912</v>
      </c>
      <c r="AO116" s="145" t="n">
        <f aca="false">IFERROR('Price History'!V3+(INDEX('Price History'!V:V,MATCH(9.99E+307,'Price History'!$A:$A))-'Price History'!V3)*(ROW()-3)/(MATCH(9.99E+307,'Returns (Calc)'!$A:$A)-3),"")</f>
        <v>0</v>
      </c>
    </row>
    <row r="117" customFormat="false" ht="15" hidden="false" customHeight="true" outlineLevel="0" collapsed="false">
      <c r="A117" s="141" t="n">
        <f aca="false">IF('Price History'!A118="","",'Price History'!A118)</f>
        <v>45989</v>
      </c>
      <c r="B117" s="142" t="n">
        <f aca="false">IFERROR(IF(OR(NOT(ISNUMBER('Price History'!B118)),NOT(ISNUMBER('Price History'!B117)),'Price History'!B117=0),"",'Price History'!B118/'Price History'!B117-1),"")</f>
        <v>-0.0125235201579321</v>
      </c>
      <c r="C117" s="142" t="n">
        <f aca="false">IFERROR(IF(OR(NOT(ISNUMBER('Price History'!C118)),NOT(ISNUMBER('Price History'!C117)),'Price History'!C117=0),"",'Price History'!C118/'Price History'!C117-1),"")</f>
        <v>0.112833177211956</v>
      </c>
      <c r="D117" s="142" t="n">
        <f aca="false">IFERROR(IF(OR(NOT(ISNUMBER('Price History'!D118)),NOT(ISNUMBER('Price History'!D117)),'Price History'!D117=0),"",'Price History'!D118/'Price History'!D117-1),"")</f>
        <v>0.0966578304485681</v>
      </c>
      <c r="E117" s="142" t="n">
        <f aca="false">IFERROR(IF(OR(NOT(ISNUMBER('Price History'!E118)),NOT(ISNUMBER('Price History'!E117)),'Price History'!E117=0),"",'Price History'!E118/'Price History'!E117-1),"")</f>
        <v>0.184488732269241</v>
      </c>
      <c r="F117" s="142" t="n">
        <f aca="false">IFERROR(IF(OR(NOT(ISNUMBER('Price History'!F118)),NOT(ISNUMBER('Price History'!F117)),'Price History'!F117=0),"",'Price History'!F118/'Price History'!F117-1),"")</f>
        <v>0.0443653866276028</v>
      </c>
      <c r="G117" s="142" t="n">
        <f aca="false">IFERROR(IF(OR(NOT(ISNUMBER('Price History'!G118)),NOT(ISNUMBER('Price History'!G117)),'Price History'!G117=0),"",'Price History'!G118/'Price History'!G117-1),"")</f>
        <v>0.0376620200538029</v>
      </c>
      <c r="H117" s="142" t="n">
        <f aca="false">IFERROR(IF(OR(NOT(ISNUMBER('Price History'!H118)),NOT(ISNUMBER('Price History'!H117)),'Price History'!H117=0),"",'Price History'!H118/'Price History'!H117-1),"")</f>
        <v>0.0257510729613735</v>
      </c>
      <c r="I117" s="142" t="n">
        <f aca="false">IFERROR(IF(OR(NOT(ISNUMBER('Price History'!I118)),NOT(ISNUMBER('Price History'!I117)),'Price History'!I117=0),"",'Price History'!I118/'Price History'!I117-1),"")</f>
        <v>0.0713566919769462</v>
      </c>
      <c r="J117" s="142" t="n">
        <f aca="false">IFERROR(IF(OR(NOT(ISNUMBER('Price History'!J118)),NOT(ISNUMBER('Price History'!J117)),'Price History'!J117=0),"",'Price History'!J118/'Price History'!J117-1),"")</f>
        <v>0.140367813872665</v>
      </c>
      <c r="K117" s="142" t="n">
        <f aca="false">IFERROR(IF(OR(NOT(ISNUMBER('Price History'!K118)),NOT(ISNUMBER('Price History'!K117)),'Price History'!K117=0),"",'Price History'!K118/'Price History'!K117-1),"")</f>
        <v>-0.0104791258055477</v>
      </c>
      <c r="L117" s="142" t="n">
        <f aca="false">IFERROR(IF(OR(NOT(ISNUMBER('Price History'!L118)),NOT(ISNUMBER('Price History'!L117)),'Price History'!L117=0),"",'Price History'!L118/'Price History'!L117-1),"")</f>
        <v>0.0218104296490653</v>
      </c>
      <c r="M117" s="142" t="n">
        <f aca="false">IFERROR(IF(OR(NOT(ISNUMBER('Price History'!M118)),NOT(ISNUMBER('Price History'!M117)),'Price History'!M117=0),"",'Price History'!M118/'Price History'!M117-1),"")</f>
        <v>0.0878269292864062</v>
      </c>
      <c r="N117" s="142" t="n">
        <f aca="false">IFERROR(IF(OR(NOT(ISNUMBER('Price History'!N118)),NOT(ISNUMBER('Price History'!N117)),'Price History'!N117=0),"",'Price History'!N118/'Price History'!N117-1),"")</f>
        <v>0.0183346065699006</v>
      </c>
      <c r="O117" s="142" t="n">
        <f aca="false">IFERROR(IF(OR(NOT(ISNUMBER('Price History'!O118)),NOT(ISNUMBER('Price History'!O117)),'Price History'!O117=0),"",'Price History'!O118/'Price History'!O117-1),"")</f>
        <v>0.0509087700723487</v>
      </c>
      <c r="P117" s="142" t="n">
        <f aca="false">IFERROR(IF(OR(NOT(ISNUMBER('Price History'!P118)),NOT(ISNUMBER('Price History'!P117)),'Price History'!P117=0),"",'Price History'!P118/'Price History'!P117-1),"")</f>
        <v>0.059813358806672</v>
      </c>
      <c r="Q117" s="142" t="n">
        <f aca="false">IFERROR(IF(OR(NOT(ISNUMBER('Price History'!Q118)),NOT(ISNUMBER('Price History'!Q117)),'Price History'!Q117=0),"",'Price History'!Q118/'Price History'!Q117-1),"")</f>
        <v>0.0196920434329182</v>
      </c>
      <c r="R117" s="142" t="n">
        <f aca="false">IFERROR(IF(OR(NOT(ISNUMBER('Price History'!R118)),NOT(ISNUMBER('Price History'!R117)),'Price History'!R117=0),"",'Price History'!R118/'Price History'!R117-1),"")</f>
        <v>0.0186151704940849</v>
      </c>
      <c r="S117" s="142" t="n">
        <f aca="false">IFERROR(IF(OR(NOT(ISNUMBER('Price History'!S118)),NOT(ISNUMBER('Price History'!S117)),'Price History'!S117=0),"",'Price History'!S118/'Price History'!S117-1),"")</f>
        <v>0.0107125062282012</v>
      </c>
      <c r="T117" s="142" t="n">
        <f aca="false">IFERROR(IF(OR(NOT(ISNUMBER('Price History'!T118)),NOT(ISNUMBER('Price History'!T117)),'Price History'!T117=0),"",'Price History'!T118/'Price History'!T117-1),"")</f>
        <v>0.0261526017794553</v>
      </c>
      <c r="U117" s="142" t="str">
        <f aca="false">IFERROR(IF(OR(NOT(ISNUMBER('Price History'!U118)),NOT(ISNUMBER('Price History'!U117)),'Price History'!U117=0),"",'Price History'!U118/'Price History'!U117-1),"")</f>
        <v/>
      </c>
      <c r="V117" s="143" t="n">
        <f aca="false">IFERROR(IF(OR(NOT(ISNUMBER('Price History'!V118)),NOT(ISNUMBER('Price History'!V117)),'Price History'!V117=0),"",'Price History'!V118/'Price History'!V117-1),"")</f>
        <v>0.0160386815260334</v>
      </c>
      <c r="W117" s="144" t="str">
        <f aca="false">IFERROR('Price History'!B3+(INDEX('Price History'!B:B,MATCH(9.99E+307,'Price History'!$A:$A))-'Price History'!B3)*(ROW()-3)/(MATCH(9.99E+307,'Returns (Calc)'!$A:$A)-3),"")</f>
        <v/>
      </c>
      <c r="X117" s="144" t="n">
        <f aca="false">IFERROR('Price History'!C3+(INDEX('Price History'!C:C,MATCH(9.99E+307,'Price History'!$A:$A))-'Price History'!C3)*(ROW()-3)/(MATCH(9.99E+307,'Returns (Calc)'!$A:$A)-3),"")</f>
        <v>12.860253164557</v>
      </c>
      <c r="Y117" s="144" t="n">
        <f aca="false">IFERROR('Price History'!D3+(INDEX('Price History'!D:D,MATCH(9.99E+307,'Price History'!$A:$A))-'Price History'!D3)*(ROW()-3)/(MATCH(9.99E+307,'Returns (Calc)'!$A:$A)-3),"")</f>
        <v>162.078734177215</v>
      </c>
      <c r="Z117" s="144" t="n">
        <f aca="false">IFERROR('Price History'!E3+(INDEX('Price History'!E:E,MATCH(9.99E+307,'Price History'!$A:$A))-'Price History'!E3)*(ROW()-3)/(MATCH(9.99E+307,'Returns (Calc)'!$A:$A)-3),"")</f>
        <v>22.8354430379747</v>
      </c>
      <c r="AA117" s="144" t="n">
        <f aca="false">IFERROR('Price History'!F3+(INDEX('Price History'!F:F,MATCH(9.99E+307,'Price History'!$A:$A))-'Price History'!F3)*(ROW()-3)/(MATCH(9.99E+307,'Returns (Calc)'!$A:$A)-3),"")</f>
        <v>20.9724050632911</v>
      </c>
      <c r="AB117" s="144" t="n">
        <f aca="false">IFERROR('Price History'!G3+(INDEX('Price History'!G:G,MATCH(9.99E+307,'Price History'!$A:$A))-'Price History'!G3)*(ROW()-3)/(MATCH(9.99E+307,'Returns (Calc)'!$A:$A)-3),"")</f>
        <v>11.5179746835443</v>
      </c>
      <c r="AC117" s="144" t="n">
        <f aca="false">IFERROR('Price History'!H3+(INDEX('Price History'!H:H,MATCH(9.99E+307,'Price History'!$A:$A))-'Price History'!H3)*(ROW()-3)/(MATCH(9.99E+307,'Returns (Calc)'!$A:$A)-3),"")</f>
        <v>28.0124050632911</v>
      </c>
      <c r="AD117" s="144" t="n">
        <f aca="false">IFERROR('Price History'!I3+(INDEX('Price History'!I:I,MATCH(9.99E+307,'Price History'!$A:$A))-'Price History'!I3)*(ROW()-3)/(MATCH(9.99E+307,'Returns (Calc)'!$A:$A)-3),"")</f>
        <v>12.3506329113924</v>
      </c>
      <c r="AE117" s="144" t="n">
        <f aca="false">IFERROR('Price History'!J3+(INDEX('Price History'!J:J,MATCH(9.99E+307,'Price History'!$A:$A))-'Price History'!J3)*(ROW()-3)/(MATCH(9.99E+307,'Returns (Calc)'!$A:$A)-3),"")</f>
        <v>19.2458227848101</v>
      </c>
      <c r="AF117" s="144" t="n">
        <f aca="false">IFERROR('Price History'!K3+(INDEX('Price History'!K:K,MATCH(9.99E+307,'Price History'!$A:$A))-'Price History'!K3)*(ROW()-3)/(MATCH(9.99E+307,'Returns (Calc)'!$A:$A)-3),"")</f>
        <v>12.1891139240506</v>
      </c>
      <c r="AG117" s="144" t="n">
        <f aca="false">IFERROR('Price History'!L3+(INDEX('Price History'!L:L,MATCH(9.99E+307,'Price History'!$A:$A))-'Price History'!L3)*(ROW()-3)/(MATCH(9.99E+307,'Returns (Calc)'!$A:$A)-3),"")</f>
        <v>31.1453164556962</v>
      </c>
      <c r="AH117" s="144" t="n">
        <f aca="false">IFERROR('Price History'!M3+(INDEX('Price History'!M:M,MATCH(9.99E+307,'Price History'!$A:$A))-'Price History'!M3)*(ROW()-3)/(MATCH(9.99E+307,'Returns (Calc)'!$A:$A)-3),"")</f>
        <v>4.26911392405063</v>
      </c>
      <c r="AI117" s="144" t="n">
        <f aca="false">IFERROR('Price History'!N3+(INDEX('Price History'!N:N,MATCH(9.99E+307,'Price History'!$A:$A))-'Price History'!N3)*(ROW()-3)/(MATCH(9.99E+307,'Returns (Calc)'!$A:$A)-3),"")</f>
        <v>6.07088607594937</v>
      </c>
      <c r="AJ117" s="144" t="n">
        <f aca="false">IFERROR('Price History'!O3+(INDEX('Price History'!O:O,MATCH(9.99E+307,'Price History'!$A:$A))-'Price History'!O3)*(ROW()-3)/(MATCH(9.99E+307,'Returns (Calc)'!$A:$A)-3),"")</f>
        <v>16.0488607594937</v>
      </c>
      <c r="AK117" s="144" t="n">
        <f aca="false">IFERROR('Price History'!Q3+(INDEX('Price History'!Q:Q,MATCH(9.99E+307,'Price History'!$A:$A))-'Price History'!Q3)*(ROW()-3)/(MATCH(9.99E+307,'Returns (Calc)'!$A:$A)-3),"")</f>
        <v>65.6184810126582</v>
      </c>
      <c r="AL117" s="144" t="n">
        <f aca="false">IFERROR('Price History'!R3+(INDEX('Price History'!R:R,MATCH(9.99E+307,'Price History'!$A:$A))-'Price History'!R3)*(ROW()-3)/(MATCH(9.99E+307,'Returns (Calc)'!$A:$A)-3),"")</f>
        <v>13.3169620253165</v>
      </c>
      <c r="AM117" s="144" t="n">
        <f aca="false">IFERROR('Price History'!S3+(INDEX('Price History'!S:S,MATCH(9.99E+307,'Price History'!$A:$A))-'Price History'!S3)*(ROW()-3)/(MATCH(9.99E+307,'Returns (Calc)'!$A:$A)-3),"")</f>
        <v>16.3022784810127</v>
      </c>
      <c r="AN117" s="144" t="n">
        <f aca="false">IFERROR('Price History'!T3+(INDEX('Price History'!T:T,MATCH(9.99E+307,'Price History'!$A:$A))-'Price History'!T3)*(ROW()-3)/(MATCH(9.99E+307,'Returns (Calc)'!$A:$A)-3),"")</f>
        <v>7.49392405063291</v>
      </c>
      <c r="AO117" s="145" t="n">
        <f aca="false">IFERROR('Price History'!V3+(INDEX('Price History'!V:V,MATCH(9.99E+307,'Price History'!$A:$A))-'Price History'!V3)*(ROW()-3)/(MATCH(9.99E+307,'Returns (Calc)'!$A:$A)-3),"")</f>
        <v>0</v>
      </c>
    </row>
    <row r="118" customFormat="false" ht="15" hidden="false" customHeight="true" outlineLevel="0" collapsed="false">
      <c r="A118" s="141" t="n">
        <f aca="false">IF('Price History'!A119="","",'Price History'!A119)</f>
        <v>45996</v>
      </c>
      <c r="B118" s="142" t="n">
        <f aca="false">IFERROR(IF(OR(NOT(ISNUMBER('Price History'!B119)),NOT(ISNUMBER('Price History'!B118)),'Price History'!B118=0),"",'Price History'!B119/'Price History'!B118-1),"")</f>
        <v>0.0816230906194357</v>
      </c>
      <c r="C118" s="142" t="n">
        <f aca="false">IFERROR(IF(OR(NOT(ISNUMBER('Price History'!C119)),NOT(ISNUMBER('Price History'!C118)),'Price History'!C118=0),"",'Price History'!C119/'Price History'!C118-1),"")</f>
        <v>-0.015993265993266</v>
      </c>
      <c r="D118" s="142" t="n">
        <f aca="false">IFERROR(IF(OR(NOT(ISNUMBER('Price History'!D119)),NOT(ISNUMBER('Price History'!D118)),'Price History'!D118=0),"",'Price History'!D119/'Price History'!D118-1),"")</f>
        <v>0.0372346980368365</v>
      </c>
      <c r="E118" s="142" t="n">
        <f aca="false">IFERROR(IF(OR(NOT(ISNUMBER('Price History'!E119)),NOT(ISNUMBER('Price History'!E118)),'Price History'!E118=0),"",'Price History'!E119/'Price History'!E118-1),"")</f>
        <v>-0.0315757893947348</v>
      </c>
      <c r="F118" s="142" t="n">
        <f aca="false">IFERROR(IF(OR(NOT(ISNUMBER('Price History'!F119)),NOT(ISNUMBER('Price History'!F118)),'Price History'!F118=0),"",'Price History'!F119/'Price History'!F118-1),"")</f>
        <v>0.0175333132952611</v>
      </c>
      <c r="G118" s="142" t="n">
        <f aca="false">IFERROR(IF(OR(NOT(ISNUMBER('Price History'!G119)),NOT(ISNUMBER('Price History'!G118)),'Price History'!G118=0),"",'Price History'!G119/'Price History'!G118-1),"")</f>
        <v>0.00565637520622198</v>
      </c>
      <c r="H118" s="142" t="n">
        <f aca="false">IFERROR(IF(OR(NOT(ISNUMBER('Price History'!H119)),NOT(ISNUMBER('Price History'!H118)),'Price History'!H118=0),"",'Price History'!H119/'Price History'!H118-1),"")</f>
        <v>-0.0119030442937528</v>
      </c>
      <c r="I118" s="142" t="n">
        <f aca="false">IFERROR(IF(OR(NOT(ISNUMBER('Price History'!I119)),NOT(ISNUMBER('Price History'!I118)),'Price History'!I118=0),"",'Price History'!I119/'Price History'!I118-1),"")</f>
        <v>0.0332166339339084</v>
      </c>
      <c r="J118" s="142" t="n">
        <f aca="false">IFERROR(IF(OR(NOT(ISNUMBER('Price History'!J119)),NOT(ISNUMBER('Price History'!J118)),'Price History'!J118=0),"",'Price History'!J119/'Price History'!J118-1),"")</f>
        <v>0.0031322751322751</v>
      </c>
      <c r="K118" s="142" t="n">
        <f aca="false">IFERROR(IF(OR(NOT(ISNUMBER('Price History'!K119)),NOT(ISNUMBER('Price History'!K118)),'Price History'!K118=0),"",'Price History'!K119/'Price History'!K118-1),"")</f>
        <v>0.0305810397553516</v>
      </c>
      <c r="L118" s="142" t="n">
        <f aca="false">IFERROR(IF(OR(NOT(ISNUMBER('Price History'!L119)),NOT(ISNUMBER('Price History'!L118)),'Price History'!L118=0),"",'Price History'!L119/'Price History'!L118-1),"")</f>
        <v>-0.00433317284545021</v>
      </c>
      <c r="M118" s="142" t="n">
        <f aca="false">IFERROR(IF(OR(NOT(ISNUMBER('Price History'!M119)),NOT(ISNUMBER('Price History'!M118)),'Price History'!M118=0),"",'Price History'!M119/'Price History'!M118-1),"")</f>
        <v>0.0790145443751855</v>
      </c>
      <c r="N118" s="142" t="n">
        <f aca="false">IFERROR(IF(OR(NOT(ISNUMBER('Price History'!N119)),NOT(ISNUMBER('Price History'!N118)),'Price History'!N118=0),"",'Price History'!N119/'Price History'!N118-1),"")</f>
        <v>0.00412603150787705</v>
      </c>
      <c r="O118" s="142" t="n">
        <f aca="false">IFERROR(IF(OR(NOT(ISNUMBER('Price History'!O119)),NOT(ISNUMBER('Price History'!O118)),'Price History'!O118=0),"",'Price History'!O119/'Price History'!O118-1),"")</f>
        <v>0.00612878851481824</v>
      </c>
      <c r="P118" s="142" t="n">
        <f aca="false">IFERROR(IF(OR(NOT(ISNUMBER('Price History'!P119)),NOT(ISNUMBER('Price History'!P118)),'Price History'!P118=0),"",'Price History'!P119/'Price History'!P118-1),"")</f>
        <v>0.0109893919434239</v>
      </c>
      <c r="Q118" s="142" t="n">
        <f aca="false">IFERROR(IF(OR(NOT(ISNUMBER('Price History'!Q119)),NOT(ISNUMBER('Price History'!Q118)),'Price History'!Q118=0),"",'Price History'!Q119/'Price History'!Q118-1),"")</f>
        <v>-0.00956563590422332</v>
      </c>
      <c r="R118" s="142" t="n">
        <f aca="false">IFERROR(IF(OR(NOT(ISNUMBER('Price History'!R119)),NOT(ISNUMBER('Price History'!R118)),'Price History'!R118=0),"",'Price History'!R119/'Price History'!R118-1),"")</f>
        <v>0.00939368061485912</v>
      </c>
      <c r="S118" s="142" t="n">
        <f aca="false">IFERROR(IF(OR(NOT(ISNUMBER('Price History'!S119)),NOT(ISNUMBER('Price History'!S118)),'Price History'!S118=0),"",'Price History'!S119/'Price History'!S118-1),"")</f>
        <v>-8.21625174594054E-005</v>
      </c>
      <c r="T118" s="142" t="n">
        <f aca="false">IFERROR(IF(OR(NOT(ISNUMBER('Price History'!T119)),NOT(ISNUMBER('Price History'!T118)),'Price History'!T118=0),"",'Price History'!T119/'Price History'!T118-1),"")</f>
        <v>-0.0063058328954283</v>
      </c>
      <c r="U118" s="142" t="str">
        <f aca="false">IFERROR(IF(OR(NOT(ISNUMBER('Price History'!U119)),NOT(ISNUMBER('Price History'!U118)),'Price History'!U118=0),"",'Price History'!U119/'Price History'!U118-1),"")</f>
        <v/>
      </c>
      <c r="V118" s="143" t="n">
        <f aca="false">IFERROR(IF(OR(NOT(ISNUMBER('Price History'!V119)),NOT(ISNUMBER('Price History'!V118)),'Price History'!V118=0),"",'Price History'!V119/'Price History'!V118-1),"")</f>
        <v>-0.0190934942835587</v>
      </c>
      <c r="W118" s="144" t="str">
        <f aca="false">IFERROR('Price History'!B3+(INDEX('Price History'!B:B,MATCH(9.99E+307,'Price History'!$A:$A))-'Price History'!B3)*(ROW()-3)/(MATCH(9.99E+307,'Returns (Calc)'!$A:$A)-3),"")</f>
        <v/>
      </c>
      <c r="X118" s="144" t="n">
        <f aca="false">IFERROR('Price History'!C3+(INDEX('Price History'!C:C,MATCH(9.99E+307,'Price History'!$A:$A))-'Price History'!C3)*(ROW()-3)/(MATCH(9.99E+307,'Returns (Calc)'!$A:$A)-3),"")</f>
        <v>12.5679746835443</v>
      </c>
      <c r="Y118" s="144" t="n">
        <f aca="false">IFERROR('Price History'!D3+(INDEX('Price History'!D:D,MATCH(9.99E+307,'Price History'!$A:$A))-'Price History'!D3)*(ROW()-3)/(MATCH(9.99E+307,'Returns (Calc)'!$A:$A)-3),"")</f>
        <v>158.395126582279</v>
      </c>
      <c r="Z118" s="144" t="n">
        <f aca="false">IFERROR('Price History'!E3+(INDEX('Price History'!E:E,MATCH(9.99E+307,'Price History'!$A:$A))-'Price History'!E3)*(ROW()-3)/(MATCH(9.99E+307,'Returns (Calc)'!$A:$A)-3),"")</f>
        <v>22.3164556962025</v>
      </c>
      <c r="AA118" s="144" t="n">
        <f aca="false">IFERROR('Price History'!F3+(INDEX('Price History'!F:F,MATCH(9.99E+307,'Price History'!$A:$A))-'Price History'!F3)*(ROW()-3)/(MATCH(9.99E+307,'Returns (Calc)'!$A:$A)-3),"")</f>
        <v>20.4957594936709</v>
      </c>
      <c r="AB118" s="144" t="n">
        <f aca="false">IFERROR('Price History'!G3+(INDEX('Price History'!G:G,MATCH(9.99E+307,'Price History'!$A:$A))-'Price History'!G3)*(ROW()-3)/(MATCH(9.99E+307,'Returns (Calc)'!$A:$A)-3),"")</f>
        <v>11.2562025316456</v>
      </c>
      <c r="AC118" s="144" t="n">
        <f aca="false">IFERROR('Price History'!H3+(INDEX('Price History'!H:H,MATCH(9.99E+307,'Price History'!$A:$A))-'Price History'!H3)*(ROW()-3)/(MATCH(9.99E+307,'Returns (Calc)'!$A:$A)-3),"")</f>
        <v>27.3757594936709</v>
      </c>
      <c r="AD118" s="144" t="n">
        <f aca="false">IFERROR('Price History'!I3+(INDEX('Price History'!I:I,MATCH(9.99E+307,'Price History'!$A:$A))-'Price History'!I3)*(ROW()-3)/(MATCH(9.99E+307,'Returns (Calc)'!$A:$A)-3),"")</f>
        <v>12.0699367088608</v>
      </c>
      <c r="AE118" s="144" t="n">
        <f aca="false">IFERROR('Price History'!J3+(INDEX('Price History'!J:J,MATCH(9.99E+307,'Price History'!$A:$A))-'Price History'!J3)*(ROW()-3)/(MATCH(9.99E+307,'Returns (Calc)'!$A:$A)-3),"")</f>
        <v>18.808417721519</v>
      </c>
      <c r="AF118" s="144" t="n">
        <f aca="false">IFERROR('Price History'!K3+(INDEX('Price History'!K:K,MATCH(9.99E+307,'Price History'!$A:$A))-'Price History'!K3)*(ROW()-3)/(MATCH(9.99E+307,'Returns (Calc)'!$A:$A)-3),"")</f>
        <v>11.9120886075949</v>
      </c>
      <c r="AG118" s="144" t="n">
        <f aca="false">IFERROR('Price History'!L3+(INDEX('Price History'!L:L,MATCH(9.99E+307,'Price History'!$A:$A))-'Price History'!L3)*(ROW()-3)/(MATCH(9.99E+307,'Returns (Calc)'!$A:$A)-3),"")</f>
        <v>30.4374683544304</v>
      </c>
      <c r="AH118" s="144" t="n">
        <f aca="false">IFERROR('Price History'!M3+(INDEX('Price History'!M:M,MATCH(9.99E+307,'Price History'!$A:$A))-'Price History'!M3)*(ROW()-3)/(MATCH(9.99E+307,'Returns (Calc)'!$A:$A)-3),"")</f>
        <v>4.17208860759494</v>
      </c>
      <c r="AI118" s="144" t="n">
        <f aca="false">IFERROR('Price History'!N3+(INDEX('Price History'!N:N,MATCH(9.99E+307,'Price History'!$A:$A))-'Price History'!N3)*(ROW()-3)/(MATCH(9.99E+307,'Returns (Calc)'!$A:$A)-3),"")</f>
        <v>5.93291139240506</v>
      </c>
      <c r="AJ118" s="144" t="n">
        <f aca="false">IFERROR('Price History'!O3+(INDEX('Price History'!O:O,MATCH(9.99E+307,'Price History'!$A:$A))-'Price History'!O3)*(ROW()-3)/(MATCH(9.99E+307,'Returns (Calc)'!$A:$A)-3),"")</f>
        <v>15.6841139240506</v>
      </c>
      <c r="AK118" s="144" t="n">
        <f aca="false">IFERROR('Price History'!Q3+(INDEX('Price History'!Q:Q,MATCH(9.99E+307,'Price History'!$A:$A))-'Price History'!Q3)*(ROW()-3)/(MATCH(9.99E+307,'Returns (Calc)'!$A:$A)-3),"")</f>
        <v>64.1271518987342</v>
      </c>
      <c r="AL118" s="144" t="n">
        <f aca="false">IFERROR('Price History'!R3+(INDEX('Price History'!R:R,MATCH(9.99E+307,'Price History'!$A:$A))-'Price History'!R3)*(ROW()-3)/(MATCH(9.99E+307,'Returns (Calc)'!$A:$A)-3),"")</f>
        <v>13.0143037974684</v>
      </c>
      <c r="AM118" s="144" t="n">
        <f aca="false">IFERROR('Price History'!S3+(INDEX('Price History'!S:S,MATCH(9.99E+307,'Price History'!$A:$A))-'Price History'!S3)*(ROW()-3)/(MATCH(9.99E+307,'Returns (Calc)'!$A:$A)-3),"")</f>
        <v>15.9317721518987</v>
      </c>
      <c r="AN118" s="144" t="n">
        <f aca="false">IFERROR('Price History'!T3+(INDEX('Price History'!T:T,MATCH(9.99E+307,'Price History'!$A:$A))-'Price History'!T3)*(ROW()-3)/(MATCH(9.99E+307,'Returns (Calc)'!$A:$A)-3),"")</f>
        <v>7.32360759493671</v>
      </c>
      <c r="AO118" s="145" t="n">
        <f aca="false">IFERROR('Price History'!V3+(INDEX('Price History'!V:V,MATCH(9.99E+307,'Price History'!$A:$A))-'Price History'!V3)*(ROW()-3)/(MATCH(9.99E+307,'Returns (Calc)'!$A:$A)-3),"")</f>
        <v>0</v>
      </c>
    </row>
    <row r="119" customFormat="false" ht="15" hidden="false" customHeight="true" outlineLevel="0" collapsed="false">
      <c r="A119" s="141" t="n">
        <f aca="false">IF('Price History'!A120="","",'Price History'!A120)</f>
        <v>46003</v>
      </c>
      <c r="B119" s="142" t="n">
        <f aca="false">IFERROR(IF(OR(NOT(ISNUMBER('Price History'!B120)),NOT(ISNUMBER('Price History'!B119)),'Price History'!B119=0),"",'Price History'!B120/'Price History'!B119-1),"")</f>
        <v>0.0293709928955122</v>
      </c>
      <c r="C119" s="142" t="n">
        <f aca="false">IFERROR(IF(OR(NOT(ISNUMBER('Price History'!C120)),NOT(ISNUMBER('Price History'!C119)),'Price History'!C119=0),"",'Price History'!C120/'Price History'!C119-1),"")</f>
        <v>-0.0297845866708142</v>
      </c>
      <c r="D119" s="142" t="n">
        <f aca="false">IFERROR(IF(OR(NOT(ISNUMBER('Price History'!D120)),NOT(ISNUMBER('Price History'!D119)),'Price History'!D119=0),"",'Price History'!D120/'Price History'!D119-1),"")</f>
        <v>-0.0169345920801308</v>
      </c>
      <c r="E119" s="142" t="n">
        <f aca="false">IFERROR(IF(OR(NOT(ISNUMBER('Price History'!E120)),NOT(ISNUMBER('Price History'!E119)),'Price History'!E119=0),"",'Price History'!E120/'Price History'!E119-1),"")</f>
        <v>-0.0776796778190831</v>
      </c>
      <c r="F119" s="142" t="n">
        <f aca="false">IFERROR(IF(OR(NOT(ISNUMBER('Price History'!F120)),NOT(ISNUMBER('Price History'!F119)),'Price History'!F119=0),"",'Price History'!F120/'Price History'!F119-1),"")</f>
        <v>0.0214651437573847</v>
      </c>
      <c r="G119" s="142" t="n">
        <f aca="false">IFERROR(IF(OR(NOT(ISNUMBER('Price History'!G120)),NOT(ISNUMBER('Price History'!G119)),'Price History'!G119=0),"",'Price History'!G120/'Price History'!G119-1),"")</f>
        <v>-0.0142176392469338</v>
      </c>
      <c r="H119" s="142" t="n">
        <f aca="false">IFERROR(IF(OR(NOT(ISNUMBER('Price History'!H120)),NOT(ISNUMBER('Price History'!H119)),'Price History'!H119=0),"",'Price History'!H120/'Price History'!H119-1),"")</f>
        <v>0.0162079287435204</v>
      </c>
      <c r="I119" s="142" t="n">
        <f aca="false">IFERROR(IF(OR(NOT(ISNUMBER('Price History'!I120)),NOT(ISNUMBER('Price History'!I119)),'Price History'!I119=0),"",'Price History'!I120/'Price History'!I119-1),"")</f>
        <v>-0.0169421487603305</v>
      </c>
      <c r="J119" s="142" t="n">
        <f aca="false">IFERROR(IF(OR(NOT(ISNUMBER('Price History'!J120)),NOT(ISNUMBER('Price History'!J119)),'Price History'!J119=0),"",'Price History'!J120/'Price History'!J119-1),"")</f>
        <v>0.0164985864382463</v>
      </c>
      <c r="K119" s="142" t="n">
        <f aca="false">IFERROR(IF(OR(NOT(ISNUMBER('Price History'!K120)),NOT(ISNUMBER('Price History'!K119)),'Price History'!K119=0),"",'Price History'!K120/'Price History'!K119-1),"")</f>
        <v>-0.0404989559292228</v>
      </c>
      <c r="L119" s="142" t="n">
        <f aca="false">IFERROR(IF(OR(NOT(ISNUMBER('Price History'!L120)),NOT(ISNUMBER('Price History'!L119)),'Price History'!L119=0),"",'Price History'!L120/'Price History'!L119-1),"")</f>
        <v>0.0172469374597035</v>
      </c>
      <c r="M119" s="142" t="n">
        <f aca="false">IFERROR(IF(OR(NOT(ISNUMBER('Price History'!M120)),NOT(ISNUMBER('Price History'!M119)),'Price History'!M119=0),"",'Price History'!M120/'Price History'!M119-1),"")</f>
        <v>0.00995818661971826</v>
      </c>
      <c r="N119" s="142" t="n">
        <f aca="false">IFERROR(IF(OR(NOT(ISNUMBER('Price History'!N120)),NOT(ISNUMBER('Price History'!N119)),'Price History'!N119=0),"",'Price History'!N120/'Price History'!N119-1),"")</f>
        <v>0.00933881210310039</v>
      </c>
      <c r="O119" s="142" t="n">
        <f aca="false">IFERROR(IF(OR(NOT(ISNUMBER('Price History'!O120)),NOT(ISNUMBER('Price History'!O119)),'Price History'!O119=0),"",'Price History'!O120/'Price History'!O119-1),"")</f>
        <v>-0.0145193591455275</v>
      </c>
      <c r="P119" s="142" t="n">
        <f aca="false">IFERROR(IF(OR(NOT(ISNUMBER('Price History'!P120)),NOT(ISNUMBER('Price History'!P119)),'Price History'!P119=0),"",'Price History'!P120/'Price History'!P119-1),"")</f>
        <v>-0.00641223468093133</v>
      </c>
      <c r="Q119" s="142" t="n">
        <f aca="false">IFERROR(IF(OR(NOT(ISNUMBER('Price History'!Q120)),NOT(ISNUMBER('Price History'!Q119)),'Price History'!Q119=0),"",'Price History'!Q120/'Price History'!Q119-1),"")</f>
        <v>0.0500820020652373</v>
      </c>
      <c r="R119" s="142" t="n">
        <f aca="false">IFERROR(IF(OR(NOT(ISNUMBER('Price History'!R120)),NOT(ISNUMBER('Price History'!R119)),'Price History'!R119=0),"",'Price History'!R120/'Price History'!R119-1),"")</f>
        <v>-0.0235194585448393</v>
      </c>
      <c r="S119" s="142" t="n">
        <f aca="false">IFERROR(IF(OR(NOT(ISNUMBER('Price History'!S120)),NOT(ISNUMBER('Price History'!S119)),'Price History'!S119=0),"",'Price History'!S120/'Price History'!S119-1),"")</f>
        <v>-0.0260476581758422</v>
      </c>
      <c r="T119" s="142" t="n">
        <f aca="false">IFERROR(IF(OR(NOT(ISNUMBER('Price History'!T120)),NOT(ISNUMBER('Price History'!T119)),'Price History'!T119=0),"",'Price History'!T120/'Price History'!T119-1),"")</f>
        <v>0.00158646218931779</v>
      </c>
      <c r="U119" s="142" t="str">
        <f aca="false">IFERROR(IF(OR(NOT(ISNUMBER('Price History'!U120)),NOT(ISNUMBER('Price History'!U119)),'Price History'!U119=0),"",'Price History'!U120/'Price History'!U119-1),"")</f>
        <v/>
      </c>
      <c r="V119" s="143" t="n">
        <f aca="false">IFERROR(IF(OR(NOT(ISNUMBER('Price History'!V120)),NOT(ISNUMBER('Price History'!V119)),'Price History'!V119=0),"",'Price History'!V120/'Price History'!V119-1),"")</f>
        <v>-0.0138740977399124</v>
      </c>
      <c r="W119" s="144" t="str">
        <f aca="false">IFERROR('Price History'!B3+(INDEX('Price History'!B:B,MATCH(9.99E+307,'Price History'!$A:$A))-'Price History'!B3)*(ROW()-3)/(MATCH(9.99E+307,'Returns (Calc)'!$A:$A)-3),"")</f>
        <v/>
      </c>
      <c r="X119" s="144" t="n">
        <f aca="false">IFERROR('Price History'!C3+(INDEX('Price History'!C:C,MATCH(9.99E+307,'Price History'!$A:$A))-'Price History'!C3)*(ROW()-3)/(MATCH(9.99E+307,'Returns (Calc)'!$A:$A)-3),"")</f>
        <v>12.2756962025316</v>
      </c>
      <c r="Y119" s="144" t="n">
        <f aca="false">IFERROR('Price History'!D3+(INDEX('Price History'!D:D,MATCH(9.99E+307,'Price History'!$A:$A))-'Price History'!D3)*(ROW()-3)/(MATCH(9.99E+307,'Returns (Calc)'!$A:$A)-3),"")</f>
        <v>154.711518987342</v>
      </c>
      <c r="Z119" s="144" t="n">
        <f aca="false">IFERROR('Price History'!E3+(INDEX('Price History'!E:E,MATCH(9.99E+307,'Price History'!$A:$A))-'Price History'!E3)*(ROW()-3)/(MATCH(9.99E+307,'Returns (Calc)'!$A:$A)-3),"")</f>
        <v>21.7974683544304</v>
      </c>
      <c r="AA119" s="144" t="n">
        <f aca="false">IFERROR('Price History'!F3+(INDEX('Price History'!F:F,MATCH(9.99E+307,'Price History'!$A:$A))-'Price History'!F3)*(ROW()-3)/(MATCH(9.99E+307,'Returns (Calc)'!$A:$A)-3),"")</f>
        <v>20.0191139240506</v>
      </c>
      <c r="AB119" s="144" t="n">
        <f aca="false">IFERROR('Price History'!G3+(INDEX('Price History'!G:G,MATCH(9.99E+307,'Price History'!$A:$A))-'Price History'!G3)*(ROW()-3)/(MATCH(9.99E+307,'Returns (Calc)'!$A:$A)-3),"")</f>
        <v>10.9944303797468</v>
      </c>
      <c r="AC119" s="144" t="n">
        <f aca="false">IFERROR('Price History'!H3+(INDEX('Price History'!H:H,MATCH(9.99E+307,'Price History'!$A:$A))-'Price History'!H3)*(ROW()-3)/(MATCH(9.99E+307,'Returns (Calc)'!$A:$A)-3),"")</f>
        <v>26.7391139240506</v>
      </c>
      <c r="AD119" s="144" t="n">
        <f aca="false">IFERROR('Price History'!I3+(INDEX('Price History'!I:I,MATCH(9.99E+307,'Price History'!$A:$A))-'Price History'!I3)*(ROW()-3)/(MATCH(9.99E+307,'Returns (Calc)'!$A:$A)-3),"")</f>
        <v>11.7892405063291</v>
      </c>
      <c r="AE119" s="144" t="n">
        <f aca="false">IFERROR('Price History'!J3+(INDEX('Price History'!J:J,MATCH(9.99E+307,'Price History'!$A:$A))-'Price History'!J3)*(ROW()-3)/(MATCH(9.99E+307,'Returns (Calc)'!$A:$A)-3),"")</f>
        <v>18.3710126582278</v>
      </c>
      <c r="AF119" s="144" t="n">
        <f aca="false">IFERROR('Price History'!K3+(INDEX('Price History'!K:K,MATCH(9.99E+307,'Price History'!$A:$A))-'Price History'!K3)*(ROW()-3)/(MATCH(9.99E+307,'Returns (Calc)'!$A:$A)-3),"")</f>
        <v>11.6350632911392</v>
      </c>
      <c r="AG119" s="144" t="n">
        <f aca="false">IFERROR('Price History'!L3+(INDEX('Price History'!L:L,MATCH(9.99E+307,'Price History'!$A:$A))-'Price History'!L3)*(ROW()-3)/(MATCH(9.99E+307,'Returns (Calc)'!$A:$A)-3),"")</f>
        <v>29.7296202531646</v>
      </c>
      <c r="AH119" s="144" t="n">
        <f aca="false">IFERROR('Price History'!M3+(INDEX('Price History'!M:M,MATCH(9.99E+307,'Price History'!$A:$A))-'Price History'!M3)*(ROW()-3)/(MATCH(9.99E+307,'Returns (Calc)'!$A:$A)-3),"")</f>
        <v>4.07506329113924</v>
      </c>
      <c r="AI119" s="144" t="n">
        <f aca="false">IFERROR('Price History'!N3+(INDEX('Price History'!N:N,MATCH(9.99E+307,'Price History'!$A:$A))-'Price History'!N3)*(ROW()-3)/(MATCH(9.99E+307,'Returns (Calc)'!$A:$A)-3),"")</f>
        <v>5.79493670886076</v>
      </c>
      <c r="AJ119" s="144" t="n">
        <f aca="false">IFERROR('Price History'!O3+(INDEX('Price History'!O:O,MATCH(9.99E+307,'Price History'!$A:$A))-'Price History'!O3)*(ROW()-3)/(MATCH(9.99E+307,'Returns (Calc)'!$A:$A)-3),"")</f>
        <v>15.3193670886076</v>
      </c>
      <c r="AK119" s="144" t="n">
        <f aca="false">IFERROR('Price History'!Q3+(INDEX('Price History'!Q:Q,MATCH(9.99E+307,'Price History'!$A:$A))-'Price History'!Q3)*(ROW()-3)/(MATCH(9.99E+307,'Returns (Calc)'!$A:$A)-3),"")</f>
        <v>62.6358227848101</v>
      </c>
      <c r="AL119" s="144" t="n">
        <f aca="false">IFERROR('Price History'!R3+(INDEX('Price History'!R:R,MATCH(9.99E+307,'Price History'!$A:$A))-'Price History'!R3)*(ROW()-3)/(MATCH(9.99E+307,'Returns (Calc)'!$A:$A)-3),"")</f>
        <v>12.7116455696203</v>
      </c>
      <c r="AM119" s="144" t="n">
        <f aca="false">IFERROR('Price History'!S3+(INDEX('Price History'!S:S,MATCH(9.99E+307,'Price History'!$A:$A))-'Price History'!S3)*(ROW()-3)/(MATCH(9.99E+307,'Returns (Calc)'!$A:$A)-3),"")</f>
        <v>15.5612658227848</v>
      </c>
      <c r="AN119" s="144" t="n">
        <f aca="false">IFERROR('Price History'!T3+(INDEX('Price History'!T:T,MATCH(9.99E+307,'Price History'!$A:$A))-'Price History'!T3)*(ROW()-3)/(MATCH(9.99E+307,'Returns (Calc)'!$A:$A)-3),"")</f>
        <v>7.15329113924051</v>
      </c>
      <c r="AO119" s="145" t="n">
        <f aca="false">IFERROR('Price History'!V3+(INDEX('Price History'!V:V,MATCH(9.99E+307,'Price History'!$A:$A))-'Price History'!V3)*(ROW()-3)/(MATCH(9.99E+307,'Returns (Calc)'!$A:$A)-3),"")</f>
        <v>0</v>
      </c>
    </row>
    <row r="120" customFormat="false" ht="15" hidden="false" customHeight="true" outlineLevel="0" collapsed="false">
      <c r="A120" s="141" t="n">
        <f aca="false">IF('Price History'!A121="","",'Price History'!A121)</f>
        <v>46010</v>
      </c>
      <c r="B120" s="142" t="n">
        <f aca="false">IFERROR(IF(OR(NOT(ISNUMBER('Price History'!B121)),NOT(ISNUMBER('Price History'!B120)),'Price History'!B120=0),"",'Price History'!B121/'Price History'!B120-1),"")</f>
        <v>-0.00159919198720648</v>
      </c>
      <c r="C120" s="142" t="n">
        <f aca="false">IFERROR(IF(OR(NOT(ISNUMBER('Price History'!C121)),NOT(ISNUMBER('Price History'!C120)),'Price History'!C120=0),"",'Price History'!C121/'Price History'!C120-1),"")</f>
        <v>0.0509778775248477</v>
      </c>
      <c r="D120" s="142" t="n">
        <f aca="false">IFERROR(IF(OR(NOT(ISNUMBER('Price History'!D121)),NOT(ISNUMBER('Price History'!D120)),'Price History'!D120=0),"",'Price History'!D121/'Price History'!D120-1),"")</f>
        <v>-0.0229715156923993</v>
      </c>
      <c r="E120" s="142" t="n">
        <f aca="false">IFERROR(IF(OR(NOT(ISNUMBER('Price History'!E121)),NOT(ISNUMBER('Price History'!E120)),'Price History'!E120=0),"",'Price History'!E121/'Price History'!E120-1),"")</f>
        <v>-0.0543566490329441</v>
      </c>
      <c r="F120" s="142" t="n">
        <f aca="false">IFERROR(IF(OR(NOT(ISNUMBER('Price History'!F121)),NOT(ISNUMBER('Price History'!F120)),'Price History'!F120=0),"",'Price History'!F121/'Price History'!F120-1),"")</f>
        <v>-0.00906111432427215</v>
      </c>
      <c r="G120" s="142" t="n">
        <f aca="false">IFERROR(IF(OR(NOT(ISNUMBER('Price History'!G121)),NOT(ISNUMBER('Price History'!G120)),'Price History'!G120=0),"",'Price History'!G121/'Price History'!G120-1),"")</f>
        <v>-0.0465171566685158</v>
      </c>
      <c r="H120" s="142" t="n">
        <f aca="false">IFERROR(IF(OR(NOT(ISNUMBER('Price History'!H121)),NOT(ISNUMBER('Price History'!H120)),'Price History'!H120=0),"",'Price History'!H121/'Price History'!H120-1),"")</f>
        <v>-0.00459803146777771</v>
      </c>
      <c r="I120" s="142" t="n">
        <f aca="false">IFERROR(IF(OR(NOT(ISNUMBER('Price History'!I121)),NOT(ISNUMBER('Price History'!I120)),'Price History'!I120=0),"",'Price History'!I121/'Price History'!I120-1),"")</f>
        <v>0.0433795712484237</v>
      </c>
      <c r="J120" s="142" t="n">
        <f aca="false">IFERROR(IF(OR(NOT(ISNUMBER('Price History'!J121)),NOT(ISNUMBER('Price History'!J120)),'Price History'!J120=0),"",'Price History'!J121/'Price History'!J120-1),"")</f>
        <v>0.102781237027813</v>
      </c>
      <c r="K120" s="142" t="n">
        <f aca="false">IFERROR(IF(OR(NOT(ISNUMBER('Price History'!K121)),NOT(ISNUMBER('Price History'!K120)),'Price History'!K120=0),"",'Price History'!K121/'Price History'!K120-1),"")</f>
        <v>0.0341332111562911</v>
      </c>
      <c r="L120" s="142" t="n">
        <f aca="false">IFERROR(IF(OR(NOT(ISNUMBER('Price History'!L121)),NOT(ISNUMBER('Price History'!L120)),'Price History'!L120=0),"",'Price History'!L121/'Price History'!L120-1),"")</f>
        <v>-0.0150530819204564</v>
      </c>
      <c r="M120" s="142" t="n">
        <f aca="false">IFERROR(IF(OR(NOT(ISNUMBER('Price History'!M121)),NOT(ISNUMBER('Price History'!M120)),'Price History'!M120=0),"",'Price History'!M121/'Price History'!M120-1),"")</f>
        <v>0.0534401045922537</v>
      </c>
      <c r="N120" s="142" t="n">
        <f aca="false">IFERROR(IF(OR(NOT(ISNUMBER('Price History'!N121)),NOT(ISNUMBER('Price History'!N120)),'Price History'!N120=0),"",'Price History'!N121/'Price History'!N120-1),"")</f>
        <v>-0.00814211695040712</v>
      </c>
      <c r="O120" s="142" t="n">
        <f aca="false">IFERROR(IF(OR(NOT(ISNUMBER('Price History'!O121)),NOT(ISNUMBER('Price History'!O120)),'Price History'!O120=0),"",'Price History'!O121/'Price History'!O120-1),"")</f>
        <v>0.0036409822184591</v>
      </c>
      <c r="P120" s="142" t="n">
        <f aca="false">IFERROR(IF(OR(NOT(ISNUMBER('Price History'!P121)),NOT(ISNUMBER('Price History'!P120)),'Price History'!P120=0),"",'Price History'!P121/'Price History'!P120-1),"")</f>
        <v>-0.0105604638321369</v>
      </c>
      <c r="Q120" s="142" t="n">
        <f aca="false">IFERROR(IF(OR(NOT(ISNUMBER('Price History'!Q121)),NOT(ISNUMBER('Price History'!Q120)),'Price History'!Q120=0),"",'Price History'!Q121/'Price History'!Q120-1),"")</f>
        <v>0.00410701373825018</v>
      </c>
      <c r="R120" s="142" t="n">
        <f aca="false">IFERROR(IF(OR(NOT(ISNUMBER('Price History'!R121)),NOT(ISNUMBER('Price History'!R120)),'Price History'!R120=0),"",'Price History'!R121/'Price History'!R120-1),"")</f>
        <v>0.00190608213481203</v>
      </c>
      <c r="S120" s="142" t="n">
        <f aca="false">IFERROR(IF(OR(NOT(ISNUMBER('Price History'!S121)),NOT(ISNUMBER('Price History'!S120)),'Price History'!S120=0),"",'Price History'!S121/'Price History'!S120-1),"")</f>
        <v>-0.00590567788745466</v>
      </c>
      <c r="T120" s="142" t="n">
        <f aca="false">IFERROR(IF(OR(NOT(ISNUMBER('Price History'!T121)),NOT(ISNUMBER('Price History'!T120)),'Price History'!T120=0),"",'Price History'!T121/'Price History'!T120-1),"")</f>
        <v>0.0110876451953537</v>
      </c>
      <c r="U120" s="142" t="str">
        <f aca="false">IFERROR(IF(OR(NOT(ISNUMBER('Price History'!U121)),NOT(ISNUMBER('Price History'!U120)),'Price History'!U120=0),"",'Price History'!U121/'Price History'!U120-1),"")</f>
        <v/>
      </c>
      <c r="V120" s="143" t="n">
        <f aca="false">IFERROR(IF(OR(NOT(ISNUMBER('Price History'!V121)),NOT(ISNUMBER('Price History'!V120)),'Price History'!V120=0),"",'Price History'!V121/'Price History'!V120-1),"")</f>
        <v>-0.0158992050397481</v>
      </c>
      <c r="W120" s="144" t="str">
        <f aca="false">IFERROR('Price History'!B3+(INDEX('Price History'!B:B,MATCH(9.99E+307,'Price History'!$A:$A))-'Price History'!B3)*(ROW()-3)/(MATCH(9.99E+307,'Returns (Calc)'!$A:$A)-3),"")</f>
        <v/>
      </c>
      <c r="X120" s="144" t="n">
        <f aca="false">IFERROR('Price History'!C3+(INDEX('Price History'!C:C,MATCH(9.99E+307,'Price History'!$A:$A))-'Price History'!C3)*(ROW()-3)/(MATCH(9.99E+307,'Returns (Calc)'!$A:$A)-3),"")</f>
        <v>11.983417721519</v>
      </c>
      <c r="Y120" s="144" t="n">
        <f aca="false">IFERROR('Price History'!D3+(INDEX('Price History'!D:D,MATCH(9.99E+307,'Price History'!$A:$A))-'Price History'!D3)*(ROW()-3)/(MATCH(9.99E+307,'Returns (Calc)'!$A:$A)-3),"")</f>
        <v>151.027911392405</v>
      </c>
      <c r="Z120" s="144" t="n">
        <f aca="false">IFERROR('Price History'!E3+(INDEX('Price History'!E:E,MATCH(9.99E+307,'Price History'!$A:$A))-'Price History'!E3)*(ROW()-3)/(MATCH(9.99E+307,'Returns (Calc)'!$A:$A)-3),"")</f>
        <v>21.2784810126582</v>
      </c>
      <c r="AA120" s="144" t="n">
        <f aca="false">IFERROR('Price History'!F3+(INDEX('Price History'!F:F,MATCH(9.99E+307,'Price History'!$A:$A))-'Price History'!F3)*(ROW()-3)/(MATCH(9.99E+307,'Returns (Calc)'!$A:$A)-3),"")</f>
        <v>19.5424683544304</v>
      </c>
      <c r="AB120" s="144" t="n">
        <f aca="false">IFERROR('Price History'!G3+(INDEX('Price History'!G:G,MATCH(9.99E+307,'Price History'!$A:$A))-'Price History'!G3)*(ROW()-3)/(MATCH(9.99E+307,'Returns (Calc)'!$A:$A)-3),"")</f>
        <v>10.7326582278481</v>
      </c>
      <c r="AC120" s="144" t="n">
        <f aca="false">IFERROR('Price History'!H3+(INDEX('Price History'!H:H,MATCH(9.99E+307,'Price History'!$A:$A))-'Price History'!H3)*(ROW()-3)/(MATCH(9.99E+307,'Returns (Calc)'!$A:$A)-3),"")</f>
        <v>26.1024683544304</v>
      </c>
      <c r="AD120" s="144" t="n">
        <f aca="false">IFERROR('Price History'!I3+(INDEX('Price History'!I:I,MATCH(9.99E+307,'Price History'!$A:$A))-'Price History'!I3)*(ROW()-3)/(MATCH(9.99E+307,'Returns (Calc)'!$A:$A)-3),"")</f>
        <v>11.5085443037975</v>
      </c>
      <c r="AE120" s="144" t="n">
        <f aca="false">IFERROR('Price History'!J3+(INDEX('Price History'!J:J,MATCH(9.99E+307,'Price History'!$A:$A))-'Price History'!J3)*(ROW()-3)/(MATCH(9.99E+307,'Returns (Calc)'!$A:$A)-3),"")</f>
        <v>17.9336075949367</v>
      </c>
      <c r="AF120" s="144" t="n">
        <f aca="false">IFERROR('Price History'!K3+(INDEX('Price History'!K:K,MATCH(9.99E+307,'Price History'!$A:$A))-'Price History'!K3)*(ROW()-3)/(MATCH(9.99E+307,'Returns (Calc)'!$A:$A)-3),"")</f>
        <v>11.3580379746835</v>
      </c>
      <c r="AG120" s="144" t="n">
        <f aca="false">IFERROR('Price History'!L3+(INDEX('Price History'!L:L,MATCH(9.99E+307,'Price History'!$A:$A))-'Price History'!L3)*(ROW()-3)/(MATCH(9.99E+307,'Returns (Calc)'!$A:$A)-3),"")</f>
        <v>29.0217721518987</v>
      </c>
      <c r="AH120" s="144" t="n">
        <f aca="false">IFERROR('Price History'!M3+(INDEX('Price History'!M:M,MATCH(9.99E+307,'Price History'!$A:$A))-'Price History'!M3)*(ROW()-3)/(MATCH(9.99E+307,'Returns (Calc)'!$A:$A)-3),"")</f>
        <v>3.97803797468355</v>
      </c>
      <c r="AI120" s="144" t="n">
        <f aca="false">IFERROR('Price History'!N3+(INDEX('Price History'!N:N,MATCH(9.99E+307,'Price History'!$A:$A))-'Price History'!N3)*(ROW()-3)/(MATCH(9.99E+307,'Returns (Calc)'!$A:$A)-3),"")</f>
        <v>5.65696202531646</v>
      </c>
      <c r="AJ120" s="144" t="n">
        <f aca="false">IFERROR('Price History'!O3+(INDEX('Price History'!O:O,MATCH(9.99E+307,'Price History'!$A:$A))-'Price History'!O3)*(ROW()-3)/(MATCH(9.99E+307,'Returns (Calc)'!$A:$A)-3),"")</f>
        <v>14.9546202531646</v>
      </c>
      <c r="AK120" s="144" t="n">
        <f aca="false">IFERROR('Price History'!Q3+(INDEX('Price History'!Q:Q,MATCH(9.99E+307,'Price History'!$A:$A))-'Price History'!Q3)*(ROW()-3)/(MATCH(9.99E+307,'Returns (Calc)'!$A:$A)-3),"")</f>
        <v>61.1444936708861</v>
      </c>
      <c r="AL120" s="144" t="n">
        <f aca="false">IFERROR('Price History'!R3+(INDEX('Price History'!R:R,MATCH(9.99E+307,'Price History'!$A:$A))-'Price History'!R3)*(ROW()-3)/(MATCH(9.99E+307,'Returns (Calc)'!$A:$A)-3),"")</f>
        <v>12.4089873417722</v>
      </c>
      <c r="AM120" s="144" t="n">
        <f aca="false">IFERROR('Price History'!S3+(INDEX('Price History'!S:S,MATCH(9.99E+307,'Price History'!$A:$A))-'Price History'!S3)*(ROW()-3)/(MATCH(9.99E+307,'Returns (Calc)'!$A:$A)-3),"")</f>
        <v>15.1907594936709</v>
      </c>
      <c r="AN120" s="144" t="n">
        <f aca="false">IFERROR('Price History'!T3+(INDEX('Price History'!T:T,MATCH(9.99E+307,'Price History'!$A:$A))-'Price History'!T3)*(ROW()-3)/(MATCH(9.99E+307,'Returns (Calc)'!$A:$A)-3),"")</f>
        <v>6.98297468354431</v>
      </c>
      <c r="AO120" s="145" t="n">
        <f aca="false">IFERROR('Price History'!V3+(INDEX('Price History'!V:V,MATCH(9.99E+307,'Price History'!$A:$A))-'Price History'!V3)*(ROW()-3)/(MATCH(9.99E+307,'Returns (Calc)'!$A:$A)-3),"")</f>
        <v>0</v>
      </c>
    </row>
    <row r="121" customFormat="false" ht="15" hidden="false" customHeight="true" outlineLevel="0" collapsed="false">
      <c r="A121" s="141" t="n">
        <f aca="false">IF('Price History'!A122="","",'Price History'!A122)</f>
        <v>46017</v>
      </c>
      <c r="B121" s="142" t="n">
        <f aca="false">IFERROR(IF(OR(NOT(ISNUMBER('Price History'!B122)),NOT(ISNUMBER('Price History'!B121)),'Price History'!B121=0),"",'Price History'!B122/'Price History'!B121-1),"")</f>
        <v>-0.00578879334569771</v>
      </c>
      <c r="C121" s="142" t="n">
        <f aca="false">IFERROR(IF(OR(NOT(ISNUMBER('Price History'!C122)),NOT(ISNUMBER('Price History'!C121)),'Price History'!C121=0),"",'Price History'!C122/'Price History'!C121-1),"")</f>
        <v>0.00549115314215976</v>
      </c>
      <c r="D121" s="142" t="n">
        <f aca="false">IFERROR(IF(OR(NOT(ISNUMBER('Price History'!D122)),NOT(ISNUMBER('Price History'!D121)),'Price History'!D121=0),"",'Price History'!D122/'Price History'!D121-1),"")</f>
        <v>0.0158425073979276</v>
      </c>
      <c r="E121" s="142" t="n">
        <f aca="false">IFERROR(IF(OR(NOT(ISNUMBER('Price History'!E122)),NOT(ISNUMBER('Price History'!E121)),'Price History'!E121=0),"",'Price History'!E122/'Price History'!E121-1),"")</f>
        <v>0.0365546840313749</v>
      </c>
      <c r="F121" s="142" t="n">
        <f aca="false">IFERROR(IF(OR(NOT(ISNUMBER('Price History'!F122)),NOT(ISNUMBER('Price History'!F121)),'Price History'!F121=0),"",'Price History'!F122/'Price History'!F121-1),"")</f>
        <v>-0.000875486381322954</v>
      </c>
      <c r="G121" s="142" t="n">
        <f aca="false">IFERROR(IF(OR(NOT(ISNUMBER('Price History'!G122)),NOT(ISNUMBER('Price History'!G121)),'Price History'!G121=0),"",'Price History'!G122/'Price History'!G121-1),"")</f>
        <v>-0.000166223404255317</v>
      </c>
      <c r="H121" s="142" t="n">
        <f aca="false">IFERROR(IF(OR(NOT(ISNUMBER('Price History'!H122)),NOT(ISNUMBER('Price History'!H121)),'Price History'!H121=0),"",'Price History'!H122/'Price History'!H121-1),"")</f>
        <v>0.00526885600866112</v>
      </c>
      <c r="I121" s="142" t="n">
        <f aca="false">IFERROR(IF(OR(NOT(ISNUMBER('Price History'!I122)),NOT(ISNUMBER('Price History'!I121)),'Price History'!I121=0),"",'Price History'!I122/'Price History'!I121-1),"")</f>
        <v>0.0272339054064943</v>
      </c>
      <c r="J121" s="142" t="n">
        <f aca="false">IFERROR(IF(OR(NOT(ISNUMBER('Price History'!J122)),NOT(ISNUMBER('Price History'!J121)),'Price History'!J121=0),"",'Price History'!J122/'Price History'!J121-1),"")</f>
        <v>0.0709553564706766</v>
      </c>
      <c r="K121" s="142" t="n">
        <f aca="false">IFERROR(IF(OR(NOT(ISNUMBER('Price History'!K122)),NOT(ISNUMBER('Price History'!K121)),'Price History'!K121=0),"",'Price History'!K122/'Price History'!K121-1),"")</f>
        <v>0.0527219360912665</v>
      </c>
      <c r="L121" s="142" t="n">
        <f aca="false">IFERROR(IF(OR(NOT(ISNUMBER('Price History'!L122)),NOT(ISNUMBER('Price History'!L121)),'Price History'!L121=0),"",'Price History'!L122/'Price History'!L121-1),"")</f>
        <v>0.0115830115830118</v>
      </c>
      <c r="M121" s="142" t="n">
        <f aca="false">IFERROR(IF(OR(NOT(ISNUMBER('Price History'!M122)),NOT(ISNUMBER('Price History'!M121)),'Price History'!M121=0),"",'Price History'!M122/'Price History'!M121-1),"")</f>
        <v>-0.0241493432619712</v>
      </c>
      <c r="N121" s="142" t="n">
        <f aca="false">IFERROR(IF(OR(NOT(ISNUMBER('Price History'!N122)),NOT(ISNUMBER('Price History'!N121)),'Price History'!N121=0),"",'Price History'!N122/'Price History'!N121-1),"")</f>
        <v>0.00671641791044775</v>
      </c>
      <c r="O121" s="142" t="n">
        <f aca="false">IFERROR(IF(OR(NOT(ISNUMBER('Price History'!O122)),NOT(ISNUMBER('Price History'!O121)),'Price History'!O121=0),"",'Price History'!O122/'Price History'!O121-1),"")</f>
        <v>0.0179701341432548</v>
      </c>
      <c r="P121" s="142" t="n">
        <f aca="false">IFERROR(IF(OR(NOT(ISNUMBER('Price History'!P122)),NOT(ISNUMBER('Price History'!P121)),'Price History'!P121=0),"",'Price History'!P122/'Price History'!P121-1),"")</f>
        <v>0.0480641785838858</v>
      </c>
      <c r="Q121" s="142" t="n">
        <f aca="false">IFERROR(IF(OR(NOT(ISNUMBER('Price History'!Q122)),NOT(ISNUMBER('Price History'!Q121)),'Price History'!Q121=0),"",'Price History'!Q122/'Price History'!Q121-1),"")</f>
        <v>0.0164472736699599</v>
      </c>
      <c r="R121" s="142" t="n">
        <f aca="false">IFERROR(IF(OR(NOT(ISNUMBER('Price History'!R122)),NOT(ISNUMBER('Price History'!R121)),'Price History'!R121=0),"",'Price History'!R122/'Price History'!R121-1),"")</f>
        <v>-0.0273261847111725</v>
      </c>
      <c r="S121" s="142" t="n">
        <f aca="false">IFERROR(IF(OR(NOT(ISNUMBER('Price History'!S122)),NOT(ISNUMBER('Price History'!S121)),'Price History'!S121=0),"",'Price History'!S122/'Price History'!S121-1),"")</f>
        <v>-0.0299584146651957</v>
      </c>
      <c r="T121" s="142" t="n">
        <f aca="false">IFERROR(IF(OR(NOT(ISNUMBER('Price History'!T122)),NOT(ISNUMBER('Price History'!T121)),'Price History'!T121=0),"",'Price History'!T122/'Price History'!T121-1),"")</f>
        <v>-0.0201044386422975</v>
      </c>
      <c r="U121" s="142" t="str">
        <f aca="false">IFERROR(IF(OR(NOT(ISNUMBER('Price History'!U122)),NOT(ISNUMBER('Price History'!U121)),'Price History'!U121=0),"",'Price History'!U122/'Price History'!U121-1),"")</f>
        <v/>
      </c>
      <c r="V121" s="143" t="n">
        <f aca="false">IFERROR(IF(OR(NOT(ISNUMBER('Price History'!V122)),NOT(ISNUMBER('Price History'!V121)),'Price History'!V121=0),"",'Price History'!V122/'Price History'!V121-1),"")</f>
        <v>-0.00618808108520053</v>
      </c>
      <c r="W121" s="144" t="str">
        <f aca="false">IFERROR('Price History'!B3+(INDEX('Price History'!B:B,MATCH(9.99E+307,'Price History'!$A:$A))-'Price History'!B3)*(ROW()-3)/(MATCH(9.99E+307,'Returns (Calc)'!$A:$A)-3),"")</f>
        <v/>
      </c>
      <c r="X121" s="144" t="n">
        <f aca="false">IFERROR('Price History'!C3+(INDEX('Price History'!C:C,MATCH(9.99E+307,'Price History'!$A:$A))-'Price History'!C3)*(ROW()-3)/(MATCH(9.99E+307,'Returns (Calc)'!$A:$A)-3),"")</f>
        <v>11.6911392405063</v>
      </c>
      <c r="Y121" s="144" t="n">
        <f aca="false">IFERROR('Price History'!D3+(INDEX('Price History'!D:D,MATCH(9.99E+307,'Price History'!$A:$A))-'Price History'!D3)*(ROW()-3)/(MATCH(9.99E+307,'Returns (Calc)'!$A:$A)-3),"")</f>
        <v>147.344303797468</v>
      </c>
      <c r="Z121" s="144" t="n">
        <f aca="false">IFERROR('Price History'!E3+(INDEX('Price History'!E:E,MATCH(9.99E+307,'Price History'!$A:$A))-'Price History'!E3)*(ROW()-3)/(MATCH(9.99E+307,'Returns (Calc)'!$A:$A)-3),"")</f>
        <v>20.7594936708861</v>
      </c>
      <c r="AA121" s="144" t="n">
        <f aca="false">IFERROR('Price History'!F3+(INDEX('Price History'!F:F,MATCH(9.99E+307,'Price History'!$A:$A))-'Price History'!F3)*(ROW()-3)/(MATCH(9.99E+307,'Returns (Calc)'!$A:$A)-3),"")</f>
        <v>19.0658227848101</v>
      </c>
      <c r="AB121" s="144" t="n">
        <f aca="false">IFERROR('Price History'!G3+(INDEX('Price History'!G:G,MATCH(9.99E+307,'Price History'!$A:$A))-'Price History'!G3)*(ROW()-3)/(MATCH(9.99E+307,'Returns (Calc)'!$A:$A)-3),"")</f>
        <v>10.4708860759494</v>
      </c>
      <c r="AC121" s="144" t="n">
        <f aca="false">IFERROR('Price History'!H3+(INDEX('Price History'!H:H,MATCH(9.99E+307,'Price History'!$A:$A))-'Price History'!H3)*(ROW()-3)/(MATCH(9.99E+307,'Returns (Calc)'!$A:$A)-3),"")</f>
        <v>25.4658227848101</v>
      </c>
      <c r="AD121" s="144" t="n">
        <f aca="false">IFERROR('Price History'!I3+(INDEX('Price History'!I:I,MATCH(9.99E+307,'Price History'!$A:$A))-'Price History'!I3)*(ROW()-3)/(MATCH(9.99E+307,'Returns (Calc)'!$A:$A)-3),"")</f>
        <v>11.2278481012658</v>
      </c>
      <c r="AE121" s="144" t="n">
        <f aca="false">IFERROR('Price History'!J3+(INDEX('Price History'!J:J,MATCH(9.99E+307,'Price History'!$A:$A))-'Price History'!J3)*(ROW()-3)/(MATCH(9.99E+307,'Returns (Calc)'!$A:$A)-3),"")</f>
        <v>17.4962025316456</v>
      </c>
      <c r="AF121" s="144" t="n">
        <f aca="false">IFERROR('Price History'!K3+(INDEX('Price History'!K:K,MATCH(9.99E+307,'Price History'!$A:$A))-'Price History'!K3)*(ROW()-3)/(MATCH(9.99E+307,'Returns (Calc)'!$A:$A)-3),"")</f>
        <v>11.0810126582278</v>
      </c>
      <c r="AG121" s="144" t="n">
        <f aca="false">IFERROR('Price History'!L3+(INDEX('Price History'!L:L,MATCH(9.99E+307,'Price History'!$A:$A))-'Price History'!L3)*(ROW()-3)/(MATCH(9.99E+307,'Returns (Calc)'!$A:$A)-3),"")</f>
        <v>28.3139240506329</v>
      </c>
      <c r="AH121" s="144" t="n">
        <f aca="false">IFERROR('Price History'!M3+(INDEX('Price History'!M:M,MATCH(9.99E+307,'Price History'!$A:$A))-'Price History'!M3)*(ROW()-3)/(MATCH(9.99E+307,'Returns (Calc)'!$A:$A)-3),"")</f>
        <v>3.88101265822785</v>
      </c>
      <c r="AI121" s="144" t="n">
        <f aca="false">IFERROR('Price History'!N3+(INDEX('Price History'!N:N,MATCH(9.99E+307,'Price History'!$A:$A))-'Price History'!N3)*(ROW()-3)/(MATCH(9.99E+307,'Returns (Calc)'!$A:$A)-3),"")</f>
        <v>5.51898734177215</v>
      </c>
      <c r="AJ121" s="144" t="n">
        <f aca="false">IFERROR('Price History'!O3+(INDEX('Price History'!O:O,MATCH(9.99E+307,'Price History'!$A:$A))-'Price History'!O3)*(ROW()-3)/(MATCH(9.99E+307,'Returns (Calc)'!$A:$A)-3),"")</f>
        <v>14.5898734177215</v>
      </c>
      <c r="AK121" s="144" t="n">
        <f aca="false">IFERROR('Price History'!Q3+(INDEX('Price History'!Q:Q,MATCH(9.99E+307,'Price History'!$A:$A))-'Price History'!Q3)*(ROW()-3)/(MATCH(9.99E+307,'Returns (Calc)'!$A:$A)-3),"")</f>
        <v>59.653164556962</v>
      </c>
      <c r="AL121" s="144" t="n">
        <f aca="false">IFERROR('Price History'!R3+(INDEX('Price History'!R:R,MATCH(9.99E+307,'Price History'!$A:$A))-'Price History'!R3)*(ROW()-3)/(MATCH(9.99E+307,'Returns (Calc)'!$A:$A)-3),"")</f>
        <v>12.106329113924</v>
      </c>
      <c r="AM121" s="144" t="n">
        <f aca="false">IFERROR('Price History'!S3+(INDEX('Price History'!S:S,MATCH(9.99E+307,'Price History'!$A:$A))-'Price History'!S3)*(ROW()-3)/(MATCH(9.99E+307,'Returns (Calc)'!$A:$A)-3),"")</f>
        <v>14.820253164557</v>
      </c>
      <c r="AN121" s="144" t="n">
        <f aca="false">IFERROR('Price History'!T3+(INDEX('Price History'!T:T,MATCH(9.99E+307,'Price History'!$A:$A))-'Price History'!T3)*(ROW()-3)/(MATCH(9.99E+307,'Returns (Calc)'!$A:$A)-3),"")</f>
        <v>6.8126582278481</v>
      </c>
      <c r="AO121" s="145" t="n">
        <f aca="false">IFERROR('Price History'!V3+(INDEX('Price History'!V:V,MATCH(9.99E+307,'Price History'!$A:$A))-'Price History'!V3)*(ROW()-3)/(MATCH(9.99E+307,'Returns (Calc)'!$A:$A)-3),"")</f>
        <v>0</v>
      </c>
    </row>
    <row r="122" customFormat="false" ht="15" hidden="false" customHeight="true" outlineLevel="0" collapsed="false">
      <c r="A122" s="141" t="n">
        <f aca="false">IF('Price History'!A123="","",'Price History'!A123)</f>
        <v>46024</v>
      </c>
      <c r="B122" s="142" t="n">
        <f aca="false">IFERROR(IF(OR(NOT(ISNUMBER('Price History'!B123)),NOT(ISNUMBER('Price History'!B122)),'Price History'!B122=0),"",'Price History'!B123/'Price History'!B122-1),"")</f>
        <v>-0.0579423403052572</v>
      </c>
      <c r="C122" s="142" t="n">
        <f aca="false">IFERROR(IF(OR(NOT(ISNUMBER('Price History'!C123)),NOT(ISNUMBER('Price History'!C122)),'Price History'!C122=0),"",'Price History'!C123/'Price History'!C122-1),"")</f>
        <v>0.0133495145631066</v>
      </c>
      <c r="D122" s="142" t="n">
        <f aca="false">IFERROR(IF(OR(NOT(ISNUMBER('Price History'!D123)),NOT(ISNUMBER('Price History'!D122)),'Price History'!D122=0),"",'Price History'!D123/'Price History'!D122-1),"")</f>
        <v>0.0848616548959369</v>
      </c>
      <c r="E122" s="142" t="n">
        <f aca="false">IFERROR(IF(OR(NOT(ISNUMBER('Price History'!E123)),NOT(ISNUMBER('Price History'!E122)),'Price History'!E122=0),"",'Price History'!E123/'Price History'!E122-1),"")</f>
        <v>-0.0128212450028555</v>
      </c>
      <c r="F122" s="142" t="n">
        <f aca="false">IFERROR(IF(OR(NOT(ISNUMBER('Price History'!F123)),NOT(ISNUMBER('Price History'!F122)),'Price History'!F122=0),"",'Price History'!F123/'Price History'!F122-1),"")</f>
        <v>-0.00554960568591167</v>
      </c>
      <c r="G122" s="142" t="n">
        <f aca="false">IFERROR(IF(OR(NOT(ISNUMBER('Price History'!G123)),NOT(ISNUMBER('Price History'!G122)),'Price History'!G122=0),"",'Price History'!G123/'Price History'!G122-1),"")</f>
        <v>-0.0574397339983375</v>
      </c>
      <c r="H122" s="142" t="n">
        <f aca="false">IFERROR(IF(OR(NOT(ISNUMBER('Price History'!H123)),NOT(ISNUMBER('Price History'!H122)),'Price History'!H122=0),"",'Price History'!H123/'Price History'!H122-1),"")</f>
        <v>7.17978173463418E-005</v>
      </c>
      <c r="I122" s="142" t="n">
        <f aca="false">IFERROR(IF(OR(NOT(ISNUMBER('Price History'!I123)),NOT(ISNUMBER('Price History'!I122)),'Price History'!I122=0),"",'Price History'!I123/'Price History'!I122-1),"")</f>
        <v>-0.00400031375009802</v>
      </c>
      <c r="J122" s="142" t="n">
        <f aca="false">IFERROR(IF(OR(NOT(ISNUMBER('Price History'!J123)),NOT(ISNUMBER('Price History'!J122)),'Price History'!J122=0),"",'Price History'!J123/'Price History'!J122-1),"")</f>
        <v>0.108010263259639</v>
      </c>
      <c r="K122" s="142" t="n">
        <f aca="false">IFERROR(IF(OR(NOT(ISNUMBER('Price History'!K123)),NOT(ISNUMBER('Price History'!K122)),'Price History'!K122=0),"",'Price History'!K123/'Price History'!K122-1),"")</f>
        <v>-0.00883791888053032</v>
      </c>
      <c r="L122" s="142" t="n">
        <f aca="false">IFERROR(IF(OR(NOT(ISNUMBER('Price History'!L123)),NOT(ISNUMBER('Price History'!L122)),'Price History'!L122=0),"",'Price History'!L123/'Price History'!L122-1),"")</f>
        <v>0.0027035623409668</v>
      </c>
      <c r="M122" s="142" t="n">
        <f aca="false">IFERROR(IF(OR(NOT(ISNUMBER('Price History'!M123)),NOT(ISNUMBER('Price History'!M122)),'Price History'!M122=0),"",'Price History'!M123/'Price History'!M122-1),"")</f>
        <v>-0.110486990620529</v>
      </c>
      <c r="N122" s="142" t="n">
        <f aca="false">IFERROR(IF(OR(NOT(ISNUMBER('Price History'!N123)),NOT(ISNUMBER('Price History'!N122)),'Price History'!N122=0),"",'Price History'!N123/'Price History'!N122-1),"")</f>
        <v>0.00296515937731656</v>
      </c>
      <c r="O122" s="142" t="n">
        <f aca="false">IFERROR(IF(OR(NOT(ISNUMBER('Price History'!O123)),NOT(ISNUMBER('Price History'!O122)),'Price History'!O122=0),"",'Price History'!O123/'Price History'!O122-1),"")</f>
        <v>-0.01408917619758</v>
      </c>
      <c r="P122" s="142" t="n">
        <f aca="false">IFERROR(IF(OR(NOT(ISNUMBER('Price History'!P123)),NOT(ISNUMBER('Price History'!P122)),'Price History'!P122=0),"",'Price History'!P123/'Price History'!P122-1),"")</f>
        <v>0.0553780617678381</v>
      </c>
      <c r="Q122" s="142" t="n">
        <f aca="false">IFERROR(IF(OR(NOT(ISNUMBER('Price History'!Q123)),NOT(ISNUMBER('Price History'!Q122)),'Price History'!Q122=0),"",'Price History'!Q123/'Price History'!Q122-1),"")</f>
        <v>-0.0240024937655859</v>
      </c>
      <c r="R122" s="142" t="n">
        <f aca="false">IFERROR(IF(OR(NOT(ISNUMBER('Price History'!R123)),NOT(ISNUMBER('Price History'!R122)),'Price History'!R122=0),"",'Price History'!R123/'Price History'!R122-1),"")</f>
        <v>0.045697012802276</v>
      </c>
      <c r="S122" s="142" t="n">
        <f aca="false">IFERROR(IF(OR(NOT(ISNUMBER('Price History'!S123)),NOT(ISNUMBER('Price History'!S122)),'Price History'!S122=0),"",'Price History'!S123/'Price History'!S122-1),"")</f>
        <v>0.0509186351706037</v>
      </c>
      <c r="T122" s="142" t="n">
        <f aca="false">IFERROR(IF(OR(NOT(ISNUMBER('Price History'!T123)),NOT(ISNUMBER('Price History'!T122)),'Price History'!T122=0),"",'Price History'!T123/'Price History'!T122-1),"")</f>
        <v>0.0343725019984014</v>
      </c>
      <c r="U122" s="142" t="str">
        <f aca="false">IFERROR(IF(OR(NOT(ISNUMBER('Price History'!U123)),NOT(ISNUMBER('Price History'!U122)),'Price History'!U122=0),"",'Price History'!U123/'Price History'!U122-1),"")</f>
        <v/>
      </c>
      <c r="V122" s="143" t="n">
        <f aca="false">IFERROR(IF(OR(NOT(ISNUMBER('Price History'!V123)),NOT(ISNUMBER('Price History'!V122)),'Price History'!V122=0),"",'Price History'!V123/'Price History'!V122-1),"")</f>
        <v>0.0196920434329182</v>
      </c>
      <c r="W122" s="144" t="str">
        <f aca="false">IFERROR('Price History'!B3+(INDEX('Price History'!B:B,MATCH(9.99E+307,'Price History'!$A:$A))-'Price History'!B3)*(ROW()-3)/(MATCH(9.99E+307,'Returns (Calc)'!$A:$A)-3),"")</f>
        <v/>
      </c>
      <c r="X122" s="144" t="n">
        <f aca="false">IFERROR('Price History'!C3+(INDEX('Price History'!C:C,MATCH(9.99E+307,'Price History'!$A:$A))-'Price History'!C3)*(ROW()-3)/(MATCH(9.99E+307,'Returns (Calc)'!$A:$A)-3),"")</f>
        <v>11.3988607594937</v>
      </c>
      <c r="Y122" s="144" t="n">
        <f aca="false">IFERROR('Price History'!D3+(INDEX('Price History'!D:D,MATCH(9.99E+307,'Price History'!$A:$A))-'Price History'!D3)*(ROW()-3)/(MATCH(9.99E+307,'Returns (Calc)'!$A:$A)-3),"")</f>
        <v>143.660696202532</v>
      </c>
      <c r="Z122" s="144" t="n">
        <f aca="false">IFERROR('Price History'!E3+(INDEX('Price History'!E:E,MATCH(9.99E+307,'Price History'!$A:$A))-'Price History'!E3)*(ROW()-3)/(MATCH(9.99E+307,'Returns (Calc)'!$A:$A)-3),"")</f>
        <v>20.2405063291139</v>
      </c>
      <c r="AA122" s="144" t="n">
        <f aca="false">IFERROR('Price History'!F3+(INDEX('Price History'!F:F,MATCH(9.99E+307,'Price History'!$A:$A))-'Price History'!F3)*(ROW()-3)/(MATCH(9.99E+307,'Returns (Calc)'!$A:$A)-3),"")</f>
        <v>18.5891772151899</v>
      </c>
      <c r="AB122" s="144" t="n">
        <f aca="false">IFERROR('Price History'!G3+(INDEX('Price History'!G:G,MATCH(9.99E+307,'Price History'!$A:$A))-'Price History'!G3)*(ROW()-3)/(MATCH(9.99E+307,'Returns (Calc)'!$A:$A)-3),"")</f>
        <v>10.2091139240506</v>
      </c>
      <c r="AC122" s="144" t="n">
        <f aca="false">IFERROR('Price History'!H3+(INDEX('Price History'!H:H,MATCH(9.99E+307,'Price History'!$A:$A))-'Price History'!H3)*(ROW()-3)/(MATCH(9.99E+307,'Returns (Calc)'!$A:$A)-3),"")</f>
        <v>24.8291772151899</v>
      </c>
      <c r="AD122" s="144" t="n">
        <f aca="false">IFERROR('Price History'!I3+(INDEX('Price History'!I:I,MATCH(9.99E+307,'Price History'!$A:$A))-'Price History'!I3)*(ROW()-3)/(MATCH(9.99E+307,'Returns (Calc)'!$A:$A)-3),"")</f>
        <v>10.9471518987342</v>
      </c>
      <c r="AE122" s="144" t="n">
        <f aca="false">IFERROR('Price History'!J3+(INDEX('Price History'!J:J,MATCH(9.99E+307,'Price History'!$A:$A))-'Price History'!J3)*(ROW()-3)/(MATCH(9.99E+307,'Returns (Calc)'!$A:$A)-3),"")</f>
        <v>17.0587974683544</v>
      </c>
      <c r="AF122" s="144" t="n">
        <f aca="false">IFERROR('Price History'!K3+(INDEX('Price History'!K:K,MATCH(9.99E+307,'Price History'!$A:$A))-'Price History'!K3)*(ROW()-3)/(MATCH(9.99E+307,'Returns (Calc)'!$A:$A)-3),"")</f>
        <v>10.8039873417722</v>
      </c>
      <c r="AG122" s="144" t="n">
        <f aca="false">IFERROR('Price History'!L3+(INDEX('Price History'!L:L,MATCH(9.99E+307,'Price History'!$A:$A))-'Price History'!L3)*(ROW()-3)/(MATCH(9.99E+307,'Returns (Calc)'!$A:$A)-3),"")</f>
        <v>27.6060759493671</v>
      </c>
      <c r="AH122" s="144" t="n">
        <f aca="false">IFERROR('Price History'!M3+(INDEX('Price History'!M:M,MATCH(9.99E+307,'Price History'!$A:$A))-'Price History'!M3)*(ROW()-3)/(MATCH(9.99E+307,'Returns (Calc)'!$A:$A)-3),"")</f>
        <v>3.78398734177215</v>
      </c>
      <c r="AI122" s="144" t="n">
        <f aca="false">IFERROR('Price History'!N3+(INDEX('Price History'!N:N,MATCH(9.99E+307,'Price History'!$A:$A))-'Price History'!N3)*(ROW()-3)/(MATCH(9.99E+307,'Returns (Calc)'!$A:$A)-3),"")</f>
        <v>5.38101265822785</v>
      </c>
      <c r="AJ122" s="144" t="n">
        <f aca="false">IFERROR('Price History'!O3+(INDEX('Price History'!O:O,MATCH(9.99E+307,'Price History'!$A:$A))-'Price History'!O3)*(ROW()-3)/(MATCH(9.99E+307,'Returns (Calc)'!$A:$A)-3),"")</f>
        <v>14.2251265822785</v>
      </c>
      <c r="AK122" s="144" t="n">
        <f aca="false">IFERROR('Price History'!Q3+(INDEX('Price History'!Q:Q,MATCH(9.99E+307,'Price History'!$A:$A))-'Price History'!Q3)*(ROW()-3)/(MATCH(9.99E+307,'Returns (Calc)'!$A:$A)-3),"")</f>
        <v>58.161835443038</v>
      </c>
      <c r="AL122" s="144" t="n">
        <f aca="false">IFERROR('Price History'!R3+(INDEX('Price History'!R:R,MATCH(9.99E+307,'Price History'!$A:$A))-'Price History'!R3)*(ROW()-3)/(MATCH(9.99E+307,'Returns (Calc)'!$A:$A)-3),"")</f>
        <v>11.8036708860759</v>
      </c>
      <c r="AM122" s="144" t="n">
        <f aca="false">IFERROR('Price History'!S3+(INDEX('Price History'!S:S,MATCH(9.99E+307,'Price History'!$A:$A))-'Price History'!S3)*(ROW()-3)/(MATCH(9.99E+307,'Returns (Calc)'!$A:$A)-3),"")</f>
        <v>14.449746835443</v>
      </c>
      <c r="AN122" s="144" t="n">
        <f aca="false">IFERROR('Price History'!T3+(INDEX('Price History'!T:T,MATCH(9.99E+307,'Price History'!$A:$A))-'Price History'!T3)*(ROW()-3)/(MATCH(9.99E+307,'Returns (Calc)'!$A:$A)-3),"")</f>
        <v>6.6423417721519</v>
      </c>
      <c r="AO122" s="145" t="n">
        <f aca="false">IFERROR('Price History'!V3+(INDEX('Price History'!V:V,MATCH(9.99E+307,'Price History'!$A:$A))-'Price History'!V3)*(ROW()-3)/(MATCH(9.99E+307,'Returns (Calc)'!$A:$A)-3),"")</f>
        <v>0</v>
      </c>
    </row>
    <row r="123" customFormat="false" ht="15" hidden="false" customHeight="true" outlineLevel="0" collapsed="false">
      <c r="A123" s="141" t="n">
        <f aca="false">IF('Price History'!A124="","",'Price History'!A124)</f>
        <v>46031</v>
      </c>
      <c r="B123" s="142" t="n">
        <f aca="false">IFERROR(IF(OR(NOT(ISNUMBER('Price History'!B124)),NOT(ISNUMBER('Price History'!B123)),'Price History'!B123=0),"",'Price History'!B124/'Price History'!B123-1),"")</f>
        <v>0.00195019501950178</v>
      </c>
      <c r="C123" s="142" t="n">
        <f aca="false">IFERROR(IF(OR(NOT(ISNUMBER('Price History'!C124)),NOT(ISNUMBER('Price History'!C123)),'Price History'!C123=0),"",'Price History'!C124/'Price History'!C123-1),"")</f>
        <v>-0.0801646706586826</v>
      </c>
      <c r="D123" s="142" t="n">
        <f aca="false">IFERROR(IF(OR(NOT(ISNUMBER('Price History'!D124)),NOT(ISNUMBER('Price History'!D123)),'Price History'!D123=0),"",'Price History'!D124/'Price History'!D123-1),"")</f>
        <v>0.0946020617844623</v>
      </c>
      <c r="E123" s="142" t="n">
        <f aca="false">IFERROR(IF(OR(NOT(ISNUMBER('Price History'!E124)),NOT(ISNUMBER('Price History'!E123)),'Price History'!E123=0),"",'Price History'!E124/'Price History'!E123-1),"")</f>
        <v>-0.00760753232478084</v>
      </c>
      <c r="F123" s="142" t="n">
        <f aca="false">IFERROR(IF(OR(NOT(ISNUMBER('Price History'!F124)),NOT(ISNUMBER('Price History'!F123)),'Price History'!F123=0),"",'Price History'!F124/'Price History'!F123-1),"")</f>
        <v>0.0408263168200509</v>
      </c>
      <c r="G123" s="142" t="n">
        <f aca="false">IFERROR(IF(OR(NOT(ISNUMBER('Price History'!G124)),NOT(ISNUMBER('Price History'!G123)),'Price History'!G123=0),"",'Price History'!G124/'Price History'!G123-1),"")</f>
        <v>0.0375694505688333</v>
      </c>
      <c r="H123" s="142" t="n">
        <f aca="false">IFERROR(IF(OR(NOT(ISNUMBER('Price History'!H124)),NOT(ISNUMBER('Price History'!H123)),'Price History'!H123=0),"",'Price History'!H124/'Price History'!H123-1),"")</f>
        <v>0.02096345753464</v>
      </c>
      <c r="I123" s="142" t="n">
        <f aca="false">IFERROR(IF(OR(NOT(ISNUMBER('Price History'!I124)),NOT(ISNUMBER('Price History'!I123)),'Price History'!I123=0),"",'Price History'!I124/'Price History'!I123-1),"")</f>
        <v>0.0984406993227278</v>
      </c>
      <c r="J123" s="142" t="n">
        <f aca="false">IFERROR(IF(OR(NOT(ISNUMBER('Price History'!J124)),NOT(ISNUMBER('Price History'!J123)),'Price History'!J123=0),"",'Price History'!J124/'Price History'!J123-1),"")</f>
        <v>0.0940553229285623</v>
      </c>
      <c r="K123" s="142" t="n">
        <f aca="false">IFERROR(IF(OR(NOT(ISNUMBER('Price History'!K124)),NOT(ISNUMBER('Price History'!K123)),'Price History'!K123=0),"",'Price History'!K124/'Price History'!K123-1),"")</f>
        <v>-0.0211241441537073</v>
      </c>
      <c r="L123" s="142" t="n">
        <f aca="false">IFERROR(IF(OR(NOT(ISNUMBER('Price History'!L124)),NOT(ISNUMBER('Price History'!L123)),'Price History'!L123=0),"",'Price History'!L124/'Price History'!L123-1),"")</f>
        <v>0.00269627279936557</v>
      </c>
      <c r="M123" s="142" t="n">
        <f aca="false">IFERROR(IF(OR(NOT(ISNUMBER('Price History'!M124)),NOT(ISNUMBER('Price History'!M123)),'Price History'!M123=0),"",'Price History'!M124/'Price History'!M123-1),"")</f>
        <v>0.0573692362683189</v>
      </c>
      <c r="N123" s="142" t="n">
        <f aca="false">IFERROR(IF(OR(NOT(ISNUMBER('Price History'!N124)),NOT(ISNUMBER('Price History'!N123)),'Price History'!N123=0),"",'Price History'!N124/'Price History'!N123-1),"")</f>
        <v>0.0295639320029564</v>
      </c>
      <c r="O123" s="142" t="n">
        <f aca="false">IFERROR(IF(OR(NOT(ISNUMBER('Price History'!O124)),NOT(ISNUMBER('Price History'!O123)),'Price History'!O123=0),"",'Price History'!O124/'Price History'!O123-1),"")</f>
        <v>0.00294216543375936</v>
      </c>
      <c r="P123" s="142" t="n">
        <f aca="false">IFERROR(IF(OR(NOT(ISNUMBER('Price History'!P124)),NOT(ISNUMBER('Price History'!P123)),'Price History'!P123=0),"",'Price History'!P124/'Price History'!P123-1),"")</f>
        <v>0.0125819878910192</v>
      </c>
      <c r="Q123" s="142" t="n">
        <f aca="false">IFERROR(IF(OR(NOT(ISNUMBER('Price History'!Q124)),NOT(ISNUMBER('Price History'!Q123)),'Price History'!Q123=0),"",'Price History'!Q124/'Price History'!Q123-1),"")</f>
        <v>0.0094944978368805</v>
      </c>
      <c r="R123" s="142" t="n">
        <f aca="false">IFERROR(IF(OR(NOT(ISNUMBER('Price History'!R124)),NOT(ISNUMBER('Price History'!R123)),'Price History'!R123=0),"",'Price History'!R124/'Price History'!R123-1),"")</f>
        <v>0.000170039108994935</v>
      </c>
      <c r="S123" s="142" t="n">
        <f aca="false">IFERROR(IF(OR(NOT(ISNUMBER('Price History'!S124)),NOT(ISNUMBER('Price History'!S123)),'Price History'!S123=0),"",'Price History'!S124/'Price History'!S123-1),"")</f>
        <v>0.00607725607725596</v>
      </c>
      <c r="T123" s="142" t="n">
        <f aca="false">IFERROR(IF(OR(NOT(ISNUMBER('Price History'!T124)),NOT(ISNUMBER('Price History'!T123)),'Price History'!T123=0),"",'Price History'!T124/'Price History'!T123-1),"")</f>
        <v>0.0154559505409584</v>
      </c>
      <c r="U123" s="142" t="str">
        <f aca="false">IFERROR(IF(OR(NOT(ISNUMBER('Price History'!U124)),NOT(ISNUMBER('Price History'!U123)),'Price History'!U123=0),"",'Price History'!U124/'Price History'!U123-1),"")</f>
        <v/>
      </c>
      <c r="V123" s="143" t="n">
        <f aca="false">IFERROR(IF(OR(NOT(ISNUMBER('Price History'!V124)),NOT(ISNUMBER('Price History'!V123)),'Price History'!V123=0),"",'Price History'!V124/'Price History'!V123-1),"")</f>
        <v>-0.00956563590422332</v>
      </c>
      <c r="W123" s="144" t="str">
        <f aca="false">IFERROR('Price History'!B3+(INDEX('Price History'!B:B,MATCH(9.99E+307,'Price History'!$A:$A))-'Price History'!B3)*(ROW()-3)/(MATCH(9.99E+307,'Returns (Calc)'!$A:$A)-3),"")</f>
        <v/>
      </c>
      <c r="X123" s="144" t="n">
        <f aca="false">IFERROR('Price History'!C3+(INDEX('Price History'!C:C,MATCH(9.99E+307,'Price History'!$A:$A))-'Price History'!C3)*(ROW()-3)/(MATCH(9.99E+307,'Returns (Calc)'!$A:$A)-3),"")</f>
        <v>11.106582278481</v>
      </c>
      <c r="Y123" s="144" t="n">
        <f aca="false">IFERROR('Price History'!D3+(INDEX('Price History'!D:D,MATCH(9.99E+307,'Price History'!$A:$A))-'Price History'!D3)*(ROW()-3)/(MATCH(9.99E+307,'Returns (Calc)'!$A:$A)-3),"")</f>
        <v>139.977088607595</v>
      </c>
      <c r="Z123" s="144" t="n">
        <f aca="false">IFERROR('Price History'!E3+(INDEX('Price History'!E:E,MATCH(9.99E+307,'Price History'!$A:$A))-'Price History'!E3)*(ROW()-3)/(MATCH(9.99E+307,'Returns (Calc)'!$A:$A)-3),"")</f>
        <v>19.7215189873418</v>
      </c>
      <c r="AA123" s="144" t="n">
        <f aca="false">IFERROR('Price History'!F3+(INDEX('Price History'!F:F,MATCH(9.99E+307,'Price History'!$A:$A))-'Price History'!F3)*(ROW()-3)/(MATCH(9.99E+307,'Returns (Calc)'!$A:$A)-3),"")</f>
        <v>18.1125316455696</v>
      </c>
      <c r="AB123" s="144" t="n">
        <f aca="false">IFERROR('Price History'!G3+(INDEX('Price History'!G:G,MATCH(9.99E+307,'Price History'!$A:$A))-'Price History'!G3)*(ROW()-3)/(MATCH(9.99E+307,'Returns (Calc)'!$A:$A)-3),"")</f>
        <v>9.9473417721519</v>
      </c>
      <c r="AC123" s="144" t="n">
        <f aca="false">IFERROR('Price History'!H3+(INDEX('Price History'!H:H,MATCH(9.99E+307,'Price History'!$A:$A))-'Price History'!H3)*(ROW()-3)/(MATCH(9.99E+307,'Returns (Calc)'!$A:$A)-3),"")</f>
        <v>24.1925316455696</v>
      </c>
      <c r="AD123" s="144" t="n">
        <f aca="false">IFERROR('Price History'!I3+(INDEX('Price History'!I:I,MATCH(9.99E+307,'Price History'!$A:$A))-'Price History'!I3)*(ROW()-3)/(MATCH(9.99E+307,'Returns (Calc)'!$A:$A)-3),"")</f>
        <v>10.6664556962025</v>
      </c>
      <c r="AE123" s="144" t="n">
        <f aca="false">IFERROR('Price History'!J3+(INDEX('Price History'!J:J,MATCH(9.99E+307,'Price History'!$A:$A))-'Price History'!J3)*(ROW()-3)/(MATCH(9.99E+307,'Returns (Calc)'!$A:$A)-3),"")</f>
        <v>16.6213924050633</v>
      </c>
      <c r="AF123" s="144" t="n">
        <f aca="false">IFERROR('Price History'!K3+(INDEX('Price History'!K:K,MATCH(9.99E+307,'Price History'!$A:$A))-'Price History'!K3)*(ROW()-3)/(MATCH(9.99E+307,'Returns (Calc)'!$A:$A)-3),"")</f>
        <v>10.5269620253165</v>
      </c>
      <c r="AG123" s="144" t="n">
        <f aca="false">IFERROR('Price History'!L3+(INDEX('Price History'!L:L,MATCH(9.99E+307,'Price History'!$A:$A))-'Price History'!L3)*(ROW()-3)/(MATCH(9.99E+307,'Returns (Calc)'!$A:$A)-3),"")</f>
        <v>26.8982278481013</v>
      </c>
      <c r="AH123" s="144" t="n">
        <f aca="false">IFERROR('Price History'!M3+(INDEX('Price History'!M:M,MATCH(9.99E+307,'Price History'!$A:$A))-'Price History'!M3)*(ROW()-3)/(MATCH(9.99E+307,'Returns (Calc)'!$A:$A)-3),"")</f>
        <v>3.68696202531646</v>
      </c>
      <c r="AI123" s="144" t="n">
        <f aca="false">IFERROR('Price History'!N3+(INDEX('Price History'!N:N,MATCH(9.99E+307,'Price History'!$A:$A))-'Price History'!N3)*(ROW()-3)/(MATCH(9.99E+307,'Returns (Calc)'!$A:$A)-3),"")</f>
        <v>5.24303797468355</v>
      </c>
      <c r="AJ123" s="144" t="n">
        <f aca="false">IFERROR('Price History'!O3+(INDEX('Price History'!O:O,MATCH(9.99E+307,'Price History'!$A:$A))-'Price History'!O3)*(ROW()-3)/(MATCH(9.99E+307,'Returns (Calc)'!$A:$A)-3),"")</f>
        <v>13.8603797468354</v>
      </c>
      <c r="AK123" s="144" t="n">
        <f aca="false">IFERROR('Price History'!Q3+(INDEX('Price History'!Q:Q,MATCH(9.99E+307,'Price History'!$A:$A))-'Price History'!Q3)*(ROW()-3)/(MATCH(9.99E+307,'Returns (Calc)'!$A:$A)-3),"")</f>
        <v>56.6705063291139</v>
      </c>
      <c r="AL123" s="144" t="n">
        <f aca="false">IFERROR('Price History'!R3+(INDEX('Price History'!R:R,MATCH(9.99E+307,'Price History'!$A:$A))-'Price History'!R3)*(ROW()-3)/(MATCH(9.99E+307,'Returns (Calc)'!$A:$A)-3),"")</f>
        <v>11.5010126582279</v>
      </c>
      <c r="AM123" s="144" t="n">
        <f aca="false">IFERROR('Price History'!S3+(INDEX('Price History'!S:S,MATCH(9.99E+307,'Price History'!$A:$A))-'Price History'!S3)*(ROW()-3)/(MATCH(9.99E+307,'Returns (Calc)'!$A:$A)-3),"")</f>
        <v>14.0792405063291</v>
      </c>
      <c r="AN123" s="144" t="n">
        <f aca="false">IFERROR('Price History'!T3+(INDEX('Price History'!T:T,MATCH(9.99E+307,'Price History'!$A:$A))-'Price History'!T3)*(ROW()-3)/(MATCH(9.99E+307,'Returns (Calc)'!$A:$A)-3),"")</f>
        <v>6.4720253164557</v>
      </c>
      <c r="AO123" s="145" t="n">
        <f aca="false">IFERROR('Price History'!V3+(INDEX('Price History'!V:V,MATCH(9.99E+307,'Price History'!$A:$A))-'Price History'!V3)*(ROW()-3)/(MATCH(9.99E+307,'Returns (Calc)'!$A:$A)-3),"")</f>
        <v>0</v>
      </c>
    </row>
    <row r="124" customFormat="false" ht="15" hidden="false" customHeight="true" outlineLevel="0" collapsed="false">
      <c r="A124" s="141" t="n">
        <f aca="false">IF('Price History'!A125="","",'Price History'!A125)</f>
        <v>46038</v>
      </c>
      <c r="B124" s="142" t="n">
        <f aca="false">IFERROR(IF(OR(NOT(ISNUMBER('Price History'!B125)),NOT(ISNUMBER('Price History'!B124)),'Price History'!B124=0),"",'Price History'!B125/'Price History'!B124-1),"")</f>
        <v>-0.113280431202276</v>
      </c>
      <c r="C124" s="142" t="n">
        <f aca="false">IFERROR(IF(OR(NOT(ISNUMBER('Price History'!C125)),NOT(ISNUMBER('Price History'!C124)),'Price History'!C124=0),"",'Price History'!C125/'Price History'!C124-1),"")</f>
        <v>0.0564732687769551</v>
      </c>
      <c r="D124" s="142" t="n">
        <f aca="false">IFERROR(IF(OR(NOT(ISNUMBER('Price History'!D125)),NOT(ISNUMBER('Price History'!D124)),'Price History'!D124=0),"",'Price History'!D125/'Price History'!D124-1),"")</f>
        <v>0.0664778867162543</v>
      </c>
      <c r="E124" s="142" t="n">
        <f aca="false">IFERROR(IF(OR(NOT(ISNUMBER('Price History'!E125)),NOT(ISNUMBER('Price History'!E124)),'Price History'!E124=0),"",'Price History'!E125/'Price History'!E124-1),"")</f>
        <v>0.0195289728343244</v>
      </c>
      <c r="F124" s="142" t="n">
        <f aca="false">IFERROR(IF(OR(NOT(ISNUMBER('Price History'!F125)),NOT(ISNUMBER('Price History'!F124)),'Price History'!F124=0),"",'Price History'!F125/'Price History'!F124-1),"")</f>
        <v>0.0110055498071677</v>
      </c>
      <c r="G124" s="142" t="n">
        <f aca="false">IFERROR(IF(OR(NOT(ISNUMBER('Price History'!G125)),NOT(ISNUMBER('Price History'!G124)),'Price History'!G124=0),"",'Price History'!G125/'Price History'!G124-1),"")</f>
        <v>-0.0355291117722057</v>
      </c>
      <c r="H124" s="142" t="n">
        <f aca="false">IFERROR(IF(OR(NOT(ISNUMBER('Price History'!H125)),NOT(ISNUMBER('Price History'!H124)),'Price History'!H124=0),"",'Price History'!H125/'Price History'!H124-1),"")</f>
        <v>0.013008930454961</v>
      </c>
      <c r="I124" s="142" t="n">
        <f aca="false">IFERROR(IF(OR(NOT(ISNUMBER('Price History'!I125)),NOT(ISNUMBER('Price History'!I124)),'Price History'!I124=0),"",'Price History'!I125/'Price History'!I124-1),"")</f>
        <v>0.1198738170347</v>
      </c>
      <c r="J124" s="142" t="n">
        <f aca="false">IFERROR(IF(OR(NOT(ISNUMBER('Price History'!J125)),NOT(ISNUMBER('Price History'!J124)),'Price History'!J124=0),"",'Price History'!J125/'Price History'!J124-1),"")</f>
        <v>0.0511757371915684</v>
      </c>
      <c r="K124" s="142" t="n">
        <f aca="false">IFERROR(IF(OR(NOT(ISNUMBER('Price History'!K125)),NOT(ISNUMBER('Price History'!K124)),'Price History'!K124=0),"",'Price History'!K125/'Price History'!K124-1),"")</f>
        <v>0.00742829257712963</v>
      </c>
      <c r="L124" s="142" t="n">
        <f aca="false">IFERROR(IF(OR(NOT(ISNUMBER('Price History'!L125)),NOT(ISNUMBER('Price History'!L124)),'Price History'!L124=0),"",'Price History'!L125/'Price History'!L124-1),"")</f>
        <v>0.0294210692818728</v>
      </c>
      <c r="M124" s="142" t="n">
        <f aca="false">IFERROR(IF(OR(NOT(ISNUMBER('Price History'!M125)),NOT(ISNUMBER('Price History'!M124)),'Price History'!M124=0),"",'Price History'!M125/'Price History'!M124-1),"")</f>
        <v>-0.0367908051157811</v>
      </c>
      <c r="N124" s="142" t="n">
        <f aca="false">IFERROR(IF(OR(NOT(ISNUMBER('Price History'!N125)),NOT(ISNUMBER('Price History'!N124)),'Price History'!N124=0),"",'Price History'!N125/'Price History'!N124-1),"")</f>
        <v>0.0125628140703518</v>
      </c>
      <c r="O124" s="142" t="n">
        <f aca="false">IFERROR(IF(OR(NOT(ISNUMBER('Price History'!O125)),NOT(ISNUMBER('Price History'!O124)),'Price History'!O124=0),"",'Price History'!O125/'Price History'!O124-1),"")</f>
        <v>-0.000251445813427176</v>
      </c>
      <c r="P124" s="142" t="n">
        <f aca="false">IFERROR(IF(OR(NOT(ISNUMBER('Price History'!P125)),NOT(ISNUMBER('Price History'!P124)),'Price History'!P124=0),"",'Price History'!P125/'Price History'!P124-1),"")</f>
        <v>0.0579863598143939</v>
      </c>
      <c r="Q124" s="142" t="n">
        <f aca="false">IFERROR(IF(OR(NOT(ISNUMBER('Price History'!Q125)),NOT(ISNUMBER('Price History'!Q124)),'Price History'!Q124=0),"",'Price History'!Q125/'Price History'!Q124-1),"")</f>
        <v>-0.0613782788771284</v>
      </c>
      <c r="R124" s="142" t="n">
        <f aca="false">IFERROR(IF(OR(NOT(ISNUMBER('Price History'!R125)),NOT(ISNUMBER('Price History'!R124)),'Price History'!R124=0),"",'Price History'!R125/'Price History'!R124-1),"")</f>
        <v>-0.0108806528391704</v>
      </c>
      <c r="S124" s="142" t="n">
        <f aca="false">IFERROR(IF(OR(NOT(ISNUMBER('Price History'!S125)),NOT(ISNUMBER('Price History'!S124)),'Price History'!S124=0),"",'Price History'!S125/'Price History'!S124-1),"")</f>
        <v>-0.014480761274307</v>
      </c>
      <c r="T124" s="142" t="n">
        <f aca="false">IFERROR(IF(OR(NOT(ISNUMBER('Price History'!T125)),NOT(ISNUMBER('Price History'!T124)),'Price History'!T124=0),"",'Price History'!T125/'Price History'!T124-1),"")</f>
        <v>0.00710299340436338</v>
      </c>
      <c r="U124" s="142" t="str">
        <f aca="false">IFERROR(IF(OR(NOT(ISNUMBER('Price History'!U125)),NOT(ISNUMBER('Price History'!U124)),'Price History'!U124=0),"",'Price History'!U125/'Price History'!U124-1),"")</f>
        <v/>
      </c>
      <c r="V124" s="143" t="n">
        <f aca="false">IFERROR(IF(OR(NOT(ISNUMBER('Price History'!V125)),NOT(ISNUMBER('Price History'!V124)),'Price History'!V124=0),"",'Price History'!V125/'Price History'!V124-1),"")</f>
        <v>0.0500820020652373</v>
      </c>
      <c r="W124" s="144" t="str">
        <f aca="false">IFERROR('Price History'!B3+(INDEX('Price History'!B:B,MATCH(9.99E+307,'Price History'!$A:$A))-'Price History'!B3)*(ROW()-3)/(MATCH(9.99E+307,'Returns (Calc)'!$A:$A)-3),"")</f>
        <v/>
      </c>
      <c r="X124" s="144" t="n">
        <f aca="false">IFERROR('Price History'!C3+(INDEX('Price History'!C:C,MATCH(9.99E+307,'Price History'!$A:$A))-'Price History'!C3)*(ROW()-3)/(MATCH(9.99E+307,'Returns (Calc)'!$A:$A)-3),"")</f>
        <v>10.8143037974684</v>
      </c>
      <c r="Y124" s="144" t="n">
        <f aca="false">IFERROR('Price History'!D3+(INDEX('Price History'!D:D,MATCH(9.99E+307,'Price History'!$A:$A))-'Price History'!D3)*(ROW()-3)/(MATCH(9.99E+307,'Returns (Calc)'!$A:$A)-3),"")</f>
        <v>136.293481012658</v>
      </c>
      <c r="Z124" s="144" t="n">
        <f aca="false">IFERROR('Price History'!E3+(INDEX('Price History'!E:E,MATCH(9.99E+307,'Price History'!$A:$A))-'Price History'!E3)*(ROW()-3)/(MATCH(9.99E+307,'Returns (Calc)'!$A:$A)-3),"")</f>
        <v>19.2025316455696</v>
      </c>
      <c r="AA124" s="144" t="n">
        <f aca="false">IFERROR('Price History'!F3+(INDEX('Price History'!F:F,MATCH(9.99E+307,'Price History'!$A:$A))-'Price History'!F3)*(ROW()-3)/(MATCH(9.99E+307,'Returns (Calc)'!$A:$A)-3),"")</f>
        <v>17.6358860759494</v>
      </c>
      <c r="AB124" s="144" t="n">
        <f aca="false">IFERROR('Price History'!G3+(INDEX('Price History'!G:G,MATCH(9.99E+307,'Price History'!$A:$A))-'Price History'!G3)*(ROW()-3)/(MATCH(9.99E+307,'Returns (Calc)'!$A:$A)-3),"")</f>
        <v>9.68556962025317</v>
      </c>
      <c r="AC124" s="144" t="n">
        <f aca="false">IFERROR('Price History'!H3+(INDEX('Price History'!H:H,MATCH(9.99E+307,'Price History'!$A:$A))-'Price History'!H3)*(ROW()-3)/(MATCH(9.99E+307,'Returns (Calc)'!$A:$A)-3),"")</f>
        <v>23.5558860759494</v>
      </c>
      <c r="AD124" s="144" t="n">
        <f aca="false">IFERROR('Price History'!I3+(INDEX('Price History'!I:I,MATCH(9.99E+307,'Price History'!$A:$A))-'Price History'!I3)*(ROW()-3)/(MATCH(9.99E+307,'Returns (Calc)'!$A:$A)-3),"")</f>
        <v>10.3857594936709</v>
      </c>
      <c r="AE124" s="144" t="n">
        <f aca="false">IFERROR('Price History'!J3+(INDEX('Price History'!J:J,MATCH(9.99E+307,'Price History'!$A:$A))-'Price History'!J3)*(ROW()-3)/(MATCH(9.99E+307,'Returns (Calc)'!$A:$A)-3),"")</f>
        <v>16.1839873417722</v>
      </c>
      <c r="AF124" s="144" t="n">
        <f aca="false">IFERROR('Price History'!K3+(INDEX('Price History'!K:K,MATCH(9.99E+307,'Price History'!$A:$A))-'Price History'!K3)*(ROW()-3)/(MATCH(9.99E+307,'Returns (Calc)'!$A:$A)-3),"")</f>
        <v>10.2499367088608</v>
      </c>
      <c r="AG124" s="144" t="n">
        <f aca="false">IFERROR('Price History'!L3+(INDEX('Price History'!L:L,MATCH(9.99E+307,'Price History'!$A:$A))-'Price History'!L3)*(ROW()-3)/(MATCH(9.99E+307,'Returns (Calc)'!$A:$A)-3),"")</f>
        <v>26.1903797468354</v>
      </c>
      <c r="AH124" s="144" t="n">
        <f aca="false">IFERROR('Price History'!M3+(INDEX('Price History'!M:M,MATCH(9.99E+307,'Price History'!$A:$A))-'Price History'!M3)*(ROW()-3)/(MATCH(9.99E+307,'Returns (Calc)'!$A:$A)-3),"")</f>
        <v>3.58993670886076</v>
      </c>
      <c r="AI124" s="144" t="n">
        <f aca="false">IFERROR('Price History'!N3+(INDEX('Price History'!N:N,MATCH(9.99E+307,'Price History'!$A:$A))-'Price History'!N3)*(ROW()-3)/(MATCH(9.99E+307,'Returns (Calc)'!$A:$A)-3),"")</f>
        <v>5.10506329113924</v>
      </c>
      <c r="AJ124" s="144" t="n">
        <f aca="false">IFERROR('Price History'!O3+(INDEX('Price History'!O:O,MATCH(9.99E+307,'Price History'!$A:$A))-'Price History'!O3)*(ROW()-3)/(MATCH(9.99E+307,'Returns (Calc)'!$A:$A)-3),"")</f>
        <v>13.4956329113924</v>
      </c>
      <c r="AK124" s="144" t="n">
        <f aca="false">IFERROR('Price History'!Q3+(INDEX('Price History'!Q:Q,MATCH(9.99E+307,'Price History'!$A:$A))-'Price History'!Q3)*(ROW()-3)/(MATCH(9.99E+307,'Returns (Calc)'!$A:$A)-3),"")</f>
        <v>55.1791772151899</v>
      </c>
      <c r="AL124" s="144" t="n">
        <f aca="false">IFERROR('Price History'!R3+(INDEX('Price History'!R:R,MATCH(9.99E+307,'Price History'!$A:$A))-'Price History'!R3)*(ROW()-3)/(MATCH(9.99E+307,'Returns (Calc)'!$A:$A)-3),"")</f>
        <v>11.1983544303797</v>
      </c>
      <c r="AM124" s="144" t="n">
        <f aca="false">IFERROR('Price History'!S3+(INDEX('Price History'!S:S,MATCH(9.99E+307,'Price History'!$A:$A))-'Price History'!S3)*(ROW()-3)/(MATCH(9.99E+307,'Returns (Calc)'!$A:$A)-3),"")</f>
        <v>13.7087341772152</v>
      </c>
      <c r="AN124" s="144" t="n">
        <f aca="false">IFERROR('Price History'!T3+(INDEX('Price History'!T:T,MATCH(9.99E+307,'Price History'!$A:$A))-'Price History'!T3)*(ROW()-3)/(MATCH(9.99E+307,'Returns (Calc)'!$A:$A)-3),"")</f>
        <v>6.30170886075949</v>
      </c>
      <c r="AO124" s="145" t="n">
        <f aca="false">IFERROR('Price History'!V3+(INDEX('Price History'!V:V,MATCH(9.99E+307,'Price History'!$A:$A))-'Price History'!V3)*(ROW()-3)/(MATCH(9.99E+307,'Returns (Calc)'!$A:$A)-3),"")</f>
        <v>0</v>
      </c>
    </row>
    <row r="125" customFormat="false" ht="15" hidden="false" customHeight="true" outlineLevel="0" collapsed="false">
      <c r="A125" s="141" t="n">
        <f aca="false">IF('Price History'!A126="","",'Price History'!A126)</f>
        <v>46045</v>
      </c>
      <c r="B125" s="142" t="n">
        <f aca="false">IFERROR(IF(OR(NOT(ISNUMBER('Price History'!B126)),NOT(ISNUMBER('Price History'!B125)),'Price History'!B125=0),"",'Price History'!B126/'Price History'!B125-1),"")</f>
        <v>0.0167161961367013</v>
      </c>
      <c r="C125" s="142" t="n">
        <f aca="false">IFERROR(IF(OR(NOT(ISNUMBER('Price History'!C126)),NOT(ISNUMBER('Price History'!C125)),'Price History'!C125=0),"",'Price History'!C126/'Price History'!C125-1),"")</f>
        <v>0.0501424940306554</v>
      </c>
      <c r="D125" s="142" t="n">
        <f aca="false">IFERROR(IF(OR(NOT(ISNUMBER('Price History'!D126)),NOT(ISNUMBER('Price History'!D125)),'Price History'!D125=0),"",'Price History'!D126/'Price History'!D125-1),"")</f>
        <v>0.0224322705185385</v>
      </c>
      <c r="E125" s="142" t="n">
        <f aca="false">IFERROR(IF(OR(NOT(ISNUMBER('Price History'!E126)),NOT(ISNUMBER('Price History'!E125)),'Price History'!E125=0),"",'Price History'!E126/'Price History'!E125-1),"")</f>
        <v>-0.0899994282120189</v>
      </c>
      <c r="F125" s="142" t="n">
        <f aca="false">IFERROR(IF(OR(NOT(ISNUMBER('Price History'!F126)),NOT(ISNUMBER('Price History'!F125)),'Price History'!F125=0),"",'Price History'!F126/'Price History'!F125-1),"")</f>
        <v>-0.000186081131373417</v>
      </c>
      <c r="G125" s="142" t="n">
        <f aca="false">IFERROR(IF(OR(NOT(ISNUMBER('Price History'!G126)),NOT(ISNUMBER('Price History'!G125)),'Price History'!G125=0),"",'Price History'!G126/'Price History'!G125-1),"")</f>
        <v>-0.00308451573103019</v>
      </c>
      <c r="H125" s="142" t="n">
        <f aca="false">IFERROR(IF(OR(NOT(ISNUMBER('Price History'!H126)),NOT(ISNUMBER('Price History'!H125)),'Price History'!H125=0),"",'Price History'!H126/'Price History'!H125-1),"")</f>
        <v>0.0024989587671802</v>
      </c>
      <c r="I125" s="142" t="n">
        <f aca="false">IFERROR(IF(OR(NOT(ISNUMBER('Price History'!I126)),NOT(ISNUMBER('Price History'!I125)),'Price History'!I125=0),"",'Price History'!I126/'Price History'!I125-1),"")</f>
        <v>-0.0350832266325224</v>
      </c>
      <c r="J125" s="142" t="n">
        <f aca="false">IFERROR(IF(OR(NOT(ISNUMBER('Price History'!J126)),NOT(ISNUMBER('Price History'!J125)),'Price History'!J125=0),"",'Price History'!J126/'Price History'!J125-1),"")</f>
        <v>0.101726706018646</v>
      </c>
      <c r="K125" s="142" t="n">
        <f aca="false">IFERROR(IF(OR(NOT(ISNUMBER('Price History'!K126)),NOT(ISNUMBER('Price History'!K125)),'Price History'!K125=0),"",'Price History'!K126/'Price History'!K125-1),"")</f>
        <v>0.00769644779332612</v>
      </c>
      <c r="L125" s="142" t="n">
        <f aca="false">IFERROR(IF(OR(NOT(ISNUMBER('Price History'!L126)),NOT(ISNUMBER('Price History'!L125)),'Price History'!L125=0),"",'Price History'!L126/'Price History'!L125-1),"")</f>
        <v>-0.0454824830977258</v>
      </c>
      <c r="M125" s="142" t="n">
        <f aca="false">IFERROR(IF(OR(NOT(ISNUMBER('Price History'!M126)),NOT(ISNUMBER('Price History'!M125)),'Price History'!M125=0),"",'Price History'!M126/'Price History'!M125-1),"")</f>
        <v>-0.0079550772110436</v>
      </c>
      <c r="N125" s="142" t="n">
        <f aca="false">IFERROR(IF(OR(NOT(ISNUMBER('Price History'!N126)),NOT(ISNUMBER('Price History'!N125)),'Price History'!N125=0),"",'Price History'!N126/'Price History'!N125-1),"")</f>
        <v>0.00815313718539534</v>
      </c>
      <c r="O125" s="142" t="n">
        <f aca="false">IFERROR(IF(OR(NOT(ISNUMBER('Price History'!O126)),NOT(ISNUMBER('Price History'!O125)),'Price History'!O125=0),"",'Price History'!O126/'Price History'!O125-1),"")</f>
        <v>-0.017270288397049</v>
      </c>
      <c r="P125" s="142" t="n">
        <f aca="false">IFERROR(IF(OR(NOT(ISNUMBER('Price History'!P126)),NOT(ISNUMBER('Price History'!P125)),'Price History'!P125=0),"",'Price History'!P126/'Price History'!P125-1),"")</f>
        <v>-0.0219880493332941</v>
      </c>
      <c r="Q125" s="142" t="n">
        <f aca="false">IFERROR(IF(OR(NOT(ISNUMBER('Price History'!Q126)),NOT(ISNUMBER('Price History'!Q125)),'Price History'!Q125=0),"",'Price History'!Q126/'Price History'!Q125-1),"")</f>
        <v>-0.00646564932279203</v>
      </c>
      <c r="R125" s="142" t="n">
        <f aca="false">IFERROR(IF(OR(NOT(ISNUMBER('Price History'!R126)),NOT(ISNUMBER('Price History'!R125)),'Price History'!R125=0),"",'Price History'!R126/'Price History'!R125-1),"")</f>
        <v>0.00756273633551041</v>
      </c>
      <c r="S125" s="142" t="n">
        <f aca="false">IFERROR(IF(OR(NOT(ISNUMBER('Price History'!S126)),NOT(ISNUMBER('Price History'!S125)),'Price History'!S125=0),"",'Price History'!S126/'Price History'!S125-1),"")</f>
        <v>0.00361041141897567</v>
      </c>
      <c r="T125" s="142" t="n">
        <f aca="false">IFERROR(IF(OR(NOT(ISNUMBER('Price History'!T126)),NOT(ISNUMBER('Price History'!T125)),'Price History'!T125=0),"",'Price History'!T126/'Price History'!T125-1),"")</f>
        <v>-0.00428211586901772</v>
      </c>
      <c r="U125" s="142" t="str">
        <f aca="false">IFERROR(IF(OR(NOT(ISNUMBER('Price History'!U126)),NOT(ISNUMBER('Price History'!U125)),'Price History'!U125=0),"",'Price History'!U126/'Price History'!U125-1),"")</f>
        <v/>
      </c>
      <c r="V125" s="143" t="n">
        <f aca="false">IFERROR(IF(OR(NOT(ISNUMBER('Price History'!V126)),NOT(ISNUMBER('Price History'!V125)),'Price History'!V125=0),"",'Price History'!V126/'Price History'!V125-1),"")</f>
        <v>0.00410701373825018</v>
      </c>
      <c r="W125" s="144" t="str">
        <f aca="false">IFERROR('Price History'!B3+(INDEX('Price History'!B:B,MATCH(9.99E+307,'Price History'!$A:$A))-'Price History'!B3)*(ROW()-3)/(MATCH(9.99E+307,'Returns (Calc)'!$A:$A)-3),"")</f>
        <v/>
      </c>
      <c r="X125" s="144" t="n">
        <f aca="false">IFERROR('Price History'!C3+(INDEX('Price History'!C:C,MATCH(9.99E+307,'Price History'!$A:$A))-'Price History'!C3)*(ROW()-3)/(MATCH(9.99E+307,'Returns (Calc)'!$A:$A)-3),"")</f>
        <v>10.5220253164557</v>
      </c>
      <c r="Y125" s="144" t="n">
        <f aca="false">IFERROR('Price History'!D3+(INDEX('Price History'!D:D,MATCH(9.99E+307,'Price History'!$A:$A))-'Price History'!D3)*(ROW()-3)/(MATCH(9.99E+307,'Returns (Calc)'!$A:$A)-3),"")</f>
        <v>132.609873417722</v>
      </c>
      <c r="Z125" s="144" t="n">
        <f aca="false">IFERROR('Price History'!E3+(INDEX('Price History'!E:E,MATCH(9.99E+307,'Price History'!$A:$A))-'Price History'!E3)*(ROW()-3)/(MATCH(9.99E+307,'Returns (Calc)'!$A:$A)-3),"")</f>
        <v>18.6835443037975</v>
      </c>
      <c r="AA125" s="144" t="n">
        <f aca="false">IFERROR('Price History'!F3+(INDEX('Price History'!F:F,MATCH(9.99E+307,'Price History'!$A:$A))-'Price History'!F3)*(ROW()-3)/(MATCH(9.99E+307,'Returns (Calc)'!$A:$A)-3),"")</f>
        <v>17.1592405063291</v>
      </c>
      <c r="AB125" s="144" t="n">
        <f aca="false">IFERROR('Price History'!G3+(INDEX('Price History'!G:G,MATCH(9.99E+307,'Price History'!$A:$A))-'Price History'!G3)*(ROW()-3)/(MATCH(9.99E+307,'Returns (Calc)'!$A:$A)-3),"")</f>
        <v>9.42379746835443</v>
      </c>
      <c r="AC125" s="144" t="n">
        <f aca="false">IFERROR('Price History'!H3+(INDEX('Price History'!H:H,MATCH(9.99E+307,'Price History'!$A:$A))-'Price History'!H3)*(ROW()-3)/(MATCH(9.99E+307,'Returns (Calc)'!$A:$A)-3),"")</f>
        <v>22.9192405063291</v>
      </c>
      <c r="AD125" s="144" t="n">
        <f aca="false">IFERROR('Price History'!I3+(INDEX('Price History'!I:I,MATCH(9.99E+307,'Price History'!$A:$A))-'Price History'!I3)*(ROW()-3)/(MATCH(9.99E+307,'Returns (Calc)'!$A:$A)-3),"")</f>
        <v>10.1050632911392</v>
      </c>
      <c r="AE125" s="144" t="n">
        <f aca="false">IFERROR('Price History'!J3+(INDEX('Price History'!J:J,MATCH(9.99E+307,'Price History'!$A:$A))-'Price History'!J3)*(ROW()-3)/(MATCH(9.99E+307,'Returns (Calc)'!$A:$A)-3),"")</f>
        <v>15.746582278481</v>
      </c>
      <c r="AF125" s="144" t="n">
        <f aca="false">IFERROR('Price History'!K3+(INDEX('Price History'!K:K,MATCH(9.99E+307,'Price History'!$A:$A))-'Price History'!K3)*(ROW()-3)/(MATCH(9.99E+307,'Returns (Calc)'!$A:$A)-3),"")</f>
        <v>9.97291139240507</v>
      </c>
      <c r="AG125" s="144" t="n">
        <f aca="false">IFERROR('Price History'!L3+(INDEX('Price History'!L:L,MATCH(9.99E+307,'Price History'!$A:$A))-'Price History'!L3)*(ROW()-3)/(MATCH(9.99E+307,'Returns (Calc)'!$A:$A)-3),"")</f>
        <v>25.4825316455696</v>
      </c>
      <c r="AH125" s="144" t="n">
        <f aca="false">IFERROR('Price History'!M3+(INDEX('Price History'!M:M,MATCH(9.99E+307,'Price History'!$A:$A))-'Price History'!M3)*(ROW()-3)/(MATCH(9.99E+307,'Returns (Calc)'!$A:$A)-3),"")</f>
        <v>3.49291139240506</v>
      </c>
      <c r="AI125" s="144" t="n">
        <f aca="false">IFERROR('Price History'!N3+(INDEX('Price History'!N:N,MATCH(9.99E+307,'Price History'!$A:$A))-'Price History'!N3)*(ROW()-3)/(MATCH(9.99E+307,'Returns (Calc)'!$A:$A)-3),"")</f>
        <v>4.96708860759494</v>
      </c>
      <c r="AJ125" s="144" t="n">
        <f aca="false">IFERROR('Price History'!O3+(INDEX('Price History'!O:O,MATCH(9.99E+307,'Price History'!$A:$A))-'Price History'!O3)*(ROW()-3)/(MATCH(9.99E+307,'Returns (Calc)'!$A:$A)-3),"")</f>
        <v>13.1308860759494</v>
      </c>
      <c r="AK125" s="144" t="n">
        <f aca="false">IFERROR('Price History'!Q3+(INDEX('Price History'!Q:Q,MATCH(9.99E+307,'Price History'!$A:$A))-'Price History'!Q3)*(ROW()-3)/(MATCH(9.99E+307,'Returns (Calc)'!$A:$A)-3),"")</f>
        <v>53.6878481012658</v>
      </c>
      <c r="AL125" s="144" t="n">
        <f aca="false">IFERROR('Price History'!R3+(INDEX('Price History'!R:R,MATCH(9.99E+307,'Price History'!$A:$A))-'Price History'!R3)*(ROW()-3)/(MATCH(9.99E+307,'Returns (Calc)'!$A:$A)-3),"")</f>
        <v>10.8956962025316</v>
      </c>
      <c r="AM125" s="144" t="n">
        <f aca="false">IFERROR('Price History'!S3+(INDEX('Price History'!S:S,MATCH(9.99E+307,'Price History'!$A:$A))-'Price History'!S3)*(ROW()-3)/(MATCH(9.99E+307,'Returns (Calc)'!$A:$A)-3),"")</f>
        <v>13.3382278481013</v>
      </c>
      <c r="AN125" s="144" t="n">
        <f aca="false">IFERROR('Price History'!T3+(INDEX('Price History'!T:T,MATCH(9.99E+307,'Price History'!$A:$A))-'Price History'!T3)*(ROW()-3)/(MATCH(9.99E+307,'Returns (Calc)'!$A:$A)-3),"")</f>
        <v>6.13139240506329</v>
      </c>
      <c r="AO125" s="145" t="n">
        <f aca="false">IFERROR('Price History'!V3+(INDEX('Price History'!V:V,MATCH(9.99E+307,'Price History'!$A:$A))-'Price History'!V3)*(ROW()-3)/(MATCH(9.99E+307,'Returns (Calc)'!$A:$A)-3),"")</f>
        <v>0</v>
      </c>
    </row>
    <row r="126" customFormat="false" ht="15" hidden="false" customHeight="true" outlineLevel="0" collapsed="false">
      <c r="A126" s="141" t="n">
        <f aca="false">IF('Price History'!A127="","",'Price History'!A127)</f>
        <v>46052</v>
      </c>
      <c r="B126" s="142" t="n">
        <f aca="false">IFERROR(IF(OR(NOT(ISNUMBER('Price History'!B127)),NOT(ISNUMBER('Price History'!B126)),'Price History'!B126=0),"",'Price History'!B127/'Price History'!B126-1),"")</f>
        <v>-0.025974025974026</v>
      </c>
      <c r="C126" s="142" t="n">
        <f aca="false">IFERROR(IF(OR(NOT(ISNUMBER('Price History'!C127)),NOT(ISNUMBER('Price History'!C126)),'Price History'!C126=0),"",'Price History'!C127/'Price History'!C126-1),"")</f>
        <v>0.0396068651899664</v>
      </c>
      <c r="D126" s="142" t="n">
        <f aca="false">IFERROR(IF(OR(NOT(ISNUMBER('Price History'!D127)),NOT(ISNUMBER('Price History'!D126)),'Price History'!D126=0),"",'Price History'!D127/'Price History'!D126-1),"")</f>
        <v>0.0244502314814814</v>
      </c>
      <c r="E126" s="142" t="n">
        <f aca="false">IFERROR(IF(OR(NOT(ISNUMBER('Price History'!E127)),NOT(ISNUMBER('Price History'!E126)),'Price History'!E126=0),"",'Price History'!E127/'Price History'!E126-1),"")</f>
        <v>0.0351240967640591</v>
      </c>
      <c r="F126" s="142" t="n">
        <f aca="false">IFERROR(IF(OR(NOT(ISNUMBER('Price History'!F127)),NOT(ISNUMBER('Price History'!F126)),'Price History'!F126=0),"",'Price History'!F127/'Price History'!F126-1),"")</f>
        <v>0.00725851479620321</v>
      </c>
      <c r="G126" s="142" t="n">
        <f aca="false">IFERROR(IF(OR(NOT(ISNUMBER('Price History'!G127)),NOT(ISNUMBER('Price History'!G126)),'Price History'!G126=0),"",'Price History'!G127/'Price History'!G126-1),"")</f>
        <v>-0.0244872701555871</v>
      </c>
      <c r="H126" s="142" t="n">
        <f aca="false">IFERROR(IF(OR(NOT(ISNUMBER('Price History'!H127)),NOT(ISNUMBER('Price History'!H126)),'Price History'!H126=0),"",'Price History'!H127/'Price History'!H126-1),"")</f>
        <v>0.0173798642847252</v>
      </c>
      <c r="I126" s="142" t="n">
        <f aca="false">IFERROR(IF(OR(NOT(ISNUMBER('Price History'!I127)),NOT(ISNUMBER('Price History'!I126)),'Price History'!I126=0),"",'Price History'!I127/'Price History'!I126-1),"")</f>
        <v>-0.0560642250530785</v>
      </c>
      <c r="J126" s="142" t="n">
        <f aca="false">IFERROR(IF(OR(NOT(ISNUMBER('Price History'!J127)),NOT(ISNUMBER('Price History'!J126)),'Price History'!J126=0),"",'Price History'!J127/'Price History'!J126-1),"")</f>
        <v>0.0381052526162935</v>
      </c>
      <c r="K126" s="142" t="n">
        <f aca="false">IFERROR(IF(OR(NOT(ISNUMBER('Price History'!K127)),NOT(ISNUMBER('Price History'!K126)),'Price History'!K126=0),"",'Price History'!K127/'Price History'!K126-1),"")</f>
        <v>0.0184265342092613</v>
      </c>
      <c r="L126" s="142" t="n">
        <f aca="false">IFERROR(IF(OR(NOT(ISNUMBER('Price History'!L127)),NOT(ISNUMBER('Price History'!L126)),'Price History'!L126=0),"",'Price History'!L127/'Price History'!L126-1),"")</f>
        <v>0.0268029620090149</v>
      </c>
      <c r="M126" s="142" t="n">
        <f aca="false">IFERROR(IF(OR(NOT(ISNUMBER('Price History'!M127)),NOT(ISNUMBER('Price History'!M126)),'Price History'!M126=0),"",'Price History'!M127/'Price History'!M126-1),"")</f>
        <v>-0.135672169811321</v>
      </c>
      <c r="N126" s="142" t="n">
        <f aca="false">IFERROR(IF(OR(NOT(ISNUMBER('Price History'!N127)),NOT(ISNUMBER('Price History'!N126)),'Price History'!N126=0),"",'Price History'!N127/'Price History'!N126-1),"")</f>
        <v>0.0232067510548524</v>
      </c>
      <c r="O126" s="142" t="n">
        <f aca="false">IFERROR(IF(OR(NOT(ISNUMBER('Price History'!O127)),NOT(ISNUMBER('Price History'!O126)),'Price History'!O126=0),"",'Price History'!O127/'Price History'!O126-1),"")</f>
        <v>0.0164647671045897</v>
      </c>
      <c r="P126" s="142" t="n">
        <f aca="false">IFERROR(IF(OR(NOT(ISNUMBER('Price History'!P127)),NOT(ISNUMBER('Price History'!P126)),'Price History'!P126=0),"",'Price History'!P127/'Price History'!P126-1),"")</f>
        <v>-0.0128814783603202</v>
      </c>
      <c r="Q126" s="142" t="n">
        <f aca="false">IFERROR(IF(OR(NOT(ISNUMBER('Price History'!Q127)),NOT(ISNUMBER('Price History'!Q126)),'Price History'!Q126=0),"",'Price History'!Q127/'Price History'!Q126-1),"")</f>
        <v>-0.013323875026987</v>
      </c>
      <c r="R126" s="142" t="n">
        <f aca="false">IFERROR(IF(OR(NOT(ISNUMBER('Price History'!R127)),NOT(ISNUMBER('Price History'!R126)),'Price History'!R126=0),"",'Price History'!R127/'Price History'!R126-1),"")</f>
        <v>0.0122824974411464</v>
      </c>
      <c r="S126" s="142" t="n">
        <f aca="false">IFERROR(IF(OR(NOT(ISNUMBER('Price History'!S127)),NOT(ISNUMBER('Price History'!S126)),'Price History'!S126=0),"",'Price History'!S127/'Price History'!S126-1),"")</f>
        <v>0.0154772860369781</v>
      </c>
      <c r="T126" s="142" t="n">
        <f aca="false">IFERROR(IF(OR(NOT(ISNUMBER('Price History'!T127)),NOT(ISNUMBER('Price History'!T126)),'Price History'!T126=0),"",'Price History'!T127/'Price History'!T126-1),"")</f>
        <v>0.00657728307614458</v>
      </c>
      <c r="U126" s="142" t="str">
        <f aca="false">IFERROR(IF(OR(NOT(ISNUMBER('Price History'!U127)),NOT(ISNUMBER('Price History'!U126)),'Price History'!U126=0),"",'Price History'!U127/'Price History'!U126-1),"")</f>
        <v/>
      </c>
      <c r="V126" s="143" t="n">
        <f aca="false">IFERROR(IF(OR(NOT(ISNUMBER('Price History'!V127)),NOT(ISNUMBER('Price History'!V126)),'Price History'!V126=0),"",'Price History'!V127/'Price History'!V126-1),"")</f>
        <v>0.0164472736699599</v>
      </c>
      <c r="W126" s="144" t="str">
        <f aca="false">IFERROR('Price History'!B3+(INDEX('Price History'!B:B,MATCH(9.99E+307,'Price History'!$A:$A))-'Price History'!B3)*(ROW()-3)/(MATCH(9.99E+307,'Returns (Calc)'!$A:$A)-3),"")</f>
        <v/>
      </c>
      <c r="X126" s="144" t="n">
        <f aca="false">IFERROR('Price History'!C3+(INDEX('Price History'!C:C,MATCH(9.99E+307,'Price History'!$A:$A))-'Price History'!C3)*(ROW()-3)/(MATCH(9.99E+307,'Returns (Calc)'!$A:$A)-3),"")</f>
        <v>10.229746835443</v>
      </c>
      <c r="Y126" s="144" t="n">
        <f aca="false">IFERROR('Price History'!D3+(INDEX('Price History'!D:D,MATCH(9.99E+307,'Price History'!$A:$A))-'Price History'!D3)*(ROW()-3)/(MATCH(9.99E+307,'Returns (Calc)'!$A:$A)-3),"")</f>
        <v>128.926265822785</v>
      </c>
      <c r="Z126" s="144" t="n">
        <f aca="false">IFERROR('Price History'!E3+(INDEX('Price History'!E:E,MATCH(9.99E+307,'Price History'!$A:$A))-'Price History'!E3)*(ROW()-3)/(MATCH(9.99E+307,'Returns (Calc)'!$A:$A)-3),"")</f>
        <v>18.1645569620253</v>
      </c>
      <c r="AA126" s="144" t="n">
        <f aca="false">IFERROR('Price History'!F3+(INDEX('Price History'!F:F,MATCH(9.99E+307,'Price History'!$A:$A))-'Price History'!F3)*(ROW()-3)/(MATCH(9.99E+307,'Returns (Calc)'!$A:$A)-3),"")</f>
        <v>16.6825949367089</v>
      </c>
      <c r="AB126" s="144" t="n">
        <f aca="false">IFERROR('Price History'!G3+(INDEX('Price History'!G:G,MATCH(9.99E+307,'Price History'!$A:$A))-'Price History'!G3)*(ROW()-3)/(MATCH(9.99E+307,'Returns (Calc)'!$A:$A)-3),"")</f>
        <v>9.1620253164557</v>
      </c>
      <c r="AC126" s="144" t="n">
        <f aca="false">IFERROR('Price History'!H3+(INDEX('Price History'!H:H,MATCH(9.99E+307,'Price History'!$A:$A))-'Price History'!H3)*(ROW()-3)/(MATCH(9.99E+307,'Returns (Calc)'!$A:$A)-3),"")</f>
        <v>22.2825949367089</v>
      </c>
      <c r="AD126" s="144" t="n">
        <f aca="false">IFERROR('Price History'!I3+(INDEX('Price History'!I:I,MATCH(9.99E+307,'Price History'!$A:$A))-'Price History'!I3)*(ROW()-3)/(MATCH(9.99E+307,'Returns (Calc)'!$A:$A)-3),"")</f>
        <v>9.8243670886076</v>
      </c>
      <c r="AE126" s="144" t="n">
        <f aca="false">IFERROR('Price History'!J3+(INDEX('Price History'!J:J,MATCH(9.99E+307,'Price History'!$A:$A))-'Price History'!J3)*(ROW()-3)/(MATCH(9.99E+307,'Returns (Calc)'!$A:$A)-3),"")</f>
        <v>15.3091772151899</v>
      </c>
      <c r="AF126" s="144" t="n">
        <f aca="false">IFERROR('Price History'!K3+(INDEX('Price History'!K:K,MATCH(9.99E+307,'Price History'!$A:$A))-'Price History'!K3)*(ROW()-3)/(MATCH(9.99E+307,'Returns (Calc)'!$A:$A)-3),"")</f>
        <v>9.69588607594937</v>
      </c>
      <c r="AG126" s="144" t="n">
        <f aca="false">IFERROR('Price History'!L3+(INDEX('Price History'!L:L,MATCH(9.99E+307,'Price History'!$A:$A))-'Price History'!L3)*(ROW()-3)/(MATCH(9.99E+307,'Returns (Calc)'!$A:$A)-3),"")</f>
        <v>24.7746835443038</v>
      </c>
      <c r="AH126" s="144" t="n">
        <f aca="false">IFERROR('Price History'!M3+(INDEX('Price History'!M:M,MATCH(9.99E+307,'Price History'!$A:$A))-'Price History'!M3)*(ROW()-3)/(MATCH(9.99E+307,'Returns (Calc)'!$A:$A)-3),"")</f>
        <v>3.39588607594937</v>
      </c>
      <c r="AI126" s="144" t="n">
        <f aca="false">IFERROR('Price History'!N3+(INDEX('Price History'!N:N,MATCH(9.99E+307,'Price History'!$A:$A))-'Price History'!N3)*(ROW()-3)/(MATCH(9.99E+307,'Returns (Calc)'!$A:$A)-3),"")</f>
        <v>4.82911392405064</v>
      </c>
      <c r="AJ126" s="144" t="n">
        <f aca="false">IFERROR('Price History'!O3+(INDEX('Price History'!O:O,MATCH(9.99E+307,'Price History'!$A:$A))-'Price History'!O3)*(ROW()-3)/(MATCH(9.99E+307,'Returns (Calc)'!$A:$A)-3),"")</f>
        <v>12.7661392405063</v>
      </c>
      <c r="AK126" s="144" t="n">
        <f aca="false">IFERROR('Price History'!Q3+(INDEX('Price History'!Q:Q,MATCH(9.99E+307,'Price History'!$A:$A))-'Price History'!Q3)*(ROW()-3)/(MATCH(9.99E+307,'Returns (Calc)'!$A:$A)-3),"")</f>
        <v>52.1965189873418</v>
      </c>
      <c r="AL126" s="144" t="n">
        <f aca="false">IFERROR('Price History'!R3+(INDEX('Price History'!R:R,MATCH(9.99E+307,'Price History'!$A:$A))-'Price History'!R3)*(ROW()-3)/(MATCH(9.99E+307,'Returns (Calc)'!$A:$A)-3),"")</f>
        <v>10.5930379746835</v>
      </c>
      <c r="AM126" s="144" t="n">
        <f aca="false">IFERROR('Price History'!S3+(INDEX('Price History'!S:S,MATCH(9.99E+307,'Price History'!$A:$A))-'Price History'!S3)*(ROW()-3)/(MATCH(9.99E+307,'Returns (Calc)'!$A:$A)-3),"")</f>
        <v>12.9677215189873</v>
      </c>
      <c r="AN126" s="144" t="n">
        <f aca="false">IFERROR('Price History'!T3+(INDEX('Price History'!T:T,MATCH(9.99E+307,'Price History'!$A:$A))-'Price History'!T3)*(ROW()-3)/(MATCH(9.99E+307,'Returns (Calc)'!$A:$A)-3),"")</f>
        <v>5.96107594936709</v>
      </c>
      <c r="AO126" s="145" t="n">
        <f aca="false">IFERROR('Price History'!V3+(INDEX('Price History'!V:V,MATCH(9.99E+307,'Price History'!$A:$A))-'Price History'!V3)*(ROW()-3)/(MATCH(9.99E+307,'Returns (Calc)'!$A:$A)-3),"")</f>
        <v>0</v>
      </c>
    </row>
    <row r="127" customFormat="false" ht="15" hidden="false" customHeight="true" outlineLevel="0" collapsed="false">
      <c r="A127" s="141" t="n">
        <f aca="false">IF('Price History'!A128="","",'Price History'!A128)</f>
        <v>46059</v>
      </c>
      <c r="B127" s="142" t="n">
        <f aca="false">IFERROR(IF(OR(NOT(ISNUMBER('Price History'!B128)),NOT(ISNUMBER('Price History'!B127)),'Price History'!B127=0),"",'Price History'!B128/'Price History'!B127-1),"")</f>
        <v>-0.0848081841432226</v>
      </c>
      <c r="C127" s="142" t="n">
        <f aca="false">IFERROR(IF(OR(NOT(ISNUMBER('Price History'!C128)),NOT(ISNUMBER('Price History'!C127)),'Price History'!C127=0),"",'Price History'!C128/'Price History'!C127-1),"")</f>
        <v>-0.0299844786228305</v>
      </c>
      <c r="D127" s="142" t="n">
        <f aca="false">IFERROR(IF(OR(NOT(ISNUMBER('Price History'!D128)),NOT(ISNUMBER('Price History'!D127)),'Price History'!D127=0),"",'Price History'!D128/'Price History'!D127-1),"")</f>
        <v>-0.00702584380737192</v>
      </c>
      <c r="E127" s="142" t="n">
        <f aca="false">IFERROR(IF(OR(NOT(ISNUMBER('Price History'!E128)),NOT(ISNUMBER('Price History'!E127)),'Price History'!E127=0),"",'Price History'!E128/'Price History'!E127-1),"")</f>
        <v>0.00491683865485015</v>
      </c>
      <c r="F127" s="142" t="n">
        <f aca="false">IFERROR(IF(OR(NOT(ISNUMBER('Price History'!F128)),NOT(ISNUMBER('Price History'!F127)),'Price History'!F127=0),"",'Price History'!F128/'Price History'!F127-1),"")</f>
        <v>0.054138950480414</v>
      </c>
      <c r="G127" s="142" t="n">
        <f aca="false">IFERROR(IF(OR(NOT(ISNUMBER('Price History'!G128)),NOT(ISNUMBER('Price History'!G127)),'Price History'!G127=0),"",'Price History'!G128/'Price History'!G127-1),"")</f>
        <v>-0.103942002718623</v>
      </c>
      <c r="H127" s="142" t="n">
        <f aca="false">IFERROR(IF(OR(NOT(ISNUMBER('Price History'!H128)),NOT(ISNUMBER('Price History'!H127)),'Price History'!H127=0),"",'Price History'!H128/'Price History'!H127-1),"")</f>
        <v>0.0330769754304769</v>
      </c>
      <c r="I127" s="142" t="n">
        <f aca="false">IFERROR(IF(OR(NOT(ISNUMBER('Price History'!I128)),NOT(ISNUMBER('Price History'!I127)),'Price History'!I127=0),"",'Price History'!I128/'Price History'!I127-1),"")</f>
        <v>0.01047304421171</v>
      </c>
      <c r="J127" s="142" t="n">
        <f aca="false">IFERROR(IF(OR(NOT(ISNUMBER('Price History'!J128)),NOT(ISNUMBER('Price History'!J127)),'Price History'!J127=0),"",'Price History'!J128/'Price History'!J127-1),"")</f>
        <v>-0.0486687246768281</v>
      </c>
      <c r="K127" s="142" t="n">
        <f aca="false">IFERROR(IF(OR(NOT(ISNUMBER('Price History'!K128)),NOT(ISNUMBER('Price History'!K127)),'Price History'!K127=0),"",'Price History'!K128/'Price History'!K127-1),"")</f>
        <v>-0.0298930144745123</v>
      </c>
      <c r="L127" s="142" t="n">
        <f aca="false">IFERROR(IF(OR(NOT(ISNUMBER('Price History'!L128)),NOT(ISNUMBER('Price History'!L127)),'Price History'!L127=0),"",'Price History'!L128/'Price History'!L127-1),"")</f>
        <v>0.0489927098847691</v>
      </c>
      <c r="M127" s="142" t="n">
        <f aca="false">IFERROR(IF(OR(NOT(ISNUMBER('Price History'!M128)),NOT(ISNUMBER('Price History'!M127)),'Price History'!M127=0),"",'Price History'!M128/'Price History'!M127-1),"")</f>
        <v>-0.0729244832526093</v>
      </c>
      <c r="N127" s="142" t="n">
        <f aca="false">IFERROR(IF(OR(NOT(ISNUMBER('Price History'!N128)),NOT(ISNUMBER('Price History'!N127)),'Price History'!N127=0),"",'Price History'!N128/'Price History'!N127-1),"")</f>
        <v>0.0553264604810997</v>
      </c>
      <c r="O127" s="142" t="n">
        <f aca="false">IFERROR(IF(OR(NOT(ISNUMBER('Price History'!O128)),NOT(ISNUMBER('Price History'!O127)),'Price History'!O127=0),"",'Price History'!O128/'Price History'!O127-1),"")</f>
        <v>-0.000251783466219013</v>
      </c>
      <c r="P127" s="142" t="n">
        <f aca="false">IFERROR(IF(OR(NOT(ISNUMBER('Price History'!P128)),NOT(ISNUMBER('Price History'!P127)),'Price History'!P127=0),"",'Price History'!P128/'Price History'!P127-1),"")</f>
        <v>0.0553387401670833</v>
      </c>
      <c r="Q127" s="142" t="n">
        <f aca="false">IFERROR(IF(OR(NOT(ISNUMBER('Price History'!Q128)),NOT(ISNUMBER('Price History'!Q127)),'Price History'!Q127=0),"",'Price History'!Q128/'Price History'!Q127-1),"")</f>
        <v>0.0302897689975306</v>
      </c>
      <c r="R127" s="142" t="n">
        <f aca="false">IFERROR(IF(OR(NOT(ISNUMBER('Price History'!R128)),NOT(ISNUMBER('Price History'!R127)),'Price History'!R127=0),"",'Price History'!R128/'Price History'!R127-1),"")</f>
        <v>-0.0210650488709134</v>
      </c>
      <c r="S127" s="142" t="n">
        <f aca="false">IFERROR(IF(OR(NOT(ISNUMBER('Price History'!S128)),NOT(ISNUMBER('Price History'!S127)),'Price History'!S127=0),"",'Price History'!S128/'Price History'!S127-1),"")</f>
        <v>-0.014087988136431</v>
      </c>
      <c r="T127" s="142" t="n">
        <f aca="false">IFERROR(IF(OR(NOT(ISNUMBER('Price History'!T128)),NOT(ISNUMBER('Price History'!T127)),'Price History'!T127=0),"",'Price History'!T128/'Price History'!T127-1),"")</f>
        <v>-0.0092988187986931</v>
      </c>
      <c r="U127" s="142" t="str">
        <f aca="false">IFERROR(IF(OR(NOT(ISNUMBER('Price History'!U128)),NOT(ISNUMBER('Price History'!U127)),'Price History'!U127=0),"",'Price History'!U128/'Price History'!U127-1),"")</f>
        <v/>
      </c>
      <c r="V127" s="143" t="n">
        <f aca="false">IFERROR(IF(OR(NOT(ISNUMBER('Price History'!V128)),NOT(ISNUMBER('Price History'!V127)),'Price History'!V127=0),"",'Price History'!V128/'Price History'!V127-1),"")</f>
        <v>-0.0240024937655859</v>
      </c>
      <c r="W127" s="144" t="str">
        <f aca="false">IFERROR('Price History'!B3+(INDEX('Price History'!B:B,MATCH(9.99E+307,'Price History'!$A:$A))-'Price History'!B3)*(ROW()-3)/(MATCH(9.99E+307,'Returns (Calc)'!$A:$A)-3),"")</f>
        <v/>
      </c>
      <c r="X127" s="144" t="n">
        <f aca="false">IFERROR('Price History'!C3+(INDEX('Price History'!C:C,MATCH(9.99E+307,'Price History'!$A:$A))-'Price History'!C3)*(ROW()-3)/(MATCH(9.99E+307,'Returns (Calc)'!$A:$A)-3),"")</f>
        <v>9.93746835443038</v>
      </c>
      <c r="Y127" s="144" t="n">
        <f aca="false">IFERROR('Price History'!D3+(INDEX('Price History'!D:D,MATCH(9.99E+307,'Price History'!$A:$A))-'Price History'!D3)*(ROW()-3)/(MATCH(9.99E+307,'Returns (Calc)'!$A:$A)-3),"")</f>
        <v>125.242658227848</v>
      </c>
      <c r="Z127" s="144" t="n">
        <f aca="false">IFERROR('Price History'!E3+(INDEX('Price History'!E:E,MATCH(9.99E+307,'Price History'!$A:$A))-'Price History'!E3)*(ROW()-3)/(MATCH(9.99E+307,'Returns (Calc)'!$A:$A)-3),"")</f>
        <v>17.6455696202532</v>
      </c>
      <c r="AA127" s="144" t="n">
        <f aca="false">IFERROR('Price History'!F3+(INDEX('Price History'!F:F,MATCH(9.99E+307,'Price History'!$A:$A))-'Price History'!F3)*(ROW()-3)/(MATCH(9.99E+307,'Returns (Calc)'!$A:$A)-3),"")</f>
        <v>16.2059493670886</v>
      </c>
      <c r="AB127" s="144" t="n">
        <f aca="false">IFERROR('Price History'!G3+(INDEX('Price History'!G:G,MATCH(9.99E+307,'Price History'!$A:$A))-'Price History'!G3)*(ROW()-3)/(MATCH(9.99E+307,'Returns (Calc)'!$A:$A)-3),"")</f>
        <v>8.90025316455696</v>
      </c>
      <c r="AC127" s="144" t="n">
        <f aca="false">IFERROR('Price History'!H3+(INDEX('Price History'!H:H,MATCH(9.99E+307,'Price History'!$A:$A))-'Price History'!H3)*(ROW()-3)/(MATCH(9.99E+307,'Returns (Calc)'!$A:$A)-3),"")</f>
        <v>21.6459493670886</v>
      </c>
      <c r="AD127" s="144" t="n">
        <f aca="false">IFERROR('Price History'!I3+(INDEX('Price History'!I:I,MATCH(9.99E+307,'Price History'!$A:$A))-'Price History'!I3)*(ROW()-3)/(MATCH(9.99E+307,'Returns (Calc)'!$A:$A)-3),"")</f>
        <v>9.54367088607594</v>
      </c>
      <c r="AE127" s="144" t="n">
        <f aca="false">IFERROR('Price History'!J3+(INDEX('Price History'!J:J,MATCH(9.99E+307,'Price History'!$A:$A))-'Price History'!J3)*(ROW()-3)/(MATCH(9.99E+307,'Returns (Calc)'!$A:$A)-3),"")</f>
        <v>14.8717721518987</v>
      </c>
      <c r="AF127" s="144" t="n">
        <f aca="false">IFERROR('Price History'!K3+(INDEX('Price History'!K:K,MATCH(9.99E+307,'Price History'!$A:$A))-'Price History'!K3)*(ROW()-3)/(MATCH(9.99E+307,'Returns (Calc)'!$A:$A)-3),"")</f>
        <v>9.41886075949367</v>
      </c>
      <c r="AG127" s="144" t="n">
        <f aca="false">IFERROR('Price History'!L3+(INDEX('Price History'!L:L,MATCH(9.99E+307,'Price History'!$A:$A))-'Price History'!L3)*(ROW()-3)/(MATCH(9.99E+307,'Returns (Calc)'!$A:$A)-3),"")</f>
        <v>24.066835443038</v>
      </c>
      <c r="AH127" s="144" t="n">
        <f aca="false">IFERROR('Price History'!M3+(INDEX('Price History'!M:M,MATCH(9.99E+307,'Price History'!$A:$A))-'Price History'!M3)*(ROW()-3)/(MATCH(9.99E+307,'Returns (Calc)'!$A:$A)-3),"")</f>
        <v>3.29886075949367</v>
      </c>
      <c r="AI127" s="144" t="n">
        <f aca="false">IFERROR('Price History'!N3+(INDEX('Price History'!N:N,MATCH(9.99E+307,'Price History'!$A:$A))-'Price History'!N3)*(ROW()-3)/(MATCH(9.99E+307,'Returns (Calc)'!$A:$A)-3),"")</f>
        <v>4.69113924050633</v>
      </c>
      <c r="AJ127" s="144" t="n">
        <f aca="false">IFERROR('Price History'!O3+(INDEX('Price History'!O:O,MATCH(9.99E+307,'Price History'!$A:$A))-'Price History'!O3)*(ROW()-3)/(MATCH(9.99E+307,'Returns (Calc)'!$A:$A)-3),"")</f>
        <v>12.4013924050633</v>
      </c>
      <c r="AK127" s="144" t="n">
        <f aca="false">IFERROR('Price History'!Q3+(INDEX('Price History'!Q:Q,MATCH(9.99E+307,'Price History'!$A:$A))-'Price History'!Q3)*(ROW()-3)/(MATCH(9.99E+307,'Returns (Calc)'!$A:$A)-3),"")</f>
        <v>50.7051898734177</v>
      </c>
      <c r="AL127" s="144" t="n">
        <f aca="false">IFERROR('Price History'!R3+(INDEX('Price History'!R:R,MATCH(9.99E+307,'Price History'!$A:$A))-'Price History'!R3)*(ROW()-3)/(MATCH(9.99E+307,'Returns (Calc)'!$A:$A)-3),"")</f>
        <v>10.2903797468354</v>
      </c>
      <c r="AM127" s="144" t="n">
        <f aca="false">IFERROR('Price History'!S3+(INDEX('Price History'!S:S,MATCH(9.99E+307,'Price History'!$A:$A))-'Price History'!S3)*(ROW()-3)/(MATCH(9.99E+307,'Returns (Calc)'!$A:$A)-3),"")</f>
        <v>12.5972151898734</v>
      </c>
      <c r="AN127" s="144" t="n">
        <f aca="false">IFERROR('Price History'!T3+(INDEX('Price History'!T:T,MATCH(9.99E+307,'Price History'!$A:$A))-'Price History'!T3)*(ROW()-3)/(MATCH(9.99E+307,'Returns (Calc)'!$A:$A)-3),"")</f>
        <v>5.79075949367089</v>
      </c>
      <c r="AO127" s="145" t="n">
        <f aca="false">IFERROR('Price History'!V3+(INDEX('Price History'!V:V,MATCH(9.99E+307,'Price History'!$A:$A))-'Price History'!V3)*(ROW()-3)/(MATCH(9.99E+307,'Returns (Calc)'!$A:$A)-3),"")</f>
        <v>0</v>
      </c>
    </row>
    <row r="128" customFormat="false" ht="15" hidden="false" customHeight="true" outlineLevel="0" collapsed="false">
      <c r="A128" s="141" t="n">
        <f aca="false">IF('Price History'!A129="","",'Price History'!A129)</f>
        <v>46066</v>
      </c>
      <c r="B128" s="142" t="n">
        <f aca="false">IFERROR(IF(OR(NOT(ISNUMBER('Price History'!B129)),NOT(ISNUMBER('Price History'!B128)),'Price History'!B128=0),"",'Price History'!B129/'Price History'!B128-1),"")</f>
        <v>-0.016431924882629</v>
      </c>
      <c r="C128" s="142" t="n">
        <f aca="false">IFERROR(IF(OR(NOT(ISNUMBER('Price History'!C129)),NOT(ISNUMBER('Price History'!C128)),'Price History'!C128=0),"",'Price History'!C129/'Price History'!C128-1),"")</f>
        <v>0.0298203505709507</v>
      </c>
      <c r="D128" s="142" t="n">
        <f aca="false">IFERROR(IF(OR(NOT(ISNUMBER('Price History'!D129)),NOT(ISNUMBER('Price History'!D128)),'Price History'!D128=0),"",'Price History'!D129/'Price History'!D128-1),"")</f>
        <v>-0.00321422222222223</v>
      </c>
      <c r="E128" s="142" t="n">
        <f aca="false">IFERROR(IF(OR(NOT(ISNUMBER('Price History'!E129)),NOT(ISNUMBER('Price History'!E128)),'Price History'!E128=0),"",'Price History'!E129/'Price History'!E128-1),"")</f>
        <v>-0.0232860163092722</v>
      </c>
      <c r="F128" s="142" t="n">
        <f aca="false">IFERROR(IF(OR(NOT(ISNUMBER('Price History'!F129)),NOT(ISNUMBER('Price History'!F128)),'Price History'!F128=0),"",'Price History'!F129/'Price History'!F128-1),"")</f>
        <v>-0.002541630148992</v>
      </c>
      <c r="G128" s="142" t="n">
        <f aca="false">IFERROR(IF(OR(NOT(ISNUMBER('Price History'!G129)),NOT(ISNUMBER('Price History'!G128)),'Price History'!G128=0),"",'Price History'!G129/'Price History'!G128-1),"")</f>
        <v>0.0862661812297736</v>
      </c>
      <c r="H128" s="142" t="n">
        <f aca="false">IFERROR(IF(OR(NOT(ISNUMBER('Price History'!H129)),NOT(ISNUMBER('Price History'!H128)),'Price History'!H128=0),"",'Price History'!H129/'Price History'!H128-1),"")</f>
        <v>0.016074840239805</v>
      </c>
      <c r="I128" s="142" t="n">
        <f aca="false">IFERROR(IF(OR(NOT(ISNUMBER('Price History'!I129)),NOT(ISNUMBER('Price History'!I128)),'Price History'!I128=0),"",'Price History'!I129/'Price History'!I128-1),"")</f>
        <v>0.0146772398441848</v>
      </c>
      <c r="J128" s="142" t="n">
        <f aca="false">IFERROR(IF(OR(NOT(ISNUMBER('Price History'!J129)),NOT(ISNUMBER('Price History'!J128)),'Price History'!J128=0),"",'Price History'!J129/'Price History'!J128-1),"")</f>
        <v>0.0429954875019014</v>
      </c>
      <c r="K128" s="142" t="n">
        <f aca="false">IFERROR(IF(OR(NOT(ISNUMBER('Price History'!K129)),NOT(ISNUMBER('Price History'!K128)),'Price History'!K128=0),"",'Price History'!K129/'Price History'!K128-1),"")</f>
        <v>-0.0140555735755217</v>
      </c>
      <c r="L128" s="142" t="n">
        <f aca="false">IFERROR(IF(OR(NOT(ISNUMBER('Price History'!L129)),NOT(ISNUMBER('Price History'!L128)),'Price History'!L128=0),"",'Price History'!L129/'Price History'!L128-1),"")</f>
        <v>0.0147212673740846</v>
      </c>
      <c r="M128" s="142" t="n">
        <f aca="false">IFERROR(IF(OR(NOT(ISNUMBER('Price History'!M129)),NOT(ISNUMBER('Price History'!M128)),'Price History'!M128=0),"",'Price History'!M129/'Price History'!M128-1),"")</f>
        <v>-0.0330389992641649</v>
      </c>
      <c r="N128" s="142" t="n">
        <f aca="false">IFERROR(IF(OR(NOT(ISNUMBER('Price History'!N129)),NOT(ISNUMBER('Price History'!N128)),'Price History'!N128=0),"",'Price History'!N129/'Price History'!N128-1),"")</f>
        <v>0.00455877564311291</v>
      </c>
      <c r="O128" s="142" t="n">
        <f aca="false">IFERROR(IF(OR(NOT(ISNUMBER('Price History'!O129)),NOT(ISNUMBER('Price History'!O128)),'Price History'!O128=0),"",'Price History'!O129/'Price History'!O128-1),"")</f>
        <v>-0.0132639355271994</v>
      </c>
      <c r="P128" s="142" t="n">
        <f aca="false">IFERROR(IF(OR(NOT(ISNUMBER('Price History'!P129)),NOT(ISNUMBER('Price History'!P128)),'Price History'!P128=0),"",'Price History'!P129/'Price History'!P128-1),"")</f>
        <v>0.050183457082599</v>
      </c>
      <c r="Q128" s="142" t="n">
        <f aca="false">IFERROR(IF(OR(NOT(ISNUMBER('Price History'!Q129)),NOT(ISNUMBER('Price History'!Q128)),'Price History'!Q128=0),"",'Price History'!Q129/'Price History'!Q128-1),"")</f>
        <v>-0.0508191747572816</v>
      </c>
      <c r="R128" s="142" t="n">
        <f aca="false">IFERROR(IF(OR(NOT(ISNUMBER('Price History'!R129)),NOT(ISNUMBER('Price History'!R128)),'Price History'!R128=0),"",'Price History'!R129/'Price History'!R128-1),"")</f>
        <v>0.0184196935789291</v>
      </c>
      <c r="S128" s="142" t="n">
        <f aca="false">IFERROR(IF(OR(NOT(ISNUMBER('Price History'!S129)),NOT(ISNUMBER('Price History'!S128)),'Price History'!S128=0),"",'Price History'!S129/'Price History'!S128-1),"")</f>
        <v>0.00300827275006266</v>
      </c>
      <c r="T128" s="142" t="n">
        <f aca="false">IFERROR(IF(OR(NOT(ISNUMBER('Price History'!T129)),NOT(ISNUMBER('Price History'!T128)),'Price History'!T128=0),"",'Price History'!T129/'Price History'!T128-1),"")</f>
        <v>0.0256215119228818</v>
      </c>
      <c r="U128" s="142" t="str">
        <f aca="false">IFERROR(IF(OR(NOT(ISNUMBER('Price History'!U129)),NOT(ISNUMBER('Price History'!U128)),'Price History'!U128=0),"",'Price History'!U129/'Price History'!U128-1),"")</f>
        <v/>
      </c>
      <c r="V128" s="143" t="n">
        <f aca="false">IFERROR(IF(OR(NOT(ISNUMBER('Price History'!V129)),NOT(ISNUMBER('Price History'!V128)),'Price History'!V128=0),"",'Price History'!V129/'Price History'!V128-1),"")</f>
        <v>0.0094944978368805</v>
      </c>
      <c r="W128" s="144" t="str">
        <f aca="false">IFERROR('Price History'!B3+(INDEX('Price History'!B:B,MATCH(9.99E+307,'Price History'!$A:$A))-'Price History'!B3)*(ROW()-3)/(MATCH(9.99E+307,'Returns (Calc)'!$A:$A)-3),"")</f>
        <v/>
      </c>
      <c r="X128" s="144" t="n">
        <f aca="false">IFERROR('Price History'!C3+(INDEX('Price History'!C:C,MATCH(9.99E+307,'Price History'!$A:$A))-'Price History'!C3)*(ROW()-3)/(MATCH(9.99E+307,'Returns (Calc)'!$A:$A)-3),"")</f>
        <v>9.64518987341772</v>
      </c>
      <c r="Y128" s="144" t="n">
        <f aca="false">IFERROR('Price History'!D3+(INDEX('Price History'!D:D,MATCH(9.99E+307,'Price History'!$A:$A))-'Price History'!D3)*(ROW()-3)/(MATCH(9.99E+307,'Returns (Calc)'!$A:$A)-3),"")</f>
        <v>121.559050632911</v>
      </c>
      <c r="Z128" s="144" t="n">
        <f aca="false">IFERROR('Price History'!E3+(INDEX('Price History'!E:E,MATCH(9.99E+307,'Price History'!$A:$A))-'Price History'!E3)*(ROW()-3)/(MATCH(9.99E+307,'Returns (Calc)'!$A:$A)-3),"")</f>
        <v>17.126582278481</v>
      </c>
      <c r="AA128" s="144" t="n">
        <f aca="false">IFERROR('Price History'!F3+(INDEX('Price History'!F:F,MATCH(9.99E+307,'Price History'!$A:$A))-'Price History'!F3)*(ROW()-3)/(MATCH(9.99E+307,'Returns (Calc)'!$A:$A)-3),"")</f>
        <v>15.7293037974684</v>
      </c>
      <c r="AB128" s="144" t="n">
        <f aca="false">IFERROR('Price History'!G3+(INDEX('Price History'!G:G,MATCH(9.99E+307,'Price History'!$A:$A))-'Price History'!G3)*(ROW()-3)/(MATCH(9.99E+307,'Returns (Calc)'!$A:$A)-3),"")</f>
        <v>8.63848101265823</v>
      </c>
      <c r="AC128" s="144" t="n">
        <f aca="false">IFERROR('Price History'!H3+(INDEX('Price History'!H:H,MATCH(9.99E+307,'Price History'!$A:$A))-'Price History'!H3)*(ROW()-3)/(MATCH(9.99E+307,'Returns (Calc)'!$A:$A)-3),"")</f>
        <v>21.0093037974684</v>
      </c>
      <c r="AD128" s="144" t="n">
        <f aca="false">IFERROR('Price History'!I3+(INDEX('Price History'!I:I,MATCH(9.99E+307,'Price History'!$A:$A))-'Price History'!I3)*(ROW()-3)/(MATCH(9.99E+307,'Returns (Calc)'!$A:$A)-3),"")</f>
        <v>9.26297468354431</v>
      </c>
      <c r="AE128" s="144" t="n">
        <f aca="false">IFERROR('Price History'!J3+(INDEX('Price History'!J:J,MATCH(9.99E+307,'Price History'!$A:$A))-'Price History'!J3)*(ROW()-3)/(MATCH(9.99E+307,'Returns (Calc)'!$A:$A)-3),"")</f>
        <v>14.4343670886076</v>
      </c>
      <c r="AF128" s="144" t="n">
        <f aca="false">IFERROR('Price History'!K3+(INDEX('Price History'!K:K,MATCH(9.99E+307,'Price History'!$A:$A))-'Price History'!K3)*(ROW()-3)/(MATCH(9.99E+307,'Returns (Calc)'!$A:$A)-3),"")</f>
        <v>9.14183544303798</v>
      </c>
      <c r="AG128" s="144" t="n">
        <f aca="false">IFERROR('Price History'!L3+(INDEX('Price History'!L:L,MATCH(9.99E+307,'Price History'!$A:$A))-'Price History'!L3)*(ROW()-3)/(MATCH(9.99E+307,'Returns (Calc)'!$A:$A)-3),"")</f>
        <v>23.3589873417722</v>
      </c>
      <c r="AH128" s="144" t="n">
        <f aca="false">IFERROR('Price History'!M3+(INDEX('Price History'!M:M,MATCH(9.99E+307,'Price History'!$A:$A))-'Price History'!M3)*(ROW()-3)/(MATCH(9.99E+307,'Returns (Calc)'!$A:$A)-3),"")</f>
        <v>3.20183544303798</v>
      </c>
      <c r="AI128" s="144" t="n">
        <f aca="false">IFERROR('Price History'!N3+(INDEX('Price History'!N:N,MATCH(9.99E+307,'Price History'!$A:$A))-'Price History'!N3)*(ROW()-3)/(MATCH(9.99E+307,'Returns (Calc)'!$A:$A)-3),"")</f>
        <v>4.55316455696203</v>
      </c>
      <c r="AJ128" s="144" t="n">
        <f aca="false">IFERROR('Price History'!O3+(INDEX('Price History'!O:O,MATCH(9.99E+307,'Price History'!$A:$A))-'Price History'!O3)*(ROW()-3)/(MATCH(9.99E+307,'Returns (Calc)'!$A:$A)-3),"")</f>
        <v>12.0366455696203</v>
      </c>
      <c r="AK128" s="144" t="n">
        <f aca="false">IFERROR('Price History'!Q3+(INDEX('Price History'!Q:Q,MATCH(9.99E+307,'Price History'!$A:$A))-'Price History'!Q3)*(ROW()-3)/(MATCH(9.99E+307,'Returns (Calc)'!$A:$A)-3),"")</f>
        <v>49.2138607594937</v>
      </c>
      <c r="AL128" s="144" t="n">
        <f aca="false">IFERROR('Price History'!R3+(INDEX('Price History'!R:R,MATCH(9.99E+307,'Price History'!$A:$A))-'Price History'!R3)*(ROW()-3)/(MATCH(9.99E+307,'Returns (Calc)'!$A:$A)-3),"")</f>
        <v>9.98772151898734</v>
      </c>
      <c r="AM128" s="144" t="n">
        <f aca="false">IFERROR('Price History'!S3+(INDEX('Price History'!S:S,MATCH(9.99E+307,'Price History'!$A:$A))-'Price History'!S3)*(ROW()-3)/(MATCH(9.99E+307,'Returns (Calc)'!$A:$A)-3),"")</f>
        <v>12.2267088607595</v>
      </c>
      <c r="AN128" s="144" t="n">
        <f aca="false">IFERROR('Price History'!T3+(INDEX('Price History'!T:T,MATCH(9.99E+307,'Price History'!$A:$A))-'Price History'!T3)*(ROW()-3)/(MATCH(9.99E+307,'Returns (Calc)'!$A:$A)-3),"")</f>
        <v>5.62044303797469</v>
      </c>
      <c r="AO128" s="145" t="n">
        <f aca="false">IFERROR('Price History'!V3+(INDEX('Price History'!V:V,MATCH(9.99E+307,'Price History'!$A:$A))-'Price History'!V3)*(ROW()-3)/(MATCH(9.99E+307,'Returns (Calc)'!$A:$A)-3),"")</f>
        <v>0</v>
      </c>
    </row>
    <row r="129" customFormat="false" ht="15" hidden="false" customHeight="true" outlineLevel="0" collapsed="false">
      <c r="A129" s="141" t="n">
        <f aca="false">IF('Price History'!A130="","",'Price History'!A130)</f>
        <v>46073</v>
      </c>
      <c r="B129" s="142" t="n">
        <f aca="false">IFERROR(IF(OR(NOT(ISNUMBER('Price History'!B130)),NOT(ISNUMBER('Price History'!B129)),'Price History'!B129=0),"",'Price History'!B130/'Price History'!B129-1),"")</f>
        <v>-0.0203053377277721</v>
      </c>
      <c r="C129" s="142" t="n">
        <f aca="false">IFERROR(IF(OR(NOT(ISNUMBER('Price History'!C130)),NOT(ISNUMBER('Price History'!C129)),'Price History'!C129=0),"",'Price History'!C130/'Price History'!C129-1),"")</f>
        <v>-0.0621512818701887</v>
      </c>
      <c r="D129" s="142" t="n">
        <f aca="false">IFERROR(IF(OR(NOT(ISNUMBER('Price History'!D130)),NOT(ISNUMBER('Price History'!D129)),'Price History'!D129=0),"",'Price History'!D130/'Price History'!D129-1),"")</f>
        <v>0.0447732444907365</v>
      </c>
      <c r="E129" s="142" t="n">
        <f aca="false">IFERROR(IF(OR(NOT(ISNUMBER('Price History'!E130)),NOT(ISNUMBER('Price History'!E129)),'Price History'!E129=0),"",'Price History'!E130/'Price History'!E129-1),"")</f>
        <v>0.0230062772503787</v>
      </c>
      <c r="F129" s="142" t="n">
        <f aca="false">IFERROR(IF(OR(NOT(ISNUMBER('Price History'!F130)),NOT(ISNUMBER('Price History'!F129)),'Price History'!F129=0),"",'Price History'!F130/'Price History'!F129-1),"")</f>
        <v>0.00562340743344181</v>
      </c>
      <c r="G129" s="142" t="n">
        <f aca="false">IFERROR(IF(OR(NOT(ISNUMBER('Price History'!G130)),NOT(ISNUMBER('Price History'!G129)),'Price History'!G129=0),"",'Price History'!G130/'Price History'!G129-1),"")</f>
        <v>-0.0955218322316357</v>
      </c>
      <c r="H129" s="142" t="n">
        <f aca="false">IFERROR(IF(OR(NOT(ISNUMBER('Price History'!H130)),NOT(ISNUMBER('Price History'!H129)),'Price History'!H129=0),"",'Price History'!H130/'Price History'!H129-1),"")</f>
        <v>-0.00713220514815527</v>
      </c>
      <c r="I129" s="142" t="n">
        <f aca="false">IFERROR(IF(OR(NOT(ISNUMBER('Price History'!I130)),NOT(ISNUMBER('Price History'!I129)),'Price History'!I129=0),"",'Price History'!I130/'Price History'!I129-1),"")</f>
        <v>0.0231027627339413</v>
      </c>
      <c r="J129" s="142" t="n">
        <f aca="false">IFERROR(IF(OR(NOT(ISNUMBER('Price History'!J130)),NOT(ISNUMBER('Price History'!J129)),'Price History'!J129=0),"",'Price History'!J130/'Price History'!J129-1),"")</f>
        <v>0.0401050021875455</v>
      </c>
      <c r="K129" s="142" t="n">
        <f aca="false">IFERROR(IF(OR(NOT(ISNUMBER('Price History'!K130)),NOT(ISNUMBER('Price History'!K129)),'Price History'!K129=0),"",'Price History'!K130/'Price History'!K129-1),"")</f>
        <v>0.0383814014694595</v>
      </c>
      <c r="L129" s="142" t="n">
        <f aca="false">IFERROR(IF(OR(NOT(ISNUMBER('Price History'!L130)),NOT(ISNUMBER('Price History'!L129)),'Price History'!L129=0),"",'Price History'!L130/'Price History'!L129-1),"")</f>
        <v>0.0182634951027323</v>
      </c>
      <c r="M129" s="142" t="n">
        <f aca="false">IFERROR(IF(OR(NOT(ISNUMBER('Price History'!M130)),NOT(ISNUMBER('Price History'!M129)),'Price History'!M129=0),"",'Price History'!M130/'Price History'!M129-1),"")</f>
        <v>0.0291454227227761</v>
      </c>
      <c r="N129" s="142" t="n">
        <f aca="false">IFERROR(IF(OR(NOT(ISNUMBER('Price History'!N130)),NOT(ISNUMBER('Price History'!N129)),'Price History'!N129=0),"",'Price History'!N130/'Price History'!N129-1),"")</f>
        <v>0</v>
      </c>
      <c r="O129" s="142" t="n">
        <f aca="false">IFERROR(IF(OR(NOT(ISNUMBER('Price History'!O130)),NOT(ISNUMBER('Price History'!O129)),'Price History'!O129=0),"",'Price History'!O130/'Price History'!O129-1),"")</f>
        <v>0.0144631614769439</v>
      </c>
      <c r="P129" s="142" t="n">
        <f aca="false">IFERROR(IF(OR(NOT(ISNUMBER('Price History'!P130)),NOT(ISNUMBER('Price History'!P129)),'Price History'!P129=0),"",'Price History'!P130/'Price History'!P129-1),"")</f>
        <v>0.0114167812929848</v>
      </c>
      <c r="Q129" s="142" t="n">
        <f aca="false">IFERROR(IF(OR(NOT(ISNUMBER('Price History'!Q130)),NOT(ISNUMBER('Price History'!Q129)),'Price History'!Q129=0),"",'Price History'!Q130/'Price History'!Q129-1),"")</f>
        <v>0.0218635128655904</v>
      </c>
      <c r="R129" s="142" t="n">
        <f aca="false">IFERROR(IF(OR(NOT(ISNUMBER('Price History'!R130)),NOT(ISNUMBER('Price History'!R129)),'Price History'!R129=0),"",'Price History'!R130/'Price History'!R129-1),"")</f>
        <v>-0.00405679513184576</v>
      </c>
      <c r="S129" s="142" t="n">
        <f aca="false">IFERROR(IF(OR(NOT(ISNUMBER('Price History'!S130)),NOT(ISNUMBER('Price History'!S129)),'Price History'!S129=0),"",'Price History'!S130/'Price History'!S129-1),"")</f>
        <v>-0.000249937515621079</v>
      </c>
      <c r="T129" s="142" t="n">
        <f aca="false">IFERROR(IF(OR(NOT(ISNUMBER('Price History'!T130)),NOT(ISNUMBER('Price History'!T129)),'Price History'!T129=0),"",'Price History'!T130/'Price History'!T129-1),"")</f>
        <v>-0.0202819688350235</v>
      </c>
      <c r="U129" s="142" t="str">
        <f aca="false">IFERROR(IF(OR(NOT(ISNUMBER('Price History'!U130)),NOT(ISNUMBER('Price History'!U129)),'Price History'!U129=0),"",'Price History'!U130/'Price History'!U129-1),"")</f>
        <v/>
      </c>
      <c r="V129" s="143" t="n">
        <f aca="false">IFERROR(IF(OR(NOT(ISNUMBER('Price History'!V130)),NOT(ISNUMBER('Price History'!V129)),'Price History'!V129=0),"",'Price History'!V130/'Price History'!V129-1),"")</f>
        <v>-0.0613782788771284</v>
      </c>
      <c r="W129" s="144" t="str">
        <f aca="false">IFERROR('Price History'!B3+(INDEX('Price History'!B:B,MATCH(9.99E+307,'Price History'!$A:$A))-'Price History'!B3)*(ROW()-3)/(MATCH(9.99E+307,'Returns (Calc)'!$A:$A)-3),"")</f>
        <v/>
      </c>
      <c r="X129" s="144" t="n">
        <f aca="false">IFERROR('Price History'!C3+(INDEX('Price History'!C:C,MATCH(9.99E+307,'Price History'!$A:$A))-'Price History'!C3)*(ROW()-3)/(MATCH(9.99E+307,'Returns (Calc)'!$A:$A)-3),"")</f>
        <v>9.35291139240506</v>
      </c>
      <c r="Y129" s="144" t="n">
        <f aca="false">IFERROR('Price History'!D3+(INDEX('Price History'!D:D,MATCH(9.99E+307,'Price History'!$A:$A))-'Price History'!D3)*(ROW()-3)/(MATCH(9.99E+307,'Returns (Calc)'!$A:$A)-3),"")</f>
        <v>117.875443037975</v>
      </c>
      <c r="Z129" s="144" t="n">
        <f aca="false">IFERROR('Price History'!E3+(INDEX('Price History'!E:E,MATCH(9.99E+307,'Price History'!$A:$A))-'Price History'!E3)*(ROW()-3)/(MATCH(9.99E+307,'Returns (Calc)'!$A:$A)-3),"")</f>
        <v>16.6075949367089</v>
      </c>
      <c r="AA129" s="144" t="n">
        <f aca="false">IFERROR('Price History'!F3+(INDEX('Price History'!F:F,MATCH(9.99E+307,'Price History'!$A:$A))-'Price History'!F3)*(ROW()-3)/(MATCH(9.99E+307,'Returns (Calc)'!$A:$A)-3),"")</f>
        <v>15.2526582278481</v>
      </c>
      <c r="AB129" s="144" t="n">
        <f aca="false">IFERROR('Price History'!G3+(INDEX('Price History'!G:G,MATCH(9.99E+307,'Price History'!$A:$A))-'Price History'!G3)*(ROW()-3)/(MATCH(9.99E+307,'Returns (Calc)'!$A:$A)-3),"")</f>
        <v>8.37670886075949</v>
      </c>
      <c r="AC129" s="144" t="n">
        <f aca="false">IFERROR('Price History'!H3+(INDEX('Price History'!H:H,MATCH(9.99E+307,'Price History'!$A:$A))-'Price History'!H3)*(ROW()-3)/(MATCH(9.99E+307,'Returns (Calc)'!$A:$A)-3),"")</f>
        <v>20.3726582278481</v>
      </c>
      <c r="AD129" s="144" t="n">
        <f aca="false">IFERROR('Price History'!I3+(INDEX('Price History'!I:I,MATCH(9.99E+307,'Price History'!$A:$A))-'Price History'!I3)*(ROW()-3)/(MATCH(9.99E+307,'Returns (Calc)'!$A:$A)-3),"")</f>
        <v>8.98227848101266</v>
      </c>
      <c r="AE129" s="144" t="n">
        <f aca="false">IFERROR('Price History'!J3+(INDEX('Price History'!J:J,MATCH(9.99E+307,'Price History'!$A:$A))-'Price History'!J3)*(ROW()-3)/(MATCH(9.99E+307,'Returns (Calc)'!$A:$A)-3),"")</f>
        <v>13.9969620253165</v>
      </c>
      <c r="AF129" s="144" t="n">
        <f aca="false">IFERROR('Price History'!K3+(INDEX('Price History'!K:K,MATCH(9.99E+307,'Price History'!$A:$A))-'Price History'!K3)*(ROW()-3)/(MATCH(9.99E+307,'Returns (Calc)'!$A:$A)-3),"")</f>
        <v>8.86481012658228</v>
      </c>
      <c r="AG129" s="144" t="n">
        <f aca="false">IFERROR('Price History'!L3+(INDEX('Price History'!L:L,MATCH(9.99E+307,'Price History'!$A:$A))-'Price History'!L3)*(ROW()-3)/(MATCH(9.99E+307,'Returns (Calc)'!$A:$A)-3),"")</f>
        <v>22.6511392405063</v>
      </c>
      <c r="AH129" s="144" t="n">
        <f aca="false">IFERROR('Price History'!M3+(INDEX('Price History'!M:M,MATCH(9.99E+307,'Price History'!$A:$A))-'Price History'!M3)*(ROW()-3)/(MATCH(9.99E+307,'Returns (Calc)'!$A:$A)-3),"")</f>
        <v>3.10481012658228</v>
      </c>
      <c r="AI129" s="144" t="n">
        <f aca="false">IFERROR('Price History'!N3+(INDEX('Price History'!N:N,MATCH(9.99E+307,'Price History'!$A:$A))-'Price History'!N3)*(ROW()-3)/(MATCH(9.99E+307,'Returns (Calc)'!$A:$A)-3),"")</f>
        <v>4.41518987341772</v>
      </c>
      <c r="AJ129" s="144" t="n">
        <f aca="false">IFERROR('Price History'!O3+(INDEX('Price History'!O:O,MATCH(9.99E+307,'Price History'!$A:$A))-'Price History'!O3)*(ROW()-3)/(MATCH(9.99E+307,'Returns (Calc)'!$A:$A)-3),"")</f>
        <v>11.6718987341772</v>
      </c>
      <c r="AK129" s="144" t="n">
        <f aca="false">IFERROR('Price History'!Q3+(INDEX('Price History'!Q:Q,MATCH(9.99E+307,'Price History'!$A:$A))-'Price History'!Q3)*(ROW()-3)/(MATCH(9.99E+307,'Returns (Calc)'!$A:$A)-3),"")</f>
        <v>47.7225316455696</v>
      </c>
      <c r="AL129" s="144" t="n">
        <f aca="false">IFERROR('Price History'!R3+(INDEX('Price History'!R:R,MATCH(9.99E+307,'Price History'!$A:$A))-'Price History'!R3)*(ROW()-3)/(MATCH(9.99E+307,'Returns (Calc)'!$A:$A)-3),"")</f>
        <v>9.68506329113924</v>
      </c>
      <c r="AM129" s="144" t="n">
        <f aca="false">IFERROR('Price History'!S3+(INDEX('Price History'!S:S,MATCH(9.99E+307,'Price History'!$A:$A))-'Price History'!S3)*(ROW()-3)/(MATCH(9.99E+307,'Returns (Calc)'!$A:$A)-3),"")</f>
        <v>11.8562025316456</v>
      </c>
      <c r="AN129" s="144" t="n">
        <f aca="false">IFERROR('Price History'!T3+(INDEX('Price History'!T:T,MATCH(9.99E+307,'Price History'!$A:$A))-'Price History'!T3)*(ROW()-3)/(MATCH(9.99E+307,'Returns (Calc)'!$A:$A)-3),"")</f>
        <v>5.45012658227848</v>
      </c>
      <c r="AO129" s="145" t="n">
        <f aca="false">IFERROR('Price History'!V3+(INDEX('Price History'!V:V,MATCH(9.99E+307,'Price History'!$A:$A))-'Price History'!V3)*(ROW()-3)/(MATCH(9.99E+307,'Returns (Calc)'!$A:$A)-3),"")</f>
        <v>0</v>
      </c>
    </row>
    <row r="130" customFormat="false" ht="15" hidden="false" customHeight="true" outlineLevel="0" collapsed="false">
      <c r="A130" s="141" t="n">
        <f aca="false">IF('Price History'!A131="","",'Price History'!A131)</f>
        <v>46080</v>
      </c>
      <c r="B130" s="142" t="n">
        <f aca="false">IFERROR(IF(OR(NOT(ISNUMBER('Price History'!B131)),NOT(ISNUMBER('Price History'!B130)),'Price History'!B130=0),"",'Price History'!B131/'Price History'!B130-1),"")</f>
        <v>0.0146939406828817</v>
      </c>
      <c r="C130" s="142" t="n">
        <f aca="false">IFERROR(IF(OR(NOT(ISNUMBER('Price History'!C131)),NOT(ISNUMBER('Price History'!C130)),'Price History'!C130=0),"",'Price History'!C131/'Price History'!C130-1),"")</f>
        <v>0.00534678816175926</v>
      </c>
      <c r="D130" s="142" t="n">
        <f aca="false">IFERROR(IF(OR(NOT(ISNUMBER('Price History'!D131)),NOT(ISNUMBER('Price History'!D130)),'Price History'!D130=0),"",'Price History'!D131/'Price History'!D130-1),"")</f>
        <v>-0.0129464864901775</v>
      </c>
      <c r="E130" s="142" t="n">
        <f aca="false">IFERROR(IF(OR(NOT(ISNUMBER('Price History'!E131)),NOT(ISNUMBER('Price History'!E130)),'Price History'!E130=0),"",'Price History'!E131/'Price History'!E130-1),"")</f>
        <v>-0.0393857872623401</v>
      </c>
      <c r="F130" s="142" t="n">
        <f aca="false">IFERROR(IF(OR(NOT(ISNUMBER('Price History'!F131)),NOT(ISNUMBER('Price History'!F130)),'Price History'!F130=0),"",'Price History'!F131/'Price History'!F130-1),"")</f>
        <v>-0.0221930974224552</v>
      </c>
      <c r="G130" s="142" t="n">
        <f aca="false">IFERROR(IF(OR(NOT(ISNUMBER('Price History'!G131)),NOT(ISNUMBER('Price History'!G130)),'Price History'!G130=0),"",'Price History'!G131/'Price History'!G130-1),"")</f>
        <v>-0.042717447246526</v>
      </c>
      <c r="H130" s="142" t="n">
        <f aca="false">IFERROR(IF(OR(NOT(ISNUMBER('Price History'!H131)),NOT(ISNUMBER('Price History'!H130)),'Price History'!H130=0),"",'Price History'!H131/'Price History'!H130-1),"")</f>
        <v>-0.0033305034937634</v>
      </c>
      <c r="I130" s="142" t="n">
        <f aca="false">IFERROR(IF(OR(NOT(ISNUMBER('Price History'!I131)),NOT(ISNUMBER('Price History'!I130)),'Price History'!I130=0),"",'Price History'!I131/'Price History'!I130-1),"")</f>
        <v>0.0190967569016349</v>
      </c>
      <c r="J130" s="142" t="n">
        <f aca="false">IFERROR(IF(OR(NOT(ISNUMBER('Price History'!J131)),NOT(ISNUMBER('Price History'!J130)),'Price History'!J130=0),"",'Price History'!J131/'Price History'!J130-1),"")</f>
        <v>-0.036899420452421</v>
      </c>
      <c r="K130" s="142" t="n">
        <f aca="false">IFERROR(IF(OR(NOT(ISNUMBER('Price History'!K131)),NOT(ISNUMBER('Price History'!K130)),'Price History'!K130=0),"",'Price History'!K131/'Price History'!K130-1),"")</f>
        <v>-0.066532896821206</v>
      </c>
      <c r="L130" s="142" t="n">
        <f aca="false">IFERROR(IF(OR(NOT(ISNUMBER('Price History'!L131)),NOT(ISNUMBER('Price History'!L130)),'Price History'!L130=0),"",'Price History'!L131/'Price History'!L130-1),"")</f>
        <v>0.00752151587473771</v>
      </c>
      <c r="M130" s="142" t="n">
        <f aca="false">IFERROR(IF(OR(NOT(ISNUMBER('Price History'!M131)),NOT(ISNUMBER('Price History'!M130)),'Price History'!M130=0),"",'Price History'!M131/'Price History'!M130-1),"")</f>
        <v>0.014418811002662</v>
      </c>
      <c r="N130" s="142" t="n">
        <f aca="false">IFERROR(IF(OR(NOT(ISNUMBER('Price History'!N131)),NOT(ISNUMBER('Price History'!N130)),'Price History'!N130=0),"",'Price History'!N131/'Price History'!N130-1),"")</f>
        <v>0.00518638573743924</v>
      </c>
      <c r="O130" s="142" t="n">
        <f aca="false">IFERROR(IF(OR(NOT(ISNUMBER('Price History'!O131)),NOT(ISNUMBER('Price History'!O130)),'Price History'!O130=0),"",'Price History'!O131/'Price History'!O130-1),"")</f>
        <v>-0.00402549480040249</v>
      </c>
      <c r="P130" s="142" t="n">
        <f aca="false">IFERROR(IF(OR(NOT(ISNUMBER('Price History'!P131)),NOT(ISNUMBER('Price History'!P130)),'Price History'!P130=0),"",'Price History'!P131/'Price History'!P130-1),"")</f>
        <v>0.0109071127430982</v>
      </c>
      <c r="Q130" s="142" t="n">
        <f aca="false">IFERROR(IF(OR(NOT(ISNUMBER('Price History'!Q131)),NOT(ISNUMBER('Price History'!Q130)),'Price History'!Q130=0),"",'Price History'!Q131/'Price History'!Q130-1),"")</f>
        <v>-0.00250242422346647</v>
      </c>
      <c r="R130" s="142" t="n">
        <f aca="false">IFERROR(IF(OR(NOT(ISNUMBER('Price History'!R131)),NOT(ISNUMBER('Price History'!R130)),'Price History'!R130=0),"",'Price History'!R131/'Price History'!R130-1),"")</f>
        <v>0.00509164969450104</v>
      </c>
      <c r="S130" s="142" t="n">
        <f aca="false">IFERROR(IF(OR(NOT(ISNUMBER('Price History'!S131)),NOT(ISNUMBER('Price History'!S130)),'Price History'!S130=0),"",'Price History'!S131/'Price History'!S130-1),"")</f>
        <v>-0.0173333333333333</v>
      </c>
      <c r="T130" s="142" t="n">
        <f aca="false">IFERROR(IF(OR(NOT(ISNUMBER('Price History'!T131)),NOT(ISNUMBER('Price History'!T130)),'Price History'!T130=0),"",'Price History'!T131/'Price History'!T130-1),"")</f>
        <v>0.0063115374905327</v>
      </c>
      <c r="U130" s="142" t="str">
        <f aca="false">IFERROR(IF(OR(NOT(ISNUMBER('Price History'!U131)),NOT(ISNUMBER('Price History'!U130)),'Price History'!U130=0),"",'Price History'!U131/'Price History'!U130-1),"")</f>
        <v/>
      </c>
      <c r="V130" s="143" t="n">
        <f aca="false">IFERROR(IF(OR(NOT(ISNUMBER('Price History'!V131)),NOT(ISNUMBER('Price History'!V130)),'Price History'!V130=0),"",'Price History'!V131/'Price History'!V130-1),"")</f>
        <v>-0.00646564932279203</v>
      </c>
      <c r="W130" s="144" t="str">
        <f aca="false">IFERROR('Price History'!B3+(INDEX('Price History'!B:B,MATCH(9.99E+307,'Price History'!$A:$A))-'Price History'!B3)*(ROW()-3)/(MATCH(9.99E+307,'Returns (Calc)'!$A:$A)-3),"")</f>
        <v/>
      </c>
      <c r="X130" s="144" t="n">
        <f aca="false">IFERROR('Price History'!C3+(INDEX('Price History'!C:C,MATCH(9.99E+307,'Price History'!$A:$A))-'Price History'!C3)*(ROW()-3)/(MATCH(9.99E+307,'Returns (Calc)'!$A:$A)-3),"")</f>
        <v>9.0606329113924</v>
      </c>
      <c r="Y130" s="144" t="n">
        <f aca="false">IFERROR('Price History'!D3+(INDEX('Price History'!D:D,MATCH(9.99E+307,'Price History'!$A:$A))-'Price History'!D3)*(ROW()-3)/(MATCH(9.99E+307,'Returns (Calc)'!$A:$A)-3),"")</f>
        <v>114.191835443038</v>
      </c>
      <c r="Z130" s="144" t="n">
        <f aca="false">IFERROR('Price History'!E3+(INDEX('Price History'!E:E,MATCH(9.99E+307,'Price History'!$A:$A))-'Price History'!E3)*(ROW()-3)/(MATCH(9.99E+307,'Returns (Calc)'!$A:$A)-3),"")</f>
        <v>16.0886075949367</v>
      </c>
      <c r="AA130" s="144" t="n">
        <f aca="false">IFERROR('Price History'!F3+(INDEX('Price History'!F:F,MATCH(9.99E+307,'Price History'!$A:$A))-'Price History'!F3)*(ROW()-3)/(MATCH(9.99E+307,'Returns (Calc)'!$A:$A)-3),"")</f>
        <v>14.7760126582278</v>
      </c>
      <c r="AB130" s="144" t="n">
        <f aca="false">IFERROR('Price History'!G3+(INDEX('Price History'!G:G,MATCH(9.99E+307,'Price History'!$A:$A))-'Price History'!G3)*(ROW()-3)/(MATCH(9.99E+307,'Returns (Calc)'!$A:$A)-3),"")</f>
        <v>8.11493670886076</v>
      </c>
      <c r="AC130" s="144" t="n">
        <f aca="false">IFERROR('Price History'!H3+(INDEX('Price History'!H:H,MATCH(9.99E+307,'Price History'!$A:$A))-'Price History'!H3)*(ROW()-3)/(MATCH(9.99E+307,'Returns (Calc)'!$A:$A)-3),"")</f>
        <v>19.7360126582279</v>
      </c>
      <c r="AD130" s="144" t="n">
        <f aca="false">IFERROR('Price History'!I3+(INDEX('Price History'!I:I,MATCH(9.99E+307,'Price History'!$A:$A))-'Price History'!I3)*(ROW()-3)/(MATCH(9.99E+307,'Returns (Calc)'!$A:$A)-3),"")</f>
        <v>8.70158227848101</v>
      </c>
      <c r="AE130" s="144" t="n">
        <f aca="false">IFERROR('Price History'!J3+(INDEX('Price History'!J:J,MATCH(9.99E+307,'Price History'!$A:$A))-'Price History'!J3)*(ROW()-3)/(MATCH(9.99E+307,'Returns (Calc)'!$A:$A)-3),"")</f>
        <v>13.5595569620253</v>
      </c>
      <c r="AF130" s="144" t="n">
        <f aca="false">IFERROR('Price History'!K3+(INDEX('Price History'!K:K,MATCH(9.99E+307,'Price History'!$A:$A))-'Price History'!K3)*(ROW()-3)/(MATCH(9.99E+307,'Returns (Calc)'!$A:$A)-3),"")</f>
        <v>8.58778481012659</v>
      </c>
      <c r="AG130" s="144" t="n">
        <f aca="false">IFERROR('Price History'!L3+(INDEX('Price History'!L:L,MATCH(9.99E+307,'Price History'!$A:$A))-'Price History'!L3)*(ROW()-3)/(MATCH(9.99E+307,'Returns (Calc)'!$A:$A)-3),"")</f>
        <v>21.9432911392405</v>
      </c>
      <c r="AH130" s="144" t="n">
        <f aca="false">IFERROR('Price History'!M3+(INDEX('Price History'!M:M,MATCH(9.99E+307,'Price History'!$A:$A))-'Price History'!M3)*(ROW()-3)/(MATCH(9.99E+307,'Returns (Calc)'!$A:$A)-3),"")</f>
        <v>3.00778481012658</v>
      </c>
      <c r="AI130" s="144" t="n">
        <f aca="false">IFERROR('Price History'!N3+(INDEX('Price History'!N:N,MATCH(9.99E+307,'Price History'!$A:$A))-'Price History'!N3)*(ROW()-3)/(MATCH(9.99E+307,'Returns (Calc)'!$A:$A)-3),"")</f>
        <v>4.27721518987342</v>
      </c>
      <c r="AJ130" s="144" t="n">
        <f aca="false">IFERROR('Price History'!O3+(INDEX('Price History'!O:O,MATCH(9.99E+307,'Price History'!$A:$A))-'Price History'!O3)*(ROW()-3)/(MATCH(9.99E+307,'Returns (Calc)'!$A:$A)-3),"")</f>
        <v>11.3071518987342</v>
      </c>
      <c r="AK130" s="144" t="n">
        <f aca="false">IFERROR('Price History'!Q3+(INDEX('Price History'!Q:Q,MATCH(9.99E+307,'Price History'!$A:$A))-'Price History'!Q3)*(ROW()-3)/(MATCH(9.99E+307,'Returns (Calc)'!$A:$A)-3),"")</f>
        <v>46.2312025316456</v>
      </c>
      <c r="AL130" s="144" t="n">
        <f aca="false">IFERROR('Price History'!R3+(INDEX('Price History'!R:R,MATCH(9.99E+307,'Price History'!$A:$A))-'Price History'!R3)*(ROW()-3)/(MATCH(9.99E+307,'Returns (Calc)'!$A:$A)-3),"")</f>
        <v>9.38240506329114</v>
      </c>
      <c r="AM130" s="144" t="n">
        <f aca="false">IFERROR('Price History'!S3+(INDEX('Price History'!S:S,MATCH(9.99E+307,'Price History'!$A:$A))-'Price History'!S3)*(ROW()-3)/(MATCH(9.99E+307,'Returns (Calc)'!$A:$A)-3),"")</f>
        <v>11.4856962025316</v>
      </c>
      <c r="AN130" s="144" t="n">
        <f aca="false">IFERROR('Price History'!T3+(INDEX('Price History'!T:T,MATCH(9.99E+307,'Price History'!$A:$A))-'Price History'!T3)*(ROW()-3)/(MATCH(9.99E+307,'Returns (Calc)'!$A:$A)-3),"")</f>
        <v>5.27981012658228</v>
      </c>
      <c r="AO130" s="145" t="n">
        <f aca="false">IFERROR('Price History'!V3+(INDEX('Price History'!V:V,MATCH(9.99E+307,'Price History'!$A:$A))-'Price History'!V3)*(ROW()-3)/(MATCH(9.99E+307,'Returns (Calc)'!$A:$A)-3),"")</f>
        <v>0</v>
      </c>
    </row>
    <row r="131" customFormat="false" ht="15" hidden="false" customHeight="true" outlineLevel="0" collapsed="false">
      <c r="A131" s="141" t="n">
        <f aca="false">IF('Price History'!A132="","",'Price History'!A132)</f>
        <v>46087</v>
      </c>
      <c r="B131" s="142" t="n">
        <f aca="false">IFERROR(IF(OR(NOT(ISNUMBER('Price History'!B132)),NOT(ISNUMBER('Price History'!B131)),'Price History'!B131=0),"",'Price History'!B132/'Price History'!B131-1),"")</f>
        <v>0.0808277123585228</v>
      </c>
      <c r="C131" s="142" t="n">
        <f aca="false">IFERROR(IF(OR(NOT(ISNUMBER('Price History'!C132)),NOT(ISNUMBER('Price History'!C131)),'Price History'!C131=0),"",'Price History'!C132/'Price History'!C131-1),"")</f>
        <v>-0.0045692883895132</v>
      </c>
      <c r="D131" s="142" t="n">
        <f aca="false">IFERROR(IF(OR(NOT(ISNUMBER('Price History'!D132)),NOT(ISNUMBER('Price History'!D131)),'Price History'!D131=0),"",'Price History'!D132/'Price History'!D131-1),"")</f>
        <v>-0.108755958022317</v>
      </c>
      <c r="E131" s="142" t="n">
        <f aca="false">IFERROR(IF(OR(NOT(ISNUMBER('Price History'!E132)),NOT(ISNUMBER('Price History'!E131)),'Price History'!E131=0),"",'Price History'!E132/'Price History'!E131-1),"")</f>
        <v>0.0342039018250473</v>
      </c>
      <c r="F131" s="142" t="n">
        <f aca="false">IFERROR(IF(OR(NOT(ISNUMBER('Price History'!F132)),NOT(ISNUMBER('Price History'!F131)),'Price History'!F131=0),"",'Price History'!F132/'Price History'!F131-1),"")</f>
        <v>-0.0383343758377267</v>
      </c>
      <c r="G131" s="142" t="n">
        <f aca="false">IFERROR(IF(OR(NOT(ISNUMBER('Price History'!G132)),NOT(ISNUMBER('Price History'!G131)),'Price History'!G131=0),"",'Price History'!G132/'Price History'!G131-1),"")</f>
        <v>0.153225806451613</v>
      </c>
      <c r="H131" s="142" t="n">
        <f aca="false">IFERROR(IF(OR(NOT(ISNUMBER('Price History'!H132)),NOT(ISNUMBER('Price History'!H131)),'Price History'!H131=0),"",'Price History'!H132/'Price History'!H131-1),"")</f>
        <v>-0.0247018739352641</v>
      </c>
      <c r="I131" s="142" t="n">
        <f aca="false">IFERROR(IF(OR(NOT(ISNUMBER('Price History'!I132)),NOT(ISNUMBER('Price History'!I131)),'Price History'!I131=0),"",'Price History'!I132/'Price History'!I131-1),"")</f>
        <v>-0.118087974225787</v>
      </c>
      <c r="J131" s="142" t="n">
        <f aca="false">IFERROR(IF(OR(NOT(ISNUMBER('Price History'!J132)),NOT(ISNUMBER('Price History'!J131)),'Price History'!J131=0),"",'Price History'!J132/'Price History'!J131-1),"")</f>
        <v>-0.102006648387645</v>
      </c>
      <c r="K131" s="142" t="n">
        <f aca="false">IFERROR(IF(OR(NOT(ISNUMBER('Price History'!K132)),NOT(ISNUMBER('Price History'!K131)),'Price History'!K131=0),"",'Price History'!K132/'Price History'!K131-1),"")</f>
        <v>0.00350718407059625</v>
      </c>
      <c r="L131" s="142" t="n">
        <f aca="false">IFERROR(IF(OR(NOT(ISNUMBER('Price History'!L132)),NOT(ISNUMBER('Price History'!L131)),'Price History'!L131=0),"",'Price History'!L132/'Price History'!L131-1),"")</f>
        <v>-0.0563491493790825</v>
      </c>
      <c r="M131" s="142" t="n">
        <f aca="false">IFERROR(IF(OR(NOT(ISNUMBER('Price History'!M132)),NOT(ISNUMBER('Price History'!M131)),'Price History'!M131=0),"",'Price History'!M132/'Price History'!M131-1),"")</f>
        <v>0.145564545520811</v>
      </c>
      <c r="N131" s="142" t="n">
        <f aca="false">IFERROR(IF(OR(NOT(ISNUMBER('Price History'!N132)),NOT(ISNUMBER('Price History'!N131)),'Price History'!N131=0),"",'Price History'!N132/'Price History'!N131-1),"")</f>
        <v>-0.0203160270880361</v>
      </c>
      <c r="O131" s="142" t="n">
        <f aca="false">IFERROR(IF(OR(NOT(ISNUMBER('Price History'!O132)),NOT(ISNUMBER('Price History'!O131)),'Price History'!O131=0),"",'Price History'!O132/'Price History'!O131-1),"")</f>
        <v>-0.0103570225665207</v>
      </c>
      <c r="P131" s="142" t="n">
        <f aca="false">IFERROR(IF(OR(NOT(ISNUMBER('Price History'!P132)),NOT(ISNUMBER('Price History'!P131)),'Price History'!P131=0),"",'Price History'!P132/'Price History'!P131-1),"")</f>
        <v>-0.0952752515740193</v>
      </c>
      <c r="Q131" s="142" t="n">
        <f aca="false">IFERROR(IF(OR(NOT(ISNUMBER('Price History'!Q132)),NOT(ISNUMBER('Price History'!Q131)),'Price History'!Q131=0),"",'Price History'!Q132/'Price History'!Q131-1),"")</f>
        <v>-0.00868638088369023</v>
      </c>
      <c r="R131" s="142" t="n">
        <f aca="false">IFERROR(IF(OR(NOT(ISNUMBER('Price History'!R132)),NOT(ISNUMBER('Price History'!R131)),'Price History'!R131=0),"",'Price History'!R132/'Price History'!R131-1),"")</f>
        <v>0.00354609929078009</v>
      </c>
      <c r="S131" s="142" t="n">
        <f aca="false">IFERROR(IF(OR(NOT(ISNUMBER('Price History'!S132)),NOT(ISNUMBER('Price History'!S131)),'Price History'!S131=0),"",'Price History'!S132/'Price History'!S131-1),"")</f>
        <v>0.0165366350067844</v>
      </c>
      <c r="T131" s="142" t="n">
        <f aca="false">IFERROR(IF(OR(NOT(ISNUMBER('Price History'!T132)),NOT(ISNUMBER('Price History'!T131)),'Price History'!T131=0),"",'Price History'!T132/'Price History'!T131-1),"")</f>
        <v>-0.00978424485699947</v>
      </c>
      <c r="U131" s="142" t="str">
        <f aca="false">IFERROR(IF(OR(NOT(ISNUMBER('Price History'!U132)),NOT(ISNUMBER('Price History'!U131)),'Price History'!U131=0),"",'Price History'!U132/'Price History'!U131-1),"")</f>
        <v/>
      </c>
      <c r="V131" s="143" t="n">
        <f aca="false">IFERROR(IF(OR(NOT(ISNUMBER('Price History'!V132)),NOT(ISNUMBER('Price History'!V131)),'Price History'!V131=0),"",'Price History'!V132/'Price History'!V131-1),"")</f>
        <v>-0.013323875026987</v>
      </c>
      <c r="W131" s="144" t="str">
        <f aca="false">IFERROR('Price History'!B3+(INDEX('Price History'!B:B,MATCH(9.99E+307,'Price History'!$A:$A))-'Price History'!B3)*(ROW()-3)/(MATCH(9.99E+307,'Returns (Calc)'!$A:$A)-3),"")</f>
        <v/>
      </c>
      <c r="X131" s="144" t="n">
        <f aca="false">IFERROR('Price History'!C3+(INDEX('Price History'!C:C,MATCH(9.99E+307,'Price History'!$A:$A))-'Price History'!C3)*(ROW()-3)/(MATCH(9.99E+307,'Returns (Calc)'!$A:$A)-3),"")</f>
        <v>8.76835443037975</v>
      </c>
      <c r="Y131" s="144" t="n">
        <f aca="false">IFERROR('Price History'!D3+(INDEX('Price History'!D:D,MATCH(9.99E+307,'Price History'!$A:$A))-'Price History'!D3)*(ROW()-3)/(MATCH(9.99E+307,'Returns (Calc)'!$A:$A)-3),"")</f>
        <v>110.508227848101</v>
      </c>
      <c r="Z131" s="144" t="n">
        <f aca="false">IFERROR('Price History'!E3+(INDEX('Price History'!E:E,MATCH(9.99E+307,'Price History'!$A:$A))-'Price History'!E3)*(ROW()-3)/(MATCH(9.99E+307,'Returns (Calc)'!$A:$A)-3),"")</f>
        <v>15.5696202531646</v>
      </c>
      <c r="AA131" s="144" t="n">
        <f aca="false">IFERROR('Price History'!F3+(INDEX('Price History'!F:F,MATCH(9.99E+307,'Price History'!$A:$A))-'Price History'!F3)*(ROW()-3)/(MATCH(9.99E+307,'Returns (Calc)'!$A:$A)-3),"")</f>
        <v>14.2993670886076</v>
      </c>
      <c r="AB131" s="144" t="n">
        <f aca="false">IFERROR('Price History'!G3+(INDEX('Price History'!G:G,MATCH(9.99E+307,'Price History'!$A:$A))-'Price History'!G3)*(ROW()-3)/(MATCH(9.99E+307,'Returns (Calc)'!$A:$A)-3),"")</f>
        <v>7.85316455696203</v>
      </c>
      <c r="AC131" s="144" t="n">
        <f aca="false">IFERROR('Price History'!H3+(INDEX('Price History'!H:H,MATCH(9.99E+307,'Price History'!$A:$A))-'Price History'!H3)*(ROW()-3)/(MATCH(9.99E+307,'Returns (Calc)'!$A:$A)-3),"")</f>
        <v>19.0993670886076</v>
      </c>
      <c r="AD131" s="144" t="n">
        <f aca="false">IFERROR('Price History'!I3+(INDEX('Price History'!I:I,MATCH(9.99E+307,'Price History'!$A:$A))-'Price History'!I3)*(ROW()-3)/(MATCH(9.99E+307,'Returns (Calc)'!$A:$A)-3),"")</f>
        <v>8.42088607594937</v>
      </c>
      <c r="AE131" s="144" t="n">
        <f aca="false">IFERROR('Price History'!J3+(INDEX('Price History'!J:J,MATCH(9.99E+307,'Price History'!$A:$A))-'Price History'!J3)*(ROW()-3)/(MATCH(9.99E+307,'Returns (Calc)'!$A:$A)-3),"")</f>
        <v>13.1221518987342</v>
      </c>
      <c r="AF131" s="144" t="n">
        <f aca="false">IFERROR('Price History'!K3+(INDEX('Price History'!K:K,MATCH(9.99E+307,'Price History'!$A:$A))-'Price History'!K3)*(ROW()-3)/(MATCH(9.99E+307,'Returns (Calc)'!$A:$A)-3),"")</f>
        <v>8.31075949367089</v>
      </c>
      <c r="AG131" s="144" t="n">
        <f aca="false">IFERROR('Price History'!L3+(INDEX('Price History'!L:L,MATCH(9.99E+307,'Price History'!$A:$A))-'Price History'!L3)*(ROW()-3)/(MATCH(9.99E+307,'Returns (Calc)'!$A:$A)-3),"")</f>
        <v>21.2354430379747</v>
      </c>
      <c r="AH131" s="144" t="n">
        <f aca="false">IFERROR('Price History'!M3+(INDEX('Price History'!M:M,MATCH(9.99E+307,'Price History'!$A:$A))-'Price History'!M3)*(ROW()-3)/(MATCH(9.99E+307,'Returns (Calc)'!$A:$A)-3),"")</f>
        <v>2.91075949367089</v>
      </c>
      <c r="AI131" s="144" t="n">
        <f aca="false">IFERROR('Price History'!N3+(INDEX('Price History'!N:N,MATCH(9.99E+307,'Price History'!$A:$A))-'Price History'!N3)*(ROW()-3)/(MATCH(9.99E+307,'Returns (Calc)'!$A:$A)-3),"")</f>
        <v>4.13924050632911</v>
      </c>
      <c r="AJ131" s="144" t="n">
        <f aca="false">IFERROR('Price History'!O3+(INDEX('Price History'!O:O,MATCH(9.99E+307,'Price History'!$A:$A))-'Price History'!O3)*(ROW()-3)/(MATCH(9.99E+307,'Returns (Calc)'!$A:$A)-3),"")</f>
        <v>10.9424050632911</v>
      </c>
      <c r="AK131" s="144" t="n">
        <f aca="false">IFERROR('Price History'!Q3+(INDEX('Price History'!Q:Q,MATCH(9.99E+307,'Price History'!$A:$A))-'Price History'!Q3)*(ROW()-3)/(MATCH(9.99E+307,'Returns (Calc)'!$A:$A)-3),"")</f>
        <v>44.7398734177215</v>
      </c>
      <c r="AL131" s="144" t="n">
        <f aca="false">IFERROR('Price History'!R3+(INDEX('Price History'!R:R,MATCH(9.99E+307,'Price History'!$A:$A))-'Price History'!R3)*(ROW()-3)/(MATCH(9.99E+307,'Returns (Calc)'!$A:$A)-3),"")</f>
        <v>9.07974683544304</v>
      </c>
      <c r="AM131" s="144" t="n">
        <f aca="false">IFERROR('Price History'!S3+(INDEX('Price History'!S:S,MATCH(9.99E+307,'Price History'!$A:$A))-'Price History'!S3)*(ROW()-3)/(MATCH(9.99E+307,'Returns (Calc)'!$A:$A)-3),"")</f>
        <v>11.1151898734177</v>
      </c>
      <c r="AN131" s="144" t="n">
        <f aca="false">IFERROR('Price History'!T3+(INDEX('Price History'!T:T,MATCH(9.99E+307,'Price History'!$A:$A))-'Price History'!T3)*(ROW()-3)/(MATCH(9.99E+307,'Returns (Calc)'!$A:$A)-3),"")</f>
        <v>5.10949367088607</v>
      </c>
      <c r="AO131" s="145" t="n">
        <f aca="false">IFERROR('Price History'!V3+(INDEX('Price History'!V:V,MATCH(9.99E+307,'Price History'!$A:$A))-'Price History'!V3)*(ROW()-3)/(MATCH(9.99E+307,'Returns (Calc)'!$A:$A)-3),"")</f>
        <v>0</v>
      </c>
    </row>
    <row r="132" customFormat="false" ht="15" hidden="false" customHeight="true" outlineLevel="0" collapsed="false">
      <c r="A132" s="141" t="n">
        <f aca="false">IF('Price History'!A133="","",'Price History'!A133)</f>
        <v>46094</v>
      </c>
      <c r="B132" s="142" t="n">
        <f aca="false">IFERROR(IF(OR(NOT(ISNUMBER('Price History'!B133)),NOT(ISNUMBER('Price History'!B132)),'Price History'!B132=0),"",'Price History'!B133/'Price History'!B132-1),"")</f>
        <v>-0.120936464283196</v>
      </c>
      <c r="C132" s="142" t="n">
        <f aca="false">IFERROR(IF(OR(NOT(ISNUMBER('Price History'!C133)),NOT(ISNUMBER('Price History'!C132)),'Price History'!C132=0),"",'Price History'!C133/'Price History'!C132-1),"")</f>
        <v>0.00511701407178866</v>
      </c>
      <c r="D132" s="142" t="n">
        <f aca="false">IFERROR(IF(OR(NOT(ISNUMBER('Price History'!D133)),NOT(ISNUMBER('Price History'!D132)),'Price History'!D132=0),"",'Price History'!D133/'Price History'!D132-1),"")</f>
        <v>0.0409059860904124</v>
      </c>
      <c r="E132" s="142" t="n">
        <f aca="false">IFERROR(IF(OR(NOT(ISNUMBER('Price History'!E133)),NOT(ISNUMBER('Price History'!E132)),'Price History'!E132=0),"",'Price History'!E133/'Price History'!E132-1),"")</f>
        <v>-0.0251924422673199</v>
      </c>
      <c r="F132" s="142" t="n">
        <f aca="false">IFERROR(IF(OR(NOT(ISNUMBER('Price History'!F133)),NOT(ISNUMBER('Price History'!F132)),'Price History'!F132=0),"",'Price History'!F133/'Price History'!F132-1),"")</f>
        <v>-0.0191414235272255</v>
      </c>
      <c r="G132" s="142" t="n">
        <f aca="false">IFERROR(IF(OR(NOT(ISNUMBER('Price History'!G133)),NOT(ISNUMBER('Price History'!G132)),'Price History'!G132=0),"",'Price History'!G133/'Price History'!G132-1),"")</f>
        <v>0.0297435897435898</v>
      </c>
      <c r="H132" s="142" t="n">
        <f aca="false">IFERROR(IF(OR(NOT(ISNUMBER('Price History'!H133)),NOT(ISNUMBER('Price History'!H132)),'Price History'!H132=0),"",'Price History'!H133/'Price History'!H132-1),"")</f>
        <v>-0.0121598925092375</v>
      </c>
      <c r="I132" s="142" t="n">
        <f aca="false">IFERROR(IF(OR(NOT(ISNUMBER('Price History'!I133)),NOT(ISNUMBER('Price History'!I132)),'Price History'!I132=0),"",'Price History'!I133/'Price History'!I132-1),"")</f>
        <v>0.0550958025795871</v>
      </c>
      <c r="J132" s="142" t="n">
        <f aca="false">IFERROR(IF(OR(NOT(ISNUMBER('Price History'!J133)),NOT(ISNUMBER('Price History'!J132)),'Price History'!J132=0),"",'Price History'!J133/'Price History'!J132-1),"")</f>
        <v>0.150774136020968</v>
      </c>
      <c r="K132" s="142" t="n">
        <f aca="false">IFERROR(IF(OR(NOT(ISNUMBER('Price History'!K133)),NOT(ISNUMBER('Price History'!K132)),'Price History'!K132=0),"",'Price History'!K133/'Price History'!K132-1),"")</f>
        <v>0.0137542277339346</v>
      </c>
      <c r="L132" s="142" t="n">
        <f aca="false">IFERROR(IF(OR(NOT(ISNUMBER('Price History'!L133)),NOT(ISNUMBER('Price History'!L132)),'Price History'!L132=0),"",'Price History'!L133/'Price History'!L132-1),"")</f>
        <v>-0.0207667731629394</v>
      </c>
      <c r="M132" s="142" t="n">
        <f aca="false">IFERROR(IF(OR(NOT(ISNUMBER('Price History'!M133)),NOT(ISNUMBER('Price History'!M132)),'Price History'!M132=0),"",'Price History'!M133/'Price History'!M132-1),"")</f>
        <v>-0.0395138712140495</v>
      </c>
      <c r="N132" s="142" t="n">
        <f aca="false">IFERROR(IF(OR(NOT(ISNUMBER('Price History'!N133)),NOT(ISNUMBER('Price History'!N132)),'Price History'!N132=0),"",'Price History'!N133/'Price History'!N132-1),"")</f>
        <v>-0.010533245556287</v>
      </c>
      <c r="O132" s="142" t="n">
        <f aca="false">IFERROR(IF(OR(NOT(ISNUMBER('Price History'!O133)),NOT(ISNUMBER('Price History'!O132)),'Price History'!O132=0),"",'Price History'!O133/'Price History'!O132-1),"")</f>
        <v>-0.0173572704841317</v>
      </c>
      <c r="P132" s="142" t="n">
        <f aca="false">IFERROR(IF(OR(NOT(ISNUMBER('Price History'!P133)),NOT(ISNUMBER('Price History'!P132)),'Price History'!P132=0),"",'Price History'!P133/'Price History'!P132-1),"")</f>
        <v>-0.00172490706319695</v>
      </c>
      <c r="Q132" s="142" t="n">
        <f aca="false">IFERROR(IF(OR(NOT(ISNUMBER('Price History'!Q133)),NOT(ISNUMBER('Price History'!Q132)),'Price History'!Q132=0),"",'Price History'!Q133/'Price History'!Q132-1),"")</f>
        <v>-0.0322029609009237</v>
      </c>
      <c r="R132" s="142" t="n">
        <f aca="false">IFERROR(IF(OR(NOT(ISNUMBER('Price History'!R133)),NOT(ISNUMBER('Price History'!R132)),'Price History'!R132=0),"",'Price History'!R133/'Price History'!R132-1),"")</f>
        <v>-0.0232205956587582</v>
      </c>
      <c r="S132" s="142" t="n">
        <f aca="false">IFERROR(IF(OR(NOT(ISNUMBER('Price History'!S133)),NOT(ISNUMBER('Price History'!S132)),'Price History'!S132=0),"",'Price History'!S133/'Price History'!S132-1),"")</f>
        <v>-0.000250271127054336</v>
      </c>
      <c r="T132" s="142" t="n">
        <f aca="false">IFERROR(IF(OR(NOT(ISNUMBER('Price History'!T133)),NOT(ISNUMBER('Price History'!T132)),'Price History'!T132=0),"",'Price History'!T133/'Price History'!T132-1),"")</f>
        <v>0.0243222700785406</v>
      </c>
      <c r="U132" s="142" t="str">
        <f aca="false">IFERROR(IF(OR(NOT(ISNUMBER('Price History'!U133)),NOT(ISNUMBER('Price History'!U132)),'Price History'!U132=0),"",'Price History'!U133/'Price History'!U132-1),"")</f>
        <v/>
      </c>
      <c r="V132" s="143" t="n">
        <f aca="false">IFERROR(IF(OR(NOT(ISNUMBER('Price History'!V133)),NOT(ISNUMBER('Price History'!V132)),'Price History'!V132=0),"",'Price History'!V133/'Price History'!V132-1),"")</f>
        <v>0.0302897689975306</v>
      </c>
      <c r="W132" s="144" t="str">
        <f aca="false">IFERROR('Price History'!B3+(INDEX('Price History'!B:B,MATCH(9.99E+307,'Price History'!$A:$A))-'Price History'!B3)*(ROW()-3)/(MATCH(9.99E+307,'Returns (Calc)'!$A:$A)-3),"")</f>
        <v/>
      </c>
      <c r="X132" s="144" t="n">
        <f aca="false">IFERROR('Price History'!C3+(INDEX('Price History'!C:C,MATCH(9.99E+307,'Price History'!$A:$A))-'Price History'!C3)*(ROW()-3)/(MATCH(9.99E+307,'Returns (Calc)'!$A:$A)-3),"")</f>
        <v>8.47607594936709</v>
      </c>
      <c r="Y132" s="144" t="n">
        <f aca="false">IFERROR('Price History'!D3+(INDEX('Price History'!D:D,MATCH(9.99E+307,'Price History'!$A:$A))-'Price History'!D3)*(ROW()-3)/(MATCH(9.99E+307,'Returns (Calc)'!$A:$A)-3),"")</f>
        <v>106.824620253165</v>
      </c>
      <c r="Z132" s="144" t="n">
        <f aca="false">IFERROR('Price History'!E3+(INDEX('Price History'!E:E,MATCH(9.99E+307,'Price History'!$A:$A))-'Price History'!E3)*(ROW()-3)/(MATCH(9.99E+307,'Returns (Calc)'!$A:$A)-3),"")</f>
        <v>15.0506329113924</v>
      </c>
      <c r="AA132" s="144" t="n">
        <f aca="false">IFERROR('Price History'!F3+(INDEX('Price History'!F:F,MATCH(9.99E+307,'Price History'!$A:$A))-'Price History'!F3)*(ROW()-3)/(MATCH(9.99E+307,'Returns (Calc)'!$A:$A)-3),"")</f>
        <v>13.8227215189873</v>
      </c>
      <c r="AB132" s="144" t="n">
        <f aca="false">IFERROR('Price History'!G3+(INDEX('Price History'!G:G,MATCH(9.99E+307,'Price History'!$A:$A))-'Price History'!G3)*(ROW()-3)/(MATCH(9.99E+307,'Returns (Calc)'!$A:$A)-3),"")</f>
        <v>7.5913924050633</v>
      </c>
      <c r="AC132" s="144" t="n">
        <f aca="false">IFERROR('Price History'!H3+(INDEX('Price History'!H:H,MATCH(9.99E+307,'Price History'!$A:$A))-'Price History'!H3)*(ROW()-3)/(MATCH(9.99E+307,'Returns (Calc)'!$A:$A)-3),"")</f>
        <v>18.4627215189873</v>
      </c>
      <c r="AD132" s="144" t="n">
        <f aca="false">IFERROR('Price History'!I3+(INDEX('Price History'!I:I,MATCH(9.99E+307,'Price History'!$A:$A))-'Price History'!I3)*(ROW()-3)/(MATCH(9.99E+307,'Returns (Calc)'!$A:$A)-3),"")</f>
        <v>8.14018987341772</v>
      </c>
      <c r="AE132" s="144" t="n">
        <f aca="false">IFERROR('Price History'!J3+(INDEX('Price History'!J:J,MATCH(9.99E+307,'Price History'!$A:$A))-'Price History'!J3)*(ROW()-3)/(MATCH(9.99E+307,'Returns (Calc)'!$A:$A)-3),"")</f>
        <v>12.684746835443</v>
      </c>
      <c r="AF132" s="144" t="n">
        <f aca="false">IFERROR('Price History'!K3+(INDEX('Price History'!K:K,MATCH(9.99E+307,'Price History'!$A:$A))-'Price History'!K3)*(ROW()-3)/(MATCH(9.99E+307,'Returns (Calc)'!$A:$A)-3),"")</f>
        <v>8.03373417721519</v>
      </c>
      <c r="AG132" s="144" t="n">
        <f aca="false">IFERROR('Price History'!L3+(INDEX('Price History'!L:L,MATCH(9.99E+307,'Price History'!$A:$A))-'Price History'!L3)*(ROW()-3)/(MATCH(9.99E+307,'Returns (Calc)'!$A:$A)-3),"")</f>
        <v>20.5275949367089</v>
      </c>
      <c r="AH132" s="144" t="n">
        <f aca="false">IFERROR('Price History'!M3+(INDEX('Price History'!M:M,MATCH(9.99E+307,'Price History'!$A:$A))-'Price History'!M3)*(ROW()-3)/(MATCH(9.99E+307,'Returns (Calc)'!$A:$A)-3),"")</f>
        <v>2.81373417721519</v>
      </c>
      <c r="AI132" s="144" t="n">
        <f aca="false">IFERROR('Price History'!N3+(INDEX('Price History'!N:N,MATCH(9.99E+307,'Price History'!$A:$A))-'Price History'!N3)*(ROW()-3)/(MATCH(9.99E+307,'Returns (Calc)'!$A:$A)-3),"")</f>
        <v>4.00126582278481</v>
      </c>
      <c r="AJ132" s="144" t="n">
        <f aca="false">IFERROR('Price History'!O3+(INDEX('Price History'!O:O,MATCH(9.99E+307,'Price History'!$A:$A))-'Price History'!O3)*(ROW()-3)/(MATCH(9.99E+307,'Returns (Calc)'!$A:$A)-3),"")</f>
        <v>10.5776582278481</v>
      </c>
      <c r="AK132" s="144" t="n">
        <f aca="false">IFERROR('Price History'!Q3+(INDEX('Price History'!Q:Q,MATCH(9.99E+307,'Price History'!$A:$A))-'Price History'!Q3)*(ROW()-3)/(MATCH(9.99E+307,'Returns (Calc)'!$A:$A)-3),"")</f>
        <v>43.2485443037975</v>
      </c>
      <c r="AL132" s="144" t="n">
        <f aca="false">IFERROR('Price History'!R3+(INDEX('Price History'!R:R,MATCH(9.99E+307,'Price History'!$A:$A))-'Price History'!R3)*(ROW()-3)/(MATCH(9.99E+307,'Returns (Calc)'!$A:$A)-3),"")</f>
        <v>8.77708860759494</v>
      </c>
      <c r="AM132" s="144" t="n">
        <f aca="false">IFERROR('Price History'!S3+(INDEX('Price History'!S:S,MATCH(9.99E+307,'Price History'!$A:$A))-'Price History'!S3)*(ROW()-3)/(MATCH(9.99E+307,'Returns (Calc)'!$A:$A)-3),"")</f>
        <v>10.7446835443038</v>
      </c>
      <c r="AN132" s="144" t="n">
        <f aca="false">IFERROR('Price History'!T3+(INDEX('Price History'!T:T,MATCH(9.99E+307,'Price History'!$A:$A))-'Price History'!T3)*(ROW()-3)/(MATCH(9.99E+307,'Returns (Calc)'!$A:$A)-3),"")</f>
        <v>4.93917721518988</v>
      </c>
      <c r="AO132" s="145" t="n">
        <f aca="false">IFERROR('Price History'!V3+(INDEX('Price History'!V:V,MATCH(9.99E+307,'Price History'!$A:$A))-'Price History'!V3)*(ROW()-3)/(MATCH(9.99E+307,'Returns (Calc)'!$A:$A)-3),"")</f>
        <v>0</v>
      </c>
    </row>
    <row r="133" customFormat="false" ht="15" hidden="false" customHeight="true" outlineLevel="0" collapsed="false">
      <c r="A133" s="141" t="n">
        <f aca="false">IF('Price History'!A134="","",'Price History'!A134)</f>
        <v>46101</v>
      </c>
      <c r="B133" s="142" t="n">
        <f aca="false">IFERROR(IF(OR(NOT(ISNUMBER('Price History'!B134)),NOT(ISNUMBER('Price History'!B133)),'Price History'!B133=0),"",'Price History'!B134/'Price History'!B133-1),"")</f>
        <v>-0.0046927643189475</v>
      </c>
      <c r="C133" s="142" t="n">
        <f aca="false">IFERROR(IF(OR(NOT(ISNUMBER('Price History'!C134)),NOT(ISNUMBER('Price History'!C133)),'Price History'!C133=0),"",'Price History'!C134/'Price History'!C133-1),"")</f>
        <v>-0.0175937710563749</v>
      </c>
      <c r="D133" s="142" t="n">
        <f aca="false">IFERROR(IF(OR(NOT(ISNUMBER('Price History'!D134)),NOT(ISNUMBER('Price History'!D133)),'Price History'!D133=0),"",'Price History'!D134/'Price History'!D133-1),"")</f>
        <v>-0.0211331672905698</v>
      </c>
      <c r="E133" s="142" t="n">
        <f aca="false">IFERROR(IF(OR(NOT(ISNUMBER('Price History'!E134)),NOT(ISNUMBER('Price History'!E133)),'Price History'!E133=0),"",'Price History'!E134/'Price History'!E133-1),"")</f>
        <v>-0.0361434501701051</v>
      </c>
      <c r="F133" s="142" t="n">
        <f aca="false">IFERROR(IF(OR(NOT(ISNUMBER('Price History'!F134)),NOT(ISNUMBER('Price History'!F133)),'Price History'!F133=0),"",'Price History'!F134/'Price History'!F133-1),"")</f>
        <v>-0.00198938992042452</v>
      </c>
      <c r="G133" s="142" t="n">
        <f aca="false">IFERROR(IF(OR(NOT(ISNUMBER('Price History'!G134)),NOT(ISNUMBER('Price History'!G133)),'Price History'!G133=0),"",'Price History'!G134/'Price History'!G133-1),"")</f>
        <v>-0.074157913799348</v>
      </c>
      <c r="H133" s="142" t="n">
        <f aca="false">IFERROR(IF(OR(NOT(ISNUMBER('Price History'!H134)),NOT(ISNUMBER('Price History'!H133)),'Price History'!H133=0),"",'Price History'!H134/'Price History'!H133-1),"")</f>
        <v>-0.0233949945593036</v>
      </c>
      <c r="I133" s="142" t="n">
        <f aca="false">IFERROR(IF(OR(NOT(ISNUMBER('Price History'!I134)),NOT(ISNUMBER('Price History'!I133)),'Price History'!I133=0),"",'Price History'!I134/'Price History'!I133-1),"")</f>
        <v>0.0564584511023176</v>
      </c>
      <c r="J133" s="142" t="n">
        <f aca="false">IFERROR(IF(OR(NOT(ISNUMBER('Price History'!J134)),NOT(ISNUMBER('Price History'!J133)),'Price History'!J133=0),"",'Price History'!J134/'Price History'!J133-1),"")</f>
        <v>-0.00758411796473257</v>
      </c>
      <c r="K133" s="142" t="n">
        <f aca="false">IFERROR(IF(OR(NOT(ISNUMBER('Price History'!K134)),NOT(ISNUMBER('Price History'!K133)),'Price History'!K133=0),"",'Price History'!K134/'Price History'!K133-1),"")</f>
        <v>-0.0418705516014235</v>
      </c>
      <c r="L133" s="142" t="n">
        <f aca="false">IFERROR(IF(OR(NOT(ISNUMBER('Price History'!L134)),NOT(ISNUMBER('Price History'!L133)),'Price History'!L133=0),"",'Price History'!L134/'Price History'!L133-1),"")</f>
        <v>-0.0205080400838964</v>
      </c>
      <c r="M133" s="142" t="n">
        <f aca="false">IFERROR(IF(OR(NOT(ISNUMBER('Price History'!M134)),NOT(ISNUMBER('Price History'!M133)),'Price History'!M133=0),"",'Price History'!M134/'Price History'!M133-1),"")</f>
        <v>-0.00178867174561104</v>
      </c>
      <c r="N133" s="142" t="n">
        <f aca="false">IFERROR(IF(OR(NOT(ISNUMBER('Price History'!N134)),NOT(ISNUMBER('Price History'!N133)),'Price History'!N133=0),"",'Price History'!N134/'Price History'!N133-1),"")</f>
        <v>-0.0133067198935461</v>
      </c>
      <c r="O133" s="142" t="n">
        <f aca="false">IFERROR(IF(OR(NOT(ISNUMBER('Price History'!O134)),NOT(ISNUMBER('Price History'!O133)),'Price History'!O133=0),"",'Price History'!O134/'Price History'!O133-1),"")</f>
        <v>-0.0206944324183912</v>
      </c>
      <c r="P133" s="142" t="n">
        <f aca="false">IFERROR(IF(OR(NOT(ISNUMBER('Price History'!P134)),NOT(ISNUMBER('Price History'!P133)),'Price History'!P133=0),"",'Price History'!P134/'Price History'!P133-1),"")</f>
        <v>-0.0240712604641464</v>
      </c>
      <c r="Q133" s="142" t="n">
        <f aca="false">IFERROR(IF(OR(NOT(ISNUMBER('Price History'!Q134)),NOT(ISNUMBER('Price History'!Q133)),'Price History'!Q133=0),"",'Price History'!Q134/'Price History'!Q133-1),"")</f>
        <v>-0.0179773811858535</v>
      </c>
      <c r="R133" s="142" t="n">
        <f aca="false">IFERROR(IF(OR(NOT(ISNUMBER('Price History'!R134)),NOT(ISNUMBER('Price History'!R133)),'Price History'!R133=0),"",'Price History'!R134/'Price History'!R133-1),"")</f>
        <v>-0.00930232558139532</v>
      </c>
      <c r="S133" s="142" t="n">
        <f aca="false">IFERROR(IF(OR(NOT(ISNUMBER('Price History'!S134)),NOT(ISNUMBER('Price History'!S133)),'Price History'!S133=0),"",'Price History'!S134/'Price History'!S133-1),"")</f>
        <v>-0.0132676902536716</v>
      </c>
      <c r="T133" s="142" t="n">
        <f aca="false">IFERROR(IF(OR(NOT(ISNUMBER('Price History'!T134)),NOT(ISNUMBER('Price History'!T133)),'Price History'!T133=0),"",'Price History'!T134/'Price History'!T133-1),"")</f>
        <v>-0.00420479841701715</v>
      </c>
      <c r="U133" s="142" t="str">
        <f aca="false">IFERROR(IF(OR(NOT(ISNUMBER('Price History'!U134)),NOT(ISNUMBER('Price History'!U133)),'Price History'!U133=0),"",'Price History'!U134/'Price History'!U133-1),"")</f>
        <v/>
      </c>
      <c r="V133" s="143" t="n">
        <f aca="false">IFERROR(IF(OR(NOT(ISNUMBER('Price History'!V134)),NOT(ISNUMBER('Price History'!V133)),'Price History'!V133=0),"",'Price History'!V134/'Price History'!V133-1),"")</f>
        <v>-0.0508191747572816</v>
      </c>
      <c r="W133" s="144" t="str">
        <f aca="false">IFERROR('Price History'!B3+(INDEX('Price History'!B:B,MATCH(9.99E+307,'Price History'!$A:$A))-'Price History'!B3)*(ROW()-3)/(MATCH(9.99E+307,'Returns (Calc)'!$A:$A)-3),"")</f>
        <v/>
      </c>
      <c r="X133" s="144" t="n">
        <f aca="false">IFERROR('Price History'!C3+(INDEX('Price History'!C:C,MATCH(9.99E+307,'Price History'!$A:$A))-'Price History'!C3)*(ROW()-3)/(MATCH(9.99E+307,'Returns (Calc)'!$A:$A)-3),"")</f>
        <v>8.18379746835444</v>
      </c>
      <c r="Y133" s="144" t="n">
        <f aca="false">IFERROR('Price History'!D3+(INDEX('Price History'!D:D,MATCH(9.99E+307,'Price History'!$A:$A))-'Price History'!D3)*(ROW()-3)/(MATCH(9.99E+307,'Returns (Calc)'!$A:$A)-3),"")</f>
        <v>103.141012658228</v>
      </c>
      <c r="Z133" s="144" t="n">
        <f aca="false">IFERROR('Price History'!E3+(INDEX('Price History'!E:E,MATCH(9.99E+307,'Price History'!$A:$A))-'Price History'!E3)*(ROW()-3)/(MATCH(9.99E+307,'Returns (Calc)'!$A:$A)-3),"")</f>
        <v>14.5316455696203</v>
      </c>
      <c r="AA133" s="144" t="n">
        <f aca="false">IFERROR('Price History'!F3+(INDEX('Price History'!F:F,MATCH(9.99E+307,'Price History'!$A:$A))-'Price History'!F3)*(ROW()-3)/(MATCH(9.99E+307,'Returns (Calc)'!$A:$A)-3),"")</f>
        <v>13.3460759493671</v>
      </c>
      <c r="AB133" s="144" t="n">
        <f aca="false">IFERROR('Price History'!G3+(INDEX('Price History'!G:G,MATCH(9.99E+307,'Price History'!$A:$A))-'Price History'!G3)*(ROW()-3)/(MATCH(9.99E+307,'Returns (Calc)'!$A:$A)-3),"")</f>
        <v>7.32962025316456</v>
      </c>
      <c r="AC133" s="144" t="n">
        <f aca="false">IFERROR('Price History'!H3+(INDEX('Price History'!H:H,MATCH(9.99E+307,'Price History'!$A:$A))-'Price History'!H3)*(ROW()-3)/(MATCH(9.99E+307,'Returns (Calc)'!$A:$A)-3),"")</f>
        <v>17.8260759493671</v>
      </c>
      <c r="AD133" s="144" t="n">
        <f aca="false">IFERROR('Price History'!I3+(INDEX('Price History'!I:I,MATCH(9.99E+307,'Price History'!$A:$A))-'Price History'!I3)*(ROW()-3)/(MATCH(9.99E+307,'Returns (Calc)'!$A:$A)-3),"")</f>
        <v>7.85949367088607</v>
      </c>
      <c r="AE133" s="144" t="n">
        <f aca="false">IFERROR('Price History'!J3+(INDEX('Price History'!J:J,MATCH(9.99E+307,'Price History'!$A:$A))-'Price History'!J3)*(ROW()-3)/(MATCH(9.99E+307,'Returns (Calc)'!$A:$A)-3),"")</f>
        <v>12.2473417721519</v>
      </c>
      <c r="AF133" s="144" t="n">
        <f aca="false">IFERROR('Price History'!K3+(INDEX('Price History'!K:K,MATCH(9.99E+307,'Price History'!$A:$A))-'Price History'!K3)*(ROW()-3)/(MATCH(9.99E+307,'Returns (Calc)'!$A:$A)-3),"")</f>
        <v>7.7567088607595</v>
      </c>
      <c r="AG133" s="144" t="n">
        <f aca="false">IFERROR('Price History'!L3+(INDEX('Price History'!L:L,MATCH(9.99E+307,'Price History'!$A:$A))-'Price History'!L3)*(ROW()-3)/(MATCH(9.99E+307,'Returns (Calc)'!$A:$A)-3),"")</f>
        <v>19.819746835443</v>
      </c>
      <c r="AH133" s="144" t="n">
        <f aca="false">IFERROR('Price History'!M3+(INDEX('Price History'!M:M,MATCH(9.99E+307,'Price History'!$A:$A))-'Price History'!M3)*(ROW()-3)/(MATCH(9.99E+307,'Returns (Calc)'!$A:$A)-3),"")</f>
        <v>2.71670886075949</v>
      </c>
      <c r="AI133" s="144" t="n">
        <f aca="false">IFERROR('Price History'!N3+(INDEX('Price History'!N:N,MATCH(9.99E+307,'Price History'!$A:$A))-'Price History'!N3)*(ROW()-3)/(MATCH(9.99E+307,'Returns (Calc)'!$A:$A)-3),"")</f>
        <v>3.86329113924051</v>
      </c>
      <c r="AJ133" s="144" t="n">
        <f aca="false">IFERROR('Price History'!O3+(INDEX('Price History'!O:O,MATCH(9.99E+307,'Price History'!$A:$A))-'Price History'!O3)*(ROW()-3)/(MATCH(9.99E+307,'Returns (Calc)'!$A:$A)-3),"")</f>
        <v>10.2129113924051</v>
      </c>
      <c r="AK133" s="144" t="n">
        <f aca="false">IFERROR('Price History'!Q3+(INDEX('Price History'!Q:Q,MATCH(9.99E+307,'Price History'!$A:$A))-'Price History'!Q3)*(ROW()-3)/(MATCH(9.99E+307,'Returns (Calc)'!$A:$A)-3),"")</f>
        <v>41.7572151898734</v>
      </c>
      <c r="AL133" s="144" t="n">
        <f aca="false">IFERROR('Price History'!R3+(INDEX('Price History'!R:R,MATCH(9.99E+307,'Price History'!$A:$A))-'Price History'!R3)*(ROW()-3)/(MATCH(9.99E+307,'Returns (Calc)'!$A:$A)-3),"")</f>
        <v>8.47443037974684</v>
      </c>
      <c r="AM133" s="144" t="n">
        <f aca="false">IFERROR('Price History'!S3+(INDEX('Price History'!S:S,MATCH(9.99E+307,'Price History'!$A:$A))-'Price History'!S3)*(ROW()-3)/(MATCH(9.99E+307,'Returns (Calc)'!$A:$A)-3),"")</f>
        <v>10.3741772151899</v>
      </c>
      <c r="AN133" s="144" t="n">
        <f aca="false">IFERROR('Price History'!T3+(INDEX('Price History'!T:T,MATCH(9.99E+307,'Price History'!$A:$A))-'Price History'!T3)*(ROW()-3)/(MATCH(9.99E+307,'Returns (Calc)'!$A:$A)-3),"")</f>
        <v>4.76886075949367</v>
      </c>
      <c r="AO133" s="145" t="n">
        <f aca="false">IFERROR('Price History'!V3+(INDEX('Price History'!V:V,MATCH(9.99E+307,'Price History'!$A:$A))-'Price History'!V3)*(ROW()-3)/(MATCH(9.99E+307,'Returns (Calc)'!$A:$A)-3),"")</f>
        <v>0</v>
      </c>
    </row>
    <row r="134" customFormat="false" ht="15" hidden="false" customHeight="true" outlineLevel="0" collapsed="false">
      <c r="A134" s="141" t="n">
        <f aca="false">IF('Price History'!A135="","",'Price History'!A135)</f>
        <v>46108</v>
      </c>
      <c r="B134" s="142" t="n">
        <f aca="false">IFERROR(IF(OR(NOT(ISNUMBER('Price History'!B135)),NOT(ISNUMBER('Price History'!B134)),'Price History'!B134=0),"",'Price History'!B135/'Price History'!B134-1),"")</f>
        <v>-0.0536369131573645</v>
      </c>
      <c r="C134" s="142" t="n">
        <f aca="false">IFERROR(IF(OR(NOT(ISNUMBER('Price History'!C135)),NOT(ISNUMBER('Price History'!C134)),'Price History'!C134=0),"",'Price History'!C135/'Price History'!C134-1),"")</f>
        <v>-0.0796372504191435</v>
      </c>
      <c r="D134" s="142" t="n">
        <f aca="false">IFERROR(IF(OR(NOT(ISNUMBER('Price History'!D135)),NOT(ISNUMBER('Price History'!D134)),'Price History'!D134=0),"",'Price History'!D135/'Price History'!D134-1),"")</f>
        <v>-0.0112213182192157</v>
      </c>
      <c r="E134" s="142" t="n">
        <f aca="false">IFERROR(IF(OR(NOT(ISNUMBER('Price History'!E135)),NOT(ISNUMBER('Price History'!E134)),'Price History'!E134=0),"",'Price History'!E135/'Price History'!E134-1),"")</f>
        <v>-0.0296298694990447</v>
      </c>
      <c r="F134" s="142" t="n">
        <f aca="false">IFERROR(IF(OR(NOT(ISNUMBER('Price History'!F135)),NOT(ISNUMBER('Price History'!F134)),'Price History'!F134=0),"",'Price History'!F135/'Price History'!F134-1),"")</f>
        <v>0.0296155671570955</v>
      </c>
      <c r="G134" s="142" t="n">
        <f aca="false">IFERROR(IF(OR(NOT(ISNUMBER('Price History'!G135)),NOT(ISNUMBER('Price History'!G134)),'Price History'!G134=0),"",'Price History'!G135/'Price History'!G134-1),"")</f>
        <v>-0.0964303178484107</v>
      </c>
      <c r="H134" s="142" t="n">
        <f aca="false">IFERROR(IF(OR(NOT(ISNUMBER('Price History'!H135)),NOT(ISNUMBER('Price History'!H134)),'Price History'!H134=0),"",'Price History'!H135/'Price History'!H134-1),"")</f>
        <v>0.0244428969359334</v>
      </c>
      <c r="I134" s="142" t="n">
        <f aca="false">IFERROR(IF(OR(NOT(ISNUMBER('Price History'!I135)),NOT(ISNUMBER('Price History'!I134)),'Price History'!I134=0),"",'Price History'!I135/'Price History'!I134-1),"")</f>
        <v>-0.0370543776336031</v>
      </c>
      <c r="J134" s="142" t="n">
        <f aca="false">IFERROR(IF(OR(NOT(ISNUMBER('Price History'!J135)),NOT(ISNUMBER('Price History'!J134)),'Price History'!J134=0),"",'Price History'!J135/'Price History'!J134-1),"")</f>
        <v>-0.155302134103062</v>
      </c>
      <c r="K134" s="142" t="n">
        <f aca="false">IFERROR(IF(OR(NOT(ISNUMBER('Price History'!K135)),NOT(ISNUMBER('Price History'!K134)),'Price History'!K134=0),"",'Price History'!K135/'Price History'!K134-1),"")</f>
        <v>-0.0300040624455923</v>
      </c>
      <c r="L134" s="142" t="n">
        <f aca="false">IFERROR(IF(OR(NOT(ISNUMBER('Price History'!L135)),NOT(ISNUMBER('Price History'!L134)),'Price History'!L134=0),"",'Price History'!L135/'Price History'!L134-1),"")</f>
        <v>0.00689983345229583</v>
      </c>
      <c r="M134" s="142" t="n">
        <f aca="false">IFERROR(IF(OR(NOT(ISNUMBER('Price History'!M135)),NOT(ISNUMBER('Price History'!M134)),'Price History'!M134=0),"",'Price History'!M135/'Price History'!M134-1),"")</f>
        <v>-0.0505707459516858</v>
      </c>
      <c r="N134" s="142" t="n">
        <f aca="false">IFERROR(IF(OR(NOT(ISNUMBER('Price History'!N135)),NOT(ISNUMBER('Price History'!N134)),'Price History'!N134=0),"",'Price History'!N135/'Price History'!N134-1),"")</f>
        <v>0.0101146325016859</v>
      </c>
      <c r="O134" s="142" t="n">
        <f aca="false">IFERROR(IF(OR(NOT(ISNUMBER('Price History'!O135)),NOT(ISNUMBER('Price History'!O134)),'Price History'!O134=0),"",'Price History'!O135/'Price History'!O134-1),"")</f>
        <v>-0.0277630415561451</v>
      </c>
      <c r="P134" s="142" t="n">
        <f aca="false">IFERROR(IF(OR(NOT(ISNUMBER('Price History'!P135)),NOT(ISNUMBER('Price History'!P134)),'Price History'!P134=0),"",'Price History'!P135/'Price History'!P134-1),"")</f>
        <v>-0.00760096462040949</v>
      </c>
      <c r="Q134" s="142" t="n">
        <f aca="false">IFERROR(IF(OR(NOT(ISNUMBER('Price History'!Q135)),NOT(ISNUMBER('Price History'!Q134)),'Price History'!Q134=0),"",'Price History'!Q135/'Price History'!Q134-1),"")</f>
        <v>-0.0202369857542271</v>
      </c>
      <c r="R134" s="142" t="n">
        <f aca="false">IFERROR(IF(OR(NOT(ISNUMBER('Price History'!R135)),NOT(ISNUMBER('Price History'!R134)),'Price History'!R134=0),"",'Price History'!R135/'Price History'!R134-1),"")</f>
        <v>0.0111284993914103</v>
      </c>
      <c r="S134" s="142" t="n">
        <f aca="false">IFERROR(IF(OR(NOT(ISNUMBER('Price History'!S135)),NOT(ISNUMBER('Price History'!S134)),'Price History'!S134=0),"",'Price History'!S135/'Price History'!S134-1),"")</f>
        <v>0.01446088794926</v>
      </c>
      <c r="T134" s="142" t="n">
        <f aca="false">IFERROR(IF(OR(NOT(ISNUMBER('Price History'!T135)),NOT(ISNUMBER('Price History'!T134)),'Price History'!T134=0),"",'Price History'!T135/'Price History'!T134-1),"")</f>
        <v>0.00198708395429725</v>
      </c>
      <c r="U134" s="142" t="str">
        <f aca="false">IFERROR(IF(OR(NOT(ISNUMBER('Price History'!U135)),NOT(ISNUMBER('Price History'!U134)),'Price History'!U134=0),"",'Price History'!U135/'Price History'!U134-1),"")</f>
        <v/>
      </c>
      <c r="V134" s="143" t="n">
        <f aca="false">IFERROR(IF(OR(NOT(ISNUMBER('Price History'!V135)),NOT(ISNUMBER('Price History'!V134)),'Price History'!V134=0),"",'Price History'!V135/'Price History'!V134-1),"")</f>
        <v>0.0218635128655904</v>
      </c>
      <c r="W134" s="144" t="str">
        <f aca="false">IFERROR('Price History'!B3+(INDEX('Price History'!B:B,MATCH(9.99E+307,'Price History'!$A:$A))-'Price History'!B3)*(ROW()-3)/(MATCH(9.99E+307,'Returns (Calc)'!$A:$A)-3),"")</f>
        <v/>
      </c>
      <c r="X134" s="144" t="n">
        <f aca="false">IFERROR('Price History'!C3+(INDEX('Price History'!C:C,MATCH(9.99E+307,'Price History'!$A:$A))-'Price History'!C3)*(ROW()-3)/(MATCH(9.99E+307,'Returns (Calc)'!$A:$A)-3),"")</f>
        <v>7.89151898734177</v>
      </c>
      <c r="Y134" s="144" t="n">
        <f aca="false">IFERROR('Price History'!D3+(INDEX('Price History'!D:D,MATCH(9.99E+307,'Price History'!$A:$A))-'Price History'!D3)*(ROW()-3)/(MATCH(9.99E+307,'Returns (Calc)'!$A:$A)-3),"")</f>
        <v>99.4574050632912</v>
      </c>
      <c r="Z134" s="144" t="n">
        <f aca="false">IFERROR('Price History'!E3+(INDEX('Price History'!E:E,MATCH(9.99E+307,'Price History'!$A:$A))-'Price History'!E3)*(ROW()-3)/(MATCH(9.99E+307,'Returns (Calc)'!$A:$A)-3),"")</f>
        <v>14.0126582278481</v>
      </c>
      <c r="AA134" s="144" t="n">
        <f aca="false">IFERROR('Price History'!F3+(INDEX('Price History'!F:F,MATCH(9.99E+307,'Price History'!$A:$A))-'Price History'!F3)*(ROW()-3)/(MATCH(9.99E+307,'Returns (Calc)'!$A:$A)-3),"")</f>
        <v>12.8694303797468</v>
      </c>
      <c r="AB134" s="144" t="n">
        <f aca="false">IFERROR('Price History'!G3+(INDEX('Price History'!G:G,MATCH(9.99E+307,'Price History'!$A:$A))-'Price History'!G3)*(ROW()-3)/(MATCH(9.99E+307,'Returns (Calc)'!$A:$A)-3),"")</f>
        <v>7.06784810126582</v>
      </c>
      <c r="AC134" s="144" t="n">
        <f aca="false">IFERROR('Price History'!H3+(INDEX('Price History'!H:H,MATCH(9.99E+307,'Price History'!$A:$A))-'Price History'!H3)*(ROW()-3)/(MATCH(9.99E+307,'Returns (Calc)'!$A:$A)-3),"")</f>
        <v>17.1894303797468</v>
      </c>
      <c r="AD134" s="144" t="n">
        <f aca="false">IFERROR('Price History'!I3+(INDEX('Price History'!I:I,MATCH(9.99E+307,'Price History'!$A:$A))-'Price History'!I3)*(ROW()-3)/(MATCH(9.99E+307,'Returns (Calc)'!$A:$A)-3),"")</f>
        <v>7.57879746835443</v>
      </c>
      <c r="AE134" s="144" t="n">
        <f aca="false">IFERROR('Price History'!J3+(INDEX('Price History'!J:J,MATCH(9.99E+307,'Price History'!$A:$A))-'Price History'!J3)*(ROW()-3)/(MATCH(9.99E+307,'Returns (Calc)'!$A:$A)-3),"")</f>
        <v>11.8099367088608</v>
      </c>
      <c r="AF134" s="144" t="n">
        <f aca="false">IFERROR('Price History'!K3+(INDEX('Price History'!K:K,MATCH(9.99E+307,'Price History'!$A:$A))-'Price History'!K3)*(ROW()-3)/(MATCH(9.99E+307,'Returns (Calc)'!$A:$A)-3),"")</f>
        <v>7.4796835443038</v>
      </c>
      <c r="AG134" s="144" t="n">
        <f aca="false">IFERROR('Price History'!L3+(INDEX('Price History'!L:L,MATCH(9.99E+307,'Price History'!$A:$A))-'Price History'!L3)*(ROW()-3)/(MATCH(9.99E+307,'Returns (Calc)'!$A:$A)-3),"")</f>
        <v>19.1118987341772</v>
      </c>
      <c r="AH134" s="144" t="n">
        <f aca="false">IFERROR('Price History'!M3+(INDEX('Price History'!M:M,MATCH(9.99E+307,'Price History'!$A:$A))-'Price History'!M3)*(ROW()-3)/(MATCH(9.99E+307,'Returns (Calc)'!$A:$A)-3),"")</f>
        <v>2.6196835443038</v>
      </c>
      <c r="AI134" s="144" t="n">
        <f aca="false">IFERROR('Price History'!N3+(INDEX('Price History'!N:N,MATCH(9.99E+307,'Price History'!$A:$A))-'Price History'!N3)*(ROW()-3)/(MATCH(9.99E+307,'Returns (Calc)'!$A:$A)-3),"")</f>
        <v>3.7253164556962</v>
      </c>
      <c r="AJ134" s="144" t="n">
        <f aca="false">IFERROR('Price History'!O3+(INDEX('Price History'!O:O,MATCH(9.99E+307,'Price History'!$A:$A))-'Price History'!O3)*(ROW()-3)/(MATCH(9.99E+307,'Returns (Calc)'!$A:$A)-3),"")</f>
        <v>9.84816455696203</v>
      </c>
      <c r="AK134" s="144" t="n">
        <f aca="false">IFERROR('Price History'!Q3+(INDEX('Price History'!Q:Q,MATCH(9.99E+307,'Price History'!$A:$A))-'Price History'!Q3)*(ROW()-3)/(MATCH(9.99E+307,'Returns (Calc)'!$A:$A)-3),"")</f>
        <v>40.2658860759494</v>
      </c>
      <c r="AL134" s="144" t="n">
        <f aca="false">IFERROR('Price History'!R3+(INDEX('Price History'!R:R,MATCH(9.99E+307,'Price History'!$A:$A))-'Price History'!R3)*(ROW()-3)/(MATCH(9.99E+307,'Returns (Calc)'!$A:$A)-3),"")</f>
        <v>8.17177215189874</v>
      </c>
      <c r="AM134" s="144" t="n">
        <f aca="false">IFERROR('Price History'!S3+(INDEX('Price History'!S:S,MATCH(9.99E+307,'Price History'!$A:$A))-'Price History'!S3)*(ROW()-3)/(MATCH(9.99E+307,'Returns (Calc)'!$A:$A)-3),"")</f>
        <v>10.003670886076</v>
      </c>
      <c r="AN134" s="144" t="n">
        <f aca="false">IFERROR('Price History'!T3+(INDEX('Price History'!T:T,MATCH(9.99E+307,'Price History'!$A:$A))-'Price History'!T3)*(ROW()-3)/(MATCH(9.99E+307,'Returns (Calc)'!$A:$A)-3),"")</f>
        <v>4.59854430379747</v>
      </c>
      <c r="AO134" s="145" t="n">
        <f aca="false">IFERROR('Price History'!V3+(INDEX('Price History'!V:V,MATCH(9.99E+307,'Price History'!$A:$A))-'Price History'!V3)*(ROW()-3)/(MATCH(9.99E+307,'Returns (Calc)'!$A:$A)-3),"")</f>
        <v>0</v>
      </c>
    </row>
    <row r="135" customFormat="false" ht="15" hidden="false" customHeight="true" outlineLevel="0" collapsed="false">
      <c r="A135" s="141" t="n">
        <f aca="false">IF('Price History'!A136="","",'Price History'!A136)</f>
        <v>46115</v>
      </c>
      <c r="B135" s="142" t="n">
        <f aca="false">IFERROR(IF(OR(NOT(ISNUMBER('Price History'!B136)),NOT(ISNUMBER('Price History'!B135)),'Price History'!B135=0),"",'Price History'!B136/'Price History'!B135-1),"")</f>
        <v>0.0344064043604155</v>
      </c>
      <c r="C135" s="142" t="n">
        <f aca="false">IFERROR(IF(OR(NOT(ISNUMBER('Price History'!C136)),NOT(ISNUMBER('Price History'!C135)),'Price History'!C135=0),"",'Price History'!C136/'Price History'!C135-1),"")</f>
        <v>0.0489359940382546</v>
      </c>
      <c r="D135" s="142" t="n">
        <f aca="false">IFERROR(IF(OR(NOT(ISNUMBER('Price History'!D136)),NOT(ISNUMBER('Price History'!D135)),'Price History'!D135=0),"",'Price History'!D136/'Price History'!D135-1),"")</f>
        <v>0.0113332562887631</v>
      </c>
      <c r="E135" s="142" t="n">
        <f aca="false">IFERROR(IF(OR(NOT(ISNUMBER('Price History'!E136)),NOT(ISNUMBER('Price History'!E135)),'Price History'!E135=0),"",'Price History'!E136/'Price History'!E135-1),"")</f>
        <v>0.0461189347927651</v>
      </c>
      <c r="F135" s="142" t="n">
        <f aca="false">IFERROR(IF(OR(NOT(ISNUMBER('Price History'!F136)),NOT(ISNUMBER('Price History'!F135)),'Price History'!F135=0),"",'Price History'!F136/'Price History'!F135-1),"")</f>
        <v>0.0200977228726837</v>
      </c>
      <c r="G135" s="142" t="n">
        <f aca="false">IFERROR(IF(OR(NOT(ISNUMBER('Price History'!G136)),NOT(ISNUMBER('Price History'!G135)),'Price History'!G135=0),"",'Price History'!G136/'Price History'!G135-1),"")</f>
        <v>0.0799870115813399</v>
      </c>
      <c r="H135" s="142" t="n">
        <f aca="false">IFERROR(IF(OR(NOT(ISNUMBER('Price History'!H136)),NOT(ISNUMBER('Price History'!H135)),'Price History'!H135=0),"",'Price History'!H136/'Price History'!H135-1),"")</f>
        <v>0.0144789613214602</v>
      </c>
      <c r="I135" s="142" t="n">
        <f aca="false">IFERROR(IF(OR(NOT(ISNUMBER('Price History'!I136)),NOT(ISNUMBER('Price History'!I135)),'Price History'!I135=0),"",'Price History'!I136/'Price History'!I135-1),"")</f>
        <v>0.0510523025630338</v>
      </c>
      <c r="J135" s="142" t="n">
        <f aca="false">IFERROR(IF(OR(NOT(ISNUMBER('Price History'!J136)),NOT(ISNUMBER('Price History'!J135)),'Price History'!J135=0),"",'Price History'!J136/'Price History'!J135-1),"")</f>
        <v>0.0256568259481262</v>
      </c>
      <c r="K135" s="142" t="n">
        <f aca="false">IFERROR(IF(OR(NOT(ISNUMBER('Price History'!K136)),NOT(ISNUMBER('Price History'!K135)),'Price History'!K135=0),"",'Price History'!K136/'Price History'!K135-1),"")</f>
        <v>0.0589326313270313</v>
      </c>
      <c r="L135" s="142" t="n">
        <f aca="false">IFERROR(IF(OR(NOT(ISNUMBER('Price History'!L136)),NOT(ISNUMBER('Price History'!L135)),'Price History'!L135=0),"",'Price History'!L136/'Price History'!L135-1),"")</f>
        <v>0.0378071833648392</v>
      </c>
      <c r="M135" s="142" t="n">
        <f aca="false">IFERROR(IF(OR(NOT(ISNUMBER('Price History'!M136)),NOT(ISNUMBER('Price History'!M135)),'Price History'!M135=0),"",'Price History'!M136/'Price History'!M135-1),"")</f>
        <v>0.0377464001118413</v>
      </c>
      <c r="N135" s="142" t="n">
        <f aca="false">IFERROR(IF(OR(NOT(ISNUMBER('Price History'!N136)),NOT(ISNUMBER('Price History'!N135)),'Price History'!N135=0),"",'Price History'!N136/'Price History'!N135-1),"")</f>
        <v>0.00400534045393841</v>
      </c>
      <c r="O135" s="142" t="n">
        <f aca="false">IFERROR(IF(OR(NOT(ISNUMBER('Price History'!O136)),NOT(ISNUMBER('Price History'!O135)),'Price History'!O135=0),"",'Price History'!O136/'Price History'!O135-1),"")</f>
        <v>0.0401964350672972</v>
      </c>
      <c r="P135" s="142" t="n">
        <f aca="false">IFERROR(IF(OR(NOT(ISNUMBER('Price History'!P136)),NOT(ISNUMBER('Price History'!P135)),'Price History'!P135=0),"",'Price History'!P136/'Price History'!P135-1),"")</f>
        <v>0.0376499538603505</v>
      </c>
      <c r="Q135" s="142" t="n">
        <f aca="false">IFERROR(IF(OR(NOT(ISNUMBER('Price History'!Q136)),NOT(ISNUMBER('Price History'!Q135)),'Price History'!Q135=0),"",'Price History'!Q136/'Price History'!Q135-1),"")</f>
        <v>0.0178692757168093</v>
      </c>
      <c r="R135" s="142" t="n">
        <f aca="false">IFERROR(IF(OR(NOT(ISNUMBER('Price History'!R136)),NOT(ISNUMBER('Price History'!R135)),'Price History'!R135=0),"",'Price History'!R136/'Price History'!R135-1),"")</f>
        <v>-0.00189165950128978</v>
      </c>
      <c r="S135" s="142" t="n">
        <f aca="false">IFERROR(IF(OR(NOT(ISNUMBER('Price History'!S136)),NOT(ISNUMBER('Price History'!S135)),'Price History'!S135=0),"",'Price History'!S136/'Price History'!S135-1),"")</f>
        <v>-0.00408469489829944</v>
      </c>
      <c r="T135" s="142" t="n">
        <f aca="false">IFERROR(IF(OR(NOT(ISNUMBER('Price History'!T136)),NOT(ISNUMBER('Price History'!T135)),'Price History'!T135=0),"",'Price History'!T136/'Price History'!T135-1),"")</f>
        <v>0.00347050074367861</v>
      </c>
      <c r="U135" s="142" t="str">
        <f aca="false">IFERROR(IF(OR(NOT(ISNUMBER('Price History'!U136)),NOT(ISNUMBER('Price History'!U135)),'Price History'!U135=0),"",'Price History'!U136/'Price History'!U135-1),"")</f>
        <v/>
      </c>
      <c r="V135" s="143" t="n">
        <f aca="false">IFERROR(IF(OR(NOT(ISNUMBER('Price History'!V136)),NOT(ISNUMBER('Price History'!V135)),'Price History'!V135=0),"",'Price History'!V136/'Price History'!V135-1),"")</f>
        <v>-0.00250242422346647</v>
      </c>
      <c r="W135" s="144" t="str">
        <f aca="false">IFERROR('Price History'!B3+(INDEX('Price History'!B:B,MATCH(9.99E+307,'Price History'!$A:$A))-'Price History'!B3)*(ROW()-3)/(MATCH(9.99E+307,'Returns (Calc)'!$A:$A)-3),"")</f>
        <v/>
      </c>
      <c r="X135" s="144" t="n">
        <f aca="false">IFERROR('Price History'!C3+(INDEX('Price History'!C:C,MATCH(9.99E+307,'Price History'!$A:$A))-'Price History'!C3)*(ROW()-3)/(MATCH(9.99E+307,'Returns (Calc)'!$A:$A)-3),"")</f>
        <v>7.59924050632911</v>
      </c>
      <c r="Y135" s="144" t="n">
        <f aca="false">IFERROR('Price History'!D3+(INDEX('Price History'!D:D,MATCH(9.99E+307,'Price History'!$A:$A))-'Price History'!D3)*(ROW()-3)/(MATCH(9.99E+307,'Returns (Calc)'!$A:$A)-3),"")</f>
        <v>95.7737974683545</v>
      </c>
      <c r="Z135" s="144" t="n">
        <f aca="false">IFERROR('Price History'!E3+(INDEX('Price History'!E:E,MATCH(9.99E+307,'Price History'!$A:$A))-'Price History'!E3)*(ROW()-3)/(MATCH(9.99E+307,'Returns (Calc)'!$A:$A)-3),"")</f>
        <v>13.4936708860759</v>
      </c>
      <c r="AA135" s="144" t="n">
        <f aca="false">IFERROR('Price History'!F3+(INDEX('Price History'!F:F,MATCH(9.99E+307,'Price History'!$A:$A))-'Price History'!F3)*(ROW()-3)/(MATCH(9.99E+307,'Returns (Calc)'!$A:$A)-3),"")</f>
        <v>12.3927848101266</v>
      </c>
      <c r="AB135" s="144" t="n">
        <f aca="false">IFERROR('Price History'!G3+(INDEX('Price History'!G:G,MATCH(9.99E+307,'Price History'!$A:$A))-'Price History'!G3)*(ROW()-3)/(MATCH(9.99E+307,'Returns (Calc)'!$A:$A)-3),"")</f>
        <v>6.80607594936709</v>
      </c>
      <c r="AC135" s="144" t="n">
        <f aca="false">IFERROR('Price History'!H3+(INDEX('Price History'!H:H,MATCH(9.99E+307,'Price History'!$A:$A))-'Price History'!H3)*(ROW()-3)/(MATCH(9.99E+307,'Returns (Calc)'!$A:$A)-3),"")</f>
        <v>16.5527848101266</v>
      </c>
      <c r="AD135" s="144" t="n">
        <f aca="false">IFERROR('Price History'!I3+(INDEX('Price History'!I:I,MATCH(9.99E+307,'Price History'!$A:$A))-'Price History'!I3)*(ROW()-3)/(MATCH(9.99E+307,'Returns (Calc)'!$A:$A)-3),"")</f>
        <v>7.29810126582279</v>
      </c>
      <c r="AE135" s="144" t="n">
        <f aca="false">IFERROR('Price History'!J3+(INDEX('Price History'!J:J,MATCH(9.99E+307,'Price History'!$A:$A))-'Price History'!J3)*(ROW()-3)/(MATCH(9.99E+307,'Returns (Calc)'!$A:$A)-3),"")</f>
        <v>11.3725316455696</v>
      </c>
      <c r="AF135" s="144" t="n">
        <f aca="false">IFERROR('Price History'!K3+(INDEX('Price History'!K:K,MATCH(9.99E+307,'Price History'!$A:$A))-'Price History'!K3)*(ROW()-3)/(MATCH(9.99E+307,'Returns (Calc)'!$A:$A)-3),"")</f>
        <v>7.2026582278481</v>
      </c>
      <c r="AG135" s="144" t="n">
        <f aca="false">IFERROR('Price History'!L3+(INDEX('Price History'!L:L,MATCH(9.99E+307,'Price History'!$A:$A))-'Price History'!L3)*(ROW()-3)/(MATCH(9.99E+307,'Returns (Calc)'!$A:$A)-3),"")</f>
        <v>18.4040506329114</v>
      </c>
      <c r="AH135" s="144" t="n">
        <f aca="false">IFERROR('Price History'!M3+(INDEX('Price History'!M:M,MATCH(9.99E+307,'Price History'!$A:$A))-'Price History'!M3)*(ROW()-3)/(MATCH(9.99E+307,'Returns (Calc)'!$A:$A)-3),"")</f>
        <v>2.5226582278481</v>
      </c>
      <c r="AI135" s="144" t="n">
        <f aca="false">IFERROR('Price History'!N3+(INDEX('Price History'!N:N,MATCH(9.99E+307,'Price History'!$A:$A))-'Price History'!N3)*(ROW()-3)/(MATCH(9.99E+307,'Returns (Calc)'!$A:$A)-3),"")</f>
        <v>3.5873417721519</v>
      </c>
      <c r="AJ135" s="144" t="n">
        <f aca="false">IFERROR('Price History'!O3+(INDEX('Price History'!O:O,MATCH(9.99E+307,'Price History'!$A:$A))-'Price History'!O3)*(ROW()-3)/(MATCH(9.99E+307,'Returns (Calc)'!$A:$A)-3),"")</f>
        <v>9.48341772151898</v>
      </c>
      <c r="AK135" s="144" t="n">
        <f aca="false">IFERROR('Price History'!Q3+(INDEX('Price History'!Q:Q,MATCH(9.99E+307,'Price History'!$A:$A))-'Price History'!Q3)*(ROW()-3)/(MATCH(9.99E+307,'Returns (Calc)'!$A:$A)-3),"")</f>
        <v>38.7745569620253</v>
      </c>
      <c r="AL135" s="144" t="n">
        <f aca="false">IFERROR('Price History'!R3+(INDEX('Price History'!R:R,MATCH(9.99E+307,'Price History'!$A:$A))-'Price History'!R3)*(ROW()-3)/(MATCH(9.99E+307,'Returns (Calc)'!$A:$A)-3),"")</f>
        <v>7.86911392405064</v>
      </c>
      <c r="AM135" s="144" t="n">
        <f aca="false">IFERROR('Price History'!S3+(INDEX('Price History'!S:S,MATCH(9.99E+307,'Price History'!$A:$A))-'Price History'!S3)*(ROW()-3)/(MATCH(9.99E+307,'Returns (Calc)'!$A:$A)-3),"")</f>
        <v>9.63316455696203</v>
      </c>
      <c r="AN135" s="144" t="n">
        <f aca="false">IFERROR('Price History'!T3+(INDEX('Price History'!T:T,MATCH(9.99E+307,'Price History'!$A:$A))-'Price History'!T3)*(ROW()-3)/(MATCH(9.99E+307,'Returns (Calc)'!$A:$A)-3),"")</f>
        <v>4.42822784810127</v>
      </c>
      <c r="AO135" s="145" t="n">
        <f aca="false">IFERROR('Price History'!V3+(INDEX('Price History'!V:V,MATCH(9.99E+307,'Price History'!$A:$A))-'Price History'!V3)*(ROW()-3)/(MATCH(9.99E+307,'Returns (Calc)'!$A:$A)-3),"")</f>
        <v>0</v>
      </c>
    </row>
    <row r="136" customFormat="false" ht="15" hidden="false" customHeight="true" outlineLevel="0" collapsed="false">
      <c r="A136" s="141" t="n">
        <f aca="false">IF('Price History'!A137="","",'Price History'!A137)</f>
        <v>46122</v>
      </c>
      <c r="B136" s="142" t="n">
        <f aca="false">IFERROR(IF(OR(NOT(ISNUMBER('Price History'!B137)),NOT(ISNUMBER('Price History'!B136)),'Price History'!B136=0),"",'Price History'!B137/'Price History'!B136-1),"")</f>
        <v>-0.07232833854767</v>
      </c>
      <c r="C136" s="142" t="n">
        <f aca="false">IFERROR(IF(OR(NOT(ISNUMBER('Price History'!C137)),NOT(ISNUMBER('Price History'!C136)),'Price History'!C136=0),"",'Price History'!C137/'Price History'!C136-1),"")</f>
        <v>0.163167035048942</v>
      </c>
      <c r="D136" s="142" t="n">
        <f aca="false">IFERROR(IF(OR(NOT(ISNUMBER('Price History'!D137)),NOT(ISNUMBER('Price History'!D136)),'Price History'!D136=0),"",'Price History'!D137/'Price History'!D136-1),"")</f>
        <v>0.122263190772934</v>
      </c>
      <c r="E136" s="142" t="n">
        <f aca="false">IFERROR(IF(OR(NOT(ISNUMBER('Price History'!E137)),NOT(ISNUMBER('Price History'!E136)),'Price History'!E136=0),"",'Price History'!E137/'Price History'!E136-1),"")</f>
        <v>0.181223682531581</v>
      </c>
      <c r="F136" s="142" t="n">
        <f aca="false">IFERROR(IF(OR(NOT(ISNUMBER('Price History'!F137)),NOT(ISNUMBER('Price History'!F136)),'Price History'!F136=0),"",'Price History'!F137/'Price History'!F136-1),"")</f>
        <v>0.029733393583371</v>
      </c>
      <c r="G136" s="142" t="n">
        <f aca="false">IFERROR(IF(OR(NOT(ISNUMBER('Price History'!G137)),NOT(ISNUMBER('Price History'!G136)),'Price History'!G136=0),"",'Price History'!G137/'Price History'!G136-1),"")</f>
        <v>-0.0504109039887753</v>
      </c>
      <c r="H136" s="142" t="n">
        <f aca="false">IFERROR(IF(OR(NOT(ISNUMBER('Price History'!H137)),NOT(ISNUMBER('Price History'!H136)),'Price History'!H136=0),"",'Price History'!H137/'Price History'!H136-1),"")</f>
        <v>0.00515947467166966</v>
      </c>
      <c r="I136" s="142" t="n">
        <f aca="false">IFERROR(IF(OR(NOT(ISNUMBER('Price History'!I137)),NOT(ISNUMBER('Price History'!I136)),'Price History'!I136=0),"",'Price History'!I137/'Price History'!I136-1),"")</f>
        <v>0.145321173671689</v>
      </c>
      <c r="J136" s="142" t="n">
        <f aca="false">IFERROR(IF(OR(NOT(ISNUMBER('Price History'!J137)),NOT(ISNUMBER('Price History'!J136)),'Price History'!J136=0),"",'Price History'!J137/'Price History'!J136-1),"")</f>
        <v>0.14842427221585</v>
      </c>
      <c r="K136" s="142" t="n">
        <f aca="false">IFERROR(IF(OR(NOT(ISNUMBER('Price History'!K137)),NOT(ISNUMBER('Price History'!K136)),'Price History'!K136=0),"",'Price History'!K137/'Price History'!K136-1),"")</f>
        <v>0.0633369116899258</v>
      </c>
      <c r="L136" s="142" t="n">
        <f aca="false">IFERROR(IF(OR(NOT(ISNUMBER('Price History'!L137)),NOT(ISNUMBER('Price History'!L136)),'Price History'!L136=0),"",'Price History'!L137/'Price History'!L136-1),"")</f>
        <v>0.0255768063145112</v>
      </c>
      <c r="M136" s="142" t="n">
        <f aca="false">IFERROR(IF(OR(NOT(ISNUMBER('Price History'!M137)),NOT(ISNUMBER('Price History'!M136)),'Price History'!M136=0),"",'Price History'!M137/'Price History'!M136-1),"")</f>
        <v>-0.13741075037047</v>
      </c>
      <c r="N136" s="142" t="n">
        <f aca="false">IFERROR(IF(OR(NOT(ISNUMBER('Price History'!N137)),NOT(ISNUMBER('Price History'!N136)),'Price History'!N136=0),"",'Price History'!N137/'Price History'!N136-1),"")</f>
        <v>0</v>
      </c>
      <c r="O136" s="142" t="n">
        <f aca="false">IFERROR(IF(OR(NOT(ISNUMBER('Price History'!O137)),NOT(ISNUMBER('Price History'!O136)),'Price History'!O136=0),"",'Price History'!O137/'Price History'!O136-1),"")</f>
        <v>0.0749256863087953</v>
      </c>
      <c r="P136" s="142" t="n">
        <f aca="false">IFERROR(IF(OR(NOT(ISNUMBER('Price History'!P137)),NOT(ISNUMBER('Price History'!P136)),'Price History'!P136=0),"",'Price History'!P137/'Price History'!P136-1),"")</f>
        <v>0.0930811644038656</v>
      </c>
      <c r="Q136" s="142" t="n">
        <f aca="false">IFERROR(IF(OR(NOT(ISNUMBER('Price History'!Q137)),NOT(ISNUMBER('Price History'!Q136)),'Price History'!Q136=0),"",'Price History'!Q137/'Price History'!Q136-1),"")</f>
        <v>0.0118483412322274</v>
      </c>
      <c r="R136" s="142" t="n">
        <f aca="false">IFERROR(IF(OR(NOT(ISNUMBER('Price History'!R137)),NOT(ISNUMBER('Price History'!R136)),'Price History'!R136=0),"",'Price History'!R137/'Price History'!R136-1),"")</f>
        <v>-0.0205031013094418</v>
      </c>
      <c r="S136" s="142" t="n">
        <f aca="false">IFERROR(IF(OR(NOT(ISNUMBER('Price History'!S137)),NOT(ISNUMBER('Price History'!S136)),'Price History'!S136=0),"",'Price History'!S137/'Price History'!S136-1),"")</f>
        <v>-0.0102954716665272</v>
      </c>
      <c r="T136" s="142" t="n">
        <f aca="false">IFERROR(IF(OR(NOT(ISNUMBER('Price History'!T137)),NOT(ISNUMBER('Price History'!T136)),'Price History'!T136=0),"",'Price History'!T137/'Price History'!T136-1),"")</f>
        <v>-0.00914031620553357</v>
      </c>
      <c r="U136" s="142" t="str">
        <f aca="false">IFERROR(IF(OR(NOT(ISNUMBER('Price History'!U137)),NOT(ISNUMBER('Price History'!U136)),'Price History'!U136=0),"",'Price History'!U137/'Price History'!U136-1),"")</f>
        <v/>
      </c>
      <c r="V136" s="143" t="n">
        <f aca="false">IFERROR(IF(OR(NOT(ISNUMBER('Price History'!V137)),NOT(ISNUMBER('Price History'!V136)),'Price History'!V136=0),"",'Price History'!V137/'Price History'!V136-1),"")</f>
        <v>-0.00868638088369023</v>
      </c>
      <c r="W136" s="144" t="str">
        <f aca="false">IFERROR('Price History'!B3+(INDEX('Price History'!B:B,MATCH(9.99E+307,'Price History'!$A:$A))-'Price History'!B3)*(ROW()-3)/(MATCH(9.99E+307,'Returns (Calc)'!$A:$A)-3),"")</f>
        <v/>
      </c>
      <c r="X136" s="144" t="n">
        <f aca="false">IFERROR('Price History'!C3+(INDEX('Price History'!C:C,MATCH(9.99E+307,'Price History'!$A:$A))-'Price History'!C3)*(ROW()-3)/(MATCH(9.99E+307,'Returns (Calc)'!$A:$A)-3),"")</f>
        <v>7.30696202531646</v>
      </c>
      <c r="Y136" s="144" t="n">
        <f aca="false">IFERROR('Price History'!D3+(INDEX('Price History'!D:D,MATCH(9.99E+307,'Price History'!$A:$A))-'Price History'!D3)*(ROW()-3)/(MATCH(9.99E+307,'Returns (Calc)'!$A:$A)-3),"")</f>
        <v>92.0901898734177</v>
      </c>
      <c r="Z136" s="144" t="n">
        <f aca="false">IFERROR('Price History'!E3+(INDEX('Price History'!E:E,MATCH(9.99E+307,'Price History'!$A:$A))-'Price History'!E3)*(ROW()-3)/(MATCH(9.99E+307,'Returns (Calc)'!$A:$A)-3),"")</f>
        <v>12.9746835443038</v>
      </c>
      <c r="AA136" s="144" t="n">
        <f aca="false">IFERROR('Price History'!F3+(INDEX('Price History'!F:F,MATCH(9.99E+307,'Price History'!$A:$A))-'Price History'!F3)*(ROW()-3)/(MATCH(9.99E+307,'Returns (Calc)'!$A:$A)-3),"")</f>
        <v>11.9161392405063</v>
      </c>
      <c r="AB136" s="144" t="n">
        <f aca="false">IFERROR('Price History'!G3+(INDEX('Price History'!G:G,MATCH(9.99E+307,'Price History'!$A:$A))-'Price History'!G3)*(ROW()-3)/(MATCH(9.99E+307,'Returns (Calc)'!$A:$A)-3),"")</f>
        <v>6.54430379746835</v>
      </c>
      <c r="AC136" s="144" t="n">
        <f aca="false">IFERROR('Price History'!H3+(INDEX('Price History'!H:H,MATCH(9.99E+307,'Price History'!$A:$A))-'Price History'!H3)*(ROW()-3)/(MATCH(9.99E+307,'Returns (Calc)'!$A:$A)-3),"")</f>
        <v>15.9161392405063</v>
      </c>
      <c r="AD136" s="144" t="n">
        <f aca="false">IFERROR('Price History'!I3+(INDEX('Price History'!I:I,MATCH(9.99E+307,'Price History'!$A:$A))-'Price History'!I3)*(ROW()-3)/(MATCH(9.99E+307,'Returns (Calc)'!$A:$A)-3),"")</f>
        <v>7.01740506329114</v>
      </c>
      <c r="AE136" s="144" t="n">
        <f aca="false">IFERROR('Price History'!J3+(INDEX('Price History'!J:J,MATCH(9.99E+307,'Price History'!$A:$A))-'Price History'!J3)*(ROW()-3)/(MATCH(9.99E+307,'Returns (Calc)'!$A:$A)-3),"")</f>
        <v>10.9351265822785</v>
      </c>
      <c r="AF136" s="144" t="n">
        <f aca="false">IFERROR('Price History'!K3+(INDEX('Price History'!K:K,MATCH(9.99E+307,'Price History'!$A:$A))-'Price History'!K3)*(ROW()-3)/(MATCH(9.99E+307,'Returns (Calc)'!$A:$A)-3),"")</f>
        <v>6.92563291139241</v>
      </c>
      <c r="AG136" s="144" t="n">
        <f aca="false">IFERROR('Price History'!L3+(INDEX('Price History'!L:L,MATCH(9.99E+307,'Price History'!$A:$A))-'Price History'!L3)*(ROW()-3)/(MATCH(9.99E+307,'Returns (Calc)'!$A:$A)-3),"")</f>
        <v>17.6962025316456</v>
      </c>
      <c r="AH136" s="144" t="n">
        <f aca="false">IFERROR('Price History'!M3+(INDEX('Price History'!M:M,MATCH(9.99E+307,'Price History'!$A:$A))-'Price History'!M3)*(ROW()-3)/(MATCH(9.99E+307,'Returns (Calc)'!$A:$A)-3),"")</f>
        <v>2.42563291139241</v>
      </c>
      <c r="AI136" s="144" t="n">
        <f aca="false">IFERROR('Price History'!N3+(INDEX('Price History'!N:N,MATCH(9.99E+307,'Price History'!$A:$A))-'Price History'!N3)*(ROW()-3)/(MATCH(9.99E+307,'Returns (Calc)'!$A:$A)-3),"")</f>
        <v>3.44936708860759</v>
      </c>
      <c r="AJ136" s="144" t="n">
        <f aca="false">IFERROR('Price History'!O3+(INDEX('Price History'!O:O,MATCH(9.99E+307,'Price History'!$A:$A))-'Price History'!O3)*(ROW()-3)/(MATCH(9.99E+307,'Returns (Calc)'!$A:$A)-3),"")</f>
        <v>9.11867088607595</v>
      </c>
      <c r="AK136" s="144" t="n">
        <f aca="false">IFERROR('Price History'!Q3+(INDEX('Price History'!Q:Q,MATCH(9.99E+307,'Price History'!$A:$A))-'Price History'!Q3)*(ROW()-3)/(MATCH(9.99E+307,'Returns (Calc)'!$A:$A)-3),"")</f>
        <v>37.2832278481013</v>
      </c>
      <c r="AL136" s="144" t="n">
        <f aca="false">IFERROR('Price History'!R3+(INDEX('Price History'!R:R,MATCH(9.99E+307,'Price History'!$A:$A))-'Price History'!R3)*(ROW()-3)/(MATCH(9.99E+307,'Returns (Calc)'!$A:$A)-3),"")</f>
        <v>7.56645569620253</v>
      </c>
      <c r="AM136" s="144" t="n">
        <f aca="false">IFERROR('Price History'!S3+(INDEX('Price History'!S:S,MATCH(9.99E+307,'Price History'!$A:$A))-'Price History'!S3)*(ROW()-3)/(MATCH(9.99E+307,'Returns (Calc)'!$A:$A)-3),"")</f>
        <v>9.2626582278481</v>
      </c>
      <c r="AN136" s="144" t="n">
        <f aca="false">IFERROR('Price History'!T3+(INDEX('Price History'!T:T,MATCH(9.99E+307,'Price History'!$A:$A))-'Price History'!T3)*(ROW()-3)/(MATCH(9.99E+307,'Returns (Calc)'!$A:$A)-3),"")</f>
        <v>4.25791139240506</v>
      </c>
      <c r="AO136" s="145" t="n">
        <f aca="false">IFERROR('Price History'!V3+(INDEX('Price History'!V:V,MATCH(9.99E+307,'Price History'!$A:$A))-'Price History'!V3)*(ROW()-3)/(MATCH(9.99E+307,'Returns (Calc)'!$A:$A)-3),"")</f>
        <v>0</v>
      </c>
    </row>
    <row r="137" customFormat="false" ht="15" hidden="false" customHeight="true" outlineLevel="0" collapsed="false">
      <c r="A137" s="141" t="n">
        <f aca="false">IF('Price History'!A138="","",'Price History'!A138)</f>
        <v>46129</v>
      </c>
      <c r="B137" s="142" t="n">
        <f aca="false">IFERROR(IF(OR(NOT(ISNUMBER('Price History'!B138)),NOT(ISNUMBER('Price History'!B137)),'Price History'!B137=0),"",'Price History'!B138/'Price History'!B137-1),"")</f>
        <v>0.0847570445972932</v>
      </c>
      <c r="C137" s="142" t="n">
        <f aca="false">IFERROR(IF(OR(NOT(ISNUMBER('Price History'!C138)),NOT(ISNUMBER('Price History'!C137)),'Price History'!C137=0),"",'Price History'!C138/'Price History'!C137-1),"")</f>
        <v>0.114557176789956</v>
      </c>
      <c r="D137" s="142" t="n">
        <f aca="false">IFERROR(IF(OR(NOT(ISNUMBER('Price History'!D138)),NOT(ISNUMBER('Price History'!D137)),'Price History'!D137=0),"",'Price History'!D138/'Price History'!D137-1),"")</f>
        <v>-0.012497030173438</v>
      </c>
      <c r="E137" s="142" t="n">
        <f aca="false">IFERROR(IF(OR(NOT(ISNUMBER('Price History'!E138)),NOT(ISNUMBER('Price History'!E137)),'Price History'!E137=0),"",'Price History'!E138/'Price History'!E137-1),"")</f>
        <v>0.0941694347673445</v>
      </c>
      <c r="F137" s="142" t="n">
        <f aca="false">IFERROR(IF(OR(NOT(ISNUMBER('Price History'!F138)),NOT(ISNUMBER('Price History'!F137)),'Price History'!F137=0),"",'Price History'!F138/'Price History'!F137-1),"")</f>
        <v>0.0243110408987186</v>
      </c>
      <c r="G137" s="142" t="n">
        <f aca="false">IFERROR(IF(OR(NOT(ISNUMBER('Price History'!G138)),NOT(ISNUMBER('Price History'!G137)),'Price History'!G137=0),"",'Price History'!G138/'Price History'!G137-1),"")</f>
        <v>0.118627968337731</v>
      </c>
      <c r="H137" s="142" t="n">
        <f aca="false">IFERROR(IF(OR(NOT(ISNUMBER('Price History'!H138)),NOT(ISNUMBER('Price History'!H137)),'Price History'!H137=0),"",'Price History'!H138/'Price History'!H137-1),"")</f>
        <v>0.00459969335377641</v>
      </c>
      <c r="I137" s="142" t="n">
        <f aca="false">IFERROR(IF(OR(NOT(ISNUMBER('Price History'!I138)),NOT(ISNUMBER('Price History'!I137)),'Price History'!I137=0),"",'Price History'!I138/'Price History'!I137-1),"")</f>
        <v>0.0311580405054528</v>
      </c>
      <c r="J137" s="142" t="n">
        <f aca="false">IFERROR(IF(OR(NOT(ISNUMBER('Price History'!J138)),NOT(ISNUMBER('Price History'!J137)),'Price History'!J137=0),"",'Price History'!J138/'Price History'!J137-1),"")</f>
        <v>0.0819679927710271</v>
      </c>
      <c r="K137" s="142" t="n">
        <f aca="false">IFERROR(IF(OR(NOT(ISNUMBER('Price History'!K138)),NOT(ISNUMBER('Price History'!K137)),'Price History'!K137=0),"",'Price History'!K138/'Price History'!K137-1),"")</f>
        <v>0.069181721572795</v>
      </c>
      <c r="L137" s="142" t="n">
        <f aca="false">IFERROR(IF(OR(NOT(ISNUMBER('Price History'!L138)),NOT(ISNUMBER('Price History'!L137)),'Price History'!L137=0),"",'Price History'!L138/'Price History'!L137-1),"")</f>
        <v>0.0576481906312438</v>
      </c>
      <c r="M137" s="142" t="n">
        <f aca="false">IFERROR(IF(OR(NOT(ISNUMBER('Price History'!M138)),NOT(ISNUMBER('Price History'!M137)),'Price History'!M137=0),"",'Price History'!M138/'Price History'!M137-1),"")</f>
        <v>0.143136029985944</v>
      </c>
      <c r="N137" s="142" t="n">
        <f aca="false">IFERROR(IF(OR(NOT(ISNUMBER('Price History'!N138)),NOT(ISNUMBER('Price History'!N137)),'Price History'!N137=0),"",'Price History'!N138/'Price History'!N137-1),"")</f>
        <v>0.0159574468085106</v>
      </c>
      <c r="O137" s="142" t="n">
        <f aca="false">IFERROR(IF(OR(NOT(ISNUMBER('Price History'!O138)),NOT(ISNUMBER('Price History'!O137)),'Price History'!O137=0),"",'Price History'!O138/'Price History'!O137-1),"")</f>
        <v>0.0401789345262302</v>
      </c>
      <c r="P137" s="142" t="n">
        <f aca="false">IFERROR(IF(OR(NOT(ISNUMBER('Price History'!P138)),NOT(ISNUMBER('Price History'!P137)),'Price History'!P137=0),"",'Price History'!P138/'Price History'!P137-1),"")</f>
        <v>-0.0002440744155775</v>
      </c>
      <c r="Q137" s="142" t="n">
        <f aca="false">IFERROR(IF(OR(NOT(ISNUMBER('Price History'!Q138)),NOT(ISNUMBER('Price History'!Q137)),'Price History'!Q137=0),"",'Price History'!Q138/'Price History'!Q137-1),"")</f>
        <v>0.0415938252465613</v>
      </c>
      <c r="R137" s="142" t="n">
        <f aca="false">IFERROR(IF(OR(NOT(ISNUMBER('Price History'!R138)),NOT(ISNUMBER('Price History'!R137)),'Price History'!R137=0),"",'Price History'!R138/'Price History'!R137-1),"")</f>
        <v>-0.00510114335971856</v>
      </c>
      <c r="S137" s="142" t="n">
        <f aca="false">IFERROR(IF(OR(NOT(ISNUMBER('Price History'!S138)),NOT(ISNUMBER('Price History'!S137)),'Price History'!S137=0),"",'Price History'!S138/'Price History'!S137-1),"")</f>
        <v>-0.0174221921515561</v>
      </c>
      <c r="T137" s="142" t="n">
        <f aca="false">IFERROR(IF(OR(NOT(ISNUMBER('Price History'!T138)),NOT(ISNUMBER('Price History'!T137)),'Price History'!T137=0),"",'Price History'!T138/'Price History'!T137-1),"")</f>
        <v>-0.0226876090750435</v>
      </c>
      <c r="U137" s="142" t="str">
        <f aca="false">IFERROR(IF(OR(NOT(ISNUMBER('Price History'!U138)),NOT(ISNUMBER('Price History'!U137)),'Price History'!U137=0),"",'Price History'!U138/'Price History'!U137-1),"")</f>
        <v/>
      </c>
      <c r="V137" s="143" t="n">
        <f aca="false">IFERROR(IF(OR(NOT(ISNUMBER('Price History'!V138)),NOT(ISNUMBER('Price History'!V137)),'Price History'!V137=0),"",'Price History'!V138/'Price History'!V137-1),"")</f>
        <v>-0.0322029609009237</v>
      </c>
      <c r="W137" s="144" t="str">
        <f aca="false">IFERROR('Price History'!B3+(INDEX('Price History'!B:B,MATCH(9.99E+307,'Price History'!$A:$A))-'Price History'!B3)*(ROW()-3)/(MATCH(9.99E+307,'Returns (Calc)'!$A:$A)-3),"")</f>
        <v/>
      </c>
      <c r="X137" s="144" t="n">
        <f aca="false">IFERROR('Price History'!C3+(INDEX('Price History'!C:C,MATCH(9.99E+307,'Price History'!$A:$A))-'Price History'!C3)*(ROW()-3)/(MATCH(9.99E+307,'Returns (Calc)'!$A:$A)-3),"")</f>
        <v>7.0146835443038</v>
      </c>
      <c r="Y137" s="144" t="n">
        <f aca="false">IFERROR('Price History'!D3+(INDEX('Price History'!D:D,MATCH(9.99E+307,'Price History'!$A:$A))-'Price History'!D3)*(ROW()-3)/(MATCH(9.99E+307,'Returns (Calc)'!$A:$A)-3),"")</f>
        <v>88.406582278481</v>
      </c>
      <c r="Z137" s="144" t="n">
        <f aca="false">IFERROR('Price History'!E3+(INDEX('Price History'!E:E,MATCH(9.99E+307,'Price History'!$A:$A))-'Price History'!E3)*(ROW()-3)/(MATCH(9.99E+307,'Returns (Calc)'!$A:$A)-3),"")</f>
        <v>12.4556962025316</v>
      </c>
      <c r="AA137" s="144" t="n">
        <f aca="false">IFERROR('Price History'!F3+(INDEX('Price History'!F:F,MATCH(9.99E+307,'Price History'!$A:$A))-'Price History'!F3)*(ROW()-3)/(MATCH(9.99E+307,'Returns (Calc)'!$A:$A)-3),"")</f>
        <v>11.4394936708861</v>
      </c>
      <c r="AB137" s="144" t="n">
        <f aca="false">IFERROR('Price History'!G3+(INDEX('Price History'!G:G,MATCH(9.99E+307,'Price History'!$A:$A))-'Price History'!G3)*(ROW()-3)/(MATCH(9.99E+307,'Returns (Calc)'!$A:$A)-3),"")</f>
        <v>6.28253164556962</v>
      </c>
      <c r="AC137" s="144" t="n">
        <f aca="false">IFERROR('Price History'!H3+(INDEX('Price History'!H:H,MATCH(9.99E+307,'Price History'!$A:$A))-'Price History'!H3)*(ROW()-3)/(MATCH(9.99E+307,'Returns (Calc)'!$A:$A)-3),"")</f>
        <v>15.2794936708861</v>
      </c>
      <c r="AD137" s="144" t="n">
        <f aca="false">IFERROR('Price History'!I3+(INDEX('Price History'!I:I,MATCH(9.99E+307,'Price History'!$A:$A))-'Price History'!I3)*(ROW()-3)/(MATCH(9.99E+307,'Returns (Calc)'!$A:$A)-3),"")</f>
        <v>6.73670886075949</v>
      </c>
      <c r="AE137" s="144" t="n">
        <f aca="false">IFERROR('Price History'!J3+(INDEX('Price History'!J:J,MATCH(9.99E+307,'Price History'!$A:$A))-'Price History'!J3)*(ROW()-3)/(MATCH(9.99E+307,'Returns (Calc)'!$A:$A)-3),"")</f>
        <v>10.4977215189873</v>
      </c>
      <c r="AF137" s="144" t="n">
        <f aca="false">IFERROR('Price History'!K3+(INDEX('Price History'!K:K,MATCH(9.99E+307,'Price History'!$A:$A))-'Price History'!K3)*(ROW()-3)/(MATCH(9.99E+307,'Returns (Calc)'!$A:$A)-3),"")</f>
        <v>6.64860759493671</v>
      </c>
      <c r="AG137" s="144" t="n">
        <f aca="false">IFERROR('Price History'!L3+(INDEX('Price History'!L:L,MATCH(9.99E+307,'Price History'!$A:$A))-'Price History'!L3)*(ROW()-3)/(MATCH(9.99E+307,'Returns (Calc)'!$A:$A)-3),"")</f>
        <v>16.9883544303797</v>
      </c>
      <c r="AH137" s="144" t="n">
        <f aca="false">IFERROR('Price History'!M3+(INDEX('Price History'!M:M,MATCH(9.99E+307,'Price History'!$A:$A))-'Price History'!M3)*(ROW()-3)/(MATCH(9.99E+307,'Returns (Calc)'!$A:$A)-3),"")</f>
        <v>2.32860759493671</v>
      </c>
      <c r="AI137" s="144" t="n">
        <f aca="false">IFERROR('Price History'!N3+(INDEX('Price History'!N:N,MATCH(9.99E+307,'Price History'!$A:$A))-'Price History'!N3)*(ROW()-3)/(MATCH(9.99E+307,'Returns (Calc)'!$A:$A)-3),"")</f>
        <v>3.31139240506329</v>
      </c>
      <c r="AJ137" s="144" t="n">
        <f aca="false">IFERROR('Price History'!O3+(INDEX('Price History'!O:O,MATCH(9.99E+307,'Price History'!$A:$A))-'Price History'!O3)*(ROW()-3)/(MATCH(9.99E+307,'Returns (Calc)'!$A:$A)-3),"")</f>
        <v>8.75392405063291</v>
      </c>
      <c r="AK137" s="144" t="n">
        <f aca="false">IFERROR('Price History'!Q3+(INDEX('Price History'!Q:Q,MATCH(9.99E+307,'Price History'!$A:$A))-'Price History'!Q3)*(ROW()-3)/(MATCH(9.99E+307,'Returns (Calc)'!$A:$A)-3),"")</f>
        <v>35.7918987341772</v>
      </c>
      <c r="AL137" s="144" t="n">
        <f aca="false">IFERROR('Price History'!R3+(INDEX('Price History'!R:R,MATCH(9.99E+307,'Price History'!$A:$A))-'Price History'!R3)*(ROW()-3)/(MATCH(9.99E+307,'Returns (Calc)'!$A:$A)-3),"")</f>
        <v>7.26379746835443</v>
      </c>
      <c r="AM137" s="144" t="n">
        <f aca="false">IFERROR('Price History'!S3+(INDEX('Price History'!S:S,MATCH(9.99E+307,'Price History'!$A:$A))-'Price History'!S3)*(ROW()-3)/(MATCH(9.99E+307,'Returns (Calc)'!$A:$A)-3),"")</f>
        <v>8.89215189873418</v>
      </c>
      <c r="AN137" s="144" t="n">
        <f aca="false">IFERROR('Price History'!T3+(INDEX('Price History'!T:T,MATCH(9.99E+307,'Price History'!$A:$A))-'Price History'!T3)*(ROW()-3)/(MATCH(9.99E+307,'Returns (Calc)'!$A:$A)-3),"")</f>
        <v>4.08759493670886</v>
      </c>
      <c r="AO137" s="145" t="n">
        <f aca="false">IFERROR('Price History'!V3+(INDEX('Price History'!V:V,MATCH(9.99E+307,'Price History'!$A:$A))-'Price History'!V3)*(ROW()-3)/(MATCH(9.99E+307,'Returns (Calc)'!$A:$A)-3),"")</f>
        <v>0</v>
      </c>
    </row>
    <row r="138" customFormat="false" ht="15" hidden="false" customHeight="true" outlineLevel="0" collapsed="false">
      <c r="A138" s="141" t="n">
        <f aca="false">IF('Price History'!A139="","",'Price History'!A139)</f>
        <v>46136</v>
      </c>
      <c r="B138" s="142" t="n">
        <f aca="false">IFERROR(IF(OR(NOT(ISNUMBER('Price History'!B139)),NOT(ISNUMBER('Price History'!B138)),'Price History'!B138=0),"",'Price History'!B139/'Price History'!B138-1),"")</f>
        <v>0.0040499079566374</v>
      </c>
      <c r="C138" s="142" t="n">
        <f aca="false">IFERROR(IF(OR(NOT(ISNUMBER('Price History'!C139)),NOT(ISNUMBER('Price History'!C138)),'Price History'!C138=0),"",'Price History'!C139/'Price History'!C138-1),"")</f>
        <v>0.0772087925470377</v>
      </c>
      <c r="D138" s="142" t="n">
        <f aca="false">IFERROR(IF(OR(NOT(ISNUMBER('Price History'!D139)),NOT(ISNUMBER('Price History'!D138)),'Price History'!D138=0),"",'Price History'!D139/'Price History'!D138-1),"")</f>
        <v>-0.00144355692426135</v>
      </c>
      <c r="E138" s="142" t="n">
        <f aca="false">IFERROR(IF(OR(NOT(ISNUMBER('Price History'!E139)),NOT(ISNUMBER('Price History'!E138)),'Price History'!E138=0),"",'Price History'!E139/'Price History'!E138-1),"")</f>
        <v>0.0398854773422845</v>
      </c>
      <c r="F138" s="142" t="n">
        <f aca="false">IFERROR(IF(OR(NOT(ISNUMBER('Price History'!F139)),NOT(ISNUMBER('Price History'!F138)),'Price History'!F138=0),"",'Price History'!F139/'Price History'!F138-1),"")</f>
        <v>0.0122525918944392</v>
      </c>
      <c r="G138" s="142" t="n">
        <f aca="false">IFERROR(IF(OR(NOT(ISNUMBER('Price History'!G139)),NOT(ISNUMBER('Price History'!G138)),'Price History'!G138=0),"",'Price History'!G139/'Price History'!G138-1),"")</f>
        <v>0.0569865081611474</v>
      </c>
      <c r="H138" s="142" t="n">
        <f aca="false">IFERROR(IF(OR(NOT(ISNUMBER('Price History'!H139)),NOT(ISNUMBER('Price History'!H138)),'Price History'!H138=0),"",'Price History'!H139/'Price History'!H138-1),"")</f>
        <v>-0.00809555408095553</v>
      </c>
      <c r="I138" s="142" t="n">
        <f aca="false">IFERROR(IF(OR(NOT(ISNUMBER('Price History'!I139)),NOT(ISNUMBER('Price History'!I138)),'Price History'!I138=0),"",'Price History'!I139/'Price History'!I138-1),"")</f>
        <v>0.0801857758379496</v>
      </c>
      <c r="J138" s="142" t="n">
        <f aca="false">IFERROR(IF(OR(NOT(ISNUMBER('Price History'!J139)),NOT(ISNUMBER('Price History'!J138)),'Price History'!J138=0),"",'Price History'!J139/'Price History'!J138-1),"")</f>
        <v>0.0915164835164835</v>
      </c>
      <c r="K138" s="142" t="n">
        <f aca="false">IFERROR(IF(OR(NOT(ISNUMBER('Price History'!K139)),NOT(ISNUMBER('Price History'!K138)),'Price History'!K138=0),"",'Price History'!K139/'Price History'!K138-1),"")</f>
        <v>0.0327005267866019</v>
      </c>
      <c r="L138" s="142" t="n">
        <f aca="false">IFERROR(IF(OR(NOT(ISNUMBER('Price History'!L139)),NOT(ISNUMBER('Price History'!L138)),'Price History'!L138=0),"",'Price History'!L139/'Price History'!L138-1),"")</f>
        <v>-0.0207108872096277</v>
      </c>
      <c r="M138" s="142" t="n">
        <f aca="false">IFERROR(IF(OR(NOT(ISNUMBER('Price History'!M139)),NOT(ISNUMBER('Price History'!M138)),'Price History'!M138=0),"",'Price History'!M139/'Price History'!M138-1),"")</f>
        <v>-0.0225425233964067</v>
      </c>
      <c r="N138" s="142" t="n">
        <f aca="false">IFERROR(IF(OR(NOT(ISNUMBER('Price History'!N139)),NOT(ISNUMBER('Price History'!N138)),'Price History'!N138=0),"",'Price History'!N139/'Price History'!N138-1),"")</f>
        <v>0.00490837696335089</v>
      </c>
      <c r="O138" s="142" t="n">
        <f aca="false">IFERROR(IF(OR(NOT(ISNUMBER('Price History'!O139)),NOT(ISNUMBER('Price History'!O138)),'Price History'!O138=0),"",'Price History'!O139/'Price History'!O138-1),"")</f>
        <v>0.0250996950504339</v>
      </c>
      <c r="P138" s="142" t="n">
        <f aca="false">IFERROR(IF(OR(NOT(ISNUMBER('Price History'!P139)),NOT(ISNUMBER('Price History'!P138)),'Price History'!P138=0),"",'Price History'!P139/'Price History'!P138-1),"")</f>
        <v>0.0862606808626067</v>
      </c>
      <c r="Q138" s="142" t="n">
        <f aca="false">IFERROR(IF(OR(NOT(ISNUMBER('Price History'!Q139)),NOT(ISNUMBER('Price History'!Q138)),'Price History'!Q138=0),"",'Price History'!Q139/'Price History'!Q138-1),"")</f>
        <v>-0.0239723858382418</v>
      </c>
      <c r="R138" s="142" t="n">
        <f aca="false">IFERROR(IF(OR(NOT(ISNUMBER('Price History'!R139)),NOT(ISNUMBER('Price History'!R138)),'Price History'!R138=0),"",'Price History'!R139/'Price History'!R138-1),"")</f>
        <v>-0.0141442715700142</v>
      </c>
      <c r="S138" s="142" t="n">
        <f aca="false">IFERROR(IF(OR(NOT(ISNUMBER('Price History'!S139)),NOT(ISNUMBER('Price History'!S138)),'Price History'!S138=0),"",'Price History'!S139/'Price History'!S138-1),"")</f>
        <v>-0.0206576002754347</v>
      </c>
      <c r="T138" s="142" t="n">
        <f aca="false">IFERROR(IF(OR(NOT(ISNUMBER('Price History'!T139)),NOT(ISNUMBER('Price History'!T138)),'Price History'!T138=0),"",'Price History'!T139/'Price History'!T138-1),"")</f>
        <v>0.00102040816326521</v>
      </c>
      <c r="U138" s="142" t="str">
        <f aca="false">IFERROR(IF(OR(NOT(ISNUMBER('Price History'!U139)),NOT(ISNUMBER('Price History'!U138)),'Price History'!U138=0),"",'Price History'!U139/'Price History'!U138-1),"")</f>
        <v/>
      </c>
      <c r="V138" s="143" t="n">
        <f aca="false">IFERROR(IF(OR(NOT(ISNUMBER('Price History'!V139)),NOT(ISNUMBER('Price History'!V138)),'Price History'!V138=0),"",'Price History'!V139/'Price History'!V138-1),"")</f>
        <v>-0.0179773811858535</v>
      </c>
      <c r="W138" s="144" t="str">
        <f aca="false">IFERROR('Price History'!B3+(INDEX('Price History'!B:B,MATCH(9.99E+307,'Price History'!$A:$A))-'Price History'!B3)*(ROW()-3)/(MATCH(9.99E+307,'Returns (Calc)'!$A:$A)-3),"")</f>
        <v/>
      </c>
      <c r="X138" s="144" t="n">
        <f aca="false">IFERROR('Price History'!C3+(INDEX('Price History'!C:C,MATCH(9.99E+307,'Price History'!$A:$A))-'Price History'!C3)*(ROW()-3)/(MATCH(9.99E+307,'Returns (Calc)'!$A:$A)-3),"")</f>
        <v>6.72240506329113</v>
      </c>
      <c r="Y138" s="144" t="n">
        <f aca="false">IFERROR('Price History'!D3+(INDEX('Price History'!D:D,MATCH(9.99E+307,'Price History'!$A:$A))-'Price History'!D3)*(ROW()-3)/(MATCH(9.99E+307,'Returns (Calc)'!$A:$A)-3),"")</f>
        <v>84.7229746835442</v>
      </c>
      <c r="Z138" s="144" t="n">
        <f aca="false">IFERROR('Price History'!E3+(INDEX('Price History'!E:E,MATCH(9.99E+307,'Price History'!$A:$A))-'Price History'!E3)*(ROW()-3)/(MATCH(9.99E+307,'Returns (Calc)'!$A:$A)-3),"")</f>
        <v>11.9367088607595</v>
      </c>
      <c r="AA138" s="144" t="n">
        <f aca="false">IFERROR('Price History'!F3+(INDEX('Price History'!F:F,MATCH(9.99E+307,'Price History'!$A:$A))-'Price History'!F3)*(ROW()-3)/(MATCH(9.99E+307,'Returns (Calc)'!$A:$A)-3),"")</f>
        <v>10.9628481012658</v>
      </c>
      <c r="AB138" s="144" t="n">
        <f aca="false">IFERROR('Price History'!G3+(INDEX('Price History'!G:G,MATCH(9.99E+307,'Price History'!$A:$A))-'Price History'!G3)*(ROW()-3)/(MATCH(9.99E+307,'Returns (Calc)'!$A:$A)-3),"")</f>
        <v>6.02075949367088</v>
      </c>
      <c r="AC138" s="144" t="n">
        <f aca="false">IFERROR('Price History'!H3+(INDEX('Price History'!H:H,MATCH(9.99E+307,'Price History'!$A:$A))-'Price History'!H3)*(ROW()-3)/(MATCH(9.99E+307,'Returns (Calc)'!$A:$A)-3),"")</f>
        <v>14.6428481012658</v>
      </c>
      <c r="AD138" s="144" t="n">
        <f aca="false">IFERROR('Price History'!I3+(INDEX('Price History'!I:I,MATCH(9.99E+307,'Price History'!$A:$A))-'Price History'!I3)*(ROW()-3)/(MATCH(9.99E+307,'Returns (Calc)'!$A:$A)-3),"")</f>
        <v>6.45601265822785</v>
      </c>
      <c r="AE138" s="144" t="n">
        <f aca="false">IFERROR('Price History'!J3+(INDEX('Price History'!J:J,MATCH(9.99E+307,'Price History'!$A:$A))-'Price History'!J3)*(ROW()-3)/(MATCH(9.99E+307,'Returns (Calc)'!$A:$A)-3),"")</f>
        <v>10.0603164556962</v>
      </c>
      <c r="AF138" s="144" t="n">
        <f aca="false">IFERROR('Price History'!K3+(INDEX('Price History'!K:K,MATCH(9.99E+307,'Price History'!$A:$A))-'Price History'!K3)*(ROW()-3)/(MATCH(9.99E+307,'Returns (Calc)'!$A:$A)-3),"")</f>
        <v>6.37158227848101</v>
      </c>
      <c r="AG138" s="144" t="n">
        <f aca="false">IFERROR('Price History'!L3+(INDEX('Price History'!L:L,MATCH(9.99E+307,'Price History'!$A:$A))-'Price History'!L3)*(ROW()-3)/(MATCH(9.99E+307,'Returns (Calc)'!$A:$A)-3),"")</f>
        <v>16.2805063291139</v>
      </c>
      <c r="AH138" s="144" t="n">
        <f aca="false">IFERROR('Price History'!M3+(INDEX('Price History'!M:M,MATCH(9.99E+307,'Price History'!$A:$A))-'Price History'!M3)*(ROW()-3)/(MATCH(9.99E+307,'Returns (Calc)'!$A:$A)-3),"")</f>
        <v>2.23158227848101</v>
      </c>
      <c r="AI138" s="144" t="n">
        <f aca="false">IFERROR('Price History'!N3+(INDEX('Price History'!N:N,MATCH(9.99E+307,'Price History'!$A:$A))-'Price History'!N3)*(ROW()-3)/(MATCH(9.99E+307,'Returns (Calc)'!$A:$A)-3),"")</f>
        <v>3.17341772151899</v>
      </c>
      <c r="AJ138" s="144" t="n">
        <f aca="false">IFERROR('Price History'!O3+(INDEX('Price History'!O:O,MATCH(9.99E+307,'Price History'!$A:$A))-'Price History'!O3)*(ROW()-3)/(MATCH(9.99E+307,'Returns (Calc)'!$A:$A)-3),"")</f>
        <v>8.38917721518988</v>
      </c>
      <c r="AK138" s="144" t="n">
        <f aca="false">IFERROR('Price History'!Q3+(INDEX('Price History'!Q:Q,MATCH(9.99E+307,'Price History'!$A:$A))-'Price History'!Q3)*(ROW()-3)/(MATCH(9.99E+307,'Returns (Calc)'!$A:$A)-3),"")</f>
        <v>34.3005696202532</v>
      </c>
      <c r="AL138" s="144" t="n">
        <f aca="false">IFERROR('Price History'!R3+(INDEX('Price History'!R:R,MATCH(9.99E+307,'Price History'!$A:$A))-'Price History'!R3)*(ROW()-3)/(MATCH(9.99E+307,'Returns (Calc)'!$A:$A)-3),"")</f>
        <v>6.96113924050633</v>
      </c>
      <c r="AM138" s="144" t="n">
        <f aca="false">IFERROR('Price History'!S3+(INDEX('Price History'!S:S,MATCH(9.99E+307,'Price History'!$A:$A))-'Price History'!S3)*(ROW()-3)/(MATCH(9.99E+307,'Returns (Calc)'!$A:$A)-3),"")</f>
        <v>8.52164556962025</v>
      </c>
      <c r="AN138" s="144" t="n">
        <f aca="false">IFERROR('Price History'!T3+(INDEX('Price History'!T:T,MATCH(9.99E+307,'Price History'!$A:$A))-'Price History'!T3)*(ROW()-3)/(MATCH(9.99E+307,'Returns (Calc)'!$A:$A)-3),"")</f>
        <v>3.91727848101266</v>
      </c>
      <c r="AO138" s="145" t="n">
        <f aca="false">IFERROR('Price History'!V3+(INDEX('Price History'!V:V,MATCH(9.99E+307,'Price History'!$A:$A))-'Price History'!V3)*(ROW()-3)/(MATCH(9.99E+307,'Returns (Calc)'!$A:$A)-3),"")</f>
        <v>0</v>
      </c>
    </row>
    <row r="139" customFormat="false" ht="15" hidden="false" customHeight="true" outlineLevel="0" collapsed="false">
      <c r="A139" s="141" t="n">
        <f aca="false">IF('Price History'!A140="","",'Price History'!A140)</f>
        <v>46143</v>
      </c>
      <c r="B139" s="142" t="n">
        <f aca="false">IFERROR(IF(OR(NOT(ISNUMBER('Price History'!B140)),NOT(ISNUMBER('Price History'!B139)),'Price History'!B139=0),"",'Price History'!B140/'Price History'!B139-1),"")</f>
        <v>0.0214716427640156</v>
      </c>
      <c r="C139" s="142" t="n">
        <f aca="false">IFERROR(IF(OR(NOT(ISNUMBER('Price History'!C140)),NOT(ISNUMBER('Price History'!C139)),'Price History'!C139=0),"",'Price History'!C140/'Price History'!C139-1),"")</f>
        <v>-0.0237974111129954</v>
      </c>
      <c r="D139" s="142" t="n">
        <f aca="false">IFERROR(IF(OR(NOT(ISNUMBER('Price History'!D140)),NOT(ISNUMBER('Price History'!D139)),'Price History'!D139=0),"",'Price History'!D140/'Price History'!D139-1),"")</f>
        <v>-0.0189035136028197</v>
      </c>
      <c r="E139" s="142" t="n">
        <f aca="false">IFERROR(IF(OR(NOT(ISNUMBER('Price History'!E140)),NOT(ISNUMBER('Price History'!E139)),'Price History'!E139=0),"",'Price History'!E140/'Price History'!E139-1),"")</f>
        <v>-0.00348903446311588</v>
      </c>
      <c r="F139" s="142" t="n">
        <f aca="false">IFERROR(IF(OR(NOT(ISNUMBER('Price History'!F140)),NOT(ISNUMBER('Price History'!F139)),'Price History'!F139=0),"",'Price History'!F140/'Price History'!F139-1),"")</f>
        <v>0.00837988826815628</v>
      </c>
      <c r="G139" s="142" t="n">
        <f aca="false">IFERROR(IF(OR(NOT(ISNUMBER('Price History'!G140)),NOT(ISNUMBER('Price History'!G139)),'Price History'!G139=0),"",'Price History'!G140/'Price History'!G139-1),"")</f>
        <v>0.0167812193162544</v>
      </c>
      <c r="H139" s="142" t="n">
        <f aca="false">IFERROR(IF(OR(NOT(ISNUMBER('Price History'!H140)),NOT(ISNUMBER('Price History'!H139)),'Price History'!H139=0),"",'Price History'!H140/'Price History'!H139-1),"")</f>
        <v>0.017928819909018</v>
      </c>
      <c r="I139" s="142" t="n">
        <f aca="false">IFERROR(IF(OR(NOT(ISNUMBER('Price History'!I140)),NOT(ISNUMBER('Price History'!I139)),'Price History'!I139=0),"",'Price History'!I140/'Price History'!I139-1),"")</f>
        <v>-0.107905097389142</v>
      </c>
      <c r="J139" s="142" t="n">
        <f aca="false">IFERROR(IF(OR(NOT(ISNUMBER('Price History'!J140)),NOT(ISNUMBER('Price History'!J139)),'Price History'!J139=0),"",'Price History'!J140/'Price History'!J139-1),"")</f>
        <v>0.0915955219072164</v>
      </c>
      <c r="K139" s="142" t="n">
        <f aca="false">IFERROR(IF(OR(NOT(ISNUMBER('Price History'!K140)),NOT(ISNUMBER('Price History'!K139)),'Price History'!K139=0),"",'Price History'!K140/'Price History'!K139-1),"")</f>
        <v>-0.0471607314725698</v>
      </c>
      <c r="L139" s="142" t="n">
        <f aca="false">IFERROR(IF(OR(NOT(ISNUMBER('Price History'!L140)),NOT(ISNUMBER('Price History'!L139)),'Price History'!L139=0),"",'Price History'!L140/'Price History'!L139-1),"")</f>
        <v>-0.00478708202343536</v>
      </c>
      <c r="M139" s="142" t="n">
        <f aca="false">IFERROR(IF(OR(NOT(ISNUMBER('Price History'!M140)),NOT(ISNUMBER('Price History'!M139)),'Price History'!M139=0),"",'Price History'!M140/'Price History'!M139-1),"")</f>
        <v>0.00684883639667344</v>
      </c>
      <c r="N139" s="142" t="n">
        <f aca="false">IFERROR(IF(OR(NOT(ISNUMBER('Price History'!N140)),NOT(ISNUMBER('Price History'!N139)),'Price History'!N139=0),"",'Price History'!N140/'Price History'!N139-1),"")</f>
        <v>0.0211657440573103</v>
      </c>
      <c r="O139" s="142" t="n">
        <f aca="false">IFERROR(IF(OR(NOT(ISNUMBER('Price History'!O140)),NOT(ISNUMBER('Price History'!O139)),'Price History'!O139=0),"",'Price History'!O140/'Price History'!O139-1),"")</f>
        <v>0.0221205186880245</v>
      </c>
      <c r="P139" s="142" t="n">
        <f aca="false">IFERROR(IF(OR(NOT(ISNUMBER('Price History'!P140)),NOT(ISNUMBER('Price History'!P139)),'Price History'!P139=0),"",'Price History'!P140/'Price History'!P139-1),"")</f>
        <v>-0.011911599450618</v>
      </c>
      <c r="Q139" s="142" t="n">
        <f aca="false">IFERROR(IF(OR(NOT(ISNUMBER('Price History'!Q140)),NOT(ISNUMBER('Price History'!Q139)),'Price History'!Q139=0),"",'Price History'!Q140/'Price History'!Q139-1),"")</f>
        <v>0.0601213458356316</v>
      </c>
      <c r="R139" s="142" t="n">
        <f aca="false">IFERROR(IF(OR(NOT(ISNUMBER('Price History'!R140)),NOT(ISNUMBER('Price History'!R139)),'Price History'!R139=0),"",'Price History'!R140/'Price History'!R139-1),"")</f>
        <v>-0.0292324246771879</v>
      </c>
      <c r="S139" s="142" t="n">
        <f aca="false">IFERROR(IF(OR(NOT(ISNUMBER('Price History'!S140)),NOT(ISNUMBER('Price History'!S139)),'Price History'!S139=0),"",'Price History'!S140/'Price History'!S139-1),"")</f>
        <v>-0.0304974512216558</v>
      </c>
      <c r="T139" s="142" t="n">
        <f aca="false">IFERROR(IF(OR(NOT(ISNUMBER('Price History'!T140)),NOT(ISNUMBER('Price History'!T139)),'Price History'!T139=0),"",'Price History'!T140/'Price History'!T139-1),"")</f>
        <v>-0.012487257900102</v>
      </c>
      <c r="U139" s="142" t="str">
        <f aca="false">IFERROR(IF(OR(NOT(ISNUMBER('Price History'!U140)),NOT(ISNUMBER('Price History'!U139)),'Price History'!U139=0),"",'Price History'!U140/'Price History'!U139-1),"")</f>
        <v/>
      </c>
      <c r="V139" s="143" t="n">
        <f aca="false">IFERROR(IF(OR(NOT(ISNUMBER('Price History'!V140)),NOT(ISNUMBER('Price History'!V139)),'Price History'!V139=0),"",'Price History'!V140/'Price History'!V139-1),"")</f>
        <v>-0.0202369857542271</v>
      </c>
      <c r="W139" s="144" t="str">
        <f aca="false">IFERROR('Price History'!B3+(INDEX('Price History'!B:B,MATCH(9.99E+307,'Price History'!$A:$A))-'Price History'!B3)*(ROW()-3)/(MATCH(9.99E+307,'Returns (Calc)'!$A:$A)-3),"")</f>
        <v/>
      </c>
      <c r="X139" s="144" t="n">
        <f aca="false">IFERROR('Price History'!C3+(INDEX('Price History'!C:C,MATCH(9.99E+307,'Price History'!$A:$A))-'Price History'!C3)*(ROW()-3)/(MATCH(9.99E+307,'Returns (Calc)'!$A:$A)-3),"")</f>
        <v>6.43012658227848</v>
      </c>
      <c r="Y139" s="144" t="n">
        <f aca="false">IFERROR('Price History'!D3+(INDEX('Price History'!D:D,MATCH(9.99E+307,'Price History'!$A:$A))-'Price History'!D3)*(ROW()-3)/(MATCH(9.99E+307,'Returns (Calc)'!$A:$A)-3),"")</f>
        <v>81.0393670886076</v>
      </c>
      <c r="Z139" s="144" t="n">
        <f aca="false">IFERROR('Price History'!E3+(INDEX('Price History'!E:E,MATCH(9.99E+307,'Price History'!$A:$A))-'Price History'!E3)*(ROW()-3)/(MATCH(9.99E+307,'Returns (Calc)'!$A:$A)-3),"")</f>
        <v>11.4177215189873</v>
      </c>
      <c r="AA139" s="144" t="n">
        <f aca="false">IFERROR('Price History'!F3+(INDEX('Price History'!F:F,MATCH(9.99E+307,'Price History'!$A:$A))-'Price History'!F3)*(ROW()-3)/(MATCH(9.99E+307,'Returns (Calc)'!$A:$A)-3),"")</f>
        <v>10.4862025316456</v>
      </c>
      <c r="AB139" s="144" t="n">
        <f aca="false">IFERROR('Price History'!G3+(INDEX('Price History'!G:G,MATCH(9.99E+307,'Price History'!$A:$A))-'Price History'!G3)*(ROW()-3)/(MATCH(9.99E+307,'Returns (Calc)'!$A:$A)-3),"")</f>
        <v>5.75898734177215</v>
      </c>
      <c r="AC139" s="144" t="n">
        <f aca="false">IFERROR('Price History'!H3+(INDEX('Price History'!H:H,MATCH(9.99E+307,'Price History'!$A:$A))-'Price History'!H3)*(ROW()-3)/(MATCH(9.99E+307,'Returns (Calc)'!$A:$A)-3),"")</f>
        <v>14.0062025316456</v>
      </c>
      <c r="AD139" s="144" t="n">
        <f aca="false">IFERROR('Price History'!I3+(INDEX('Price History'!I:I,MATCH(9.99E+307,'Price History'!$A:$A))-'Price History'!I3)*(ROW()-3)/(MATCH(9.99E+307,'Returns (Calc)'!$A:$A)-3),"")</f>
        <v>6.17531645569621</v>
      </c>
      <c r="AE139" s="144" t="n">
        <f aca="false">IFERROR('Price History'!J3+(INDEX('Price History'!J:J,MATCH(9.99E+307,'Price History'!$A:$A))-'Price History'!J3)*(ROW()-3)/(MATCH(9.99E+307,'Returns (Calc)'!$A:$A)-3),"")</f>
        <v>9.62291139240507</v>
      </c>
      <c r="AF139" s="144" t="n">
        <f aca="false">IFERROR('Price History'!K3+(INDEX('Price History'!K:K,MATCH(9.99E+307,'Price History'!$A:$A))-'Price History'!K3)*(ROW()-3)/(MATCH(9.99E+307,'Returns (Calc)'!$A:$A)-3),"")</f>
        <v>6.09455696202532</v>
      </c>
      <c r="AG139" s="144" t="n">
        <f aca="false">IFERROR('Price History'!L3+(INDEX('Price History'!L:L,MATCH(9.99E+307,'Price History'!$A:$A))-'Price History'!L3)*(ROW()-3)/(MATCH(9.99E+307,'Returns (Calc)'!$A:$A)-3),"")</f>
        <v>15.5726582278481</v>
      </c>
      <c r="AH139" s="144" t="n">
        <f aca="false">IFERROR('Price History'!M3+(INDEX('Price History'!M:M,MATCH(9.99E+307,'Price History'!$A:$A))-'Price History'!M3)*(ROW()-3)/(MATCH(9.99E+307,'Returns (Calc)'!$A:$A)-3),"")</f>
        <v>2.13455696202532</v>
      </c>
      <c r="AI139" s="144" t="n">
        <f aca="false">IFERROR('Price History'!N3+(INDEX('Price History'!N:N,MATCH(9.99E+307,'Price History'!$A:$A))-'Price History'!N3)*(ROW()-3)/(MATCH(9.99E+307,'Returns (Calc)'!$A:$A)-3),"")</f>
        <v>3.03544303797468</v>
      </c>
      <c r="AJ139" s="144" t="n">
        <f aca="false">IFERROR('Price History'!O3+(INDEX('Price History'!O:O,MATCH(9.99E+307,'Price History'!$A:$A))-'Price History'!O3)*(ROW()-3)/(MATCH(9.99E+307,'Returns (Calc)'!$A:$A)-3),"")</f>
        <v>8.02443037974684</v>
      </c>
      <c r="AK139" s="144" t="n">
        <f aca="false">IFERROR('Price History'!Q3+(INDEX('Price History'!Q:Q,MATCH(9.99E+307,'Price History'!$A:$A))-'Price History'!Q3)*(ROW()-3)/(MATCH(9.99E+307,'Returns (Calc)'!$A:$A)-3),"")</f>
        <v>32.8092405063291</v>
      </c>
      <c r="AL139" s="144" t="n">
        <f aca="false">IFERROR('Price History'!R3+(INDEX('Price History'!R:R,MATCH(9.99E+307,'Price History'!$A:$A))-'Price History'!R3)*(ROW()-3)/(MATCH(9.99E+307,'Returns (Calc)'!$A:$A)-3),"")</f>
        <v>6.65848101265823</v>
      </c>
      <c r="AM139" s="144" t="n">
        <f aca="false">IFERROR('Price History'!S3+(INDEX('Price History'!S:S,MATCH(9.99E+307,'Price History'!$A:$A))-'Price History'!S3)*(ROW()-3)/(MATCH(9.99E+307,'Returns (Calc)'!$A:$A)-3),"")</f>
        <v>8.15113924050633</v>
      </c>
      <c r="AN139" s="144" t="n">
        <f aca="false">IFERROR('Price History'!T3+(INDEX('Price History'!T:T,MATCH(9.99E+307,'Price History'!$A:$A))-'Price History'!T3)*(ROW()-3)/(MATCH(9.99E+307,'Returns (Calc)'!$A:$A)-3),"")</f>
        <v>3.74696202531645</v>
      </c>
      <c r="AO139" s="145" t="n">
        <f aca="false">IFERROR('Price History'!V3+(INDEX('Price History'!V:V,MATCH(9.99E+307,'Price History'!$A:$A))-'Price History'!V3)*(ROW()-3)/(MATCH(9.99E+307,'Returns (Calc)'!$A:$A)-3),"")</f>
        <v>0</v>
      </c>
    </row>
    <row r="140" customFormat="false" ht="15" hidden="false" customHeight="true" outlineLevel="0" collapsed="false">
      <c r="A140" s="141" t="n">
        <f aca="false">IF('Price History'!A141="","",'Price History'!A141)</f>
        <v>46150</v>
      </c>
      <c r="B140" s="142" t="n">
        <f aca="false">IFERROR(IF(OR(NOT(ISNUMBER('Price History'!B141)),NOT(ISNUMBER('Price History'!B140)),'Price History'!B140=0),"",'Price History'!B141/'Price History'!B140-1),"")</f>
        <v>0.00929360615850983</v>
      </c>
      <c r="C140" s="142" t="n">
        <f aca="false">IFERROR(IF(OR(NOT(ISNUMBER('Price History'!C141)),NOT(ISNUMBER('Price History'!C140)),'Price History'!C140=0),"",'Price History'!C141/'Price History'!C140-1),"")</f>
        <v>-0.179096699478865</v>
      </c>
      <c r="D140" s="142" t="n">
        <f aca="false">IFERROR(IF(OR(NOT(ISNUMBER('Price History'!D141)),NOT(ISNUMBER('Price History'!D140)),'Price History'!D140=0),"",'Price History'!D141/'Price History'!D140-1),"")</f>
        <v>0.115620483026705</v>
      </c>
      <c r="E140" s="142" t="n">
        <f aca="false">IFERROR(IF(OR(NOT(ISNUMBER('Price History'!E141)),NOT(ISNUMBER('Price History'!E140)),'Price History'!E140=0),"",'Price History'!E141/'Price History'!E140-1),"")</f>
        <v>0.0206978682862926</v>
      </c>
      <c r="F140" s="142" t="n">
        <f aca="false">IFERROR(IF(OR(NOT(ISNUMBER('Price History'!F141)),NOT(ISNUMBER('Price History'!F140)),'Price History'!F140=0),"",'Price History'!F141/'Price History'!F140-1),"")</f>
        <v>-0.00100730294636109</v>
      </c>
      <c r="G140" s="142" t="n">
        <f aca="false">IFERROR(IF(OR(NOT(ISNUMBER('Price History'!G141)),NOT(ISNUMBER('Price History'!G140)),'Price History'!G140=0),"",'Price History'!G141/'Price History'!G140-1),"")</f>
        <v>0.158282854885436</v>
      </c>
      <c r="H140" s="142" t="n">
        <f aca="false">IFERROR(IF(OR(NOT(ISNUMBER('Price History'!H141)),NOT(ISNUMBER('Price History'!H140)),'Price History'!H140=0),"",'Price History'!H141/'Price History'!H140-1),"")</f>
        <v>-0.0151813880126183</v>
      </c>
      <c r="I140" s="142" t="n">
        <f aca="false">IFERROR(IF(OR(NOT(ISNUMBER('Price History'!I141)),NOT(ISNUMBER('Price History'!I140)),'Price History'!I140=0),"",'Price History'!I141/'Price History'!I140-1),"")</f>
        <v>0.0828058765460775</v>
      </c>
      <c r="J140" s="142" t="n">
        <f aca="false">IFERROR(IF(OR(NOT(ISNUMBER('Price History'!J141)),NOT(ISNUMBER('Price History'!J140)),'Price History'!J140=0),"",'Price History'!J141/'Price History'!J140-1),"")</f>
        <v>0.377344917270765</v>
      </c>
      <c r="K140" s="142" t="n">
        <f aca="false">IFERROR(IF(OR(NOT(ISNUMBER('Price History'!K141)),NOT(ISNUMBER('Price History'!K140)),'Price History'!K140=0),"",'Price History'!K141/'Price History'!K140-1),"")</f>
        <v>0.0843939393939395</v>
      </c>
      <c r="L140" s="142" t="n">
        <f aca="false">IFERROR(IF(OR(NOT(ISNUMBER('Price History'!L141)),NOT(ISNUMBER('Price History'!L140)),'Price History'!L140=0),"",'Price History'!L141/'Price History'!L140-1),"")</f>
        <v>0.0188814703137339</v>
      </c>
      <c r="M140" s="142" t="n">
        <f aca="false">IFERROR(IF(OR(NOT(ISNUMBER('Price History'!M141)),NOT(ISNUMBER('Price History'!M140)),'Price History'!M140=0),"",'Price History'!M141/'Price History'!M140-1),"")</f>
        <v>-0.0435205108627749</v>
      </c>
      <c r="N140" s="142" t="n">
        <f aca="false">IFERROR(IF(OR(NOT(ISNUMBER('Price History'!N141)),NOT(ISNUMBER('Price History'!N140)),'Price History'!N140=0),"",'Price History'!N141/'Price History'!N140-1),"")</f>
        <v>-0.00765306122448972</v>
      </c>
      <c r="O140" s="142" t="n">
        <f aca="false">IFERROR(IF(OR(NOT(ISNUMBER('Price History'!O141)),NOT(ISNUMBER('Price History'!O140)),'Price History'!O140=0),"",'Price History'!O141/'Price History'!O140-1),"")</f>
        <v>0.0698507462686568</v>
      </c>
      <c r="P140" s="142" t="n">
        <f aca="false">IFERROR(IF(OR(NOT(ISNUMBER('Price History'!P141)),NOT(ISNUMBER('Price History'!P140)),'Price History'!P140=0),"",'Price History'!P141/'Price History'!P140-1),"")</f>
        <v>0.0352304892842701</v>
      </c>
      <c r="Q140" s="142" t="n">
        <f aca="false">IFERROR(IF(OR(NOT(ISNUMBER('Price History'!Q141)),NOT(ISNUMBER('Price History'!Q140)),'Price History'!Q140=0),"",'Price History'!Q141/'Price History'!Q140-1),"")</f>
        <v>-0.0281569443594295</v>
      </c>
      <c r="R140" s="142" t="n">
        <f aca="false">IFERROR(IF(OR(NOT(ISNUMBER('Price History'!R141)),NOT(ISNUMBER('Price History'!R140)),'Price History'!R140=0),"",'Price History'!R141/'Price History'!R140-1),"")</f>
        <v>0.026972104193608</v>
      </c>
      <c r="S140" s="142" t="n">
        <f aca="false">IFERROR(IF(OR(NOT(ISNUMBER('Price History'!S141)),NOT(ISNUMBER('Price History'!S140)),'Price History'!S140=0),"",'Price History'!S141/'Price History'!S140-1),"")</f>
        <v>0.0401595503580816</v>
      </c>
      <c r="T140" s="142" t="n">
        <f aca="false">IFERROR(IF(OR(NOT(ISNUMBER('Price History'!T141)),NOT(ISNUMBER('Price History'!T140)),'Price History'!T140=0),"",'Price History'!T141/'Price History'!T140-1),"")</f>
        <v>0.0281290322580645</v>
      </c>
      <c r="U140" s="142" t="str">
        <f aca="false">IFERROR(IF(OR(NOT(ISNUMBER('Price History'!U141)),NOT(ISNUMBER('Price History'!U140)),'Price History'!U140=0),"",'Price History'!U141/'Price History'!U140-1),"")</f>
        <v/>
      </c>
      <c r="V140" s="143" t="str">
        <f aca="false">IFERROR(IF(OR(NOT(ISNUMBER('Price History'!V141)),NOT(ISNUMBER('Price History'!V140)),'Price History'!V140=0),"",'Price History'!V141/'Price History'!V140-1),"")</f>
        <v/>
      </c>
      <c r="W140" s="144" t="str">
        <f aca="false">IFERROR('Price History'!B3+(INDEX('Price History'!B:B,MATCH(9.99E+307,'Price History'!$A:$A))-'Price History'!B3)*(ROW()-3)/(MATCH(9.99E+307,'Returns (Calc)'!$A:$A)-3),"")</f>
        <v/>
      </c>
      <c r="X140" s="144" t="n">
        <f aca="false">IFERROR('Price History'!C3+(INDEX('Price History'!C:C,MATCH(9.99E+307,'Price History'!$A:$A))-'Price History'!C3)*(ROW()-3)/(MATCH(9.99E+307,'Returns (Calc)'!$A:$A)-3),"")</f>
        <v>6.13784810126582</v>
      </c>
      <c r="Y140" s="144" t="n">
        <f aca="false">IFERROR('Price History'!D3+(INDEX('Price History'!D:D,MATCH(9.99E+307,'Price History'!$A:$A))-'Price History'!D3)*(ROW()-3)/(MATCH(9.99E+307,'Returns (Calc)'!$A:$A)-3),"")</f>
        <v>77.3557594936709</v>
      </c>
      <c r="Z140" s="144" t="n">
        <f aca="false">IFERROR('Price History'!E3+(INDEX('Price History'!E:E,MATCH(9.99E+307,'Price History'!$A:$A))-'Price History'!E3)*(ROW()-3)/(MATCH(9.99E+307,'Returns (Calc)'!$A:$A)-3),"")</f>
        <v>10.8987341772152</v>
      </c>
      <c r="AA140" s="144" t="n">
        <f aca="false">IFERROR('Price History'!F3+(INDEX('Price History'!F:F,MATCH(9.99E+307,'Price History'!$A:$A))-'Price History'!F3)*(ROW()-3)/(MATCH(9.99E+307,'Returns (Calc)'!$A:$A)-3),"")</f>
        <v>10.0095569620253</v>
      </c>
      <c r="AB140" s="144" t="n">
        <f aca="false">IFERROR('Price History'!G3+(INDEX('Price History'!G:G,MATCH(9.99E+307,'Price History'!$A:$A))-'Price History'!G3)*(ROW()-3)/(MATCH(9.99E+307,'Returns (Calc)'!$A:$A)-3),"")</f>
        <v>5.49721518987342</v>
      </c>
      <c r="AC140" s="144" t="n">
        <f aca="false">IFERROR('Price History'!H3+(INDEX('Price History'!H:H,MATCH(9.99E+307,'Price History'!$A:$A))-'Price History'!H3)*(ROW()-3)/(MATCH(9.99E+307,'Returns (Calc)'!$A:$A)-3),"")</f>
        <v>13.3695569620253</v>
      </c>
      <c r="AD140" s="144" t="n">
        <f aca="false">IFERROR('Price History'!I3+(INDEX('Price History'!I:I,MATCH(9.99E+307,'Price History'!$A:$A))-'Price History'!I3)*(ROW()-3)/(MATCH(9.99E+307,'Returns (Calc)'!$A:$A)-3),"")</f>
        <v>5.89462025316456</v>
      </c>
      <c r="AE140" s="144" t="n">
        <f aca="false">IFERROR('Price History'!J3+(INDEX('Price History'!J:J,MATCH(9.99E+307,'Price History'!$A:$A))-'Price History'!J3)*(ROW()-3)/(MATCH(9.99E+307,'Returns (Calc)'!$A:$A)-3),"")</f>
        <v>9.18550632911393</v>
      </c>
      <c r="AF140" s="144" t="n">
        <f aca="false">IFERROR('Price History'!K3+(INDEX('Price History'!K:K,MATCH(9.99E+307,'Price History'!$A:$A))-'Price History'!K3)*(ROW()-3)/(MATCH(9.99E+307,'Returns (Calc)'!$A:$A)-3),"")</f>
        <v>5.81753164556962</v>
      </c>
      <c r="AG140" s="144" t="n">
        <f aca="false">IFERROR('Price History'!L3+(INDEX('Price History'!L:L,MATCH(9.99E+307,'Price History'!$A:$A))-'Price History'!L3)*(ROW()-3)/(MATCH(9.99E+307,'Returns (Calc)'!$A:$A)-3),"")</f>
        <v>14.8648101265823</v>
      </c>
      <c r="AH140" s="144" t="n">
        <f aca="false">IFERROR('Price History'!M3+(INDEX('Price History'!M:M,MATCH(9.99E+307,'Price History'!$A:$A))-'Price History'!M3)*(ROW()-3)/(MATCH(9.99E+307,'Returns (Calc)'!$A:$A)-3),"")</f>
        <v>2.03753164556962</v>
      </c>
      <c r="AI140" s="144" t="n">
        <f aca="false">IFERROR('Price History'!N3+(INDEX('Price History'!N:N,MATCH(9.99E+307,'Price History'!$A:$A))-'Price History'!N3)*(ROW()-3)/(MATCH(9.99E+307,'Returns (Calc)'!$A:$A)-3),"")</f>
        <v>2.89746835443038</v>
      </c>
      <c r="AJ140" s="144" t="n">
        <f aca="false">IFERROR('Price History'!O3+(INDEX('Price History'!O:O,MATCH(9.99E+307,'Price History'!$A:$A))-'Price History'!O3)*(ROW()-3)/(MATCH(9.99E+307,'Returns (Calc)'!$A:$A)-3),"")</f>
        <v>7.6596835443038</v>
      </c>
      <c r="AK140" s="144" t="n">
        <f aca="false">IFERROR('Price History'!Q3+(INDEX('Price History'!Q:Q,MATCH(9.99E+307,'Price History'!$A:$A))-'Price History'!Q3)*(ROW()-3)/(MATCH(9.99E+307,'Returns (Calc)'!$A:$A)-3),"")</f>
        <v>31.3179113924051</v>
      </c>
      <c r="AL140" s="144" t="n">
        <f aca="false">IFERROR('Price History'!R3+(INDEX('Price History'!R:R,MATCH(9.99E+307,'Price History'!$A:$A))-'Price History'!R3)*(ROW()-3)/(MATCH(9.99E+307,'Returns (Calc)'!$A:$A)-3),"")</f>
        <v>6.35582278481012</v>
      </c>
      <c r="AM140" s="144" t="n">
        <f aca="false">IFERROR('Price History'!S3+(INDEX('Price History'!S:S,MATCH(9.99E+307,'Price History'!$A:$A))-'Price History'!S3)*(ROW()-3)/(MATCH(9.99E+307,'Returns (Calc)'!$A:$A)-3),"")</f>
        <v>7.78063291139241</v>
      </c>
      <c r="AN140" s="144" t="n">
        <f aca="false">IFERROR('Price History'!T3+(INDEX('Price History'!T:T,MATCH(9.99E+307,'Price History'!$A:$A))-'Price History'!T3)*(ROW()-3)/(MATCH(9.99E+307,'Returns (Calc)'!$A:$A)-3),"")</f>
        <v>3.57664556962025</v>
      </c>
      <c r="AO140" s="145" t="n">
        <f aca="false">IFERROR('Price History'!V3+(INDEX('Price History'!V:V,MATCH(9.99E+307,'Price History'!$A:$A))-'Price History'!V3)*(ROW()-3)/(MATCH(9.99E+307,'Returns (Calc)'!$A:$A)-3),"")</f>
        <v>0</v>
      </c>
    </row>
    <row r="141" customFormat="false" ht="15" hidden="false" customHeight="true" outlineLevel="0" collapsed="false">
      <c r="A141" s="141" t="n">
        <f aca="false">IF('Price History'!A142="","",'Price History'!A142)</f>
        <v>46157</v>
      </c>
      <c r="B141" s="142" t="n">
        <f aca="false">IFERROR(IF(OR(NOT(ISNUMBER('Price History'!B142)),NOT(ISNUMBER('Price History'!B141)),'Price History'!B141=0),"",'Price History'!B142/'Price History'!B141-1),"")</f>
        <v>-0.0214985773000316</v>
      </c>
      <c r="C141" s="142" t="n">
        <f aca="false">IFERROR(IF(OR(NOT(ISNUMBER('Price History'!C142)),NOT(ISNUMBER('Price History'!C141)),'Price History'!C141=0),"",'Price History'!C142/'Price History'!C141-1),"")</f>
        <v>0.00141073569866679</v>
      </c>
      <c r="D141" s="142" t="n">
        <f aca="false">IFERROR(IF(OR(NOT(ISNUMBER('Price History'!D142)),NOT(ISNUMBER('Price History'!D141)),'Price History'!D141=0),"",'Price History'!D142/'Price History'!D141-1),"")</f>
        <v>-0.0566618028126494</v>
      </c>
      <c r="E141" s="142" t="n">
        <f aca="false">IFERROR(IF(OR(NOT(ISNUMBER('Price History'!E142)),NOT(ISNUMBER('Price History'!E141)),'Price History'!E141=0),"",'Price History'!E142/'Price History'!E141-1),"")</f>
        <v>-0.011177486348999</v>
      </c>
      <c r="F141" s="142" t="n">
        <f aca="false">IFERROR(IF(OR(NOT(ISNUMBER('Price History'!F142)),NOT(ISNUMBER('Price History'!F141)),'Price History'!F141=0),"",'Price History'!F142/'Price History'!F141-1),"")</f>
        <v>-0.0215948239643728</v>
      </c>
      <c r="G141" s="142" t="n">
        <f aca="false">IFERROR(IF(OR(NOT(ISNUMBER('Price History'!G142)),NOT(ISNUMBER('Price History'!G141)),'Price History'!G141=0),"",'Price History'!G142/'Price History'!G141-1),"")</f>
        <v>0.12566318023344</v>
      </c>
      <c r="H141" s="142" t="n">
        <f aca="false">IFERROR(IF(OR(NOT(ISNUMBER('Price History'!H142)),NOT(ISNUMBER('Price History'!H141)),'Price History'!H141=0),"",'Price History'!H142/'Price History'!H141-1),"")</f>
        <v>-0.00867534200867526</v>
      </c>
      <c r="I141" s="142" t="n">
        <f aca="false">IFERROR(IF(OR(NOT(ISNUMBER('Price History'!I142)),NOT(ISNUMBER('Price History'!I141)),'Price History'!I141=0),"",'Price History'!I142/'Price History'!I141-1),"")</f>
        <v>-0.0346972703383922</v>
      </c>
      <c r="J141" s="142" t="n">
        <f aca="false">IFERROR(IF(OR(NOT(ISNUMBER('Price History'!J142)),NOT(ISNUMBER('Price History'!J141)),'Price History'!J141=0),"",'Price History'!J142/'Price History'!J141-1),"")</f>
        <v>-0.0296638542922192</v>
      </c>
      <c r="K141" s="142" t="n">
        <f aca="false">IFERROR(IF(OR(NOT(ISNUMBER('Price History'!K142)),NOT(ISNUMBER('Price History'!K141)),'Price History'!K141=0),"",'Price History'!K142/'Price History'!K141-1),"")</f>
        <v>0.0470401937497089</v>
      </c>
      <c r="L141" s="142" t="n">
        <f aca="false">IFERROR(IF(OR(NOT(ISNUMBER('Price History'!L142)),NOT(ISNUMBER('Price History'!L141)),'Price History'!L141=0),"",'Price History'!L142/'Price History'!L141-1),"")</f>
        <v>-0.0246617812852311</v>
      </c>
      <c r="M141" s="142" t="n">
        <f aca="false">IFERROR(IF(OR(NOT(ISNUMBER('Price History'!M142)),NOT(ISNUMBER('Price History'!M141)),'Price History'!M141=0),"",'Price History'!M142/'Price History'!M141-1),"")</f>
        <v>-0.0276487663280116</v>
      </c>
      <c r="N141" s="142" t="n">
        <f aca="false">IFERROR(IF(OR(NOT(ISNUMBER('Price History'!N142)),NOT(ISNUMBER('Price History'!N141)),'Price History'!N141=0),"",'Price History'!N142/'Price History'!N141-1),"")</f>
        <v>0.0032133676092545</v>
      </c>
      <c r="O141" s="142" t="n">
        <f aca="false">IFERROR(IF(OR(NOT(ISNUMBER('Price History'!O142)),NOT(ISNUMBER('Price History'!O141)),'Price History'!O141=0),"",'Price History'!O142/'Price History'!O141-1),"")</f>
        <v>-0.0023018973214286</v>
      </c>
      <c r="P141" s="142" t="n">
        <f aca="false">IFERROR(IF(OR(NOT(ISNUMBER('Price History'!P142)),NOT(ISNUMBER('Price History'!P141)),'Price History'!P141=0),"",'Price History'!P142/'Price History'!P141-1),"")</f>
        <v>-0.0177969825692106</v>
      </c>
      <c r="Q141" s="142" t="n">
        <f aca="false">IFERROR(IF(OR(NOT(ISNUMBER('Price History'!Q142)),NOT(ISNUMBER('Price History'!Q141)),'Price History'!Q141=0),"",'Price History'!Q142/'Price History'!Q141-1),"")</f>
        <v>0.0239654846633495</v>
      </c>
      <c r="R141" s="142" t="n">
        <f aca="false">IFERROR(IF(OR(NOT(ISNUMBER('Price History'!R142)),NOT(ISNUMBER('Price History'!R141)),'Price History'!R141=0),"",'Price History'!R142/'Price History'!R141-1),"")</f>
        <v>0.0365173592372727</v>
      </c>
      <c r="S141" s="142" t="n">
        <f aca="false">IFERROR(IF(OR(NOT(ISNUMBER('Price History'!S142)),NOT(ISNUMBER('Price History'!S141)),'Price History'!S141=0),"",'Price History'!S142/'Price History'!S141-1),"")</f>
        <v>0.0749520655394806</v>
      </c>
      <c r="T141" s="142" t="n">
        <f aca="false">IFERROR(IF(OR(NOT(ISNUMBER('Price History'!T142)),NOT(ISNUMBER('Price History'!T141)),'Price History'!T141=0),"",'Price History'!T142/'Price History'!T141-1),"")</f>
        <v>-0.0050200803212852</v>
      </c>
      <c r="U141" s="142" t="str">
        <f aca="false">IFERROR(IF(OR(NOT(ISNUMBER('Price History'!U142)),NOT(ISNUMBER('Price History'!U141)),'Price History'!U141=0),"",'Price History'!U142/'Price History'!U141-1),"")</f>
        <v/>
      </c>
      <c r="V141" s="143" t="str">
        <f aca="false">IFERROR(IF(OR(NOT(ISNUMBER('Price History'!V142)),NOT(ISNUMBER('Price History'!V141)),'Price History'!V141=0),"",'Price History'!V142/'Price History'!V141-1),"")</f>
        <v/>
      </c>
      <c r="W141" s="144" t="str">
        <f aca="false">IFERROR('Price History'!B3+(INDEX('Price History'!B:B,MATCH(9.99E+307,'Price History'!$A:$A))-'Price History'!B3)*(ROW()-3)/(MATCH(9.99E+307,'Returns (Calc)'!$A:$A)-3),"")</f>
        <v/>
      </c>
      <c r="X141" s="144" t="n">
        <f aca="false">IFERROR('Price History'!C3+(INDEX('Price History'!C:C,MATCH(9.99E+307,'Price History'!$A:$A))-'Price History'!C3)*(ROW()-3)/(MATCH(9.99E+307,'Returns (Calc)'!$A:$A)-3),"")</f>
        <v>5.84556962025317</v>
      </c>
      <c r="Y141" s="144" t="n">
        <f aca="false">IFERROR('Price History'!D3+(INDEX('Price History'!D:D,MATCH(9.99E+307,'Price History'!$A:$A))-'Price History'!D3)*(ROW()-3)/(MATCH(9.99E+307,'Returns (Calc)'!$A:$A)-3),"")</f>
        <v>73.6721518987341</v>
      </c>
      <c r="Z141" s="144" t="n">
        <f aca="false">IFERROR('Price History'!E3+(INDEX('Price History'!E:E,MATCH(9.99E+307,'Price History'!$A:$A))-'Price History'!E3)*(ROW()-3)/(MATCH(9.99E+307,'Returns (Calc)'!$A:$A)-3),"")</f>
        <v>10.379746835443</v>
      </c>
      <c r="AA141" s="144" t="n">
        <f aca="false">IFERROR('Price History'!F3+(INDEX('Price History'!F:F,MATCH(9.99E+307,'Price History'!$A:$A))-'Price History'!F3)*(ROW()-3)/(MATCH(9.99E+307,'Returns (Calc)'!$A:$A)-3),"")</f>
        <v>9.53291139240506</v>
      </c>
      <c r="AB141" s="144" t="n">
        <f aca="false">IFERROR('Price History'!G3+(INDEX('Price History'!G:G,MATCH(9.99E+307,'Price History'!$A:$A))-'Price History'!G3)*(ROW()-3)/(MATCH(9.99E+307,'Returns (Calc)'!$A:$A)-3),"")</f>
        <v>5.23544303797468</v>
      </c>
      <c r="AC141" s="144" t="n">
        <f aca="false">IFERROR('Price History'!H3+(INDEX('Price History'!H:H,MATCH(9.99E+307,'Price History'!$A:$A))-'Price History'!H3)*(ROW()-3)/(MATCH(9.99E+307,'Returns (Calc)'!$A:$A)-3),"")</f>
        <v>12.7329113924051</v>
      </c>
      <c r="AD141" s="144" t="n">
        <f aca="false">IFERROR('Price History'!I3+(INDEX('Price History'!I:I,MATCH(9.99E+307,'Price History'!$A:$A))-'Price History'!I3)*(ROW()-3)/(MATCH(9.99E+307,'Returns (Calc)'!$A:$A)-3),"")</f>
        <v>5.61392405063291</v>
      </c>
      <c r="AE141" s="144" t="n">
        <f aca="false">IFERROR('Price History'!J3+(INDEX('Price History'!J:J,MATCH(9.99E+307,'Price History'!$A:$A))-'Price History'!J3)*(ROW()-3)/(MATCH(9.99E+307,'Returns (Calc)'!$A:$A)-3),"")</f>
        <v>8.74810126582278</v>
      </c>
      <c r="AF141" s="144" t="n">
        <f aca="false">IFERROR('Price History'!K3+(INDEX('Price History'!K:K,MATCH(9.99E+307,'Price History'!$A:$A))-'Price History'!K3)*(ROW()-3)/(MATCH(9.99E+307,'Returns (Calc)'!$A:$A)-3),"")</f>
        <v>5.54050632911392</v>
      </c>
      <c r="AG141" s="144" t="n">
        <f aca="false">IFERROR('Price History'!L3+(INDEX('Price History'!L:L,MATCH(9.99E+307,'Price History'!$A:$A))-'Price History'!L3)*(ROW()-3)/(MATCH(9.99E+307,'Returns (Calc)'!$A:$A)-3),"")</f>
        <v>14.1569620253165</v>
      </c>
      <c r="AH141" s="144" t="n">
        <f aca="false">IFERROR('Price History'!M3+(INDEX('Price History'!M:M,MATCH(9.99E+307,'Price History'!$A:$A))-'Price History'!M3)*(ROW()-3)/(MATCH(9.99E+307,'Returns (Calc)'!$A:$A)-3),"")</f>
        <v>1.94050632911392</v>
      </c>
      <c r="AI141" s="144" t="n">
        <f aca="false">IFERROR('Price History'!N3+(INDEX('Price History'!N:N,MATCH(9.99E+307,'Price History'!$A:$A))-'Price History'!N3)*(ROW()-3)/(MATCH(9.99E+307,'Returns (Calc)'!$A:$A)-3),"")</f>
        <v>2.75949367088608</v>
      </c>
      <c r="AJ141" s="144" t="n">
        <f aca="false">IFERROR('Price History'!O3+(INDEX('Price History'!O:O,MATCH(9.99E+307,'Price History'!$A:$A))-'Price History'!O3)*(ROW()-3)/(MATCH(9.99E+307,'Returns (Calc)'!$A:$A)-3),"")</f>
        <v>7.29493670886076</v>
      </c>
      <c r="AK141" s="144" t="n">
        <f aca="false">IFERROR('Price History'!Q3+(INDEX('Price History'!Q:Q,MATCH(9.99E+307,'Price History'!$A:$A))-'Price History'!Q3)*(ROW()-3)/(MATCH(9.99E+307,'Returns (Calc)'!$A:$A)-3),"")</f>
        <v>29.826582278481</v>
      </c>
      <c r="AL141" s="144" t="n">
        <f aca="false">IFERROR('Price History'!R3+(INDEX('Price History'!R:R,MATCH(9.99E+307,'Price History'!$A:$A))-'Price History'!R3)*(ROW()-3)/(MATCH(9.99E+307,'Returns (Calc)'!$A:$A)-3),"")</f>
        <v>6.05316455696202</v>
      </c>
      <c r="AM141" s="144" t="n">
        <f aca="false">IFERROR('Price History'!S3+(INDEX('Price History'!S:S,MATCH(9.99E+307,'Price History'!$A:$A))-'Price History'!S3)*(ROW()-3)/(MATCH(9.99E+307,'Returns (Calc)'!$A:$A)-3),"")</f>
        <v>7.41012658227848</v>
      </c>
      <c r="AN141" s="144" t="n">
        <f aca="false">IFERROR('Price History'!T3+(INDEX('Price History'!T:T,MATCH(9.99E+307,'Price History'!$A:$A))-'Price History'!T3)*(ROW()-3)/(MATCH(9.99E+307,'Returns (Calc)'!$A:$A)-3),"")</f>
        <v>3.40632911392405</v>
      </c>
      <c r="AO141" s="145" t="n">
        <f aca="false">IFERROR('Price History'!V3+(INDEX('Price History'!V:V,MATCH(9.99E+307,'Price History'!$A:$A))-'Price History'!V3)*(ROW()-3)/(MATCH(9.99E+307,'Returns (Calc)'!$A:$A)-3),"")</f>
        <v>0</v>
      </c>
    </row>
    <row r="142" customFormat="false" ht="15" hidden="false" customHeight="true" outlineLevel="0" collapsed="false">
      <c r="A142" s="141" t="n">
        <f aca="false">IF('Price History'!A143="","",'Price History'!A143)</f>
        <v>46164</v>
      </c>
      <c r="B142" s="142" t="n">
        <f aca="false">IFERROR(IF(OR(NOT(ISNUMBER('Price History'!B143)),NOT(ISNUMBER('Price History'!B142)),'Price History'!B142=0),"",'Price History'!B143/'Price History'!B142-1),"")</f>
        <v>-0.011470113085622</v>
      </c>
      <c r="C142" s="142" t="n">
        <f aca="false">IFERROR(IF(OR(NOT(ISNUMBER('Price History'!C143)),NOT(ISNUMBER('Price History'!C142)),'Price History'!C142=0),"",'Price History'!C143/'Price History'!C142-1),"")</f>
        <v>0.0849475241248152</v>
      </c>
      <c r="D142" s="142" t="n">
        <f aca="false">IFERROR(IF(OR(NOT(ISNUMBER('Price History'!D143)),NOT(ISNUMBER('Price History'!D142)),'Price History'!D142=0),"",'Price History'!D143/'Price History'!D142-1),"")</f>
        <v>0.0872875649222933</v>
      </c>
      <c r="E142" s="142" t="n">
        <f aca="false">IFERROR(IF(OR(NOT(ISNUMBER('Price History'!E143)),NOT(ISNUMBER('Price History'!E142)),'Price History'!E142=0),"",'Price History'!E143/'Price History'!E142-1),"")</f>
        <v>-0.0260058997050147</v>
      </c>
      <c r="F142" s="142" t="n">
        <f aca="false">IFERROR(IF(OR(NOT(ISNUMBER('Price History'!F143)),NOT(ISNUMBER('Price History'!F142)),'Price History'!F142=0),"",'Price History'!F143/'Price History'!F142-1),"")</f>
        <v>0.0237031947784268</v>
      </c>
      <c r="G142" s="142" t="n">
        <f aca="false">IFERROR(IF(OR(NOT(ISNUMBER('Price History'!G143)),NOT(ISNUMBER('Price History'!G142)),'Price History'!G142=0),"",'Price History'!G143/'Price History'!G142-1),"")</f>
        <v>0.116819283598169</v>
      </c>
      <c r="H142" s="142" t="n">
        <f aca="false">IFERROR(IF(OR(NOT(ISNUMBER('Price History'!H143)),NOT(ISNUMBER('Price History'!H142)),'Price History'!H142=0),"",'Price History'!H143/'Price History'!H142-1),"")</f>
        <v>0.0317738135307977</v>
      </c>
      <c r="I142" s="142" t="n">
        <f aca="false">IFERROR(IF(OR(NOT(ISNUMBER('Price History'!I143)),NOT(ISNUMBER('Price History'!I142)),'Price History'!I142=0),"",'Price History'!I143/'Price History'!I142-1),"")</f>
        <v>0.0478888888888889</v>
      </c>
      <c r="J142" s="142" t="n">
        <f aca="false">IFERROR(IF(OR(NOT(ISNUMBER('Price History'!J143)),NOT(ISNUMBER('Price History'!J142)),'Price History'!J142=0),"",'Price History'!J143/'Price History'!J142-1),"")</f>
        <v>0.0363397971154511</v>
      </c>
      <c r="K142" s="142" t="n">
        <f aca="false">IFERROR(IF(OR(NOT(ISNUMBER('Price History'!K143)),NOT(ISNUMBER('Price History'!K142)),'Price History'!K142=0),"",'Price History'!K143/'Price History'!K142-1),"")</f>
        <v>-0.0443485610070726</v>
      </c>
      <c r="L142" s="142" t="n">
        <f aca="false">IFERROR(IF(OR(NOT(ISNUMBER('Price History'!L143)),NOT(ISNUMBER('Price History'!L142)),'Price History'!L142=0),"",'Price History'!L143/'Price History'!L142-1),"")</f>
        <v>0.0382170206617543</v>
      </c>
      <c r="M142" s="142" t="n">
        <f aca="false">IFERROR(IF(OR(NOT(ISNUMBER('Price History'!M143)),NOT(ISNUMBER('Price History'!M142)),'Price History'!M142=0),"",'Price History'!M143/'Price History'!M142-1),"")</f>
        <v>0.0215687737890886</v>
      </c>
      <c r="N142" s="142" t="n">
        <f aca="false">IFERROR(IF(OR(NOT(ISNUMBER('Price History'!N143)),NOT(ISNUMBER('Price History'!N142)),'Price History'!N142=0),"",'Price History'!N143/'Price History'!N142-1),"")</f>
        <v>0.0349135169762973</v>
      </c>
      <c r="O142" s="142" t="n">
        <f aca="false">IFERROR(IF(OR(NOT(ISNUMBER('Price History'!O143)),NOT(ISNUMBER('Price History'!O142)),'Price History'!O142=0),"",'Price History'!O143/'Price History'!O142-1),"")</f>
        <v>0.0101377333426553</v>
      </c>
      <c r="P142" s="142" t="n">
        <f aca="false">IFERROR(IF(OR(NOT(ISNUMBER('Price History'!P143)),NOT(ISNUMBER('Price History'!P142)),'Price History'!P142=0),"",'Price History'!P143/'Price History'!P142-1),"")</f>
        <v>0.000422538712002707</v>
      </c>
      <c r="Q142" s="142" t="n">
        <f aca="false">IFERROR(IF(OR(NOT(ISNUMBER('Price History'!Q143)),NOT(ISNUMBER('Price History'!Q142)),'Price History'!Q142=0),"",'Price History'!Q143/'Price History'!Q142-1),"")</f>
        <v>0.00959557127479616</v>
      </c>
      <c r="R142" s="142" t="n">
        <f aca="false">IFERROR(IF(OR(NOT(ISNUMBER('Price History'!R143)),NOT(ISNUMBER('Price History'!R142)),'Price History'!R142=0),"",'Price History'!R143/'Price History'!R142-1),"")</f>
        <v>0.0180492884415133</v>
      </c>
      <c r="S142" s="142" t="n">
        <f aca="false">IFERROR(IF(OR(NOT(ISNUMBER('Price History'!S143)),NOT(ISNUMBER('Price History'!S142)),'Price History'!S142=0),"",'Price History'!S143/'Price History'!S142-1),"")</f>
        <v>0.0402140424841901</v>
      </c>
      <c r="T142" s="142" t="n">
        <f aca="false">IFERROR(IF(OR(NOT(ISNUMBER('Price History'!T143)),NOT(ISNUMBER('Price History'!T142)),'Price History'!T142=0),"",'Price History'!T143/'Price History'!T142-1),"")</f>
        <v>0.0534813319878908</v>
      </c>
      <c r="U142" s="142" t="str">
        <f aca="false">IFERROR(IF(OR(NOT(ISNUMBER('Price History'!U143)),NOT(ISNUMBER('Price History'!U142)),'Price History'!U142=0),"",'Price History'!U143/'Price History'!U142-1),"")</f>
        <v/>
      </c>
      <c r="V142" s="143" t="n">
        <f aca="false">IFERROR(IF(OR(NOT(ISNUMBER('Price History'!V143)),NOT(ISNUMBER('Price History'!V142)),'Price History'!V142=0),"",'Price History'!V143/'Price History'!V142-1),"")</f>
        <v>0.0415938252465613</v>
      </c>
      <c r="W142" s="144" t="str">
        <f aca="false">IFERROR('Price History'!B3+(INDEX('Price History'!B:B,MATCH(9.99E+307,'Price History'!$A:$A))-'Price History'!B3)*(ROW()-3)/(MATCH(9.99E+307,'Returns (Calc)'!$A:$A)-3),"")</f>
        <v/>
      </c>
      <c r="X142" s="144" t="n">
        <f aca="false">IFERROR('Price History'!C3+(INDEX('Price History'!C:C,MATCH(9.99E+307,'Price History'!$A:$A))-'Price History'!C3)*(ROW()-3)/(MATCH(9.99E+307,'Returns (Calc)'!$A:$A)-3),"")</f>
        <v>5.55329113924051</v>
      </c>
      <c r="Y142" s="144" t="n">
        <f aca="false">IFERROR('Price History'!D3+(INDEX('Price History'!D:D,MATCH(9.99E+307,'Price History'!$A:$A))-'Price History'!D3)*(ROW()-3)/(MATCH(9.99E+307,'Returns (Calc)'!$A:$A)-3),"")</f>
        <v>69.9885443037974</v>
      </c>
      <c r="Z142" s="144" t="n">
        <f aca="false">IFERROR('Price History'!E3+(INDEX('Price History'!E:E,MATCH(9.99E+307,'Price History'!$A:$A))-'Price History'!E3)*(ROW()-3)/(MATCH(9.99E+307,'Returns (Calc)'!$A:$A)-3),"")</f>
        <v>9.86075949367088</v>
      </c>
      <c r="AA142" s="144" t="n">
        <f aca="false">IFERROR('Price History'!F3+(INDEX('Price History'!F:F,MATCH(9.99E+307,'Price History'!$A:$A))-'Price History'!F3)*(ROW()-3)/(MATCH(9.99E+307,'Returns (Calc)'!$A:$A)-3),"")</f>
        <v>9.05626582278481</v>
      </c>
      <c r="AB142" s="144" t="n">
        <f aca="false">IFERROR('Price History'!G3+(INDEX('Price History'!G:G,MATCH(9.99E+307,'Price History'!$A:$A))-'Price History'!G3)*(ROW()-3)/(MATCH(9.99E+307,'Returns (Calc)'!$A:$A)-3),"")</f>
        <v>4.97367088607595</v>
      </c>
      <c r="AC142" s="144" t="n">
        <f aca="false">IFERROR('Price History'!H3+(INDEX('Price History'!H:H,MATCH(9.99E+307,'Price History'!$A:$A))-'Price History'!H3)*(ROW()-3)/(MATCH(9.99E+307,'Returns (Calc)'!$A:$A)-3),"")</f>
        <v>12.0962658227848</v>
      </c>
      <c r="AD142" s="144" t="n">
        <f aca="false">IFERROR('Price History'!I3+(INDEX('Price History'!I:I,MATCH(9.99E+307,'Price History'!$A:$A))-'Price History'!I3)*(ROW()-3)/(MATCH(9.99E+307,'Returns (Calc)'!$A:$A)-3),"")</f>
        <v>5.33322784810127</v>
      </c>
      <c r="AE142" s="144" t="n">
        <f aca="false">IFERROR('Price History'!J3+(INDEX('Price History'!J:J,MATCH(9.99E+307,'Price History'!$A:$A))-'Price History'!J3)*(ROW()-3)/(MATCH(9.99E+307,'Returns (Calc)'!$A:$A)-3),"")</f>
        <v>8.31069620253165</v>
      </c>
      <c r="AF142" s="144" t="n">
        <f aca="false">IFERROR('Price History'!K3+(INDEX('Price History'!K:K,MATCH(9.99E+307,'Price History'!$A:$A))-'Price History'!K3)*(ROW()-3)/(MATCH(9.99E+307,'Returns (Calc)'!$A:$A)-3),"")</f>
        <v>5.26348101265823</v>
      </c>
      <c r="AG142" s="144" t="n">
        <f aca="false">IFERROR('Price History'!L3+(INDEX('Price History'!L:L,MATCH(9.99E+307,'Price History'!$A:$A))-'Price History'!L3)*(ROW()-3)/(MATCH(9.99E+307,'Returns (Calc)'!$A:$A)-3),"")</f>
        <v>13.4491139240506</v>
      </c>
      <c r="AH142" s="144" t="n">
        <f aca="false">IFERROR('Price History'!M3+(INDEX('Price History'!M:M,MATCH(9.99E+307,'Price History'!$A:$A))-'Price History'!M3)*(ROW()-3)/(MATCH(9.99E+307,'Returns (Calc)'!$A:$A)-3),"")</f>
        <v>1.84348101265823</v>
      </c>
      <c r="AI142" s="144" t="n">
        <f aca="false">IFERROR('Price History'!N3+(INDEX('Price History'!N:N,MATCH(9.99E+307,'Price History'!$A:$A))-'Price History'!N3)*(ROW()-3)/(MATCH(9.99E+307,'Returns (Calc)'!$A:$A)-3),"")</f>
        <v>2.62151898734177</v>
      </c>
      <c r="AJ142" s="144" t="n">
        <f aca="false">IFERROR('Price History'!O3+(INDEX('Price History'!O:O,MATCH(9.99E+307,'Price History'!$A:$A))-'Price History'!O3)*(ROW()-3)/(MATCH(9.99E+307,'Returns (Calc)'!$A:$A)-3),"")</f>
        <v>6.93018987341772</v>
      </c>
      <c r="AK142" s="144" t="n">
        <f aca="false">IFERROR('Price History'!Q3+(INDEX('Price History'!Q:Q,MATCH(9.99E+307,'Price History'!$A:$A))-'Price History'!Q3)*(ROW()-3)/(MATCH(9.99E+307,'Returns (Calc)'!$A:$A)-3),"")</f>
        <v>28.3352531645569</v>
      </c>
      <c r="AL142" s="144" t="n">
        <f aca="false">IFERROR('Price History'!R3+(INDEX('Price History'!R:R,MATCH(9.99E+307,'Price History'!$A:$A))-'Price History'!R3)*(ROW()-3)/(MATCH(9.99E+307,'Returns (Calc)'!$A:$A)-3),"")</f>
        <v>5.75050632911392</v>
      </c>
      <c r="AM142" s="144" t="n">
        <f aca="false">IFERROR('Price History'!S3+(INDEX('Price History'!S:S,MATCH(9.99E+307,'Price History'!$A:$A))-'Price History'!S3)*(ROW()-3)/(MATCH(9.99E+307,'Returns (Calc)'!$A:$A)-3),"")</f>
        <v>7.03962025316456</v>
      </c>
      <c r="AN142" s="144" t="n">
        <f aca="false">IFERROR('Price History'!T3+(INDEX('Price History'!T:T,MATCH(9.99E+307,'Price History'!$A:$A))-'Price History'!T3)*(ROW()-3)/(MATCH(9.99E+307,'Returns (Calc)'!$A:$A)-3),"")</f>
        <v>3.23601265822785</v>
      </c>
      <c r="AO142" s="145" t="n">
        <f aca="false">IFERROR('Price History'!V3+(INDEX('Price History'!V:V,MATCH(9.99E+307,'Price History'!$A:$A))-'Price History'!V3)*(ROW()-3)/(MATCH(9.99E+307,'Returns (Calc)'!$A:$A)-3),"")</f>
        <v>0</v>
      </c>
    </row>
    <row r="143" customFormat="false" ht="15" hidden="false" customHeight="true" outlineLevel="0" collapsed="false">
      <c r="A143" s="141" t="n">
        <f aca="false">IF('Price History'!A144="","",'Price History'!A144)</f>
        <v>46171</v>
      </c>
      <c r="B143" s="142" t="n">
        <f aca="false">IFERROR(IF(OR(NOT(ISNUMBER('Price History'!B144)),NOT(ISNUMBER('Price History'!B143)),'Price History'!B143=0),"",'Price History'!B144/'Price History'!B143-1),"")</f>
        <v>0.0590374244157541</v>
      </c>
      <c r="C143" s="142" t="n">
        <f aca="false">IFERROR(IF(OR(NOT(ISNUMBER('Price History'!C144)),NOT(ISNUMBER('Price History'!C143)),'Price History'!C143=0),"",'Price History'!C144/'Price History'!C143-1),"")</f>
        <v>0.0353177952346946</v>
      </c>
      <c r="D143" s="142" t="n">
        <f aca="false">IFERROR(IF(OR(NOT(ISNUMBER('Price History'!D144)),NOT(ISNUMBER('Price History'!D143)),'Price History'!D143=0),"",'Price History'!D144/'Price History'!D143-1),"")</f>
        <v>-0.0123314467221407</v>
      </c>
      <c r="E143" s="142" t="n">
        <f aca="false">IFERROR(IF(OR(NOT(ISNUMBER('Price History'!E144)),NOT(ISNUMBER('Price History'!E143)),'Price History'!E143=0),"",'Price History'!E144/'Price History'!E143-1),"")</f>
        <v>0.0787924308870205</v>
      </c>
      <c r="F143" s="142" t="n">
        <f aca="false">IFERROR(IF(OR(NOT(ISNUMBER('Price History'!F144)),NOT(ISNUMBER('Price History'!F143)),'Price History'!F143=0),"",'Price History'!F144/'Price History'!F143-1),"")</f>
        <v>0.000167785234899354</v>
      </c>
      <c r="G143" s="142" t="n">
        <f aca="false">IFERROR(IF(OR(NOT(ISNUMBER('Price History'!G144)),NOT(ISNUMBER('Price History'!G143)),'Price History'!G143=0),"",'Price History'!G144/'Price History'!G143-1),"")</f>
        <v>0.10176644360041</v>
      </c>
      <c r="H143" s="142" t="n">
        <f aca="false">IFERROR(IF(OR(NOT(ISNUMBER('Price History'!H144)),NOT(ISNUMBER('Price History'!H143)),'Price History'!H143=0),"",'Price History'!H144/'Price History'!H143-1),"")</f>
        <v>-0.00508905852417307</v>
      </c>
      <c r="I143" s="142" t="n">
        <f aca="false">IFERROR(IF(OR(NOT(ISNUMBER('Price History'!I144)),NOT(ISNUMBER('Price History'!I143)),'Price History'!I143=0),"",'Price History'!I144/'Price History'!I143-1),"")</f>
        <v>0.0176545435266673</v>
      </c>
      <c r="J143" s="142" t="n">
        <f aca="false">IFERROR(IF(OR(NOT(ISNUMBER('Price History'!J144)),NOT(ISNUMBER('Price History'!J143)),'Price History'!J143=0),"",'Price History'!J144/'Price History'!J143-1),"")</f>
        <v>0.292949605795866</v>
      </c>
      <c r="K143" s="142" t="n">
        <f aca="false">IFERROR(IF(OR(NOT(ISNUMBER('Price History'!K144)),NOT(ISNUMBER('Price History'!K143)),'Price History'!K143=0),"",'Price History'!K144/'Price History'!K143-1),"")</f>
        <v>-0.019456339601564</v>
      </c>
      <c r="L143" s="142" t="n">
        <f aca="false">IFERROR(IF(OR(NOT(ISNUMBER('Price History'!L144)),NOT(ISNUMBER('Price History'!L143)),'Price History'!L143=0),"",'Price History'!L144/'Price History'!L143-1),"")</f>
        <v>-0.0167002992136943</v>
      </c>
      <c r="M143" s="142" t="n">
        <f aca="false">IFERROR(IF(OR(NOT(ISNUMBER('Price History'!M144)),NOT(ISNUMBER('Price History'!M143)),'Price History'!M143=0),"",'Price History'!M144/'Price History'!M143-1),"")</f>
        <v>0.143629456458211</v>
      </c>
      <c r="N143" s="142" t="n">
        <f aca="false">IFERROR(IF(OR(NOT(ISNUMBER('Price History'!N144)),NOT(ISNUMBER('Price History'!N143)),'Price History'!N143=0),"",'Price History'!N144/'Price History'!N143-1),"")</f>
        <v>-0.0099040544722997</v>
      </c>
      <c r="O143" s="142" t="n">
        <f aca="false">IFERROR(IF(OR(NOT(ISNUMBER('Price History'!O144)),NOT(ISNUMBER('Price History'!O143)),'Price History'!O143=0),"",'Price History'!O144/'Price History'!O143-1),"")</f>
        <v>0.0389673311184942</v>
      </c>
      <c r="P143" s="142" t="n">
        <f aca="false">IFERROR(IF(OR(NOT(ISNUMBER('Price History'!P144)),NOT(ISNUMBER('Price History'!P143)),'Price History'!P143=0),"",'Price History'!P144/'Price History'!P143-1),"")</f>
        <v>0.0344347826086957</v>
      </c>
      <c r="Q143" s="142" t="n">
        <f aca="false">IFERROR(IF(OR(NOT(ISNUMBER('Price History'!Q144)),NOT(ISNUMBER('Price History'!Q143)),'Price History'!Q143=0),"",'Price History'!Q144/'Price History'!Q143-1),"")</f>
        <v>-0.00767660767051503</v>
      </c>
      <c r="R143" s="142" t="n">
        <f aca="false">IFERROR(IF(OR(NOT(ISNUMBER('Price History'!R144)),NOT(ISNUMBER('Price History'!R143)),'Price History'!R143=0),"",'Price History'!R144/'Price History'!R143-1),"")</f>
        <v>0.00562563927719073</v>
      </c>
      <c r="S143" s="142" t="n">
        <f aca="false">IFERROR(IF(OR(NOT(ISNUMBER('Price History'!S144)),NOT(ISNUMBER('Price History'!S143)),'Price History'!S143=0),"",'Price History'!S144/'Price History'!S143-1),"")</f>
        <v>0.0250974279033516</v>
      </c>
      <c r="T143" s="142" t="n">
        <f aca="false">IFERROR(IF(OR(NOT(ISNUMBER('Price History'!T144)),NOT(ISNUMBER('Price History'!T143)),'Price History'!T143=0),"",'Price History'!T144/'Price History'!T143-1),"")</f>
        <v>-0.00574712643678144</v>
      </c>
      <c r="U143" s="142" t="str">
        <f aca="false">IFERROR(IF(OR(NOT(ISNUMBER('Price History'!U144)),NOT(ISNUMBER('Price History'!U143)),'Price History'!U143=0),"",'Price History'!U144/'Price History'!U143-1),"")</f>
        <v/>
      </c>
      <c r="V143" s="143" t="n">
        <f aca="false">IFERROR(IF(OR(NOT(ISNUMBER('Price History'!V144)),NOT(ISNUMBER('Price History'!V143)),'Price History'!V143=0),"",'Price History'!V144/'Price History'!V143-1),"")</f>
        <v>-0.0239723858382418</v>
      </c>
      <c r="W143" s="144" t="str">
        <f aca="false">IFERROR('Price History'!B3+(INDEX('Price History'!B:B,MATCH(9.99E+307,'Price History'!$A:$A))-'Price History'!B3)*(ROW()-3)/(MATCH(9.99E+307,'Returns (Calc)'!$A:$A)-3),"")</f>
        <v/>
      </c>
      <c r="X143" s="144" t="n">
        <f aca="false">IFERROR('Price History'!C3+(INDEX('Price History'!C:C,MATCH(9.99E+307,'Price History'!$A:$A))-'Price History'!C3)*(ROW()-3)/(MATCH(9.99E+307,'Returns (Calc)'!$A:$A)-3),"")</f>
        <v>5.26101265822785</v>
      </c>
      <c r="Y143" s="144" t="n">
        <f aca="false">IFERROR('Price History'!D3+(INDEX('Price History'!D:D,MATCH(9.99E+307,'Price History'!$A:$A))-'Price History'!D3)*(ROW()-3)/(MATCH(9.99E+307,'Returns (Calc)'!$A:$A)-3),"")</f>
        <v>66.3049367088607</v>
      </c>
      <c r="Z143" s="144" t="n">
        <f aca="false">IFERROR('Price History'!E3+(INDEX('Price History'!E:E,MATCH(9.99E+307,'Price History'!$A:$A))-'Price History'!E3)*(ROW()-3)/(MATCH(9.99E+307,'Returns (Calc)'!$A:$A)-3),"")</f>
        <v>9.34177215189874</v>
      </c>
      <c r="AA143" s="144" t="n">
        <f aca="false">IFERROR('Price History'!F3+(INDEX('Price History'!F:F,MATCH(9.99E+307,'Price History'!$A:$A))-'Price History'!F3)*(ROW()-3)/(MATCH(9.99E+307,'Returns (Calc)'!$A:$A)-3),"")</f>
        <v>8.57962025316456</v>
      </c>
      <c r="AB143" s="144" t="n">
        <f aca="false">IFERROR('Price History'!G3+(INDEX('Price History'!G:G,MATCH(9.99E+307,'Price History'!$A:$A))-'Price History'!G3)*(ROW()-3)/(MATCH(9.99E+307,'Returns (Calc)'!$A:$A)-3),"")</f>
        <v>4.71189873417722</v>
      </c>
      <c r="AC143" s="144" t="n">
        <f aca="false">IFERROR('Price History'!H3+(INDEX('Price History'!H:H,MATCH(9.99E+307,'Price History'!$A:$A))-'Price History'!H3)*(ROW()-3)/(MATCH(9.99E+307,'Returns (Calc)'!$A:$A)-3),"")</f>
        <v>11.4596202531646</v>
      </c>
      <c r="AD143" s="144" t="n">
        <f aca="false">IFERROR('Price History'!I3+(INDEX('Price History'!I:I,MATCH(9.99E+307,'Price History'!$A:$A))-'Price History'!I3)*(ROW()-3)/(MATCH(9.99E+307,'Returns (Calc)'!$A:$A)-3),"")</f>
        <v>5.05253164556962</v>
      </c>
      <c r="AE143" s="144" t="n">
        <f aca="false">IFERROR('Price History'!J3+(INDEX('Price History'!J:J,MATCH(9.99E+307,'Price History'!$A:$A))-'Price History'!J3)*(ROW()-3)/(MATCH(9.99E+307,'Returns (Calc)'!$A:$A)-3),"")</f>
        <v>7.87329113924051</v>
      </c>
      <c r="AF143" s="144" t="n">
        <f aca="false">IFERROR('Price History'!K3+(INDEX('Price History'!K:K,MATCH(9.99E+307,'Price History'!$A:$A))-'Price History'!K3)*(ROW()-3)/(MATCH(9.99E+307,'Returns (Calc)'!$A:$A)-3),"")</f>
        <v>4.98645569620253</v>
      </c>
      <c r="AG143" s="144" t="n">
        <f aca="false">IFERROR('Price History'!L3+(INDEX('Price History'!L:L,MATCH(9.99E+307,'Price History'!$A:$A))-'Price History'!L3)*(ROW()-3)/(MATCH(9.99E+307,'Returns (Calc)'!$A:$A)-3),"")</f>
        <v>12.7412658227848</v>
      </c>
      <c r="AH143" s="144" t="n">
        <f aca="false">IFERROR('Price History'!M3+(INDEX('Price History'!M:M,MATCH(9.99E+307,'Price History'!$A:$A))-'Price History'!M3)*(ROW()-3)/(MATCH(9.99E+307,'Returns (Calc)'!$A:$A)-3),"")</f>
        <v>1.74645569620253</v>
      </c>
      <c r="AI143" s="144" t="n">
        <f aca="false">IFERROR('Price History'!N3+(INDEX('Price History'!N:N,MATCH(9.99E+307,'Price History'!$A:$A))-'Price History'!N3)*(ROW()-3)/(MATCH(9.99E+307,'Returns (Calc)'!$A:$A)-3),"")</f>
        <v>2.48354430379747</v>
      </c>
      <c r="AJ143" s="144" t="n">
        <f aca="false">IFERROR('Price History'!O3+(INDEX('Price History'!O:O,MATCH(9.99E+307,'Price History'!$A:$A))-'Price History'!O3)*(ROW()-3)/(MATCH(9.99E+307,'Returns (Calc)'!$A:$A)-3),"")</f>
        <v>6.56544303797468</v>
      </c>
      <c r="AK143" s="144" t="n">
        <f aca="false">IFERROR('Price History'!Q3+(INDEX('Price History'!Q:Q,MATCH(9.99E+307,'Price History'!$A:$A))-'Price History'!Q3)*(ROW()-3)/(MATCH(9.99E+307,'Returns (Calc)'!$A:$A)-3),"")</f>
        <v>26.8439240506329</v>
      </c>
      <c r="AL143" s="144" t="n">
        <f aca="false">IFERROR('Price History'!R3+(INDEX('Price History'!R:R,MATCH(9.99E+307,'Price History'!$A:$A))-'Price History'!R3)*(ROW()-3)/(MATCH(9.99E+307,'Returns (Calc)'!$A:$A)-3),"")</f>
        <v>5.44784810126582</v>
      </c>
      <c r="AM143" s="144" t="n">
        <f aca="false">IFERROR('Price History'!S3+(INDEX('Price History'!S:S,MATCH(9.99E+307,'Price History'!$A:$A))-'Price History'!S3)*(ROW()-3)/(MATCH(9.99E+307,'Returns (Calc)'!$A:$A)-3),"")</f>
        <v>6.66911392405063</v>
      </c>
      <c r="AN143" s="144" t="n">
        <f aca="false">IFERROR('Price History'!T3+(INDEX('Price History'!T:T,MATCH(9.99E+307,'Price History'!$A:$A))-'Price History'!T3)*(ROW()-3)/(MATCH(9.99E+307,'Returns (Calc)'!$A:$A)-3),"")</f>
        <v>3.06569620253164</v>
      </c>
      <c r="AO143" s="145" t="n">
        <f aca="false">IFERROR('Price History'!V3+(INDEX('Price History'!V:V,MATCH(9.99E+307,'Price History'!$A:$A))-'Price History'!V3)*(ROW()-3)/(MATCH(9.99E+307,'Returns (Calc)'!$A:$A)-3),"")</f>
        <v>0</v>
      </c>
    </row>
    <row r="144" customFormat="false" ht="15" hidden="false" customHeight="true" outlineLevel="0" collapsed="false">
      <c r="A144" s="141" t="n">
        <f aca="false">IF('Price History'!A145="","",'Price History'!A145)</f>
        <v>46178</v>
      </c>
      <c r="B144" s="142" t="n">
        <f aca="false">IFERROR(IF(OR(NOT(ISNUMBER('Price History'!B145)),NOT(ISNUMBER('Price History'!B144)),'Price History'!B144=0),"",'Price History'!B145/'Price History'!B144-1),"")</f>
        <v>-0.0299756953821225</v>
      </c>
      <c r="C144" s="142" t="n">
        <f aca="false">IFERROR(IF(OR(NOT(ISNUMBER('Price History'!C145)),NOT(ISNUMBER('Price History'!C144)),'Price History'!C144=0),"",'Price History'!C145/'Price History'!C144-1),"")</f>
        <v>-0.032608014046529</v>
      </c>
      <c r="D144" s="142" t="n">
        <f aca="false">IFERROR(IF(OR(NOT(ISNUMBER('Price History'!D145)),NOT(ISNUMBER('Price History'!D144)),'Price History'!D144=0),"",'Price History'!D145/'Price History'!D144-1),"")</f>
        <v>0.0179675664936547</v>
      </c>
      <c r="E144" s="142" t="n">
        <f aca="false">IFERROR(IF(OR(NOT(ISNUMBER('Price History'!E145)),NOT(ISNUMBER('Price History'!E144)),'Price History'!E144=0),"",'Price History'!E145/'Price History'!E144-1),"")</f>
        <v>-0.136619876473891</v>
      </c>
      <c r="F144" s="142" t="n">
        <f aca="false">IFERROR(IF(OR(NOT(ISNUMBER('Price History'!F145)),NOT(ISNUMBER('Price History'!F144)),'Price History'!F144=0),"",'Price History'!F145/'Price History'!F144-1),"")</f>
        <v>-0.00293574903539673</v>
      </c>
      <c r="G144" s="142" t="n">
        <f aca="false">IFERROR(IF(OR(NOT(ISNUMBER('Price History'!G145)),NOT(ISNUMBER('Price History'!G144)),'Price History'!G144=0),"",'Price History'!G145/'Price History'!G144-1),"")</f>
        <v>-0.0820246238030097</v>
      </c>
      <c r="H144" s="142" t="n">
        <f aca="false">IFERROR(IF(OR(NOT(ISNUMBER('Price History'!H145)),NOT(ISNUMBER('Price History'!H144)),'Price History'!H144=0),"",'Price History'!H145/'Price History'!H144-1),"")</f>
        <v>0.0028198570398057</v>
      </c>
      <c r="I144" s="142" t="n">
        <f aca="false">IFERROR(IF(OR(NOT(ISNUMBER('Price History'!I145)),NOT(ISNUMBER('Price History'!I144)),'Price History'!I144=0),"",'Price History'!I145/'Price History'!I144-1),"")</f>
        <v>0.00390726751758264</v>
      </c>
      <c r="J144" s="142" t="n">
        <f aca="false">IFERROR(IF(OR(NOT(ISNUMBER('Price History'!J145)),NOT(ISNUMBER('Price History'!J144)),'Price History'!J144=0),"",'Price History'!J145/'Price History'!J144-1),"")</f>
        <v>-0.110181799454087</v>
      </c>
      <c r="K144" s="142" t="n">
        <f aca="false">IFERROR(IF(OR(NOT(ISNUMBER('Price History'!K145)),NOT(ISNUMBER('Price History'!K144)),'Price History'!K144=0),"",'Price History'!K145/'Price History'!K144-1),"")</f>
        <v>-0.0274850469951581</v>
      </c>
      <c r="L144" s="142" t="n">
        <f aca="false">IFERROR(IF(OR(NOT(ISNUMBER('Price History'!L145)),NOT(ISNUMBER('Price History'!L144)),'Price History'!L144=0),"",'Price History'!L145/'Price History'!L144-1),"")</f>
        <v>0.0075012384120019</v>
      </c>
      <c r="M144" s="142" t="n">
        <f aca="false">IFERROR(IF(OR(NOT(ISNUMBER('Price History'!M145)),NOT(ISNUMBER('Price History'!M144)),'Price History'!M144=0),"",'Price History'!M145/'Price History'!M144-1),"")</f>
        <v>-0.134214897150888</v>
      </c>
      <c r="N144" s="142" t="n">
        <f aca="false">IFERROR(IF(OR(NOT(ISNUMBER('Price History'!N145)),NOT(ISNUMBER('Price History'!N144)),'Price History'!N144=0),"",'Price History'!N145/'Price History'!N144-1),"")</f>
        <v>-0.00625195373554233</v>
      </c>
      <c r="O144" s="142" t="n">
        <f aca="false">IFERROR(IF(OR(NOT(ISNUMBER('Price History'!O145)),NOT(ISNUMBER('Price History'!O144)),'Price History'!O144=0),"",'Price History'!O145/'Price History'!O144-1),"")</f>
        <v>-0.041902604756512</v>
      </c>
      <c r="P144" s="142" t="n">
        <f aca="false">IFERROR(IF(OR(NOT(ISNUMBER('Price History'!P145)),NOT(ISNUMBER('Price History'!P144)),'Price History'!P144=0),"",'Price History'!P145/'Price History'!P144-1),"")</f>
        <v>-0.00785378038236151</v>
      </c>
      <c r="Q144" s="142" t="n">
        <f aca="false">IFERROR(IF(OR(NOT(ISNUMBER('Price History'!Q145)),NOT(ISNUMBER('Price History'!Q144)),'Price History'!Q144=0),"",'Price History'!Q145/'Price History'!Q144-1),"")</f>
        <v>-0.00853415195702212</v>
      </c>
      <c r="R144" s="142" t="n">
        <f aca="false">IFERROR(IF(OR(NOT(ISNUMBER('Price History'!R145)),NOT(ISNUMBER('Price History'!R144)),'Price History'!R144=0),"",'Price History'!R145/'Price History'!R144-1),"")</f>
        <v>-0.00220376334972039</v>
      </c>
      <c r="S144" s="142" t="n">
        <f aca="false">IFERROR(IF(OR(NOT(ISNUMBER('Price History'!S145)),NOT(ISNUMBER('Price History'!S144)),'Price History'!S144=0),"",'Price History'!S145/'Price History'!S144-1),"")</f>
        <v>0.0220498783454985</v>
      </c>
      <c r="T144" s="142" t="n">
        <f aca="false">IFERROR(IF(OR(NOT(ISNUMBER('Price History'!T145)),NOT(ISNUMBER('Price History'!T144)),'Price History'!T144=0),"",'Price History'!T145/'Price History'!T144-1),"")</f>
        <v>0.0257707129094413</v>
      </c>
      <c r="U144" s="142" t="str">
        <f aca="false">IFERROR(IF(OR(NOT(ISNUMBER('Price History'!U145)),NOT(ISNUMBER('Price History'!U144)),'Price History'!U144=0),"",'Price History'!U145/'Price History'!U144-1),"")</f>
        <v/>
      </c>
      <c r="V144" s="143" t="n">
        <f aca="false">IFERROR(IF(OR(NOT(ISNUMBER('Price History'!V145)),NOT(ISNUMBER('Price History'!V144)),'Price History'!V144=0),"",'Price History'!V145/'Price History'!V144-1),"")</f>
        <v>0.0601213458356316</v>
      </c>
      <c r="W144" s="144" t="str">
        <f aca="false">IFERROR('Price History'!B3+(INDEX('Price History'!B:B,MATCH(9.99E+307,'Price History'!$A:$A))-'Price History'!B3)*(ROW()-3)/(MATCH(9.99E+307,'Returns (Calc)'!$A:$A)-3),"")</f>
        <v/>
      </c>
      <c r="X144" s="144" t="n">
        <f aca="false">IFERROR('Price History'!C3+(INDEX('Price History'!C:C,MATCH(9.99E+307,'Price History'!$A:$A))-'Price History'!C3)*(ROW()-3)/(MATCH(9.99E+307,'Returns (Calc)'!$A:$A)-3),"")</f>
        <v>4.96873417721519</v>
      </c>
      <c r="Y144" s="144" t="n">
        <f aca="false">IFERROR('Price History'!D3+(INDEX('Price History'!D:D,MATCH(9.99E+307,'Price History'!$A:$A))-'Price History'!D3)*(ROW()-3)/(MATCH(9.99E+307,'Returns (Calc)'!$A:$A)-3),"")</f>
        <v>62.6213291139241</v>
      </c>
      <c r="Z144" s="144" t="n">
        <f aca="false">IFERROR('Price History'!E3+(INDEX('Price History'!E:E,MATCH(9.99E+307,'Price History'!$A:$A))-'Price History'!E3)*(ROW()-3)/(MATCH(9.99E+307,'Returns (Calc)'!$A:$A)-3),"")</f>
        <v>8.82278481012658</v>
      </c>
      <c r="AA144" s="144" t="n">
        <f aca="false">IFERROR('Price History'!F3+(INDEX('Price History'!F:F,MATCH(9.99E+307,'Price History'!$A:$A))-'Price History'!F3)*(ROW()-3)/(MATCH(9.99E+307,'Returns (Calc)'!$A:$A)-3),"")</f>
        <v>8.1029746835443</v>
      </c>
      <c r="AB144" s="144" t="n">
        <f aca="false">IFERROR('Price History'!G3+(INDEX('Price History'!G:G,MATCH(9.99E+307,'Price History'!$A:$A))-'Price History'!G3)*(ROW()-3)/(MATCH(9.99E+307,'Returns (Calc)'!$A:$A)-3),"")</f>
        <v>4.45012658227848</v>
      </c>
      <c r="AC144" s="144" t="n">
        <f aca="false">IFERROR('Price History'!H3+(INDEX('Price History'!H:H,MATCH(9.99E+307,'Price History'!$A:$A))-'Price History'!H3)*(ROW()-3)/(MATCH(9.99E+307,'Returns (Calc)'!$A:$A)-3),"")</f>
        <v>10.8229746835443</v>
      </c>
      <c r="AD144" s="144" t="n">
        <f aca="false">IFERROR('Price History'!I3+(INDEX('Price History'!I:I,MATCH(9.99E+307,'Price History'!$A:$A))-'Price History'!I3)*(ROW()-3)/(MATCH(9.99E+307,'Returns (Calc)'!$A:$A)-3),"")</f>
        <v>4.77183544303797</v>
      </c>
      <c r="AE144" s="144" t="n">
        <f aca="false">IFERROR('Price History'!J3+(INDEX('Price History'!J:J,MATCH(9.99E+307,'Price History'!$A:$A))-'Price History'!J3)*(ROW()-3)/(MATCH(9.99E+307,'Returns (Calc)'!$A:$A)-3),"")</f>
        <v>7.43588607594936</v>
      </c>
      <c r="AF144" s="144" t="n">
        <f aca="false">IFERROR('Price History'!K3+(INDEX('Price History'!K:K,MATCH(9.99E+307,'Price History'!$A:$A))-'Price History'!K3)*(ROW()-3)/(MATCH(9.99E+307,'Returns (Calc)'!$A:$A)-3),"")</f>
        <v>4.70943037974683</v>
      </c>
      <c r="AG144" s="144" t="n">
        <f aca="false">IFERROR('Price History'!L3+(INDEX('Price History'!L:L,MATCH(9.99E+307,'Price History'!$A:$A))-'Price History'!L3)*(ROW()-3)/(MATCH(9.99E+307,'Returns (Calc)'!$A:$A)-3),"")</f>
        <v>12.033417721519</v>
      </c>
      <c r="AH144" s="144" t="n">
        <f aca="false">IFERROR('Price History'!M3+(INDEX('Price History'!M:M,MATCH(9.99E+307,'Price History'!$A:$A))-'Price History'!M3)*(ROW()-3)/(MATCH(9.99E+307,'Returns (Calc)'!$A:$A)-3),"")</f>
        <v>1.64943037974683</v>
      </c>
      <c r="AI144" s="144" t="n">
        <f aca="false">IFERROR('Price History'!N3+(INDEX('Price History'!N:N,MATCH(9.99E+307,'Price History'!$A:$A))-'Price History'!N3)*(ROW()-3)/(MATCH(9.99E+307,'Returns (Calc)'!$A:$A)-3),"")</f>
        <v>2.34556962025317</v>
      </c>
      <c r="AJ144" s="144" t="n">
        <f aca="false">IFERROR('Price History'!O3+(INDEX('Price History'!O:O,MATCH(9.99E+307,'Price History'!$A:$A))-'Price History'!O3)*(ROW()-3)/(MATCH(9.99E+307,'Returns (Calc)'!$A:$A)-3),"")</f>
        <v>6.20069620253165</v>
      </c>
      <c r="AK144" s="144" t="n">
        <f aca="false">IFERROR('Price History'!Q3+(INDEX('Price History'!Q:Q,MATCH(9.99E+307,'Price History'!$A:$A))-'Price History'!Q3)*(ROW()-3)/(MATCH(9.99E+307,'Returns (Calc)'!$A:$A)-3),"")</f>
        <v>25.3525949367088</v>
      </c>
      <c r="AL144" s="144" t="n">
        <f aca="false">IFERROR('Price History'!R3+(INDEX('Price History'!R:R,MATCH(9.99E+307,'Price History'!$A:$A))-'Price History'!R3)*(ROW()-3)/(MATCH(9.99E+307,'Returns (Calc)'!$A:$A)-3),"")</f>
        <v>5.14518987341772</v>
      </c>
      <c r="AM144" s="144" t="n">
        <f aca="false">IFERROR('Price History'!S3+(INDEX('Price History'!S:S,MATCH(9.99E+307,'Price History'!$A:$A))-'Price History'!S3)*(ROW()-3)/(MATCH(9.99E+307,'Returns (Calc)'!$A:$A)-3),"")</f>
        <v>6.29860759493671</v>
      </c>
      <c r="AN144" s="144" t="n">
        <f aca="false">IFERROR('Price History'!T3+(INDEX('Price History'!T:T,MATCH(9.99E+307,'Price History'!$A:$A))-'Price History'!T3)*(ROW()-3)/(MATCH(9.99E+307,'Returns (Calc)'!$A:$A)-3),"")</f>
        <v>2.89537974683545</v>
      </c>
      <c r="AO144" s="145" t="n">
        <f aca="false">IFERROR('Price History'!V3+(INDEX('Price History'!V:V,MATCH(9.99E+307,'Price History'!$A:$A))-'Price History'!V3)*(ROW()-3)/(MATCH(9.99E+307,'Returns (Calc)'!$A:$A)-3),"")</f>
        <v>0</v>
      </c>
    </row>
    <row r="145" customFormat="false" ht="15" hidden="false" customHeight="true" outlineLevel="0" collapsed="false">
      <c r="A145" s="141" t="n">
        <f aca="false">IF('Price History'!A146="","",'Price History'!A146)</f>
        <v>46185</v>
      </c>
      <c r="B145" s="142" t="n">
        <f aca="false">IFERROR(IF(OR(NOT(ISNUMBER('Price History'!B146)),NOT(ISNUMBER('Price History'!B145)),'Price History'!B145=0),"",'Price History'!B146/'Price History'!B145-1),"")</f>
        <v>-0.188593700286351</v>
      </c>
      <c r="C145" s="142" t="n">
        <f aca="false">IFERROR(IF(OR(NOT(ISNUMBER('Price History'!C146)),NOT(ISNUMBER('Price History'!C145)),'Price History'!C145=0),"",'Price History'!C146/'Price History'!C145-1),"")</f>
        <v>0.0581448110455693</v>
      </c>
      <c r="D145" s="142" t="n">
        <f aca="false">IFERROR(IF(OR(NOT(ISNUMBER('Price History'!D146)),NOT(ISNUMBER('Price History'!D145)),'Price History'!D145=0),"",'Price History'!D146/'Price History'!D145-1),"")</f>
        <v>0.135104475427233</v>
      </c>
      <c r="E145" s="142" t="n">
        <f aca="false">IFERROR(IF(OR(NOT(ISNUMBER('Price History'!E146)),NOT(ISNUMBER('Price History'!E145)),'Price History'!E145=0),"",'Price History'!E146/'Price History'!E145-1),"")</f>
        <v>-0.00949482337027219</v>
      </c>
      <c r="F145" s="142" t="n">
        <f aca="false">IFERROR(IF(OR(NOT(ISNUMBER('Price History'!F146)),NOT(ISNUMBER('Price History'!F145)),'Price History'!F145=0),"",'Price History'!F146/'Price History'!F145-1),"")</f>
        <v>0.0429040127870783</v>
      </c>
      <c r="G145" s="142" t="n">
        <f aca="false">IFERROR(IF(OR(NOT(ISNUMBER('Price History'!G146)),NOT(ISNUMBER('Price History'!G145)),'Price History'!G145=0),"",'Price History'!G146/'Price History'!G145-1),"")</f>
        <v>0.0175250357653791</v>
      </c>
      <c r="H145" s="142" t="n">
        <f aca="false">IFERROR(IF(OR(NOT(ISNUMBER('Price History'!H146)),NOT(ISNUMBER('Price History'!H145)),'Price History'!H145=0),"",'Price History'!H146/'Price History'!H145-1),"")</f>
        <v>0.0221030604237511</v>
      </c>
      <c r="I145" s="142" t="n">
        <f aca="false">IFERROR(IF(OR(NOT(ISNUMBER('Price History'!I146)),NOT(ISNUMBER('Price History'!I145)),'Price History'!I145=0),"",'Price History'!I146/'Price History'!I145-1),"")</f>
        <v>0.319408406850026</v>
      </c>
      <c r="J145" s="142" t="n">
        <f aca="false">IFERROR(IF(OR(NOT(ISNUMBER('Price History'!J146)),NOT(ISNUMBER('Price History'!J145)),'Price History'!J145=0),"",'Price History'!J146/'Price History'!J145-1),"")</f>
        <v>0.136106866694448</v>
      </c>
      <c r="K145" s="142" t="n">
        <f aca="false">IFERROR(IF(OR(NOT(ISNUMBER('Price History'!K146)),NOT(ISNUMBER('Price History'!K145)),'Price History'!K145=0),"",'Price History'!K146/'Price History'!K145-1),"")</f>
        <v>0.000439302972616851</v>
      </c>
      <c r="L145" s="142" t="n">
        <f aca="false">IFERROR(IF(OR(NOT(ISNUMBER('Price History'!L146)),NOT(ISNUMBER('Price History'!L145)),'Price History'!L145=0),"",'Price History'!L146/'Price History'!L145-1),"")</f>
        <v>0.0290791599353795</v>
      </c>
      <c r="M145" s="142" t="n">
        <f aca="false">IFERROR(IF(OR(NOT(ISNUMBER('Price History'!M146)),NOT(ISNUMBER('Price History'!M145)),'Price History'!M145=0),"",'Price History'!M146/'Price History'!M145-1),"")</f>
        <v>-0.0556334390909762</v>
      </c>
      <c r="N145" s="142" t="n">
        <f aca="false">IFERROR(IF(OR(NOT(ISNUMBER('Price History'!N146)),NOT(ISNUMBER('Price History'!N145)),'Price History'!N145=0),"",'Price History'!N146/'Price History'!N145-1),"")</f>
        <v>0.0160427807486629</v>
      </c>
      <c r="O145" s="142" t="n">
        <f aca="false">IFERROR(IF(OR(NOT(ISNUMBER('Price History'!O146)),NOT(ISNUMBER('Price History'!O145)),'Price History'!O145=0),"",'Price History'!O146/'Price History'!O145-1),"")</f>
        <v>0.0568766513697678</v>
      </c>
      <c r="P145" s="142" t="n">
        <f aca="false">IFERROR(IF(OR(NOT(ISNUMBER('Price History'!P146)),NOT(ISNUMBER('Price History'!P145)),'Price History'!P145=0),"",'Price History'!P146/'Price History'!P145-1),"")</f>
        <v>0.0235057735602413</v>
      </c>
      <c r="Q145" s="142" t="n">
        <f aca="false">IFERROR(IF(OR(NOT(ISNUMBER('Price History'!Q146)),NOT(ISNUMBER('Price History'!Q145)),'Price History'!Q145=0),"",'Price History'!Q146/'Price History'!Q145-1),"")</f>
        <v>-0.00365359011672917</v>
      </c>
      <c r="R145" s="142" t="n">
        <f aca="false">IFERROR(IF(OR(NOT(ISNUMBER('Price History'!R146)),NOT(ISNUMBER('Price History'!R145)),'Price History'!R145=0),"",'Price History'!R146/'Price History'!R145-1),"")</f>
        <v>0.0127420998980632</v>
      </c>
      <c r="S145" s="142" t="n">
        <f aca="false">IFERROR(IF(OR(NOT(ISNUMBER('Price History'!S146)),NOT(ISNUMBER('Price History'!S145)),'Price History'!S145=0),"",'Price History'!S146/'Price History'!S145-1),"")</f>
        <v>0.0698556762386551</v>
      </c>
      <c r="T145" s="142" t="n">
        <f aca="false">IFERROR(IF(OR(NOT(ISNUMBER('Price History'!T146)),NOT(ISNUMBER('Price History'!T145)),'Price History'!T145=0),"",'Price History'!T146/'Price History'!T145-1),"")</f>
        <v>0.0241840807701337</v>
      </c>
      <c r="U145" s="142" t="str">
        <f aca="false">IFERROR(IF(OR(NOT(ISNUMBER('Price History'!U146)),NOT(ISNUMBER('Price History'!U145)),'Price History'!U145=0),"",'Price History'!U146/'Price History'!U145-1),"")</f>
        <v/>
      </c>
      <c r="V145" s="143" t="n">
        <f aca="false">IFERROR(IF(OR(NOT(ISNUMBER('Price History'!V146)),NOT(ISNUMBER('Price History'!V145)),'Price History'!V145=0),"",'Price History'!V146/'Price History'!V145-1),"")</f>
        <v>-0.0281569443594295</v>
      </c>
      <c r="W145" s="144" t="str">
        <f aca="false">IFERROR('Price History'!B3+(INDEX('Price History'!B:B,MATCH(9.99E+307,'Price History'!$A:$A))-'Price History'!B3)*(ROW()-3)/(MATCH(9.99E+307,'Returns (Calc)'!$A:$A)-3),"")</f>
        <v/>
      </c>
      <c r="X145" s="144" t="n">
        <f aca="false">IFERROR('Price History'!C3+(INDEX('Price History'!C:C,MATCH(9.99E+307,'Price History'!$A:$A))-'Price History'!C3)*(ROW()-3)/(MATCH(9.99E+307,'Returns (Calc)'!$A:$A)-3),"")</f>
        <v>4.67645569620253</v>
      </c>
      <c r="Y145" s="144" t="n">
        <f aca="false">IFERROR('Price History'!D3+(INDEX('Price History'!D:D,MATCH(9.99E+307,'Price History'!$A:$A))-'Price History'!D3)*(ROW()-3)/(MATCH(9.99E+307,'Returns (Calc)'!$A:$A)-3),"")</f>
        <v>58.9377215189874</v>
      </c>
      <c r="Z145" s="144" t="n">
        <f aca="false">IFERROR('Price History'!E3+(INDEX('Price History'!E:E,MATCH(9.99E+307,'Price History'!$A:$A))-'Price History'!E3)*(ROW()-3)/(MATCH(9.99E+307,'Returns (Calc)'!$A:$A)-3),"")</f>
        <v>8.30379746835443</v>
      </c>
      <c r="AA145" s="144" t="n">
        <f aca="false">IFERROR('Price History'!F3+(INDEX('Price History'!F:F,MATCH(9.99E+307,'Price History'!$A:$A))-'Price History'!F3)*(ROW()-3)/(MATCH(9.99E+307,'Returns (Calc)'!$A:$A)-3),"")</f>
        <v>7.62632911392404</v>
      </c>
      <c r="AB145" s="144" t="n">
        <f aca="false">IFERROR('Price History'!G3+(INDEX('Price History'!G:G,MATCH(9.99E+307,'Price History'!$A:$A))-'Price History'!G3)*(ROW()-3)/(MATCH(9.99E+307,'Returns (Calc)'!$A:$A)-3),"")</f>
        <v>4.18835443037975</v>
      </c>
      <c r="AC145" s="144" t="n">
        <f aca="false">IFERROR('Price History'!H3+(INDEX('Price History'!H:H,MATCH(9.99E+307,'Price History'!$A:$A))-'Price History'!H3)*(ROW()-3)/(MATCH(9.99E+307,'Returns (Calc)'!$A:$A)-3),"")</f>
        <v>10.186329113924</v>
      </c>
      <c r="AD145" s="144" t="n">
        <f aca="false">IFERROR('Price History'!I3+(INDEX('Price History'!I:I,MATCH(9.99E+307,'Price History'!$A:$A))-'Price History'!I3)*(ROW()-3)/(MATCH(9.99E+307,'Returns (Calc)'!$A:$A)-3),"")</f>
        <v>4.49113924050633</v>
      </c>
      <c r="AE145" s="144" t="n">
        <f aca="false">IFERROR('Price History'!J3+(INDEX('Price History'!J:J,MATCH(9.99E+307,'Price History'!$A:$A))-'Price History'!J3)*(ROW()-3)/(MATCH(9.99E+307,'Returns (Calc)'!$A:$A)-3),"")</f>
        <v>6.99848101265823</v>
      </c>
      <c r="AF145" s="144" t="n">
        <f aca="false">IFERROR('Price History'!K3+(INDEX('Price History'!K:K,MATCH(9.99E+307,'Price History'!$A:$A))-'Price History'!K3)*(ROW()-3)/(MATCH(9.99E+307,'Returns (Calc)'!$A:$A)-3),"")</f>
        <v>4.43240506329114</v>
      </c>
      <c r="AG145" s="144" t="n">
        <f aca="false">IFERROR('Price History'!L3+(INDEX('Price History'!L:L,MATCH(9.99E+307,'Price History'!$A:$A))-'Price History'!L3)*(ROW()-3)/(MATCH(9.99E+307,'Returns (Calc)'!$A:$A)-3),"")</f>
        <v>11.3255696202532</v>
      </c>
      <c r="AH145" s="144" t="n">
        <f aca="false">IFERROR('Price History'!M3+(INDEX('Price History'!M:M,MATCH(9.99E+307,'Price History'!$A:$A))-'Price History'!M3)*(ROW()-3)/(MATCH(9.99E+307,'Returns (Calc)'!$A:$A)-3),"")</f>
        <v>1.55240506329114</v>
      </c>
      <c r="AI145" s="144" t="n">
        <f aca="false">IFERROR('Price History'!N3+(INDEX('Price History'!N:N,MATCH(9.99E+307,'Price History'!$A:$A))-'Price History'!N3)*(ROW()-3)/(MATCH(9.99E+307,'Returns (Calc)'!$A:$A)-3),"")</f>
        <v>2.20759493670886</v>
      </c>
      <c r="AJ145" s="144" t="n">
        <f aca="false">IFERROR('Price History'!O3+(INDEX('Price History'!O:O,MATCH(9.99E+307,'Price History'!$A:$A))-'Price History'!O3)*(ROW()-3)/(MATCH(9.99E+307,'Returns (Calc)'!$A:$A)-3),"")</f>
        <v>5.83594936708861</v>
      </c>
      <c r="AK145" s="144" t="n">
        <f aca="false">IFERROR('Price History'!Q3+(INDEX('Price History'!Q:Q,MATCH(9.99E+307,'Price History'!$A:$A))-'Price History'!Q3)*(ROW()-3)/(MATCH(9.99E+307,'Returns (Calc)'!$A:$A)-3),"")</f>
        <v>23.8612658227848</v>
      </c>
      <c r="AL145" s="144" t="n">
        <f aca="false">IFERROR('Price History'!R3+(INDEX('Price History'!R:R,MATCH(9.99E+307,'Price History'!$A:$A))-'Price History'!R3)*(ROW()-3)/(MATCH(9.99E+307,'Returns (Calc)'!$A:$A)-3),"")</f>
        <v>4.84253164556962</v>
      </c>
      <c r="AM145" s="144" t="n">
        <f aca="false">IFERROR('Price History'!S3+(INDEX('Price History'!S:S,MATCH(9.99E+307,'Price History'!$A:$A))-'Price History'!S3)*(ROW()-3)/(MATCH(9.99E+307,'Returns (Calc)'!$A:$A)-3),"")</f>
        <v>5.92810126582278</v>
      </c>
      <c r="AN145" s="144" t="n">
        <f aca="false">IFERROR('Price History'!T3+(INDEX('Price History'!T:T,MATCH(9.99E+307,'Price History'!$A:$A))-'Price History'!T3)*(ROW()-3)/(MATCH(9.99E+307,'Returns (Calc)'!$A:$A)-3),"")</f>
        <v>2.72506329113924</v>
      </c>
      <c r="AO145" s="145" t="n">
        <f aca="false">IFERROR('Price History'!V3+(INDEX('Price History'!V:V,MATCH(9.99E+307,'Price History'!$A:$A))-'Price History'!V3)*(ROW()-3)/(MATCH(9.99E+307,'Returns (Calc)'!$A:$A)-3),"")</f>
        <v>0</v>
      </c>
    </row>
    <row r="146" customFormat="false" ht="15" hidden="false" customHeight="true" outlineLevel="0" collapsed="false">
      <c r="A146" s="141" t="n">
        <f aca="false">IF('Price History'!A147="","",'Price History'!A147)</f>
        <v>46192</v>
      </c>
      <c r="B146" s="142" t="n">
        <f aca="false">IFERROR(IF(OR(NOT(ISNUMBER('Price History'!B147)),NOT(ISNUMBER('Price History'!B146)),'Price History'!B146=0),"",'Price History'!B147/'Price History'!B146-1),"")</f>
        <v>-0.0434271149887266</v>
      </c>
      <c r="C146" s="142" t="n">
        <f aca="false">IFERROR(IF(OR(NOT(ISNUMBER('Price History'!C147)),NOT(ISNUMBER('Price History'!C146)),'Price History'!C146=0),"",'Price History'!C147/'Price History'!C146-1),"")</f>
        <v>0.0393898554275911</v>
      </c>
      <c r="D146" s="142" t="n">
        <f aca="false">IFERROR(IF(OR(NOT(ISNUMBER('Price History'!D147)),NOT(ISNUMBER('Price History'!D146)),'Price History'!D146=0),"",'Price History'!D147/'Price History'!D146-1),"")</f>
        <v>0.0354890013647549</v>
      </c>
      <c r="E146" s="142" t="n">
        <f aca="false">IFERROR(IF(OR(NOT(ISNUMBER('Price History'!E147)),NOT(ISNUMBER('Price History'!E146)),'Price History'!E146=0),"",'Price History'!E147/'Price History'!E146-1),"")</f>
        <v>0.0766341886178008</v>
      </c>
      <c r="F146" s="142" t="n">
        <f aca="false">IFERROR(IF(OR(NOT(ISNUMBER('Price History'!F147)),NOT(ISNUMBER('Price History'!F146)),'Price History'!F146=0),"",'Price History'!F147/'Price History'!F146-1),"")</f>
        <v>-0.0191175284342987</v>
      </c>
      <c r="G146" s="142" t="n">
        <f aca="false">IFERROR(IF(OR(NOT(ISNUMBER('Price History'!G147)),NOT(ISNUMBER('Price History'!G146)),'Price History'!G146=0),"",'Price History'!G147/'Price History'!G146-1),"")</f>
        <v>0.00298769771529006</v>
      </c>
      <c r="H146" s="142" t="n">
        <f aca="false">IFERROR(IF(OR(NOT(ISNUMBER('Price History'!H147)),NOT(ISNUMBER('Price History'!H146)),'Price History'!H146=0),"",'Price History'!H147/'Price History'!H146-1),"")</f>
        <v>-0.027191298784389</v>
      </c>
      <c r="I146" s="142" t="n">
        <f aca="false">IFERROR(IF(OR(NOT(ISNUMBER('Price History'!I147)),NOT(ISNUMBER('Price History'!I146)),'Price History'!I146=0),"",'Price History'!I147/'Price History'!I146-1),"")</f>
        <v>0.0197443461160274</v>
      </c>
      <c r="J146" s="142" t="n">
        <f aca="false">IFERROR(IF(OR(NOT(ISNUMBER('Price History'!J147)),NOT(ISNUMBER('Price History'!J146)),'Price History'!J146=0),"",'Price History'!J147/'Price History'!J146-1),"")</f>
        <v>0.155238114645528</v>
      </c>
      <c r="K146" s="142" t="n">
        <f aca="false">IFERROR(IF(OR(NOT(ISNUMBER('Price History'!K147)),NOT(ISNUMBER('Price History'!K146)),'Price History'!K146=0),"",'Price History'!K147/'Price History'!K146-1),"")</f>
        <v>0.0267857142857142</v>
      </c>
      <c r="L146" s="142" t="n">
        <f aca="false">IFERROR(IF(OR(NOT(ISNUMBER('Price History'!L147)),NOT(ISNUMBER('Price History'!L146)),'Price History'!L146=0),"",'Price History'!L147/'Price History'!L146-1),"")</f>
        <v>-0.0483243464609924</v>
      </c>
      <c r="M146" s="142" t="n">
        <f aca="false">IFERROR(IF(OR(NOT(ISNUMBER('Price History'!M147)),NOT(ISNUMBER('Price History'!M146)),'Price History'!M146=0),"",'Price History'!M147/'Price History'!M146-1),"")</f>
        <v>0.00375029299163998</v>
      </c>
      <c r="N146" s="142" t="n">
        <f aca="false">IFERROR(IF(OR(NOT(ISNUMBER('Price History'!N147)),NOT(ISNUMBER('Price History'!N146)),'Price History'!N146=0),"",'Price History'!N147/'Price History'!N146-1),"")</f>
        <v>-0.0291021671826625</v>
      </c>
      <c r="O146" s="142" t="n">
        <f aca="false">IFERROR(IF(OR(NOT(ISNUMBER('Price History'!O147)),NOT(ISNUMBER('Price History'!O146)),'Price History'!O146=0),"",'Price History'!O147/'Price History'!O146-1),"")</f>
        <v>0.0486184210526315</v>
      </c>
      <c r="P146" s="142" t="n">
        <f aca="false">IFERROR(IF(OR(NOT(ISNUMBER('Price History'!P147)),NOT(ISNUMBER('Price History'!P146)),'Price History'!P146=0),"",'Price History'!P147/'Price History'!P146-1),"")</f>
        <v>0.0900662251655628</v>
      </c>
      <c r="Q146" s="142" t="n">
        <f aca="false">IFERROR(IF(OR(NOT(ISNUMBER('Price History'!Q147)),NOT(ISNUMBER('Price History'!Q146)),'Price History'!Q146=0),"",'Price History'!Q147/'Price History'!Q146-1),"")</f>
        <v>0.0150408651605083</v>
      </c>
      <c r="R146" s="142" t="n">
        <f aca="false">IFERROR(IF(OR(NOT(ISNUMBER('Price History'!R147)),NOT(ISNUMBER('Price History'!R146)),'Price History'!R146=0),"",'Price History'!R147/'Price History'!R146-1),"")</f>
        <v>0.00268411340379138</v>
      </c>
      <c r="S146" s="142" t="n">
        <f aca="false">IFERROR(IF(OR(NOT(ISNUMBER('Price History'!S147)),NOT(ISNUMBER('Price History'!S146)),'Price History'!S146=0),"",'Price History'!S147/'Price History'!S146-1),"")</f>
        <v>-0.00229469438842922</v>
      </c>
      <c r="T146" s="142" t="n">
        <f aca="false">IFERROR(IF(OR(NOT(ISNUMBER('Price History'!T147)),NOT(ISNUMBER('Price History'!T146)),'Price History'!T146=0),"",'Price History'!T147/'Price History'!T146-1),"")</f>
        <v>-0.0256762952773957</v>
      </c>
      <c r="U146" s="142" t="str">
        <f aca="false">IFERROR(IF(OR(NOT(ISNUMBER('Price History'!U147)),NOT(ISNUMBER('Price History'!U146)),'Price History'!U146=0),"",'Price History'!U147/'Price History'!U146-1),"")</f>
        <v/>
      </c>
      <c r="V146" s="143" t="n">
        <f aca="false">IFERROR(IF(OR(NOT(ISNUMBER('Price History'!V147)),NOT(ISNUMBER('Price History'!V146)),'Price History'!V146=0),"",'Price History'!V147/'Price History'!V146-1),"")</f>
        <v>0.0239654846633495</v>
      </c>
      <c r="W146" s="144" t="str">
        <f aca="false">IFERROR('Price History'!B3+(INDEX('Price History'!B:B,MATCH(9.99E+307,'Price History'!$A:$A))-'Price History'!B3)*(ROW()-3)/(MATCH(9.99E+307,'Returns (Calc)'!$A:$A)-3),"")</f>
        <v/>
      </c>
      <c r="X146" s="144" t="n">
        <f aca="false">IFERROR('Price History'!C3+(INDEX('Price History'!C:C,MATCH(9.99E+307,'Price History'!$A:$A))-'Price History'!C3)*(ROW()-3)/(MATCH(9.99E+307,'Returns (Calc)'!$A:$A)-3),"")</f>
        <v>4.38417721518987</v>
      </c>
      <c r="Y146" s="144" t="n">
        <f aca="false">IFERROR('Price History'!D3+(INDEX('Price History'!D:D,MATCH(9.99E+307,'Price History'!$A:$A))-'Price History'!D3)*(ROW()-3)/(MATCH(9.99E+307,'Returns (Calc)'!$A:$A)-3),"")</f>
        <v>55.2541139240507</v>
      </c>
      <c r="Z146" s="144" t="n">
        <f aca="false">IFERROR('Price History'!E3+(INDEX('Price History'!E:E,MATCH(9.99E+307,'Price History'!$A:$A))-'Price History'!E3)*(ROW()-3)/(MATCH(9.99E+307,'Returns (Calc)'!$A:$A)-3),"")</f>
        <v>7.78481012658227</v>
      </c>
      <c r="AA146" s="144" t="n">
        <f aca="false">IFERROR('Price History'!F3+(INDEX('Price History'!F:F,MATCH(9.99E+307,'Price History'!$A:$A))-'Price History'!F3)*(ROW()-3)/(MATCH(9.99E+307,'Returns (Calc)'!$A:$A)-3),"")</f>
        <v>7.1496835443038</v>
      </c>
      <c r="AB146" s="144" t="n">
        <f aca="false">IFERROR('Price History'!G3+(INDEX('Price History'!G:G,MATCH(9.99E+307,'Price History'!$A:$A))-'Price History'!G3)*(ROW()-3)/(MATCH(9.99E+307,'Returns (Calc)'!$A:$A)-3),"")</f>
        <v>3.92658227848101</v>
      </c>
      <c r="AC146" s="144" t="n">
        <f aca="false">IFERROR('Price History'!H3+(INDEX('Price History'!H:H,MATCH(9.99E+307,'Price History'!$A:$A))-'Price History'!H3)*(ROW()-3)/(MATCH(9.99E+307,'Returns (Calc)'!$A:$A)-3),"")</f>
        <v>9.54968354430379</v>
      </c>
      <c r="AD146" s="144" t="n">
        <f aca="false">IFERROR('Price History'!I3+(INDEX('Price History'!I:I,MATCH(9.99E+307,'Price History'!$A:$A))-'Price History'!I3)*(ROW()-3)/(MATCH(9.99E+307,'Returns (Calc)'!$A:$A)-3),"")</f>
        <v>4.21044303797468</v>
      </c>
      <c r="AE146" s="144" t="n">
        <f aca="false">IFERROR('Price History'!J3+(INDEX('Price History'!J:J,MATCH(9.99E+307,'Price History'!$A:$A))-'Price History'!J3)*(ROW()-3)/(MATCH(9.99E+307,'Returns (Calc)'!$A:$A)-3),"")</f>
        <v>6.56107594936709</v>
      </c>
      <c r="AF146" s="144" t="n">
        <f aca="false">IFERROR('Price History'!K3+(INDEX('Price History'!K:K,MATCH(9.99E+307,'Price History'!$A:$A))-'Price History'!K3)*(ROW()-3)/(MATCH(9.99E+307,'Returns (Calc)'!$A:$A)-3),"")</f>
        <v>4.15537974683544</v>
      </c>
      <c r="AG146" s="144" t="n">
        <f aca="false">IFERROR('Price History'!L3+(INDEX('Price History'!L:L,MATCH(9.99E+307,'Price History'!$A:$A))-'Price History'!L3)*(ROW()-3)/(MATCH(9.99E+307,'Returns (Calc)'!$A:$A)-3),"")</f>
        <v>10.6177215189873</v>
      </c>
      <c r="AH146" s="144" t="n">
        <f aca="false">IFERROR('Price History'!M3+(INDEX('Price History'!M:M,MATCH(9.99E+307,'Price History'!$A:$A))-'Price History'!M3)*(ROW()-3)/(MATCH(9.99E+307,'Returns (Calc)'!$A:$A)-3),"")</f>
        <v>1.45537974683544</v>
      </c>
      <c r="AI146" s="144" t="n">
        <f aca="false">IFERROR('Price History'!N3+(INDEX('Price History'!N:N,MATCH(9.99E+307,'Price History'!$A:$A))-'Price History'!N3)*(ROW()-3)/(MATCH(9.99E+307,'Returns (Calc)'!$A:$A)-3),"")</f>
        <v>2.06962025316456</v>
      </c>
      <c r="AJ146" s="144" t="n">
        <f aca="false">IFERROR('Price History'!O3+(INDEX('Price History'!O:O,MATCH(9.99E+307,'Price History'!$A:$A))-'Price History'!O3)*(ROW()-3)/(MATCH(9.99E+307,'Returns (Calc)'!$A:$A)-3),"")</f>
        <v>5.47120253164557</v>
      </c>
      <c r="AK146" s="144" t="n">
        <f aca="false">IFERROR('Price History'!Q3+(INDEX('Price History'!Q:Q,MATCH(9.99E+307,'Price History'!$A:$A))-'Price History'!Q3)*(ROW()-3)/(MATCH(9.99E+307,'Returns (Calc)'!$A:$A)-3),"")</f>
        <v>22.3699367088608</v>
      </c>
      <c r="AL146" s="144" t="n">
        <f aca="false">IFERROR('Price History'!R3+(INDEX('Price History'!R:R,MATCH(9.99E+307,'Price History'!$A:$A))-'Price History'!R3)*(ROW()-3)/(MATCH(9.99E+307,'Returns (Calc)'!$A:$A)-3),"")</f>
        <v>4.53987341772152</v>
      </c>
      <c r="AM146" s="144" t="n">
        <f aca="false">IFERROR('Price History'!S3+(INDEX('Price History'!S:S,MATCH(9.99E+307,'Price History'!$A:$A))-'Price History'!S3)*(ROW()-3)/(MATCH(9.99E+307,'Returns (Calc)'!$A:$A)-3),"")</f>
        <v>5.55759493670887</v>
      </c>
      <c r="AN146" s="144" t="n">
        <f aca="false">IFERROR('Price History'!T3+(INDEX('Price History'!T:T,MATCH(9.99E+307,'Price History'!$A:$A))-'Price History'!T3)*(ROW()-3)/(MATCH(9.99E+307,'Returns (Calc)'!$A:$A)-3),"")</f>
        <v>2.55474683544304</v>
      </c>
      <c r="AO146" s="145" t="n">
        <f aca="false">IFERROR('Price History'!V3+(INDEX('Price History'!V:V,MATCH(9.99E+307,'Price History'!$A:$A))-'Price History'!V3)*(ROW()-3)/(MATCH(9.99E+307,'Returns (Calc)'!$A:$A)-3),"")</f>
        <v>0</v>
      </c>
    </row>
    <row r="147" customFormat="false" ht="15" hidden="false" customHeight="true" outlineLevel="0" collapsed="false">
      <c r="A147" s="141" t="n">
        <f aca="false">IF('Price History'!A148="","",'Price History'!A148)</f>
        <v>46199</v>
      </c>
      <c r="B147" s="142" t="n">
        <f aca="false">IFERROR(IF(OR(NOT(ISNUMBER('Price History'!B148)),NOT(ISNUMBER('Price History'!B147)),'Price History'!B147=0),"",'Price History'!B148/'Price History'!B147-1),"")</f>
        <v>0.0387886862061897</v>
      </c>
      <c r="C147" s="142" t="n">
        <f aca="false">IFERROR(IF(OR(NOT(ISNUMBER('Price History'!C148)),NOT(ISNUMBER('Price History'!C147)),'Price History'!C147=0),"",'Price History'!C148/'Price History'!C147-1),"")</f>
        <v>-0.0711380915895562</v>
      </c>
      <c r="D147" s="142" t="n">
        <f aca="false">IFERROR(IF(OR(NOT(ISNUMBER('Price History'!D148)),NOT(ISNUMBER('Price History'!D147)),'Price History'!D147=0),"",'Price History'!D148/'Price History'!D147-1),"")</f>
        <v>-0.0699930987603714</v>
      </c>
      <c r="E147" s="142" t="n">
        <f aca="false">IFERROR(IF(OR(NOT(ISNUMBER('Price History'!E148)),NOT(ISNUMBER('Price History'!E147)),'Price History'!E147=0),"",'Price History'!E148/'Price History'!E147-1),"")</f>
        <v>-0.111208683985852</v>
      </c>
      <c r="F147" s="142" t="n">
        <f aca="false">IFERROR(IF(OR(NOT(ISNUMBER('Price History'!F148)),NOT(ISNUMBER('Price History'!F147)),'Price History'!F147=0),"",'Price History'!F148/'Price History'!F147-1),"")</f>
        <v>0.0240953947368421</v>
      </c>
      <c r="G147" s="142" t="n">
        <f aca="false">IFERROR(IF(OR(NOT(ISNUMBER('Price History'!G148)),NOT(ISNUMBER('Price History'!G147)),'Price History'!G147=0),"",'Price History'!G148/'Price History'!G147-1),"")</f>
        <v>0.0237135681327025</v>
      </c>
      <c r="H147" s="142" t="n">
        <f aca="false">IFERROR(IF(OR(NOT(ISNUMBER('Price History'!H148)),NOT(ISNUMBER('Price History'!H147)),'Price History'!H147=0),"",'Price History'!H148/'Price History'!H147-1),"")</f>
        <v>0.0317000986517593</v>
      </c>
      <c r="I147" s="142" t="n">
        <f aca="false">IFERROR(IF(OR(NOT(ISNUMBER('Price History'!I148)),NOT(ISNUMBER('Price History'!I147)),'Price History'!I147=0),"",'Price History'!I148/'Price History'!I147-1),"")</f>
        <v>-0.0420796852701816</v>
      </c>
      <c r="J147" s="142" t="n">
        <f aca="false">IFERROR(IF(OR(NOT(ISNUMBER('Price History'!J148)),NOT(ISNUMBER('Price History'!J147)),'Price History'!J147=0),"",'Price History'!J148/'Price History'!J147-1),"")</f>
        <v>-0.00146407719038277</v>
      </c>
      <c r="K147" s="142" t="n">
        <f aca="false">IFERROR(IF(OR(NOT(ISNUMBER('Price History'!K148)),NOT(ISNUMBER('Price History'!K147)),'Price History'!K147=0),"",'Price History'!K148/'Price History'!K147-1),"")</f>
        <v>-0.0861962461392254</v>
      </c>
      <c r="L147" s="142" t="n">
        <f aca="false">IFERROR(IF(OR(NOT(ISNUMBER('Price History'!L148)),NOT(ISNUMBER('Price History'!L147)),'Price History'!L147=0),"",'Price History'!L148/'Price History'!L147-1),"")</f>
        <v>-0.00401635229147246</v>
      </c>
      <c r="M147" s="142" t="n">
        <f aca="false">IFERROR(IF(OR(NOT(ISNUMBER('Price History'!M148)),NOT(ISNUMBER('Price History'!M147)),'Price History'!M147=0),"",'Price History'!M148/'Price History'!M147-1),"")</f>
        <v>-0.120962092317273</v>
      </c>
      <c r="N147" s="142" t="n">
        <f aca="false">IFERROR(IF(OR(NOT(ISNUMBER('Price History'!N148)),NOT(ISNUMBER('Price History'!N147)),'Price History'!N147=0),"",'Price History'!N148/'Price History'!N147-1),"")</f>
        <v>0.0153061224489797</v>
      </c>
      <c r="O147" s="142" t="n">
        <f aca="false">IFERROR(IF(OR(NOT(ISNUMBER('Price History'!O148)),NOT(ISNUMBER('Price History'!O147)),'Price History'!O147=0),"",'Price History'!O148/'Price History'!O147-1),"")</f>
        <v>-0.0341301210866428</v>
      </c>
      <c r="P147" s="142" t="n">
        <f aca="false">IFERROR(IF(OR(NOT(ISNUMBER('Price History'!P148)),NOT(ISNUMBER('Price History'!P147)),'Price History'!P147=0),"",'Price History'!P148/'Price History'!P147-1),"")</f>
        <v>-0.0644202395417463</v>
      </c>
      <c r="Q147" s="142" t="n">
        <f aca="false">IFERROR(IF(OR(NOT(ISNUMBER('Price History'!Q148)),NOT(ISNUMBER('Price History'!Q147)),'Price History'!Q147=0),"",'Price History'!Q148/'Price History'!Q147-1),"")</f>
        <v>0.0274928818540858</v>
      </c>
      <c r="R147" s="142" t="n">
        <f aca="false">IFERROR(IF(OR(NOT(ISNUMBER('Price History'!R148)),NOT(ISNUMBER('Price History'!R147)),'Price History'!R147=0),"",'Price History'!R148/'Price History'!R147-1),"")</f>
        <v>0.00736155261837035</v>
      </c>
      <c r="S147" s="142" t="n">
        <f aca="false">IFERROR(IF(OR(NOT(ISNUMBER('Price History'!S148)),NOT(ISNUMBER('Price History'!S147)),'Price History'!S147=0),"",'Price History'!S148/'Price History'!S147-1),"")</f>
        <v>0.0101756342347366</v>
      </c>
      <c r="T147" s="142" t="n">
        <f aca="false">IFERROR(IF(OR(NOT(ISNUMBER('Price History'!T148)),NOT(ISNUMBER('Price History'!T147)),'Price History'!T147=0),"",'Price History'!T148/'Price History'!T147-1),"")</f>
        <v>0.0395294117647058</v>
      </c>
      <c r="U147" s="142" t="str">
        <f aca="false">IFERROR(IF(OR(NOT(ISNUMBER('Price History'!U148)),NOT(ISNUMBER('Price History'!U147)),'Price History'!U147=0),"",'Price History'!U148/'Price History'!U147-1),"")</f>
        <v/>
      </c>
      <c r="V147" s="143" t="n">
        <f aca="false">IFERROR(IF(OR(NOT(ISNUMBER('Price History'!V148)),NOT(ISNUMBER('Price History'!V147)),'Price History'!V147=0),"",'Price History'!V148/'Price History'!V147-1),"")</f>
        <v>0.00959557127479616</v>
      </c>
      <c r="W147" s="144" t="str">
        <f aca="false">IFERROR('Price History'!B3+(INDEX('Price History'!B:B,MATCH(9.99E+307,'Price History'!$A:$A))-'Price History'!B3)*(ROW()-3)/(MATCH(9.99E+307,'Returns (Calc)'!$A:$A)-3),"")</f>
        <v/>
      </c>
      <c r="X147" s="144" t="n">
        <f aca="false">IFERROR('Price History'!C3+(INDEX('Price History'!C:C,MATCH(9.99E+307,'Price History'!$A:$A))-'Price History'!C3)*(ROW()-3)/(MATCH(9.99E+307,'Returns (Calc)'!$A:$A)-3),"")</f>
        <v>4.09189873417721</v>
      </c>
      <c r="Y147" s="144" t="n">
        <f aca="false">IFERROR('Price History'!D3+(INDEX('Price History'!D:D,MATCH(9.99E+307,'Price History'!$A:$A))-'Price History'!D3)*(ROW()-3)/(MATCH(9.99E+307,'Returns (Calc)'!$A:$A)-3),"")</f>
        <v>51.5705063291139</v>
      </c>
      <c r="Z147" s="144" t="n">
        <f aca="false">IFERROR('Price History'!E3+(INDEX('Price History'!E:E,MATCH(9.99E+307,'Price History'!$A:$A))-'Price History'!E3)*(ROW()-3)/(MATCH(9.99E+307,'Returns (Calc)'!$A:$A)-3),"")</f>
        <v>7.26582278481013</v>
      </c>
      <c r="AA147" s="144" t="n">
        <f aca="false">IFERROR('Price History'!F3+(INDEX('Price History'!F:F,MATCH(9.99E+307,'Price History'!$A:$A))-'Price History'!F3)*(ROW()-3)/(MATCH(9.99E+307,'Returns (Calc)'!$A:$A)-3),"")</f>
        <v>6.67303797468355</v>
      </c>
      <c r="AB147" s="144" t="n">
        <f aca="false">IFERROR('Price History'!G3+(INDEX('Price History'!G:G,MATCH(9.99E+307,'Price History'!$A:$A))-'Price History'!G3)*(ROW()-3)/(MATCH(9.99E+307,'Returns (Calc)'!$A:$A)-3),"")</f>
        <v>3.66481012658227</v>
      </c>
      <c r="AC147" s="144" t="n">
        <f aca="false">IFERROR('Price History'!H3+(INDEX('Price History'!H:H,MATCH(9.99E+307,'Price History'!$A:$A))-'Price History'!H3)*(ROW()-3)/(MATCH(9.99E+307,'Returns (Calc)'!$A:$A)-3),"")</f>
        <v>8.91303797468355</v>
      </c>
      <c r="AD147" s="144" t="n">
        <f aca="false">IFERROR('Price History'!I3+(INDEX('Price History'!I:I,MATCH(9.99E+307,'Price History'!$A:$A))-'Price History'!I3)*(ROW()-3)/(MATCH(9.99E+307,'Returns (Calc)'!$A:$A)-3),"")</f>
        <v>3.92974683544303</v>
      </c>
      <c r="AE147" s="144" t="n">
        <f aca="false">IFERROR('Price History'!J3+(INDEX('Price History'!J:J,MATCH(9.99E+307,'Price History'!$A:$A))-'Price History'!J3)*(ROW()-3)/(MATCH(9.99E+307,'Returns (Calc)'!$A:$A)-3),"")</f>
        <v>6.12367088607595</v>
      </c>
      <c r="AF147" s="144" t="n">
        <f aca="false">IFERROR('Price History'!K3+(INDEX('Price History'!K:K,MATCH(9.99E+307,'Price History'!$A:$A))-'Price History'!K3)*(ROW()-3)/(MATCH(9.99E+307,'Returns (Calc)'!$A:$A)-3),"")</f>
        <v>3.87835443037975</v>
      </c>
      <c r="AG147" s="144" t="n">
        <f aca="false">IFERROR('Price History'!L3+(INDEX('Price History'!L:L,MATCH(9.99E+307,'Price History'!$A:$A))-'Price History'!L3)*(ROW()-3)/(MATCH(9.99E+307,'Returns (Calc)'!$A:$A)-3),"")</f>
        <v>9.90987341772151</v>
      </c>
      <c r="AH147" s="144" t="n">
        <f aca="false">IFERROR('Price History'!M3+(INDEX('Price History'!M:M,MATCH(9.99E+307,'Price History'!$A:$A))-'Price History'!M3)*(ROW()-3)/(MATCH(9.99E+307,'Returns (Calc)'!$A:$A)-3),"")</f>
        <v>1.35835443037975</v>
      </c>
      <c r="AI147" s="144" t="n">
        <f aca="false">IFERROR('Price History'!N3+(INDEX('Price History'!N:N,MATCH(9.99E+307,'Price History'!$A:$A))-'Price History'!N3)*(ROW()-3)/(MATCH(9.99E+307,'Returns (Calc)'!$A:$A)-3),"")</f>
        <v>1.93164556962025</v>
      </c>
      <c r="AJ147" s="144" t="n">
        <f aca="false">IFERROR('Price History'!O3+(INDEX('Price History'!O:O,MATCH(9.99E+307,'Price History'!$A:$A))-'Price History'!O3)*(ROW()-3)/(MATCH(9.99E+307,'Returns (Calc)'!$A:$A)-3),"")</f>
        <v>5.10645569620252</v>
      </c>
      <c r="AK147" s="144" t="n">
        <f aca="false">IFERROR('Price History'!Q3+(INDEX('Price History'!Q:Q,MATCH(9.99E+307,'Price History'!$A:$A))-'Price History'!Q3)*(ROW()-3)/(MATCH(9.99E+307,'Returns (Calc)'!$A:$A)-3),"")</f>
        <v>20.8786075949367</v>
      </c>
      <c r="AL147" s="144" t="n">
        <f aca="false">IFERROR('Price History'!R3+(INDEX('Price History'!R:R,MATCH(9.99E+307,'Price History'!$A:$A))-'Price History'!R3)*(ROW()-3)/(MATCH(9.99E+307,'Returns (Calc)'!$A:$A)-3),"")</f>
        <v>4.23721518987342</v>
      </c>
      <c r="AM147" s="144" t="n">
        <f aca="false">IFERROR('Price History'!S3+(INDEX('Price History'!S:S,MATCH(9.99E+307,'Price History'!$A:$A))-'Price History'!S3)*(ROW()-3)/(MATCH(9.99E+307,'Returns (Calc)'!$A:$A)-3),"")</f>
        <v>5.18708860759494</v>
      </c>
      <c r="AN147" s="144" t="n">
        <f aca="false">IFERROR('Price History'!T3+(INDEX('Price History'!T:T,MATCH(9.99E+307,'Price History'!$A:$A))-'Price History'!T3)*(ROW()-3)/(MATCH(9.99E+307,'Returns (Calc)'!$A:$A)-3),"")</f>
        <v>2.38443037974684</v>
      </c>
      <c r="AO147" s="145" t="n">
        <f aca="false">IFERROR('Price History'!V3+(INDEX('Price History'!V:V,MATCH(9.99E+307,'Price History'!$A:$A))-'Price History'!V3)*(ROW()-3)/(MATCH(9.99E+307,'Returns (Calc)'!$A:$A)-3),"")</f>
        <v>0</v>
      </c>
    </row>
    <row r="148" customFormat="false" ht="15" hidden="false" customHeight="true" outlineLevel="0" collapsed="false">
      <c r="A148" s="141" t="n">
        <f aca="false">IF('Price History'!A149="","",'Price History'!A149)</f>
        <v>46206</v>
      </c>
      <c r="B148" s="142" t="n">
        <f aca="false">IFERROR(IF(OR(NOT(ISNUMBER('Price History'!B149)),NOT(ISNUMBER('Price History'!B148)),'Price History'!B148=0),"",'Price History'!B149/'Price History'!B148-1),"")</f>
        <v>0.0838060474522764</v>
      </c>
      <c r="C148" s="142" t="n">
        <f aca="false">IFERROR(IF(OR(NOT(ISNUMBER('Price History'!C149)),NOT(ISNUMBER('Price History'!C148)),'Price History'!C148=0),"",'Price History'!C149/'Price History'!C148-1),"")</f>
        <v>0.0151649746192895</v>
      </c>
      <c r="D148" s="142" t="n">
        <f aca="false">IFERROR(IF(OR(NOT(ISNUMBER('Price History'!D149)),NOT(ISNUMBER('Price History'!D148)),'Price History'!D148=0),"",'Price History'!D149/'Price History'!D148-1),"")</f>
        <v>-0.0140992021424985</v>
      </c>
      <c r="E148" s="142" t="n">
        <f aca="false">IFERROR(IF(OR(NOT(ISNUMBER('Price History'!E149)),NOT(ISNUMBER('Price History'!E148)),'Price History'!E148=0),"",'Price History'!E149/'Price History'!E148-1),"")</f>
        <v>-0.012542540344714</v>
      </c>
      <c r="F148" s="142" t="n">
        <f aca="false">IFERROR(IF(OR(NOT(ISNUMBER('Price History'!F149)),NOT(ISNUMBER('Price History'!F148)),'Price History'!F148=0),"",'Price History'!F149/'Price History'!F148-1),"")</f>
        <v>-0.0114028748092829</v>
      </c>
      <c r="G148" s="142" t="n">
        <f aca="false">IFERROR(IF(OR(NOT(ISNUMBER('Price History'!G149)),NOT(ISNUMBER('Price History'!G148)),'Price History'!G148=0),"",'Price History'!G149/'Price History'!G148-1),"")</f>
        <v>0.106749586352485</v>
      </c>
      <c r="H148" s="142" t="n">
        <f aca="false">IFERROR(IF(OR(NOT(ISNUMBER('Price History'!H149)),NOT(ISNUMBER('Price History'!H148)),'Price History'!H148=0),"",'Price History'!H149/'Price History'!H148-1),"")</f>
        <v>0.00580098170459609</v>
      </c>
      <c r="I148" s="142" t="n">
        <f aca="false">IFERROR(IF(OR(NOT(ISNUMBER('Price History'!I149)),NOT(ISNUMBER('Price History'!I148)),'Price History'!I148=0),"",'Price History'!I149/'Price History'!I148-1),"")</f>
        <v>-0.0526654855854405</v>
      </c>
      <c r="J148" s="142" t="n">
        <f aca="false">IFERROR(IF(OR(NOT(ISNUMBER('Price History'!J149)),NOT(ISNUMBER('Price History'!J148)),'Price History'!J148=0),"",'Price History'!J149/'Price History'!J148-1),"")</f>
        <v>-0.138452162238553</v>
      </c>
      <c r="K148" s="142" t="n">
        <f aca="false">IFERROR(IF(OR(NOT(ISNUMBER('Price History'!K149)),NOT(ISNUMBER('Price History'!K148)),'Price History'!K148=0),"",'Price History'!K149/'Price History'!K148-1),"")</f>
        <v>0.0119598564817223</v>
      </c>
      <c r="L148" s="142" t="n">
        <f aca="false">IFERROR(IF(OR(NOT(ISNUMBER('Price History'!L149)),NOT(ISNUMBER('Price History'!L148)),'Price History'!L148=0),"",'Price History'!L149/'Price History'!L148-1),"")</f>
        <v>-0.00388852883992219</v>
      </c>
      <c r="M148" s="142" t="n">
        <f aca="false">IFERROR(IF(OR(NOT(ISNUMBER('Price History'!M149)),NOT(ISNUMBER('Price History'!M148)),'Price History'!M148=0),"",'Price History'!M149/'Price History'!M148-1),"")</f>
        <v>0.144957053041707</v>
      </c>
      <c r="N148" s="142" t="n">
        <f aca="false">IFERROR(IF(OR(NOT(ISNUMBER('Price History'!N149)),NOT(ISNUMBER('Price History'!N148)),'Price History'!N148=0),"",'Price History'!N149/'Price History'!N148-1),"")</f>
        <v>0.00910804020100509</v>
      </c>
      <c r="O148" s="142" t="n">
        <f aca="false">IFERROR(IF(OR(NOT(ISNUMBER('Price History'!O149)),NOT(ISNUMBER('Price History'!O148)),'Price History'!O148=0),"",'Price History'!O149/'Price History'!O148-1),"")</f>
        <v>-0.0218902240987332</v>
      </c>
      <c r="P148" s="142" t="n">
        <f aca="false">IFERROR(IF(OR(NOT(ISNUMBER('Price History'!P149)),NOT(ISNUMBER('Price History'!P148)),'Price History'!P148=0),"",'Price History'!P149/'Price History'!P148-1),"")</f>
        <v>0.0041976854750807</v>
      </c>
      <c r="Q148" s="142" t="n">
        <f aca="false">IFERROR(IF(OR(NOT(ISNUMBER('Price History'!Q149)),NOT(ISNUMBER('Price History'!Q148)),'Price History'!Q148=0),"",'Price History'!Q149/'Price History'!Q148-1),"")</f>
        <v>0.0770239265814485</v>
      </c>
      <c r="R148" s="142" t="n">
        <f aca="false">IFERROR(IF(OR(NOT(ISNUMBER('Price History'!R149)),NOT(ISNUMBER('Price History'!R148)),'Price History'!R148=0),"",'Price History'!R149/'Price History'!R148-1),"")</f>
        <v>0.0156120245806344</v>
      </c>
      <c r="S148" s="142" t="n">
        <f aca="false">IFERROR(IF(OR(NOT(ISNUMBER('Price History'!S149)),NOT(ISNUMBER('Price History'!S148)),'Price History'!S148=0),"",'Price History'!S149/'Price History'!S148-1),"")</f>
        <v>0.0389816475783082</v>
      </c>
      <c r="T148" s="142" t="n">
        <f aca="false">IFERROR(IF(OR(NOT(ISNUMBER('Price History'!T149)),NOT(ISNUMBER('Price History'!T148)),'Price History'!T148=0),"",'Price History'!T149/'Price History'!T148-1),"")</f>
        <v>0.0540968764146672</v>
      </c>
      <c r="U148" s="142" t="str">
        <f aca="false">IFERROR(IF(OR(NOT(ISNUMBER('Price History'!U149)),NOT(ISNUMBER('Price History'!U148)),'Price History'!U148=0),"",'Price History'!U149/'Price History'!U148-1),"")</f>
        <v/>
      </c>
      <c r="V148" s="143" t="n">
        <f aca="false">IFERROR(IF(OR(NOT(ISNUMBER('Price History'!V149)),NOT(ISNUMBER('Price History'!V148)),'Price History'!V148=0),"",'Price History'!V149/'Price History'!V148-1),"")</f>
        <v>-0.00767660767051503</v>
      </c>
      <c r="W148" s="144" t="str">
        <f aca="false">IFERROR('Price History'!B3+(INDEX('Price History'!B:B,MATCH(9.99E+307,'Price History'!$A:$A))-'Price History'!B3)*(ROW()-3)/(MATCH(9.99E+307,'Returns (Calc)'!$A:$A)-3),"")</f>
        <v/>
      </c>
      <c r="X148" s="144" t="n">
        <f aca="false">IFERROR('Price History'!C3+(INDEX('Price History'!C:C,MATCH(9.99E+307,'Price History'!$A:$A))-'Price History'!C3)*(ROW()-3)/(MATCH(9.99E+307,'Returns (Calc)'!$A:$A)-3),"")</f>
        <v>3.79962025316456</v>
      </c>
      <c r="Y148" s="144" t="n">
        <f aca="false">IFERROR('Price History'!D3+(INDEX('Price History'!D:D,MATCH(9.99E+307,'Price History'!$A:$A))-'Price History'!D3)*(ROW()-3)/(MATCH(9.99E+307,'Returns (Calc)'!$A:$A)-3),"")</f>
        <v>47.8868987341772</v>
      </c>
      <c r="Z148" s="144" t="n">
        <f aca="false">IFERROR('Price History'!E3+(INDEX('Price History'!E:E,MATCH(9.99E+307,'Price History'!$A:$A))-'Price History'!E3)*(ROW()-3)/(MATCH(9.99E+307,'Returns (Calc)'!$A:$A)-3),"")</f>
        <v>6.74683544303798</v>
      </c>
      <c r="AA148" s="144" t="n">
        <f aca="false">IFERROR('Price History'!F3+(INDEX('Price History'!F:F,MATCH(9.99E+307,'Price History'!$A:$A))-'Price History'!F3)*(ROW()-3)/(MATCH(9.99E+307,'Returns (Calc)'!$A:$A)-3),"")</f>
        <v>6.19639240506329</v>
      </c>
      <c r="AB148" s="144" t="n">
        <f aca="false">IFERROR('Price History'!G3+(INDEX('Price History'!G:G,MATCH(9.99E+307,'Price History'!$A:$A))-'Price History'!G3)*(ROW()-3)/(MATCH(9.99E+307,'Returns (Calc)'!$A:$A)-3),"")</f>
        <v>3.40303797468354</v>
      </c>
      <c r="AC148" s="144" t="n">
        <f aca="false">IFERROR('Price History'!H3+(INDEX('Price History'!H:H,MATCH(9.99E+307,'Price History'!$A:$A))-'Price History'!H3)*(ROW()-3)/(MATCH(9.99E+307,'Returns (Calc)'!$A:$A)-3),"")</f>
        <v>8.27639240506329</v>
      </c>
      <c r="AD148" s="144" t="n">
        <f aca="false">IFERROR('Price History'!I3+(INDEX('Price History'!I:I,MATCH(9.99E+307,'Price History'!$A:$A))-'Price History'!I3)*(ROW()-3)/(MATCH(9.99E+307,'Returns (Calc)'!$A:$A)-3),"")</f>
        <v>3.6490506329114</v>
      </c>
      <c r="AE148" s="144" t="n">
        <f aca="false">IFERROR('Price History'!J3+(INDEX('Price History'!J:J,MATCH(9.99E+307,'Price History'!$A:$A))-'Price History'!J3)*(ROW()-3)/(MATCH(9.99E+307,'Returns (Calc)'!$A:$A)-3),"")</f>
        <v>5.6862658227848</v>
      </c>
      <c r="AF148" s="144" t="n">
        <f aca="false">IFERROR('Price History'!K3+(INDEX('Price History'!K:K,MATCH(9.99E+307,'Price History'!$A:$A))-'Price History'!K3)*(ROW()-3)/(MATCH(9.99E+307,'Returns (Calc)'!$A:$A)-3),"")</f>
        <v>3.60132911392405</v>
      </c>
      <c r="AG148" s="144" t="n">
        <f aca="false">IFERROR('Price History'!L3+(INDEX('Price History'!L:L,MATCH(9.99E+307,'Price History'!$A:$A))-'Price History'!L3)*(ROW()-3)/(MATCH(9.99E+307,'Returns (Calc)'!$A:$A)-3),"")</f>
        <v>9.20202531645569</v>
      </c>
      <c r="AH148" s="144" t="n">
        <f aca="false">IFERROR('Price History'!M3+(INDEX('Price History'!M:M,MATCH(9.99E+307,'Price History'!$A:$A))-'Price History'!M3)*(ROW()-3)/(MATCH(9.99E+307,'Returns (Calc)'!$A:$A)-3),"")</f>
        <v>1.26132911392405</v>
      </c>
      <c r="AI148" s="144" t="n">
        <f aca="false">IFERROR('Price History'!N3+(INDEX('Price History'!N:N,MATCH(9.99E+307,'Price History'!$A:$A))-'Price History'!N3)*(ROW()-3)/(MATCH(9.99E+307,'Returns (Calc)'!$A:$A)-3),"")</f>
        <v>1.79367088607595</v>
      </c>
      <c r="AJ148" s="144" t="n">
        <f aca="false">IFERROR('Price History'!O3+(INDEX('Price History'!O:O,MATCH(9.99E+307,'Price History'!$A:$A))-'Price History'!O3)*(ROW()-3)/(MATCH(9.99E+307,'Returns (Calc)'!$A:$A)-3),"")</f>
        <v>4.7417088607595</v>
      </c>
      <c r="AK148" s="144" t="n">
        <f aca="false">IFERROR('Price History'!Q3+(INDEX('Price History'!Q:Q,MATCH(9.99E+307,'Price History'!$A:$A))-'Price History'!Q3)*(ROW()-3)/(MATCH(9.99E+307,'Returns (Calc)'!$A:$A)-3),"")</f>
        <v>19.3872784810127</v>
      </c>
      <c r="AL148" s="144" t="n">
        <f aca="false">IFERROR('Price History'!R3+(INDEX('Price History'!R:R,MATCH(9.99E+307,'Price History'!$A:$A))-'Price History'!R3)*(ROW()-3)/(MATCH(9.99E+307,'Returns (Calc)'!$A:$A)-3),"")</f>
        <v>3.93455696202532</v>
      </c>
      <c r="AM148" s="144" t="n">
        <f aca="false">IFERROR('Price History'!S3+(INDEX('Price History'!S:S,MATCH(9.99E+307,'Price History'!$A:$A))-'Price History'!S3)*(ROW()-3)/(MATCH(9.99E+307,'Returns (Calc)'!$A:$A)-3),"")</f>
        <v>4.81658227848102</v>
      </c>
      <c r="AN148" s="144" t="n">
        <f aca="false">IFERROR('Price History'!T3+(INDEX('Price History'!T:T,MATCH(9.99E+307,'Price History'!$A:$A))-'Price History'!T3)*(ROW()-3)/(MATCH(9.99E+307,'Returns (Calc)'!$A:$A)-3),"")</f>
        <v>2.21411392405063</v>
      </c>
      <c r="AO148" s="145" t="n">
        <f aca="false">IFERROR('Price History'!V3+(INDEX('Price History'!V:V,MATCH(9.99E+307,'Price History'!$A:$A))-'Price History'!V3)*(ROW()-3)/(MATCH(9.99E+307,'Returns (Calc)'!$A:$A)-3),"")</f>
        <v>0</v>
      </c>
    </row>
    <row r="149" customFormat="false" ht="15" hidden="false" customHeight="true" outlineLevel="0" collapsed="false">
      <c r="A149" s="141" t="n">
        <f aca="false">IF('Price History'!A150="","",'Price History'!A150)</f>
        <v>46213</v>
      </c>
      <c r="B149" s="142" t="n">
        <f aca="false">IFERROR(IF(OR(NOT(ISNUMBER('Price History'!B150)),NOT(ISNUMBER('Price History'!B149)),'Price History'!B149=0),"",'Price History'!B150/'Price History'!B149-1),"")</f>
        <v>0.0178408884034225</v>
      </c>
      <c r="C149" s="142" t="n">
        <f aca="false">IFERROR(IF(OR(NOT(ISNUMBER('Price History'!C150)),NOT(ISNUMBER('Price History'!C149)),'Price History'!C149=0),"",'Price History'!C150/'Price History'!C149-1),"")</f>
        <v>0.168573035814738</v>
      </c>
      <c r="D149" s="142" t="n">
        <f aca="false">IFERROR(IF(OR(NOT(ISNUMBER('Price History'!D150)),NOT(ISNUMBER('Price History'!D149)),'Price History'!D149=0),"",'Price History'!D150/'Price History'!D149-1),"")</f>
        <v>0.015828820110581</v>
      </c>
      <c r="E149" s="142" t="n">
        <f aca="false">IFERROR(IF(OR(NOT(ISNUMBER('Price History'!E150)),NOT(ISNUMBER('Price History'!E149)),'Price History'!E149=0),"",'Price History'!E150/'Price History'!E149-1),"")</f>
        <v>0.109647294254982</v>
      </c>
      <c r="F149" s="142" t="n">
        <f aca="false">IFERROR(IF(OR(NOT(ISNUMBER('Price History'!F150)),NOT(ISNUMBER('Price History'!F149)),'Price History'!F149=0),"",'Price History'!F150/'Price History'!F149-1),"")</f>
        <v>0.00357403947689061</v>
      </c>
      <c r="G149" s="142" t="n">
        <f aca="false">IFERROR(IF(OR(NOT(ISNUMBER('Price History'!G150)),NOT(ISNUMBER('Price History'!G149)),'Price History'!G149=0),"",'Price History'!G150/'Price History'!G149-1),"")</f>
        <v>-0.0350551603258067</v>
      </c>
      <c r="H149" s="142" t="n">
        <f aca="false">IFERROR(IF(OR(NOT(ISNUMBER('Price History'!H150)),NOT(ISNUMBER('Price History'!H149)),'Price History'!H149=0),"",'Price History'!H150/'Price History'!H149-1),"")</f>
        <v>0.00234503739383962</v>
      </c>
      <c r="I149" s="142" t="n">
        <f aca="false">IFERROR(IF(OR(NOT(ISNUMBER('Price History'!I150)),NOT(ISNUMBER('Price History'!I149)),'Price History'!I149=0),"",'Price History'!I150/'Price History'!I149-1),"")</f>
        <v>-0.0170860251615097</v>
      </c>
      <c r="J149" s="142" t="n">
        <f aca="false">IFERROR(IF(OR(NOT(ISNUMBER('Price History'!J150)),NOT(ISNUMBER('Price History'!J149)),'Price History'!J149=0),"",'Price History'!J150/'Price History'!J149-1),"")</f>
        <v>0.00398806655662742</v>
      </c>
      <c r="K149" s="142" t="n">
        <f aca="false">IFERROR(IF(OR(NOT(ISNUMBER('Price History'!K150)),NOT(ISNUMBER('Price History'!K149)),'Price History'!K149=0),"",'Price History'!K150/'Price History'!K149-1),"")</f>
        <v>0.0827809465084013</v>
      </c>
      <c r="L149" s="142" t="n">
        <f aca="false">IFERROR(IF(OR(NOT(ISNUMBER('Price History'!L150)),NOT(ISNUMBER('Price History'!L149)),'Price History'!L149=0),"",'Price History'!L150/'Price History'!L149-1),"")</f>
        <v>0.0103375984963492</v>
      </c>
      <c r="M149" s="142" t="n">
        <f aca="false">IFERROR(IF(OR(NOT(ISNUMBER('Price History'!M150)),NOT(ISNUMBER('Price History'!M149)),'Price History'!M149=0),"",'Price History'!M150/'Price History'!M149-1),"")</f>
        <v>-0.0194122196442382</v>
      </c>
      <c r="N149" s="142" t="n">
        <f aca="false">IFERROR(IF(OR(NOT(ISNUMBER('Price History'!N150)),NOT(ISNUMBER('Price History'!N149)),'Price History'!N149=0),"",'Price History'!N150/'Price History'!N149-1),"")</f>
        <v>0.000311235605353177</v>
      </c>
      <c r="O149" s="142" t="n">
        <f aca="false">IFERROR(IF(OR(NOT(ISNUMBER('Price History'!O150)),NOT(ISNUMBER('Price History'!O149)),'Price History'!O149=0),"",'Price History'!O150/'Price History'!O149-1),"")</f>
        <v>0.0193916854827998</v>
      </c>
      <c r="P149" s="142" t="n">
        <f aca="false">IFERROR(IF(OR(NOT(ISNUMBER('Price History'!P150)),NOT(ISNUMBER('Price History'!P149)),'Price History'!P149=0),"",'Price History'!P150/'Price History'!P149-1),"")</f>
        <v>-0.000115473441108627</v>
      </c>
      <c r="Q149" s="142" t="n">
        <f aca="false">IFERROR(IF(OR(NOT(ISNUMBER('Price History'!Q150)),NOT(ISNUMBER('Price History'!Q149)),'Price History'!Q149=0),"",'Price History'!Q150/'Price History'!Q149-1),"")</f>
        <v>-0.0363525701322415</v>
      </c>
      <c r="R149" s="142" t="n">
        <f aca="false">IFERROR(IF(OR(NOT(ISNUMBER('Price History'!R150)),NOT(ISNUMBER('Price History'!R149)),'Price History'!R149=0),"",'Price History'!R150/'Price History'!R149-1),"")</f>
        <v>-0.0367947669664759</v>
      </c>
      <c r="S149" s="142" t="n">
        <f aca="false">IFERROR(IF(OR(NOT(ISNUMBER('Price History'!S150)),NOT(ISNUMBER('Price History'!S149)),'Price History'!S149=0),"",'Price History'!S150/'Price History'!S149-1),"")</f>
        <v>-0.0419018527126636</v>
      </c>
      <c r="T149" s="142" t="n">
        <f aca="false">IFERROR(IF(OR(NOT(ISNUMBER('Price History'!T150)),NOT(ISNUMBER('Price History'!T149)),'Price History'!T149=0),"",'Price History'!T150/'Price History'!T149-1),"")</f>
        <v>-0.0111659866867082</v>
      </c>
      <c r="U149" s="142" t="str">
        <f aca="false">IFERROR(IF(OR(NOT(ISNUMBER('Price History'!U150)),NOT(ISNUMBER('Price History'!U149)),'Price History'!U149=0),"",'Price History'!U150/'Price History'!U149-1),"")</f>
        <v/>
      </c>
      <c r="V149" s="143" t="n">
        <f aca="false">IFERROR(IF(OR(NOT(ISNUMBER('Price History'!V150)),NOT(ISNUMBER('Price History'!V149)),'Price History'!V149=0),"",'Price History'!V150/'Price History'!V149-1),"")</f>
        <v>-0.00853415195702212</v>
      </c>
      <c r="W149" s="144" t="str">
        <f aca="false">IFERROR('Price History'!B3+(INDEX('Price History'!B:B,MATCH(9.99E+307,'Price History'!$A:$A))-'Price History'!B3)*(ROW()-3)/(MATCH(9.99E+307,'Returns (Calc)'!$A:$A)-3),"")</f>
        <v/>
      </c>
      <c r="X149" s="144" t="n">
        <f aca="false">IFERROR('Price History'!C3+(INDEX('Price History'!C:C,MATCH(9.99E+307,'Price History'!$A:$A))-'Price History'!C3)*(ROW()-3)/(MATCH(9.99E+307,'Returns (Calc)'!$A:$A)-3),"")</f>
        <v>3.5073417721519</v>
      </c>
      <c r="Y149" s="144" t="n">
        <f aca="false">IFERROR('Price History'!D3+(INDEX('Price History'!D:D,MATCH(9.99E+307,'Price History'!$A:$A))-'Price History'!D3)*(ROW()-3)/(MATCH(9.99E+307,'Returns (Calc)'!$A:$A)-3),"")</f>
        <v>44.2032911392406</v>
      </c>
      <c r="Z149" s="144" t="n">
        <f aca="false">IFERROR('Price History'!E3+(INDEX('Price History'!E:E,MATCH(9.99E+307,'Price History'!$A:$A))-'Price History'!E3)*(ROW()-3)/(MATCH(9.99E+307,'Returns (Calc)'!$A:$A)-3),"")</f>
        <v>6.22784810126582</v>
      </c>
      <c r="AA149" s="144" t="n">
        <f aca="false">IFERROR('Price History'!F3+(INDEX('Price History'!F:F,MATCH(9.99E+307,'Price History'!$A:$A))-'Price History'!F3)*(ROW()-3)/(MATCH(9.99E+307,'Returns (Calc)'!$A:$A)-3),"")</f>
        <v>5.71974683544303</v>
      </c>
      <c r="AB149" s="144" t="n">
        <f aca="false">IFERROR('Price History'!G3+(INDEX('Price History'!G:G,MATCH(9.99E+307,'Price History'!$A:$A))-'Price History'!G3)*(ROW()-3)/(MATCH(9.99E+307,'Returns (Calc)'!$A:$A)-3),"")</f>
        <v>3.14126582278481</v>
      </c>
      <c r="AC149" s="144" t="n">
        <f aca="false">IFERROR('Price History'!H3+(INDEX('Price History'!H:H,MATCH(9.99E+307,'Price History'!$A:$A))-'Price History'!H3)*(ROW()-3)/(MATCH(9.99E+307,'Returns (Calc)'!$A:$A)-3),"")</f>
        <v>7.63974683544303</v>
      </c>
      <c r="AD149" s="144" t="n">
        <f aca="false">IFERROR('Price History'!I3+(INDEX('Price History'!I:I,MATCH(9.99E+307,'Price History'!$A:$A))-'Price History'!I3)*(ROW()-3)/(MATCH(9.99E+307,'Returns (Calc)'!$A:$A)-3),"")</f>
        <v>3.36835443037975</v>
      </c>
      <c r="AE149" s="144" t="n">
        <f aca="false">IFERROR('Price History'!J3+(INDEX('Price History'!J:J,MATCH(9.99E+307,'Price History'!$A:$A))-'Price History'!J3)*(ROW()-3)/(MATCH(9.99E+307,'Returns (Calc)'!$A:$A)-3),"")</f>
        <v>5.24886075949367</v>
      </c>
      <c r="AF149" s="144" t="n">
        <f aca="false">IFERROR('Price History'!K3+(INDEX('Price History'!K:K,MATCH(9.99E+307,'Price History'!$A:$A))-'Price History'!K3)*(ROW()-3)/(MATCH(9.99E+307,'Returns (Calc)'!$A:$A)-3),"")</f>
        <v>3.32430379746836</v>
      </c>
      <c r="AG149" s="144" t="n">
        <f aca="false">IFERROR('Price History'!L3+(INDEX('Price History'!L:L,MATCH(9.99E+307,'Price History'!$A:$A))-'Price History'!L3)*(ROW()-3)/(MATCH(9.99E+307,'Returns (Calc)'!$A:$A)-3),"")</f>
        <v>8.49417721518987</v>
      </c>
      <c r="AH149" s="144" t="n">
        <f aca="false">IFERROR('Price History'!M3+(INDEX('Price History'!M:M,MATCH(9.99E+307,'Price History'!$A:$A))-'Price History'!M3)*(ROW()-3)/(MATCH(9.99E+307,'Returns (Calc)'!$A:$A)-3),"")</f>
        <v>1.16430379746835</v>
      </c>
      <c r="AI149" s="144" t="n">
        <f aca="false">IFERROR('Price History'!N3+(INDEX('Price History'!N:N,MATCH(9.99E+307,'Price History'!$A:$A))-'Price History'!N3)*(ROW()-3)/(MATCH(9.99E+307,'Returns (Calc)'!$A:$A)-3),"")</f>
        <v>1.65569620253164</v>
      </c>
      <c r="AJ149" s="144" t="n">
        <f aca="false">IFERROR('Price History'!O3+(INDEX('Price History'!O:O,MATCH(9.99E+307,'Price History'!$A:$A))-'Price History'!O3)*(ROW()-3)/(MATCH(9.99E+307,'Returns (Calc)'!$A:$A)-3),"")</f>
        <v>4.37696202531646</v>
      </c>
      <c r="AK149" s="144" t="n">
        <f aca="false">IFERROR('Price History'!Q3+(INDEX('Price History'!Q:Q,MATCH(9.99E+307,'Price History'!$A:$A))-'Price History'!Q3)*(ROW()-3)/(MATCH(9.99E+307,'Returns (Calc)'!$A:$A)-3),"")</f>
        <v>17.8959493670886</v>
      </c>
      <c r="AL149" s="144" t="n">
        <f aca="false">IFERROR('Price History'!R3+(INDEX('Price History'!R:R,MATCH(9.99E+307,'Price History'!$A:$A))-'Price History'!R3)*(ROW()-3)/(MATCH(9.99E+307,'Returns (Calc)'!$A:$A)-3),"")</f>
        <v>3.63189873417721</v>
      </c>
      <c r="AM149" s="144" t="n">
        <f aca="false">IFERROR('Price History'!S3+(INDEX('Price History'!S:S,MATCH(9.99E+307,'Price History'!$A:$A))-'Price History'!S3)*(ROW()-3)/(MATCH(9.99E+307,'Returns (Calc)'!$A:$A)-3),"")</f>
        <v>4.44607594936709</v>
      </c>
      <c r="AN149" s="144" t="n">
        <f aca="false">IFERROR('Price History'!T3+(INDEX('Price History'!T:T,MATCH(9.99E+307,'Price History'!$A:$A))-'Price History'!T3)*(ROW()-3)/(MATCH(9.99E+307,'Returns (Calc)'!$A:$A)-3),"")</f>
        <v>2.04379746835443</v>
      </c>
      <c r="AO149" s="145" t="n">
        <f aca="false">IFERROR('Price History'!V3+(INDEX('Price History'!V:V,MATCH(9.99E+307,'Price History'!$A:$A))-'Price History'!V3)*(ROW()-3)/(MATCH(9.99E+307,'Returns (Calc)'!$A:$A)-3),"")</f>
        <v>0</v>
      </c>
    </row>
    <row r="150" customFormat="false" ht="15" hidden="false" customHeight="true" outlineLevel="0" collapsed="false">
      <c r="A150" s="141" t="n">
        <f aca="false">IF('Price History'!A151="","",'Price History'!A151)</f>
        <v>46220</v>
      </c>
      <c r="B150" s="142" t="n">
        <f aca="false">IFERROR(IF(OR(NOT(ISNUMBER('Price History'!B151)),NOT(ISNUMBER('Price History'!B150)),'Price History'!B150=0),"",'Price History'!B151/'Price History'!B150-1),"")</f>
        <v>0.0608567340368449</v>
      </c>
      <c r="C150" s="142" t="n">
        <f aca="false">IFERROR(IF(OR(NOT(ISNUMBER('Price History'!C151)),NOT(ISNUMBER('Price History'!C150)),'Price History'!C150=0),"",'Price History'!C151/'Price History'!C150-1),"")</f>
        <v>-0.0981493367565254</v>
      </c>
      <c r="D150" s="142" t="n">
        <f aca="false">IFERROR(IF(OR(NOT(ISNUMBER('Price History'!D151)),NOT(ISNUMBER('Price History'!D150)),'Price History'!D150=0),"",'Price History'!D151/'Price History'!D150-1),"")</f>
        <v>-0.0276768802228413</v>
      </c>
      <c r="E150" s="142" t="n">
        <f aca="false">IFERROR(IF(OR(NOT(ISNUMBER('Price History'!E151)),NOT(ISNUMBER('Price History'!E150)),'Price History'!E150=0),"",'Price History'!E151/'Price History'!E150-1),"")</f>
        <v>-0.0728383929465984</v>
      </c>
      <c r="F150" s="142" t="n">
        <f aca="false">IFERROR(IF(OR(NOT(ISNUMBER('Price History'!F151)),NOT(ISNUMBER('Price History'!F150)),'Price History'!F150=0),"",'Price History'!F151/'Price History'!F150-1),"")</f>
        <v>0.0112505058680696</v>
      </c>
      <c r="G150" s="142" t="n">
        <f aca="false">IFERROR(IF(OR(NOT(ISNUMBER('Price History'!G151)),NOT(ISNUMBER('Price History'!G150)),'Price History'!G150=0),"",'Price History'!G151/'Price History'!G150-1),"")</f>
        <v>0.0849449727534994</v>
      </c>
      <c r="H150" s="142" t="n">
        <f aca="false">IFERROR(IF(OR(NOT(ISNUMBER('Price History'!H151)),NOT(ISNUMBER('Price History'!H150)),'Price History'!H150=0),"",'Price History'!H151/'Price History'!H150-1),"")</f>
        <v>0.01492254189061</v>
      </c>
      <c r="I150" s="142" t="n">
        <f aca="false">IFERROR(IF(OR(NOT(ISNUMBER('Price History'!I151)),NOT(ISNUMBER('Price History'!I150)),'Price History'!I150=0),"",'Price History'!I151/'Price History'!I150-1),"")</f>
        <v>-0.0810775750237828</v>
      </c>
      <c r="J150" s="142" t="n">
        <f aca="false">IFERROR(IF(OR(NOT(ISNUMBER('Price History'!J151)),NOT(ISNUMBER('Price History'!J150)),'Price History'!J150=0),"",'Price History'!J151/'Price History'!J150-1),"")</f>
        <v>-0.133105279281119</v>
      </c>
      <c r="K150" s="142" t="n">
        <f aca="false">IFERROR(IF(OR(NOT(ISNUMBER('Price History'!K151)),NOT(ISNUMBER('Price History'!K150)),'Price History'!K150=0),"",'Price History'!K151/'Price History'!K150-1),"")</f>
        <v>-0.0386294608959756</v>
      </c>
      <c r="L150" s="142" t="n">
        <f aca="false">IFERROR(IF(OR(NOT(ISNUMBER('Price History'!L151)),NOT(ISNUMBER('Price History'!L150)),'Price History'!L150=0),"",'Price History'!L151/'Price History'!L150-1),"")</f>
        <v>0.0633228391528335</v>
      </c>
      <c r="M150" s="142" t="n">
        <f aca="false">IFERROR(IF(OR(NOT(ISNUMBER('Price History'!M151)),NOT(ISNUMBER('Price History'!M150)),'Price History'!M150=0),"",'Price History'!M151/'Price History'!M150-1),"")</f>
        <v>0.0440886505244893</v>
      </c>
      <c r="N150" s="142" t="n">
        <f aca="false">IFERROR(IF(OR(NOT(ISNUMBER('Price History'!N151)),NOT(ISNUMBER('Price History'!N150)),'Price History'!N150=0),"",'Price History'!N151/'Price History'!N150-1),"")</f>
        <v>0.0158680771624145</v>
      </c>
      <c r="O150" s="142" t="n">
        <f aca="false">IFERROR(IF(OR(NOT(ISNUMBER('Price History'!O151)),NOT(ISNUMBER('Price History'!O150)),'Price History'!O150=0),"",'Price History'!O151/'Price History'!O150-1),"")</f>
        <v>-0.0641042345276873</v>
      </c>
      <c r="P150" s="142" t="n">
        <f aca="false">IFERROR(IF(OR(NOT(ISNUMBER('Price History'!P151)),NOT(ISNUMBER('Price History'!P150)),'Price History'!P150=0),"",'Price History'!P151/'Price History'!P150-1),"")</f>
        <v>-0.0823420718327751</v>
      </c>
      <c r="Q150" s="142" t="n">
        <f aca="false">IFERROR(IF(OR(NOT(ISNUMBER('Price History'!Q151)),NOT(ISNUMBER('Price History'!Q150)),'Price History'!Q150=0),"",'Price History'!Q151/'Price History'!Q150-1),"")</f>
        <v>0.0275034451079468</v>
      </c>
      <c r="R150" s="142" t="n">
        <f aca="false">IFERROR(IF(OR(NOT(ISNUMBER('Price History'!R151)),NOT(ISNUMBER('Price History'!R150)),'Price History'!R150=0),"",'Price History'!R151/'Price History'!R150-1),"")</f>
        <v>0.0162988115449916</v>
      </c>
      <c r="S150" s="142" t="n">
        <f aca="false">IFERROR(IF(OR(NOT(ISNUMBER('Price History'!S151)),NOT(ISNUMBER('Price History'!S150)),'Price History'!S150=0),"",'Price History'!S151/'Price History'!S150-1),"")</f>
        <v>0.0568339340171886</v>
      </c>
      <c r="T150" s="142" t="n">
        <f aca="false">IFERROR(IF(OR(NOT(ISNUMBER('Price History'!T151)),NOT(ISNUMBER('Price History'!T150)),'Price History'!T150=0),"",'Price History'!T151/'Price History'!T150-1),"")</f>
        <v>0.00521172638436496</v>
      </c>
      <c r="U150" s="142" t="str">
        <f aca="false">IFERROR(IF(OR(NOT(ISNUMBER('Price History'!U151)),NOT(ISNUMBER('Price History'!U150)),'Price History'!U150=0),"",'Price History'!U151/'Price History'!U150-1),"")</f>
        <v/>
      </c>
      <c r="V150" s="143" t="n">
        <f aca="false">IFERROR(IF(OR(NOT(ISNUMBER('Price History'!V151)),NOT(ISNUMBER('Price History'!V150)),'Price History'!V150=0),"",'Price History'!V151/'Price History'!V150-1),"")</f>
        <v>-0.00365359011672917</v>
      </c>
      <c r="W150" s="144" t="str">
        <f aca="false">IFERROR('Price History'!B3+(INDEX('Price History'!B:B,MATCH(9.99E+307,'Price History'!$A:$A))-'Price History'!B3)*(ROW()-3)/(MATCH(9.99E+307,'Returns (Calc)'!$A:$A)-3),"")</f>
        <v/>
      </c>
      <c r="X150" s="144" t="n">
        <f aca="false">IFERROR('Price History'!C3+(INDEX('Price History'!C:C,MATCH(9.99E+307,'Price History'!$A:$A))-'Price History'!C3)*(ROW()-3)/(MATCH(9.99E+307,'Returns (Calc)'!$A:$A)-3),"")</f>
        <v>3.21506329113924</v>
      </c>
      <c r="Y150" s="144" t="n">
        <f aca="false">IFERROR('Price History'!D3+(INDEX('Price History'!D:D,MATCH(9.99E+307,'Price History'!$A:$A))-'Price History'!D3)*(ROW()-3)/(MATCH(9.99E+307,'Returns (Calc)'!$A:$A)-3),"")</f>
        <v>40.5196835443038</v>
      </c>
      <c r="Z150" s="144" t="n">
        <f aca="false">IFERROR('Price History'!E3+(INDEX('Price History'!E:E,MATCH(9.99E+307,'Price History'!$A:$A))-'Price History'!E3)*(ROW()-3)/(MATCH(9.99E+307,'Returns (Calc)'!$A:$A)-3),"")</f>
        <v>5.70886075949368</v>
      </c>
      <c r="AA150" s="144" t="n">
        <f aca="false">IFERROR('Price History'!F3+(INDEX('Price History'!F:F,MATCH(9.99E+307,'Price History'!$A:$A))-'Price History'!F3)*(ROW()-3)/(MATCH(9.99E+307,'Returns (Calc)'!$A:$A)-3),"")</f>
        <v>5.24310126582279</v>
      </c>
      <c r="AB150" s="144" t="n">
        <f aca="false">IFERROR('Price History'!G3+(INDEX('Price History'!G:G,MATCH(9.99E+307,'Price History'!$A:$A))-'Price History'!G3)*(ROW()-3)/(MATCH(9.99E+307,'Returns (Calc)'!$A:$A)-3),"")</f>
        <v>2.87949367088608</v>
      </c>
      <c r="AC150" s="144" t="n">
        <f aca="false">IFERROR('Price History'!H3+(INDEX('Price History'!H:H,MATCH(9.99E+307,'Price History'!$A:$A))-'Price History'!H3)*(ROW()-3)/(MATCH(9.99E+307,'Returns (Calc)'!$A:$A)-3),"")</f>
        <v>7.00310126582278</v>
      </c>
      <c r="AD150" s="144" t="n">
        <f aca="false">IFERROR('Price History'!I3+(INDEX('Price History'!I:I,MATCH(9.99E+307,'Price History'!$A:$A))-'Price History'!I3)*(ROW()-3)/(MATCH(9.99E+307,'Returns (Calc)'!$A:$A)-3),"")</f>
        <v>3.0876582278481</v>
      </c>
      <c r="AE150" s="144" t="n">
        <f aca="false">IFERROR('Price History'!J3+(INDEX('Price History'!J:J,MATCH(9.99E+307,'Price History'!$A:$A))-'Price History'!J3)*(ROW()-3)/(MATCH(9.99E+307,'Returns (Calc)'!$A:$A)-3),"")</f>
        <v>4.81145569620253</v>
      </c>
      <c r="AF150" s="144" t="n">
        <f aca="false">IFERROR('Price History'!K3+(INDEX('Price History'!K:K,MATCH(9.99E+307,'Price History'!$A:$A))-'Price History'!K3)*(ROW()-3)/(MATCH(9.99E+307,'Returns (Calc)'!$A:$A)-3),"")</f>
        <v>3.04727848101266</v>
      </c>
      <c r="AG150" s="144" t="n">
        <f aca="false">IFERROR('Price History'!L3+(INDEX('Price History'!L:L,MATCH(9.99E+307,'Price History'!$A:$A))-'Price History'!L3)*(ROW()-3)/(MATCH(9.99E+307,'Returns (Calc)'!$A:$A)-3),"")</f>
        <v>7.78632911392405</v>
      </c>
      <c r="AH150" s="144" t="n">
        <f aca="false">IFERROR('Price History'!M3+(INDEX('Price History'!M:M,MATCH(9.99E+307,'Price History'!$A:$A))-'Price History'!M3)*(ROW()-3)/(MATCH(9.99E+307,'Returns (Calc)'!$A:$A)-3),"")</f>
        <v>1.06727848101266</v>
      </c>
      <c r="AI150" s="144" t="n">
        <f aca="false">IFERROR('Price History'!N3+(INDEX('Price History'!N:N,MATCH(9.99E+307,'Price History'!$A:$A))-'Price History'!N3)*(ROW()-3)/(MATCH(9.99E+307,'Returns (Calc)'!$A:$A)-3),"")</f>
        <v>1.51772151898734</v>
      </c>
      <c r="AJ150" s="144" t="n">
        <f aca="false">IFERROR('Price History'!O3+(INDEX('Price History'!O:O,MATCH(9.99E+307,'Price History'!$A:$A))-'Price History'!O3)*(ROW()-3)/(MATCH(9.99E+307,'Returns (Calc)'!$A:$A)-3),"")</f>
        <v>4.01221518987342</v>
      </c>
      <c r="AK150" s="144" t="n">
        <f aca="false">IFERROR('Price History'!Q3+(INDEX('Price History'!Q:Q,MATCH(9.99E+307,'Price History'!$A:$A))-'Price History'!Q3)*(ROW()-3)/(MATCH(9.99E+307,'Returns (Calc)'!$A:$A)-3),"")</f>
        <v>16.4046202531646</v>
      </c>
      <c r="AL150" s="144" t="n">
        <f aca="false">IFERROR('Price History'!R3+(INDEX('Price History'!R:R,MATCH(9.99E+307,'Price History'!$A:$A))-'Price History'!R3)*(ROW()-3)/(MATCH(9.99E+307,'Returns (Calc)'!$A:$A)-3),"")</f>
        <v>3.32924050632911</v>
      </c>
      <c r="AM150" s="144" t="n">
        <f aca="false">IFERROR('Price History'!S3+(INDEX('Price History'!S:S,MATCH(9.99E+307,'Price History'!$A:$A))-'Price History'!S3)*(ROW()-3)/(MATCH(9.99E+307,'Returns (Calc)'!$A:$A)-3),"")</f>
        <v>4.07556962025317</v>
      </c>
      <c r="AN150" s="144" t="n">
        <f aca="false">IFERROR('Price History'!T3+(INDEX('Price History'!T:T,MATCH(9.99E+307,'Price History'!$A:$A))-'Price History'!T3)*(ROW()-3)/(MATCH(9.99E+307,'Returns (Calc)'!$A:$A)-3),"")</f>
        <v>1.87348101265823</v>
      </c>
      <c r="AO150" s="145" t="n">
        <f aca="false">IFERROR('Price History'!V3+(INDEX('Price History'!V:V,MATCH(9.99E+307,'Price History'!$A:$A))-'Price History'!V3)*(ROW()-3)/(MATCH(9.99E+307,'Returns (Calc)'!$A:$A)-3),"")</f>
        <v>0</v>
      </c>
    </row>
    <row r="151" customFormat="false" ht="15" hidden="false" customHeight="true" outlineLevel="0" collapsed="false">
      <c r="A151" s="141" t="n">
        <f aca="false">IF('Price History'!A152="","",'Price History'!A152)</f>
        <v>46227</v>
      </c>
      <c r="B151" s="142" t="n">
        <f aca="false">IFERROR(IF(OR(NOT(ISNUMBER('Price History'!B152)),NOT(ISNUMBER('Price History'!B151)),'Price History'!B151=0),"",'Price History'!B152/'Price History'!B151-1),"")</f>
        <v>-0.0511696522655426</v>
      </c>
      <c r="C151" s="142" t="n">
        <f aca="false">IFERROR(IF(OR(NOT(ISNUMBER('Price History'!C152)),NOT(ISNUMBER('Price History'!C151)),'Price History'!C151=0),"",'Price History'!C152/'Price History'!C151-1),"")</f>
        <v>0.0319079532649309</v>
      </c>
      <c r="D151" s="142" t="n">
        <f aca="false">IFERROR(IF(OR(NOT(ISNUMBER('Price History'!D152)),NOT(ISNUMBER('Price History'!D151)),'Price History'!D151=0),"",'Price History'!D152/'Price History'!D151-1),"")</f>
        <v>0.00544312790777624</v>
      </c>
      <c r="E151" s="142" t="n">
        <f aca="false">IFERROR(IF(OR(NOT(ISNUMBER('Price History'!E152)),NOT(ISNUMBER('Price History'!E151)),'Price History'!E151=0),"",'Price History'!E152/'Price History'!E151-1),"")</f>
        <v>0.029905986600389</v>
      </c>
      <c r="F151" s="142" t="n">
        <f aca="false">IFERROR(IF(OR(NOT(ISNUMBER('Price History'!F152)),NOT(ISNUMBER('Price History'!F151)),'Price History'!F151=0),"",'Price History'!F152/'Price History'!F151-1),"")</f>
        <v>-0.000560268929085894</v>
      </c>
      <c r="G151" s="142" t="n">
        <f aca="false">IFERROR(IF(OR(NOT(ISNUMBER('Price History'!G152)),NOT(ISNUMBER('Price History'!G151)),'Price History'!G151=0),"",'Price History'!G152/'Price History'!G151-1),"")</f>
        <v>-0.0974985227496553</v>
      </c>
      <c r="H151" s="142" t="n">
        <f aca="false">IFERROR(IF(OR(NOT(ISNUMBER('Price History'!H152)),NOT(ISNUMBER('Price History'!H151)),'Price History'!H151=0),"",'Price History'!H152/'Price History'!H151-1),"")</f>
        <v>0.00716466263784188</v>
      </c>
      <c r="I151" s="142" t="n">
        <f aca="false">IFERROR(IF(OR(NOT(ISNUMBER('Price History'!I152)),NOT(ISNUMBER('Price History'!I151)),'Price History'!I151=0),"",'Price History'!I152/'Price History'!I151-1),"")</f>
        <v>-0.0104936238294668</v>
      </c>
      <c r="J151" s="142" t="n">
        <f aca="false">IFERROR(IF(OR(NOT(ISNUMBER('Price History'!J152)),NOT(ISNUMBER('Price History'!J151)),'Price History'!J151=0),"",'Price History'!J152/'Price History'!J151-1),"")</f>
        <v>0.0848106484480828</v>
      </c>
      <c r="K151" s="142" t="n">
        <f aca="false">IFERROR(IF(OR(NOT(ISNUMBER('Price History'!K152)),NOT(ISNUMBER('Price History'!K151)),'Price History'!K151=0),"",'Price History'!K152/'Price History'!K151-1),"")</f>
        <v>0.0198933754566097</v>
      </c>
      <c r="L151" s="142" t="n">
        <f aca="false">IFERROR(IF(OR(NOT(ISNUMBER('Price History'!L152)),NOT(ISNUMBER('Price History'!L151)),'Price History'!L151=0),"",'Price History'!L152/'Price History'!L151-1),"")</f>
        <v>-0.0144001076643565</v>
      </c>
      <c r="M151" s="142" t="n">
        <f aca="false">IFERROR(IF(OR(NOT(ISNUMBER('Price History'!M152)),NOT(ISNUMBER('Price History'!M151)),'Price History'!M151=0),"",'Price History'!M152/'Price History'!M151-1),"")</f>
        <v>-0.0714609457621996</v>
      </c>
      <c r="N151" s="142" t="n">
        <f aca="false">IFERROR(IF(OR(NOT(ISNUMBER('Price History'!N152)),NOT(ISNUMBER('Price History'!N151)),'Price History'!N151=0),"",'Price History'!N152/'Price History'!N151-1),"")</f>
        <v>0.0116385911179173</v>
      </c>
      <c r="O151" s="142" t="n">
        <f aca="false">IFERROR(IF(OR(NOT(ISNUMBER('Price History'!O152)),NOT(ISNUMBER('Price History'!O151)),'Price History'!O151=0),"",'Price History'!O152/'Price History'!O151-1),"")</f>
        <v>0.0181678964221079</v>
      </c>
      <c r="P151" s="142" t="n">
        <f aca="false">IFERROR(IF(OR(NOT(ISNUMBER('Price History'!P152)),NOT(ISNUMBER('Price History'!P151)),'Price History'!P151=0),"",'Price History'!P152/'Price History'!P151-1),"")</f>
        <v>0.0126604580921217</v>
      </c>
      <c r="Q151" s="142" t="n">
        <f aca="false">IFERROR(IF(OR(NOT(ISNUMBER('Price History'!Q152)),NOT(ISNUMBER('Price History'!Q151)),'Price History'!Q151=0),"",'Price History'!Q152/'Price History'!Q151-1),"")</f>
        <v>-0.00787929589270742</v>
      </c>
      <c r="R151" s="142" t="n">
        <f aca="false">IFERROR(IF(OR(NOT(ISNUMBER('Price History'!R152)),NOT(ISNUMBER('Price History'!R151)),'Price History'!R151=0),"",'Price History'!R152/'Price History'!R151-1),"")</f>
        <v>0.0247243568326094</v>
      </c>
      <c r="S151" s="142" t="n">
        <f aca="false">IFERROR(IF(OR(NOT(ISNUMBER('Price History'!S152)),NOT(ISNUMBER('Price History'!S151)),'Price History'!S151=0),"",'Price History'!S152/'Price History'!S151-1),"")</f>
        <v>0.0486621196222457</v>
      </c>
      <c r="T151" s="142" t="n">
        <f aca="false">IFERROR(IF(OR(NOT(ISNUMBER('Price History'!T152)),NOT(ISNUMBER('Price History'!T151)),'Price History'!T151=0),"",'Price History'!T152/'Price History'!T151-1),"")</f>
        <v>-0.0224670555195506</v>
      </c>
      <c r="U151" s="142" t="str">
        <f aca="false">IFERROR(IF(OR(NOT(ISNUMBER('Price History'!U152)),NOT(ISNUMBER('Price History'!U151)),'Price History'!U151=0),"",'Price History'!U152/'Price History'!U151-1),"")</f>
        <v/>
      </c>
      <c r="V151" s="143" t="str">
        <f aca="false">IFERROR(IF(OR(NOT(ISNUMBER('Price History'!V152)),NOT(ISNUMBER('Price History'!V151)),'Price History'!V151=0),"",'Price History'!V152/'Price History'!V151-1),"")</f>
        <v/>
      </c>
      <c r="W151" s="144" t="str">
        <f aca="false">IFERROR('Price History'!B3+(INDEX('Price History'!B:B,MATCH(9.99E+307,'Price History'!$A:$A))-'Price History'!B3)*(ROW()-3)/(MATCH(9.99E+307,'Returns (Calc)'!$A:$A)-3),"")</f>
        <v/>
      </c>
      <c r="X151" s="144" t="n">
        <f aca="false">IFERROR('Price History'!C3+(INDEX('Price History'!C:C,MATCH(9.99E+307,'Price History'!$A:$A))-'Price History'!C3)*(ROW()-3)/(MATCH(9.99E+307,'Returns (Calc)'!$A:$A)-3),"")</f>
        <v>2.92278481012658</v>
      </c>
      <c r="Y151" s="144" t="n">
        <f aca="false">IFERROR('Price History'!D3+(INDEX('Price History'!D:D,MATCH(9.99E+307,'Price History'!$A:$A))-'Price History'!D3)*(ROW()-3)/(MATCH(9.99E+307,'Returns (Calc)'!$A:$A)-3),"")</f>
        <v>36.8360759493671</v>
      </c>
      <c r="Z151" s="144" t="n">
        <f aca="false">IFERROR('Price History'!E3+(INDEX('Price History'!E:E,MATCH(9.99E+307,'Price History'!$A:$A))-'Price History'!E3)*(ROW()-3)/(MATCH(9.99E+307,'Returns (Calc)'!$A:$A)-3),"")</f>
        <v>5.18987341772152</v>
      </c>
      <c r="AA151" s="144" t="n">
        <f aca="false">IFERROR('Price History'!F3+(INDEX('Price History'!F:F,MATCH(9.99E+307,'Price History'!$A:$A))-'Price History'!F3)*(ROW()-3)/(MATCH(9.99E+307,'Returns (Calc)'!$A:$A)-3),"")</f>
        <v>4.76645569620253</v>
      </c>
      <c r="AB151" s="144" t="n">
        <f aca="false">IFERROR('Price History'!G3+(INDEX('Price History'!G:G,MATCH(9.99E+307,'Price History'!$A:$A))-'Price History'!G3)*(ROW()-3)/(MATCH(9.99E+307,'Returns (Calc)'!$A:$A)-3),"")</f>
        <v>2.61772151898735</v>
      </c>
      <c r="AC151" s="144" t="n">
        <f aca="false">IFERROR('Price History'!H3+(INDEX('Price History'!H:H,MATCH(9.99E+307,'Price History'!$A:$A))-'Price History'!H3)*(ROW()-3)/(MATCH(9.99E+307,'Returns (Calc)'!$A:$A)-3),"")</f>
        <v>6.36645569620254</v>
      </c>
      <c r="AD151" s="144" t="n">
        <f aca="false">IFERROR('Price History'!I3+(INDEX('Price History'!I:I,MATCH(9.99E+307,'Price History'!$A:$A))-'Price History'!I3)*(ROW()-3)/(MATCH(9.99E+307,'Returns (Calc)'!$A:$A)-3),"")</f>
        <v>2.80696202531646</v>
      </c>
      <c r="AE151" s="144" t="n">
        <f aca="false">IFERROR('Price History'!J3+(INDEX('Price History'!J:J,MATCH(9.99E+307,'Price History'!$A:$A))-'Price History'!J3)*(ROW()-3)/(MATCH(9.99E+307,'Returns (Calc)'!$A:$A)-3),"")</f>
        <v>4.37405063291139</v>
      </c>
      <c r="AF151" s="144" t="n">
        <f aca="false">IFERROR('Price History'!K3+(INDEX('Price History'!K:K,MATCH(9.99E+307,'Price History'!$A:$A))-'Price History'!K3)*(ROW()-3)/(MATCH(9.99E+307,'Returns (Calc)'!$A:$A)-3),"")</f>
        <v>2.77025316455696</v>
      </c>
      <c r="AG151" s="144" t="n">
        <f aca="false">IFERROR('Price History'!L3+(INDEX('Price History'!L:L,MATCH(9.99E+307,'Price History'!$A:$A))-'Price History'!L3)*(ROW()-3)/(MATCH(9.99E+307,'Returns (Calc)'!$A:$A)-3),"")</f>
        <v>7.07848101265823</v>
      </c>
      <c r="AH151" s="144" t="n">
        <f aca="false">IFERROR('Price History'!M3+(INDEX('Price History'!M:M,MATCH(9.99E+307,'Price History'!$A:$A))-'Price History'!M3)*(ROW()-3)/(MATCH(9.99E+307,'Returns (Calc)'!$A:$A)-3),"")</f>
        <v>0.970253164556961</v>
      </c>
      <c r="AI151" s="144" t="n">
        <f aca="false">IFERROR('Price History'!N3+(INDEX('Price History'!N:N,MATCH(9.99E+307,'Price History'!$A:$A))-'Price History'!N3)*(ROW()-3)/(MATCH(9.99E+307,'Returns (Calc)'!$A:$A)-3),"")</f>
        <v>1.37974683544304</v>
      </c>
      <c r="AJ151" s="144" t="n">
        <f aca="false">IFERROR('Price History'!O3+(INDEX('Price History'!O:O,MATCH(9.99E+307,'Price History'!$A:$A))-'Price History'!O3)*(ROW()-3)/(MATCH(9.99E+307,'Returns (Calc)'!$A:$A)-3),"")</f>
        <v>3.64746835443039</v>
      </c>
      <c r="AK151" s="144" t="n">
        <f aca="false">IFERROR('Price History'!Q3+(INDEX('Price History'!Q:Q,MATCH(9.99E+307,'Price History'!$A:$A))-'Price History'!Q3)*(ROW()-3)/(MATCH(9.99E+307,'Returns (Calc)'!$A:$A)-3),"")</f>
        <v>14.9132911392405</v>
      </c>
      <c r="AL151" s="144" t="n">
        <f aca="false">IFERROR('Price History'!R3+(INDEX('Price History'!R:R,MATCH(9.99E+307,'Price History'!$A:$A))-'Price History'!R3)*(ROW()-3)/(MATCH(9.99E+307,'Returns (Calc)'!$A:$A)-3),"")</f>
        <v>3.02658227848102</v>
      </c>
      <c r="AM151" s="144" t="n">
        <f aca="false">IFERROR('Price History'!S3+(INDEX('Price History'!S:S,MATCH(9.99E+307,'Price History'!$A:$A))-'Price History'!S3)*(ROW()-3)/(MATCH(9.99E+307,'Returns (Calc)'!$A:$A)-3),"")</f>
        <v>3.70506329113924</v>
      </c>
      <c r="AN151" s="144" t="n">
        <f aca="false">IFERROR('Price History'!T3+(INDEX('Price History'!T:T,MATCH(9.99E+307,'Price History'!$A:$A))-'Price History'!T3)*(ROW()-3)/(MATCH(9.99E+307,'Returns (Calc)'!$A:$A)-3),"")</f>
        <v>1.70316455696203</v>
      </c>
      <c r="AO151" s="145" t="n">
        <f aca="false">IFERROR('Price History'!V3+(INDEX('Price History'!V:V,MATCH(9.99E+307,'Price History'!$A:$A))-'Price History'!V3)*(ROW()-3)/(MATCH(9.99E+307,'Returns (Calc)'!$A:$A)-3),"")</f>
        <v>0</v>
      </c>
    </row>
    <row r="152" customFormat="false" ht="15" hidden="false" customHeight="true" outlineLevel="0" collapsed="false">
      <c r="A152" s="141" t="n">
        <f aca="false">IF('Price History'!A153="","",'Price History'!A153)</f>
        <v>46234</v>
      </c>
      <c r="B152" s="142" t="n">
        <f aca="false">IFERROR(IF(OR(NOT(ISNUMBER('Price History'!B153)),NOT(ISNUMBER('Price History'!B152)),'Price History'!B152=0),"",'Price History'!B153/'Price History'!B152-1),"")</f>
        <v>0.112389498467416</v>
      </c>
      <c r="C152" s="142" t="n">
        <f aca="false">IFERROR(IF(OR(NOT(ISNUMBER('Price History'!C153)),NOT(ISNUMBER('Price History'!C152)),'Price History'!C152=0),"",'Price History'!C153/'Price History'!C152-1),"")</f>
        <v>0.0365538249324673</v>
      </c>
      <c r="D152" s="142" t="n">
        <f aca="false">IFERROR(IF(OR(NOT(ISNUMBER('Price History'!D153)),NOT(ISNUMBER('Price History'!D152)),'Price History'!D152=0),"",'Price History'!D153/'Price History'!D152-1),"")</f>
        <v>-0.071699661503744</v>
      </c>
      <c r="E152" s="142" t="n">
        <f aca="false">IFERROR(IF(OR(NOT(ISNUMBER('Price History'!E153)),NOT(ISNUMBER('Price History'!E152)),'Price History'!E152=0),"",'Price History'!E153/'Price History'!E152-1),"")</f>
        <v>0.019253469034441</v>
      </c>
      <c r="F152" s="142" t="n">
        <f aca="false">IFERROR(IF(OR(NOT(ISNUMBER('Price History'!F153)),NOT(ISNUMBER('Price History'!F152)),'Price History'!F152=0),"",'Price History'!F153/'Price History'!F152-1),"")</f>
        <v>0</v>
      </c>
      <c r="G152" s="142" t="n">
        <f aca="false">IFERROR(IF(OR(NOT(ISNUMBER('Price History'!G153)),NOT(ISNUMBER('Price History'!G152)),'Price History'!G152=0),"",'Price History'!G153/'Price History'!G152-1),"")</f>
        <v>0.0413574858140551</v>
      </c>
      <c r="H152" s="142" t="n">
        <f aca="false">IFERROR(IF(OR(NOT(ISNUMBER('Price History'!H153)),NOT(ISNUMBER('Price History'!H152)),'Price History'!H152=0),"",'Price History'!H153/'Price History'!H152-1),"")</f>
        <v>-0.0109489051094891</v>
      </c>
      <c r="I152" s="142" t="n">
        <f aca="false">IFERROR(IF(OR(NOT(ISNUMBER('Price History'!I153)),NOT(ISNUMBER('Price History'!I152)),'Price History'!I152=0),"",'Price History'!I153/'Price History'!I152-1),"")</f>
        <v>-0.1315864561537</v>
      </c>
      <c r="J152" s="142" t="n">
        <f aca="false">IFERROR(IF(OR(NOT(ISNUMBER('Price History'!J153)),NOT(ISNUMBER('Price History'!J152)),'Price History'!J152=0),"",'Price History'!J153/'Price History'!J152-1),"")</f>
        <v>-0.106324990498941</v>
      </c>
      <c r="K152" s="142" t="n">
        <f aca="false">IFERROR(IF(OR(NOT(ISNUMBER('Price History'!K153)),NOT(ISNUMBER('Price History'!K152)),'Price History'!K152=0),"",'Price History'!K153/'Price History'!K152-1),"")</f>
        <v>-0.0294274236484198</v>
      </c>
      <c r="L152" s="142" t="n">
        <f aca="false">IFERROR(IF(OR(NOT(ISNUMBER('Price History'!L153)),NOT(ISNUMBER('Price History'!L152)),'Price History'!L152=0),"",'Price History'!L153/'Price History'!L152-1),"")</f>
        <v>-0.0204820099679115</v>
      </c>
      <c r="M152" s="142" t="n">
        <f aca="false">IFERROR(IF(OR(NOT(ISNUMBER('Price History'!M153)),NOT(ISNUMBER('Price History'!M152)),'Price History'!M152=0),"",'Price History'!M153/'Price History'!M152-1),"")</f>
        <v>0.00113895216400906</v>
      </c>
      <c r="N152" s="142" t="n">
        <f aca="false">IFERROR(IF(OR(NOT(ISNUMBER('Price History'!N153)),NOT(ISNUMBER('Price History'!N152)),'Price History'!N152=0),"",'Price History'!N153/'Price History'!N152-1),"")</f>
        <v>0.00544959128065403</v>
      </c>
      <c r="O152" s="142" t="n">
        <f aca="false">IFERROR(IF(OR(NOT(ISNUMBER('Price History'!O153)),NOT(ISNUMBER('Price History'!O152)),'Price History'!O152=0),"",'Price History'!O153/'Price History'!O152-1),"")</f>
        <v>-0.0182539139946675</v>
      </c>
      <c r="P152" s="142" t="n">
        <f aca="false">IFERROR(IF(OR(NOT(ISNUMBER('Price History'!P153)),NOT(ISNUMBER('Price History'!P152)),'Price History'!P152=0),"",'Price History'!P153/'Price History'!P152-1),"")</f>
        <v>0.00208783834165982</v>
      </c>
      <c r="Q152" s="142" t="n">
        <f aca="false">IFERROR(IF(OR(NOT(ISNUMBER('Price History'!Q153)),NOT(ISNUMBER('Price History'!Q152)),'Price History'!Q152=0),"",'Price History'!Q153/'Price History'!Q152-1),"")</f>
        <v>0.0292046862678834</v>
      </c>
      <c r="R152" s="142" t="n">
        <f aca="false">IFERROR(IF(OR(NOT(ISNUMBER('Price History'!R153)),NOT(ISNUMBER('Price History'!R152)),'Price History'!R152=0),"",'Price History'!R153/'Price History'!R152-1),"")</f>
        <v>-0.0313009455493969</v>
      </c>
      <c r="S152" s="142" t="n">
        <f aca="false">IFERROR(IF(OR(NOT(ISNUMBER('Price History'!S153)),NOT(ISNUMBER('Price History'!S152)),'Price History'!S152=0),"",'Price History'!S153/'Price History'!S152-1),"")</f>
        <v>-0.0356472795497187</v>
      </c>
      <c r="T152" s="142" t="n">
        <f aca="false">IFERROR(IF(OR(NOT(ISNUMBER('Price History'!T153)),NOT(ISNUMBER('Price History'!T152)),'Price History'!T152=0),"",'Price History'!T153/'Price History'!T152-1),"")</f>
        <v>0.0207734806629833</v>
      </c>
      <c r="U152" s="142" t="str">
        <f aca="false">IFERROR(IF(OR(NOT(ISNUMBER('Price History'!U153)),NOT(ISNUMBER('Price History'!U152)),'Price History'!U152=0),"",'Price History'!U153/'Price History'!U152-1),"")</f>
        <v/>
      </c>
      <c r="V152" s="143" t="str">
        <f aca="false">IFERROR(IF(OR(NOT(ISNUMBER('Price History'!V153)),NOT(ISNUMBER('Price History'!V152)),'Price History'!V152=0),"",'Price History'!V153/'Price History'!V152-1),"")</f>
        <v/>
      </c>
      <c r="W152" s="144" t="str">
        <f aca="false">IFERROR('Price History'!B3+(INDEX('Price History'!B:B,MATCH(9.99E+307,'Price History'!$A:$A))-'Price History'!B3)*(ROW()-3)/(MATCH(9.99E+307,'Returns (Calc)'!$A:$A)-3),"")</f>
        <v/>
      </c>
      <c r="X152" s="144" t="n">
        <f aca="false">IFERROR('Price History'!C3+(INDEX('Price History'!C:C,MATCH(9.99E+307,'Price History'!$A:$A))-'Price History'!C3)*(ROW()-3)/(MATCH(9.99E+307,'Returns (Calc)'!$A:$A)-3),"")</f>
        <v>2.63050632911393</v>
      </c>
      <c r="Y152" s="144" t="n">
        <f aca="false">IFERROR('Price History'!D3+(INDEX('Price History'!D:D,MATCH(9.99E+307,'Price History'!$A:$A))-'Price History'!D3)*(ROW()-3)/(MATCH(9.99E+307,'Returns (Calc)'!$A:$A)-3),"")</f>
        <v>33.1524683544303</v>
      </c>
      <c r="Z152" s="144" t="n">
        <f aca="false">IFERROR('Price History'!E3+(INDEX('Price History'!E:E,MATCH(9.99E+307,'Price History'!$A:$A))-'Price History'!E3)*(ROW()-3)/(MATCH(9.99E+307,'Returns (Calc)'!$A:$A)-3),"")</f>
        <v>4.67088607594937</v>
      </c>
      <c r="AA152" s="144" t="n">
        <f aca="false">IFERROR('Price History'!F3+(INDEX('Price History'!F:F,MATCH(9.99E+307,'Price History'!$A:$A))-'Price History'!F3)*(ROW()-3)/(MATCH(9.99E+307,'Returns (Calc)'!$A:$A)-3),"")</f>
        <v>4.28981012658228</v>
      </c>
      <c r="AB152" s="144" t="n">
        <f aca="false">IFERROR('Price History'!G3+(INDEX('Price History'!G:G,MATCH(9.99E+307,'Price History'!$A:$A))-'Price History'!G3)*(ROW()-3)/(MATCH(9.99E+307,'Returns (Calc)'!$A:$A)-3),"")</f>
        <v>2.35594936708861</v>
      </c>
      <c r="AC152" s="144" t="n">
        <f aca="false">IFERROR('Price History'!H3+(INDEX('Price History'!H:H,MATCH(9.99E+307,'Price History'!$A:$A))-'Price History'!H3)*(ROW()-3)/(MATCH(9.99E+307,'Returns (Calc)'!$A:$A)-3),"")</f>
        <v>5.72981012658228</v>
      </c>
      <c r="AD152" s="144" t="n">
        <f aca="false">IFERROR('Price History'!I3+(INDEX('Price History'!I:I,MATCH(9.99E+307,'Price History'!$A:$A))-'Price History'!I3)*(ROW()-3)/(MATCH(9.99E+307,'Returns (Calc)'!$A:$A)-3),"")</f>
        <v>2.52626582278481</v>
      </c>
      <c r="AE152" s="144" t="n">
        <f aca="false">IFERROR('Price History'!J3+(INDEX('Price History'!J:J,MATCH(9.99E+307,'Price History'!$A:$A))-'Price History'!J3)*(ROW()-3)/(MATCH(9.99E+307,'Returns (Calc)'!$A:$A)-3),"")</f>
        <v>3.93664556962025</v>
      </c>
      <c r="AF152" s="144" t="n">
        <f aca="false">IFERROR('Price History'!K3+(INDEX('Price History'!K:K,MATCH(9.99E+307,'Price History'!$A:$A))-'Price History'!K3)*(ROW()-3)/(MATCH(9.99E+307,'Returns (Calc)'!$A:$A)-3),"")</f>
        <v>2.49322784810126</v>
      </c>
      <c r="AG152" s="144" t="n">
        <f aca="false">IFERROR('Price History'!L3+(INDEX('Price History'!L:L,MATCH(9.99E+307,'Price History'!$A:$A))-'Price History'!L3)*(ROW()-3)/(MATCH(9.99E+307,'Returns (Calc)'!$A:$A)-3),"")</f>
        <v>6.37063291139241</v>
      </c>
      <c r="AH152" s="144" t="n">
        <f aca="false">IFERROR('Price History'!M3+(INDEX('Price History'!M:M,MATCH(9.99E+307,'Price History'!$A:$A))-'Price History'!M3)*(ROW()-3)/(MATCH(9.99E+307,'Returns (Calc)'!$A:$A)-3),"")</f>
        <v>0.873227848101266</v>
      </c>
      <c r="AI152" s="144" t="n">
        <f aca="false">IFERROR('Price History'!N3+(INDEX('Price History'!N:N,MATCH(9.99E+307,'Price History'!$A:$A))-'Price History'!N3)*(ROW()-3)/(MATCH(9.99E+307,'Returns (Calc)'!$A:$A)-3),"")</f>
        <v>1.24177215189873</v>
      </c>
      <c r="AJ152" s="144" t="n">
        <f aca="false">IFERROR('Price History'!O3+(INDEX('Price History'!O:O,MATCH(9.99E+307,'Price History'!$A:$A))-'Price History'!O3)*(ROW()-3)/(MATCH(9.99E+307,'Returns (Calc)'!$A:$A)-3),"")</f>
        <v>3.28272151898734</v>
      </c>
      <c r="AK152" s="144" t="n">
        <f aca="false">IFERROR('Price History'!Q3+(INDEX('Price History'!Q:Q,MATCH(9.99E+307,'Price History'!$A:$A))-'Price History'!Q3)*(ROW()-3)/(MATCH(9.99E+307,'Returns (Calc)'!$A:$A)-3),"")</f>
        <v>13.4219620253164</v>
      </c>
      <c r="AL152" s="144" t="n">
        <f aca="false">IFERROR('Price History'!R3+(INDEX('Price History'!R:R,MATCH(9.99E+307,'Price History'!$A:$A))-'Price History'!R3)*(ROW()-3)/(MATCH(9.99E+307,'Returns (Calc)'!$A:$A)-3),"")</f>
        <v>2.72392405063291</v>
      </c>
      <c r="AM152" s="144" t="n">
        <f aca="false">IFERROR('Price History'!S3+(INDEX('Price History'!S:S,MATCH(9.99E+307,'Price History'!$A:$A))-'Price History'!S3)*(ROW()-3)/(MATCH(9.99E+307,'Returns (Calc)'!$A:$A)-3),"")</f>
        <v>3.33455696202532</v>
      </c>
      <c r="AN152" s="144" t="n">
        <f aca="false">IFERROR('Price History'!T3+(INDEX('Price History'!T:T,MATCH(9.99E+307,'Price History'!$A:$A))-'Price History'!T3)*(ROW()-3)/(MATCH(9.99E+307,'Returns (Calc)'!$A:$A)-3),"")</f>
        <v>1.53284810126582</v>
      </c>
      <c r="AO152" s="145" t="n">
        <f aca="false">IFERROR('Price History'!V3+(INDEX('Price History'!V:V,MATCH(9.99E+307,'Price History'!$A:$A))-'Price History'!V3)*(ROW()-3)/(MATCH(9.99E+307,'Returns (Calc)'!$A:$A)-3),"")</f>
        <v>0</v>
      </c>
    </row>
    <row r="153" customFormat="false" ht="15" hidden="false" customHeight="true" outlineLevel="0" collapsed="false">
      <c r="A153" s="141" t="n">
        <f aca="false">IF('Price History'!A154="","",'Price History'!A154)</f>
        <v>46241</v>
      </c>
      <c r="B153" s="142" t="n">
        <f aca="false">IFERROR(IF(OR(NOT(ISNUMBER('Price History'!B154)),NOT(ISNUMBER('Price History'!B153)),'Price History'!B153=0),"",'Price History'!B154/'Price History'!B153-1),"")</f>
        <v>0.0591030709636196</v>
      </c>
      <c r="C153" s="142" t="n">
        <f aca="false">IFERROR(IF(OR(NOT(ISNUMBER('Price History'!C154)),NOT(ISNUMBER('Price History'!C153)),'Price History'!C153=0),"",'Price History'!C154/'Price History'!C153-1),"")</f>
        <v>0.046132520099806</v>
      </c>
      <c r="D153" s="142" t="n">
        <f aca="false">IFERROR(IF(OR(NOT(ISNUMBER('Price History'!D154)),NOT(ISNUMBER('Price History'!D153)),'Price History'!D153=0),"",'Price History'!D154/'Price History'!D153-1),"")</f>
        <v>0.0687476979742174</v>
      </c>
      <c r="E153" s="142" t="n">
        <f aca="false">IFERROR(IF(OR(NOT(ISNUMBER('Price History'!E154)),NOT(ISNUMBER('Price History'!E153)),'Price History'!E153=0),"",'Price History'!E154/'Price History'!E153-1),"")</f>
        <v>0.0988496281236329</v>
      </c>
      <c r="F153" s="142" t="n">
        <f aca="false">IFERROR(IF(OR(NOT(ISNUMBER('Price History'!F154)),NOT(ISNUMBER('Price History'!F153)),'Price History'!F153=0),"",'Price History'!F154/'Price History'!F153-1),"")</f>
        <v>0.0128133258588932</v>
      </c>
      <c r="G153" s="142" t="n">
        <f aca="false">IFERROR(IF(OR(NOT(ISNUMBER('Price History'!G154)),NOT(ISNUMBER('Price History'!G153)),'Price History'!G153=0),"",'Price History'!G154/'Price History'!G153-1),"")</f>
        <v>0.123441265849314</v>
      </c>
      <c r="H153" s="142" t="n">
        <f aca="false">IFERROR(IF(OR(NOT(ISNUMBER('Price History'!H154)),NOT(ISNUMBER('Price History'!H153)),'Price History'!H153=0),"",'Price History'!H154/'Price History'!H153-1),"")</f>
        <v>0.00431546688348261</v>
      </c>
      <c r="I153" s="142" t="n">
        <f aca="false">IFERROR(IF(OR(NOT(ISNUMBER('Price History'!I154)),NOT(ISNUMBER('Price History'!I153)),'Price History'!I153=0),"",'Price History'!I154/'Price History'!I153-1),"")</f>
        <v>0.0836755927933846</v>
      </c>
      <c r="J153" s="142" t="n">
        <f aca="false">IFERROR(IF(OR(NOT(ISNUMBER('Price History'!J154)),NOT(ISNUMBER('Price History'!J153)),'Price History'!J153=0),"",'Price History'!J154/'Price History'!J153-1),"")</f>
        <v>0.066267329258958</v>
      </c>
      <c r="K153" s="142" t="n">
        <f aca="false">IFERROR(IF(OR(NOT(ISNUMBER('Price History'!K154)),NOT(ISNUMBER('Price History'!K153)),'Price History'!K153=0),"",'Price History'!K154/'Price History'!K153-1),"")</f>
        <v>0.115593676756595</v>
      </c>
      <c r="L153" s="142" t="n">
        <f aca="false">IFERROR(IF(OR(NOT(ISNUMBER('Price History'!L154)),NOT(ISNUMBER('Price History'!L153)),'Price History'!L153=0),"",'Price History'!L154/'Price History'!L153-1),"")</f>
        <v>-0.0307381334076811</v>
      </c>
      <c r="M153" s="142" t="n">
        <f aca="false">IFERROR(IF(OR(NOT(ISNUMBER('Price History'!M154)),NOT(ISNUMBER('Price History'!M153)),'Price History'!M153=0),"",'Price History'!M154/'Price History'!M153-1),"")</f>
        <v>0.397773443848529</v>
      </c>
      <c r="N153" s="142" t="n">
        <f aca="false">IFERROR(IF(OR(NOT(ISNUMBER('Price History'!N154)),NOT(ISNUMBER('Price History'!N153)),'Price History'!N153=0),"",'Price History'!N154/'Price History'!N153-1),"")</f>
        <v>0.0126467931345982</v>
      </c>
      <c r="O153" s="142" t="n">
        <f aca="false">IFERROR(IF(OR(NOT(ISNUMBER('Price History'!O154)),NOT(ISNUMBER('Price History'!O153)),'Price History'!O153=0),"",'Price History'!O154/'Price History'!O153-1),"")</f>
        <v>0.0407381615598885</v>
      </c>
      <c r="P153" s="142" t="n">
        <f aca="false">IFERROR(IF(OR(NOT(ISNUMBER('Price History'!P154)),NOT(ISNUMBER('Price History'!P153)),'Price History'!P153=0),"",'Price History'!P154/'Price History'!P153-1),"")</f>
        <v>0.0390654066522806</v>
      </c>
      <c r="Q153" s="142" t="n">
        <f aca="false">IFERROR(IF(OR(NOT(ISNUMBER('Price History'!Q154)),NOT(ISNUMBER('Price History'!Q153)),'Price History'!Q153=0),"",'Price History'!Q154/'Price History'!Q153-1),"")</f>
        <v>-0.00990559584074435</v>
      </c>
      <c r="R153" s="142" t="n">
        <f aca="false">IFERROR(IF(OR(NOT(ISNUMBER('Price History'!R154)),NOT(ISNUMBER('Price History'!R153)),'Price History'!R153=0),"",'Price History'!R154/'Price History'!R153-1),"")</f>
        <v>-0.000504880511612238</v>
      </c>
      <c r="S153" s="142" t="n">
        <f aca="false">IFERROR(IF(OR(NOT(ISNUMBER('Price History'!S154)),NOT(ISNUMBER('Price History'!S153)),'Price History'!S153=0),"",'Price History'!S154/'Price History'!S153-1),"")</f>
        <v>-0.0218547341115433</v>
      </c>
      <c r="T153" s="142" t="n">
        <f aca="false">IFERROR(IF(OR(NOT(ISNUMBER('Price History'!T154)),NOT(ISNUMBER('Price History'!T153)),'Price History'!T153=0),"",'Price History'!T154/'Price History'!T153-1),"")</f>
        <v>0.0175362632604461</v>
      </c>
      <c r="U153" s="142" t="str">
        <f aca="false">IFERROR(IF(OR(NOT(ISNUMBER('Price History'!U154)),NOT(ISNUMBER('Price History'!U153)),'Price History'!U153=0),"",'Price History'!U154/'Price History'!U153-1),"")</f>
        <v/>
      </c>
      <c r="V153" s="143" t="str">
        <f aca="false">IFERROR(IF(OR(NOT(ISNUMBER('Price History'!V154)),NOT(ISNUMBER('Price History'!V153)),'Price History'!V153=0),"",'Price History'!V154/'Price History'!V153-1),"")</f>
        <v/>
      </c>
      <c r="W153" s="144" t="str">
        <f aca="false">IFERROR('Price History'!B3+(INDEX('Price History'!B:B,MATCH(9.99E+307,'Price History'!$A:$A))-'Price History'!B3)*(ROW()-3)/(MATCH(9.99E+307,'Returns (Calc)'!$A:$A)-3),"")</f>
        <v/>
      </c>
      <c r="X153" s="144" t="n">
        <f aca="false">IFERROR('Price History'!C3+(INDEX('Price History'!C:C,MATCH(9.99E+307,'Price History'!$A:$A))-'Price History'!C3)*(ROW()-3)/(MATCH(9.99E+307,'Returns (Calc)'!$A:$A)-3),"")</f>
        <v>2.33822784810127</v>
      </c>
      <c r="Y153" s="144" t="n">
        <f aca="false">IFERROR('Price History'!D3+(INDEX('Price History'!D:D,MATCH(9.99E+307,'Price History'!$A:$A))-'Price History'!D3)*(ROW()-3)/(MATCH(9.99E+307,'Returns (Calc)'!$A:$A)-3),"")</f>
        <v>29.4688607594936</v>
      </c>
      <c r="Z153" s="144" t="n">
        <f aca="false">IFERROR('Price History'!E3+(INDEX('Price History'!E:E,MATCH(9.99E+307,'Price History'!$A:$A))-'Price History'!E3)*(ROW()-3)/(MATCH(9.99E+307,'Returns (Calc)'!$A:$A)-3),"")</f>
        <v>4.15189873417721</v>
      </c>
      <c r="AA153" s="144" t="n">
        <f aca="false">IFERROR('Price History'!F3+(INDEX('Price History'!F:F,MATCH(9.99E+307,'Price History'!$A:$A))-'Price History'!F3)*(ROW()-3)/(MATCH(9.99E+307,'Returns (Calc)'!$A:$A)-3),"")</f>
        <v>3.81316455696202</v>
      </c>
      <c r="AB153" s="144" t="n">
        <f aca="false">IFERROR('Price History'!G3+(INDEX('Price History'!G:G,MATCH(9.99E+307,'Price History'!$A:$A))-'Price History'!G3)*(ROW()-3)/(MATCH(9.99E+307,'Returns (Calc)'!$A:$A)-3),"")</f>
        <v>2.09417721518987</v>
      </c>
      <c r="AC153" s="144" t="n">
        <f aca="false">IFERROR('Price History'!H3+(INDEX('Price History'!H:H,MATCH(9.99E+307,'Price History'!$A:$A))-'Price History'!H3)*(ROW()-3)/(MATCH(9.99E+307,'Returns (Calc)'!$A:$A)-3),"")</f>
        <v>5.09316455696202</v>
      </c>
      <c r="AD153" s="144" t="n">
        <f aca="false">IFERROR('Price History'!I3+(INDEX('Price History'!I:I,MATCH(9.99E+307,'Price History'!$A:$A))-'Price History'!I3)*(ROW()-3)/(MATCH(9.99E+307,'Returns (Calc)'!$A:$A)-3),"")</f>
        <v>2.24556962025316</v>
      </c>
      <c r="AE153" s="144" t="n">
        <f aca="false">IFERROR('Price History'!J3+(INDEX('Price History'!J:J,MATCH(9.99E+307,'Price History'!$A:$A))-'Price History'!J3)*(ROW()-3)/(MATCH(9.99E+307,'Returns (Calc)'!$A:$A)-3),"")</f>
        <v>3.49924050632912</v>
      </c>
      <c r="AF153" s="144" t="n">
        <f aca="false">IFERROR('Price History'!K3+(INDEX('Price History'!K:K,MATCH(9.99E+307,'Price History'!$A:$A))-'Price History'!K3)*(ROW()-3)/(MATCH(9.99E+307,'Returns (Calc)'!$A:$A)-3),"")</f>
        <v>2.21620253164556</v>
      </c>
      <c r="AG153" s="144" t="n">
        <f aca="false">IFERROR('Price History'!L3+(INDEX('Price History'!L:L,MATCH(9.99E+307,'Price History'!$A:$A))-'Price History'!L3)*(ROW()-3)/(MATCH(9.99E+307,'Returns (Calc)'!$A:$A)-3),"")</f>
        <v>5.66278481012658</v>
      </c>
      <c r="AH153" s="144" t="n">
        <f aca="false">IFERROR('Price History'!M3+(INDEX('Price History'!M:M,MATCH(9.99E+307,'Price History'!$A:$A))-'Price History'!M3)*(ROW()-3)/(MATCH(9.99E+307,'Returns (Calc)'!$A:$A)-3),"")</f>
        <v>0.77620253164557</v>
      </c>
      <c r="AI153" s="144" t="n">
        <f aca="false">IFERROR('Price History'!N3+(INDEX('Price History'!N:N,MATCH(9.99E+307,'Price History'!$A:$A))-'Price History'!N3)*(ROW()-3)/(MATCH(9.99E+307,'Returns (Calc)'!$A:$A)-3),"")</f>
        <v>1.10379746835443</v>
      </c>
      <c r="AJ153" s="144" t="n">
        <f aca="false">IFERROR('Price History'!O3+(INDEX('Price History'!O:O,MATCH(9.99E+307,'Price History'!$A:$A))-'Price History'!O3)*(ROW()-3)/(MATCH(9.99E+307,'Returns (Calc)'!$A:$A)-3),"")</f>
        <v>2.91797468354431</v>
      </c>
      <c r="AK153" s="144" t="n">
        <f aca="false">IFERROR('Price History'!Q3+(INDEX('Price History'!Q:Q,MATCH(9.99E+307,'Price History'!$A:$A))-'Price History'!Q3)*(ROW()-3)/(MATCH(9.99E+307,'Returns (Calc)'!$A:$A)-3),"")</f>
        <v>11.9306329113924</v>
      </c>
      <c r="AL153" s="144" t="n">
        <f aca="false">IFERROR('Price History'!R3+(INDEX('Price History'!R:R,MATCH(9.99E+307,'Price History'!$A:$A))-'Price History'!R3)*(ROW()-3)/(MATCH(9.99E+307,'Returns (Calc)'!$A:$A)-3),"")</f>
        <v>2.42126582278481</v>
      </c>
      <c r="AM153" s="144" t="n">
        <f aca="false">IFERROR('Price History'!S3+(INDEX('Price History'!S:S,MATCH(9.99E+307,'Price History'!$A:$A))-'Price History'!S3)*(ROW()-3)/(MATCH(9.99E+307,'Returns (Calc)'!$A:$A)-3),"")</f>
        <v>2.96405063291139</v>
      </c>
      <c r="AN153" s="144" t="n">
        <f aca="false">IFERROR('Price History'!T3+(INDEX('Price History'!T:T,MATCH(9.99E+307,'Price History'!$A:$A))-'Price History'!T3)*(ROW()-3)/(MATCH(9.99E+307,'Returns (Calc)'!$A:$A)-3),"")</f>
        <v>1.36253164556962</v>
      </c>
      <c r="AO153" s="145" t="n">
        <f aca="false">IFERROR('Price History'!V3+(INDEX('Price History'!V:V,MATCH(9.99E+307,'Price History'!$A:$A))-'Price History'!V3)*(ROW()-3)/(MATCH(9.99E+307,'Returns (Calc)'!$A:$A)-3),"")</f>
        <v>0</v>
      </c>
    </row>
    <row r="154" customFormat="false" ht="15" hidden="false" customHeight="true" outlineLevel="0" collapsed="false">
      <c r="A154" s="141" t="n">
        <f aca="false">IF('Price History'!A155="","",'Price History'!A155)</f>
        <v>46248</v>
      </c>
      <c r="B154" s="142" t="n">
        <f aca="false">IFERROR(IF(OR(NOT(ISNUMBER('Price History'!B155)),NOT(ISNUMBER('Price History'!B154)),'Price History'!B154=0),"",'Price History'!B155/'Price History'!B154-1),"")</f>
        <v>-0.00448701029372944</v>
      </c>
      <c r="C154" s="142" t="n">
        <f aca="false">IFERROR(IF(OR(NOT(ISNUMBER('Price History'!C155)),NOT(ISNUMBER('Price History'!C154)),'Price History'!C154=0),"",'Price History'!C155/'Price History'!C154-1),"")</f>
        <v>0.0537976360841681</v>
      </c>
      <c r="D154" s="142" t="n">
        <f aca="false">IFERROR(IF(OR(NOT(ISNUMBER('Price History'!D155)),NOT(ISNUMBER('Price History'!D154)),'Price History'!D154=0),"",'Price History'!D155/'Price History'!D154-1),"")</f>
        <v>0.059213436033521</v>
      </c>
      <c r="E154" s="142" t="n">
        <f aca="false">IFERROR(IF(OR(NOT(ISNUMBER('Price History'!E155)),NOT(ISNUMBER('Price History'!E154)),'Price History'!E154=0),"",'Price History'!E155/'Price History'!E154-1),"")</f>
        <v>-0.0812684434868145</v>
      </c>
      <c r="F154" s="142" t="n">
        <f aca="false">IFERROR(IF(OR(NOT(ISNUMBER('Price History'!F155)),NOT(ISNUMBER('Price History'!F154)),'Price History'!F154=0),"",'Price History'!F155/'Price History'!F154-1),"")</f>
        <v>0.0145489048786274</v>
      </c>
      <c r="G154" s="142" t="n">
        <f aca="false">IFERROR(IF(OR(NOT(ISNUMBER('Price History'!G155)),NOT(ISNUMBER('Price History'!G154)),'Price History'!G154=0),"",'Price History'!G155/'Price History'!G154-1),"")</f>
        <v>0.0117992724559277</v>
      </c>
      <c r="H154" s="142" t="n">
        <f aca="false">IFERROR(IF(OR(NOT(ISNUMBER('Price History'!H155)),NOT(ISNUMBER('Price History'!H154)),'Price History'!H154=0),"",'Price History'!H155/'Price History'!H154-1),"")</f>
        <v>0.0222319093286836</v>
      </c>
      <c r="I154" s="142" t="n">
        <f aca="false">IFERROR(IF(OR(NOT(ISNUMBER('Price History'!I155)),NOT(ISNUMBER('Price History'!I154)),'Price History'!I154=0),"",'Price History'!I155/'Price History'!I154-1),"")</f>
        <v>0.028298549699328</v>
      </c>
      <c r="J154" s="142" t="n">
        <f aca="false">IFERROR(IF(OR(NOT(ISNUMBER('Price History'!J155)),NOT(ISNUMBER('Price History'!J154)),'Price History'!J154=0),"",'Price History'!J155/'Price History'!J154-1),"")</f>
        <v>0.107216518340417</v>
      </c>
      <c r="K154" s="142" t="n">
        <f aca="false">IFERROR(IF(OR(NOT(ISNUMBER('Price History'!K155)),NOT(ISNUMBER('Price History'!K154)),'Price History'!K154=0),"",'Price History'!K155/'Price History'!K154-1),"")</f>
        <v>0.00536408743462524</v>
      </c>
      <c r="L154" s="142" t="n">
        <f aca="false">IFERROR(IF(OR(NOT(ISNUMBER('Price History'!L155)),NOT(ISNUMBER('Price History'!L154)),'Price History'!L154=0),"",'Price History'!L155/'Price History'!L154-1),"")</f>
        <v>0.00618438084280149</v>
      </c>
      <c r="M154" s="142" t="n">
        <f aca="false">IFERROR(IF(OR(NOT(ISNUMBER('Price History'!M155)),NOT(ISNUMBER('Price History'!M154)),'Price History'!M154=0),"",'Price History'!M155/'Price History'!M154-1),"")</f>
        <v>0.0118016394395675</v>
      </c>
      <c r="N154" s="142" t="n">
        <f aca="false">IFERROR(IF(OR(NOT(ISNUMBER('Price History'!N155)),NOT(ISNUMBER('Price History'!N154)),'Price History'!N154=0),"",'Price History'!N155/'Price History'!N154-1),"")</f>
        <v>0.0184359203092477</v>
      </c>
      <c r="O154" s="142" t="n">
        <f aca="false">IFERROR(IF(OR(NOT(ISNUMBER('Price History'!O155)),NOT(ISNUMBER('Price History'!O154)),'Price History'!O154=0),"",'Price History'!O155/'Price History'!O154-1),"")</f>
        <v>0.0241552358648378</v>
      </c>
      <c r="P154" s="142" t="n">
        <f aca="false">IFERROR(IF(OR(NOT(ISNUMBER('Price History'!P155)),NOT(ISNUMBER('Price History'!P154)),'Price History'!P154=0),"",'Price History'!P155/'Price History'!P154-1),"")</f>
        <v>0.0150147999618064</v>
      </c>
      <c r="Q154" s="142" t="n">
        <f aca="false">IFERROR(IF(OR(NOT(ISNUMBER('Price History'!Q155)),NOT(ISNUMBER('Price History'!Q154)),'Price History'!Q154=0),"",'Price History'!Q155/'Price History'!Q154-1),"")</f>
        <v>0.0064118508691926</v>
      </c>
      <c r="R154" s="142" t="n">
        <f aca="false">IFERROR(IF(OR(NOT(ISNUMBER('Price History'!R155)),NOT(ISNUMBER('Price History'!R154)),'Price History'!R154=0),"",'Price History'!R155/'Price History'!R154-1),"")</f>
        <v>0.0188583936689677</v>
      </c>
      <c r="S154" s="142" t="n">
        <f aca="false">IFERROR(IF(OR(NOT(ISNUMBER('Price History'!S155)),NOT(ISNUMBER('Price History'!S154)),'Price History'!S154=0),"",'Price History'!S155/'Price History'!S154-1),"")</f>
        <v>0.0193595438573226</v>
      </c>
      <c r="T154" s="142" t="n">
        <f aca="false">IFERROR(IF(OR(NOT(ISNUMBER('Price History'!T155)),NOT(ISNUMBER('Price History'!T154)),'Price History'!T154=0),"",'Price History'!T155/'Price History'!T154-1),"")</f>
        <v>0.00829787234042545</v>
      </c>
      <c r="U154" s="142" t="str">
        <f aca="false">IFERROR(IF(OR(NOT(ISNUMBER('Price History'!U155)),NOT(ISNUMBER('Price History'!U154)),'Price History'!U154=0),"",'Price History'!U155/'Price History'!U154-1),"")</f>
        <v/>
      </c>
      <c r="V154" s="143" t="str">
        <f aca="false">IFERROR(IF(OR(NOT(ISNUMBER('Price History'!V155)),NOT(ISNUMBER('Price History'!V154)),'Price History'!V154=0),"",'Price History'!V155/'Price History'!V154-1),"")</f>
        <v/>
      </c>
      <c r="W154" s="144" t="str">
        <f aca="false">IFERROR('Price History'!B3+(INDEX('Price History'!B:B,MATCH(9.99E+307,'Price History'!$A:$A))-'Price History'!B3)*(ROW()-3)/(MATCH(9.99E+307,'Returns (Calc)'!$A:$A)-3),"")</f>
        <v/>
      </c>
      <c r="X154" s="144" t="n">
        <f aca="false">IFERROR('Price History'!C3+(INDEX('Price History'!C:C,MATCH(9.99E+307,'Price History'!$A:$A))-'Price History'!C3)*(ROW()-3)/(MATCH(9.99E+307,'Returns (Calc)'!$A:$A)-3),"")</f>
        <v>2.0459493670886</v>
      </c>
      <c r="Y154" s="144" t="n">
        <f aca="false">IFERROR('Price History'!D3+(INDEX('Price History'!D:D,MATCH(9.99E+307,'Price History'!$A:$A))-'Price History'!D3)*(ROW()-3)/(MATCH(9.99E+307,'Returns (Calc)'!$A:$A)-3),"")</f>
        <v>25.7852531645569</v>
      </c>
      <c r="Z154" s="144" t="n">
        <f aca="false">IFERROR('Price History'!E3+(INDEX('Price History'!E:E,MATCH(9.99E+307,'Price History'!$A:$A))-'Price History'!E3)*(ROW()-3)/(MATCH(9.99E+307,'Returns (Calc)'!$A:$A)-3),"")</f>
        <v>3.63291139240506</v>
      </c>
      <c r="AA154" s="144" t="n">
        <f aca="false">IFERROR('Price History'!F3+(INDEX('Price History'!F:F,MATCH(9.99E+307,'Price History'!$A:$A))-'Price History'!F3)*(ROW()-3)/(MATCH(9.99E+307,'Returns (Calc)'!$A:$A)-3),"")</f>
        <v>3.33651898734178</v>
      </c>
      <c r="AB154" s="144" t="n">
        <f aca="false">IFERROR('Price History'!G3+(INDEX('Price History'!G:G,MATCH(9.99E+307,'Price History'!$A:$A))-'Price History'!G3)*(ROW()-3)/(MATCH(9.99E+307,'Returns (Calc)'!$A:$A)-3),"")</f>
        <v>1.83240506329114</v>
      </c>
      <c r="AC154" s="144" t="n">
        <f aca="false">IFERROR('Price History'!H3+(INDEX('Price History'!H:H,MATCH(9.99E+307,'Price History'!$A:$A))-'Price History'!H3)*(ROW()-3)/(MATCH(9.99E+307,'Returns (Calc)'!$A:$A)-3),"")</f>
        <v>4.45651898734178</v>
      </c>
      <c r="AD154" s="144" t="n">
        <f aca="false">IFERROR('Price History'!I3+(INDEX('Price History'!I:I,MATCH(9.99E+307,'Price History'!$A:$A))-'Price History'!I3)*(ROW()-3)/(MATCH(9.99E+307,'Returns (Calc)'!$A:$A)-3),"")</f>
        <v>1.96487341772152</v>
      </c>
      <c r="AE154" s="144" t="n">
        <f aca="false">IFERROR('Price History'!J3+(INDEX('Price History'!J:J,MATCH(9.99E+307,'Price History'!$A:$A))-'Price History'!J3)*(ROW()-3)/(MATCH(9.99E+307,'Returns (Calc)'!$A:$A)-3),"")</f>
        <v>3.06183544303796</v>
      </c>
      <c r="AF154" s="144" t="n">
        <f aca="false">IFERROR('Price History'!K3+(INDEX('Price History'!K:K,MATCH(9.99E+307,'Price History'!$A:$A))-'Price History'!K3)*(ROW()-3)/(MATCH(9.99E+307,'Returns (Calc)'!$A:$A)-3),"")</f>
        <v>1.93917721518987</v>
      </c>
      <c r="AG154" s="144" t="n">
        <f aca="false">IFERROR('Price History'!L3+(INDEX('Price History'!L:L,MATCH(9.99E+307,'Price History'!$A:$A))-'Price History'!L3)*(ROW()-3)/(MATCH(9.99E+307,'Returns (Calc)'!$A:$A)-3),"")</f>
        <v>4.95493670886076</v>
      </c>
      <c r="AH154" s="144" t="n">
        <f aca="false">IFERROR('Price History'!M3+(INDEX('Price History'!M:M,MATCH(9.99E+307,'Price History'!$A:$A))-'Price History'!M3)*(ROW()-3)/(MATCH(9.99E+307,'Returns (Calc)'!$A:$A)-3),"")</f>
        <v>0.679177215189874</v>
      </c>
      <c r="AI154" s="144" t="n">
        <f aca="false">IFERROR('Price History'!N3+(INDEX('Price History'!N:N,MATCH(9.99E+307,'Price History'!$A:$A))-'Price History'!N3)*(ROW()-3)/(MATCH(9.99E+307,'Returns (Calc)'!$A:$A)-3),"")</f>
        <v>0.965822784810126</v>
      </c>
      <c r="AJ154" s="144" t="n">
        <f aca="false">IFERROR('Price History'!O3+(INDEX('Price History'!O:O,MATCH(9.99E+307,'Price History'!$A:$A))-'Price History'!O3)*(ROW()-3)/(MATCH(9.99E+307,'Returns (Calc)'!$A:$A)-3),"")</f>
        <v>2.55322784810127</v>
      </c>
      <c r="AK154" s="144" t="n">
        <f aca="false">IFERROR('Price History'!Q3+(INDEX('Price History'!Q:Q,MATCH(9.99E+307,'Price History'!$A:$A))-'Price History'!Q3)*(ROW()-3)/(MATCH(9.99E+307,'Returns (Calc)'!$A:$A)-3),"")</f>
        <v>10.4393037974684</v>
      </c>
      <c r="AL154" s="144" t="n">
        <f aca="false">IFERROR('Price History'!R3+(INDEX('Price History'!R:R,MATCH(9.99E+307,'Price History'!$A:$A))-'Price History'!R3)*(ROW()-3)/(MATCH(9.99E+307,'Returns (Calc)'!$A:$A)-3),"")</f>
        <v>2.11860759493671</v>
      </c>
      <c r="AM154" s="144" t="n">
        <f aca="false">IFERROR('Price History'!S3+(INDEX('Price History'!S:S,MATCH(9.99E+307,'Price History'!$A:$A))-'Price History'!S3)*(ROW()-3)/(MATCH(9.99E+307,'Returns (Calc)'!$A:$A)-3),"")</f>
        <v>2.59354430379747</v>
      </c>
      <c r="AN154" s="144" t="n">
        <f aca="false">IFERROR('Price History'!T3+(INDEX('Price History'!T:T,MATCH(9.99E+307,'Price History'!$A:$A))-'Price History'!T3)*(ROW()-3)/(MATCH(9.99E+307,'Returns (Calc)'!$A:$A)-3),"")</f>
        <v>1.19221518987342</v>
      </c>
      <c r="AO154" s="145" t="n">
        <f aca="false">IFERROR('Price History'!V3+(INDEX('Price History'!V:V,MATCH(9.99E+307,'Price History'!$A:$A))-'Price History'!V3)*(ROW()-3)/(MATCH(9.99E+307,'Returns (Calc)'!$A:$A)-3),"")</f>
        <v>0</v>
      </c>
    </row>
    <row r="155" customFormat="false" ht="15" hidden="false" customHeight="true" outlineLevel="0" collapsed="false">
      <c r="A155" s="141" t="n">
        <f aca="false">IF('Price History'!A156="","",'Price History'!A156)</f>
        <v>46255</v>
      </c>
      <c r="B155" s="142" t="n">
        <f aca="false">IFERROR(IF(OR(NOT(ISNUMBER('Price History'!B156)),NOT(ISNUMBER('Price History'!B155)),'Price History'!B155=0),"",'Price History'!B156/'Price History'!B155-1),"")</f>
        <v>0.0427240360578745</v>
      </c>
      <c r="C155" s="142" t="n">
        <f aca="false">IFERROR(IF(OR(NOT(ISNUMBER('Price History'!C156)),NOT(ISNUMBER('Price History'!C155)),'Price History'!C155=0),"",'Price History'!C156/'Price History'!C155-1),"")</f>
        <v>-0.0511517955940045</v>
      </c>
      <c r="D155" s="142" t="n">
        <f aca="false">IFERROR(IF(OR(NOT(ISNUMBER('Price History'!D156)),NOT(ISNUMBER('Price History'!D155)),'Price History'!D155=0),"",'Price History'!D156/'Price History'!D155-1),"")</f>
        <v>-0.0435555941173919</v>
      </c>
      <c r="E155" s="142" t="n">
        <f aca="false">IFERROR(IF(OR(NOT(ISNUMBER('Price History'!E156)),NOT(ISNUMBER('Price History'!E155)),'Price History'!E155=0),"",'Price History'!E156/'Price History'!E155-1),"")</f>
        <v>-0.0624553890078515</v>
      </c>
      <c r="F155" s="142" t="n">
        <f aca="false">IFERROR(IF(OR(NOT(ISNUMBER('Price History'!F156)),NOT(ISNUMBER('Price History'!F155)),'Price History'!F155=0),"",'Price History'!F156/'Price History'!F155-1),"")</f>
        <v>-0.0176915283298261</v>
      </c>
      <c r="G155" s="142" t="n">
        <f aca="false">IFERROR(IF(OR(NOT(ISNUMBER('Price History'!G156)),NOT(ISNUMBER('Price History'!G155)),'Price History'!G155=0),"",'Price History'!G156/'Price History'!G155-1),"")</f>
        <v>-0.115233924867481</v>
      </c>
      <c r="H155" s="142" t="n">
        <f aca="false">IFERROR(IF(OR(NOT(ISNUMBER('Price History'!H156)),NOT(ISNUMBER('Price History'!H155)),'Price History'!H155=0),"",'Price History'!H156/'Price History'!H155-1),"")</f>
        <v>-0.00852878464818763</v>
      </c>
      <c r="I155" s="142" t="n">
        <f aca="false">IFERROR(IF(OR(NOT(ISNUMBER('Price History'!I156)),NOT(ISNUMBER('Price History'!I155)),'Price History'!I155=0),"",'Price History'!I156/'Price History'!I155-1),"")</f>
        <v>-0.095827804806133</v>
      </c>
      <c r="J155" s="142" t="n">
        <f aca="false">IFERROR(IF(OR(NOT(ISNUMBER('Price History'!J156)),NOT(ISNUMBER('Price History'!J155)),'Price History'!J155=0),"",'Price History'!J156/'Price History'!J155-1),"")</f>
        <v>-0.00502233291480558</v>
      </c>
      <c r="K155" s="142" t="n">
        <f aca="false">IFERROR(IF(OR(NOT(ISNUMBER('Price History'!K156)),NOT(ISNUMBER('Price History'!K155)),'Price History'!K155=0),"",'Price History'!K156/'Price History'!K155-1),"")</f>
        <v>-0.0463741051976346</v>
      </c>
      <c r="L155" s="142" t="n">
        <f aca="false">IFERROR(IF(OR(NOT(ISNUMBER('Price History'!L156)),NOT(ISNUMBER('Price History'!L155)),'Price History'!L155=0),"",'Price History'!L156/'Price History'!L155-1),"")</f>
        <v>0.00543167524299615</v>
      </c>
      <c r="M155" s="142" t="n">
        <f aca="false">IFERROR(IF(OR(NOT(ISNUMBER('Price History'!M156)),NOT(ISNUMBER('Price History'!M155)),'Price History'!M155=0),"",'Price History'!M156/'Price History'!M155-1),"")</f>
        <v>0.0339002528154448</v>
      </c>
      <c r="N155" s="142" t="n">
        <f aca="false">IFERROR(IF(OR(NOT(ISNUMBER('Price History'!N156)),NOT(ISNUMBER('Price History'!N155)),'Price History'!N155=0),"",'Price History'!N156/'Price History'!N155-1),"")</f>
        <v>0.016934306569343</v>
      </c>
      <c r="O155" s="142" t="n">
        <f aca="false">IFERROR(IF(OR(NOT(ISNUMBER('Price History'!O156)),NOT(ISNUMBER('Price History'!O155)),'Price History'!O155=0),"",'Price History'!O156/'Price History'!O155-1),"")</f>
        <v>-0.0298575721939108</v>
      </c>
      <c r="P155" s="142" t="n">
        <f aca="false">IFERROR(IF(OR(NOT(ISNUMBER('Price History'!P156)),NOT(ISNUMBER('Price History'!P155)),'Price History'!P155=0),"",'Price History'!P156/'Price History'!P155-1),"")</f>
        <v>-0.0173561299122786</v>
      </c>
      <c r="Q155" s="142" t="n">
        <f aca="false">IFERROR(IF(OR(NOT(ISNUMBER('Price History'!Q156)),NOT(ISNUMBER('Price History'!Q155)),'Price History'!Q155=0),"",'Price History'!Q156/'Price History'!Q155-1),"")</f>
        <v>0.0189207744061515</v>
      </c>
      <c r="R155" s="142" t="n">
        <f aca="false">IFERROR(IF(OR(NOT(ISNUMBER('Price History'!R156)),NOT(ISNUMBER('Price History'!R155)),'Price History'!R155=0),"",'Price History'!R156/'Price History'!R155-1),"")</f>
        <v>-0.0330523880350355</v>
      </c>
      <c r="S155" s="142" t="n">
        <f aca="false">IFERROR(IF(OR(NOT(ISNUMBER('Price History'!S156)),NOT(ISNUMBER('Price History'!S155)),'Price History'!S155=0),"",'Price History'!S156/'Price History'!S155-1),"")</f>
        <v>-0.0641300813008131</v>
      </c>
      <c r="T155" s="142" t="n">
        <f aca="false">IFERROR(IF(OR(NOT(ISNUMBER('Price History'!T156)),NOT(ISNUMBER('Price History'!T155)),'Price History'!T155=0),"",'Price History'!T156/'Price History'!T155-1),"")</f>
        <v>0.0086516142646127</v>
      </c>
      <c r="U155" s="142" t="str">
        <f aca="false">IFERROR(IF(OR(NOT(ISNUMBER('Price History'!U156)),NOT(ISNUMBER('Price History'!U155)),'Price History'!U155=0),"",'Price History'!U156/'Price History'!U155-1),"")</f>
        <v/>
      </c>
      <c r="V155" s="143" t="n">
        <f aca="false">IFERROR(IF(OR(NOT(ISNUMBER('Price History'!V156)),NOT(ISNUMBER('Price History'!V155)),'Price History'!V155=0),"",'Price History'!V156/'Price History'!V155-1),"")</f>
        <v>0.0275034451079468</v>
      </c>
      <c r="W155" s="144" t="str">
        <f aca="false">IFERROR('Price History'!B3+(INDEX('Price History'!B:B,MATCH(9.99E+307,'Price History'!$A:$A))-'Price History'!B3)*(ROW()-3)/(MATCH(9.99E+307,'Returns (Calc)'!$A:$A)-3),"")</f>
        <v/>
      </c>
      <c r="X155" s="144" t="n">
        <f aca="false">IFERROR('Price History'!C3+(INDEX('Price History'!C:C,MATCH(9.99E+307,'Price History'!$A:$A))-'Price History'!C3)*(ROW()-3)/(MATCH(9.99E+307,'Returns (Calc)'!$A:$A)-3),"")</f>
        <v>1.75367088607595</v>
      </c>
      <c r="Y155" s="144" t="n">
        <f aca="false">IFERROR('Price History'!D3+(INDEX('Price History'!D:D,MATCH(9.99E+307,'Price History'!$A:$A))-'Price History'!D3)*(ROW()-3)/(MATCH(9.99E+307,'Returns (Calc)'!$A:$A)-3),"")</f>
        <v>22.1016455696202</v>
      </c>
      <c r="Z155" s="144" t="n">
        <f aca="false">IFERROR('Price History'!E3+(INDEX('Price History'!E:E,MATCH(9.99E+307,'Price History'!$A:$A))-'Price History'!E3)*(ROW()-3)/(MATCH(9.99E+307,'Returns (Calc)'!$A:$A)-3),"")</f>
        <v>3.11392405063292</v>
      </c>
      <c r="AA155" s="144" t="n">
        <f aca="false">IFERROR('Price History'!F3+(INDEX('Price History'!F:F,MATCH(9.99E+307,'Price History'!$A:$A))-'Price History'!F3)*(ROW()-3)/(MATCH(9.99E+307,'Returns (Calc)'!$A:$A)-3),"")</f>
        <v>2.85987341772152</v>
      </c>
      <c r="AB155" s="144" t="n">
        <f aca="false">IFERROR('Price History'!G3+(INDEX('Price History'!G:G,MATCH(9.99E+307,'Price History'!$A:$A))-'Price History'!G3)*(ROW()-3)/(MATCH(9.99E+307,'Returns (Calc)'!$A:$A)-3),"")</f>
        <v>1.5706329113924</v>
      </c>
      <c r="AC155" s="144" t="n">
        <f aca="false">IFERROR('Price History'!H3+(INDEX('Price History'!H:H,MATCH(9.99E+307,'Price History'!$A:$A))-'Price History'!H3)*(ROW()-3)/(MATCH(9.99E+307,'Returns (Calc)'!$A:$A)-3),"")</f>
        <v>3.81987341772152</v>
      </c>
      <c r="AD155" s="144" t="n">
        <f aca="false">IFERROR('Price History'!I3+(INDEX('Price History'!I:I,MATCH(9.99E+307,'Price History'!$A:$A))-'Price History'!I3)*(ROW()-3)/(MATCH(9.99E+307,'Returns (Calc)'!$A:$A)-3),"")</f>
        <v>1.68417721518988</v>
      </c>
      <c r="AE155" s="144" t="n">
        <f aca="false">IFERROR('Price History'!J3+(INDEX('Price History'!J:J,MATCH(9.99E+307,'Price History'!$A:$A))-'Price History'!J3)*(ROW()-3)/(MATCH(9.99E+307,'Returns (Calc)'!$A:$A)-3),"")</f>
        <v>2.62443037974684</v>
      </c>
      <c r="AF155" s="144" t="n">
        <f aca="false">IFERROR('Price History'!K3+(INDEX('Price History'!K:K,MATCH(9.99E+307,'Price History'!$A:$A))-'Price History'!K3)*(ROW()-3)/(MATCH(9.99E+307,'Returns (Calc)'!$A:$A)-3),"")</f>
        <v>1.66215189873417</v>
      </c>
      <c r="AG155" s="144" t="n">
        <f aca="false">IFERROR('Price History'!L3+(INDEX('Price History'!L:L,MATCH(9.99E+307,'Price History'!$A:$A))-'Price History'!L3)*(ROW()-3)/(MATCH(9.99E+307,'Returns (Calc)'!$A:$A)-3),"")</f>
        <v>4.24708860759493</v>
      </c>
      <c r="AH155" s="144" t="n">
        <f aca="false">IFERROR('Price History'!M3+(INDEX('Price History'!M:M,MATCH(9.99E+307,'Price History'!$A:$A))-'Price History'!M3)*(ROW()-3)/(MATCH(9.99E+307,'Returns (Calc)'!$A:$A)-3),"")</f>
        <v>0.582151898734178</v>
      </c>
      <c r="AI155" s="144" t="n">
        <f aca="false">IFERROR('Price History'!N3+(INDEX('Price History'!N:N,MATCH(9.99E+307,'Price History'!$A:$A))-'Price History'!N3)*(ROW()-3)/(MATCH(9.99E+307,'Returns (Calc)'!$A:$A)-3),"")</f>
        <v>0.827848101265825</v>
      </c>
      <c r="AJ155" s="144" t="n">
        <f aca="false">IFERROR('Price History'!O3+(INDEX('Price History'!O:O,MATCH(9.99E+307,'Price History'!$A:$A))-'Price History'!O3)*(ROW()-3)/(MATCH(9.99E+307,'Returns (Calc)'!$A:$A)-3),"")</f>
        <v>2.18848101265823</v>
      </c>
      <c r="AK155" s="144" t="n">
        <f aca="false">IFERROR('Price History'!Q3+(INDEX('Price History'!Q:Q,MATCH(9.99E+307,'Price History'!$A:$A))-'Price History'!Q3)*(ROW()-3)/(MATCH(9.99E+307,'Returns (Calc)'!$A:$A)-3),"")</f>
        <v>8.94797468354429</v>
      </c>
      <c r="AL155" s="144" t="n">
        <f aca="false">IFERROR('Price History'!R3+(INDEX('Price History'!R:R,MATCH(9.99E+307,'Price History'!$A:$A))-'Price History'!R3)*(ROW()-3)/(MATCH(9.99E+307,'Returns (Calc)'!$A:$A)-3),"")</f>
        <v>1.81594936708861</v>
      </c>
      <c r="AM155" s="144" t="n">
        <f aca="false">IFERROR('Price History'!S3+(INDEX('Price History'!S:S,MATCH(9.99E+307,'Price History'!$A:$A))-'Price History'!S3)*(ROW()-3)/(MATCH(9.99E+307,'Returns (Calc)'!$A:$A)-3),"")</f>
        <v>2.22303797468354</v>
      </c>
      <c r="AN155" s="144" t="n">
        <f aca="false">IFERROR('Price History'!T3+(INDEX('Price History'!T:T,MATCH(9.99E+307,'Price History'!$A:$A))-'Price History'!T3)*(ROW()-3)/(MATCH(9.99E+307,'Returns (Calc)'!$A:$A)-3),"")</f>
        <v>1.02189873417721</v>
      </c>
      <c r="AO155" s="145" t="n">
        <f aca="false">IFERROR('Price History'!V3+(INDEX('Price History'!V:V,MATCH(9.99E+307,'Price History'!$A:$A))-'Price History'!V3)*(ROW()-3)/(MATCH(9.99E+307,'Returns (Calc)'!$A:$A)-3),"")</f>
        <v>0</v>
      </c>
    </row>
    <row r="156" customFormat="false" ht="15" hidden="false" customHeight="true" outlineLevel="0" collapsed="false">
      <c r="A156" s="141" t="n">
        <f aca="false">IF('Price History'!A157="","",'Price History'!A157)</f>
        <v>46262</v>
      </c>
      <c r="B156" s="142" t="n">
        <f aca="false">IFERROR(IF(OR(NOT(ISNUMBER('Price History'!B157)),NOT(ISNUMBER('Price History'!B156)),'Price History'!B156=0),"",'Price History'!B157/'Price History'!B156-1),"")</f>
        <v>0.0589175444969123</v>
      </c>
      <c r="C156" s="142" t="n">
        <f aca="false">IFERROR(IF(OR(NOT(ISNUMBER('Price History'!C157)),NOT(ISNUMBER('Price History'!C156)),'Price History'!C156=0),"",'Price History'!C157/'Price History'!C156-1),"")</f>
        <v>0.0356745295520806</v>
      </c>
      <c r="D156" s="142" t="n">
        <f aca="false">IFERROR(IF(OR(NOT(ISNUMBER('Price History'!D157)),NOT(ISNUMBER('Price History'!D156)),'Price History'!D156=0),"",'Price History'!D157/'Price History'!D156-1),"")</f>
        <v>-0.0383272100512541</v>
      </c>
      <c r="E156" s="142" t="n">
        <f aca="false">IFERROR(IF(OR(NOT(ISNUMBER('Price History'!E157)),NOT(ISNUMBER('Price History'!E156)),'Price History'!E156=0),"",'Price History'!E157/'Price History'!E156-1),"")</f>
        <v>0.000924465713198153</v>
      </c>
      <c r="F156" s="142" t="n">
        <f aca="false">IFERROR(IF(OR(NOT(ISNUMBER('Price History'!F157)),NOT(ISNUMBER('Price History'!F156)),'Price History'!F156=0),"",'Price History'!F157/'Price History'!F156-1),"")</f>
        <v>-0.00698191050460184</v>
      </c>
      <c r="G156" s="142" t="n">
        <f aca="false">IFERROR(IF(OR(NOT(ISNUMBER('Price History'!G157)),NOT(ISNUMBER('Price History'!G156)),'Price History'!G156=0),"",'Price History'!G157/'Price History'!G156-1),"")</f>
        <v>0.137796301120083</v>
      </c>
      <c r="H156" s="142" t="n">
        <f aca="false">IFERROR(IF(OR(NOT(ISNUMBER('Price History'!H157)),NOT(ISNUMBER('Price History'!H156)),'Price History'!H156=0),"",'Price History'!H157/'Price History'!H156-1),"")</f>
        <v>-0.00178187403993846</v>
      </c>
      <c r="I156" s="142" t="n">
        <f aca="false">IFERROR(IF(OR(NOT(ISNUMBER('Price History'!I157)),NOT(ISNUMBER('Price History'!I156)),'Price History'!I156=0),"",'Price History'!I157/'Price History'!I156-1),"")</f>
        <v>-0.0459264090439698</v>
      </c>
      <c r="J156" s="142" t="n">
        <f aca="false">IFERROR(IF(OR(NOT(ISNUMBER('Price History'!J157)),NOT(ISNUMBER('Price History'!J156)),'Price History'!J156=0),"",'Price History'!J157/'Price History'!J156-1),"")</f>
        <v>-0.0350855416951116</v>
      </c>
      <c r="K156" s="142" t="n">
        <f aca="false">IFERROR(IF(OR(NOT(ISNUMBER('Price History'!K157)),NOT(ISNUMBER('Price History'!K156)),'Price History'!K156=0),"",'Price History'!K157/'Price History'!K156-1),"")</f>
        <v>0.0131947034688549</v>
      </c>
      <c r="L156" s="142" t="n">
        <f aca="false">IFERROR(IF(OR(NOT(ISNUMBER('Price History'!L157)),NOT(ISNUMBER('Price History'!L156)),'Price History'!L156=0),"",'Price History'!L157/'Price History'!L156-1),"")</f>
        <v>-0.00774808075063982</v>
      </c>
      <c r="M156" s="142" t="n">
        <f aca="false">IFERROR(IF(OR(NOT(ISNUMBER('Price History'!M157)),NOT(ISNUMBER('Price History'!M156)),'Price History'!M156=0),"",'Price History'!M157/'Price History'!M156-1),"")</f>
        <v>0.0352895409580971</v>
      </c>
      <c r="N156" s="142" t="n">
        <f aca="false">IFERROR(IF(OR(NOT(ISNUMBER('Price History'!N157)),NOT(ISNUMBER('Price History'!N156)),'Price History'!N156=0),"",'Price History'!N157/'Price History'!N156-1),"")</f>
        <v>-0.00602928509905254</v>
      </c>
      <c r="O156" s="142" t="n">
        <f aca="false">IFERROR(IF(OR(NOT(ISNUMBER('Price History'!O157)),NOT(ISNUMBER('Price History'!O156)),'Price History'!O156=0),"",'Price History'!O157/'Price History'!O156-1),"")</f>
        <v>-0.0131321974543741</v>
      </c>
      <c r="P156" s="142" t="n">
        <f aca="false">IFERROR(IF(OR(NOT(ISNUMBER('Price History'!P157)),NOT(ISNUMBER('Price History'!P156)),'Price History'!P156=0),"",'Price History'!P157/'Price History'!P156-1),"")</f>
        <v>-0.00342244453485874</v>
      </c>
      <c r="Q156" s="142" t="n">
        <f aca="false">IFERROR(IF(OR(NOT(ISNUMBER('Price History'!Q157)),NOT(ISNUMBER('Price History'!Q156)),'Price History'!Q156=0),"",'Price History'!Q157/'Price History'!Q156-1),"")</f>
        <v>0.0284605433376455</v>
      </c>
      <c r="R156" s="142" t="n">
        <f aca="false">IFERROR(IF(OR(NOT(ISNUMBER('Price History'!R157)),NOT(ISNUMBER('Price History'!R156)),'Price History'!R156=0),"",'Price History'!R157/'Price History'!R156-1),"")</f>
        <v>-0.0094001025465732</v>
      </c>
      <c r="S156" s="142" t="n">
        <f aca="false">IFERROR(IF(OR(NOT(ISNUMBER('Price History'!S157)),NOT(ISNUMBER('Price History'!S156)),'Price History'!S156=0),"",'Price History'!S157/'Price History'!S156-1),"")</f>
        <v>0.0182083536034472</v>
      </c>
      <c r="T156" s="142" t="n">
        <f aca="false">IFERROR(IF(OR(NOT(ISNUMBER('Price History'!T157)),NOT(ISNUMBER('Price History'!T156)),'Price History'!T156=0),"",'Price History'!T157/'Price History'!T156-1),"")</f>
        <v>0.00711297071129713</v>
      </c>
      <c r="U156" s="142" t="str">
        <f aca="false">IFERROR(IF(OR(NOT(ISNUMBER('Price History'!U157)),NOT(ISNUMBER('Price History'!U156)),'Price History'!U156=0),"",'Price History'!U157/'Price History'!U156-1),"")</f>
        <v/>
      </c>
      <c r="V156" s="143" t="n">
        <f aca="false">IFERROR(IF(OR(NOT(ISNUMBER('Price History'!V157)),NOT(ISNUMBER('Price History'!V156)),'Price History'!V156=0),"",'Price History'!V157/'Price History'!V156-1),"")</f>
        <v>-0.00787929589270742</v>
      </c>
      <c r="W156" s="144" t="str">
        <f aca="false">IFERROR('Price History'!B3+(INDEX('Price History'!B:B,MATCH(9.99E+307,'Price History'!$A:$A))-'Price History'!B3)*(ROW()-3)/(MATCH(9.99E+307,'Returns (Calc)'!$A:$A)-3),"")</f>
        <v/>
      </c>
      <c r="X156" s="144" t="n">
        <f aca="false">IFERROR('Price History'!C3+(INDEX('Price History'!C:C,MATCH(9.99E+307,'Price History'!$A:$A))-'Price History'!C3)*(ROW()-3)/(MATCH(9.99E+307,'Returns (Calc)'!$A:$A)-3),"")</f>
        <v>1.46139240506329</v>
      </c>
      <c r="Y156" s="144" t="n">
        <f aca="false">IFERROR('Price History'!D3+(INDEX('Price History'!D:D,MATCH(9.99E+307,'Price History'!$A:$A))-'Price History'!D3)*(ROW()-3)/(MATCH(9.99E+307,'Returns (Calc)'!$A:$A)-3),"")</f>
        <v>18.4180379746836</v>
      </c>
      <c r="Z156" s="144" t="n">
        <f aca="false">IFERROR('Price History'!E3+(INDEX('Price History'!E:E,MATCH(9.99E+307,'Price History'!$A:$A))-'Price History'!E3)*(ROW()-3)/(MATCH(9.99E+307,'Returns (Calc)'!$A:$A)-3),"")</f>
        <v>2.59493670886076</v>
      </c>
      <c r="AA156" s="144" t="n">
        <f aca="false">IFERROR('Price History'!F3+(INDEX('Price History'!F:F,MATCH(9.99E+307,'Price History'!$A:$A))-'Price History'!F3)*(ROW()-3)/(MATCH(9.99E+307,'Returns (Calc)'!$A:$A)-3),"")</f>
        <v>2.38322784810127</v>
      </c>
      <c r="AB156" s="144" t="n">
        <f aca="false">IFERROR('Price History'!G3+(INDEX('Price History'!G:G,MATCH(9.99E+307,'Price History'!$A:$A))-'Price History'!G3)*(ROW()-3)/(MATCH(9.99E+307,'Returns (Calc)'!$A:$A)-3),"")</f>
        <v>1.30886075949367</v>
      </c>
      <c r="AC156" s="144" t="n">
        <f aca="false">IFERROR('Price History'!H3+(INDEX('Price History'!H:H,MATCH(9.99E+307,'Price History'!$A:$A))-'Price History'!H3)*(ROW()-3)/(MATCH(9.99E+307,'Returns (Calc)'!$A:$A)-3),"")</f>
        <v>3.18322784810127</v>
      </c>
      <c r="AD156" s="144" t="n">
        <f aca="false">IFERROR('Price History'!I3+(INDEX('Price History'!I:I,MATCH(9.99E+307,'Price History'!$A:$A))-'Price History'!I3)*(ROW()-3)/(MATCH(9.99E+307,'Returns (Calc)'!$A:$A)-3),"")</f>
        <v>1.40348101265823</v>
      </c>
      <c r="AE156" s="144" t="n">
        <f aca="false">IFERROR('Price History'!J3+(INDEX('Price History'!J:J,MATCH(9.99E+307,'Price History'!$A:$A))-'Price History'!J3)*(ROW()-3)/(MATCH(9.99E+307,'Returns (Calc)'!$A:$A)-3),"")</f>
        <v>2.1870253164557</v>
      </c>
      <c r="AF156" s="144" t="n">
        <f aca="false">IFERROR('Price History'!K3+(INDEX('Price History'!K:K,MATCH(9.99E+307,'Price History'!$A:$A))-'Price History'!K3)*(ROW()-3)/(MATCH(9.99E+307,'Returns (Calc)'!$A:$A)-3),"")</f>
        <v>1.38512658227848</v>
      </c>
      <c r="AG156" s="144" t="n">
        <f aca="false">IFERROR('Price History'!L3+(INDEX('Price History'!L:L,MATCH(9.99E+307,'Price History'!$A:$A))-'Price History'!L3)*(ROW()-3)/(MATCH(9.99E+307,'Returns (Calc)'!$A:$A)-3),"")</f>
        <v>3.53924050632911</v>
      </c>
      <c r="AH156" s="144" t="n">
        <f aca="false">IFERROR('Price History'!M3+(INDEX('Price History'!M:M,MATCH(9.99E+307,'Price History'!$A:$A))-'Price History'!M3)*(ROW()-3)/(MATCH(9.99E+307,'Returns (Calc)'!$A:$A)-3),"")</f>
        <v>0.485126582278479</v>
      </c>
      <c r="AI156" s="144" t="n">
        <f aca="false">IFERROR('Price History'!N3+(INDEX('Price History'!N:N,MATCH(9.99E+307,'Price History'!$A:$A))-'Price History'!N3)*(ROW()-3)/(MATCH(9.99E+307,'Returns (Calc)'!$A:$A)-3),"")</f>
        <v>0.689873417721518</v>
      </c>
      <c r="AJ156" s="144" t="n">
        <f aca="false">IFERROR('Price History'!O3+(INDEX('Price History'!O:O,MATCH(9.99E+307,'Price History'!$A:$A))-'Price History'!O3)*(ROW()-3)/(MATCH(9.99E+307,'Returns (Calc)'!$A:$A)-3),"")</f>
        <v>1.82373417721519</v>
      </c>
      <c r="AK156" s="144" t="n">
        <f aca="false">IFERROR('Price History'!Q3+(INDEX('Price History'!Q:Q,MATCH(9.99E+307,'Price History'!$A:$A))-'Price History'!Q3)*(ROW()-3)/(MATCH(9.99E+307,'Returns (Calc)'!$A:$A)-3),"")</f>
        <v>7.45664556962026</v>
      </c>
      <c r="AL156" s="144" t="n">
        <f aca="false">IFERROR('Price History'!R3+(INDEX('Price History'!R:R,MATCH(9.99E+307,'Price History'!$A:$A))-'Price History'!R3)*(ROW()-3)/(MATCH(9.99E+307,'Returns (Calc)'!$A:$A)-3),"")</f>
        <v>1.51329113924051</v>
      </c>
      <c r="AM156" s="144" t="n">
        <f aca="false">IFERROR('Price History'!S3+(INDEX('Price History'!S:S,MATCH(9.99E+307,'Price History'!$A:$A))-'Price History'!S3)*(ROW()-3)/(MATCH(9.99E+307,'Returns (Calc)'!$A:$A)-3),"")</f>
        <v>1.85253164556963</v>
      </c>
      <c r="AN156" s="144" t="n">
        <f aca="false">IFERROR('Price History'!T3+(INDEX('Price History'!T:T,MATCH(9.99E+307,'Price History'!$A:$A))-'Price History'!T3)*(ROW()-3)/(MATCH(9.99E+307,'Returns (Calc)'!$A:$A)-3),"")</f>
        <v>0.851582278481011</v>
      </c>
      <c r="AO156" s="145" t="n">
        <f aca="false">IFERROR('Price History'!V3+(INDEX('Price History'!V:V,MATCH(9.99E+307,'Price History'!$A:$A))-'Price History'!V3)*(ROW()-3)/(MATCH(9.99E+307,'Returns (Calc)'!$A:$A)-3),"")</f>
        <v>0</v>
      </c>
    </row>
    <row r="157" customFormat="false" ht="15" hidden="false" customHeight="true" outlineLevel="0" collapsed="false">
      <c r="A157" s="141" t="n">
        <f aca="false">IF('Price History'!A158="","",'Price History'!A158)</f>
        <v>46269</v>
      </c>
      <c r="B157" s="142" t="n">
        <f aca="false">IFERROR(IF(OR(NOT(ISNUMBER('Price History'!B158)),NOT(ISNUMBER('Price History'!B157)),'Price History'!B157=0),"",'Price History'!B158/'Price History'!B157-1),"")</f>
        <v>-0.0857917124039517</v>
      </c>
      <c r="C157" s="142" t="n">
        <f aca="false">IFERROR(IF(OR(NOT(ISNUMBER('Price History'!C158)),NOT(ISNUMBER('Price History'!C157)),'Price History'!C157=0),"",'Price History'!C158/'Price History'!C157-1),"")</f>
        <v>-0.00818916982290918</v>
      </c>
      <c r="D157" s="142" t="n">
        <f aca="false">IFERROR(IF(OR(NOT(ISNUMBER('Price History'!D158)),NOT(ISNUMBER('Price History'!D157)),'Price History'!D157=0),"",'Price History'!D158/'Price History'!D157-1),"")</f>
        <v>0.011036694651448</v>
      </c>
      <c r="E157" s="142" t="n">
        <f aca="false">IFERROR(IF(OR(NOT(ISNUMBER('Price History'!E158)),NOT(ISNUMBER('Price History'!E157)),'Price History'!E157=0),"",'Price History'!E158/'Price History'!E157-1),"")</f>
        <v>-0.0295284146473976</v>
      </c>
      <c r="F157" s="142" t="n">
        <f aca="false">IFERROR(IF(OR(NOT(ISNUMBER('Price History'!F158)),NOT(ISNUMBER('Price History'!F157)),'Price History'!F157=0),"",'Price History'!F158/'Price History'!F157-1),"")</f>
        <v>0.0108660914030041</v>
      </c>
      <c r="G157" s="142" t="n">
        <f aca="false">IFERROR(IF(OR(NOT(ISNUMBER('Price History'!G158)),NOT(ISNUMBER('Price History'!G157)),'Price History'!G157=0),"",'Price History'!G158/'Price History'!G157-1),"")</f>
        <v>-0.0242673992673993</v>
      </c>
      <c r="H157" s="142" t="n">
        <f aca="false">IFERROR(IF(OR(NOT(ISNUMBER('Price History'!H158)),NOT(ISNUMBER('Price History'!H157)),'Price History'!H157=0),"",'Price History'!H158/'Price History'!H157-1),"")</f>
        <v>0.00276991259386916</v>
      </c>
      <c r="I157" s="142" t="n">
        <f aca="false">IFERROR(IF(OR(NOT(ISNUMBER('Price History'!I158)),NOT(ISNUMBER('Price History'!I157)),'Price History'!I157=0),"",'Price History'!I158/'Price History'!I157-1),"")</f>
        <v>0.0573088754699784</v>
      </c>
      <c r="J157" s="142" t="n">
        <f aca="false">IFERROR(IF(OR(NOT(ISNUMBER('Price History'!J158)),NOT(ISNUMBER('Price History'!J157)),'Price History'!J157=0),"",'Price History'!J158/'Price History'!J157-1),"")</f>
        <v>0.0897562335184272</v>
      </c>
      <c r="K157" s="142" t="n">
        <f aca="false">IFERROR(IF(OR(NOT(ISNUMBER('Price History'!K158)),NOT(ISNUMBER('Price History'!K157)),'Price History'!K157=0),"",'Price History'!K158/'Price History'!K157-1),"")</f>
        <v>0.0588560121485435</v>
      </c>
      <c r="L157" s="142" t="n">
        <f aca="false">IFERROR(IF(OR(NOT(ISNUMBER('Price History'!L158)),NOT(ISNUMBER('Price History'!L157)),'Price History'!L157=0),"",'Price History'!L158/'Price History'!L157-1),"")</f>
        <v>-0.0238555770470665</v>
      </c>
      <c r="M157" s="142" t="n">
        <f aca="false">IFERROR(IF(OR(NOT(ISNUMBER('Price History'!M158)),NOT(ISNUMBER('Price History'!M157)),'Price History'!M157=0),"",'Price History'!M158/'Price History'!M157-1),"")</f>
        <v>-0.0642009769713886</v>
      </c>
      <c r="N157" s="142" t="n">
        <f aca="false">IFERROR(IF(OR(NOT(ISNUMBER('Price History'!N158)),NOT(ISNUMBER('Price History'!N157)),'Price History'!N157=0),"",'Price History'!N158/'Price History'!N157-1),"")</f>
        <v>-0.00288850375505467</v>
      </c>
      <c r="O157" s="142" t="n">
        <f aca="false">IFERROR(IF(OR(NOT(ISNUMBER('Price History'!O158)),NOT(ISNUMBER('Price History'!O157)),'Price History'!O157=0),"",'Price History'!O158/'Price History'!O157-1),"")</f>
        <v>0.0200627814931076</v>
      </c>
      <c r="P157" s="142" t="n">
        <f aca="false">IFERROR(IF(OR(NOT(ISNUMBER('Price History'!P158)),NOT(ISNUMBER('Price History'!P157)),'Price History'!P157=0),"",'Price History'!P158/'Price History'!P157-1),"")</f>
        <v>0.0272814601344862</v>
      </c>
      <c r="Q157" s="142" t="n">
        <f aca="false">IFERROR(IF(OR(NOT(ISNUMBER('Price History'!Q158)),NOT(ISNUMBER('Price History'!Q157)),'Price History'!Q157=0),"",'Price History'!Q158/'Price History'!Q157-1),"")</f>
        <v>-0.0171121593291406</v>
      </c>
      <c r="R157" s="142" t="n">
        <f aca="false">IFERROR(IF(OR(NOT(ISNUMBER('Price History'!R158)),NOT(ISNUMBER('Price History'!R157)),'Price History'!R157=0),"",'Price History'!R158/'Price History'!R157-1),"")</f>
        <v>0.00500345065562446</v>
      </c>
      <c r="S157" s="142" t="n">
        <f aca="false">IFERROR(IF(OR(NOT(ISNUMBER('Price History'!S158)),NOT(ISNUMBER('Price History'!S157)),'Price History'!S157=0),"",'Price History'!S158/'Price History'!S157-1),"")</f>
        <v>-0.0182922667394716</v>
      </c>
      <c r="T157" s="142" t="n">
        <f aca="false">IFERROR(IF(OR(NOT(ISNUMBER('Price History'!T158)),NOT(ISNUMBER('Price History'!T157)),'Price History'!T157=0),"",'Price History'!T158/'Price History'!T157-1),"")</f>
        <v>0.0332363938512672</v>
      </c>
      <c r="U157" s="142" t="str">
        <f aca="false">IFERROR(IF(OR(NOT(ISNUMBER('Price History'!U158)),NOT(ISNUMBER('Price History'!U157)),'Price History'!U157=0),"",'Price History'!U158/'Price History'!U157-1),"")</f>
        <v/>
      </c>
      <c r="V157" s="143" t="n">
        <f aca="false">IFERROR(IF(OR(NOT(ISNUMBER('Price History'!V158)),NOT(ISNUMBER('Price History'!V157)),'Price History'!V157=0),"",'Price History'!V158/'Price History'!V157-1),"")</f>
        <v>0.0292046862678834</v>
      </c>
      <c r="W157" s="144" t="str">
        <f aca="false">IFERROR('Price History'!B3+(INDEX('Price History'!B:B,MATCH(9.99E+307,'Price History'!$A:$A))-'Price History'!B3)*(ROW()-3)/(MATCH(9.99E+307,'Returns (Calc)'!$A:$A)-3),"")</f>
        <v/>
      </c>
      <c r="X157" s="144" t="n">
        <f aca="false">IFERROR('Price History'!C3+(INDEX('Price History'!C:C,MATCH(9.99E+307,'Price History'!$A:$A))-'Price History'!C3)*(ROW()-3)/(MATCH(9.99E+307,'Returns (Calc)'!$A:$A)-3),"")</f>
        <v>1.16911392405063</v>
      </c>
      <c r="Y157" s="144" t="n">
        <f aca="false">IFERROR('Price History'!D3+(INDEX('Price History'!D:D,MATCH(9.99E+307,'Price History'!$A:$A))-'Price History'!D3)*(ROW()-3)/(MATCH(9.99E+307,'Returns (Calc)'!$A:$A)-3),"")</f>
        <v>14.7344303797469</v>
      </c>
      <c r="Z157" s="144" t="n">
        <f aca="false">IFERROR('Price History'!E3+(INDEX('Price History'!E:E,MATCH(9.99E+307,'Price History'!$A:$A))-'Price History'!E3)*(ROW()-3)/(MATCH(9.99E+307,'Returns (Calc)'!$A:$A)-3),"")</f>
        <v>2.07594936708861</v>
      </c>
      <c r="AA157" s="144" t="n">
        <f aca="false">IFERROR('Price History'!F3+(INDEX('Price History'!F:F,MATCH(9.99E+307,'Price History'!$A:$A))-'Price History'!F3)*(ROW()-3)/(MATCH(9.99E+307,'Returns (Calc)'!$A:$A)-3),"")</f>
        <v>1.90658227848101</v>
      </c>
      <c r="AB157" s="144" t="n">
        <f aca="false">IFERROR('Price History'!G3+(INDEX('Price History'!G:G,MATCH(9.99E+307,'Price History'!$A:$A))-'Price History'!G3)*(ROW()-3)/(MATCH(9.99E+307,'Returns (Calc)'!$A:$A)-3),"")</f>
        <v>1.04708860759494</v>
      </c>
      <c r="AC157" s="144" t="n">
        <f aca="false">IFERROR('Price History'!H3+(INDEX('Price History'!H:H,MATCH(9.99E+307,'Price History'!$A:$A))-'Price History'!H3)*(ROW()-3)/(MATCH(9.99E+307,'Returns (Calc)'!$A:$A)-3),"")</f>
        <v>2.54658227848101</v>
      </c>
      <c r="AD157" s="144" t="n">
        <f aca="false">IFERROR('Price History'!I3+(INDEX('Price History'!I:I,MATCH(9.99E+307,'Price History'!$A:$A))-'Price History'!I3)*(ROW()-3)/(MATCH(9.99E+307,'Returns (Calc)'!$A:$A)-3),"")</f>
        <v>1.12278481012658</v>
      </c>
      <c r="AE157" s="144" t="n">
        <f aca="false">IFERROR('Price History'!J3+(INDEX('Price History'!J:J,MATCH(9.99E+307,'Price History'!$A:$A))-'Price History'!J3)*(ROW()-3)/(MATCH(9.99E+307,'Returns (Calc)'!$A:$A)-3),"")</f>
        <v>1.74962025316455</v>
      </c>
      <c r="AF157" s="144" t="n">
        <f aca="false">IFERROR('Price History'!K3+(INDEX('Price History'!K:K,MATCH(9.99E+307,'Price History'!$A:$A))-'Price History'!K3)*(ROW()-3)/(MATCH(9.99E+307,'Returns (Calc)'!$A:$A)-3),"")</f>
        <v>1.10810126582278</v>
      </c>
      <c r="AG157" s="144" t="n">
        <f aca="false">IFERROR('Price History'!L3+(INDEX('Price History'!L:L,MATCH(9.99E+307,'Price History'!$A:$A))-'Price History'!L3)*(ROW()-3)/(MATCH(9.99E+307,'Returns (Calc)'!$A:$A)-3),"")</f>
        <v>2.8313924050633</v>
      </c>
      <c r="AH157" s="144" t="n">
        <f aca="false">IFERROR('Price History'!M3+(INDEX('Price History'!M:M,MATCH(9.99E+307,'Price History'!$A:$A))-'Price History'!M3)*(ROW()-3)/(MATCH(9.99E+307,'Returns (Calc)'!$A:$A)-3),"")</f>
        <v>0.388101265822783</v>
      </c>
      <c r="AI157" s="144" t="n">
        <f aca="false">IFERROR('Price History'!N3+(INDEX('Price History'!N:N,MATCH(9.99E+307,'Price History'!$A:$A))-'Price History'!N3)*(ROW()-3)/(MATCH(9.99E+307,'Returns (Calc)'!$A:$A)-3),"")</f>
        <v>0.551898734177215</v>
      </c>
      <c r="AJ157" s="144" t="n">
        <f aca="false">IFERROR('Price History'!O3+(INDEX('Price History'!O:O,MATCH(9.99E+307,'Price History'!$A:$A))-'Price History'!O3)*(ROW()-3)/(MATCH(9.99E+307,'Returns (Calc)'!$A:$A)-3),"")</f>
        <v>1.45898734177215</v>
      </c>
      <c r="AK157" s="144" t="n">
        <f aca="false">IFERROR('Price History'!Q3+(INDEX('Price History'!Q:Q,MATCH(9.99E+307,'Price History'!$A:$A))-'Price History'!Q3)*(ROW()-3)/(MATCH(9.99E+307,'Returns (Calc)'!$A:$A)-3),"")</f>
        <v>5.96531645569621</v>
      </c>
      <c r="AL157" s="144" t="n">
        <f aca="false">IFERROR('Price History'!R3+(INDEX('Price History'!R:R,MATCH(9.99E+307,'Price History'!$A:$A))-'Price History'!R3)*(ROW()-3)/(MATCH(9.99E+307,'Returns (Calc)'!$A:$A)-3),"")</f>
        <v>1.21063291139241</v>
      </c>
      <c r="AM157" s="144" t="n">
        <f aca="false">IFERROR('Price History'!S3+(INDEX('Price History'!S:S,MATCH(9.99E+307,'Price History'!$A:$A))-'Price History'!S3)*(ROW()-3)/(MATCH(9.99E+307,'Returns (Calc)'!$A:$A)-3),"")</f>
        <v>1.4820253164557</v>
      </c>
      <c r="AN157" s="144" t="n">
        <f aca="false">IFERROR('Price History'!T3+(INDEX('Price History'!T:T,MATCH(9.99E+307,'Price History'!$A:$A))-'Price History'!T3)*(ROW()-3)/(MATCH(9.99E+307,'Returns (Calc)'!$A:$A)-3),"")</f>
        <v>0.681265822784809</v>
      </c>
      <c r="AO157" s="145" t="n">
        <f aca="false">IFERROR('Price History'!V3+(INDEX('Price History'!V:V,MATCH(9.99E+307,'Price History'!$A:$A))-'Price History'!V3)*(ROW()-3)/(MATCH(9.99E+307,'Returns (Calc)'!$A:$A)-3),"")</f>
        <v>0</v>
      </c>
    </row>
    <row r="158" customFormat="false" ht="15" hidden="false" customHeight="true" outlineLevel="0" collapsed="false">
      <c r="A158" s="141" t="n">
        <f aca="false">IF('Price History'!A159="","",'Price History'!A159)</f>
        <v>46276</v>
      </c>
      <c r="B158" s="142" t="n">
        <f aca="false">IFERROR(IF(OR(NOT(ISNUMBER('Price History'!B159)),NOT(ISNUMBER('Price History'!B158)),'Price History'!B158=0),"",'Price History'!B159/'Price History'!B158-1),"")</f>
        <v>-0.0535814791189824</v>
      </c>
      <c r="C158" s="142" t="n">
        <f aca="false">IFERROR(IF(OR(NOT(ISNUMBER('Price History'!C159)),NOT(ISNUMBER('Price History'!C158)),'Price History'!C158=0),"",'Price History'!C159/'Price History'!C158-1),"")</f>
        <v>0.0299824543296523</v>
      </c>
      <c r="D158" s="142" t="n">
        <f aca="false">IFERROR(IF(OR(NOT(ISNUMBER('Price History'!D159)),NOT(ISNUMBER('Price History'!D158)),'Price History'!D158=0),"",'Price History'!D159/'Price History'!D158-1),"")</f>
        <v>-0.00966831498413889</v>
      </c>
      <c r="E158" s="142" t="n">
        <f aca="false">IFERROR(IF(OR(NOT(ISNUMBER('Price History'!E159)),NOT(ISNUMBER('Price History'!E158)),'Price History'!E158=0),"",'Price History'!E159/'Price History'!E158-1),"")</f>
        <v>0.0114205738278517</v>
      </c>
      <c r="F158" s="142" t="n">
        <f aca="false">IFERROR(IF(OR(NOT(ISNUMBER('Price History'!F159)),NOT(ISNUMBER('Price History'!F158)),'Price History'!F158=0),"",'Price History'!F159/'Price History'!F158-1),"")</f>
        <v>-0.0159658552007588</v>
      </c>
      <c r="G158" s="142" t="n">
        <f aca="false">IFERROR(IF(OR(NOT(ISNUMBER('Price History'!G159)),NOT(ISNUMBER('Price History'!G158)),'Price History'!G158=0),"",'Price History'!G159/'Price History'!G158-1),"")</f>
        <v>-0.0298451431252932</v>
      </c>
      <c r="H158" s="142" t="n">
        <f aca="false">IFERROR(IF(OR(NOT(ISNUMBER('Price History'!H159)),NOT(ISNUMBER('Price History'!H158)),'Price History'!H158=0),"",'Price History'!H159/'Price History'!H158-1),"")</f>
        <v>-0.01154011417347</v>
      </c>
      <c r="I158" s="142" t="n">
        <f aca="false">IFERROR(IF(OR(NOT(ISNUMBER('Price History'!I159)),NOT(ISNUMBER('Price History'!I158)),'Price History'!I158=0),"",'Price History'!I159/'Price History'!I158-1),"")</f>
        <v>-0.0267241379310346</v>
      </c>
      <c r="J158" s="142" t="n">
        <f aca="false">IFERROR(IF(OR(NOT(ISNUMBER('Price History'!J159)),NOT(ISNUMBER('Price History'!J158)),'Price History'!J158=0),"",'Price History'!J159/'Price History'!J158-1),"")</f>
        <v>-0.0406555248428571</v>
      </c>
      <c r="K158" s="142" t="n">
        <f aca="false">IFERROR(IF(OR(NOT(ISNUMBER('Price History'!K159)),NOT(ISNUMBER('Price History'!K158)),'Price History'!K158=0),"",'Price History'!K159/'Price History'!K158-1),"")</f>
        <v>-0.0513255106475445</v>
      </c>
      <c r="L158" s="142" t="n">
        <f aca="false">IFERROR(IF(OR(NOT(ISNUMBER('Price History'!L159)),NOT(ISNUMBER('Price History'!L158)),'Price History'!L158=0),"",'Price History'!L159/'Price History'!L158-1),"")</f>
        <v>-0.011595479230882</v>
      </c>
      <c r="M158" s="142" t="n">
        <f aca="false">IFERROR(IF(OR(NOT(ISNUMBER('Price History'!M159)),NOT(ISNUMBER('Price History'!M158)),'Price History'!M158=0),"",'Price History'!M159/'Price History'!M158-1),"")</f>
        <v>-0.0407273561635979</v>
      </c>
      <c r="N158" s="142" t="n">
        <f aca="false">IFERROR(IF(OR(NOT(ISNUMBER('Price History'!N159)),NOT(ISNUMBER('Price History'!N158)),'Price History'!N158=0),"",'Price History'!N159/'Price History'!N158-1),"")</f>
        <v>-0.0194090382387022</v>
      </c>
      <c r="O158" s="142" t="n">
        <f aca="false">IFERROR(IF(OR(NOT(ISNUMBER('Price History'!O159)),NOT(ISNUMBER('Price History'!O158)),'Price History'!O158=0),"",'Price History'!O159/'Price History'!O158-1),"")</f>
        <v>-0.00943270002675944</v>
      </c>
      <c r="P158" s="142" t="n">
        <f aca="false">IFERROR(IF(OR(NOT(ISNUMBER('Price History'!P159)),NOT(ISNUMBER('Price History'!P158)),'Price History'!P158=0),"",'Price History'!P159/'Price History'!P158-1),"")</f>
        <v>0.0100991210024313</v>
      </c>
      <c r="Q158" s="142" t="n">
        <f aca="false">IFERROR(IF(OR(NOT(ISNUMBER('Price History'!Q159)),NOT(ISNUMBER('Price History'!Q158)),'Price History'!Q158=0),"",'Price History'!Q159/'Price History'!Q158-1),"")</f>
        <v>-0.0123177006958701</v>
      </c>
      <c r="R158" s="142" t="n">
        <f aca="false">IFERROR(IF(OR(NOT(ISNUMBER('Price History'!R159)),NOT(ISNUMBER('Price History'!R158)),'Price History'!R158=0),"",'Price History'!R159/'Price History'!R158-1),"")</f>
        <v>0.0255793991416309</v>
      </c>
      <c r="S158" s="142" t="n">
        <f aca="false">IFERROR(IF(OR(NOT(ISNUMBER('Price History'!S159)),NOT(ISNUMBER('Price History'!S158)),'Price History'!S158=0),"",'Price History'!S159/'Price History'!S158-1),"")</f>
        <v>0.0407425432802613</v>
      </c>
      <c r="T158" s="142" t="n">
        <f aca="false">IFERROR(IF(OR(NOT(ISNUMBER('Price History'!T159)),NOT(ISNUMBER('Price History'!T158)),'Price History'!T158=0),"",'Price History'!T159/'Price History'!T158-1),"")</f>
        <v>0.0345798150381986</v>
      </c>
      <c r="U158" s="142" t="str">
        <f aca="false">IFERROR(IF(OR(NOT(ISNUMBER('Price History'!U159)),NOT(ISNUMBER('Price History'!U158)),'Price History'!U158=0),"",'Price History'!U159/'Price History'!U158-1),"")</f>
        <v/>
      </c>
      <c r="V158" s="143" t="n">
        <f aca="false">IFERROR(IF(OR(NOT(ISNUMBER('Price History'!V159)),NOT(ISNUMBER('Price History'!V158)),'Price History'!V158=0),"",'Price History'!V159/'Price History'!V158-1),"")</f>
        <v>-0.00990559584074435</v>
      </c>
      <c r="W158" s="145" t="str">
        <f aca="false">IFERROR('Price History'!B3+(INDEX('Price History'!B:B,MATCH(9.99E+307,'Price History'!$A:$A))-'Price History'!B3)*(ROW()-3)/(MATCH(9.99E+307,'Returns (Calc)'!$A:$A)-3),"")</f>
        <v/>
      </c>
      <c r="X158" s="145" t="n">
        <f aca="false">IFERROR('Price History'!C3+(INDEX('Price History'!C:C,MATCH(9.99E+307,'Price History'!$A:$A))-'Price History'!C3)*(ROW()-3)/(MATCH(9.99E+307,'Returns (Calc)'!$A:$A)-3),"")</f>
        <v>0.876835443037976</v>
      </c>
      <c r="Y158" s="145" t="n">
        <f aca="false">IFERROR('Price History'!D3+(INDEX('Price History'!D:D,MATCH(9.99E+307,'Price History'!$A:$A))-'Price History'!D3)*(ROW()-3)/(MATCH(9.99E+307,'Returns (Calc)'!$A:$A)-3),"")</f>
        <v>11.0508227848101</v>
      </c>
      <c r="Z158" s="145" t="n">
        <f aca="false">IFERROR('Price History'!E3+(INDEX('Price History'!E:E,MATCH(9.99E+307,'Price History'!$A:$A))-'Price History'!E3)*(ROW()-3)/(MATCH(9.99E+307,'Returns (Calc)'!$A:$A)-3),"")</f>
        <v>1.55696202531645</v>
      </c>
      <c r="AA158" s="145" t="n">
        <f aca="false">IFERROR('Price History'!F3+(INDEX('Price History'!F:F,MATCH(9.99E+307,'Price History'!$A:$A))-'Price History'!F3)*(ROW()-3)/(MATCH(9.99E+307,'Returns (Calc)'!$A:$A)-3),"")</f>
        <v>1.42993670886075</v>
      </c>
      <c r="AB158" s="145" t="n">
        <f aca="false">IFERROR('Price History'!G3+(INDEX('Price History'!G:G,MATCH(9.99E+307,'Price History'!$A:$A))-'Price History'!G3)*(ROW()-3)/(MATCH(9.99E+307,'Returns (Calc)'!$A:$A)-3),"")</f>
        <v>0.785316455696204</v>
      </c>
      <c r="AC158" s="145" t="n">
        <f aca="false">IFERROR('Price History'!H3+(INDEX('Price History'!H:H,MATCH(9.99E+307,'Price History'!$A:$A))-'Price History'!H3)*(ROW()-3)/(MATCH(9.99E+307,'Returns (Calc)'!$A:$A)-3),"")</f>
        <v>1.90993670886076</v>
      </c>
      <c r="AD158" s="145" t="n">
        <f aca="false">IFERROR('Price History'!I3+(INDEX('Price History'!I:I,MATCH(9.99E+307,'Price History'!$A:$A))-'Price History'!I3)*(ROW()-3)/(MATCH(9.99E+307,'Returns (Calc)'!$A:$A)-3),"")</f>
        <v>0.842088607594938</v>
      </c>
      <c r="AE158" s="145" t="n">
        <f aca="false">IFERROR('Price History'!J3+(INDEX('Price History'!J:J,MATCH(9.99E+307,'Price History'!$A:$A))-'Price History'!J3)*(ROW()-3)/(MATCH(9.99E+307,'Returns (Calc)'!$A:$A)-3),"")</f>
        <v>1.31221518987343</v>
      </c>
      <c r="AF158" s="145" t="n">
        <f aca="false">IFERROR('Price History'!K3+(INDEX('Price History'!K:K,MATCH(9.99E+307,'Price History'!$A:$A))-'Price History'!K3)*(ROW()-3)/(MATCH(9.99E+307,'Returns (Calc)'!$A:$A)-3),"")</f>
        <v>0.83107594936709</v>
      </c>
      <c r="AG158" s="145" t="n">
        <f aca="false">IFERROR('Price History'!L3+(INDEX('Price History'!L:L,MATCH(9.99E+307,'Price History'!$A:$A))-'Price History'!L3)*(ROW()-3)/(MATCH(9.99E+307,'Returns (Calc)'!$A:$A)-3),"")</f>
        <v>2.12354430379747</v>
      </c>
      <c r="AH158" s="145" t="n">
        <f aca="false">IFERROR('Price History'!M3+(INDEX('Price History'!M:M,MATCH(9.99E+307,'Price History'!$A:$A))-'Price History'!M3)*(ROW()-3)/(MATCH(9.99E+307,'Returns (Calc)'!$A:$A)-3),"")</f>
        <v>0.291075949367087</v>
      </c>
      <c r="AI158" s="145" t="n">
        <f aca="false">IFERROR('Price History'!N3+(INDEX('Price History'!N:N,MATCH(9.99E+307,'Price History'!$A:$A))-'Price History'!N3)*(ROW()-3)/(MATCH(9.99E+307,'Returns (Calc)'!$A:$A)-3),"")</f>
        <v>0.413924050632911</v>
      </c>
      <c r="AJ158" s="145" t="n">
        <f aca="false">IFERROR('Price History'!O3+(INDEX('Price History'!O:O,MATCH(9.99E+307,'Price History'!$A:$A))-'Price History'!O3)*(ROW()-3)/(MATCH(9.99E+307,'Returns (Calc)'!$A:$A)-3),"")</f>
        <v>1.09424050632912</v>
      </c>
      <c r="AK158" s="145" t="n">
        <f aca="false">IFERROR('Price History'!Q3+(INDEX('Price History'!Q:Q,MATCH(9.99E+307,'Price History'!$A:$A))-'Price History'!Q3)*(ROW()-3)/(MATCH(9.99E+307,'Returns (Calc)'!$A:$A)-3),"")</f>
        <v>4.47398734177213</v>
      </c>
      <c r="AL158" s="145" t="n">
        <f aca="false">IFERROR('Price History'!R3+(INDEX('Price History'!R:R,MATCH(9.99E+307,'Price History'!$A:$A))-'Price History'!R3)*(ROW()-3)/(MATCH(9.99E+307,'Returns (Calc)'!$A:$A)-3),"")</f>
        <v>0.907974683544303</v>
      </c>
      <c r="AM158" s="145" t="n">
        <f aca="false">IFERROR('Price History'!S3+(INDEX('Price History'!S:S,MATCH(9.99E+307,'Price History'!$A:$A))-'Price History'!S3)*(ROW()-3)/(MATCH(9.99E+307,'Returns (Calc)'!$A:$A)-3),"")</f>
        <v>1.11151898734177</v>
      </c>
      <c r="AN158" s="145" t="n">
        <f aca="false">IFERROR('Price History'!T3+(INDEX('Price History'!T:T,MATCH(9.99E+307,'Price History'!$A:$A))-'Price History'!T3)*(ROW()-3)/(MATCH(9.99E+307,'Returns (Calc)'!$A:$A)-3),"")</f>
        <v>0.510949367088607</v>
      </c>
      <c r="AO158" s="145" t="n">
        <f aca="false">IFERROR('Price History'!V3+(INDEX('Price History'!V:V,MATCH(9.99E+307,'Price History'!$A:$A))-'Price History'!V3)*(ROW()-3)/(MATCH(9.99E+307,'Returns (Calc)'!$A:$A)-3),"")</f>
        <v>0</v>
      </c>
    </row>
    <row r="159" customFormat="false" ht="15" hidden="false" customHeight="true" outlineLevel="0" collapsed="false">
      <c r="A159" s="141" t="n">
        <f aca="false">IF('Price History'!A160="","",'Price History'!A160)</f>
        <v>46283</v>
      </c>
      <c r="B159" s="142" t="n">
        <f aca="false">IFERROR(IF(OR(NOT(ISNUMBER('Price History'!B160)),NOT(ISNUMBER('Price History'!B159)),'Price History'!B159=0),"",'Price History'!B160/'Price History'!B159-1),"")</f>
        <v>-0.0131229433453594</v>
      </c>
      <c r="C159" s="142" t="n">
        <f aca="false">IFERROR(IF(OR(NOT(ISNUMBER('Price History'!C160)),NOT(ISNUMBER('Price History'!C159)),'Price History'!C159=0),"",'Price History'!C160/'Price History'!C159-1),"")</f>
        <v>-0.00100205421113286</v>
      </c>
      <c r="D159" s="142" t="n">
        <f aca="false">IFERROR(IF(OR(NOT(ISNUMBER('Price History'!D160)),NOT(ISNUMBER('Price History'!D159)),'Price History'!D159=0),"",'Price History'!D160/'Price History'!D159-1),"")</f>
        <v>-0.0108225872931754</v>
      </c>
      <c r="E159" s="142" t="n">
        <f aca="false">IFERROR(IF(OR(NOT(ISNUMBER('Price History'!E160)),NOT(ISNUMBER('Price History'!E159)),'Price History'!E159=0),"",'Price History'!E160/'Price History'!E159-1),"")</f>
        <v>-0.0120942075111394</v>
      </c>
      <c r="F159" s="142" t="n">
        <f aca="false">IFERROR(IF(OR(NOT(ISNUMBER('Price History'!F160)),NOT(ISNUMBER('Price History'!F159)),'Price History'!F159=0),"",'Price History'!F160/'Price History'!F159-1),"")</f>
        <v>-0.0204016064257029</v>
      </c>
      <c r="G159" s="142" t="n">
        <f aca="false">IFERROR(IF(OR(NOT(ISNUMBER('Price History'!G160)),NOT(ISNUMBER('Price History'!G159)),'Price History'!G159=0),"",'Price History'!G160/'Price History'!G159-1),"")</f>
        <v>0.14951146367418</v>
      </c>
      <c r="H159" s="142" t="n">
        <f aca="false">IFERROR(IF(OR(NOT(ISNUMBER('Price History'!H160)),NOT(ISNUMBER('Price History'!H159)),'Price History'!H159=0),"",'Price History'!H160/'Price History'!H159-1),"")</f>
        <v>-0.0173259641060671</v>
      </c>
      <c r="I159" s="142" t="n">
        <f aca="false">IFERROR(IF(OR(NOT(ISNUMBER('Price History'!I160)),NOT(ISNUMBER('Price History'!I159)),'Price History'!I159=0),"",'Price History'!I160/'Price History'!I159-1),"")</f>
        <v>-0.0202059344552701</v>
      </c>
      <c r="J159" s="142" t="n">
        <f aca="false">IFERROR(IF(OR(NOT(ISNUMBER('Price History'!J160)),NOT(ISNUMBER('Price History'!J159)),'Price History'!J159=0),"",'Price History'!J160/'Price History'!J159-1),"")</f>
        <v>0.0415684022722145</v>
      </c>
      <c r="K159" s="142" t="n">
        <f aca="false">IFERROR(IF(OR(NOT(ISNUMBER('Price History'!K160)),NOT(ISNUMBER('Price History'!K159)),'Price History'!K159=0),"",'Price History'!K160/'Price History'!K159-1),"")</f>
        <v>0.0182326263227817</v>
      </c>
      <c r="L159" s="142" t="n">
        <f aca="false">IFERROR(IF(OR(NOT(ISNUMBER('Price History'!L160)),NOT(ISNUMBER('Price History'!L159)),'Price History'!L159=0),"",'Price History'!L160/'Price History'!L159-1),"")</f>
        <v>0.00118800118800122</v>
      </c>
      <c r="M159" s="142" t="n">
        <f aca="false">IFERROR(IF(OR(NOT(ISNUMBER('Price History'!M160)),NOT(ISNUMBER('Price History'!M159)),'Price History'!M159=0),"",'Price History'!M160/'Price History'!M159-1),"")</f>
        <v>0.0622495963642886</v>
      </c>
      <c r="N159" s="142" t="n">
        <f aca="false">IFERROR(IF(OR(NOT(ISNUMBER('Price History'!N160)),NOT(ISNUMBER('Price History'!N159)),'Price History'!N159=0),"",'Price History'!N160/'Price History'!N159-1),"")</f>
        <v>-0.0129985228951257</v>
      </c>
      <c r="O159" s="142" t="n">
        <f aca="false">IFERROR(IF(OR(NOT(ISNUMBER('Price History'!O160)),NOT(ISNUMBER('Price History'!O159)),'Price History'!O159=0),"",'Price History'!O160/'Price History'!O159-1),"")</f>
        <v>0.00607820625379896</v>
      </c>
      <c r="P159" s="142" t="n">
        <f aca="false">IFERROR(IF(OR(NOT(ISNUMBER('Price History'!P160)),NOT(ISNUMBER('Price History'!P159)),'Price History'!P159=0),"",'Price History'!P160/'Price History'!P159-1),"")</f>
        <v>0.00599426032216255</v>
      </c>
      <c r="Q159" s="142" t="n">
        <f aca="false">IFERROR(IF(OR(NOT(ISNUMBER('Price History'!Q160)),NOT(ISNUMBER('Price History'!Q159)),'Price History'!Q159=0),"",'Price History'!Q160/'Price History'!Q159-1),"")</f>
        <v>-0.00583074638952619</v>
      </c>
      <c r="R159" s="142" t="n">
        <f aca="false">IFERROR(IF(OR(NOT(ISNUMBER('Price History'!R160)),NOT(ISNUMBER('Price History'!R159)),'Price History'!R159=0),"",'Price History'!R160/'Price History'!R159-1),"")</f>
        <v>0.0132239705390023</v>
      </c>
      <c r="S159" s="142" t="n">
        <f aca="false">IFERROR(IF(OR(NOT(ISNUMBER('Price History'!S160)),NOT(ISNUMBER('Price History'!S159)),'Price History'!S159=0),"",'Price History'!S160/'Price History'!S159-1),"")</f>
        <v>0.0241833121785022</v>
      </c>
      <c r="T159" s="142" t="n">
        <f aca="false">IFERROR(IF(OR(NOT(ISNUMBER('Price History'!T160)),NOT(ISNUMBER('Price History'!T159)),'Price History'!T159=0),"",'Price History'!T160/'Price History'!T159-1),"")</f>
        <v>0.0437232802176448</v>
      </c>
      <c r="U159" s="142" t="str">
        <f aca="false">IFERROR(IF(OR(NOT(ISNUMBER('Price History'!U160)),NOT(ISNUMBER('Price History'!U159)),'Price History'!U159=0),"",'Price History'!U160/'Price History'!U159-1),"")</f>
        <v/>
      </c>
      <c r="V159" s="143" t="n">
        <f aca="false">IFERROR(IF(OR(NOT(ISNUMBER('Price History'!V160)),NOT(ISNUMBER('Price History'!V159)),'Price History'!V159=0),"",'Price History'!V160/'Price History'!V159-1),"")</f>
        <v>0.0064118508691926</v>
      </c>
      <c r="W159" s="145" t="str">
        <f aca="false">IFERROR('Price History'!B3+(INDEX('Price History'!B:B,MATCH(9.99E+307,'Price History'!$A:$A))-'Price History'!B3)*(ROW()-3)/(MATCH(9.99E+307,'Returns (Calc)'!$A:$A)-3),"")</f>
        <v/>
      </c>
      <c r="X159" s="145" t="n">
        <f aca="false">IFERROR('Price History'!C3+(INDEX('Price History'!C:C,MATCH(9.99E+307,'Price History'!$A:$A))-'Price History'!C3)*(ROW()-3)/(MATCH(9.99E+307,'Returns (Calc)'!$A:$A)-3),"")</f>
        <v>0.584556962025317</v>
      </c>
      <c r="Y159" s="145" t="n">
        <f aca="false">IFERROR('Price History'!D3+(INDEX('Price History'!D:D,MATCH(9.99E+307,'Price History'!$A:$A))-'Price History'!D3)*(ROW()-3)/(MATCH(9.99E+307,'Returns (Calc)'!$A:$A)-3),"")</f>
        <v>7.36721518987338</v>
      </c>
      <c r="Z159" s="145" t="n">
        <f aca="false">IFERROR('Price History'!E3+(INDEX('Price History'!E:E,MATCH(9.99E+307,'Price History'!$A:$A))-'Price History'!E3)*(ROW()-3)/(MATCH(9.99E+307,'Returns (Calc)'!$A:$A)-3),"")</f>
        <v>1.03797468354431</v>
      </c>
      <c r="AA159" s="145" t="n">
        <f aca="false">IFERROR('Price History'!F3+(INDEX('Price History'!F:F,MATCH(9.99E+307,'Price History'!$A:$A))-'Price History'!F3)*(ROW()-3)/(MATCH(9.99E+307,'Returns (Calc)'!$A:$A)-3),"")</f>
        <v>0.953291139240506</v>
      </c>
      <c r="AB159" s="145" t="n">
        <f aca="false">IFERROR('Price History'!G3+(INDEX('Price History'!G:G,MATCH(9.99E+307,'Price History'!$A:$A))-'Price History'!G3)*(ROW()-3)/(MATCH(9.99E+307,'Returns (Calc)'!$A:$A)-3),"")</f>
        <v>0.523544303797472</v>
      </c>
      <c r="AC159" s="145" t="n">
        <f aca="false">IFERROR('Price History'!H3+(INDEX('Price History'!H:H,MATCH(9.99E+307,'Price History'!$A:$A))-'Price History'!H3)*(ROW()-3)/(MATCH(9.99E+307,'Returns (Calc)'!$A:$A)-3),"")</f>
        <v>1.2732911392405</v>
      </c>
      <c r="AD159" s="145" t="n">
        <f aca="false">IFERROR('Price History'!I3+(INDEX('Price History'!I:I,MATCH(9.99E+307,'Price History'!$A:$A))-'Price History'!I3)*(ROW()-3)/(MATCH(9.99E+307,'Returns (Calc)'!$A:$A)-3),"")</f>
        <v>0.561392405063288</v>
      </c>
      <c r="AE159" s="145" t="n">
        <f aca="false">IFERROR('Price History'!J3+(INDEX('Price History'!J:J,MATCH(9.99E+307,'Price History'!$A:$A))-'Price History'!J3)*(ROW()-3)/(MATCH(9.99E+307,'Returns (Calc)'!$A:$A)-3),"")</f>
        <v>0.874810126582275</v>
      </c>
      <c r="AF159" s="145" t="n">
        <f aca="false">IFERROR('Price History'!K3+(INDEX('Price History'!K:K,MATCH(9.99E+307,'Price History'!$A:$A))-'Price History'!K3)*(ROW()-3)/(MATCH(9.99E+307,'Returns (Calc)'!$A:$A)-3),"")</f>
        <v>0.554050632911391</v>
      </c>
      <c r="AG159" s="145" t="n">
        <f aca="false">IFERROR('Price History'!L3+(INDEX('Price History'!L:L,MATCH(9.99E+307,'Price History'!$A:$A))-'Price History'!L3)*(ROW()-3)/(MATCH(9.99E+307,'Returns (Calc)'!$A:$A)-3),"")</f>
        <v>1.41569620253165</v>
      </c>
      <c r="AH159" s="145" t="n">
        <f aca="false">IFERROR('Price History'!M3+(INDEX('Price History'!M:M,MATCH(9.99E+307,'Price History'!$A:$A))-'Price History'!M3)*(ROW()-3)/(MATCH(9.99E+307,'Returns (Calc)'!$A:$A)-3),"")</f>
        <v>0.194050632911392</v>
      </c>
      <c r="AI159" s="145" t="n">
        <f aca="false">IFERROR('Price History'!N3+(INDEX('Price History'!N:N,MATCH(9.99E+307,'Price History'!$A:$A))-'Price History'!N3)*(ROW()-3)/(MATCH(9.99E+307,'Returns (Calc)'!$A:$A)-3),"")</f>
        <v>0.275949367088607</v>
      </c>
      <c r="AJ159" s="145" t="n">
        <f aca="false">IFERROR('Price History'!O3+(INDEX('Price History'!O:O,MATCH(9.99E+307,'Price History'!$A:$A))-'Price History'!O3)*(ROW()-3)/(MATCH(9.99E+307,'Returns (Calc)'!$A:$A)-3),"")</f>
        <v>0.729493670886072</v>
      </c>
      <c r="AK159" s="145" t="n">
        <f aca="false">IFERROR('Price History'!Q3+(INDEX('Price History'!Q:Q,MATCH(9.99E+307,'Price History'!$A:$A))-'Price History'!Q3)*(ROW()-3)/(MATCH(9.99E+307,'Returns (Calc)'!$A:$A)-3),"")</f>
        <v>2.98265822784811</v>
      </c>
      <c r="AL159" s="145" t="n">
        <f aca="false">IFERROR('Price History'!R3+(INDEX('Price History'!R:R,MATCH(9.99E+307,'Price History'!$A:$A))-'Price History'!R3)*(ROW()-3)/(MATCH(9.99E+307,'Returns (Calc)'!$A:$A)-3),"")</f>
        <v>0.605316455696205</v>
      </c>
      <c r="AM159" s="145" t="n">
        <f aca="false">IFERROR('Price History'!S3+(INDEX('Price History'!S:S,MATCH(9.99E+307,'Price History'!$A:$A))-'Price History'!S3)*(ROW()-3)/(MATCH(9.99E+307,'Returns (Calc)'!$A:$A)-3),"")</f>
        <v>0.741012658227845</v>
      </c>
      <c r="AN159" s="145" t="n">
        <f aca="false">IFERROR('Price History'!T3+(INDEX('Price History'!T:T,MATCH(9.99E+307,'Price History'!$A:$A))-'Price History'!T3)*(ROW()-3)/(MATCH(9.99E+307,'Returns (Calc)'!$A:$A)-3),"")</f>
        <v>0.340632911392405</v>
      </c>
      <c r="AO159" s="145" t="n">
        <f aca="false">IFERROR('Price History'!V3+(INDEX('Price History'!V:V,MATCH(9.99E+307,'Price History'!$A:$A))-'Price History'!V3)*(ROW()-3)/(MATCH(9.99E+307,'Returns (Calc)'!$A:$A)-3),"")</f>
        <v>0</v>
      </c>
    </row>
    <row r="160" customFormat="false" ht="15" hidden="false" customHeight="true" outlineLevel="0" collapsed="false">
      <c r="A160" s="141" t="n">
        <f aca="false">IF('Price History'!A161="","",'Price History'!A161)</f>
        <v>46290</v>
      </c>
      <c r="B160" s="142" t="n">
        <f aca="false">IFERROR(IF(OR(NOT(ISNUMBER('Price History'!B161)),NOT(ISNUMBER('Price History'!B160)),'Price History'!B160=0),"",'Price History'!B161/'Price History'!B160-1),"")</f>
        <v>-0.0540334243933793</v>
      </c>
      <c r="C160" s="142" t="n">
        <f aca="false">IFERROR(IF(OR(NOT(ISNUMBER('Price History'!C161)),NOT(ISNUMBER('Price History'!C160)),'Price History'!C160=0),"",'Price History'!C161/'Price History'!C160-1),"")</f>
        <v>0.0359095240483476</v>
      </c>
      <c r="D160" s="142" t="n">
        <f aca="false">IFERROR(IF(OR(NOT(ISNUMBER('Price History'!D161)),NOT(ISNUMBER('Price History'!D160)),'Price History'!D160=0),"",'Price History'!D161/'Price History'!D160-1),"")</f>
        <v>0.038108957569408</v>
      </c>
      <c r="E160" s="142" t="n">
        <f aca="false">IFERROR(IF(OR(NOT(ISNUMBER('Price History'!E161)),NOT(ISNUMBER('Price History'!E160)),'Price History'!E160=0),"",'Price History'!E161/'Price History'!E160-1),"")</f>
        <v>-0.0116259524876736</v>
      </c>
      <c r="F160" s="142" t="n">
        <f aca="false">IFERROR(IF(OR(NOT(ISNUMBER('Price History'!F161)),NOT(ISNUMBER('Price History'!F160)),'Price History'!F160=0),"",'Price History'!F161/'Price History'!F160-1),"")</f>
        <v>-0.0127090849458839</v>
      </c>
      <c r="G160" s="142" t="n">
        <f aca="false">IFERROR(IF(OR(NOT(ISNUMBER('Price History'!G161)),NOT(ISNUMBER('Price History'!G160)),'Price History'!G160=0),"",'Price History'!G161/'Price History'!G160-1),"")</f>
        <v>0.0609299389859035</v>
      </c>
      <c r="H160" s="142" t="n">
        <f aca="false">IFERROR(IF(OR(NOT(ISNUMBER('Price History'!H161)),NOT(ISNUMBER('Price History'!H160)),'Price History'!H160=0),"",'Price History'!H161/'Price History'!H160-1),"")</f>
        <v>-0.0221814964610719</v>
      </c>
      <c r="I160" s="142" t="n">
        <f aca="false">IFERROR(IF(OR(NOT(ISNUMBER('Price History'!I161)),NOT(ISNUMBER('Price History'!I160)),'Price History'!I160=0),"",'Price History'!I161/'Price History'!I160-1),"")</f>
        <v>0.061754901406859</v>
      </c>
      <c r="J160" s="142" t="n">
        <f aca="false">IFERROR(IF(OR(NOT(ISNUMBER('Price History'!J161)),NOT(ISNUMBER('Price History'!J160)),'Price History'!J160=0),"",'Price History'!J161/'Price History'!J160-1),"")</f>
        <v>0.0654459539279386</v>
      </c>
      <c r="K160" s="142" t="n">
        <f aca="false">IFERROR(IF(OR(NOT(ISNUMBER('Price History'!K161)),NOT(ISNUMBER('Price History'!K160)),'Price History'!K160=0),"",'Price History'!K161/'Price History'!K160-1),"")</f>
        <v>0.0125972915823098</v>
      </c>
      <c r="L160" s="142" t="n">
        <f aca="false">IFERROR(IF(OR(NOT(ISNUMBER('Price History'!L161)),NOT(ISNUMBER('Price History'!L160)),'Price History'!L160=0),"",'Price History'!L161/'Price History'!L160-1),"")</f>
        <v>-0.0132749925838029</v>
      </c>
      <c r="M160" s="142" t="n">
        <f aca="false">IFERROR(IF(OR(NOT(ISNUMBER('Price History'!M161)),NOT(ISNUMBER('Price History'!M160)),'Price History'!M160=0),"",'Price History'!M161/'Price History'!M160-1),"")</f>
        <v>0.0677212339563162</v>
      </c>
      <c r="N160" s="142" t="n">
        <f aca="false">IFERROR(IF(OR(NOT(ISNUMBER('Price History'!N161)),NOT(ISNUMBER('Price History'!N160)),'Price History'!N160=0),"",'Price History'!N161/'Price History'!N160-1),"")</f>
        <v>-0.00598623166716539</v>
      </c>
      <c r="O160" s="142" t="n">
        <f aca="false">IFERROR(IF(OR(NOT(ISNUMBER('Price History'!O161)),NOT(ISNUMBER('Price History'!O160)),'Price History'!O160=0),"",'Price History'!O161/'Price History'!O160-1),"")</f>
        <v>0.0265154057863999</v>
      </c>
      <c r="P160" s="142" t="n">
        <f aca="false">IFERROR(IF(OR(NOT(ISNUMBER('Price History'!P161)),NOT(ISNUMBER('Price History'!P160)),'Price History'!P160=0),"",'Price History'!P161/'Price History'!P160-1),"")</f>
        <v>0.0366714979179608</v>
      </c>
      <c r="Q160" s="142" t="n">
        <f aca="false">IFERROR(IF(OR(NOT(ISNUMBER('Price History'!Q161)),NOT(ISNUMBER('Price History'!Q160)),'Price History'!Q160=0),"",'Price History'!Q161/'Price History'!Q160-1),"")</f>
        <v>-0.00247087892693265</v>
      </c>
      <c r="R160" s="142" t="n">
        <f aca="false">IFERROR(IF(OR(NOT(ISNUMBER('Price History'!R161)),NOT(ISNUMBER('Price History'!R160)),'Price History'!R160=0),"",'Price History'!R161/'Price History'!R160-1),"")</f>
        <v>-0.011399306129192</v>
      </c>
      <c r="S160" s="142" t="n">
        <f aca="false">IFERROR(IF(OR(NOT(ISNUMBER('Price History'!S161)),NOT(ISNUMBER('Price History'!S160)),'Price History'!S160=0),"",'Price History'!S161/'Price History'!S160-1),"")</f>
        <v>-0.0298741112778033</v>
      </c>
      <c r="T160" s="142" t="n">
        <f aca="false">IFERROR(IF(OR(NOT(ISNUMBER('Price History'!T161)),NOT(ISNUMBER('Price History'!T160)),'Price History'!T160=0),"",'Price History'!T161/'Price History'!T160-1),"")</f>
        <v>0.0323962018246138</v>
      </c>
      <c r="U160" s="142" t="str">
        <f aca="false">IFERROR(IF(OR(NOT(ISNUMBER('Price History'!U161)),NOT(ISNUMBER('Price History'!U160)),'Price History'!U160=0),"",'Price History'!U161/'Price History'!U160-1),"")</f>
        <v/>
      </c>
      <c r="V160" s="143" t="n">
        <f aca="false">IFERROR(IF(OR(NOT(ISNUMBER('Price History'!V161)),NOT(ISNUMBER('Price History'!V160)),'Price History'!V160=0),"",'Price History'!V161/'Price History'!V160-1),"")</f>
        <v>0.0189207744061515</v>
      </c>
      <c r="W160" s="145" t="str">
        <f aca="false">IFERROR('Price History'!B3+(INDEX('Price History'!B:B,MATCH(9.99E+307,'Price History'!$A:$A))-'Price History'!B3)*(ROW()-3)/(MATCH(9.99E+307,'Returns (Calc)'!$A:$A)-3),"")</f>
        <v/>
      </c>
      <c r="X160" s="145" t="n">
        <f aca="false">IFERROR('Price History'!C3+(INDEX('Price History'!C:C,MATCH(9.99E+307,'Price History'!$A:$A))-'Price History'!C3)*(ROW()-3)/(MATCH(9.99E+307,'Returns (Calc)'!$A:$A)-3),"")</f>
        <v>0.292278481012659</v>
      </c>
      <c r="Y160" s="145" t="n">
        <f aca="false">IFERROR('Price History'!D3+(INDEX('Price History'!D:D,MATCH(9.99E+307,'Price History'!$A:$A))-'Price History'!D3)*(ROW()-3)/(MATCH(9.99E+307,'Returns (Calc)'!$A:$A)-3),"")</f>
        <v>3.6836075949368</v>
      </c>
      <c r="Z160" s="145" t="n">
        <f aca="false">IFERROR('Price History'!E3+(INDEX('Price History'!E:E,MATCH(9.99E+307,'Price History'!$A:$A))-'Price History'!E3)*(ROW()-3)/(MATCH(9.99E+307,'Returns (Calc)'!$A:$A)-3),"")</f>
        <v>0.518987341772146</v>
      </c>
      <c r="AA160" s="145" t="n">
        <f aca="false">IFERROR('Price History'!F3+(INDEX('Price History'!F:F,MATCH(9.99E+307,'Price History'!$A:$A))-'Price History'!F3)*(ROW()-3)/(MATCH(9.99E+307,'Returns (Calc)'!$A:$A)-3),"")</f>
        <v>0.47664556962026</v>
      </c>
      <c r="AB160" s="145" t="n">
        <f aca="false">IFERROR('Price History'!G3+(INDEX('Price History'!G:G,MATCH(9.99E+307,'Price History'!$A:$A))-'Price History'!G3)*(ROW()-3)/(MATCH(9.99E+307,'Returns (Calc)'!$A:$A)-3),"")</f>
        <v>0.26177215189874</v>
      </c>
      <c r="AC160" s="145" t="n">
        <f aca="false">IFERROR('Price History'!H3+(INDEX('Price History'!H:H,MATCH(9.99E+307,'Price History'!$A:$A))-'Price History'!H3)*(ROW()-3)/(MATCH(9.99E+307,'Returns (Calc)'!$A:$A)-3),"")</f>
        <v>0.636645569620256</v>
      </c>
      <c r="AD160" s="145" t="n">
        <f aca="false">IFERROR('Price History'!I3+(INDEX('Price History'!I:I,MATCH(9.99E+307,'Price History'!$A:$A))-'Price History'!I3)*(ROW()-3)/(MATCH(9.99E+307,'Returns (Calc)'!$A:$A)-3),"")</f>
        <v>0.280696202531651</v>
      </c>
      <c r="AE160" s="145" t="n">
        <f aca="false">IFERROR('Price History'!J3+(INDEX('Price History'!J:J,MATCH(9.99E+307,'Price History'!$A:$A))-'Price History'!J3)*(ROW()-3)/(MATCH(9.99E+307,'Returns (Calc)'!$A:$A)-3),"")</f>
        <v>0.437405063291138</v>
      </c>
      <c r="AF160" s="145" t="n">
        <f aca="false">IFERROR('Price History'!K3+(INDEX('Price History'!K:K,MATCH(9.99E+307,'Price History'!$A:$A))-'Price History'!K3)*(ROW()-3)/(MATCH(9.99E+307,'Returns (Calc)'!$A:$A)-3),"")</f>
        <v>0.277025316455699</v>
      </c>
      <c r="AG160" s="145" t="n">
        <f aca="false">IFERROR('Price History'!L3+(INDEX('Price History'!L:L,MATCH(9.99E+307,'Price History'!$A:$A))-'Price History'!L3)*(ROW()-3)/(MATCH(9.99E+307,'Returns (Calc)'!$A:$A)-3),"")</f>
        <v>0.707848101265824</v>
      </c>
      <c r="AH160" s="145" t="n">
        <f aca="false">IFERROR('Price History'!M3+(INDEX('Price History'!M:M,MATCH(9.99E+307,'Price History'!$A:$A))-'Price History'!M3)*(ROW()-3)/(MATCH(9.99E+307,'Returns (Calc)'!$A:$A)-3),"")</f>
        <v>0.0970253164556958</v>
      </c>
      <c r="AI160" s="145" t="n">
        <f aca="false">IFERROR('Price History'!N3+(INDEX('Price History'!N:N,MATCH(9.99E+307,'Price History'!$A:$A))-'Price History'!N3)*(ROW()-3)/(MATCH(9.99E+307,'Returns (Calc)'!$A:$A)-3),"")</f>
        <v>0.137974683544304</v>
      </c>
      <c r="AJ160" s="145" t="n">
        <f aca="false">IFERROR('Price History'!O3+(INDEX('Price History'!O:O,MATCH(9.99E+307,'Price History'!$A:$A))-'Price History'!O3)*(ROW()-3)/(MATCH(9.99E+307,'Returns (Calc)'!$A:$A)-3),"")</f>
        <v>0.364746835443043</v>
      </c>
      <c r="AK160" s="145" t="n">
        <f aca="false">IFERROR('Price History'!Q3+(INDEX('Price History'!Q:Q,MATCH(9.99E+307,'Price History'!$A:$A))-'Price History'!Q3)*(ROW()-3)/(MATCH(9.99E+307,'Returns (Calc)'!$A:$A)-3),"")</f>
        <v>1.49132911392408</v>
      </c>
      <c r="AL160" s="145" t="n">
        <f aca="false">IFERROR('Price History'!R3+(INDEX('Price History'!R:R,MATCH(9.99E+307,'Price History'!$A:$A))-'Price History'!R3)*(ROW()-3)/(MATCH(9.99E+307,'Returns (Calc)'!$A:$A)-3),"")</f>
        <v>0.302658227848106</v>
      </c>
      <c r="AM160" s="145" t="n">
        <f aca="false">IFERROR('Price History'!S3+(INDEX('Price History'!S:S,MATCH(9.99E+307,'Price History'!$A:$A))-'Price History'!S3)*(ROW()-3)/(MATCH(9.99E+307,'Returns (Calc)'!$A:$A)-3),"")</f>
        <v>0.370506329113923</v>
      </c>
      <c r="AN160" s="145" t="n">
        <f aca="false">IFERROR('Price History'!T3+(INDEX('Price History'!T:T,MATCH(9.99E+307,'Price History'!$A:$A))-'Price History'!T3)*(ROW()-3)/(MATCH(9.99E+307,'Returns (Calc)'!$A:$A)-3),"")</f>
        <v>0.170316455696202</v>
      </c>
      <c r="AO160" s="145" t="n">
        <f aca="false">IFERROR('Price History'!V3+(INDEX('Price History'!V:V,MATCH(9.99E+307,'Price History'!$A:$A))-'Price History'!V3)*(ROW()-3)/(MATCH(9.99E+307,'Returns (Calc)'!$A:$A)-3),"")</f>
        <v>0</v>
      </c>
    </row>
    <row r="161" customFormat="false" ht="15" hidden="false" customHeight="true" outlineLevel="0" collapsed="false">
      <c r="A161" s="141" t="n">
        <f aca="false">IF('Price History'!A162="","",'Price History'!A162)</f>
        <v>46297</v>
      </c>
      <c r="B161" s="142" t="n">
        <f aca="false">IFERROR(IF(OR(NOT(ISNUMBER('Price History'!B162)),NOT(ISNUMBER('Price History'!B161)),'Price History'!B161=0),"",'Price History'!B162/'Price History'!B161-1),"")</f>
        <v>-0.0189408417208137</v>
      </c>
      <c r="C161" s="142" t="n">
        <f aca="false">IFERROR(IF(OR(NOT(ISNUMBER('Price History'!C162)),NOT(ISNUMBER('Price History'!C161)),'Price History'!C161=0),"",'Price History'!C162/'Price History'!C161-1),"")</f>
        <v>-0.00789155168240152</v>
      </c>
      <c r="D161" s="142" t="n">
        <f aca="false">IFERROR(IF(OR(NOT(ISNUMBER('Price History'!D162)),NOT(ISNUMBER('Price History'!D161)),'Price History'!D161=0),"",'Price History'!D162/'Price History'!D161-1),"")</f>
        <v>0.0157516887048867</v>
      </c>
      <c r="E161" s="142" t="n">
        <f aca="false">IFERROR(IF(OR(NOT(ISNUMBER('Price History'!E162)),NOT(ISNUMBER('Price History'!E161)),'Price History'!E161=0),"",'Price History'!E162/'Price History'!E161-1),"")</f>
        <v>-0.00918341316856097</v>
      </c>
      <c r="F161" s="142" t="n">
        <f aca="false">IFERROR(IF(OR(NOT(ISNUMBER('Price History'!F162)),NOT(ISNUMBER('Price History'!F161)),'Price History'!F161=0),"",'Price History'!F162/'Price History'!F161-1),"")</f>
        <v>-0.00714226393156714</v>
      </c>
      <c r="G161" s="142" t="n">
        <f aca="false">IFERROR(IF(OR(NOT(ISNUMBER('Price History'!G162)),NOT(ISNUMBER('Price History'!G161)),'Price History'!G161=0),"",'Price History'!G162/'Price History'!G161-1),"")</f>
        <v>0.0282394003093642</v>
      </c>
      <c r="H161" s="142" t="n">
        <f aca="false">IFERROR(IF(OR(NOT(ISNUMBER('Price History'!H162)),NOT(ISNUMBER('Price History'!H161)),'Price History'!H161=0),"",'Price History'!H162/'Price History'!H161-1),"")</f>
        <v>-0.00697990047178942</v>
      </c>
      <c r="I161" s="142" t="n">
        <f aca="false">IFERROR(IF(OR(NOT(ISNUMBER('Price History'!I162)),NOT(ISNUMBER('Price History'!I161)),'Price History'!I161=0),"",'Price History'!I162/'Price History'!I161-1),"")</f>
        <v>0.00665176670923806</v>
      </c>
      <c r="J161" s="142" t="n">
        <f aca="false">IFERROR(IF(OR(NOT(ISNUMBER('Price History'!J162)),NOT(ISNUMBER('Price History'!J161)),'Price History'!J161=0),"",'Price History'!J162/'Price History'!J161-1),"")</f>
        <v>-0.0261485013120449</v>
      </c>
      <c r="K161" s="142" t="n">
        <f aca="false">IFERROR(IF(OR(NOT(ISNUMBER('Price History'!K162)),NOT(ISNUMBER('Price History'!K161)),'Price History'!K161=0),"",'Price History'!K162/'Price History'!K161-1),"")</f>
        <v>0.0168392055804862</v>
      </c>
      <c r="L161" s="142" t="n">
        <f aca="false">IFERROR(IF(OR(NOT(ISNUMBER('Price History'!L162)),NOT(ISNUMBER('Price History'!L161)),'Price History'!L161=0),"",'Price History'!L162/'Price History'!L161-1),"")</f>
        <v>-0.00458474257797825</v>
      </c>
      <c r="M161" s="142" t="n">
        <f aca="false">IFERROR(IF(OR(NOT(ISNUMBER('Price History'!M162)),NOT(ISNUMBER('Price History'!M161)),'Price History'!M161=0),"",'Price History'!M162/'Price History'!M161-1),"")</f>
        <v>-0.0115463700110718</v>
      </c>
      <c r="N161" s="142" t="n">
        <f aca="false">IFERROR(IF(OR(NOT(ISNUMBER('Price History'!N162)),NOT(ISNUMBER('Price History'!N161)),'Price History'!N161=0),"",'Price History'!N162/'Price History'!N161-1),"")</f>
        <v>-0.00602228244504677</v>
      </c>
      <c r="O161" s="142" t="n">
        <f aca="false">IFERROR(IF(OR(NOT(ISNUMBER('Price History'!O162)),NOT(ISNUMBER('Price History'!O161)),'Price History'!O161=0),"",'Price History'!O162/'Price History'!O161-1),"")</f>
        <v>-0.0113784985613391</v>
      </c>
      <c r="P161" s="142" t="n">
        <f aca="false">IFERROR(IF(OR(NOT(ISNUMBER('Price History'!P162)),NOT(ISNUMBER('Price History'!P161)),'Price History'!P161=0),"",'Price History'!P162/'Price History'!P161-1),"")</f>
        <v>0.00503761567652727</v>
      </c>
      <c r="Q161" s="142" t="n">
        <f aca="false">IFERROR(IF(OR(NOT(ISNUMBER('Price History'!Q162)),NOT(ISNUMBER('Price History'!Q161)),'Price History'!Q161=0),"",'Price History'!Q162/'Price History'!Q161-1),"")</f>
        <v>0.000979911807937217</v>
      </c>
      <c r="R161" s="142" t="n">
        <f aca="false">IFERROR(IF(OR(NOT(ISNUMBER('Price History'!R162)),NOT(ISNUMBER('Price History'!R161)),'Price History'!R161=0),"",'Price History'!R162/'Price History'!R161-1),"")</f>
        <v>-0.00618315508021394</v>
      </c>
      <c r="S161" s="142" t="n">
        <f aca="false">IFERROR(IF(OR(NOT(ISNUMBER('Price History'!S162)),NOT(ISNUMBER('Price History'!S161)),'Price History'!S161=0),"",'Price History'!S162/'Price History'!S161-1),"")</f>
        <v>-0.0131110065218852</v>
      </c>
      <c r="T161" s="142" t="n">
        <f aca="false">IFERROR(IF(OR(NOT(ISNUMBER('Price History'!T162)),NOT(ISNUMBER('Price History'!T161)),'Price History'!T161=0),"",'Price History'!T162/'Price History'!T161-1),"")</f>
        <v>0.00378719567177632</v>
      </c>
      <c r="U161" s="142" t="str">
        <f aca="false">IFERROR(IF(OR(NOT(ISNUMBER('Price History'!U162)),NOT(ISNUMBER('Price History'!U161)),'Price History'!U161=0),"",'Price History'!U162/'Price History'!U161-1),"")</f>
        <v/>
      </c>
      <c r="V161" s="143" t="n">
        <f aca="false">IFERROR(IF(OR(NOT(ISNUMBER('Price History'!V162)),NOT(ISNUMBER('Price History'!V161)),'Price History'!V161=0),"",'Price History'!V162/'Price History'!V161-1),"")</f>
        <v>0.0284605433376455</v>
      </c>
      <c r="W161" s="145" t="str">
        <f aca="false">IFERROR('Price History'!B3+(INDEX('Price History'!B:B,MATCH(9.99E+307,'Price History'!$A:$A))-'Price History'!B3)*(ROW()-3)/(MATCH(9.99E+307,'Returns (Calc)'!$A:$A)-3),"")</f>
        <v/>
      </c>
      <c r="X161" s="145" t="n">
        <f aca="false">IFERROR('Price History'!C3+(INDEX('Price History'!C:C,MATCH(9.99E+307,'Price History'!$A:$A))-'Price History'!C3)*(ROW()-3)/(MATCH(9.99E+307,'Returns (Calc)'!$A:$A)-3),"")</f>
        <v>0</v>
      </c>
      <c r="Y161" s="145" t="n">
        <f aca="false">IFERROR('Price History'!D3+(INDEX('Price History'!D:D,MATCH(9.99E+307,'Price History'!$A:$A))-'Price History'!D3)*(ROW()-3)/(MATCH(9.99E+307,'Returns (Calc)'!$A:$A)-3),"")</f>
        <v>0</v>
      </c>
      <c r="Z161" s="145" t="n">
        <f aca="false">IFERROR('Price History'!E3+(INDEX('Price History'!E:E,MATCH(9.99E+307,'Price History'!$A:$A))-'Price History'!E3)*(ROW()-3)/(MATCH(9.99E+307,'Returns (Calc)'!$A:$A)-3),"")</f>
        <v>0</v>
      </c>
      <c r="AA161" s="145" t="n">
        <f aca="false">IFERROR('Price History'!F3+(INDEX('Price History'!F:F,MATCH(9.99E+307,'Price History'!$A:$A))-'Price History'!F3)*(ROW()-3)/(MATCH(9.99E+307,'Returns (Calc)'!$A:$A)-3),"")</f>
        <v>0</v>
      </c>
      <c r="AB161" s="145" t="n">
        <f aca="false">IFERROR('Price History'!G3+(INDEX('Price History'!G:G,MATCH(9.99E+307,'Price History'!$A:$A))-'Price History'!G3)*(ROW()-3)/(MATCH(9.99E+307,'Returns (Calc)'!$A:$A)-3),"")</f>
        <v>0</v>
      </c>
      <c r="AC161" s="145" t="n">
        <f aca="false">IFERROR('Price History'!H3+(INDEX('Price History'!H:H,MATCH(9.99E+307,'Price History'!$A:$A))-'Price History'!H3)*(ROW()-3)/(MATCH(9.99E+307,'Returns (Calc)'!$A:$A)-3),"")</f>
        <v>0</v>
      </c>
      <c r="AD161" s="145" t="n">
        <f aca="false">IFERROR('Price History'!I3+(INDEX('Price History'!I:I,MATCH(9.99E+307,'Price History'!$A:$A))-'Price History'!I3)*(ROW()-3)/(MATCH(9.99E+307,'Returns (Calc)'!$A:$A)-3),"")</f>
        <v>0</v>
      </c>
      <c r="AE161" s="145" t="n">
        <f aca="false">IFERROR('Price History'!J3+(INDEX('Price History'!J:J,MATCH(9.99E+307,'Price History'!$A:$A))-'Price History'!J3)*(ROW()-3)/(MATCH(9.99E+307,'Returns (Calc)'!$A:$A)-3),"")</f>
        <v>0</v>
      </c>
      <c r="AF161" s="145" t="n">
        <f aca="false">IFERROR('Price History'!K3+(INDEX('Price History'!K:K,MATCH(9.99E+307,'Price History'!$A:$A))-'Price History'!K3)*(ROW()-3)/(MATCH(9.99E+307,'Returns (Calc)'!$A:$A)-3),"")</f>
        <v>0</v>
      </c>
      <c r="AG161" s="145" t="n">
        <f aca="false">IFERROR('Price History'!L3+(INDEX('Price History'!L:L,MATCH(9.99E+307,'Price History'!$A:$A))-'Price History'!L3)*(ROW()-3)/(MATCH(9.99E+307,'Returns (Calc)'!$A:$A)-3),"")</f>
        <v>0</v>
      </c>
      <c r="AH161" s="145" t="n">
        <f aca="false">IFERROR('Price History'!M3+(INDEX('Price History'!M:M,MATCH(9.99E+307,'Price History'!$A:$A))-'Price History'!M3)*(ROW()-3)/(MATCH(9.99E+307,'Returns (Calc)'!$A:$A)-3),"")</f>
        <v>0</v>
      </c>
      <c r="AI161" s="145" t="n">
        <f aca="false">IFERROR('Price History'!N3+(INDEX('Price History'!N:N,MATCH(9.99E+307,'Price History'!$A:$A))-'Price History'!N3)*(ROW()-3)/(MATCH(9.99E+307,'Returns (Calc)'!$A:$A)-3),"")</f>
        <v>0</v>
      </c>
      <c r="AJ161" s="145" t="n">
        <f aca="false">IFERROR('Price History'!O3+(INDEX('Price History'!O:O,MATCH(9.99E+307,'Price History'!$A:$A))-'Price History'!O3)*(ROW()-3)/(MATCH(9.99E+307,'Returns (Calc)'!$A:$A)-3),"")</f>
        <v>0</v>
      </c>
      <c r="AK161" s="145" t="n">
        <f aca="false">IFERROR('Price History'!Q3+(INDEX('Price History'!Q:Q,MATCH(9.99E+307,'Price History'!$A:$A))-'Price History'!Q3)*(ROW()-3)/(MATCH(9.99E+307,'Returns (Calc)'!$A:$A)-3),"")</f>
        <v>0</v>
      </c>
      <c r="AL161" s="145" t="n">
        <f aca="false">IFERROR('Price History'!R3+(INDEX('Price History'!R:R,MATCH(9.99E+307,'Price History'!$A:$A))-'Price History'!R3)*(ROW()-3)/(MATCH(9.99E+307,'Returns (Calc)'!$A:$A)-3),"")</f>
        <v>0</v>
      </c>
      <c r="AM161" s="145" t="n">
        <f aca="false">IFERROR('Price History'!S3+(INDEX('Price History'!S:S,MATCH(9.99E+307,'Price History'!$A:$A))-'Price History'!S3)*(ROW()-3)/(MATCH(9.99E+307,'Returns (Calc)'!$A:$A)-3),"")</f>
        <v>0</v>
      </c>
      <c r="AN161" s="145" t="n">
        <f aca="false">IFERROR('Price History'!T3+(INDEX('Price History'!T:T,MATCH(9.99E+307,'Price History'!$A:$A))-'Price History'!T3)*(ROW()-3)/(MATCH(9.99E+307,'Returns (Calc)'!$A:$A)-3),"")</f>
        <v>0</v>
      </c>
      <c r="AO161" s="145" t="n">
        <f aca="false">IFERROR('Price History'!V3+(INDEX('Price History'!V:V,MATCH(9.99E+307,'Price History'!$A:$A))-'Price History'!V3)*(ROW()-3)/(MATCH(9.99E+307,'Returns (Calc)'!$A:$A)-3),"")</f>
        <v>0</v>
      </c>
    </row>
    <row r="162" customFormat="false" ht="15" hidden="false" customHeight="true" outlineLevel="0" collapsed="false">
      <c r="A162" s="141" t="str">
        <f aca="false">IF('Price History'!A163="","",'Price History'!A163)</f>
        <v/>
      </c>
      <c r="B162" s="142" t="str">
        <f aca="false">IFERROR(IF(OR(NOT(ISNUMBER('Price History'!B163)),NOT(ISNUMBER('Price History'!B162)),'Price History'!B162=0),"",'Price History'!B163/'Price History'!B162-1),"")</f>
        <v/>
      </c>
      <c r="C162" s="142" t="str">
        <f aca="false">IFERROR(IF(OR(NOT(ISNUMBER('Price History'!C163)),NOT(ISNUMBER('Price History'!C162)),'Price History'!C162=0),"",'Price History'!C163/'Price History'!C162-1),"")</f>
        <v/>
      </c>
      <c r="D162" s="142" t="str">
        <f aca="false">IFERROR(IF(OR(NOT(ISNUMBER('Price History'!D163)),NOT(ISNUMBER('Price History'!D162)),'Price History'!D162=0),"",'Price History'!D163/'Price History'!D162-1),"")</f>
        <v/>
      </c>
      <c r="E162" s="142" t="str">
        <f aca="false">IFERROR(IF(OR(NOT(ISNUMBER('Price History'!E163)),NOT(ISNUMBER('Price History'!E162)),'Price History'!E162=0),"",'Price History'!E163/'Price History'!E162-1),"")</f>
        <v/>
      </c>
      <c r="F162" s="142" t="str">
        <f aca="false">IFERROR(IF(OR(NOT(ISNUMBER('Price History'!F163)),NOT(ISNUMBER('Price History'!F162)),'Price History'!F162=0),"",'Price History'!F163/'Price History'!F162-1),"")</f>
        <v/>
      </c>
      <c r="G162" s="142" t="str">
        <f aca="false">IFERROR(IF(OR(NOT(ISNUMBER('Price History'!G163)),NOT(ISNUMBER('Price History'!G162)),'Price History'!G162=0),"",'Price History'!G163/'Price History'!G162-1),"")</f>
        <v/>
      </c>
      <c r="H162" s="142" t="str">
        <f aca="false">IFERROR(IF(OR(NOT(ISNUMBER('Price History'!H163)),NOT(ISNUMBER('Price History'!H162)),'Price History'!H162=0),"",'Price History'!H163/'Price History'!H162-1),"")</f>
        <v/>
      </c>
      <c r="I162" s="142" t="str">
        <f aca="false">IFERROR(IF(OR(NOT(ISNUMBER('Price History'!I163)),NOT(ISNUMBER('Price History'!I162)),'Price History'!I162=0),"",'Price History'!I163/'Price History'!I162-1),"")</f>
        <v/>
      </c>
      <c r="J162" s="142" t="str">
        <f aca="false">IFERROR(IF(OR(NOT(ISNUMBER('Price History'!J163)),NOT(ISNUMBER('Price History'!J162)),'Price History'!J162=0),"",'Price History'!J163/'Price History'!J162-1),"")</f>
        <v/>
      </c>
      <c r="K162" s="142" t="str">
        <f aca="false">IFERROR(IF(OR(NOT(ISNUMBER('Price History'!K163)),NOT(ISNUMBER('Price History'!K162)),'Price History'!K162=0),"",'Price History'!K163/'Price History'!K162-1),"")</f>
        <v/>
      </c>
      <c r="L162" s="142" t="str">
        <f aca="false">IFERROR(IF(OR(NOT(ISNUMBER('Price History'!L163)),NOT(ISNUMBER('Price History'!L162)),'Price History'!L162=0),"",'Price History'!L163/'Price History'!L162-1),"")</f>
        <v/>
      </c>
      <c r="M162" s="142" t="str">
        <f aca="false">IFERROR(IF(OR(NOT(ISNUMBER('Price History'!M163)),NOT(ISNUMBER('Price History'!M162)),'Price History'!M162=0),"",'Price History'!M163/'Price History'!M162-1),"")</f>
        <v/>
      </c>
      <c r="N162" s="142" t="str">
        <f aca="false">IFERROR(IF(OR(NOT(ISNUMBER('Price History'!N163)),NOT(ISNUMBER('Price History'!N162)),'Price History'!N162=0),"",'Price History'!N163/'Price History'!N162-1),"")</f>
        <v/>
      </c>
      <c r="O162" s="142" t="str">
        <f aca="false">IFERROR(IF(OR(NOT(ISNUMBER('Price History'!O163)),NOT(ISNUMBER('Price History'!O162)),'Price History'!O162=0),"",'Price History'!O163/'Price History'!O162-1),"")</f>
        <v/>
      </c>
      <c r="P162" s="142" t="str">
        <f aca="false">IFERROR(IF(OR(NOT(ISNUMBER('Price History'!P163)),NOT(ISNUMBER('Price History'!P162)),'Price History'!P162=0),"",'Price History'!P163/'Price History'!P162-1),"")</f>
        <v/>
      </c>
      <c r="Q162" s="142" t="str">
        <f aca="false">IFERROR(IF(OR(NOT(ISNUMBER('Price History'!Q163)),NOT(ISNUMBER('Price History'!Q162)),'Price History'!Q162=0),"",'Price History'!Q163/'Price History'!Q162-1),"")</f>
        <v/>
      </c>
      <c r="R162" s="142" t="str">
        <f aca="false">IFERROR(IF(OR(NOT(ISNUMBER('Price History'!R163)),NOT(ISNUMBER('Price History'!R162)),'Price History'!R162=0),"",'Price History'!R163/'Price History'!R162-1),"")</f>
        <v/>
      </c>
      <c r="S162" s="142" t="str">
        <f aca="false">IFERROR(IF(OR(NOT(ISNUMBER('Price History'!S163)),NOT(ISNUMBER('Price History'!S162)),'Price History'!S162=0),"",'Price History'!S163/'Price History'!S162-1),"")</f>
        <v/>
      </c>
      <c r="T162" s="142" t="str">
        <f aca="false">IFERROR(IF(OR(NOT(ISNUMBER('Price History'!T163)),NOT(ISNUMBER('Price History'!T162)),'Price History'!T162=0),"",'Price History'!T163/'Price History'!T162-1),"")</f>
        <v/>
      </c>
      <c r="U162" s="142" t="str">
        <f aca="false">IFERROR(IF(OR(NOT(ISNUMBER('Price History'!U163)),NOT(ISNUMBER('Price History'!U162)),'Price History'!U162=0),"",'Price History'!U163/'Price History'!U162-1),"")</f>
        <v/>
      </c>
      <c r="V162" s="143" t="str">
        <f aca="false">IFERROR(IF(OR(NOT(ISNUMBER('Price History'!V163)),NOT(ISNUMBER('Price History'!V162)),'Price History'!V162=0),"",'Price History'!V163/'Price History'!V162-1),"")</f>
        <v/>
      </c>
      <c r="W162" s="145" t="str">
        <f aca="false">IFERROR('Price History'!B3+(INDEX('Price History'!B:B,MATCH(9.99E+307,'Price History'!$A:$A))-'Price History'!B3)*(ROW()-3)/(MATCH(9.99E+307,'Returns (Calc)'!$A:$A)-3),"")</f>
        <v/>
      </c>
      <c r="X162" s="145" t="n">
        <f aca="false">IFERROR('Price History'!C3+(INDEX('Price History'!C:C,MATCH(9.99E+307,'Price History'!$A:$A))-'Price History'!C3)*(ROW()-3)/(MATCH(9.99E+307,'Returns (Calc)'!$A:$A)-3),"")</f>
        <v>-0.292278481012659</v>
      </c>
      <c r="Y162" s="145" t="n">
        <f aca="false">IFERROR('Price History'!D3+(INDEX('Price History'!D:D,MATCH(9.99E+307,'Price History'!$A:$A))-'Price History'!D3)*(ROW()-3)/(MATCH(9.99E+307,'Returns (Calc)'!$A:$A)-3),"")</f>
        <v>-3.68360759493669</v>
      </c>
      <c r="Z162" s="145" t="n">
        <f aca="false">IFERROR('Price History'!E3+(INDEX('Price History'!E:E,MATCH(9.99E+307,'Price History'!$A:$A))-'Price History'!E3)*(ROW()-3)/(MATCH(9.99E+307,'Returns (Calc)'!$A:$A)-3),"")</f>
        <v>-0.518987341772146</v>
      </c>
      <c r="AA162" s="145" t="n">
        <f aca="false">IFERROR('Price History'!F3+(INDEX('Price History'!F:F,MATCH(9.99E+307,'Price History'!$A:$A))-'Price History'!F3)*(ROW()-3)/(MATCH(9.99E+307,'Returns (Calc)'!$A:$A)-3),"")</f>
        <v>-0.47664556962026</v>
      </c>
      <c r="AB162" s="145" t="n">
        <f aca="false">IFERROR('Price History'!G3+(INDEX('Price History'!G:G,MATCH(9.99E+307,'Price History'!$A:$A))-'Price History'!G3)*(ROW()-3)/(MATCH(9.99E+307,'Returns (Calc)'!$A:$A)-3),"")</f>
        <v>-0.261772151898732</v>
      </c>
      <c r="AC162" s="145" t="n">
        <f aca="false">IFERROR('Price History'!H3+(INDEX('Price History'!H:H,MATCH(9.99E+307,'Price History'!$A:$A))-'Price History'!H3)*(ROW()-3)/(MATCH(9.99E+307,'Returns (Calc)'!$A:$A)-3),"")</f>
        <v>-0.636645569620256</v>
      </c>
      <c r="AD162" s="145" t="n">
        <f aca="false">IFERROR('Price History'!I3+(INDEX('Price History'!I:I,MATCH(9.99E+307,'Price History'!$A:$A))-'Price History'!I3)*(ROW()-3)/(MATCH(9.99E+307,'Returns (Calc)'!$A:$A)-3),"")</f>
        <v>-0.280696202531651</v>
      </c>
      <c r="AE162" s="145" t="n">
        <f aca="false">IFERROR('Price History'!J3+(INDEX('Price History'!J:J,MATCH(9.99E+307,'Price History'!$A:$A))-'Price History'!J3)*(ROW()-3)/(MATCH(9.99E+307,'Returns (Calc)'!$A:$A)-3),"")</f>
        <v>-0.437405063291138</v>
      </c>
      <c r="AF162" s="145" t="n">
        <f aca="false">IFERROR('Price History'!K3+(INDEX('Price History'!K:K,MATCH(9.99E+307,'Price History'!$A:$A))-'Price History'!K3)*(ROW()-3)/(MATCH(9.99E+307,'Returns (Calc)'!$A:$A)-3),"")</f>
        <v>-0.277025316455692</v>
      </c>
      <c r="AG162" s="145" t="n">
        <f aca="false">IFERROR('Price History'!L3+(INDEX('Price History'!L:L,MATCH(9.99E+307,'Price History'!$A:$A))-'Price History'!L3)*(ROW()-3)/(MATCH(9.99E+307,'Returns (Calc)'!$A:$A)-3),"")</f>
        <v>-0.707848101265824</v>
      </c>
      <c r="AH162" s="145" t="n">
        <f aca="false">IFERROR('Price History'!M3+(INDEX('Price History'!M:M,MATCH(9.99E+307,'Price History'!$A:$A))-'Price History'!M3)*(ROW()-3)/(MATCH(9.99E+307,'Returns (Calc)'!$A:$A)-3),"")</f>
        <v>-0.097025316455694</v>
      </c>
      <c r="AI162" s="145" t="n">
        <f aca="false">IFERROR('Price History'!N3+(INDEX('Price History'!N:N,MATCH(9.99E+307,'Price History'!$A:$A))-'Price History'!N3)*(ROW()-3)/(MATCH(9.99E+307,'Returns (Calc)'!$A:$A)-3),"")</f>
        <v>-0.137974683544304</v>
      </c>
      <c r="AJ162" s="145" t="n">
        <f aca="false">IFERROR('Price History'!O3+(INDEX('Price History'!O:O,MATCH(9.99E+307,'Price History'!$A:$A))-'Price History'!O3)*(ROW()-3)/(MATCH(9.99E+307,'Returns (Calc)'!$A:$A)-3),"")</f>
        <v>-0.364746835443036</v>
      </c>
      <c r="AK162" s="145" t="n">
        <f aca="false">IFERROR('Price History'!Q3+(INDEX('Price History'!Q:Q,MATCH(9.99E+307,'Price History'!$A:$A))-'Price History'!Q3)*(ROW()-3)/(MATCH(9.99E+307,'Returns (Calc)'!$A:$A)-3),"")</f>
        <v>-1.49132911392405</v>
      </c>
      <c r="AL162" s="145" t="n">
        <f aca="false">IFERROR('Price History'!R3+(INDEX('Price History'!R:R,MATCH(9.99E+307,'Price History'!$A:$A))-'Price History'!R3)*(ROW()-3)/(MATCH(9.99E+307,'Returns (Calc)'!$A:$A)-3),"")</f>
        <v>-0.302658227848099</v>
      </c>
      <c r="AM162" s="145" t="n">
        <f aca="false">IFERROR('Price History'!S3+(INDEX('Price History'!S:S,MATCH(9.99E+307,'Price History'!$A:$A))-'Price History'!S3)*(ROW()-3)/(MATCH(9.99E+307,'Returns (Calc)'!$A:$A)-3),"")</f>
        <v>-0.37050632911393</v>
      </c>
      <c r="AN162" s="145" t="n">
        <f aca="false">IFERROR('Price History'!T3+(INDEX('Price History'!T:T,MATCH(9.99E+307,'Price History'!$A:$A))-'Price History'!T3)*(ROW()-3)/(MATCH(9.99E+307,'Returns (Calc)'!$A:$A)-3),"")</f>
        <v>-0.170316455696199</v>
      </c>
      <c r="AO162" s="145" t="n">
        <f aca="false">IFERROR('Price History'!V3+(INDEX('Price History'!V:V,MATCH(9.99E+307,'Price History'!$A:$A))-'Price History'!V3)*(ROW()-3)/(MATCH(9.99E+307,'Returns (Calc)'!$A:$A)-3),"")</f>
        <v>0</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F17" activePane="bottomRight" state="frozen"/>
      <selection pane="topLeft" activeCell="A1" activeCellId="0" sqref="A1"/>
      <selection pane="topRight" activeCell="F1" activeCellId="0" sqref="F1"/>
      <selection pane="bottomLeft" activeCell="A17" activeCellId="0" sqref="A17"/>
      <selection pane="bottomRight" activeCell="S33" activeCellId="0" sqref="S33"/>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23" width="6.77"/>
    <col collapsed="false" customWidth="false" hidden="false" outlineLevel="0" max="21" min="3" style="23" width="8.67"/>
    <col collapsed="false" customWidth="true" hidden="false" outlineLevel="0" max="22" min="22" style="23" width="9"/>
    <col collapsed="false" customWidth="true" hidden="false" outlineLevel="0" max="33" min="23" style="1" width="13"/>
  </cols>
  <sheetData>
    <row r="1" customFormat="false" ht="15" hidden="false" customHeight="true" outlineLevel="0" collapsed="false">
      <c r="A1" s="146" t="s">
        <v>456</v>
      </c>
      <c r="B1" s="146"/>
      <c r="C1" s="146"/>
      <c r="D1" s="146"/>
      <c r="E1" s="146"/>
      <c r="F1" s="146"/>
      <c r="G1" s="146"/>
      <c r="H1" s="146"/>
      <c r="I1" s="146"/>
      <c r="J1" s="146"/>
      <c r="K1" s="146"/>
      <c r="L1" s="146"/>
      <c r="M1" s="146"/>
      <c r="N1" s="146"/>
      <c r="O1" s="146"/>
      <c r="P1" s="146"/>
      <c r="Q1" s="146"/>
      <c r="R1" s="146"/>
      <c r="S1" s="146"/>
      <c r="T1" s="146"/>
      <c r="U1" s="146"/>
      <c r="V1" s="146"/>
      <c r="W1" s="146"/>
      <c r="X1" s="146"/>
      <c r="Y1" s="146"/>
      <c r="Z1" s="146"/>
      <c r="AA1" s="146"/>
      <c r="AB1" s="146"/>
      <c r="AC1" s="146"/>
      <c r="AD1" s="146"/>
      <c r="AE1" s="146"/>
      <c r="AF1" s="146"/>
      <c r="AG1" s="146"/>
    </row>
    <row r="2" customFormat="false" ht="15" hidden="false" customHeight="true" outlineLevel="0" collapsed="false">
      <c r="A2" s="147" t="s">
        <v>457</v>
      </c>
      <c r="J2" s="148" t="n">
        <f aca="false">COUNTIF(AG6:AG26,"&gt;1")</f>
        <v>4</v>
      </c>
    </row>
    <row r="3" customFormat="false" ht="15" hidden="false" customHeight="true" outlineLevel="0" collapsed="false">
      <c r="A3" s="147" t="s">
        <v>458</v>
      </c>
      <c r="J3" s="148" t="str">
        <f aca="false">IF(J2&gt;0,"REVIEW REQUIRED","OK")</f>
        <v>REVIEW REQUIRED</v>
      </c>
    </row>
    <row r="5" customFormat="false" ht="27.75" hidden="false" customHeight="true" outlineLevel="0" collapsed="false">
      <c r="A5" s="149" t="s">
        <v>81</v>
      </c>
      <c r="B5" s="149" t="str">
        <f aca="false">'Returns (Calc)'!B2</f>
        <v>ADBE</v>
      </c>
      <c r="C5" s="149" t="str">
        <f aca="false">'Returns (Calc)'!C2</f>
        <v>ANET</v>
      </c>
      <c r="D5" s="149" t="str">
        <f aca="false">'Returns (Calc)'!D2</f>
        <v>ASML</v>
      </c>
      <c r="E5" s="149" t="str">
        <f aca="false">'Returns (Calc)'!E2</f>
        <v>AVGO</v>
      </c>
      <c r="F5" s="149" t="str">
        <f aca="false">'Returns (Calc)'!F2</f>
        <v>AVUV</v>
      </c>
      <c r="G5" s="149" t="str">
        <f aca="false">'Returns (Calc)'!G2</f>
        <v>CRWD</v>
      </c>
      <c r="H5" s="149" t="str">
        <f aca="false">'Returns (Calc)'!H2</f>
        <v>DVY</v>
      </c>
      <c r="I5" s="149" t="str">
        <f aca="false">'Returns (Calc)'!I2</f>
        <v>KLAC</v>
      </c>
      <c r="J5" s="149" t="str">
        <f aca="false">'Returns (Calc)'!J2</f>
        <v>MU</v>
      </c>
      <c r="K5" s="149" t="str">
        <f aca="false">'Returns (Calc)'!K2</f>
        <v>NVDA</v>
      </c>
      <c r="L5" s="149" t="str">
        <f aca="false">'Returns (Calc)'!L2</f>
        <v>PLD</v>
      </c>
      <c r="M5" s="149" t="str">
        <f aca="false">'Returns (Calc)'!M2</f>
        <v>PLTR</v>
      </c>
      <c r="N5" s="149" t="str">
        <f aca="false">'Returns (Calc)'!N2</f>
        <v>SCHD</v>
      </c>
      <c r="O5" s="149" t="str">
        <f aca="false">'Returns (Calc)'!O2</f>
        <v>SPMO</v>
      </c>
      <c r="P5" s="149" t="str">
        <f aca="false">'Returns (Calc)'!P2</f>
        <v>TSM</v>
      </c>
      <c r="Q5" s="149" t="str">
        <f aca="false">'Returns (Calc)'!Q2</f>
        <v>V</v>
      </c>
      <c r="R5" s="149" t="str">
        <f aca="false">'Returns (Calc)'!R2</f>
        <v>JEPQ</v>
      </c>
      <c r="S5" s="149" t="str">
        <f aca="false">'Returns (Calc)'!S2</f>
        <v>SPMO</v>
      </c>
      <c r="T5" s="149" t="str">
        <f aca="false">'Returns (Calc)'!T2</f>
        <v>VFLO</v>
      </c>
      <c r="U5" s="149" t="n">
        <f aca="false">'Returns (Calc)'!U2</f>
        <v>0</v>
      </c>
      <c r="V5" s="149" t="str">
        <f aca="false">'Returns (Calc)'!V2</f>
        <v>V</v>
      </c>
      <c r="W5" s="150"/>
      <c r="X5" s="150"/>
      <c r="Y5" s="150"/>
      <c r="Z5" s="150"/>
      <c r="AA5" s="150"/>
      <c r="AB5" s="150"/>
      <c r="AC5" s="150"/>
      <c r="AD5" s="150"/>
      <c r="AE5" s="150"/>
      <c r="AF5" s="150"/>
      <c r="AG5" s="149" t="s">
        <v>459</v>
      </c>
    </row>
    <row r="6" customFormat="false" ht="15" hidden="false" customHeight="true" outlineLevel="0" collapsed="false">
      <c r="A6" s="151" t="str">
        <f aca="false">'Returns (Calc)'!B2</f>
        <v>ADBE</v>
      </c>
      <c r="B6" s="152" t="n">
        <v>1</v>
      </c>
      <c r="C6" s="152" t="n">
        <f aca="false">IFERROR(ROUND(CORREL('Returns (Calc)'!$B$3:$B$500,'Returns (Calc)'!$C$3:$C$500),2),"")</f>
        <v>0.2</v>
      </c>
      <c r="D6" s="152" t="n">
        <f aca="false">IFERROR(ROUND(CORREL('Returns (Calc)'!$B$3:$B$500,'Returns (Calc)'!$D$3:$D$500),2),"")</f>
        <v>0.01</v>
      </c>
      <c r="E6" s="152" t="n">
        <f aca="false">IFERROR(ROUND(CORREL('Returns (Calc)'!$B$3:$B$500,'Returns (Calc)'!$E$3:$E$500),2),"")</f>
        <v>0.17</v>
      </c>
      <c r="F6" s="152" t="n">
        <f aca="false">IFERROR(ROUND(CORREL('Returns (Calc)'!$B$3:$B$500,'Returns (Calc)'!$F$3:$F$500),2),"")</f>
        <v>0.16</v>
      </c>
      <c r="G6" s="152" t="n">
        <f aca="false">IFERROR(ROUND(CORREL('Returns (Calc)'!$B$3:$B$500,'Returns (Calc)'!$G$3:$G$500),2),"")</f>
        <v>0.4</v>
      </c>
      <c r="H6" s="152" t="n">
        <f aca="false">IFERROR(ROUND(CORREL('Returns (Calc)'!$B$3:$B$500,'Returns (Calc)'!$H$3:$H$500),2),"")</f>
        <v>0.14</v>
      </c>
      <c r="I6" s="152" t="n">
        <f aca="false">IFERROR(ROUND(CORREL('Returns (Calc)'!$B$3:$B$500,'Returns (Calc)'!$I$3:$I$500),2),"")</f>
        <v>-0.06</v>
      </c>
      <c r="J6" s="152" t="n">
        <f aca="false">IFERROR(ROUND(CORREL('Returns (Calc)'!$B$3:$B$500,'Returns (Calc)'!$J$3:$J$500),2),"")</f>
        <v>0.05</v>
      </c>
      <c r="K6" s="152" t="n">
        <f aca="false">IFERROR(ROUND(CORREL('Returns (Calc)'!$B$3:$B$500,'Returns (Calc)'!$K$3:$K$500),2),"")</f>
        <v>0.21</v>
      </c>
      <c r="L6" s="152" t="n">
        <f aca="false">IFERROR(ROUND(CORREL('Returns (Calc)'!$B$3:$B$500,'Returns (Calc)'!$L$3:$L$500),2),"")</f>
        <v>0.18</v>
      </c>
      <c r="M6" s="152" t="n">
        <f aca="false">IFERROR(ROUND(CORREL('Returns (Calc)'!$B$3:$B$500,'Returns (Calc)'!$M$3:$M$500),2),"")</f>
        <v>0.37</v>
      </c>
      <c r="N6" s="152" t="n">
        <f aca="false">IFERROR(ROUND(CORREL('Returns (Calc)'!$B$3:$B$500,'Returns (Calc)'!$N$3:$N$500),2),"")</f>
        <v>0.22</v>
      </c>
      <c r="O6" s="152" t="n">
        <f aca="false">IFERROR(ROUND(CORREL('Returns (Calc)'!$B$3:$B$500,'Returns (Calc)'!$O$3:$O$500),2),"")</f>
        <v>0.23</v>
      </c>
      <c r="P6" s="152" t="n">
        <f aca="false">IFERROR(ROUND(CORREL('Returns (Calc)'!$B$3:$B$500,'Returns (Calc)'!$P$3:$P$500),2),"")</f>
        <v>0.15</v>
      </c>
      <c r="Q6" s="152" t="n">
        <f aca="false">IFERROR(ROUND(CORREL('Returns (Calc)'!$B$3:$B$500,'Returns (Calc)'!$Q$3:$Q$500),2),"")</f>
        <v>0.4</v>
      </c>
      <c r="R6" s="152" t="n">
        <f aca="false">IFERROR(ROUND(CORREL('Returns (Calc)'!$B$3:$B$500,'Returns (Calc)'!$R$3:$R$500),2),"")</f>
        <v>-0.06</v>
      </c>
      <c r="S6" s="152" t="n">
        <f aca="false">IFERROR(ROUND(CORREL('Returns (Calc)'!$B$3:$B$500,'Returns (Calc)'!$S$3:$S$500),2),"")</f>
        <v>-0.15</v>
      </c>
      <c r="T6" s="152" t="n">
        <f aca="false">IFERROR(ROUND(CORREL('Returns (Calc)'!$B$3:$B$500,'Returns (Calc)'!$T$3:$T$500),2),"")</f>
        <v>-0.09</v>
      </c>
      <c r="U6" s="152" t="str">
        <f aca="false">IFERROR(ROUND(CORREL('Returns (Calc)'!$B$3:$B$500,'Returns (Calc)'!$U$3:$U$500),2),"")</f>
        <v/>
      </c>
      <c r="V6" s="152" t="n">
        <f aca="false">IFERROR(ROUND(CORREL('Returns (Calc)'!$B$3:$B$500,'Returns (Calc)'!$V$3:$V$500),2),"")</f>
        <v>-0.15</v>
      </c>
      <c r="AG6" s="153" t="n">
        <f aca="false">COUNTIF(B6:V6,"&gt;0.7")-1</f>
        <v>0</v>
      </c>
    </row>
    <row r="7" customFormat="false" ht="15" hidden="false" customHeight="true" outlineLevel="0" collapsed="false">
      <c r="A7" s="151" t="str">
        <f aca="false">'Returns (Calc)'!C2</f>
        <v>ANET</v>
      </c>
      <c r="B7" s="152" t="n">
        <f aca="false">IFERROR(ROUND(CORREL('Returns (Calc)'!$C$3:$C$500,'Returns (Calc)'!$B$3:$B$500),2),"")</f>
        <v>0.2</v>
      </c>
      <c r="C7" s="152" t="n">
        <v>1</v>
      </c>
      <c r="D7" s="152" t="n">
        <f aca="false">IFERROR(ROUND(CORREL('Returns (Calc)'!$C$3:$C$500,'Returns (Calc)'!$D$3:$D$500),2),"")</f>
        <v>0.39</v>
      </c>
      <c r="E7" s="152" t="n">
        <f aca="false">IFERROR(ROUND(CORREL('Returns (Calc)'!$C$3:$C$500,'Returns (Calc)'!$E$3:$E$500),2),"")</f>
        <v>0.59</v>
      </c>
      <c r="F7" s="152" t="n">
        <f aca="false">IFERROR(ROUND(CORREL('Returns (Calc)'!$C$3:$C$500,'Returns (Calc)'!$F$3:$F$500),2),"")</f>
        <v>0.35</v>
      </c>
      <c r="G7" s="152" t="n">
        <f aca="false">IFERROR(ROUND(CORREL('Returns (Calc)'!$C$3:$C$500,'Returns (Calc)'!$G$3:$G$500),2),"")</f>
        <v>0.37</v>
      </c>
      <c r="H7" s="152" t="n">
        <f aca="false">IFERROR(ROUND(CORREL('Returns (Calc)'!$C$3:$C$500,'Returns (Calc)'!$H$3:$H$500),2),"")</f>
        <v>0.24</v>
      </c>
      <c r="I7" s="152" t="n">
        <f aca="false">IFERROR(ROUND(CORREL('Returns (Calc)'!$C$3:$C$500,'Returns (Calc)'!$I$3:$I$500),2),"")</f>
        <v>0.44</v>
      </c>
      <c r="J7" s="152" t="n">
        <f aca="false">IFERROR(ROUND(CORREL('Returns (Calc)'!$C$3:$C$500,'Returns (Calc)'!$J$3:$J$500),2),"")</f>
        <v>0.34</v>
      </c>
      <c r="K7" s="152" t="n">
        <f aca="false">IFERROR(ROUND(CORREL('Returns (Calc)'!$C$3:$C$500,'Returns (Calc)'!$K$3:$K$500),2),"")</f>
        <v>0.52</v>
      </c>
      <c r="L7" s="152" t="n">
        <f aca="false">IFERROR(ROUND(CORREL('Returns (Calc)'!$C$3:$C$500,'Returns (Calc)'!$L$3:$L$500),2),"")</f>
        <v>0.18</v>
      </c>
      <c r="M7" s="152" t="n">
        <f aca="false">IFERROR(ROUND(CORREL('Returns (Calc)'!$C$3:$C$500,'Returns (Calc)'!$M$3:$M$500),2),"")</f>
        <v>0.34</v>
      </c>
      <c r="N7" s="152" t="n">
        <f aca="false">IFERROR(ROUND(CORREL('Returns (Calc)'!$C$3:$C$500,'Returns (Calc)'!$N$3:$N$500),2),"")</f>
        <v>0.27</v>
      </c>
      <c r="O7" s="152" t="n">
        <f aca="false">IFERROR(ROUND(CORREL('Returns (Calc)'!$C$3:$C$500,'Returns (Calc)'!$O$3:$O$500),2),"")</f>
        <v>0.64</v>
      </c>
      <c r="P7" s="152" t="n">
        <f aca="false">IFERROR(ROUND(CORREL('Returns (Calc)'!$C$3:$C$500,'Returns (Calc)'!$P$3:$P$500),2),"")</f>
        <v>0.55</v>
      </c>
      <c r="Q7" s="152" t="n">
        <f aca="false">IFERROR(ROUND(CORREL('Returns (Calc)'!$C$3:$C$500,'Returns (Calc)'!$Q$3:$Q$500),2),"")</f>
        <v>0.25</v>
      </c>
      <c r="R7" s="152" t="n">
        <f aca="false">IFERROR(ROUND(CORREL('Returns (Calc)'!$C$3:$C$500,'Returns (Calc)'!$R$3:$R$500),2),"")</f>
        <v>0.01</v>
      </c>
      <c r="S7" s="152" t="n">
        <f aca="false">IFERROR(ROUND(CORREL('Returns (Calc)'!$C$3:$C$500,'Returns (Calc)'!$S$3:$S$500),2),"")</f>
        <v>-0.04</v>
      </c>
      <c r="T7" s="152" t="n">
        <f aca="false">IFERROR(ROUND(CORREL('Returns (Calc)'!$C$3:$C$500,'Returns (Calc)'!$T$3:$T$500),2),"")</f>
        <v>0</v>
      </c>
      <c r="U7" s="152" t="str">
        <f aca="false">IFERROR(ROUND(CORREL('Returns (Calc)'!$C$3:$C$500,'Returns (Calc)'!$U$3:$U$500),2),"")</f>
        <v/>
      </c>
      <c r="V7" s="152" t="n">
        <f aca="false">IFERROR(ROUND(CORREL('Returns (Calc)'!$C$3:$C$500,'Returns (Calc)'!$V$3:$V$500),2),"")</f>
        <v>-0.02</v>
      </c>
      <c r="AG7" s="153" t="n">
        <f aca="false">COUNTIF(B7:V7,"&gt;0.7")-1</f>
        <v>0</v>
      </c>
    </row>
    <row r="8" customFormat="false" ht="15" hidden="false" customHeight="true" outlineLevel="0" collapsed="false">
      <c r="A8" s="151" t="str">
        <f aca="false">'Returns (Calc)'!D2</f>
        <v>ASML</v>
      </c>
      <c r="B8" s="152" t="n">
        <f aca="false">IFERROR(ROUND(CORREL('Returns (Calc)'!$D$3:$D$500,'Returns (Calc)'!$B$3:$B$500),2),"")</f>
        <v>0.01</v>
      </c>
      <c r="C8" s="152" t="n">
        <f aca="false">IFERROR(ROUND(CORREL('Returns (Calc)'!$D$3:$D$500,'Returns (Calc)'!$C$3:$C$500),2),"")</f>
        <v>0.39</v>
      </c>
      <c r="D8" s="152" t="n">
        <v>1</v>
      </c>
      <c r="E8" s="152" t="n">
        <f aca="false">IFERROR(ROUND(CORREL('Returns (Calc)'!$D$3:$D$500,'Returns (Calc)'!$E$3:$E$500),2),"")</f>
        <v>0.49</v>
      </c>
      <c r="F8" s="152" t="n">
        <f aca="false">IFERROR(ROUND(CORREL('Returns (Calc)'!$D$3:$D$500,'Returns (Calc)'!$F$3:$F$500),2),"")</f>
        <v>0.38</v>
      </c>
      <c r="G8" s="152" t="n">
        <f aca="false">IFERROR(ROUND(CORREL('Returns (Calc)'!$D$3:$D$500,'Returns (Calc)'!$G$3:$G$500),2),"")</f>
        <v>0.32</v>
      </c>
      <c r="H8" s="152" t="n">
        <f aca="false">IFERROR(ROUND(CORREL('Returns (Calc)'!$D$3:$D$500,'Returns (Calc)'!$H$3:$H$500),2),"")</f>
        <v>0.24</v>
      </c>
      <c r="I8" s="152" t="n">
        <f aca="false">IFERROR(ROUND(CORREL('Returns (Calc)'!$D$3:$D$500,'Returns (Calc)'!$I$3:$I$500),2),"")</f>
        <v>0.77</v>
      </c>
      <c r="J8" s="152" t="n">
        <f aca="false">IFERROR(ROUND(CORREL('Returns (Calc)'!$D$3:$D$500,'Returns (Calc)'!$J$3:$J$500),2),"")</f>
        <v>0.6</v>
      </c>
      <c r="K8" s="152" t="n">
        <f aca="false">IFERROR(ROUND(CORREL('Returns (Calc)'!$D$3:$D$500,'Returns (Calc)'!$K$3:$K$500),2),"")</f>
        <v>0.49</v>
      </c>
      <c r="L8" s="152" t="n">
        <f aca="false">IFERROR(ROUND(CORREL('Returns (Calc)'!$D$3:$D$500,'Returns (Calc)'!$L$3:$L$500),2),"")</f>
        <v>0.28</v>
      </c>
      <c r="M8" s="152" t="n">
        <f aca="false">IFERROR(ROUND(CORREL('Returns (Calc)'!$D$3:$D$500,'Returns (Calc)'!$M$3:$M$500),2),"")</f>
        <v>0.21</v>
      </c>
      <c r="N8" s="152" t="n">
        <f aca="false">IFERROR(ROUND(CORREL('Returns (Calc)'!$D$3:$D$500,'Returns (Calc)'!$N$3:$N$500),2),"")</f>
        <v>0.27</v>
      </c>
      <c r="O8" s="152" t="n">
        <f aca="false">IFERROR(ROUND(CORREL('Returns (Calc)'!$D$3:$D$500,'Returns (Calc)'!$O$3:$O$500),2),"")</f>
        <v>0.61</v>
      </c>
      <c r="P8" s="152" t="n">
        <f aca="false">IFERROR(ROUND(CORREL('Returns (Calc)'!$D$3:$D$500,'Returns (Calc)'!$P$3:$P$500),2),"")</f>
        <v>0.63</v>
      </c>
      <c r="Q8" s="152" t="n">
        <f aca="false">IFERROR(ROUND(CORREL('Returns (Calc)'!$D$3:$D$500,'Returns (Calc)'!$Q$3:$Q$500),2),"")</f>
        <v>0.05</v>
      </c>
      <c r="R8" s="152" t="n">
        <f aca="false">IFERROR(ROUND(CORREL('Returns (Calc)'!$D$3:$D$500,'Returns (Calc)'!$R$3:$R$500),2),"")</f>
        <v>0.05</v>
      </c>
      <c r="S8" s="152" t="n">
        <f aca="false">IFERROR(ROUND(CORREL('Returns (Calc)'!$D$3:$D$500,'Returns (Calc)'!$S$3:$S$500),2),"")</f>
        <v>0.03</v>
      </c>
      <c r="T8" s="152" t="n">
        <f aca="false">IFERROR(ROUND(CORREL('Returns (Calc)'!$D$3:$D$500,'Returns (Calc)'!$T$3:$T$500),2),"")</f>
        <v>0.09</v>
      </c>
      <c r="U8" s="152" t="str">
        <f aca="false">IFERROR(ROUND(CORREL('Returns (Calc)'!$D$3:$D$500,'Returns (Calc)'!$U$3:$U$500),2),"")</f>
        <v/>
      </c>
      <c r="V8" s="152" t="n">
        <f aca="false">IFERROR(ROUND(CORREL('Returns (Calc)'!$D$3:$D$500,'Returns (Calc)'!$V$3:$V$500),2),"")</f>
        <v>0.02</v>
      </c>
      <c r="AG8" s="153" t="n">
        <f aca="false">COUNTIF(B8:V8,"&gt;0.7")-1</f>
        <v>1</v>
      </c>
    </row>
    <row r="9" customFormat="false" ht="15" hidden="false" customHeight="true" outlineLevel="0" collapsed="false">
      <c r="A9" s="151" t="str">
        <f aca="false">'Returns (Calc)'!E2</f>
        <v>AVGO</v>
      </c>
      <c r="B9" s="152" t="n">
        <f aca="false">IFERROR(ROUND(CORREL('Returns (Calc)'!$E$3:$E$500,'Returns (Calc)'!$B$3:$B$500),2),"")</f>
        <v>0.17</v>
      </c>
      <c r="C9" s="152" t="n">
        <f aca="false">IFERROR(ROUND(CORREL('Returns (Calc)'!$E$3:$E$500,'Returns (Calc)'!$C$3:$C$500),2),"")</f>
        <v>0.59</v>
      </c>
      <c r="D9" s="152" t="n">
        <f aca="false">IFERROR(ROUND(CORREL('Returns (Calc)'!$E$3:$E$500,'Returns (Calc)'!$D$3:$D$500),2),"")</f>
        <v>0.49</v>
      </c>
      <c r="E9" s="152" t="n">
        <v>1</v>
      </c>
      <c r="F9" s="152" t="n">
        <f aca="false">IFERROR(ROUND(CORREL('Returns (Calc)'!$E$3:$E$500,'Returns (Calc)'!$F$3:$F$500),2),"")</f>
        <v>0.29</v>
      </c>
      <c r="G9" s="152" t="n">
        <f aca="false">IFERROR(ROUND(CORREL('Returns (Calc)'!$E$3:$E$500,'Returns (Calc)'!$G$3:$G$500),2),"")</f>
        <v>0.4</v>
      </c>
      <c r="H9" s="152" t="n">
        <f aca="false">IFERROR(ROUND(CORREL('Returns (Calc)'!$E$3:$E$500,'Returns (Calc)'!$H$3:$H$500),2),"")</f>
        <v>0.11</v>
      </c>
      <c r="I9" s="152" t="n">
        <f aca="false">IFERROR(ROUND(CORREL('Returns (Calc)'!$E$3:$E$500,'Returns (Calc)'!$I$3:$I$500),2),"")</f>
        <v>0.53</v>
      </c>
      <c r="J9" s="152" t="n">
        <f aca="false">IFERROR(ROUND(CORREL('Returns (Calc)'!$E$3:$E$500,'Returns (Calc)'!$J$3:$J$500),2),"")</f>
        <v>0.48</v>
      </c>
      <c r="K9" s="152" t="n">
        <f aca="false">IFERROR(ROUND(CORREL('Returns (Calc)'!$E$3:$E$500,'Returns (Calc)'!$K$3:$K$500),2),"")</f>
        <v>0.62</v>
      </c>
      <c r="L9" s="152" t="n">
        <f aca="false">IFERROR(ROUND(CORREL('Returns (Calc)'!$E$3:$E$500,'Returns (Calc)'!$L$3:$L$500),2),"")</f>
        <v>0.22</v>
      </c>
      <c r="M9" s="152" t="n">
        <f aca="false">IFERROR(ROUND(CORREL('Returns (Calc)'!$E$3:$E$500,'Returns (Calc)'!$M$3:$M$500),2),"")</f>
        <v>0.38</v>
      </c>
      <c r="N9" s="152" t="n">
        <f aca="false">IFERROR(ROUND(CORREL('Returns (Calc)'!$E$3:$E$500,'Returns (Calc)'!$N$3:$N$500),2),"")</f>
        <v>0.16</v>
      </c>
      <c r="O9" s="152" t="n">
        <f aca="false">IFERROR(ROUND(CORREL('Returns (Calc)'!$E$3:$E$500,'Returns (Calc)'!$O$3:$O$500),2),"")</f>
        <v>0.73</v>
      </c>
      <c r="P9" s="152" t="n">
        <f aca="false">IFERROR(ROUND(CORREL('Returns (Calc)'!$E$3:$E$500,'Returns (Calc)'!$P$3:$P$500),2),"")</f>
        <v>0.63</v>
      </c>
      <c r="Q9" s="152" t="n">
        <f aca="false">IFERROR(ROUND(CORREL('Returns (Calc)'!$E$3:$E$500,'Returns (Calc)'!$Q$3:$Q$500),2),"")</f>
        <v>0.2</v>
      </c>
      <c r="R9" s="152" t="n">
        <f aca="false">IFERROR(ROUND(CORREL('Returns (Calc)'!$E$3:$E$500,'Returns (Calc)'!$R$3:$R$500),2),"")</f>
        <v>0.04</v>
      </c>
      <c r="S9" s="152" t="n">
        <f aca="false">IFERROR(ROUND(CORREL('Returns (Calc)'!$E$3:$E$500,'Returns (Calc)'!$S$3:$S$500),2),"")</f>
        <v>0.03</v>
      </c>
      <c r="T9" s="152" t="n">
        <f aca="false">IFERROR(ROUND(CORREL('Returns (Calc)'!$E$3:$E$500,'Returns (Calc)'!$T$3:$T$500),2),"")</f>
        <v>0.01</v>
      </c>
      <c r="U9" s="152" t="str">
        <f aca="false">IFERROR(ROUND(CORREL('Returns (Calc)'!$E$3:$E$500,'Returns (Calc)'!$U$3:$U$500),2),"")</f>
        <v/>
      </c>
      <c r="V9" s="152" t="n">
        <f aca="false">IFERROR(ROUND(CORREL('Returns (Calc)'!$E$3:$E$500,'Returns (Calc)'!$V$3:$V$500),2),"")</f>
        <v>-0.07</v>
      </c>
      <c r="AG9" s="153" t="n">
        <f aca="false">COUNTIF(B9:V9,"&gt;0.7")-1</f>
        <v>1</v>
      </c>
    </row>
    <row r="10" customFormat="false" ht="15" hidden="false" customHeight="true" outlineLevel="0" collapsed="false">
      <c r="A10" s="151" t="str">
        <f aca="false">'Returns (Calc)'!F2</f>
        <v>AVUV</v>
      </c>
      <c r="B10" s="152" t="n">
        <f aca="false">IFERROR(ROUND(CORREL('Returns (Calc)'!$F$3:$F$500,'Returns (Calc)'!$B$3:$B$500),2),"")</f>
        <v>0.16</v>
      </c>
      <c r="C10" s="152" t="n">
        <f aca="false">IFERROR(ROUND(CORREL('Returns (Calc)'!$F$3:$F$500,'Returns (Calc)'!$C$3:$C$500),2),"")</f>
        <v>0.35</v>
      </c>
      <c r="D10" s="152" t="n">
        <f aca="false">IFERROR(ROUND(CORREL('Returns (Calc)'!$F$3:$F$500,'Returns (Calc)'!$D$3:$D$500),2),"")</f>
        <v>0.38</v>
      </c>
      <c r="E10" s="152" t="n">
        <f aca="false">IFERROR(ROUND(CORREL('Returns (Calc)'!$F$3:$F$500,'Returns (Calc)'!$E$3:$E$500),2),"")</f>
        <v>0.29</v>
      </c>
      <c r="F10" s="152" t="n">
        <v>1</v>
      </c>
      <c r="G10" s="152" t="n">
        <f aca="false">IFERROR(ROUND(CORREL('Returns (Calc)'!$F$3:$F$500,'Returns (Calc)'!$G$3:$G$500),2),"")</f>
        <v>0.19</v>
      </c>
      <c r="H10" s="152" t="n">
        <f aca="false">IFERROR(ROUND(CORREL('Returns (Calc)'!$F$3:$F$500,'Returns (Calc)'!$H$3:$H$500),2),"")</f>
        <v>0.86</v>
      </c>
      <c r="I10" s="152" t="n">
        <f aca="false">IFERROR(ROUND(CORREL('Returns (Calc)'!$F$3:$F$500,'Returns (Calc)'!$I$3:$I$500),2),"")</f>
        <v>0.44</v>
      </c>
      <c r="J10" s="152" t="n">
        <f aca="false">IFERROR(ROUND(CORREL('Returns (Calc)'!$F$3:$F$500,'Returns (Calc)'!$J$3:$J$500),2),"")</f>
        <v>0.35</v>
      </c>
      <c r="K10" s="152" t="n">
        <f aca="false">IFERROR(ROUND(CORREL('Returns (Calc)'!$F$3:$F$500,'Returns (Calc)'!$K$3:$K$500),2),"")</f>
        <v>0.28</v>
      </c>
      <c r="L10" s="152" t="n">
        <f aca="false">IFERROR(ROUND(CORREL('Returns (Calc)'!$F$3:$F$500,'Returns (Calc)'!$L$3:$L$500),2),"")</f>
        <v>0.62</v>
      </c>
      <c r="M10" s="152" t="n">
        <f aca="false">IFERROR(ROUND(CORREL('Returns (Calc)'!$F$3:$F$500,'Returns (Calc)'!$M$3:$M$500),2),"")</f>
        <v>0.23</v>
      </c>
      <c r="N10" s="152" t="n">
        <f aca="false">IFERROR(ROUND(CORREL('Returns (Calc)'!$F$3:$F$500,'Returns (Calc)'!$N$3:$N$500),2),"")</f>
        <v>0.83</v>
      </c>
      <c r="O10" s="152" t="n">
        <f aca="false">IFERROR(ROUND(CORREL('Returns (Calc)'!$F$3:$F$500,'Returns (Calc)'!$O$3:$O$500),2),"")</f>
        <v>0.5</v>
      </c>
      <c r="P10" s="152" t="n">
        <f aca="false">IFERROR(ROUND(CORREL('Returns (Calc)'!$F$3:$F$500,'Returns (Calc)'!$P$3:$P$500),2),"")</f>
        <v>0.33</v>
      </c>
      <c r="Q10" s="152" t="n">
        <f aca="false">IFERROR(ROUND(CORREL('Returns (Calc)'!$F$3:$F$500,'Returns (Calc)'!$Q$3:$Q$500),2),"")</f>
        <v>0.36</v>
      </c>
      <c r="R10" s="152" t="n">
        <f aca="false">IFERROR(ROUND(CORREL('Returns (Calc)'!$F$3:$F$500,'Returns (Calc)'!$R$3:$R$500),2),"")</f>
        <v>0.09</v>
      </c>
      <c r="S10" s="152" t="n">
        <f aca="false">IFERROR(ROUND(CORREL('Returns (Calc)'!$F$3:$F$500,'Returns (Calc)'!$S$3:$S$500),2),"")</f>
        <v>0.08</v>
      </c>
      <c r="T10" s="152" t="n">
        <f aca="false">IFERROR(ROUND(CORREL('Returns (Calc)'!$F$3:$F$500,'Returns (Calc)'!$T$3:$T$500),2),"")</f>
        <v>-0.01</v>
      </c>
      <c r="U10" s="152" t="str">
        <f aca="false">IFERROR(ROUND(CORREL('Returns (Calc)'!$F$3:$F$500,'Returns (Calc)'!$U$3:$U$500),2),"")</f>
        <v/>
      </c>
      <c r="V10" s="152" t="n">
        <f aca="false">IFERROR(ROUND(CORREL('Returns (Calc)'!$F$3:$F$500,'Returns (Calc)'!$V$3:$V$500),2),"")</f>
        <v>-0.04</v>
      </c>
      <c r="AG10" s="153" t="n">
        <f aca="false">COUNTIF(B10:V10,"&gt;0.7")-1</f>
        <v>2</v>
      </c>
    </row>
    <row r="11" customFormat="false" ht="15" hidden="false" customHeight="true" outlineLevel="0" collapsed="false">
      <c r="A11" s="151" t="str">
        <f aca="false">'Returns (Calc)'!G2</f>
        <v>CRWD</v>
      </c>
      <c r="B11" s="152" t="n">
        <f aca="false">IFERROR(ROUND(CORREL('Returns (Calc)'!$G$3:$G$500,'Returns (Calc)'!$B$3:$B$500),2),"")</f>
        <v>0.4</v>
      </c>
      <c r="C11" s="152" t="n">
        <f aca="false">IFERROR(ROUND(CORREL('Returns (Calc)'!$G$3:$G$500,'Returns (Calc)'!$C$3:$C$500),2),"")</f>
        <v>0.37</v>
      </c>
      <c r="D11" s="152" t="n">
        <f aca="false">IFERROR(ROUND(CORREL('Returns (Calc)'!$G$3:$G$500,'Returns (Calc)'!$D$3:$D$500),2),"")</f>
        <v>0.32</v>
      </c>
      <c r="E11" s="152" t="n">
        <f aca="false">IFERROR(ROUND(CORREL('Returns (Calc)'!$G$3:$G$500,'Returns (Calc)'!$E$3:$E$500),2),"")</f>
        <v>0.4</v>
      </c>
      <c r="F11" s="152" t="n">
        <f aca="false">IFERROR(ROUND(CORREL('Returns (Calc)'!$G$3:$G$500,'Returns (Calc)'!$F$3:$F$500),2),"")</f>
        <v>0.19</v>
      </c>
      <c r="G11" s="152" t="n">
        <v>1</v>
      </c>
      <c r="H11" s="152" t="n">
        <f aca="false">IFERROR(ROUND(CORREL('Returns (Calc)'!$G$3:$G$500,'Returns (Calc)'!$H$3:$H$500),2),"")</f>
        <v>0.1</v>
      </c>
      <c r="I11" s="152" t="n">
        <f aca="false">IFERROR(ROUND(CORREL('Returns (Calc)'!$G$3:$G$500,'Returns (Calc)'!$I$3:$I$500),2),"")</f>
        <v>0.33</v>
      </c>
      <c r="J11" s="152" t="n">
        <f aca="false">IFERROR(ROUND(CORREL('Returns (Calc)'!$G$3:$G$500,'Returns (Calc)'!$J$3:$J$500),2),"")</f>
        <v>0.32</v>
      </c>
      <c r="K11" s="152" t="n">
        <f aca="false">IFERROR(ROUND(CORREL('Returns (Calc)'!$G$3:$G$500,'Returns (Calc)'!$K$3:$K$500),2),"")</f>
        <v>0.46</v>
      </c>
      <c r="L11" s="152" t="n">
        <f aca="false">IFERROR(ROUND(CORREL('Returns (Calc)'!$G$3:$G$500,'Returns (Calc)'!$L$3:$L$500),2),"")</f>
        <v>0.1</v>
      </c>
      <c r="M11" s="152" t="n">
        <f aca="false">IFERROR(ROUND(CORREL('Returns (Calc)'!$G$3:$G$500,'Returns (Calc)'!$M$3:$M$500),2),"")</f>
        <v>0.5</v>
      </c>
      <c r="N11" s="152" t="n">
        <f aca="false">IFERROR(ROUND(CORREL('Returns (Calc)'!$G$3:$G$500,'Returns (Calc)'!$N$3:$N$500),2),"")</f>
        <v>0.11</v>
      </c>
      <c r="O11" s="152" t="n">
        <f aca="false">IFERROR(ROUND(CORREL('Returns (Calc)'!$G$3:$G$500,'Returns (Calc)'!$O$3:$O$500),2),"")</f>
        <v>0.52</v>
      </c>
      <c r="P11" s="152" t="n">
        <f aca="false">IFERROR(ROUND(CORREL('Returns (Calc)'!$G$3:$G$500,'Returns (Calc)'!$P$3:$P$500),2),"")</f>
        <v>0.38</v>
      </c>
      <c r="Q11" s="152" t="n">
        <f aca="false">IFERROR(ROUND(CORREL('Returns (Calc)'!$G$3:$G$500,'Returns (Calc)'!$Q$3:$Q$500),2),"")</f>
        <v>0.28</v>
      </c>
      <c r="R11" s="152" t="n">
        <f aca="false">IFERROR(ROUND(CORREL('Returns (Calc)'!$G$3:$G$500,'Returns (Calc)'!$R$3:$R$500),2),"")</f>
        <v>0.08</v>
      </c>
      <c r="S11" s="152" t="n">
        <f aca="false">IFERROR(ROUND(CORREL('Returns (Calc)'!$G$3:$G$500,'Returns (Calc)'!$S$3:$S$500),2),"")</f>
        <v>0.08</v>
      </c>
      <c r="T11" s="152" t="n">
        <f aca="false">IFERROR(ROUND(CORREL('Returns (Calc)'!$G$3:$G$500,'Returns (Calc)'!$T$3:$T$500),2),"")</f>
        <v>0.11</v>
      </c>
      <c r="U11" s="152" t="str">
        <f aca="false">IFERROR(ROUND(CORREL('Returns (Calc)'!$G$3:$G$500,'Returns (Calc)'!$U$3:$U$500),2),"")</f>
        <v/>
      </c>
      <c r="V11" s="152" t="n">
        <f aca="false">IFERROR(ROUND(CORREL('Returns (Calc)'!$G$3:$G$500,'Returns (Calc)'!$V$3:$V$500),2),"")</f>
        <v>0.02</v>
      </c>
      <c r="AG11" s="153" t="n">
        <f aca="false">COUNTIF(B11:V11,"&gt;0.7")-1</f>
        <v>0</v>
      </c>
    </row>
    <row r="12" customFormat="false" ht="15" hidden="false" customHeight="true" outlineLevel="0" collapsed="false">
      <c r="A12" s="151" t="str">
        <f aca="false">'Returns (Calc)'!H2</f>
        <v>DVY</v>
      </c>
      <c r="B12" s="152" t="n">
        <f aca="false">IFERROR(ROUND(CORREL('Returns (Calc)'!$H$3:$H$500,'Returns (Calc)'!$B$3:$B$500),2),"")</f>
        <v>0.14</v>
      </c>
      <c r="C12" s="152" t="n">
        <f aca="false">IFERROR(ROUND(CORREL('Returns (Calc)'!$H$3:$H$500,'Returns (Calc)'!$C$3:$C$500),2),"")</f>
        <v>0.24</v>
      </c>
      <c r="D12" s="152" t="n">
        <f aca="false">IFERROR(ROUND(CORREL('Returns (Calc)'!$H$3:$H$500,'Returns (Calc)'!$D$3:$D$500),2),"")</f>
        <v>0.24</v>
      </c>
      <c r="E12" s="152" t="n">
        <f aca="false">IFERROR(ROUND(CORREL('Returns (Calc)'!$H$3:$H$500,'Returns (Calc)'!$E$3:$E$500),2),"")</f>
        <v>0.11</v>
      </c>
      <c r="F12" s="152" t="n">
        <f aca="false">IFERROR(ROUND(CORREL('Returns (Calc)'!$H$3:$H$500,'Returns (Calc)'!$F$3:$F$500),2),"")</f>
        <v>0.86</v>
      </c>
      <c r="G12" s="152" t="n">
        <f aca="false">IFERROR(ROUND(CORREL('Returns (Calc)'!$H$3:$H$500,'Returns (Calc)'!$G$3:$G$500),2),"")</f>
        <v>0.1</v>
      </c>
      <c r="H12" s="152" t="n">
        <v>1</v>
      </c>
      <c r="I12" s="152" t="n">
        <f aca="false">IFERROR(ROUND(CORREL('Returns (Calc)'!$H$3:$H$500,'Returns (Calc)'!$I$3:$I$500),2),"")</f>
        <v>0.26</v>
      </c>
      <c r="J12" s="152" t="n">
        <f aca="false">IFERROR(ROUND(CORREL('Returns (Calc)'!$H$3:$H$500,'Returns (Calc)'!$J$3:$J$500),2),"")</f>
        <v>0.23</v>
      </c>
      <c r="K12" s="152" t="n">
        <f aca="false">IFERROR(ROUND(CORREL('Returns (Calc)'!$H$3:$H$500,'Returns (Calc)'!$K$3:$K$500),2),"")</f>
        <v>0.15</v>
      </c>
      <c r="L12" s="152" t="n">
        <f aca="false">IFERROR(ROUND(CORREL('Returns (Calc)'!$H$3:$H$500,'Returns (Calc)'!$L$3:$L$500),2),"")</f>
        <v>0.65</v>
      </c>
      <c r="M12" s="152" t="n">
        <f aca="false">IFERROR(ROUND(CORREL('Returns (Calc)'!$H$3:$H$500,'Returns (Calc)'!$M$3:$M$500),2),"")</f>
        <v>0.1</v>
      </c>
      <c r="N12" s="152" t="n">
        <f aca="false">IFERROR(ROUND(CORREL('Returns (Calc)'!$H$3:$H$500,'Returns (Calc)'!$N$3:$N$500),2),"")</f>
        <v>0.89</v>
      </c>
      <c r="O12" s="152" t="n">
        <f aca="false">IFERROR(ROUND(CORREL('Returns (Calc)'!$H$3:$H$500,'Returns (Calc)'!$O$3:$O$500),2),"")</f>
        <v>0.34</v>
      </c>
      <c r="P12" s="152" t="n">
        <f aca="false">IFERROR(ROUND(CORREL('Returns (Calc)'!$H$3:$H$500,'Returns (Calc)'!$P$3:$P$500),2),"")</f>
        <v>0.16</v>
      </c>
      <c r="Q12" s="152" t="n">
        <f aca="false">IFERROR(ROUND(CORREL('Returns (Calc)'!$H$3:$H$500,'Returns (Calc)'!$Q$3:$Q$500),2),"")</f>
        <v>0.43</v>
      </c>
      <c r="R12" s="152" t="n">
        <f aca="false">IFERROR(ROUND(CORREL('Returns (Calc)'!$H$3:$H$500,'Returns (Calc)'!$R$3:$R$500),2),"")</f>
        <v>0.13</v>
      </c>
      <c r="S12" s="152" t="n">
        <f aca="false">IFERROR(ROUND(CORREL('Returns (Calc)'!$H$3:$H$500,'Returns (Calc)'!$S$3:$S$500),2),"")</f>
        <v>0.13</v>
      </c>
      <c r="T12" s="152" t="n">
        <f aca="false">IFERROR(ROUND(CORREL('Returns (Calc)'!$H$3:$H$500,'Returns (Calc)'!$T$3:$T$500),2),"")</f>
        <v>0.02</v>
      </c>
      <c r="U12" s="152" t="str">
        <f aca="false">IFERROR(ROUND(CORREL('Returns (Calc)'!$H$3:$H$500,'Returns (Calc)'!$U$3:$U$500),2),"")</f>
        <v/>
      </c>
      <c r="V12" s="152" t="n">
        <f aca="false">IFERROR(ROUND(CORREL('Returns (Calc)'!$H$3:$H$500,'Returns (Calc)'!$V$3:$V$500),2),"")</f>
        <v>0.02</v>
      </c>
      <c r="AG12" s="153" t="n">
        <f aca="false">COUNTIF(B12:V12,"&gt;0.7")-1</f>
        <v>2</v>
      </c>
    </row>
    <row r="13" customFormat="false" ht="15" hidden="false" customHeight="true" outlineLevel="0" collapsed="false">
      <c r="A13" s="151" t="str">
        <f aca="false">'Returns (Calc)'!I2</f>
        <v>KLAC</v>
      </c>
      <c r="B13" s="152" t="n">
        <f aca="false">IFERROR(ROUND(CORREL('Returns (Calc)'!$I$3:$I$500,'Returns (Calc)'!$B$3:$B$500),2),"")</f>
        <v>-0.06</v>
      </c>
      <c r="C13" s="152" t="n">
        <f aca="false">IFERROR(ROUND(CORREL('Returns (Calc)'!$I$3:$I$500,'Returns (Calc)'!$C$3:$C$500),2),"")</f>
        <v>0.44</v>
      </c>
      <c r="D13" s="152" t="n">
        <f aca="false">IFERROR(ROUND(CORREL('Returns (Calc)'!$I$3:$I$500,'Returns (Calc)'!$D$3:$D$500),2),"")</f>
        <v>0.77</v>
      </c>
      <c r="E13" s="152" t="n">
        <f aca="false">IFERROR(ROUND(CORREL('Returns (Calc)'!$I$3:$I$500,'Returns (Calc)'!$E$3:$E$500),2),"")</f>
        <v>0.53</v>
      </c>
      <c r="F13" s="152" t="n">
        <f aca="false">IFERROR(ROUND(CORREL('Returns (Calc)'!$I$3:$I$500,'Returns (Calc)'!$F$3:$F$500),2),"")</f>
        <v>0.44</v>
      </c>
      <c r="G13" s="152" t="n">
        <f aca="false">IFERROR(ROUND(CORREL('Returns (Calc)'!$I$3:$I$500,'Returns (Calc)'!$G$3:$G$500),2),"")</f>
        <v>0.33</v>
      </c>
      <c r="H13" s="152" t="n">
        <f aca="false">IFERROR(ROUND(CORREL('Returns (Calc)'!$I$3:$I$500,'Returns (Calc)'!$H$3:$H$500),2),"")</f>
        <v>0.26</v>
      </c>
      <c r="I13" s="152" t="n">
        <v>1</v>
      </c>
      <c r="J13" s="152" t="n">
        <f aca="false">IFERROR(ROUND(CORREL('Returns (Calc)'!$I$3:$I$500,'Returns (Calc)'!$J$3:$J$500),2),"")</f>
        <v>0.6</v>
      </c>
      <c r="K13" s="152" t="n">
        <f aca="false">IFERROR(ROUND(CORREL('Returns (Calc)'!$I$3:$I$500,'Returns (Calc)'!$K$3:$K$500),2),"")</f>
        <v>0.52</v>
      </c>
      <c r="L13" s="152" t="n">
        <f aca="false">IFERROR(ROUND(CORREL('Returns (Calc)'!$I$3:$I$500,'Returns (Calc)'!$L$3:$L$500),2),"")</f>
        <v>0.28</v>
      </c>
      <c r="M13" s="152" t="n">
        <f aca="false">IFERROR(ROUND(CORREL('Returns (Calc)'!$I$3:$I$500,'Returns (Calc)'!$M$3:$M$500),2),"")</f>
        <v>0.25</v>
      </c>
      <c r="N13" s="152" t="n">
        <f aca="false">IFERROR(ROUND(CORREL('Returns (Calc)'!$I$3:$I$500,'Returns (Calc)'!$N$3:$N$500),2),"")</f>
        <v>0.29</v>
      </c>
      <c r="O13" s="152" t="n">
        <f aca="false">IFERROR(ROUND(CORREL('Returns (Calc)'!$I$3:$I$500,'Returns (Calc)'!$O$3:$O$500),2),"")</f>
        <v>0.67</v>
      </c>
      <c r="P13" s="152" t="n">
        <f aca="false">IFERROR(ROUND(CORREL('Returns (Calc)'!$I$3:$I$500,'Returns (Calc)'!$P$3:$P$500),2),"")</f>
        <v>0.62</v>
      </c>
      <c r="Q13" s="152" t="n">
        <f aca="false">IFERROR(ROUND(CORREL('Returns (Calc)'!$I$3:$I$500,'Returns (Calc)'!$Q$3:$Q$500),2),"")</f>
        <v>0.03</v>
      </c>
      <c r="R13" s="152" t="n">
        <f aca="false">IFERROR(ROUND(CORREL('Returns (Calc)'!$I$3:$I$500,'Returns (Calc)'!$R$3:$R$500),2),"")</f>
        <v>0.07</v>
      </c>
      <c r="S13" s="152" t="n">
        <f aca="false">IFERROR(ROUND(CORREL('Returns (Calc)'!$I$3:$I$500,'Returns (Calc)'!$S$3:$S$500),2),"")</f>
        <v>0.05</v>
      </c>
      <c r="T13" s="152" t="n">
        <f aca="false">IFERROR(ROUND(CORREL('Returns (Calc)'!$I$3:$I$500,'Returns (Calc)'!$T$3:$T$500),2),"")</f>
        <v>0.05</v>
      </c>
      <c r="U13" s="152" t="str">
        <f aca="false">IFERROR(ROUND(CORREL('Returns (Calc)'!$I$3:$I$500,'Returns (Calc)'!$U$3:$U$500),2),"")</f>
        <v/>
      </c>
      <c r="V13" s="152" t="n">
        <f aca="false">IFERROR(ROUND(CORREL('Returns (Calc)'!$I$3:$I$500,'Returns (Calc)'!$V$3:$V$500),2),"")</f>
        <v>-0.02</v>
      </c>
      <c r="AG13" s="153" t="n">
        <f aca="false">COUNTIF(B13:V13,"&gt;0.7")-1</f>
        <v>1</v>
      </c>
    </row>
    <row r="14" customFormat="false" ht="15" hidden="false" customHeight="true" outlineLevel="0" collapsed="false">
      <c r="A14" s="151" t="str">
        <f aca="false">'Returns (Calc)'!J2</f>
        <v>MU</v>
      </c>
      <c r="B14" s="152" t="n">
        <f aca="false">IFERROR(ROUND(CORREL('Returns (Calc)'!$J$3:$J$500,'Returns (Calc)'!$B$3:$B$500),2),"")</f>
        <v>0.05</v>
      </c>
      <c r="C14" s="152" t="n">
        <f aca="false">IFERROR(ROUND(CORREL('Returns (Calc)'!$J$3:$J$500,'Returns (Calc)'!$C$3:$C$500),2),"")</f>
        <v>0.34</v>
      </c>
      <c r="D14" s="152" t="n">
        <f aca="false">IFERROR(ROUND(CORREL('Returns (Calc)'!$J$3:$J$500,'Returns (Calc)'!$D$3:$D$500),2),"")</f>
        <v>0.6</v>
      </c>
      <c r="E14" s="152" t="n">
        <f aca="false">IFERROR(ROUND(CORREL('Returns (Calc)'!$J$3:$J$500,'Returns (Calc)'!$E$3:$E$500),2),"")</f>
        <v>0.48</v>
      </c>
      <c r="F14" s="152" t="n">
        <f aca="false">IFERROR(ROUND(CORREL('Returns (Calc)'!$J$3:$J$500,'Returns (Calc)'!$F$3:$F$500),2),"")</f>
        <v>0.35</v>
      </c>
      <c r="G14" s="152" t="n">
        <f aca="false">IFERROR(ROUND(CORREL('Returns (Calc)'!$J$3:$J$500,'Returns (Calc)'!$G$3:$G$500),2),"")</f>
        <v>0.32</v>
      </c>
      <c r="H14" s="152" t="n">
        <f aca="false">IFERROR(ROUND(CORREL('Returns (Calc)'!$J$3:$J$500,'Returns (Calc)'!$H$3:$H$500),2),"")</f>
        <v>0.23</v>
      </c>
      <c r="I14" s="152" t="n">
        <f aca="false">IFERROR(ROUND(CORREL('Returns (Calc)'!$J$3:$J$500,'Returns (Calc)'!$I$3:$I$500),2),"")</f>
        <v>0.6</v>
      </c>
      <c r="J14" s="152" t="n">
        <v>1</v>
      </c>
      <c r="K14" s="152" t="n">
        <f aca="false">IFERROR(ROUND(CORREL('Returns (Calc)'!$J$3:$J$500,'Returns (Calc)'!$K$3:$K$500),2),"")</f>
        <v>0.5</v>
      </c>
      <c r="L14" s="152" t="n">
        <f aca="false">IFERROR(ROUND(CORREL('Returns (Calc)'!$J$3:$J$500,'Returns (Calc)'!$L$3:$L$500),2),"")</f>
        <v>0.2</v>
      </c>
      <c r="M14" s="152" t="n">
        <f aca="false">IFERROR(ROUND(CORREL('Returns (Calc)'!$J$3:$J$500,'Returns (Calc)'!$M$3:$M$500),2),"")</f>
        <v>0.17</v>
      </c>
      <c r="N14" s="152" t="n">
        <f aca="false">IFERROR(ROUND(CORREL('Returns (Calc)'!$J$3:$J$500,'Returns (Calc)'!$N$3:$N$500),2),"")</f>
        <v>0.26</v>
      </c>
      <c r="O14" s="152" t="n">
        <f aca="false">IFERROR(ROUND(CORREL('Returns (Calc)'!$J$3:$J$500,'Returns (Calc)'!$O$3:$O$500),2),"")</f>
        <v>0.66</v>
      </c>
      <c r="P14" s="152" t="n">
        <f aca="false">IFERROR(ROUND(CORREL('Returns (Calc)'!$J$3:$J$500,'Returns (Calc)'!$P$3:$P$500),2),"")</f>
        <v>0.56</v>
      </c>
      <c r="Q14" s="152" t="n">
        <f aca="false">IFERROR(ROUND(CORREL('Returns (Calc)'!$J$3:$J$500,'Returns (Calc)'!$Q$3:$Q$500),2),"")</f>
        <v>0.02</v>
      </c>
      <c r="R14" s="152" t="n">
        <f aca="false">IFERROR(ROUND(CORREL('Returns (Calc)'!$J$3:$J$500,'Returns (Calc)'!$R$3:$R$500),2),"")</f>
        <v>0.08</v>
      </c>
      <c r="S14" s="152" t="n">
        <f aca="false">IFERROR(ROUND(CORREL('Returns (Calc)'!$J$3:$J$500,'Returns (Calc)'!$S$3:$S$500),2),"")</f>
        <v>0.09</v>
      </c>
      <c r="T14" s="152" t="n">
        <f aca="false">IFERROR(ROUND(CORREL('Returns (Calc)'!$J$3:$J$500,'Returns (Calc)'!$T$3:$T$500),2),"")</f>
        <v>0.06</v>
      </c>
      <c r="U14" s="152" t="str">
        <f aca="false">IFERROR(ROUND(CORREL('Returns (Calc)'!$J$3:$J$500,'Returns (Calc)'!$U$3:$U$500),2),"")</f>
        <v/>
      </c>
      <c r="V14" s="152" t="n">
        <f aca="false">IFERROR(ROUND(CORREL('Returns (Calc)'!$J$3:$J$500,'Returns (Calc)'!$V$3:$V$500),2),"")</f>
        <v>0.01</v>
      </c>
      <c r="AG14" s="153" t="n">
        <f aca="false">COUNTIF(B14:V14,"&gt;0.7")-1</f>
        <v>0</v>
      </c>
    </row>
    <row r="15" customFormat="false" ht="15" hidden="false" customHeight="true" outlineLevel="0" collapsed="false">
      <c r="A15" s="151" t="str">
        <f aca="false">'Returns (Calc)'!K2</f>
        <v>NVDA</v>
      </c>
      <c r="B15" s="152" t="n">
        <f aca="false">IFERROR(ROUND(CORREL('Returns (Calc)'!$K$3:$K$500,'Returns (Calc)'!$B$3:$B$500),2),"")</f>
        <v>0.21</v>
      </c>
      <c r="C15" s="152" t="n">
        <f aca="false">IFERROR(ROUND(CORREL('Returns (Calc)'!$K$3:$K$500,'Returns (Calc)'!$C$3:$C$500),2),"")</f>
        <v>0.52</v>
      </c>
      <c r="D15" s="152" t="n">
        <f aca="false">IFERROR(ROUND(CORREL('Returns (Calc)'!$K$3:$K$500,'Returns (Calc)'!$D$3:$D$500),2),"")</f>
        <v>0.49</v>
      </c>
      <c r="E15" s="152" t="n">
        <f aca="false">IFERROR(ROUND(CORREL('Returns (Calc)'!$K$3:$K$500,'Returns (Calc)'!$E$3:$E$500),2),"")</f>
        <v>0.62</v>
      </c>
      <c r="F15" s="152" t="n">
        <f aca="false">IFERROR(ROUND(CORREL('Returns (Calc)'!$K$3:$K$500,'Returns (Calc)'!$F$3:$F$500),2),"")</f>
        <v>0.28</v>
      </c>
      <c r="G15" s="152" t="n">
        <f aca="false">IFERROR(ROUND(CORREL('Returns (Calc)'!$K$3:$K$500,'Returns (Calc)'!$G$3:$G$500),2),"")</f>
        <v>0.46</v>
      </c>
      <c r="H15" s="152" t="n">
        <f aca="false">IFERROR(ROUND(CORREL('Returns (Calc)'!$K$3:$K$500,'Returns (Calc)'!$H$3:$H$500),2),"")</f>
        <v>0.15</v>
      </c>
      <c r="I15" s="152" t="n">
        <f aca="false">IFERROR(ROUND(CORREL('Returns (Calc)'!$K$3:$K$500,'Returns (Calc)'!$I$3:$I$500),2),"")</f>
        <v>0.52</v>
      </c>
      <c r="J15" s="152" t="n">
        <f aca="false">IFERROR(ROUND(CORREL('Returns (Calc)'!$K$3:$K$500,'Returns (Calc)'!$J$3:$J$500),2),"")</f>
        <v>0.5</v>
      </c>
      <c r="K15" s="152" t="n">
        <v>1</v>
      </c>
      <c r="L15" s="152" t="n">
        <f aca="false">IFERROR(ROUND(CORREL('Returns (Calc)'!$K$3:$K$500,'Returns (Calc)'!$L$3:$L$500),2),"")</f>
        <v>0.17</v>
      </c>
      <c r="M15" s="152" t="n">
        <f aca="false">IFERROR(ROUND(CORREL('Returns (Calc)'!$K$3:$K$500,'Returns (Calc)'!$M$3:$M$500),2),"")</f>
        <v>0.46</v>
      </c>
      <c r="N15" s="152" t="n">
        <f aca="false">IFERROR(ROUND(CORREL('Returns (Calc)'!$K$3:$K$500,'Returns (Calc)'!$N$3:$N$500),2),"")</f>
        <v>0.18</v>
      </c>
      <c r="O15" s="152" t="n">
        <f aca="false">IFERROR(ROUND(CORREL('Returns (Calc)'!$K$3:$K$500,'Returns (Calc)'!$O$3:$O$500),2),"")</f>
        <v>0.75</v>
      </c>
      <c r="P15" s="152" t="n">
        <f aca="false">IFERROR(ROUND(CORREL('Returns (Calc)'!$K$3:$K$500,'Returns (Calc)'!$P$3:$P$500),2),"")</f>
        <v>0.64</v>
      </c>
      <c r="Q15" s="152" t="n">
        <f aca="false">IFERROR(ROUND(CORREL('Returns (Calc)'!$K$3:$K$500,'Returns (Calc)'!$Q$3:$Q$500),2),"")</f>
        <v>0.2</v>
      </c>
      <c r="R15" s="152" t="n">
        <f aca="false">IFERROR(ROUND(CORREL('Returns (Calc)'!$K$3:$K$500,'Returns (Calc)'!$R$3:$R$500),2),"")</f>
        <v>0.02</v>
      </c>
      <c r="S15" s="152" t="n">
        <f aca="false">IFERROR(ROUND(CORREL('Returns (Calc)'!$K$3:$K$500,'Returns (Calc)'!$S$3:$S$500),2),"")</f>
        <v>-0</v>
      </c>
      <c r="T15" s="152" t="n">
        <f aca="false">IFERROR(ROUND(CORREL('Returns (Calc)'!$K$3:$K$500,'Returns (Calc)'!$T$3:$T$500),2),"")</f>
        <v>-0</v>
      </c>
      <c r="U15" s="152" t="str">
        <f aca="false">IFERROR(ROUND(CORREL('Returns (Calc)'!$K$3:$K$500,'Returns (Calc)'!$U$3:$U$500),2),"")</f>
        <v/>
      </c>
      <c r="V15" s="152" t="n">
        <f aca="false">IFERROR(ROUND(CORREL('Returns (Calc)'!$K$3:$K$500,'Returns (Calc)'!$V$3:$V$500),2),"")</f>
        <v>-0.06</v>
      </c>
      <c r="AG15" s="153" t="n">
        <f aca="false">COUNTIF(B15:V15,"&gt;0.7")-1</f>
        <v>1</v>
      </c>
    </row>
    <row r="16" customFormat="false" ht="15" hidden="false" customHeight="true" outlineLevel="0" collapsed="false">
      <c r="A16" s="151" t="str">
        <f aca="false">'Returns (Calc)'!L2</f>
        <v>PLD</v>
      </c>
      <c r="B16" s="152" t="n">
        <f aca="false">IFERROR(ROUND(CORREL('Returns (Calc)'!$L$3:$L$500,'Returns (Calc)'!$B$3:$B$500),2),"")</f>
        <v>0.18</v>
      </c>
      <c r="C16" s="152" t="n">
        <f aca="false">IFERROR(ROUND(CORREL('Returns (Calc)'!$L$3:$L$500,'Returns (Calc)'!$C$3:$C$500),2),"")</f>
        <v>0.18</v>
      </c>
      <c r="D16" s="152" t="n">
        <f aca="false">IFERROR(ROUND(CORREL('Returns (Calc)'!$L$3:$L$500,'Returns (Calc)'!$D$3:$D$500),2),"")</f>
        <v>0.28</v>
      </c>
      <c r="E16" s="152" t="n">
        <f aca="false">IFERROR(ROUND(CORREL('Returns (Calc)'!$L$3:$L$500,'Returns (Calc)'!$E$3:$E$500),2),"")</f>
        <v>0.22</v>
      </c>
      <c r="F16" s="152" t="n">
        <f aca="false">IFERROR(ROUND(CORREL('Returns (Calc)'!$L$3:$L$500,'Returns (Calc)'!$F$3:$F$500),2),"")</f>
        <v>0.62</v>
      </c>
      <c r="G16" s="152" t="n">
        <f aca="false">IFERROR(ROUND(CORREL('Returns (Calc)'!$L$3:$L$500,'Returns (Calc)'!$G$3:$G$500),2),"")</f>
        <v>0.1</v>
      </c>
      <c r="H16" s="152" t="n">
        <f aca="false">IFERROR(ROUND(CORREL('Returns (Calc)'!$L$3:$L$500,'Returns (Calc)'!$H$3:$H$500),2),"")</f>
        <v>0.65</v>
      </c>
      <c r="I16" s="152" t="n">
        <f aca="false">IFERROR(ROUND(CORREL('Returns (Calc)'!$L$3:$L$500,'Returns (Calc)'!$I$3:$I$500),2),"")</f>
        <v>0.28</v>
      </c>
      <c r="J16" s="152" t="n">
        <f aca="false">IFERROR(ROUND(CORREL('Returns (Calc)'!$L$3:$L$500,'Returns (Calc)'!$J$3:$J$500),2),"")</f>
        <v>0.2</v>
      </c>
      <c r="K16" s="152" t="n">
        <f aca="false">IFERROR(ROUND(CORREL('Returns (Calc)'!$L$3:$L$500,'Returns (Calc)'!$K$3:$K$500),2),"")</f>
        <v>0.17</v>
      </c>
      <c r="L16" s="152" t="n">
        <v>1</v>
      </c>
      <c r="M16" s="152" t="n">
        <f aca="false">IFERROR(ROUND(CORREL('Returns (Calc)'!$L$3:$L$500,'Returns (Calc)'!$M$3:$M$500),2),"")</f>
        <v>0.13</v>
      </c>
      <c r="N16" s="152" t="n">
        <f aca="false">IFERROR(ROUND(CORREL('Returns (Calc)'!$L$3:$L$500,'Returns (Calc)'!$N$3:$N$500),2),"")</f>
        <v>0.66</v>
      </c>
      <c r="O16" s="152" t="n">
        <f aca="false">IFERROR(ROUND(CORREL('Returns (Calc)'!$L$3:$L$500,'Returns (Calc)'!$O$3:$O$500),2),"")</f>
        <v>0.34</v>
      </c>
      <c r="P16" s="152" t="n">
        <f aca="false">IFERROR(ROUND(CORREL('Returns (Calc)'!$L$3:$L$500,'Returns (Calc)'!$P$3:$P$500),2),"")</f>
        <v>0.21</v>
      </c>
      <c r="Q16" s="152" t="n">
        <f aca="false">IFERROR(ROUND(CORREL('Returns (Calc)'!$L$3:$L$500,'Returns (Calc)'!$Q$3:$Q$500),2),"")</f>
        <v>0.37</v>
      </c>
      <c r="R16" s="152" t="n">
        <f aca="false">IFERROR(ROUND(CORREL('Returns (Calc)'!$L$3:$L$500,'Returns (Calc)'!$R$3:$R$500),2),"")</f>
        <v>0.14</v>
      </c>
      <c r="S16" s="152" t="n">
        <f aca="false">IFERROR(ROUND(CORREL('Returns (Calc)'!$L$3:$L$500,'Returns (Calc)'!$S$3:$S$500),2),"")</f>
        <v>0.11</v>
      </c>
      <c r="T16" s="152" t="n">
        <f aca="false">IFERROR(ROUND(CORREL('Returns (Calc)'!$L$3:$L$500,'Returns (Calc)'!$T$3:$T$500),2),"")</f>
        <v>-0.05</v>
      </c>
      <c r="U16" s="152" t="str">
        <f aca="false">IFERROR(ROUND(CORREL('Returns (Calc)'!$L$3:$L$500,'Returns (Calc)'!$U$3:$U$500),2),"")</f>
        <v/>
      </c>
      <c r="V16" s="152" t="n">
        <f aca="false">IFERROR(ROUND(CORREL('Returns (Calc)'!$L$3:$L$500,'Returns (Calc)'!$V$3:$V$500),2),"")</f>
        <v>-0.05</v>
      </c>
      <c r="AG16" s="153" t="n">
        <f aca="false">COUNTIF(B16:V16,"&gt;0.7")-1</f>
        <v>0</v>
      </c>
    </row>
    <row r="17" customFormat="false" ht="15" hidden="false" customHeight="true" outlineLevel="0" collapsed="false">
      <c r="A17" s="151" t="str">
        <f aca="false">'Returns (Calc)'!M2</f>
        <v>PLTR</v>
      </c>
      <c r="B17" s="152" t="n">
        <f aca="false">IFERROR(ROUND(CORREL('Returns (Calc)'!$M$3:$M$500,'Returns (Calc)'!$B$3:$B$500),2),"")</f>
        <v>0.37</v>
      </c>
      <c r="C17" s="152" t="n">
        <f aca="false">IFERROR(ROUND(CORREL('Returns (Calc)'!$M$3:$M$500,'Returns (Calc)'!$C$3:$C$500),2),"")</f>
        <v>0.34</v>
      </c>
      <c r="D17" s="152" t="n">
        <f aca="false">IFERROR(ROUND(CORREL('Returns (Calc)'!$M$3:$M$500,'Returns (Calc)'!$D$3:$D$500),2),"")</f>
        <v>0.21</v>
      </c>
      <c r="E17" s="152" t="n">
        <f aca="false">IFERROR(ROUND(CORREL('Returns (Calc)'!$M$3:$M$500,'Returns (Calc)'!$E$3:$E$500),2),"")</f>
        <v>0.38</v>
      </c>
      <c r="F17" s="152" t="n">
        <f aca="false">IFERROR(ROUND(CORREL('Returns (Calc)'!$M$3:$M$500,'Returns (Calc)'!$F$3:$F$500),2),"")</f>
        <v>0.23</v>
      </c>
      <c r="G17" s="152" t="n">
        <f aca="false">IFERROR(ROUND(CORREL('Returns (Calc)'!$M$3:$M$500,'Returns (Calc)'!$G$3:$G$500),2),"")</f>
        <v>0.5</v>
      </c>
      <c r="H17" s="152" t="n">
        <f aca="false">IFERROR(ROUND(CORREL('Returns (Calc)'!$M$3:$M$500,'Returns (Calc)'!$H$3:$H$500),2),"")</f>
        <v>0.1</v>
      </c>
      <c r="I17" s="152" t="n">
        <f aca="false">IFERROR(ROUND(CORREL('Returns (Calc)'!$M$3:$M$500,'Returns (Calc)'!$I$3:$I$500),2),"")</f>
        <v>0.25</v>
      </c>
      <c r="J17" s="152" t="n">
        <f aca="false">IFERROR(ROUND(CORREL('Returns (Calc)'!$M$3:$M$500,'Returns (Calc)'!$J$3:$J$500),2),"")</f>
        <v>0.17</v>
      </c>
      <c r="K17" s="152" t="n">
        <f aca="false">IFERROR(ROUND(CORREL('Returns (Calc)'!$M$3:$M$500,'Returns (Calc)'!$K$3:$K$500),2),"")</f>
        <v>0.46</v>
      </c>
      <c r="L17" s="152" t="n">
        <f aca="false">IFERROR(ROUND(CORREL('Returns (Calc)'!$M$3:$M$500,'Returns (Calc)'!$L$3:$L$500),2),"")</f>
        <v>0.13</v>
      </c>
      <c r="M17" s="152" t="n">
        <v>1</v>
      </c>
      <c r="N17" s="152" t="n">
        <f aca="false">IFERROR(ROUND(CORREL('Returns (Calc)'!$M$3:$M$500,'Returns (Calc)'!$N$3:$N$500),2),"")</f>
        <v>0.14</v>
      </c>
      <c r="O17" s="152" t="n">
        <f aca="false">IFERROR(ROUND(CORREL('Returns (Calc)'!$M$3:$M$500,'Returns (Calc)'!$O$3:$O$500),2),"")</f>
        <v>0.44</v>
      </c>
      <c r="P17" s="152" t="n">
        <f aca="false">IFERROR(ROUND(CORREL('Returns (Calc)'!$M$3:$M$500,'Returns (Calc)'!$P$3:$P$500),2),"")</f>
        <v>0.38</v>
      </c>
      <c r="Q17" s="152" t="n">
        <f aca="false">IFERROR(ROUND(CORREL('Returns (Calc)'!$M$3:$M$500,'Returns (Calc)'!$Q$3:$Q$500),2),"")</f>
        <v>0.24</v>
      </c>
      <c r="R17" s="152" t="n">
        <f aca="false">IFERROR(ROUND(CORREL('Returns (Calc)'!$M$3:$M$500,'Returns (Calc)'!$R$3:$R$500),2),"")</f>
        <v>-0.04</v>
      </c>
      <c r="S17" s="152" t="n">
        <f aca="false">IFERROR(ROUND(CORREL('Returns (Calc)'!$M$3:$M$500,'Returns (Calc)'!$S$3:$S$500),2),"")</f>
        <v>-0.06</v>
      </c>
      <c r="T17" s="152" t="n">
        <f aca="false">IFERROR(ROUND(CORREL('Returns (Calc)'!$M$3:$M$500,'Returns (Calc)'!$T$3:$T$500),2),"")</f>
        <v>-0.02</v>
      </c>
      <c r="U17" s="152" t="str">
        <f aca="false">IFERROR(ROUND(CORREL('Returns (Calc)'!$M$3:$M$500,'Returns (Calc)'!$U$3:$U$500),2),"")</f>
        <v/>
      </c>
      <c r="V17" s="152" t="n">
        <f aca="false">IFERROR(ROUND(CORREL('Returns (Calc)'!$M$3:$M$500,'Returns (Calc)'!$V$3:$V$500),2),"")</f>
        <v>-0.14</v>
      </c>
      <c r="AG17" s="153" t="n">
        <f aca="false">COUNTIF(B17:V17,"&gt;0.7")-1</f>
        <v>0</v>
      </c>
    </row>
    <row r="18" customFormat="false" ht="15" hidden="false" customHeight="true" outlineLevel="0" collapsed="false">
      <c r="A18" s="151" t="str">
        <f aca="false">'Returns (Calc)'!N2</f>
        <v>SCHD</v>
      </c>
      <c r="B18" s="152" t="n">
        <f aca="false">IFERROR(ROUND(CORREL('Returns (Calc)'!$N$3:$N$500,'Returns (Calc)'!$B$3:$B$500),2),"")</f>
        <v>0.22</v>
      </c>
      <c r="C18" s="152" t="n">
        <f aca="false">IFERROR(ROUND(CORREL('Returns (Calc)'!$N$3:$N$500,'Returns (Calc)'!$C$3:$C$500),2),"")</f>
        <v>0.27</v>
      </c>
      <c r="D18" s="152" t="n">
        <f aca="false">IFERROR(ROUND(CORREL('Returns (Calc)'!$N$3:$N$500,'Returns (Calc)'!$D$3:$D$500),2),"")</f>
        <v>0.27</v>
      </c>
      <c r="E18" s="152" t="n">
        <f aca="false">IFERROR(ROUND(CORREL('Returns (Calc)'!$N$3:$N$500,'Returns (Calc)'!$E$3:$E$500),2),"")</f>
        <v>0.16</v>
      </c>
      <c r="F18" s="152" t="n">
        <f aca="false">IFERROR(ROUND(CORREL('Returns (Calc)'!$N$3:$N$500,'Returns (Calc)'!$F$3:$F$500),2),"")</f>
        <v>0.83</v>
      </c>
      <c r="G18" s="152" t="n">
        <f aca="false">IFERROR(ROUND(CORREL('Returns (Calc)'!$N$3:$N$500,'Returns (Calc)'!$G$3:$G$500),2),"")</f>
        <v>0.11</v>
      </c>
      <c r="H18" s="152" t="n">
        <f aca="false">IFERROR(ROUND(CORREL('Returns (Calc)'!$N$3:$N$500,'Returns (Calc)'!$H$3:$H$500),2),"")</f>
        <v>0.89</v>
      </c>
      <c r="I18" s="152" t="n">
        <f aca="false">IFERROR(ROUND(CORREL('Returns (Calc)'!$N$3:$N$500,'Returns (Calc)'!$I$3:$I$500),2),"")</f>
        <v>0.29</v>
      </c>
      <c r="J18" s="152" t="n">
        <f aca="false">IFERROR(ROUND(CORREL('Returns (Calc)'!$N$3:$N$500,'Returns (Calc)'!$J$3:$J$500),2),"")</f>
        <v>0.26</v>
      </c>
      <c r="K18" s="152" t="n">
        <f aca="false">IFERROR(ROUND(CORREL('Returns (Calc)'!$N$3:$N$500,'Returns (Calc)'!$K$3:$K$500),2),"")</f>
        <v>0.18</v>
      </c>
      <c r="L18" s="152" t="n">
        <f aca="false">IFERROR(ROUND(CORREL('Returns (Calc)'!$N$3:$N$500,'Returns (Calc)'!$L$3:$L$500),2),"")</f>
        <v>0.66</v>
      </c>
      <c r="M18" s="152" t="n">
        <f aca="false">IFERROR(ROUND(CORREL('Returns (Calc)'!$N$3:$N$500,'Returns (Calc)'!$M$3:$M$500),2),"")</f>
        <v>0.14</v>
      </c>
      <c r="N18" s="152" t="n">
        <v>1</v>
      </c>
      <c r="O18" s="152" t="n">
        <f aca="false">IFERROR(ROUND(CORREL('Returns (Calc)'!$N$3:$N$500,'Returns (Calc)'!$O$3:$O$500),2),"")</f>
        <v>0.36</v>
      </c>
      <c r="P18" s="152" t="n">
        <f aca="false">IFERROR(ROUND(CORREL('Returns (Calc)'!$N$3:$N$500,'Returns (Calc)'!$P$3:$P$500),2),"")</f>
        <v>0.22</v>
      </c>
      <c r="Q18" s="152" t="n">
        <f aca="false">IFERROR(ROUND(CORREL('Returns (Calc)'!$N$3:$N$500,'Returns (Calc)'!$Q$3:$Q$500),2),"")</f>
        <v>0.44</v>
      </c>
      <c r="R18" s="152" t="n">
        <f aca="false">IFERROR(ROUND(CORREL('Returns (Calc)'!$N$3:$N$500,'Returns (Calc)'!$R$3:$R$500),2),"")</f>
        <v>0.16</v>
      </c>
      <c r="S18" s="152" t="n">
        <f aca="false">IFERROR(ROUND(CORREL('Returns (Calc)'!$N$3:$N$500,'Returns (Calc)'!$S$3:$S$500),2),"")</f>
        <v>0.11</v>
      </c>
      <c r="T18" s="152" t="n">
        <f aca="false">IFERROR(ROUND(CORREL('Returns (Calc)'!$N$3:$N$500,'Returns (Calc)'!$T$3:$T$500),2),"")</f>
        <v>0.05</v>
      </c>
      <c r="U18" s="152" t="str">
        <f aca="false">IFERROR(ROUND(CORREL('Returns (Calc)'!$N$3:$N$500,'Returns (Calc)'!$U$3:$U$500),2),"")</f>
        <v/>
      </c>
      <c r="V18" s="152" t="n">
        <f aca="false">IFERROR(ROUND(CORREL('Returns (Calc)'!$N$3:$N$500,'Returns (Calc)'!$V$3:$V$500),2),"")</f>
        <v>0.05</v>
      </c>
      <c r="AG18" s="153" t="n">
        <f aca="false">COUNTIF(B18:V18,"&gt;0.7")-1</f>
        <v>2</v>
      </c>
    </row>
    <row r="19" customFormat="false" ht="15" hidden="false" customHeight="true" outlineLevel="0" collapsed="false">
      <c r="A19" s="151" t="str">
        <f aca="false">'Returns (Calc)'!O2</f>
        <v>SPMO</v>
      </c>
      <c r="B19" s="152" t="n">
        <f aca="false">IFERROR(ROUND(CORREL('Returns (Calc)'!$O$3:$O$500,'Returns (Calc)'!$B$3:$B$500),2),"")</f>
        <v>0.23</v>
      </c>
      <c r="C19" s="152" t="n">
        <f aca="false">IFERROR(ROUND(CORREL('Returns (Calc)'!$O$3:$O$500,'Returns (Calc)'!$C$3:$C$500),2),"")</f>
        <v>0.64</v>
      </c>
      <c r="D19" s="152" t="n">
        <f aca="false">IFERROR(ROUND(CORREL('Returns (Calc)'!$O$3:$O$500,'Returns (Calc)'!$D$3:$D$500),2),"")</f>
        <v>0.61</v>
      </c>
      <c r="E19" s="152" t="n">
        <f aca="false">IFERROR(ROUND(CORREL('Returns (Calc)'!$O$3:$O$500,'Returns (Calc)'!$E$3:$E$500),2),"")</f>
        <v>0.73</v>
      </c>
      <c r="F19" s="152" t="n">
        <f aca="false">IFERROR(ROUND(CORREL('Returns (Calc)'!$O$3:$O$500,'Returns (Calc)'!$F$3:$F$500),2),"")</f>
        <v>0.5</v>
      </c>
      <c r="G19" s="152" t="n">
        <f aca="false">IFERROR(ROUND(CORREL('Returns (Calc)'!$O$3:$O$500,'Returns (Calc)'!$G$3:$G$500),2),"")</f>
        <v>0.52</v>
      </c>
      <c r="H19" s="152" t="n">
        <f aca="false">IFERROR(ROUND(CORREL('Returns (Calc)'!$O$3:$O$500,'Returns (Calc)'!$H$3:$H$500),2),"")</f>
        <v>0.34</v>
      </c>
      <c r="I19" s="152" t="n">
        <f aca="false">IFERROR(ROUND(CORREL('Returns (Calc)'!$O$3:$O$500,'Returns (Calc)'!$I$3:$I$500),2),"")</f>
        <v>0.67</v>
      </c>
      <c r="J19" s="152" t="n">
        <f aca="false">IFERROR(ROUND(CORREL('Returns (Calc)'!$O$3:$O$500,'Returns (Calc)'!$J$3:$J$500),2),"")</f>
        <v>0.66</v>
      </c>
      <c r="K19" s="152" t="n">
        <f aca="false">IFERROR(ROUND(CORREL('Returns (Calc)'!$O$3:$O$500,'Returns (Calc)'!$K$3:$K$500),2),"")</f>
        <v>0.75</v>
      </c>
      <c r="L19" s="152" t="n">
        <f aca="false">IFERROR(ROUND(CORREL('Returns (Calc)'!$O$3:$O$500,'Returns (Calc)'!$L$3:$L$500),2),"")</f>
        <v>0.34</v>
      </c>
      <c r="M19" s="152" t="n">
        <f aca="false">IFERROR(ROUND(CORREL('Returns (Calc)'!$O$3:$O$500,'Returns (Calc)'!$M$3:$M$500),2),"")</f>
        <v>0.44</v>
      </c>
      <c r="N19" s="152" t="n">
        <f aca="false">IFERROR(ROUND(CORREL('Returns (Calc)'!$O$3:$O$500,'Returns (Calc)'!$N$3:$N$500),2),"")</f>
        <v>0.36</v>
      </c>
      <c r="O19" s="152" t="n">
        <v>1</v>
      </c>
      <c r="P19" s="152" t="n">
        <f aca="false">IFERROR(ROUND(CORREL('Returns (Calc)'!$O$3:$O$500,'Returns (Calc)'!$P$3:$P$500),2),"")</f>
        <v>0.7</v>
      </c>
      <c r="Q19" s="152" t="n">
        <f aca="false">IFERROR(ROUND(CORREL('Returns (Calc)'!$O$3:$O$500,'Returns (Calc)'!$Q$3:$Q$500),2),"")</f>
        <v>0.37</v>
      </c>
      <c r="R19" s="152" t="n">
        <f aca="false">IFERROR(ROUND(CORREL('Returns (Calc)'!$O$3:$O$500,'Returns (Calc)'!$R$3:$R$500),2),"")</f>
        <v>0.06</v>
      </c>
      <c r="S19" s="152" t="n">
        <f aca="false">IFERROR(ROUND(CORREL('Returns (Calc)'!$O$3:$O$500,'Returns (Calc)'!$S$3:$S$500),2),"")</f>
        <v>0.01</v>
      </c>
      <c r="T19" s="152" t="n">
        <f aca="false">IFERROR(ROUND(CORREL('Returns (Calc)'!$O$3:$O$500,'Returns (Calc)'!$T$3:$T$500),2),"")</f>
        <v>-0.03</v>
      </c>
      <c r="U19" s="152" t="str">
        <f aca="false">IFERROR(ROUND(CORREL('Returns (Calc)'!$O$3:$O$500,'Returns (Calc)'!$U$3:$U$500),2),"")</f>
        <v/>
      </c>
      <c r="V19" s="152" t="n">
        <f aca="false">IFERROR(ROUND(CORREL('Returns (Calc)'!$O$3:$O$500,'Returns (Calc)'!$V$3:$V$500),2),"")</f>
        <v>-0.12</v>
      </c>
      <c r="AG19" s="153" t="n">
        <f aca="false">COUNTIF(B19:V19,"&gt;0.7")-1</f>
        <v>2</v>
      </c>
    </row>
    <row r="20" customFormat="false" ht="15" hidden="false" customHeight="true" outlineLevel="0" collapsed="false">
      <c r="A20" s="151" t="str">
        <f aca="false">'Returns (Calc)'!P2</f>
        <v>TSM</v>
      </c>
      <c r="B20" s="152" t="n">
        <f aca="false">IFERROR(ROUND(CORREL('Returns (Calc)'!$P$3:$P$500,'Returns (Calc)'!$B$3:$B$500),2),"")</f>
        <v>0.15</v>
      </c>
      <c r="C20" s="152" t="n">
        <f aca="false">IFERROR(ROUND(CORREL('Returns (Calc)'!$P$3:$P$500,'Returns (Calc)'!$C$3:$C$500),2),"")</f>
        <v>0.55</v>
      </c>
      <c r="D20" s="152" t="n">
        <f aca="false">IFERROR(ROUND(CORREL('Returns (Calc)'!$P$3:$P$500,'Returns (Calc)'!$D$3:$D$500),2),"")</f>
        <v>0.63</v>
      </c>
      <c r="E20" s="152" t="n">
        <f aca="false">IFERROR(ROUND(CORREL('Returns (Calc)'!$P$3:$P$500,'Returns (Calc)'!$E$3:$E$500),2),"")</f>
        <v>0.63</v>
      </c>
      <c r="F20" s="152" t="n">
        <f aca="false">IFERROR(ROUND(CORREL('Returns (Calc)'!$P$3:$P$500,'Returns (Calc)'!$F$3:$F$500),2),"")</f>
        <v>0.33</v>
      </c>
      <c r="G20" s="152" t="n">
        <f aca="false">IFERROR(ROUND(CORREL('Returns (Calc)'!$P$3:$P$500,'Returns (Calc)'!$G$3:$G$500),2),"")</f>
        <v>0.38</v>
      </c>
      <c r="H20" s="152" t="n">
        <f aca="false">IFERROR(ROUND(CORREL('Returns (Calc)'!$P$3:$P$500,'Returns (Calc)'!$H$3:$H$500),2),"")</f>
        <v>0.16</v>
      </c>
      <c r="I20" s="152" t="n">
        <f aca="false">IFERROR(ROUND(CORREL('Returns (Calc)'!$P$3:$P$500,'Returns (Calc)'!$I$3:$I$500),2),"")</f>
        <v>0.62</v>
      </c>
      <c r="J20" s="152" t="n">
        <f aca="false">IFERROR(ROUND(CORREL('Returns (Calc)'!$P$3:$P$500,'Returns (Calc)'!$J$3:$J$500),2),"")</f>
        <v>0.56</v>
      </c>
      <c r="K20" s="152" t="n">
        <f aca="false">IFERROR(ROUND(CORREL('Returns (Calc)'!$P$3:$P$500,'Returns (Calc)'!$K$3:$K$500),2),"")</f>
        <v>0.64</v>
      </c>
      <c r="L20" s="152" t="n">
        <f aca="false">IFERROR(ROUND(CORREL('Returns (Calc)'!$P$3:$P$500,'Returns (Calc)'!$L$3:$L$500),2),"")</f>
        <v>0.21</v>
      </c>
      <c r="M20" s="152" t="n">
        <f aca="false">IFERROR(ROUND(CORREL('Returns (Calc)'!$P$3:$P$500,'Returns (Calc)'!$M$3:$M$500),2),"")</f>
        <v>0.38</v>
      </c>
      <c r="N20" s="152" t="n">
        <f aca="false">IFERROR(ROUND(CORREL('Returns (Calc)'!$P$3:$P$500,'Returns (Calc)'!$N$3:$N$500),2),"")</f>
        <v>0.22</v>
      </c>
      <c r="O20" s="152" t="n">
        <f aca="false">IFERROR(ROUND(CORREL('Returns (Calc)'!$P$3:$P$500,'Returns (Calc)'!$O$3:$O$500),2),"")</f>
        <v>0.7</v>
      </c>
      <c r="P20" s="152" t="n">
        <v>1</v>
      </c>
      <c r="Q20" s="152" t="n">
        <f aca="false">IFERROR(ROUND(CORREL('Returns (Calc)'!$P$3:$P$500,'Returns (Calc)'!$Q$3:$Q$500),2),"")</f>
        <v>0.14</v>
      </c>
      <c r="R20" s="152" t="n">
        <f aca="false">IFERROR(ROUND(CORREL('Returns (Calc)'!$P$3:$P$500,'Returns (Calc)'!$R$3:$R$500),2),"")</f>
        <v>0.03</v>
      </c>
      <c r="S20" s="152" t="n">
        <f aca="false">IFERROR(ROUND(CORREL('Returns (Calc)'!$P$3:$P$500,'Returns (Calc)'!$S$3:$S$500),2),"")</f>
        <v>0.01</v>
      </c>
      <c r="T20" s="152" t="n">
        <f aca="false">IFERROR(ROUND(CORREL('Returns (Calc)'!$P$3:$P$500,'Returns (Calc)'!$T$3:$T$500),2),"")</f>
        <v>0.02</v>
      </c>
      <c r="U20" s="152" t="str">
        <f aca="false">IFERROR(ROUND(CORREL('Returns (Calc)'!$P$3:$P$500,'Returns (Calc)'!$U$3:$U$500),2),"")</f>
        <v/>
      </c>
      <c r="V20" s="152" t="n">
        <f aca="false">IFERROR(ROUND(CORREL('Returns (Calc)'!$P$3:$P$500,'Returns (Calc)'!$V$3:$V$500),2),"")</f>
        <v>0.05</v>
      </c>
      <c r="AG20" s="153" t="n">
        <f aca="false">COUNTIF(B20:V20,"&gt;0.7")-1</f>
        <v>0</v>
      </c>
    </row>
    <row r="21" customFormat="false" ht="15" hidden="false" customHeight="true" outlineLevel="0" collapsed="false">
      <c r="A21" s="151" t="str">
        <f aca="false">'Returns (Calc)'!Q2</f>
        <v>V</v>
      </c>
      <c r="B21" s="152" t="n">
        <f aca="false">IFERROR(ROUND(CORREL('Returns (Calc)'!$Q$3:$Q$500,'Returns (Calc)'!$B$3:$B$500),2),"")</f>
        <v>0.4</v>
      </c>
      <c r="C21" s="152" t="n">
        <f aca="false">IFERROR(ROUND(CORREL('Returns (Calc)'!$Q$3:$Q$500,'Returns (Calc)'!$C$3:$C$500),2),"")</f>
        <v>0.25</v>
      </c>
      <c r="D21" s="152" t="n">
        <f aca="false">IFERROR(ROUND(CORREL('Returns (Calc)'!$Q$3:$Q$500,'Returns (Calc)'!$D$3:$D$500),2),"")</f>
        <v>0.05</v>
      </c>
      <c r="E21" s="152" t="n">
        <f aca="false">IFERROR(ROUND(CORREL('Returns (Calc)'!$Q$3:$Q$500,'Returns (Calc)'!$E$3:$E$500),2),"")</f>
        <v>0.2</v>
      </c>
      <c r="F21" s="152" t="n">
        <f aca="false">IFERROR(ROUND(CORREL('Returns (Calc)'!$Q$3:$Q$500,'Returns (Calc)'!$F$3:$F$500),2),"")</f>
        <v>0.36</v>
      </c>
      <c r="G21" s="152" t="n">
        <f aca="false">IFERROR(ROUND(CORREL('Returns (Calc)'!$Q$3:$Q$500,'Returns (Calc)'!$G$3:$G$500),2),"")</f>
        <v>0.28</v>
      </c>
      <c r="H21" s="152" t="n">
        <f aca="false">IFERROR(ROUND(CORREL('Returns (Calc)'!$Q$3:$Q$500,'Returns (Calc)'!$H$3:$H$500),2),"")</f>
        <v>0.43</v>
      </c>
      <c r="I21" s="152" t="n">
        <f aca="false">IFERROR(ROUND(CORREL('Returns (Calc)'!$Q$3:$Q$500,'Returns (Calc)'!$I$3:$I$500),2),"")</f>
        <v>0.03</v>
      </c>
      <c r="J21" s="152" t="n">
        <f aca="false">IFERROR(ROUND(CORREL('Returns (Calc)'!$Q$3:$Q$500,'Returns (Calc)'!$J$3:$J$500),2),"")</f>
        <v>0.02</v>
      </c>
      <c r="K21" s="152" t="n">
        <f aca="false">IFERROR(ROUND(CORREL('Returns (Calc)'!$Q$3:$Q$500,'Returns (Calc)'!$K$3:$K$500),2),"")</f>
        <v>0.2</v>
      </c>
      <c r="L21" s="152" t="n">
        <f aca="false">IFERROR(ROUND(CORREL('Returns (Calc)'!$Q$3:$Q$500,'Returns (Calc)'!$L$3:$L$500),2),"")</f>
        <v>0.37</v>
      </c>
      <c r="M21" s="152" t="n">
        <f aca="false">IFERROR(ROUND(CORREL('Returns (Calc)'!$Q$3:$Q$500,'Returns (Calc)'!$M$3:$M$500),2),"")</f>
        <v>0.24</v>
      </c>
      <c r="N21" s="152" t="n">
        <f aca="false">IFERROR(ROUND(CORREL('Returns (Calc)'!$Q$3:$Q$500,'Returns (Calc)'!$N$3:$N$500),2),"")</f>
        <v>0.44</v>
      </c>
      <c r="O21" s="152" t="n">
        <f aca="false">IFERROR(ROUND(CORREL('Returns (Calc)'!$Q$3:$Q$500,'Returns (Calc)'!$O$3:$O$500),2),"")</f>
        <v>0.37</v>
      </c>
      <c r="P21" s="152" t="n">
        <f aca="false">IFERROR(ROUND(CORREL('Returns (Calc)'!$Q$3:$Q$500,'Returns (Calc)'!$P$3:$P$500),2),"")</f>
        <v>0.14</v>
      </c>
      <c r="Q21" s="152" t="n">
        <v>1</v>
      </c>
      <c r="R21" s="152" t="n">
        <f aca="false">IFERROR(ROUND(CORREL('Returns (Calc)'!$Q$3:$Q$500,'Returns (Calc)'!$R$3:$R$500),2),"")</f>
        <v>-0.02</v>
      </c>
      <c r="S21" s="152" t="n">
        <f aca="false">IFERROR(ROUND(CORREL('Returns (Calc)'!$Q$3:$Q$500,'Returns (Calc)'!$S$3:$S$500),2),"")</f>
        <v>-0.05</v>
      </c>
      <c r="T21" s="152" t="n">
        <f aca="false">IFERROR(ROUND(CORREL('Returns (Calc)'!$Q$3:$Q$500,'Returns (Calc)'!$T$3:$T$500),2),"")</f>
        <v>-0.04</v>
      </c>
      <c r="U21" s="152" t="str">
        <f aca="false">IFERROR(ROUND(CORREL('Returns (Calc)'!$Q$3:$Q$500,'Returns (Calc)'!$U$3:$U$500),2),"")</f>
        <v/>
      </c>
      <c r="V21" s="152" t="n">
        <f aca="false">IFERROR(ROUND(CORREL('Returns (Calc)'!$Q$3:$Q$500,'Returns (Calc)'!$V$3:$V$500),2),"")</f>
        <v>-0.23</v>
      </c>
      <c r="AG21" s="153" t="n">
        <f aca="false">COUNTIF(B21:V21,"&gt;0.7")-1</f>
        <v>0</v>
      </c>
    </row>
    <row r="22" customFormat="false" ht="15" hidden="false" customHeight="true" outlineLevel="0" collapsed="false">
      <c r="A22" s="151" t="str">
        <f aca="false">'Returns (Calc)'!R2</f>
        <v>JEPQ</v>
      </c>
      <c r="B22" s="152" t="n">
        <f aca="false">IFERROR(ROUND(CORREL('Returns (Calc)'!$R$3:$R$500,'Returns (Calc)'!$B$3:$B$500),2),"")</f>
        <v>-0.06</v>
      </c>
      <c r="C22" s="152" t="n">
        <f aca="false">IFERROR(ROUND(CORREL('Returns (Calc)'!$R$3:$R$500,'Returns (Calc)'!$C$3:$C$500),2),"")</f>
        <v>0.01</v>
      </c>
      <c r="D22" s="152" t="n">
        <f aca="false">IFERROR(ROUND(CORREL('Returns (Calc)'!$R$3:$R$500,'Returns (Calc)'!$D$3:$D$500),2),"")</f>
        <v>0.05</v>
      </c>
      <c r="E22" s="152" t="n">
        <f aca="false">IFERROR(ROUND(CORREL('Returns (Calc)'!$R$3:$R$500,'Returns (Calc)'!$E$3:$E$500),2),"")</f>
        <v>0.04</v>
      </c>
      <c r="F22" s="152" t="n">
        <f aca="false">IFERROR(ROUND(CORREL('Returns (Calc)'!$R$3:$R$500,'Returns (Calc)'!$F$3:$F$500),2),"")</f>
        <v>0.09</v>
      </c>
      <c r="G22" s="152" t="n">
        <f aca="false">IFERROR(ROUND(CORREL('Returns (Calc)'!$R$3:$R$500,'Returns (Calc)'!$G$3:$G$500),2),"")</f>
        <v>0.08</v>
      </c>
      <c r="H22" s="152" t="n">
        <f aca="false">IFERROR(ROUND(CORREL('Returns (Calc)'!$R$3:$R$500,'Returns (Calc)'!$H$3:$H$500),2),"")</f>
        <v>0.13</v>
      </c>
      <c r="I22" s="152" t="n">
        <f aca="false">IFERROR(ROUND(CORREL('Returns (Calc)'!$R$3:$R$500,'Returns (Calc)'!$I$3:$I$500),2),"")</f>
        <v>0.07</v>
      </c>
      <c r="J22" s="152" t="n">
        <f aca="false">IFERROR(ROUND(CORREL('Returns (Calc)'!$R$3:$R$500,'Returns (Calc)'!$J$3:$J$500),2),"")</f>
        <v>0.08</v>
      </c>
      <c r="K22" s="152" t="n">
        <f aca="false">IFERROR(ROUND(CORREL('Returns (Calc)'!$R$3:$R$500,'Returns (Calc)'!$K$3:$K$500),2),"")</f>
        <v>0.02</v>
      </c>
      <c r="L22" s="152" t="n">
        <f aca="false">IFERROR(ROUND(CORREL('Returns (Calc)'!$R$3:$R$500,'Returns (Calc)'!$L$3:$L$500),2),"")</f>
        <v>0.14</v>
      </c>
      <c r="M22" s="152" t="n">
        <f aca="false">IFERROR(ROUND(CORREL('Returns (Calc)'!$R$3:$R$500,'Returns (Calc)'!$M$3:$M$500),2),"")</f>
        <v>-0.04</v>
      </c>
      <c r="N22" s="152" t="n">
        <f aca="false">IFERROR(ROUND(CORREL('Returns (Calc)'!$R$3:$R$500,'Returns (Calc)'!$N$3:$N$500),2),"")</f>
        <v>0.16</v>
      </c>
      <c r="O22" s="152" t="n">
        <f aca="false">IFERROR(ROUND(CORREL('Returns (Calc)'!$R$3:$R$500,'Returns (Calc)'!$O$3:$O$500),2),"")</f>
        <v>0.06</v>
      </c>
      <c r="P22" s="152" t="n">
        <f aca="false">IFERROR(ROUND(CORREL('Returns (Calc)'!$R$3:$R$500,'Returns (Calc)'!$P$3:$P$500),2),"")</f>
        <v>0.03</v>
      </c>
      <c r="Q22" s="152" t="n">
        <f aca="false">IFERROR(ROUND(CORREL('Returns (Calc)'!$R$3:$R$500,'Returns (Calc)'!$Q$3:$Q$500),2),"")</f>
        <v>-0.02</v>
      </c>
      <c r="R22" s="152" t="n">
        <v>1</v>
      </c>
      <c r="S22" s="152" t="n">
        <f aca="false">IFERROR(ROUND(CORREL('Returns (Calc)'!$R$3:$R$500,'Returns (Calc)'!$S$3:$S$500),2),"")</f>
        <v>0.88</v>
      </c>
      <c r="T22" s="152" t="n">
        <f aca="false">IFERROR(ROUND(CORREL('Returns (Calc)'!$R$3:$R$500,'Returns (Calc)'!$T$3:$T$500),2),"")</f>
        <v>0.57</v>
      </c>
      <c r="U22" s="152" t="str">
        <f aca="false">IFERROR(ROUND(CORREL('Returns (Calc)'!$R$3:$R$500,'Returns (Calc)'!$U$3:$U$500),2),"")</f>
        <v/>
      </c>
      <c r="V22" s="152" t="n">
        <f aca="false">IFERROR(ROUND(CORREL('Returns (Calc)'!$R$3:$R$500,'Returns (Calc)'!$V$3:$V$500),2),"")</f>
        <v>0.44</v>
      </c>
      <c r="AG22" s="153" t="n">
        <f aca="false">COUNTIF(B22:V22,"&gt;0.7")-1</f>
        <v>1</v>
      </c>
    </row>
    <row r="23" customFormat="false" ht="15" hidden="false" customHeight="true" outlineLevel="0" collapsed="false">
      <c r="A23" s="151" t="str">
        <f aca="false">'Returns (Calc)'!S2</f>
        <v>SPMO</v>
      </c>
      <c r="B23" s="152" t="n">
        <f aca="false">IFERROR(ROUND(CORREL('Returns (Calc)'!$S$3:$S$500,'Returns (Calc)'!$B$3:$B$500),2),"")</f>
        <v>-0.15</v>
      </c>
      <c r="C23" s="152" t="n">
        <f aca="false">IFERROR(ROUND(CORREL('Returns (Calc)'!$S$3:$S$500,'Returns (Calc)'!$C$3:$C$500),2),"")</f>
        <v>-0.04</v>
      </c>
      <c r="D23" s="152" t="n">
        <f aca="false">IFERROR(ROUND(CORREL('Returns (Calc)'!$S$3:$S$500,'Returns (Calc)'!$D$3:$D$500),2),"")</f>
        <v>0.03</v>
      </c>
      <c r="E23" s="152" t="n">
        <f aca="false">IFERROR(ROUND(CORREL('Returns (Calc)'!$S$3:$S$500,'Returns (Calc)'!$E$3:$E$500),2),"")</f>
        <v>0.03</v>
      </c>
      <c r="F23" s="152" t="n">
        <f aca="false">IFERROR(ROUND(CORREL('Returns (Calc)'!$S$3:$S$500,'Returns (Calc)'!$F$3:$F$500),2),"")</f>
        <v>0.08</v>
      </c>
      <c r="G23" s="152" t="n">
        <f aca="false">IFERROR(ROUND(CORREL('Returns (Calc)'!$S$3:$S$500,'Returns (Calc)'!$G$3:$G$500),2),"")</f>
        <v>0.08</v>
      </c>
      <c r="H23" s="152" t="n">
        <f aca="false">IFERROR(ROUND(CORREL('Returns (Calc)'!$S$3:$S$500,'Returns (Calc)'!$H$3:$H$500),2),"")</f>
        <v>0.13</v>
      </c>
      <c r="I23" s="152" t="n">
        <f aca="false">IFERROR(ROUND(CORREL('Returns (Calc)'!$S$3:$S$500,'Returns (Calc)'!$I$3:$I$500),2),"")</f>
        <v>0.05</v>
      </c>
      <c r="J23" s="152" t="n">
        <f aca="false">IFERROR(ROUND(CORREL('Returns (Calc)'!$S$3:$S$500,'Returns (Calc)'!$J$3:$J$500),2),"")</f>
        <v>0.09</v>
      </c>
      <c r="K23" s="152" t="n">
        <f aca="false">IFERROR(ROUND(CORREL('Returns (Calc)'!$S$3:$S$500,'Returns (Calc)'!$K$3:$K$500),2),"")</f>
        <v>-0</v>
      </c>
      <c r="L23" s="152" t="n">
        <f aca="false">IFERROR(ROUND(CORREL('Returns (Calc)'!$S$3:$S$500,'Returns (Calc)'!$L$3:$L$500),2),"")</f>
        <v>0.11</v>
      </c>
      <c r="M23" s="152" t="n">
        <f aca="false">IFERROR(ROUND(CORREL('Returns (Calc)'!$S$3:$S$500,'Returns (Calc)'!$M$3:$M$500),2),"")</f>
        <v>-0.06</v>
      </c>
      <c r="N23" s="152" t="n">
        <f aca="false">IFERROR(ROUND(CORREL('Returns (Calc)'!$S$3:$S$500,'Returns (Calc)'!$N$3:$N$500),2),"")</f>
        <v>0.11</v>
      </c>
      <c r="O23" s="152" t="n">
        <f aca="false">IFERROR(ROUND(CORREL('Returns (Calc)'!$S$3:$S$500,'Returns (Calc)'!$O$3:$O$500),2),"")</f>
        <v>0.01</v>
      </c>
      <c r="P23" s="152" t="n">
        <f aca="false">IFERROR(ROUND(CORREL('Returns (Calc)'!$S$3:$S$500,'Returns (Calc)'!$P$3:$P$500),2),"")</f>
        <v>0.01</v>
      </c>
      <c r="Q23" s="152" t="n">
        <f aca="false">IFERROR(ROUND(CORREL('Returns (Calc)'!$S$3:$S$500,'Returns (Calc)'!$Q$3:$Q$500),2),"")</f>
        <v>-0.05</v>
      </c>
      <c r="R23" s="152" t="n">
        <f aca="false">IFERROR(ROUND(CORREL('Returns (Calc)'!$S$3:$S$500,'Returns (Calc)'!$R$3:$R$500),2),"")</f>
        <v>0.88</v>
      </c>
      <c r="S23" s="152" t="n">
        <v>1</v>
      </c>
      <c r="T23" s="152" t="n">
        <f aca="false">IFERROR(ROUND(CORREL('Returns (Calc)'!$S$3:$S$500,'Returns (Calc)'!$T$3:$T$500),2),"")</f>
        <v>0.52</v>
      </c>
      <c r="U23" s="152" t="str">
        <f aca="false">IFERROR(ROUND(CORREL('Returns (Calc)'!$S$3:$S$500,'Returns (Calc)'!$U$3:$U$500),2),"")</f>
        <v/>
      </c>
      <c r="V23" s="152" t="n">
        <f aca="false">IFERROR(ROUND(CORREL('Returns (Calc)'!$S$3:$S$500,'Returns (Calc)'!$V$3:$V$500),2),"")</f>
        <v>0.42</v>
      </c>
      <c r="AG23" s="153" t="n">
        <f aca="false">COUNTIF(B23:V23,"&gt;0.7")-1</f>
        <v>1</v>
      </c>
    </row>
    <row r="24" customFormat="false" ht="15" hidden="false" customHeight="true" outlineLevel="0" collapsed="false">
      <c r="A24" s="151" t="str">
        <f aca="false">'Returns (Calc)'!T2</f>
        <v>VFLO</v>
      </c>
      <c r="B24" s="152" t="n">
        <f aca="false">IFERROR(ROUND(CORREL('Returns (Calc)'!$T$3:$T$500,'Returns (Calc)'!$B$3:$B$500),2),"")</f>
        <v>-0.09</v>
      </c>
      <c r="C24" s="152" t="n">
        <f aca="false">IFERROR(ROUND(CORREL('Returns (Calc)'!$T$3:$T$500,'Returns (Calc)'!$C$3:$C$500),2),"")</f>
        <v>0</v>
      </c>
      <c r="D24" s="152" t="n">
        <f aca="false">IFERROR(ROUND(CORREL('Returns (Calc)'!$T$3:$T$500,'Returns (Calc)'!$D$3:$D$500),2),"")</f>
        <v>0.09</v>
      </c>
      <c r="E24" s="152" t="n">
        <f aca="false">IFERROR(ROUND(CORREL('Returns (Calc)'!$T$3:$T$500,'Returns (Calc)'!$E$3:$E$500),2),"")</f>
        <v>0.01</v>
      </c>
      <c r="F24" s="152" t="n">
        <f aca="false">IFERROR(ROUND(CORREL('Returns (Calc)'!$T$3:$T$500,'Returns (Calc)'!$F$3:$F$500),2),"")</f>
        <v>-0.01</v>
      </c>
      <c r="G24" s="152" t="n">
        <f aca="false">IFERROR(ROUND(CORREL('Returns (Calc)'!$T$3:$T$500,'Returns (Calc)'!$G$3:$G$500),2),"")</f>
        <v>0.11</v>
      </c>
      <c r="H24" s="152" t="n">
        <f aca="false">IFERROR(ROUND(CORREL('Returns (Calc)'!$T$3:$T$500,'Returns (Calc)'!$H$3:$H$500),2),"")</f>
        <v>0.02</v>
      </c>
      <c r="I24" s="152" t="n">
        <f aca="false">IFERROR(ROUND(CORREL('Returns (Calc)'!$T$3:$T$500,'Returns (Calc)'!$I$3:$I$500),2),"")</f>
        <v>0.05</v>
      </c>
      <c r="J24" s="152" t="n">
        <f aca="false">IFERROR(ROUND(CORREL('Returns (Calc)'!$T$3:$T$500,'Returns (Calc)'!$J$3:$J$500),2),"")</f>
        <v>0.06</v>
      </c>
      <c r="K24" s="152" t="n">
        <f aca="false">IFERROR(ROUND(CORREL('Returns (Calc)'!$T$3:$T$500,'Returns (Calc)'!$K$3:$K$500),2),"")</f>
        <v>-0</v>
      </c>
      <c r="L24" s="152" t="n">
        <f aca="false">IFERROR(ROUND(CORREL('Returns (Calc)'!$T$3:$T$500,'Returns (Calc)'!$L$3:$L$500),2),"")</f>
        <v>-0.05</v>
      </c>
      <c r="M24" s="152" t="n">
        <f aca="false">IFERROR(ROUND(CORREL('Returns (Calc)'!$T$3:$T$500,'Returns (Calc)'!$M$3:$M$500),2),"")</f>
        <v>-0.02</v>
      </c>
      <c r="N24" s="152" t="n">
        <f aca="false">IFERROR(ROUND(CORREL('Returns (Calc)'!$T$3:$T$500,'Returns (Calc)'!$N$3:$N$500),2),"")</f>
        <v>0.05</v>
      </c>
      <c r="O24" s="152" t="n">
        <f aca="false">IFERROR(ROUND(CORREL('Returns (Calc)'!$T$3:$T$500,'Returns (Calc)'!$O$3:$O$500),2),"")</f>
        <v>-0.03</v>
      </c>
      <c r="P24" s="152" t="n">
        <f aca="false">IFERROR(ROUND(CORREL('Returns (Calc)'!$T$3:$T$500,'Returns (Calc)'!$P$3:$P$500),2),"")</f>
        <v>0.02</v>
      </c>
      <c r="Q24" s="152" t="n">
        <f aca="false">IFERROR(ROUND(CORREL('Returns (Calc)'!$T$3:$T$500,'Returns (Calc)'!$Q$3:$Q$500),2),"")</f>
        <v>-0.04</v>
      </c>
      <c r="R24" s="152" t="n">
        <f aca="false">IFERROR(ROUND(CORREL('Returns (Calc)'!$T$3:$T$500,'Returns (Calc)'!$R$3:$R$500),2),"")</f>
        <v>0.57</v>
      </c>
      <c r="S24" s="152" t="n">
        <f aca="false">IFERROR(ROUND(CORREL('Returns (Calc)'!$T$3:$T$500,'Returns (Calc)'!$S$3:$S$500),2),"")</f>
        <v>0.52</v>
      </c>
      <c r="T24" s="152" t="n">
        <v>1</v>
      </c>
      <c r="U24" s="152" t="str">
        <f aca="false">IFERROR(ROUND(CORREL('Returns (Calc)'!$T$3:$T$500,'Returns (Calc)'!$U$3:$U$500),2),"")</f>
        <v/>
      </c>
      <c r="V24" s="152" t="n">
        <f aca="false">IFERROR(ROUND(CORREL('Returns (Calc)'!$T$3:$T$500,'Returns (Calc)'!$V$3:$V$500),2),"")</f>
        <v>0.46</v>
      </c>
      <c r="AG24" s="153" t="n">
        <f aca="false">COUNTIF(B24:V24,"&gt;0.7")-1</f>
        <v>0</v>
      </c>
    </row>
    <row r="25" customFormat="false" ht="15" hidden="false" customHeight="true" outlineLevel="0" collapsed="false">
      <c r="A25" s="151" t="n">
        <f aca="false">'Returns (Calc)'!U2</f>
        <v>0</v>
      </c>
      <c r="B25" s="152" t="str">
        <f aca="false">IFERROR(ROUND(CORREL('Returns (Calc)'!$U$3:$U$500,'Returns (Calc)'!$B$3:$B$500),2),"")</f>
        <v/>
      </c>
      <c r="C25" s="152" t="str">
        <f aca="false">IFERROR(ROUND(CORREL('Returns (Calc)'!$U$3:$U$500,'Returns (Calc)'!$C$3:$C$500),2),"")</f>
        <v/>
      </c>
      <c r="D25" s="152" t="str">
        <f aca="false">IFERROR(ROUND(CORREL('Returns (Calc)'!$U$3:$U$500,'Returns (Calc)'!$D$3:$D$500),2),"")</f>
        <v/>
      </c>
      <c r="E25" s="152" t="str">
        <f aca="false">IFERROR(ROUND(CORREL('Returns (Calc)'!$U$3:$U$500,'Returns (Calc)'!$E$3:$E$500),2),"")</f>
        <v/>
      </c>
      <c r="F25" s="152" t="str">
        <f aca="false">IFERROR(ROUND(CORREL('Returns (Calc)'!$U$3:$U$500,'Returns (Calc)'!$F$3:$F$500),2),"")</f>
        <v/>
      </c>
      <c r="G25" s="152" t="str">
        <f aca="false">IFERROR(ROUND(CORREL('Returns (Calc)'!$U$3:$U$500,'Returns (Calc)'!$G$3:$G$500),2),"")</f>
        <v/>
      </c>
      <c r="H25" s="152" t="str">
        <f aca="false">IFERROR(ROUND(CORREL('Returns (Calc)'!$U$3:$U$500,'Returns (Calc)'!$H$3:$H$500),2),"")</f>
        <v/>
      </c>
      <c r="I25" s="152" t="str">
        <f aca="false">IFERROR(ROUND(CORREL('Returns (Calc)'!$U$3:$U$500,'Returns (Calc)'!$I$3:$I$500),2),"")</f>
        <v/>
      </c>
      <c r="J25" s="152" t="str">
        <f aca="false">IFERROR(ROUND(CORREL('Returns (Calc)'!$U$3:$U$500,'Returns (Calc)'!$J$3:$J$500),2),"")</f>
        <v/>
      </c>
      <c r="K25" s="152" t="str">
        <f aca="false">IFERROR(ROUND(CORREL('Returns (Calc)'!$U$3:$U$500,'Returns (Calc)'!$K$3:$K$500),2),"")</f>
        <v/>
      </c>
      <c r="L25" s="152" t="str">
        <f aca="false">IFERROR(ROUND(CORREL('Returns (Calc)'!$U$3:$U$500,'Returns (Calc)'!$L$3:$L$500),2),"")</f>
        <v/>
      </c>
      <c r="M25" s="152" t="str">
        <f aca="false">IFERROR(ROUND(CORREL('Returns (Calc)'!$U$3:$U$500,'Returns (Calc)'!$M$3:$M$500),2),"")</f>
        <v/>
      </c>
      <c r="N25" s="152" t="str">
        <f aca="false">IFERROR(ROUND(CORREL('Returns (Calc)'!$U$3:$U$500,'Returns (Calc)'!$N$3:$N$500),2),"")</f>
        <v/>
      </c>
      <c r="O25" s="152" t="str">
        <f aca="false">IFERROR(ROUND(CORREL('Returns (Calc)'!$U$3:$U$500,'Returns (Calc)'!$O$3:$O$500),2),"")</f>
        <v/>
      </c>
      <c r="P25" s="152" t="str">
        <f aca="false">IFERROR(ROUND(CORREL('Returns (Calc)'!$U$3:$U$500,'Returns (Calc)'!$P$3:$P$500),2),"")</f>
        <v/>
      </c>
      <c r="Q25" s="152" t="str">
        <f aca="false">IFERROR(ROUND(CORREL('Returns (Calc)'!$U$3:$U$500,'Returns (Calc)'!$Q$3:$Q$500),2),"")</f>
        <v/>
      </c>
      <c r="R25" s="152" t="str">
        <f aca="false">IFERROR(ROUND(CORREL('Returns (Calc)'!$U$3:$U$500,'Returns (Calc)'!$R$3:$R$500),2),"")</f>
        <v/>
      </c>
      <c r="S25" s="152" t="str">
        <f aca="false">IFERROR(ROUND(CORREL('Returns (Calc)'!$U$3:$U$500,'Returns (Calc)'!$S$3:$S$500),2),"")</f>
        <v/>
      </c>
      <c r="T25" s="152" t="str">
        <f aca="false">IFERROR(ROUND(CORREL('Returns (Calc)'!$U$3:$U$500,'Returns (Calc)'!$T$3:$T$500),2),"")</f>
        <v/>
      </c>
      <c r="U25" s="152" t="n">
        <v>1</v>
      </c>
      <c r="V25" s="152" t="str">
        <f aca="false">IFERROR(ROUND(CORREL('Returns (Calc)'!$U$3:$U$500,'Returns (Calc)'!$V$3:$V$500),2),"")</f>
        <v/>
      </c>
      <c r="AG25" s="153" t="n">
        <f aca="false">COUNTIF(B25:V25,"&gt;0.7")-1</f>
        <v>0</v>
      </c>
    </row>
    <row r="26" customFormat="false" ht="15" hidden="false" customHeight="true" outlineLevel="0" collapsed="false">
      <c r="A26" s="151" t="str">
        <f aca="false">'Returns (Calc)'!V2</f>
        <v>V</v>
      </c>
      <c r="B26" s="152" t="n">
        <f aca="false">IFERROR(ROUND(CORREL('Returns (Calc)'!$V$3:$V$500,'Returns (Calc)'!$B$3:$B$500),2),"")</f>
        <v>-0.15</v>
      </c>
      <c r="C26" s="152" t="n">
        <f aca="false">IFERROR(ROUND(CORREL('Returns (Calc)'!$V$3:$V$500,'Returns (Calc)'!$C$3:$C$500),2),"")</f>
        <v>-0.02</v>
      </c>
      <c r="D26" s="152" t="n">
        <f aca="false">IFERROR(ROUND(CORREL('Returns (Calc)'!$V$3:$V$500,'Returns (Calc)'!$D$3:$D$500),2),"")</f>
        <v>0.02</v>
      </c>
      <c r="E26" s="152" t="n">
        <f aca="false">IFERROR(ROUND(CORREL('Returns (Calc)'!$V$3:$V$500,'Returns (Calc)'!$E$3:$E$500),2),"")</f>
        <v>-0.07</v>
      </c>
      <c r="F26" s="152" t="n">
        <f aca="false">IFERROR(ROUND(CORREL('Returns (Calc)'!$V$3:$V$500,'Returns (Calc)'!$F$3:$F$500),2),"")</f>
        <v>-0.04</v>
      </c>
      <c r="G26" s="152" t="n">
        <f aca="false">IFERROR(ROUND(CORREL('Returns (Calc)'!$V$3:$V$500,'Returns (Calc)'!$G$3:$G$500),2),"")</f>
        <v>0.02</v>
      </c>
      <c r="H26" s="152" t="n">
        <f aca="false">IFERROR(ROUND(CORREL('Returns (Calc)'!$V$3:$V$500,'Returns (Calc)'!$H$3:$H$500),2),"")</f>
        <v>0.02</v>
      </c>
      <c r="I26" s="152" t="n">
        <f aca="false">IFERROR(ROUND(CORREL('Returns (Calc)'!$V$3:$V$500,'Returns (Calc)'!$I$3:$I$500),2),"")</f>
        <v>-0.02</v>
      </c>
      <c r="J26" s="152" t="n">
        <f aca="false">IFERROR(ROUND(CORREL('Returns (Calc)'!$V$3:$V$500,'Returns (Calc)'!$J$3:$J$500),2),"")</f>
        <v>0.01</v>
      </c>
      <c r="K26" s="152" t="n">
        <f aca="false">IFERROR(ROUND(CORREL('Returns (Calc)'!$V$3:$V$500,'Returns (Calc)'!$K$3:$K$500),2),"")</f>
        <v>-0.06</v>
      </c>
      <c r="L26" s="152" t="n">
        <f aca="false">IFERROR(ROUND(CORREL('Returns (Calc)'!$V$3:$V$500,'Returns (Calc)'!$L$3:$L$500),2),"")</f>
        <v>-0.05</v>
      </c>
      <c r="M26" s="152" t="n">
        <f aca="false">IFERROR(ROUND(CORREL('Returns (Calc)'!$V$3:$V$500,'Returns (Calc)'!$M$3:$M$500),2),"")</f>
        <v>-0.14</v>
      </c>
      <c r="N26" s="152" t="n">
        <f aca="false">IFERROR(ROUND(CORREL('Returns (Calc)'!$V$3:$V$500,'Returns (Calc)'!$N$3:$N$500),2),"")</f>
        <v>0.05</v>
      </c>
      <c r="O26" s="152" t="n">
        <f aca="false">IFERROR(ROUND(CORREL('Returns (Calc)'!$V$3:$V$500,'Returns (Calc)'!$O$3:$O$500),2),"")</f>
        <v>-0.12</v>
      </c>
      <c r="P26" s="152" t="n">
        <f aca="false">IFERROR(ROUND(CORREL('Returns (Calc)'!$V$3:$V$500,'Returns (Calc)'!$P$3:$P$500),2),"")</f>
        <v>0.05</v>
      </c>
      <c r="Q26" s="152" t="n">
        <f aca="false">IFERROR(ROUND(CORREL('Returns (Calc)'!$V$3:$V$500,'Returns (Calc)'!$Q$3:$Q$500),2),"")</f>
        <v>-0.23</v>
      </c>
      <c r="R26" s="152" t="n">
        <f aca="false">IFERROR(ROUND(CORREL('Returns (Calc)'!$V$3:$V$500,'Returns (Calc)'!$R$3:$R$500),2),"")</f>
        <v>0.44</v>
      </c>
      <c r="S26" s="152" t="n">
        <f aca="false">IFERROR(ROUND(CORREL('Returns (Calc)'!$V$3:$V$500,'Returns (Calc)'!$S$3:$S$500),2),"")</f>
        <v>0.42</v>
      </c>
      <c r="T26" s="152" t="n">
        <f aca="false">IFERROR(ROUND(CORREL('Returns (Calc)'!$V$3:$V$500,'Returns (Calc)'!$T$3:$T$500),2),"")</f>
        <v>0.46</v>
      </c>
      <c r="U26" s="152" t="str">
        <f aca="false">IFERROR(ROUND(CORREL('Returns (Calc)'!$V$3:$V$500,'Returns (Calc)'!$U$3:$U$500),2),"")</f>
        <v/>
      </c>
      <c r="V26" s="152" t="n">
        <v>1</v>
      </c>
      <c r="AG26" s="153" t="n">
        <f aca="false">COUNTIF(B26:V26,"&gt;0.7")-1</f>
        <v>0</v>
      </c>
    </row>
  </sheetData>
  <mergeCells count="1">
    <mergeCell ref="A1:AG1"/>
  </mergeCells>
  <conditionalFormatting sqref="B6:V26">
    <cfRule type="expression" priority="2" aboveAverage="0" equalAverage="0" bottom="0" percent="0" rank="0" text="" dxfId="26">
      <formula>AND(B6&lt;&gt;1,ABS(B6)&gt;0.7)</formula>
    </cfRule>
  </conditionalFormatting>
  <conditionalFormatting sqref="AG6:AG26">
    <cfRule type="cellIs" priority="3" operator="greaterThan" aboveAverage="0" equalAverage="0" bottom="0" percent="0" rank="0" text="" dxfId="26">
      <formula>1</formula>
    </cfRule>
  </conditionalFormatting>
  <conditionalFormatting sqref="J3">
    <cfRule type="cellIs" priority="4" operator="equal" aboveAverage="0" equalAverage="0" bottom="0" percent="0" rank="0" text="" dxfId="26">
      <formula>"REVIEW REQUIRED"</formula>
    </cfRule>
    <cfRule type="cellIs" priority="5" operator="equal" aboveAverage="0" equalAverage="0" bottom="0" percent="0" rank="0" text="" dxfId="21">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12" activeCellId="0" sqref="H12"/>
    </sheetView>
  </sheetViews>
  <sheetFormatPr defaultColWidth="8.66796875" defaultRowHeight="14.2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33" width="30"/>
  </cols>
  <sheetData>
    <row r="1" customFormat="false" ht="24" hidden="false" customHeight="true" outlineLevel="0" collapsed="false">
      <c r="A1" s="154" t="s">
        <v>460</v>
      </c>
      <c r="B1" s="154"/>
      <c r="C1" s="154"/>
      <c r="D1" s="154"/>
      <c r="E1" s="154"/>
      <c r="F1" s="154"/>
      <c r="G1" s="154"/>
      <c r="H1" s="154"/>
    </row>
    <row r="2" customFormat="false" ht="27.75" hidden="false" customHeight="true" outlineLevel="0" collapsed="false">
      <c r="A2" s="110" t="s">
        <v>461</v>
      </c>
      <c r="B2" s="110" t="s">
        <v>462</v>
      </c>
      <c r="C2" s="110" t="s">
        <v>463</v>
      </c>
      <c r="D2" s="110" t="s">
        <v>464</v>
      </c>
      <c r="E2" s="110" t="s">
        <v>465</v>
      </c>
      <c r="F2" s="110" t="s">
        <v>466</v>
      </c>
      <c r="G2" s="110" t="s">
        <v>467</v>
      </c>
      <c r="H2" s="110" t="s">
        <v>210</v>
      </c>
    </row>
    <row r="3" customFormat="false" ht="15" hidden="false" customHeight="true" outlineLevel="0" collapsed="false">
      <c r="A3" s="155" t="n">
        <v>46245</v>
      </c>
      <c r="B3" s="156" t="n">
        <v>700739.19</v>
      </c>
      <c r="C3" s="157" t="n">
        <f aca="false">IF(B3="","",B3)</f>
        <v>700739.19</v>
      </c>
      <c r="D3" s="158" t="n">
        <f aca="false">IF(OR(B3="",C3=""),"",B3/C3-1)</f>
        <v>0</v>
      </c>
      <c r="E3" s="159" t="str">
        <f aca="false">IF(D3="","",IF(D3&gt;=-0.1,"Normal",IF(D3&gt;=-0.2,"Elevated",IF(D3&gt;=-0.3,"Severe","Critical"))))</f>
        <v>Normal</v>
      </c>
      <c r="F3" s="160" t="str">
        <f aca="false">IF(E3="","",IF(E3="Normal","5-15%",IF(E3="Elevated","15%",IF(E3="Severe","20%","25%"))))</f>
        <v>5-15%</v>
      </c>
      <c r="G3" s="160" t="str">
        <f aca="false">IF(E3="","",IF(E3="Normal","Standard (score &gt;=65)",IF(E3="Elevated","Restricted (score &gt;=80 only)","Suspended")))</f>
        <v>Standard (score &gt;=65)</v>
      </c>
      <c r="H3" s="161"/>
    </row>
    <row r="4" customFormat="false" ht="15" hidden="false" customHeight="true" outlineLevel="0" collapsed="false">
      <c r="A4" s="155" t="n">
        <v>46269</v>
      </c>
      <c r="B4" s="156" t="n">
        <v>751223.12</v>
      </c>
      <c r="C4" s="157" t="n">
        <f aca="false">IF(B4="","",MAX(C3,B4))</f>
        <v>751223.12</v>
      </c>
      <c r="D4" s="158" t="n">
        <f aca="false">IF(OR(B4="",C4=""),"",B4/C4-1)</f>
        <v>0</v>
      </c>
      <c r="E4" s="159" t="str">
        <f aca="false">IF(D4="","",IF(D4&gt;=-0.1,"Normal",IF(D4&gt;=-0.2,"Elevated",IF(D4&gt;=-0.3,"Severe","Critical"))))</f>
        <v>Normal</v>
      </c>
      <c r="F4" s="160" t="str">
        <f aca="false">IF(E4="","",IF(E4="Normal","5-15%",IF(E4="Elevated","15%",IF(E4="Severe","20%","25%"))))</f>
        <v>5-15%</v>
      </c>
      <c r="G4" s="160" t="str">
        <f aca="false">IF(E4="","",IF(E4="Normal","Standard (score &gt;=65)",IF(E4="Elevated","Restricted (score &gt;=80 only)","Suspended")))</f>
        <v>Standard (score &gt;=65)</v>
      </c>
      <c r="H4" s="161" t="s">
        <v>468</v>
      </c>
    </row>
    <row r="5" customFormat="false" ht="15" hidden="false" customHeight="true" outlineLevel="0" collapsed="false">
      <c r="A5" s="155" t="n">
        <v>46295</v>
      </c>
      <c r="B5" s="156" t="n">
        <v>741557.65</v>
      </c>
      <c r="C5" s="157" t="n">
        <f aca="false">IF(B5="","",MAX(C4,B5))</f>
        <v>751223.12</v>
      </c>
      <c r="D5" s="158" t="n">
        <f aca="false">IF(OR(B5="",C5=""),"",B5/C5-1)</f>
        <v>-0.0128663106108875</v>
      </c>
      <c r="E5" s="159" t="str">
        <f aca="false">IF(D5="","",IF(D5&gt;=-0.1,"Normal",IF(D5&gt;=-0.2,"Elevated",IF(D5&gt;=-0.3,"Severe","Critical"))))</f>
        <v>Normal</v>
      </c>
      <c r="F5" s="160" t="str">
        <f aca="false">IF(E5="","",IF(E5="Normal","5-15%",IF(E5="Elevated","15%",IF(E5="Severe","20%","25%"))))</f>
        <v>5-15%</v>
      </c>
      <c r="G5" s="160" t="str">
        <f aca="false">IF(E5="","",IF(E5="Normal","Standard (score &gt;=65)",IF(E5="Elevated","Restricted (score &gt;=80 only)","Suspended")))</f>
        <v>Standard (score &gt;=65)</v>
      </c>
      <c r="H5" s="161" t="s">
        <v>469</v>
      </c>
    </row>
    <row r="6" customFormat="false" ht="15" hidden="false" customHeight="true" outlineLevel="0" collapsed="false">
      <c r="A6" s="155"/>
      <c r="B6" s="156"/>
      <c r="C6" s="157" t="str">
        <f aca="false">IF(B6="","",MAX(C5,B6))</f>
        <v/>
      </c>
      <c r="D6" s="158" t="str">
        <f aca="false">IF(OR(B6="",C6=""),"",B6/C6-1)</f>
        <v/>
      </c>
      <c r="E6" s="159" t="str">
        <f aca="false">IF(D6="","",IF(D6&gt;=-0.1,"Normal",IF(D6&gt;=-0.2,"Elevated",IF(D6&gt;=-0.3,"Severe","Critical"))))</f>
        <v/>
      </c>
      <c r="F6" s="160" t="str">
        <f aca="false">IF(E6="","",IF(E6="Normal","5-15%",IF(E6="Elevated","15%",IF(E6="Severe","20%","25%"))))</f>
        <v/>
      </c>
      <c r="G6" s="160" t="str">
        <f aca="false">IF(E6="","",IF(E6="Normal","Standard (score &gt;=65)",IF(E6="Elevated","Restricted (score &gt;=80 only)","Suspended")))</f>
        <v/>
      </c>
      <c r="H6" s="161"/>
    </row>
    <row r="7" customFormat="false" ht="15" hidden="false" customHeight="true" outlineLevel="0" collapsed="false">
      <c r="A7" s="155"/>
      <c r="B7" s="156"/>
      <c r="C7" s="157" t="str">
        <f aca="false">IF(B7="","",MAX(C6,B7))</f>
        <v/>
      </c>
      <c r="D7" s="158" t="str">
        <f aca="false">IF(OR(B7="",C7=""),"",B7/C7-1)</f>
        <v/>
      </c>
      <c r="E7" s="159" t="str">
        <f aca="false">IF(D7="","",IF(D7&gt;=-0.1,"Normal",IF(D7&gt;=-0.2,"Elevated",IF(D7&gt;=-0.3,"Severe","Critical"))))</f>
        <v/>
      </c>
      <c r="F7" s="160" t="str">
        <f aca="false">IF(E7="","",IF(E7="Normal","5-15%",IF(E7="Elevated","15%",IF(E7="Severe","20%","25%"))))</f>
        <v/>
      </c>
      <c r="G7" s="160" t="str">
        <f aca="false">IF(E7="","",IF(E7="Normal","Standard (score &gt;=65)",IF(E7="Elevated","Restricted (score &gt;=80 only)","Suspended")))</f>
        <v/>
      </c>
      <c r="H7" s="161"/>
    </row>
    <row r="8" customFormat="false" ht="15" hidden="false" customHeight="true" outlineLevel="0" collapsed="false">
      <c r="A8" s="155"/>
      <c r="B8" s="156"/>
      <c r="C8" s="157" t="str">
        <f aca="false">IF(B8="","",MAX(C7,B8))</f>
        <v/>
      </c>
      <c r="D8" s="158" t="str">
        <f aca="false">IF(OR(B8="",C8=""),"",B8/C8-1)</f>
        <v/>
      </c>
      <c r="E8" s="159" t="str">
        <f aca="false">IF(D8="","",IF(D8&gt;=-0.1,"Normal",IF(D8&gt;=-0.2,"Elevated",IF(D8&gt;=-0.3,"Severe","Critical"))))</f>
        <v/>
      </c>
      <c r="F8" s="160" t="str">
        <f aca="false">IF(E8="","",IF(E8="Normal","5-15%",IF(E8="Elevated","15%",IF(E8="Severe","20%","25%"))))</f>
        <v/>
      </c>
      <c r="G8" s="160" t="str">
        <f aca="false">IF(E8="","",IF(E8="Normal","Standard (score &gt;=65)",IF(E8="Elevated","Restricted (score &gt;=80 only)","Suspended")))</f>
        <v/>
      </c>
      <c r="H8" s="161"/>
    </row>
    <row r="9" customFormat="false" ht="15" hidden="false" customHeight="true" outlineLevel="0" collapsed="false">
      <c r="A9" s="155"/>
      <c r="B9" s="156"/>
      <c r="C9" s="157" t="str">
        <f aca="false">IF(B9="","",MAX(C8,B9))</f>
        <v/>
      </c>
      <c r="D9" s="158" t="str">
        <f aca="false">IF(OR(B9="",C9=""),"",B9/C9-1)</f>
        <v/>
      </c>
      <c r="E9" s="159" t="str">
        <f aca="false">IF(D9="","",IF(D9&gt;=-0.1,"Normal",IF(D9&gt;=-0.2,"Elevated",IF(D9&gt;=-0.3,"Severe","Critical"))))</f>
        <v/>
      </c>
      <c r="F9" s="160" t="str">
        <f aca="false">IF(E9="","",IF(E9="Normal","5-15%",IF(E9="Elevated","15%",IF(E9="Severe","20%","25%"))))</f>
        <v/>
      </c>
      <c r="G9" s="160" t="str">
        <f aca="false">IF(E9="","",IF(E9="Normal","Standard (score &gt;=65)",IF(E9="Elevated","Restricted (score &gt;=80 only)","Suspended")))</f>
        <v/>
      </c>
      <c r="H9" s="161"/>
    </row>
    <row r="10" customFormat="false" ht="15" hidden="false" customHeight="true" outlineLevel="0" collapsed="false">
      <c r="A10" s="155"/>
      <c r="B10" s="156"/>
      <c r="C10" s="157" t="str">
        <f aca="false">IF(B10="","",MAX(C9,B10))</f>
        <v/>
      </c>
      <c r="D10" s="158" t="str">
        <f aca="false">IF(OR(B10="",C10=""),"",B10/C10-1)</f>
        <v/>
      </c>
      <c r="E10" s="159" t="str">
        <f aca="false">IF(D10="","",IF(D10&gt;=-0.1,"Normal",IF(D10&gt;=-0.2,"Elevated",IF(D10&gt;=-0.3,"Severe","Critical"))))</f>
        <v/>
      </c>
      <c r="F10" s="160" t="str">
        <f aca="false">IF(E10="","",IF(E10="Normal","5-15%",IF(E10="Elevated","15%",IF(E10="Severe","20%","25%"))))</f>
        <v/>
      </c>
      <c r="G10" s="160" t="str">
        <f aca="false">IF(E10="","",IF(E10="Normal","Standard (score &gt;=65)",IF(E10="Elevated","Restricted (score &gt;=80 only)","Suspended")))</f>
        <v/>
      </c>
      <c r="H10" s="161"/>
    </row>
    <row r="11" customFormat="false" ht="15" hidden="false" customHeight="true" outlineLevel="0" collapsed="false">
      <c r="A11" s="155"/>
      <c r="B11" s="156"/>
      <c r="C11" s="157" t="str">
        <f aca="false">IF(B11="","",MAX(C10,B11))</f>
        <v/>
      </c>
      <c r="D11" s="158" t="str">
        <f aca="false">IF(OR(B11="",C11=""),"",B11/C11-1)</f>
        <v/>
      </c>
      <c r="E11" s="159" t="str">
        <f aca="false">IF(D11="","",IF(D11&gt;=-0.1,"Normal",IF(D11&gt;=-0.2,"Elevated",IF(D11&gt;=-0.3,"Severe","Critical"))))</f>
        <v/>
      </c>
      <c r="F11" s="160" t="str">
        <f aca="false">IF(E11="","",IF(E11="Normal","5-15%",IF(E11="Elevated","15%",IF(E11="Severe","20%","25%"))))</f>
        <v/>
      </c>
      <c r="G11" s="160" t="str">
        <f aca="false">IF(E11="","",IF(E11="Normal","Standard (score &gt;=65)",IF(E11="Elevated","Restricted (score &gt;=80 only)","Suspended")))</f>
        <v/>
      </c>
      <c r="H11" s="161"/>
    </row>
    <row r="12" customFormat="false" ht="15" hidden="false" customHeight="true" outlineLevel="0" collapsed="false">
      <c r="A12" s="155"/>
      <c r="B12" s="156"/>
      <c r="C12" s="157" t="str">
        <f aca="false">IF(B12="","",MAX(C11,B12))</f>
        <v/>
      </c>
      <c r="D12" s="158" t="str">
        <f aca="false">IF(OR(B12="",C12=""),"",B12/C12-1)</f>
        <v/>
      </c>
      <c r="E12" s="159" t="str">
        <f aca="false">IF(D12="","",IF(D12&gt;=-0.1,"Normal",IF(D12&gt;=-0.2,"Elevated",IF(D12&gt;=-0.3,"Severe","Critical"))))</f>
        <v/>
      </c>
      <c r="F12" s="160" t="str">
        <f aca="false">IF(E12="","",IF(E12="Normal","5-15%",IF(E12="Elevated","15%",IF(E12="Severe","20%","25%"))))</f>
        <v/>
      </c>
      <c r="G12" s="160" t="str">
        <f aca="false">IF(E12="","",IF(E12="Normal","Standard (score &gt;=65)",IF(E12="Elevated","Restricted (score &gt;=80 only)","Suspended")))</f>
        <v/>
      </c>
      <c r="H12" s="161"/>
    </row>
    <row r="13" customFormat="false" ht="15" hidden="false" customHeight="true" outlineLevel="0" collapsed="false">
      <c r="A13" s="155"/>
      <c r="B13" s="156"/>
      <c r="C13" s="157" t="str">
        <f aca="false">IF(B13="","",MAX(C12,B13))</f>
        <v/>
      </c>
      <c r="D13" s="158" t="str">
        <f aca="false">IF(OR(B13="",C13=""),"",B13/C13-1)</f>
        <v/>
      </c>
      <c r="E13" s="159" t="str">
        <f aca="false">IF(D13="","",IF(D13&gt;=-0.1,"Normal",IF(D13&gt;=-0.2,"Elevated",IF(D13&gt;=-0.3,"Severe","Critical"))))</f>
        <v/>
      </c>
      <c r="F13" s="160" t="str">
        <f aca="false">IF(E13="","",IF(E13="Normal","5-15%",IF(E13="Elevated","15%",IF(E13="Severe","20%","25%"))))</f>
        <v/>
      </c>
      <c r="G13" s="160" t="str">
        <f aca="false">IF(E13="","",IF(E13="Normal","Standard (score &gt;=65)",IF(E13="Elevated","Restricted (score &gt;=80 only)","Suspended")))</f>
        <v/>
      </c>
      <c r="H13" s="161"/>
    </row>
    <row r="14" customFormat="false" ht="15" hidden="false" customHeight="true" outlineLevel="0" collapsed="false">
      <c r="A14" s="155"/>
      <c r="B14" s="156"/>
      <c r="C14" s="157" t="str">
        <f aca="false">IF(B14="","",MAX(C13,B14))</f>
        <v/>
      </c>
      <c r="D14" s="158" t="str">
        <f aca="false">IF(OR(B14="",C14=""),"",B14/C14-1)</f>
        <v/>
      </c>
      <c r="E14" s="159" t="str">
        <f aca="false">IF(D14="","",IF(D14&gt;=-0.1,"Normal",IF(D14&gt;=-0.2,"Elevated",IF(D14&gt;=-0.3,"Severe","Critical"))))</f>
        <v/>
      </c>
      <c r="F14" s="160" t="str">
        <f aca="false">IF(E14="","",IF(E14="Normal","5-15%",IF(E14="Elevated","15%",IF(E14="Severe","20%","25%"))))</f>
        <v/>
      </c>
      <c r="G14" s="160" t="str">
        <f aca="false">IF(E14="","",IF(E14="Normal","Standard (score &gt;=65)",IF(E14="Elevated","Restricted (score &gt;=80 only)","Suspended")))</f>
        <v/>
      </c>
      <c r="H14" s="161"/>
    </row>
    <row r="15" customFormat="false" ht="15" hidden="false" customHeight="true" outlineLevel="0" collapsed="false">
      <c r="A15" s="155"/>
      <c r="B15" s="156"/>
      <c r="C15" s="157" t="str">
        <f aca="false">IF(B15="","",MAX(C14,B15))</f>
        <v/>
      </c>
      <c r="D15" s="158" t="str">
        <f aca="false">IF(OR(B15="",C15=""),"",B15/C15-1)</f>
        <v/>
      </c>
      <c r="E15" s="159" t="str">
        <f aca="false">IF(D15="","",IF(D15&gt;=-0.1,"Normal",IF(D15&gt;=-0.2,"Elevated",IF(D15&gt;=-0.3,"Severe","Critical"))))</f>
        <v/>
      </c>
      <c r="F15" s="160" t="str">
        <f aca="false">IF(E15="","",IF(E15="Normal","5-15%",IF(E15="Elevated","15%",IF(E15="Severe","20%","25%"))))</f>
        <v/>
      </c>
      <c r="G15" s="160" t="str">
        <f aca="false">IF(E15="","",IF(E15="Normal","Standard (score &gt;=65)",IF(E15="Elevated","Restricted (score &gt;=80 only)","Suspended")))</f>
        <v/>
      </c>
      <c r="H15" s="161"/>
    </row>
    <row r="16" customFormat="false" ht="15" hidden="false" customHeight="true" outlineLevel="0" collapsed="false">
      <c r="A16" s="155"/>
      <c r="B16" s="156"/>
      <c r="C16" s="157" t="str">
        <f aca="false">IF(B16="","",MAX(C15,B16))</f>
        <v/>
      </c>
      <c r="D16" s="158" t="str">
        <f aca="false">IF(OR(B16="",C16=""),"",B16/C16-1)</f>
        <v/>
      </c>
      <c r="E16" s="159" t="str">
        <f aca="false">IF(D16="","",IF(D16&gt;=-0.1,"Normal",IF(D16&gt;=-0.2,"Elevated",IF(D16&gt;=-0.3,"Severe","Critical"))))</f>
        <v/>
      </c>
      <c r="F16" s="160" t="str">
        <f aca="false">IF(E16="","",IF(E16="Normal","5-15%",IF(E16="Elevated","15%",IF(E16="Severe","20%","25%"))))</f>
        <v/>
      </c>
      <c r="G16" s="160" t="str">
        <f aca="false">IF(E16="","",IF(E16="Normal","Standard (score &gt;=65)",IF(E16="Elevated","Restricted (score &gt;=80 only)","Suspended")))</f>
        <v/>
      </c>
      <c r="H16" s="161"/>
    </row>
    <row r="17" customFormat="false" ht="15" hidden="false" customHeight="true" outlineLevel="0" collapsed="false">
      <c r="A17" s="155"/>
      <c r="B17" s="156"/>
      <c r="C17" s="157" t="str">
        <f aca="false">IF(B17="","",MAX(C16,B17))</f>
        <v/>
      </c>
      <c r="D17" s="158" t="str">
        <f aca="false">IF(OR(B17="",C17=""),"",B17/C17-1)</f>
        <v/>
      </c>
      <c r="E17" s="159" t="str">
        <f aca="false">IF(D17="","",IF(D17&gt;=-0.1,"Normal",IF(D17&gt;=-0.2,"Elevated",IF(D17&gt;=-0.3,"Severe","Critical"))))</f>
        <v/>
      </c>
      <c r="F17" s="160" t="str">
        <f aca="false">IF(E17="","",IF(E17="Normal","5-15%",IF(E17="Elevated","15%",IF(E17="Severe","20%","25%"))))</f>
        <v/>
      </c>
      <c r="G17" s="160" t="str">
        <f aca="false">IF(E17="","",IF(E17="Normal","Standard (score &gt;=65)",IF(E17="Elevated","Restricted (score &gt;=80 only)","Suspended")))</f>
        <v/>
      </c>
      <c r="H17" s="161"/>
    </row>
    <row r="18" customFormat="false" ht="15" hidden="false" customHeight="true" outlineLevel="0" collapsed="false">
      <c r="A18" s="155"/>
      <c r="B18" s="156"/>
      <c r="C18" s="157" t="str">
        <f aca="false">IF(B18="","",MAX(C17,B18))</f>
        <v/>
      </c>
      <c r="D18" s="158" t="str">
        <f aca="false">IF(OR(B18="",C18=""),"",B18/C18-1)</f>
        <v/>
      </c>
      <c r="E18" s="159" t="str">
        <f aca="false">IF(D18="","",IF(D18&gt;=-0.1,"Normal",IF(D18&gt;=-0.2,"Elevated",IF(D18&gt;=-0.3,"Severe","Critical"))))</f>
        <v/>
      </c>
      <c r="F18" s="160" t="str">
        <f aca="false">IF(E18="","",IF(E18="Normal","5-15%",IF(E18="Elevated","15%",IF(E18="Severe","20%","25%"))))</f>
        <v/>
      </c>
      <c r="G18" s="160" t="str">
        <f aca="false">IF(E18="","",IF(E18="Normal","Standard (score &gt;=65)",IF(E18="Elevated","Restricted (score &gt;=80 only)","Suspended")))</f>
        <v/>
      </c>
      <c r="H18" s="161"/>
    </row>
    <row r="19" customFormat="false" ht="15" hidden="false" customHeight="true" outlineLevel="0" collapsed="false">
      <c r="A19" s="155"/>
      <c r="B19" s="156"/>
      <c r="C19" s="157" t="str">
        <f aca="false">IF(B19="","",MAX(C18,B19))</f>
        <v/>
      </c>
      <c r="D19" s="158" t="str">
        <f aca="false">IF(OR(B19="",C19=""),"",B19/C19-1)</f>
        <v/>
      </c>
      <c r="E19" s="159" t="str">
        <f aca="false">IF(D19="","",IF(D19&gt;=-0.1,"Normal",IF(D19&gt;=-0.2,"Elevated",IF(D19&gt;=-0.3,"Severe","Critical"))))</f>
        <v/>
      </c>
      <c r="F19" s="160" t="str">
        <f aca="false">IF(E19="","",IF(E19="Normal","5-15%",IF(E19="Elevated","15%",IF(E19="Severe","20%","25%"))))</f>
        <v/>
      </c>
      <c r="G19" s="160" t="str">
        <f aca="false">IF(E19="","",IF(E19="Normal","Standard (score &gt;=65)",IF(E19="Elevated","Restricted (score &gt;=80 only)","Suspended")))</f>
        <v/>
      </c>
      <c r="H19" s="161"/>
    </row>
    <row r="20" customFormat="false" ht="15" hidden="false" customHeight="true" outlineLevel="0" collapsed="false">
      <c r="A20" s="155"/>
      <c r="B20" s="156"/>
      <c r="C20" s="157" t="str">
        <f aca="false">IF(B20="","",MAX(C19,B20))</f>
        <v/>
      </c>
      <c r="D20" s="158" t="str">
        <f aca="false">IF(OR(B20="",C20=""),"",B20/C20-1)</f>
        <v/>
      </c>
      <c r="E20" s="159" t="str">
        <f aca="false">IF(D20="","",IF(D20&gt;=-0.1,"Normal",IF(D20&gt;=-0.2,"Elevated",IF(D20&gt;=-0.3,"Severe","Critical"))))</f>
        <v/>
      </c>
      <c r="F20" s="160" t="str">
        <f aca="false">IF(E20="","",IF(E20="Normal","5-15%",IF(E20="Elevated","15%",IF(E20="Severe","20%","25%"))))</f>
        <v/>
      </c>
      <c r="G20" s="160" t="str">
        <f aca="false">IF(E20="","",IF(E20="Normal","Standard (score &gt;=65)",IF(E20="Elevated","Restricted (score &gt;=80 only)","Suspended")))</f>
        <v/>
      </c>
      <c r="H20" s="161"/>
    </row>
    <row r="21" customFormat="false" ht="15" hidden="false" customHeight="true" outlineLevel="0" collapsed="false">
      <c r="A21" s="155"/>
      <c r="B21" s="156"/>
      <c r="C21" s="157" t="str">
        <f aca="false">IF(B21="","",MAX(C20,B21))</f>
        <v/>
      </c>
      <c r="D21" s="158" t="str">
        <f aca="false">IF(OR(B21="",C21=""),"",B21/C21-1)</f>
        <v/>
      </c>
      <c r="E21" s="159" t="str">
        <f aca="false">IF(D21="","",IF(D21&gt;=-0.1,"Normal",IF(D21&gt;=-0.2,"Elevated",IF(D21&gt;=-0.3,"Severe","Critical"))))</f>
        <v/>
      </c>
      <c r="F21" s="160" t="str">
        <f aca="false">IF(E21="","",IF(E21="Normal","5-15%",IF(E21="Elevated","15%",IF(E21="Severe","20%","25%"))))</f>
        <v/>
      </c>
      <c r="G21" s="160" t="str">
        <f aca="false">IF(E21="","",IF(E21="Normal","Standard (score &gt;=65)",IF(E21="Elevated","Restricted (score &gt;=80 only)","Suspended")))</f>
        <v/>
      </c>
      <c r="H21" s="161"/>
    </row>
    <row r="22" customFormat="false" ht="15" hidden="false" customHeight="true" outlineLevel="0" collapsed="false">
      <c r="A22" s="155"/>
      <c r="B22" s="156"/>
      <c r="C22" s="157" t="str">
        <f aca="false">IF(B22="","",MAX(C21,B22))</f>
        <v/>
      </c>
      <c r="D22" s="158" t="str">
        <f aca="false">IF(OR(B22="",C22=""),"",B22/C22-1)</f>
        <v/>
      </c>
      <c r="E22" s="159" t="str">
        <f aca="false">IF(D22="","",IF(D22&gt;=-0.1,"Normal",IF(D22&gt;=-0.2,"Elevated",IF(D22&gt;=-0.3,"Severe","Critical"))))</f>
        <v/>
      </c>
      <c r="F22" s="160" t="str">
        <f aca="false">IF(E22="","",IF(E22="Normal","5-15%",IF(E22="Elevated","15%",IF(E22="Severe","20%","25%"))))</f>
        <v/>
      </c>
      <c r="G22" s="160" t="str">
        <f aca="false">IF(E22="","",IF(E22="Normal","Standard (score &gt;=65)",IF(E22="Elevated","Restricted (score &gt;=80 only)","Suspended")))</f>
        <v/>
      </c>
      <c r="H22" s="161"/>
    </row>
    <row r="23" customFormat="false" ht="15" hidden="false" customHeight="true" outlineLevel="0" collapsed="false">
      <c r="A23" s="155"/>
      <c r="B23" s="156"/>
      <c r="C23" s="157" t="str">
        <f aca="false">IF(B23="","",MAX(C22,B23))</f>
        <v/>
      </c>
      <c r="D23" s="158" t="str">
        <f aca="false">IF(OR(B23="",C23=""),"",B23/C23-1)</f>
        <v/>
      </c>
      <c r="E23" s="159" t="str">
        <f aca="false">IF(D23="","",IF(D23&gt;=-0.1,"Normal",IF(D23&gt;=-0.2,"Elevated",IF(D23&gt;=-0.3,"Severe","Critical"))))</f>
        <v/>
      </c>
      <c r="F23" s="160" t="str">
        <f aca="false">IF(E23="","",IF(E23="Normal","5-15%",IF(E23="Elevated","15%",IF(E23="Severe","20%","25%"))))</f>
        <v/>
      </c>
      <c r="G23" s="160" t="str">
        <f aca="false">IF(E23="","",IF(E23="Normal","Standard (score &gt;=65)",IF(E23="Elevated","Restricted (score &gt;=80 only)","Suspended")))</f>
        <v/>
      </c>
      <c r="H23" s="161"/>
    </row>
    <row r="24" customFormat="false" ht="15" hidden="false" customHeight="true" outlineLevel="0" collapsed="false">
      <c r="A24" s="155"/>
      <c r="B24" s="156"/>
      <c r="C24" s="157" t="str">
        <f aca="false">IF(B24="","",MAX(C23,B24))</f>
        <v/>
      </c>
      <c r="D24" s="158" t="str">
        <f aca="false">IF(OR(B24="",C24=""),"",B24/C24-1)</f>
        <v/>
      </c>
      <c r="E24" s="159" t="str">
        <f aca="false">IF(D24="","",IF(D24&gt;=-0.1,"Normal",IF(D24&gt;=-0.2,"Elevated",IF(D24&gt;=-0.3,"Severe","Critical"))))</f>
        <v/>
      </c>
      <c r="F24" s="160" t="str">
        <f aca="false">IF(E24="","",IF(E24="Normal","5-15%",IF(E24="Elevated","15%",IF(E24="Severe","20%","25%"))))</f>
        <v/>
      </c>
      <c r="G24" s="160" t="str">
        <f aca="false">IF(E24="","",IF(E24="Normal","Standard (score &gt;=65)",IF(E24="Elevated","Restricted (score &gt;=80 only)","Suspended")))</f>
        <v/>
      </c>
      <c r="H24" s="161"/>
    </row>
    <row r="25" customFormat="false" ht="15" hidden="false" customHeight="true" outlineLevel="0" collapsed="false">
      <c r="A25" s="155"/>
      <c r="B25" s="156"/>
      <c r="C25" s="157" t="str">
        <f aca="false">IF(B25="","",MAX(C24,B25))</f>
        <v/>
      </c>
      <c r="D25" s="158" t="str">
        <f aca="false">IF(OR(B25="",C25=""),"",B25/C25-1)</f>
        <v/>
      </c>
      <c r="E25" s="159" t="str">
        <f aca="false">IF(D25="","",IF(D25&gt;=-0.1,"Normal",IF(D25&gt;=-0.2,"Elevated",IF(D25&gt;=-0.3,"Severe","Critical"))))</f>
        <v/>
      </c>
      <c r="F25" s="160" t="str">
        <f aca="false">IF(E25="","",IF(E25="Normal","5-15%",IF(E25="Elevated","15%",IF(E25="Severe","20%","25%"))))</f>
        <v/>
      </c>
      <c r="G25" s="160" t="str">
        <f aca="false">IF(E25="","",IF(E25="Normal","Standard (score &gt;=65)",IF(E25="Elevated","Restricted (score &gt;=80 only)","Suspended")))</f>
        <v/>
      </c>
      <c r="H25" s="161"/>
    </row>
    <row r="26" customFormat="false" ht="15" hidden="false" customHeight="true" outlineLevel="0" collapsed="false">
      <c r="A26" s="155"/>
      <c r="B26" s="156"/>
      <c r="C26" s="157" t="str">
        <f aca="false">IF(B26="","",MAX(C25,B26))</f>
        <v/>
      </c>
      <c r="D26" s="158" t="str">
        <f aca="false">IF(OR(B26="",C26=""),"",B26/C26-1)</f>
        <v/>
      </c>
      <c r="E26" s="159" t="str">
        <f aca="false">IF(D26="","",IF(D26&gt;=-0.1,"Normal",IF(D26&gt;=-0.2,"Elevated",IF(D26&gt;=-0.3,"Severe","Critical"))))</f>
        <v/>
      </c>
      <c r="F26" s="160" t="str">
        <f aca="false">IF(E26="","",IF(E26="Normal","5-15%",IF(E26="Elevated","15%",IF(E26="Severe","20%","25%"))))</f>
        <v/>
      </c>
      <c r="G26" s="160" t="str">
        <f aca="false">IF(E26="","",IF(E26="Normal","Standard (score &gt;=65)",IF(E26="Elevated","Restricted (score &gt;=80 only)","Suspended")))</f>
        <v/>
      </c>
      <c r="H26" s="161"/>
    </row>
    <row r="27" customFormat="false" ht="15" hidden="false" customHeight="true" outlineLevel="0" collapsed="false">
      <c r="A27" s="155"/>
      <c r="B27" s="156"/>
      <c r="C27" s="157" t="str">
        <f aca="false">IF(B27="","",MAX(C26,B27))</f>
        <v/>
      </c>
      <c r="D27" s="158" t="str">
        <f aca="false">IF(OR(B27="",C27=""),"",B27/C27-1)</f>
        <v/>
      </c>
      <c r="E27" s="159" t="str">
        <f aca="false">IF(D27="","",IF(D27&gt;=-0.1,"Normal",IF(D27&gt;=-0.2,"Elevated",IF(D27&gt;=-0.3,"Severe","Critical"))))</f>
        <v/>
      </c>
      <c r="F27" s="160" t="str">
        <f aca="false">IF(E27="","",IF(E27="Normal","5-15%",IF(E27="Elevated","15%",IF(E27="Severe","20%","25%"))))</f>
        <v/>
      </c>
      <c r="G27" s="160" t="str">
        <f aca="false">IF(E27="","",IF(E27="Normal","Standard (score &gt;=65)",IF(E27="Elevated","Restricted (score &gt;=80 only)","Suspended")))</f>
        <v/>
      </c>
      <c r="H27" s="161"/>
    </row>
    <row r="28" customFormat="false" ht="15" hidden="false" customHeight="true" outlineLevel="0" collapsed="false">
      <c r="A28" s="155"/>
      <c r="B28" s="156"/>
      <c r="C28" s="157" t="str">
        <f aca="false">IF(B28="","",MAX(C27,B28))</f>
        <v/>
      </c>
      <c r="D28" s="158" t="str">
        <f aca="false">IF(OR(B28="",C28=""),"",B28/C28-1)</f>
        <v/>
      </c>
      <c r="E28" s="159" t="str">
        <f aca="false">IF(D28="","",IF(D28&gt;=-0.1,"Normal",IF(D28&gt;=-0.2,"Elevated",IF(D28&gt;=-0.3,"Severe","Critical"))))</f>
        <v/>
      </c>
      <c r="F28" s="160" t="str">
        <f aca="false">IF(E28="","",IF(E28="Normal","5-15%",IF(E28="Elevated","15%",IF(E28="Severe","20%","25%"))))</f>
        <v/>
      </c>
      <c r="G28" s="160" t="str">
        <f aca="false">IF(E28="","",IF(E28="Normal","Standard (score &gt;=65)",IF(E28="Elevated","Restricted (score &gt;=80 only)","Suspended")))</f>
        <v/>
      </c>
      <c r="H28" s="161"/>
    </row>
    <row r="29" customFormat="false" ht="15" hidden="false" customHeight="true" outlineLevel="0" collapsed="false">
      <c r="A29" s="155"/>
      <c r="B29" s="156"/>
      <c r="C29" s="157" t="str">
        <f aca="false">IF(B29="","",MAX(C28,B29))</f>
        <v/>
      </c>
      <c r="D29" s="158" t="str">
        <f aca="false">IF(OR(B29="",C29=""),"",B29/C29-1)</f>
        <v/>
      </c>
      <c r="E29" s="159" t="str">
        <f aca="false">IF(D29="","",IF(D29&gt;=-0.1,"Normal",IF(D29&gt;=-0.2,"Elevated",IF(D29&gt;=-0.3,"Severe","Critical"))))</f>
        <v/>
      </c>
      <c r="F29" s="160" t="str">
        <f aca="false">IF(E29="","",IF(E29="Normal","5-15%",IF(E29="Elevated","15%",IF(E29="Severe","20%","25%"))))</f>
        <v/>
      </c>
      <c r="G29" s="160" t="str">
        <f aca="false">IF(E29="","",IF(E29="Normal","Standard (score &gt;=65)",IF(E29="Elevated","Restricted (score &gt;=80 only)","Suspended")))</f>
        <v/>
      </c>
      <c r="H29" s="161"/>
    </row>
    <row r="30" customFormat="false" ht="15" hidden="false" customHeight="true" outlineLevel="0" collapsed="false">
      <c r="A30" s="155"/>
      <c r="B30" s="156"/>
      <c r="C30" s="157" t="str">
        <f aca="false">IF(B30="","",MAX(C29,B30))</f>
        <v/>
      </c>
      <c r="D30" s="158" t="str">
        <f aca="false">IF(OR(B30="",C30=""),"",B30/C30-1)</f>
        <v/>
      </c>
      <c r="E30" s="159" t="str">
        <f aca="false">IF(D30="","",IF(D30&gt;=-0.1,"Normal",IF(D30&gt;=-0.2,"Elevated",IF(D30&gt;=-0.3,"Severe","Critical"))))</f>
        <v/>
      </c>
      <c r="F30" s="160" t="str">
        <f aca="false">IF(E30="","",IF(E30="Normal","5-15%",IF(E30="Elevated","15%",IF(E30="Severe","20%","25%"))))</f>
        <v/>
      </c>
      <c r="G30" s="160" t="str">
        <f aca="false">IF(E30="","",IF(E30="Normal","Standard (score &gt;=65)",IF(E30="Elevated","Restricted (score &gt;=80 only)","Suspended")))</f>
        <v/>
      </c>
      <c r="H30" s="161"/>
    </row>
    <row r="31" customFormat="false" ht="15" hidden="false" customHeight="true" outlineLevel="0" collapsed="false">
      <c r="A31" s="155"/>
      <c r="B31" s="156"/>
      <c r="C31" s="157" t="str">
        <f aca="false">IF(B31="","",MAX(C30,B31))</f>
        <v/>
      </c>
      <c r="D31" s="158" t="str">
        <f aca="false">IF(OR(B31="",C31=""),"",B31/C31-1)</f>
        <v/>
      </c>
      <c r="E31" s="159" t="str">
        <f aca="false">IF(D31="","",IF(D31&gt;=-0.1,"Normal",IF(D31&gt;=-0.2,"Elevated",IF(D31&gt;=-0.3,"Severe","Critical"))))</f>
        <v/>
      </c>
      <c r="F31" s="160" t="str">
        <f aca="false">IF(E31="","",IF(E31="Normal","5-15%",IF(E31="Elevated","15%",IF(E31="Severe","20%","25%"))))</f>
        <v/>
      </c>
      <c r="G31" s="160" t="str">
        <f aca="false">IF(E31="","",IF(E31="Normal","Standard (score &gt;=65)",IF(E31="Elevated","Restricted (score &gt;=80 only)","Suspended")))</f>
        <v/>
      </c>
      <c r="H31" s="161"/>
    </row>
    <row r="32" customFormat="false" ht="15" hidden="false" customHeight="true" outlineLevel="0" collapsed="false">
      <c r="A32" s="155"/>
      <c r="B32" s="156"/>
      <c r="C32" s="157" t="str">
        <f aca="false">IF(B32="","",MAX(C31,B32))</f>
        <v/>
      </c>
      <c r="D32" s="158" t="str">
        <f aca="false">IF(OR(B32="",C32=""),"",B32/C32-1)</f>
        <v/>
      </c>
      <c r="E32" s="159" t="str">
        <f aca="false">IF(D32="","",IF(D32&gt;=-0.1,"Normal",IF(D32&gt;=-0.2,"Elevated",IF(D32&gt;=-0.3,"Severe","Critical"))))</f>
        <v/>
      </c>
      <c r="F32" s="160" t="str">
        <f aca="false">IF(E32="","",IF(E32="Normal","5-15%",IF(E32="Elevated","15%",IF(E32="Severe","20%","25%"))))</f>
        <v/>
      </c>
      <c r="G32" s="160" t="str">
        <f aca="false">IF(E32="","",IF(E32="Normal","Standard (score &gt;=65)",IF(E32="Elevated","Restricted (score &gt;=80 only)","Suspended")))</f>
        <v/>
      </c>
      <c r="H32" s="161"/>
    </row>
    <row r="33" customFormat="false" ht="15" hidden="false" customHeight="true" outlineLevel="0" collapsed="false">
      <c r="A33" s="155"/>
      <c r="B33" s="156"/>
      <c r="C33" s="157" t="str">
        <f aca="false">IF(B33="","",MAX(C32,B33))</f>
        <v/>
      </c>
      <c r="D33" s="158" t="str">
        <f aca="false">IF(OR(B33="",C33=""),"",B33/C33-1)</f>
        <v/>
      </c>
      <c r="E33" s="159" t="str">
        <f aca="false">IF(D33="","",IF(D33&gt;=-0.1,"Normal",IF(D33&gt;=-0.2,"Elevated",IF(D33&gt;=-0.3,"Severe","Critical"))))</f>
        <v/>
      </c>
      <c r="F33" s="160" t="str">
        <f aca="false">IF(E33="","",IF(E33="Normal","5-15%",IF(E33="Elevated","15%",IF(E33="Severe","20%","25%"))))</f>
        <v/>
      </c>
      <c r="G33" s="160" t="str">
        <f aca="false">IF(E33="","",IF(E33="Normal","Standard (score &gt;=65)",IF(E33="Elevated","Restricted (score &gt;=80 only)","Suspended")))</f>
        <v/>
      </c>
      <c r="H33" s="161"/>
    </row>
    <row r="34" customFormat="false" ht="15" hidden="false" customHeight="true" outlineLevel="0" collapsed="false">
      <c r="A34" s="155"/>
      <c r="B34" s="156"/>
      <c r="C34" s="157" t="str">
        <f aca="false">IF(B34="","",MAX(C33,B34))</f>
        <v/>
      </c>
      <c r="D34" s="158" t="str">
        <f aca="false">IF(OR(B34="",C34=""),"",B34/C34-1)</f>
        <v/>
      </c>
      <c r="E34" s="159" t="str">
        <f aca="false">IF(D34="","",IF(D34&gt;=-0.1,"Normal",IF(D34&gt;=-0.2,"Elevated",IF(D34&gt;=-0.3,"Severe","Critical"))))</f>
        <v/>
      </c>
      <c r="F34" s="160" t="str">
        <f aca="false">IF(E34="","",IF(E34="Normal","5-15%",IF(E34="Elevated","15%",IF(E34="Severe","20%","25%"))))</f>
        <v/>
      </c>
      <c r="G34" s="160" t="str">
        <f aca="false">IF(E34="","",IF(E34="Normal","Standard (score &gt;=65)",IF(E34="Elevated","Restricted (score &gt;=80 only)","Suspended")))</f>
        <v/>
      </c>
      <c r="H34" s="161"/>
    </row>
    <row r="35" customFormat="false" ht="15" hidden="false" customHeight="true" outlineLevel="0" collapsed="false">
      <c r="A35" s="155"/>
      <c r="B35" s="156"/>
      <c r="C35" s="157" t="str">
        <f aca="false">IF(B35="","",MAX(C34,B35))</f>
        <v/>
      </c>
      <c r="D35" s="158" t="str">
        <f aca="false">IF(OR(B35="",C35=""),"",B35/C35-1)</f>
        <v/>
      </c>
      <c r="E35" s="159" t="str">
        <f aca="false">IF(D35="","",IF(D35&gt;=-0.1,"Normal",IF(D35&gt;=-0.2,"Elevated",IF(D35&gt;=-0.3,"Severe","Critical"))))</f>
        <v/>
      </c>
      <c r="F35" s="160" t="str">
        <f aca="false">IF(E35="","",IF(E35="Normal","5-15%",IF(E35="Elevated","15%",IF(E35="Severe","20%","25%"))))</f>
        <v/>
      </c>
      <c r="G35" s="160" t="str">
        <f aca="false">IF(E35="","",IF(E35="Normal","Standard (score &gt;=65)",IF(E35="Elevated","Restricted (score &gt;=80 only)","Suspended")))</f>
        <v/>
      </c>
      <c r="H35" s="161"/>
    </row>
    <row r="36" customFormat="false" ht="15" hidden="false" customHeight="true" outlineLevel="0" collapsed="false">
      <c r="A36" s="155"/>
      <c r="B36" s="156"/>
      <c r="C36" s="157" t="str">
        <f aca="false">IF(B36="","",MAX(C35,B36))</f>
        <v/>
      </c>
      <c r="D36" s="158" t="str">
        <f aca="false">IF(OR(B36="",C36=""),"",B36/C36-1)</f>
        <v/>
      </c>
      <c r="E36" s="159" t="str">
        <f aca="false">IF(D36="","",IF(D36&gt;=-0.1,"Normal",IF(D36&gt;=-0.2,"Elevated",IF(D36&gt;=-0.3,"Severe","Critical"))))</f>
        <v/>
      </c>
      <c r="F36" s="160" t="str">
        <f aca="false">IF(E36="","",IF(E36="Normal","5-15%",IF(E36="Elevated","15%",IF(E36="Severe","20%","25%"))))</f>
        <v/>
      </c>
      <c r="G36" s="160" t="str">
        <f aca="false">IF(E36="","",IF(E36="Normal","Standard (score &gt;=65)",IF(E36="Elevated","Restricted (score &gt;=80 only)","Suspended")))</f>
        <v/>
      </c>
      <c r="H36" s="161"/>
    </row>
    <row r="37" customFormat="false" ht="15" hidden="false" customHeight="true" outlineLevel="0" collapsed="false">
      <c r="A37" s="155"/>
      <c r="B37" s="156"/>
      <c r="C37" s="157" t="str">
        <f aca="false">IF(B37="","",MAX(C36,B37))</f>
        <v/>
      </c>
      <c r="D37" s="158" t="str">
        <f aca="false">IF(OR(B37="",C37=""),"",B37/C37-1)</f>
        <v/>
      </c>
      <c r="E37" s="159" t="str">
        <f aca="false">IF(D37="","",IF(D37&gt;=-0.1,"Normal",IF(D37&gt;=-0.2,"Elevated",IF(D37&gt;=-0.3,"Severe","Critical"))))</f>
        <v/>
      </c>
      <c r="F37" s="160" t="str">
        <f aca="false">IF(E37="","",IF(E37="Normal","5-15%",IF(E37="Elevated","15%",IF(E37="Severe","20%","25%"))))</f>
        <v/>
      </c>
      <c r="G37" s="160" t="str">
        <f aca="false">IF(E37="","",IF(E37="Normal","Standard (score &gt;=65)",IF(E37="Elevated","Restricted (score &gt;=80 only)","Suspended")))</f>
        <v/>
      </c>
      <c r="H37" s="161"/>
    </row>
    <row r="38" customFormat="false" ht="15" hidden="false" customHeight="true" outlineLevel="0" collapsed="false">
      <c r="A38" s="155"/>
      <c r="B38" s="156"/>
      <c r="C38" s="157" t="str">
        <f aca="false">IF(B38="","",MAX(C37,B38))</f>
        <v/>
      </c>
      <c r="D38" s="158" t="str">
        <f aca="false">IF(OR(B38="",C38=""),"",B38/C38-1)</f>
        <v/>
      </c>
      <c r="E38" s="159" t="str">
        <f aca="false">IF(D38="","",IF(D38&gt;=-0.1,"Normal",IF(D38&gt;=-0.2,"Elevated",IF(D38&gt;=-0.3,"Severe","Critical"))))</f>
        <v/>
      </c>
      <c r="F38" s="160" t="str">
        <f aca="false">IF(E38="","",IF(E38="Normal","5-15%",IF(E38="Elevated","15%",IF(E38="Severe","20%","25%"))))</f>
        <v/>
      </c>
      <c r="G38" s="160" t="str">
        <f aca="false">IF(E38="","",IF(E38="Normal","Standard (score &gt;=65)",IF(E38="Elevated","Restricted (score &gt;=80 only)","Suspended")))</f>
        <v/>
      </c>
      <c r="H38" s="161"/>
    </row>
    <row r="39" customFormat="false" ht="15" hidden="false" customHeight="true" outlineLevel="0" collapsed="false">
      <c r="A39" s="155"/>
      <c r="B39" s="156"/>
      <c r="C39" s="157" t="str">
        <f aca="false">IF(B39="","",MAX(C38,B39))</f>
        <v/>
      </c>
      <c r="D39" s="158" t="str">
        <f aca="false">IF(OR(B39="",C39=""),"",B39/C39-1)</f>
        <v/>
      </c>
      <c r="E39" s="159" t="str">
        <f aca="false">IF(D39="","",IF(D39&gt;=-0.1,"Normal",IF(D39&gt;=-0.2,"Elevated",IF(D39&gt;=-0.3,"Severe","Critical"))))</f>
        <v/>
      </c>
      <c r="F39" s="160" t="str">
        <f aca="false">IF(E39="","",IF(E39="Normal","5-15%",IF(E39="Elevated","15%",IF(E39="Severe","20%","25%"))))</f>
        <v/>
      </c>
      <c r="G39" s="160" t="str">
        <f aca="false">IF(E39="","",IF(E39="Normal","Standard (score &gt;=65)",IF(E39="Elevated","Restricted (score &gt;=80 only)","Suspended")))</f>
        <v/>
      </c>
      <c r="H39" s="161"/>
    </row>
    <row r="40" customFormat="false" ht="15" hidden="false" customHeight="true" outlineLevel="0" collapsed="false">
      <c r="A40" s="155"/>
      <c r="B40" s="156"/>
      <c r="C40" s="157" t="str">
        <f aca="false">IF(B40="","",MAX(C39,B40))</f>
        <v/>
      </c>
      <c r="D40" s="158" t="str">
        <f aca="false">IF(OR(B40="",C40=""),"",B40/C40-1)</f>
        <v/>
      </c>
      <c r="E40" s="159" t="str">
        <f aca="false">IF(D40="","",IF(D40&gt;=-0.1,"Normal",IF(D40&gt;=-0.2,"Elevated",IF(D40&gt;=-0.3,"Severe","Critical"))))</f>
        <v/>
      </c>
      <c r="F40" s="160" t="str">
        <f aca="false">IF(E40="","",IF(E40="Normal","5-15%",IF(E40="Elevated","15%",IF(E40="Severe","20%","25%"))))</f>
        <v/>
      </c>
      <c r="G40" s="160" t="str">
        <f aca="false">IF(E40="","",IF(E40="Normal","Standard (score &gt;=65)",IF(E40="Elevated","Restricted (score &gt;=80 only)","Suspended")))</f>
        <v/>
      </c>
      <c r="H40" s="161"/>
    </row>
    <row r="41" customFormat="false" ht="15" hidden="false" customHeight="true" outlineLevel="0" collapsed="false">
      <c r="A41" s="155"/>
      <c r="B41" s="156"/>
      <c r="C41" s="157" t="str">
        <f aca="false">IF(B41="","",MAX(C40,B41))</f>
        <v/>
      </c>
      <c r="D41" s="158" t="str">
        <f aca="false">IF(OR(B41="",C41=""),"",B41/C41-1)</f>
        <v/>
      </c>
      <c r="E41" s="159" t="str">
        <f aca="false">IF(D41="","",IF(D41&gt;=-0.1,"Normal",IF(D41&gt;=-0.2,"Elevated",IF(D41&gt;=-0.3,"Severe","Critical"))))</f>
        <v/>
      </c>
      <c r="F41" s="160" t="str">
        <f aca="false">IF(E41="","",IF(E41="Normal","5-15%",IF(E41="Elevated","15%",IF(E41="Severe","20%","25%"))))</f>
        <v/>
      </c>
      <c r="G41" s="160" t="str">
        <f aca="false">IF(E41="","",IF(E41="Normal","Standard (score &gt;=65)",IF(E41="Elevated","Restricted (score &gt;=80 only)","Suspended")))</f>
        <v/>
      </c>
      <c r="H41" s="161"/>
    </row>
    <row r="42" customFormat="false" ht="15" hidden="false" customHeight="true" outlineLevel="0" collapsed="false">
      <c r="A42" s="155"/>
      <c r="B42" s="156"/>
      <c r="C42" s="157" t="str">
        <f aca="false">IF(B42="","",MAX(C41,B42))</f>
        <v/>
      </c>
      <c r="D42" s="158" t="str">
        <f aca="false">IF(OR(B42="",C42=""),"",B42/C42-1)</f>
        <v/>
      </c>
      <c r="E42" s="159" t="str">
        <f aca="false">IF(D42="","",IF(D42&gt;=-0.1,"Normal",IF(D42&gt;=-0.2,"Elevated",IF(D42&gt;=-0.3,"Severe","Critical"))))</f>
        <v/>
      </c>
      <c r="F42" s="160" t="str">
        <f aca="false">IF(E42="","",IF(E42="Normal","5-15%",IF(E42="Elevated","15%",IF(E42="Severe","20%","25%"))))</f>
        <v/>
      </c>
      <c r="G42" s="160" t="str">
        <f aca="false">IF(E42="","",IF(E42="Normal","Standard (score &gt;=65)",IF(E42="Elevated","Restricted (score &gt;=80 only)","Suspended")))</f>
        <v/>
      </c>
      <c r="H42" s="161"/>
    </row>
  </sheetData>
  <mergeCells count="1">
    <mergeCell ref="A1:H1"/>
  </mergeCells>
  <conditionalFormatting sqref="E3:E42">
    <cfRule type="cellIs" priority="2" operator="equal" aboveAverage="0" equalAverage="0" bottom="0" percent="0" rank="0" text="" dxfId="17">
      <formula>"Normal"</formula>
    </cfRule>
    <cfRule type="cellIs" priority="3" operator="equal" aboveAverage="0" equalAverage="0" bottom="0" percent="0" rank="0" text="" dxfId="27">
      <formula>"Elevated"</formula>
    </cfRule>
    <cfRule type="cellIs" priority="4" operator="equal" aboveAverage="0" equalAverage="0" bottom="0" percent="0" rank="0" text="" dxfId="20">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C10" activeCellId="0" sqref="C10"/>
    </sheetView>
  </sheetViews>
  <sheetFormatPr defaultColWidth="8.66796875" defaultRowHeight="14.2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 collapsed="false" customWidth="true" hidden="false" outlineLevel="0" max="13" min="13" style="1" width="14"/>
  </cols>
  <sheetData>
    <row r="1" s="1" customFormat="true" ht="21" hidden="false" customHeight="true" outlineLevel="0" collapsed="false">
      <c r="A1" s="162" t="s">
        <v>470</v>
      </c>
      <c r="B1" s="162"/>
      <c r="C1" s="162"/>
      <c r="D1" s="162"/>
      <c r="E1" s="162"/>
      <c r="F1" s="162"/>
      <c r="G1" s="162"/>
      <c r="H1" s="162"/>
      <c r="I1" s="162"/>
      <c r="J1" s="162"/>
      <c r="K1" s="162"/>
      <c r="L1" s="162"/>
      <c r="M1" s="162"/>
    </row>
    <row r="2" customFormat="false" ht="45.75" hidden="false" customHeight="true" outlineLevel="0" collapsed="false">
      <c r="A2" s="58" t="s">
        <v>81</v>
      </c>
      <c r="B2" s="58" t="s">
        <v>280</v>
      </c>
      <c r="C2" s="58" t="s">
        <v>471</v>
      </c>
      <c r="D2" s="58" t="s">
        <v>472</v>
      </c>
      <c r="E2" s="58" t="s">
        <v>473</v>
      </c>
      <c r="F2" s="58" t="s">
        <v>474</v>
      </c>
      <c r="G2" s="58" t="s">
        <v>475</v>
      </c>
      <c r="H2" s="58" t="s">
        <v>476</v>
      </c>
      <c r="I2" s="58" t="s">
        <v>477</v>
      </c>
      <c r="J2" s="58" t="s">
        <v>478</v>
      </c>
      <c r="K2" s="58" t="s">
        <v>479</v>
      </c>
      <c r="L2" s="58" t="s">
        <v>480</v>
      </c>
      <c r="M2" s="27" t="s">
        <v>481</v>
      </c>
    </row>
    <row r="3" customFormat="false" ht="15" hidden="false" customHeight="true" outlineLevel="0" collapsed="false">
      <c r="A3" s="118" t="s">
        <v>104</v>
      </c>
      <c r="B3" s="118" t="s">
        <v>105</v>
      </c>
      <c r="C3" s="118" t="s">
        <v>482</v>
      </c>
      <c r="D3" s="163" t="n">
        <v>46278</v>
      </c>
      <c r="E3" s="118" t="n">
        <v>63.4</v>
      </c>
      <c r="F3" s="118" t="n">
        <v>63.4</v>
      </c>
      <c r="G3" s="163" t="n">
        <v>46278</v>
      </c>
      <c r="H3" s="118"/>
      <c r="I3" s="141" t="n">
        <f aca="false">IF(D3="","",D3+90)</f>
        <v>46368</v>
      </c>
      <c r="J3" s="164" t="n">
        <f aca="true">IF(I3="","",I3-TODAY())</f>
        <v>69</v>
      </c>
      <c r="K3" s="124"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ON TRACK</v>
      </c>
      <c r="L3" s="118" t="s">
        <v>483</v>
      </c>
      <c r="M3" s="165" t="n">
        <v>0</v>
      </c>
    </row>
    <row r="4" customFormat="false" ht="15" hidden="false" customHeight="true" outlineLevel="0" collapsed="false">
      <c r="A4" s="118"/>
      <c r="B4" s="118"/>
      <c r="C4" s="118"/>
      <c r="D4" s="163"/>
      <c r="E4" s="118"/>
      <c r="F4" s="118"/>
      <c r="G4" s="163"/>
      <c r="H4" s="118"/>
      <c r="I4" s="141" t="str">
        <f aca="false">IF(D4="","",D4+90)</f>
        <v/>
      </c>
      <c r="J4" s="164" t="str">
        <f aca="true">IF(I4="","",I4-TODAY())</f>
        <v/>
      </c>
      <c r="K4" s="124"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118"/>
    </row>
    <row r="5" customFormat="false" ht="15" hidden="false" customHeight="true" outlineLevel="0" collapsed="false">
      <c r="A5" s="118"/>
      <c r="B5" s="118"/>
      <c r="C5" s="118"/>
      <c r="D5" s="163"/>
      <c r="E5" s="118"/>
      <c r="F5" s="118"/>
      <c r="G5" s="163"/>
      <c r="H5" s="118"/>
      <c r="I5" s="141" t="str">
        <f aca="false">IF(D5="","",D5+90)</f>
        <v/>
      </c>
      <c r="J5" s="164" t="str">
        <f aca="true">IF(I5="","",I5-TODAY())</f>
        <v/>
      </c>
      <c r="K5" s="124"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118"/>
    </row>
    <row r="6" customFormat="false" ht="15" hidden="false" customHeight="true" outlineLevel="0" collapsed="false">
      <c r="A6" s="118"/>
      <c r="B6" s="118"/>
      <c r="C6" s="118"/>
      <c r="D6" s="163"/>
      <c r="E6" s="118"/>
      <c r="F6" s="118"/>
      <c r="G6" s="163"/>
      <c r="H6" s="118"/>
      <c r="I6" s="141" t="str">
        <f aca="false">IF(D6="","",D6+90)</f>
        <v/>
      </c>
      <c r="J6" s="164" t="str">
        <f aca="true">IF(I6="","",I6-TODAY())</f>
        <v/>
      </c>
      <c r="K6" s="124"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118"/>
    </row>
    <row r="7" customFormat="false" ht="15" hidden="false" customHeight="true" outlineLevel="0" collapsed="false">
      <c r="A7" s="118"/>
      <c r="B7" s="118"/>
      <c r="C7" s="118"/>
      <c r="D7" s="163"/>
      <c r="E7" s="118"/>
      <c r="F7" s="118"/>
      <c r="G7" s="163"/>
      <c r="H7" s="118"/>
      <c r="I7" s="141" t="str">
        <f aca="false">IF(D7="","",D7+90)</f>
        <v/>
      </c>
      <c r="J7" s="164" t="str">
        <f aca="true">IF(I7="","",I7-TODAY())</f>
        <v/>
      </c>
      <c r="K7" s="124"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118"/>
    </row>
    <row r="8" customFormat="false" ht="15" hidden="false" customHeight="true" outlineLevel="0" collapsed="false">
      <c r="A8" s="118"/>
      <c r="B8" s="118"/>
      <c r="C8" s="118"/>
      <c r="D8" s="163"/>
      <c r="E8" s="118"/>
      <c r="F8" s="118"/>
      <c r="G8" s="163"/>
      <c r="H8" s="118"/>
      <c r="I8" s="141" t="str">
        <f aca="false">IF(D8="","",D8+90)</f>
        <v/>
      </c>
      <c r="J8" s="164" t="str">
        <f aca="true">IF(I8="","",I8-TODAY())</f>
        <v/>
      </c>
      <c r="K8" s="124"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118"/>
    </row>
    <row r="9" customFormat="false" ht="15" hidden="false" customHeight="true" outlineLevel="0" collapsed="false">
      <c r="A9" s="118"/>
      <c r="B9" s="118"/>
      <c r="C9" s="118"/>
      <c r="D9" s="163"/>
      <c r="E9" s="118"/>
      <c r="F9" s="118"/>
      <c r="G9" s="163"/>
      <c r="H9" s="118"/>
      <c r="I9" s="141" t="str">
        <f aca="false">IF(D9="","",D9+90)</f>
        <v/>
      </c>
      <c r="J9" s="164" t="str">
        <f aca="true">IF(I9="","",I9-TODAY())</f>
        <v/>
      </c>
      <c r="K9" s="124"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118"/>
    </row>
    <row r="10" customFormat="false" ht="15" hidden="false" customHeight="true" outlineLevel="0" collapsed="false">
      <c r="A10" s="118"/>
      <c r="B10" s="118"/>
      <c r="C10" s="118"/>
      <c r="D10" s="163"/>
      <c r="E10" s="118"/>
      <c r="F10" s="118"/>
      <c r="G10" s="163"/>
      <c r="H10" s="118"/>
      <c r="I10" s="141" t="str">
        <f aca="false">IF(D10="","",D10+90)</f>
        <v/>
      </c>
      <c r="J10" s="164" t="str">
        <f aca="true">IF(I10="","",I10-TODAY())</f>
        <v/>
      </c>
      <c r="K10" s="124"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118"/>
    </row>
    <row r="11" customFormat="false" ht="15" hidden="false" customHeight="true" outlineLevel="0" collapsed="false">
      <c r="A11" s="118"/>
      <c r="B11" s="118"/>
      <c r="C11" s="118"/>
      <c r="D11" s="163"/>
      <c r="E11" s="118"/>
      <c r="F11" s="118"/>
      <c r="G11" s="163"/>
      <c r="H11" s="118"/>
      <c r="I11" s="141" t="str">
        <f aca="false">IF(D11="","",D11+90)</f>
        <v/>
      </c>
      <c r="J11" s="164" t="str">
        <f aca="true">IF(I11="","",I11-TODAY())</f>
        <v/>
      </c>
      <c r="K11" s="124"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118"/>
    </row>
    <row r="12" customFormat="false" ht="15" hidden="false" customHeight="true" outlineLevel="0" collapsed="false">
      <c r="A12" s="118"/>
      <c r="B12" s="118"/>
      <c r="C12" s="118"/>
      <c r="D12" s="163"/>
      <c r="E12" s="118"/>
      <c r="F12" s="118"/>
      <c r="G12" s="163"/>
      <c r="H12" s="118"/>
      <c r="I12" s="141" t="str">
        <f aca="false">IF(D12="","",D12+90)</f>
        <v/>
      </c>
      <c r="J12" s="164" t="str">
        <f aca="true">IF(I12="","",I12-TODAY())</f>
        <v/>
      </c>
      <c r="K12" s="124"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118"/>
    </row>
    <row r="13" customFormat="false" ht="15" hidden="false" customHeight="true" outlineLevel="0" collapsed="false">
      <c r="A13" s="118"/>
      <c r="B13" s="118"/>
      <c r="C13" s="118"/>
      <c r="D13" s="163"/>
      <c r="E13" s="118"/>
      <c r="F13" s="118"/>
      <c r="G13" s="163"/>
      <c r="H13" s="118"/>
      <c r="I13" s="141" t="str">
        <f aca="false">IF(D13="","",D13+90)</f>
        <v/>
      </c>
      <c r="J13" s="164" t="str">
        <f aca="true">IF(I13="","",I13-TODAY())</f>
        <v/>
      </c>
      <c r="K13" s="124"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118"/>
    </row>
    <row r="14" customFormat="false" ht="15" hidden="false" customHeight="true" outlineLevel="0" collapsed="false">
      <c r="A14" s="118"/>
      <c r="B14" s="118"/>
      <c r="C14" s="118"/>
      <c r="D14" s="163"/>
      <c r="E14" s="118"/>
      <c r="F14" s="118"/>
      <c r="G14" s="163"/>
      <c r="H14" s="118"/>
      <c r="I14" s="141" t="str">
        <f aca="false">IF(D14="","",D14+90)</f>
        <v/>
      </c>
      <c r="J14" s="164" t="str">
        <f aca="true">IF(I14="","",I14-TODAY())</f>
        <v/>
      </c>
      <c r="K14" s="124"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118"/>
    </row>
    <row r="15" customFormat="false" ht="15" hidden="false" customHeight="true" outlineLevel="0" collapsed="false">
      <c r="A15" s="118"/>
      <c r="B15" s="118"/>
      <c r="C15" s="118"/>
      <c r="D15" s="163"/>
      <c r="E15" s="118"/>
      <c r="F15" s="118"/>
      <c r="G15" s="163"/>
      <c r="H15" s="118"/>
      <c r="I15" s="141" t="str">
        <f aca="false">IF(D15="","",D15+90)</f>
        <v/>
      </c>
      <c r="J15" s="164" t="str">
        <f aca="true">IF(I15="","",I15-TODAY())</f>
        <v/>
      </c>
      <c r="K15" s="124"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118"/>
    </row>
    <row r="16" customFormat="false" ht="15" hidden="false" customHeight="true" outlineLevel="0" collapsed="false">
      <c r="A16" s="118"/>
      <c r="B16" s="118"/>
      <c r="C16" s="118"/>
      <c r="D16" s="163"/>
      <c r="E16" s="118"/>
      <c r="F16" s="118"/>
      <c r="G16" s="163"/>
      <c r="H16" s="118"/>
      <c r="I16" s="141" t="str">
        <f aca="false">IF(D16="","",D16+90)</f>
        <v/>
      </c>
      <c r="J16" s="164" t="str">
        <f aca="true">IF(I16="","",I16-TODAY())</f>
        <v/>
      </c>
      <c r="K16" s="124"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118"/>
    </row>
    <row r="17" customFormat="false" ht="15" hidden="false" customHeight="true" outlineLevel="0" collapsed="false">
      <c r="A17" s="118"/>
      <c r="B17" s="118"/>
      <c r="C17" s="118"/>
      <c r="D17" s="163"/>
      <c r="E17" s="118"/>
      <c r="F17" s="118"/>
      <c r="G17" s="163"/>
      <c r="H17" s="118"/>
      <c r="I17" s="141" t="str">
        <f aca="false">IF(D17="","",D17+90)</f>
        <v/>
      </c>
      <c r="J17" s="164" t="str">
        <f aca="true">IF(I17="","",I17-TODAY())</f>
        <v/>
      </c>
      <c r="K17" s="124"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118"/>
    </row>
    <row r="18" customFormat="false" ht="15" hidden="false" customHeight="true" outlineLevel="0" collapsed="false">
      <c r="A18" s="118"/>
      <c r="B18" s="118"/>
      <c r="C18" s="118"/>
      <c r="D18" s="163"/>
      <c r="E18" s="118"/>
      <c r="F18" s="118"/>
      <c r="G18" s="163"/>
      <c r="H18" s="118"/>
      <c r="I18" s="141" t="str">
        <f aca="false">IF(D18="","",D18+90)</f>
        <v/>
      </c>
      <c r="J18" s="164" t="str">
        <f aca="true">IF(I18="","",I18-TODAY())</f>
        <v/>
      </c>
      <c r="K18" s="124"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118"/>
    </row>
    <row r="19" customFormat="false" ht="15" hidden="false" customHeight="true" outlineLevel="0" collapsed="false">
      <c r="A19" s="118"/>
      <c r="B19" s="118"/>
      <c r="C19" s="118"/>
      <c r="D19" s="163"/>
      <c r="E19" s="118"/>
      <c r="F19" s="118"/>
      <c r="G19" s="163"/>
      <c r="H19" s="118"/>
      <c r="I19" s="141" t="str">
        <f aca="false">IF(D19="","",D19+90)</f>
        <v/>
      </c>
      <c r="J19" s="164" t="str">
        <f aca="true">IF(I19="","",I19-TODAY())</f>
        <v/>
      </c>
      <c r="K19" s="124"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118"/>
    </row>
    <row r="20" customFormat="false" ht="15" hidden="false" customHeight="true" outlineLevel="0" collapsed="false">
      <c r="A20" s="118"/>
      <c r="B20" s="118"/>
      <c r="C20" s="118"/>
      <c r="D20" s="163"/>
      <c r="E20" s="118"/>
      <c r="F20" s="118"/>
      <c r="G20" s="163"/>
      <c r="H20" s="118"/>
      <c r="I20" s="141" t="str">
        <f aca="false">IF(D20="","",D20+90)</f>
        <v/>
      </c>
      <c r="J20" s="164" t="str">
        <f aca="true">IF(I20="","",I20-TODAY())</f>
        <v/>
      </c>
      <c r="K20" s="124"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118"/>
    </row>
    <row r="21" customFormat="false" ht="15" hidden="false" customHeight="true" outlineLevel="0" collapsed="false">
      <c r="A21" s="118"/>
      <c r="B21" s="118"/>
      <c r="C21" s="118"/>
      <c r="D21" s="163"/>
      <c r="E21" s="118"/>
      <c r="F21" s="118"/>
      <c r="G21" s="163"/>
      <c r="H21" s="118"/>
      <c r="I21" s="141" t="str">
        <f aca="false">IF(D21="","",D21+90)</f>
        <v/>
      </c>
      <c r="J21" s="164" t="str">
        <f aca="true">IF(I21="","",I21-TODAY())</f>
        <v/>
      </c>
      <c r="K21" s="124"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118"/>
    </row>
    <row r="22" customFormat="false" ht="15" hidden="false" customHeight="true" outlineLevel="0" collapsed="false">
      <c r="A22" s="118"/>
      <c r="B22" s="118"/>
      <c r="C22" s="118"/>
      <c r="D22" s="163"/>
      <c r="E22" s="118"/>
      <c r="F22" s="118"/>
      <c r="G22" s="163"/>
      <c r="H22" s="118"/>
      <c r="I22" s="141" t="str">
        <f aca="false">IF(D22="","",D22+90)</f>
        <v/>
      </c>
      <c r="J22" s="164" t="str">
        <f aca="true">IF(I22="","",I22-TODAY())</f>
        <v/>
      </c>
      <c r="K22" s="124"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118"/>
    </row>
  </sheetData>
  <conditionalFormatting sqref="K3:K22">
    <cfRule type="expression" priority="2" aboveAverage="0" equalAverage="0" bottom="0" percent="0" rank="0" text="" dxfId="17">
      <formula>ISNUMBER(SEARCH("RECOVERED",K3))</formula>
    </cfRule>
    <cfRule type="expression" priority="3" aboveAverage="0" equalAverage="0" bottom="0" percent="0" rank="0" text="" dxfId="17">
      <formula>ISNUMBER(SEARCH("ON TRACK",K3))</formula>
    </cfRule>
    <cfRule type="expression" priority="4" aboveAverage="0" equalAverage="0" bottom="0" percent="0" rank="0" text="" dxfId="19">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F42" activeCellId="0" sqref="F42"/>
    </sheetView>
  </sheetViews>
  <sheetFormatPr defaultColWidth="8.66796875" defaultRowHeight="14.25" customHeight="false" zeroHeight="false" outlineLevelRow="0" outlineLevelCol="0"/>
  <cols>
    <col collapsed="false" customWidth="true" hidden="false" outlineLevel="0" max="1" min="1" style="166" width="8"/>
    <col collapsed="false" customWidth="true" hidden="false" outlineLevel="0" max="2" min="2" style="1" width="14"/>
    <col collapsed="false" customWidth="true" hidden="false" outlineLevel="0" max="21" min="3" style="1" width="9.56"/>
  </cols>
  <sheetData>
    <row r="1" customFormat="false" ht="25.5" hidden="false" customHeight="true" outlineLevel="0" collapsed="false">
      <c r="A1" s="167" t="s">
        <v>484</v>
      </c>
      <c r="B1" s="162"/>
      <c r="C1" s="162"/>
      <c r="D1" s="162"/>
      <c r="E1" s="162"/>
      <c r="F1" s="162"/>
      <c r="G1" s="162"/>
      <c r="H1" s="162"/>
      <c r="I1" s="162"/>
      <c r="J1" s="162"/>
      <c r="K1" s="162"/>
      <c r="L1" s="162"/>
      <c r="M1" s="162"/>
      <c r="N1" s="162"/>
      <c r="O1" s="162"/>
      <c r="P1" s="162"/>
      <c r="Q1" s="162"/>
      <c r="R1" s="162"/>
      <c r="S1" s="162"/>
      <c r="T1" s="162"/>
    </row>
    <row r="2" customFormat="false" ht="15.75" hidden="false" customHeight="true" outlineLevel="0" collapsed="false">
      <c r="D2" s="168" t="s">
        <v>485</v>
      </c>
      <c r="E2" s="168"/>
      <c r="F2" s="168"/>
      <c r="G2" s="168"/>
      <c r="H2" s="168"/>
      <c r="I2" s="169" t="s">
        <v>486</v>
      </c>
      <c r="J2" s="169"/>
      <c r="K2" s="169"/>
      <c r="L2" s="169"/>
      <c r="M2" s="169"/>
      <c r="N2" s="170" t="s">
        <v>487</v>
      </c>
      <c r="O2" s="170"/>
      <c r="P2" s="170"/>
      <c r="Q2" s="170"/>
      <c r="R2" s="170"/>
      <c r="S2" s="171" t="s">
        <v>488</v>
      </c>
      <c r="T2" s="171"/>
      <c r="U2" s="171"/>
    </row>
    <row r="3" customFormat="false" ht="42.75" hidden="false" customHeight="true" outlineLevel="0" collapsed="false">
      <c r="A3" s="110" t="s">
        <v>81</v>
      </c>
      <c r="B3" s="110" t="s">
        <v>280</v>
      </c>
      <c r="C3" s="110" t="s">
        <v>489</v>
      </c>
      <c r="D3" s="110" t="s">
        <v>490</v>
      </c>
      <c r="E3" s="110" t="s">
        <v>491</v>
      </c>
      <c r="F3" s="110" t="s">
        <v>492</v>
      </c>
      <c r="G3" s="110" t="s">
        <v>493</v>
      </c>
      <c r="H3" s="110" t="s">
        <v>494</v>
      </c>
      <c r="I3" s="110" t="s">
        <v>490</v>
      </c>
      <c r="J3" s="110" t="s">
        <v>491</v>
      </c>
      <c r="K3" s="110" t="s">
        <v>492</v>
      </c>
      <c r="L3" s="110" t="s">
        <v>493</v>
      </c>
      <c r="M3" s="110" t="s">
        <v>494</v>
      </c>
      <c r="N3" s="110" t="s">
        <v>490</v>
      </c>
      <c r="O3" s="110" t="s">
        <v>491</v>
      </c>
      <c r="P3" s="110" t="s">
        <v>492</v>
      </c>
      <c r="Q3" s="110" t="s">
        <v>493</v>
      </c>
      <c r="R3" s="110" t="s">
        <v>494</v>
      </c>
      <c r="S3" s="110" t="s">
        <v>495</v>
      </c>
      <c r="T3" s="110" t="s">
        <v>496</v>
      </c>
      <c r="U3" s="110" t="s">
        <v>497</v>
      </c>
    </row>
    <row r="4" customFormat="false" ht="15" hidden="false" customHeight="true" outlineLevel="0" collapsed="false">
      <c r="A4" s="61"/>
      <c r="B4" s="62"/>
      <c r="C4" s="66"/>
      <c r="D4" s="66"/>
      <c r="E4" s="172"/>
      <c r="F4" s="66"/>
      <c r="G4" s="67" t="str">
        <f aca="false">IF(OR(C4="",D4="",E4="",F4=""),"",IFERROR(((D4*E4+F4)/C4)^(1/5)-1,"n/a"))</f>
        <v/>
      </c>
      <c r="H4" s="62"/>
      <c r="I4" s="66"/>
      <c r="J4" s="172"/>
      <c r="K4" s="66"/>
      <c r="L4" s="67" t="str">
        <f aca="false">IF(OR(C4="",I4="",J4="",K4=""),"",IFERROR(((I4*J4+K4)/C4)^(1/5)-1,"n/a"))</f>
        <v/>
      </c>
      <c r="M4" s="62"/>
      <c r="N4" s="66"/>
      <c r="O4" s="172"/>
      <c r="P4" s="66"/>
      <c r="Q4" s="67" t="str">
        <f aca="false">IF(OR(C4="",N4="",O4="",P4=""),"",IFERROR(((N4*O4+P4)/C4)^(1/5)-1,"n/a"))</f>
        <v/>
      </c>
      <c r="R4" s="62"/>
      <c r="S4" s="71" t="str">
        <f aca="false">IF(G4="","",IF(G4&gt;0.1,"PASS","FAIL"))</f>
        <v/>
      </c>
      <c r="T4" s="71" t="str">
        <f aca="false">IF(L4="","",IF(L4&gt;=0,"PASS","FAIL"))</f>
        <v/>
      </c>
      <c r="U4" s="71" t="str">
        <f aca="false">IF(COUNTA(H4,M4,R4)=0,"",IF((COUNTIF(H4,"Likely")+COUNTIF(M4,"Likely")+COUNTIF(R4,"Likely"))=1,"OK","CHECK TAGS"))</f>
        <v/>
      </c>
    </row>
    <row r="5" customFormat="false" ht="15" hidden="false" customHeight="true" outlineLevel="0" collapsed="false">
      <c r="A5" s="61"/>
      <c r="B5" s="62"/>
      <c r="C5" s="66"/>
      <c r="D5" s="66"/>
      <c r="E5" s="172"/>
      <c r="F5" s="66"/>
      <c r="G5" s="67" t="str">
        <f aca="false">IF(OR(C5="",D5="",E5="",F5=""),"",IFERROR(((D5*E5+F5)/C5)^(1/5)-1,"n/a"))</f>
        <v/>
      </c>
      <c r="H5" s="62"/>
      <c r="I5" s="66"/>
      <c r="J5" s="172"/>
      <c r="K5" s="66"/>
      <c r="L5" s="67" t="str">
        <f aca="false">IF(OR(C5="",I5="",J5="",K5=""),"",IFERROR(((I5*J5+K5)/C5)^(1/5)-1,"n/a"))</f>
        <v/>
      </c>
      <c r="M5" s="62"/>
      <c r="N5" s="66"/>
      <c r="O5" s="172"/>
      <c r="P5" s="66"/>
      <c r="Q5" s="67" t="str">
        <f aca="false">IF(OR(C5="",N5="",O5="",P5=""),"",IFERROR(((N5*O5+P5)/C5)^(1/5)-1,"n/a"))</f>
        <v/>
      </c>
      <c r="R5" s="62"/>
      <c r="S5" s="71" t="str">
        <f aca="false">IF(G5="","",IF(G5&gt;0.1,"PASS","FAIL"))</f>
        <v/>
      </c>
      <c r="T5" s="71" t="str">
        <f aca="false">IF(L5="","",IF(L5&gt;=0,"PASS","FAIL"))</f>
        <v/>
      </c>
      <c r="U5" s="71" t="str">
        <f aca="false">IF(COUNTA(H5,M5,R5)=0,"",IF((COUNTIF(H5,"Likely")+COUNTIF(M5,"Likely")+COUNTIF(R5,"Likely"))=1,"OK","CHECK TAGS"))</f>
        <v/>
      </c>
    </row>
    <row r="6" customFormat="false" ht="15" hidden="false" customHeight="true" outlineLevel="0" collapsed="false">
      <c r="A6" s="61"/>
      <c r="B6" s="62"/>
      <c r="C6" s="66"/>
      <c r="D6" s="66"/>
      <c r="E6" s="172"/>
      <c r="F6" s="66"/>
      <c r="G6" s="67" t="str">
        <f aca="false">IF(OR(C6="",D6="",E6="",F6=""),"",IFERROR(((D6*E6+F6)/C6)^(1/5)-1,"n/a"))</f>
        <v/>
      </c>
      <c r="H6" s="62"/>
      <c r="I6" s="66"/>
      <c r="J6" s="172"/>
      <c r="K6" s="66"/>
      <c r="L6" s="67" t="str">
        <f aca="false">IF(OR(C6="",I6="",J6="",K6=""),"",IFERROR(((I6*J6+K6)/C6)^(1/5)-1,"n/a"))</f>
        <v/>
      </c>
      <c r="M6" s="62"/>
      <c r="N6" s="66"/>
      <c r="O6" s="172"/>
      <c r="P6" s="66"/>
      <c r="Q6" s="67" t="str">
        <f aca="false">IF(OR(C6="",N6="",O6="",P6=""),"",IFERROR(((N6*O6+P6)/C6)^(1/5)-1,"n/a"))</f>
        <v/>
      </c>
      <c r="R6" s="62"/>
      <c r="S6" s="71" t="str">
        <f aca="false">IF(G6="","",IF(G6&gt;0.1,"PASS","FAIL"))</f>
        <v/>
      </c>
      <c r="T6" s="71" t="str">
        <f aca="false">IF(L6="","",IF(L6&gt;=0,"PASS","FAIL"))</f>
        <v/>
      </c>
      <c r="U6" s="71" t="str">
        <f aca="false">IF(COUNTA(H6,M6,R6)=0,"",IF((COUNTIF(H6,"Likely")+COUNTIF(M6,"Likely")+COUNTIF(R6,"Likely"))=1,"OK","CHECK TAGS"))</f>
        <v/>
      </c>
    </row>
    <row r="7" customFormat="false" ht="15" hidden="false" customHeight="true" outlineLevel="0" collapsed="false">
      <c r="A7" s="61"/>
      <c r="B7" s="69"/>
      <c r="C7" s="66"/>
      <c r="D7" s="66"/>
      <c r="E7" s="172"/>
      <c r="F7" s="66"/>
      <c r="G7" s="67" t="str">
        <f aca="false">IF(OR(C7="",D7="",E7="",F7=""),"",IFERROR(((D7*E7+F7)/C7)^(1/5)-1,"n/a"))</f>
        <v/>
      </c>
      <c r="H7" s="62"/>
      <c r="I7" s="66"/>
      <c r="J7" s="172"/>
      <c r="K7" s="66"/>
      <c r="L7" s="67" t="str">
        <f aca="false">IF(OR(C7="",I7="",J7="",K7=""),"",IFERROR(((I7*J7+K7)/C7)^(1/5)-1,"n/a"))</f>
        <v/>
      </c>
      <c r="M7" s="62"/>
      <c r="N7" s="66"/>
      <c r="O7" s="172"/>
      <c r="P7" s="66"/>
      <c r="Q7" s="67" t="str">
        <f aca="false">IF(OR(C7="",N7="",O7="",P7=""),"",IFERROR(((N7*O7+P7)/C7)^(1/5)-1,"n/a"))</f>
        <v/>
      </c>
      <c r="R7" s="62"/>
      <c r="S7" s="71" t="str">
        <f aca="false">IF(G7="","",IF(G7&gt;0.1,"PASS","FAIL"))</f>
        <v/>
      </c>
      <c r="T7" s="71" t="str">
        <f aca="false">IF(L7="","",IF(L7&gt;=0,"PASS","FAIL"))</f>
        <v/>
      </c>
      <c r="U7" s="71" t="str">
        <f aca="false">IF(COUNTA(H7,M7,R7)=0,"",IF((COUNTIF(H7,"Likely")+COUNTIF(M7,"Likely")+COUNTIF(R7,"Likely"))=1,"OK","CHECK TAGS"))</f>
        <v/>
      </c>
    </row>
    <row r="8" customFormat="false" ht="15" hidden="false" customHeight="true" outlineLevel="0" collapsed="false">
      <c r="A8" s="61"/>
      <c r="B8" s="69"/>
      <c r="C8" s="66"/>
      <c r="D8" s="66"/>
      <c r="E8" s="172"/>
      <c r="F8" s="66"/>
      <c r="G8" s="67" t="str">
        <f aca="false">IF(OR(C8="",D8="",E8="",F8=""),"",IFERROR(((D8*E8+F8)/C8)^(1/5)-1,"n/a"))</f>
        <v/>
      </c>
      <c r="H8" s="62"/>
      <c r="I8" s="66"/>
      <c r="J8" s="172"/>
      <c r="K8" s="66"/>
      <c r="L8" s="67" t="str">
        <f aca="false">IF(OR(C8="",I8="",J8="",K8=""),"",IFERROR(((I8*J8+K8)/C8)^(1/5)-1,"n/a"))</f>
        <v/>
      </c>
      <c r="M8" s="62"/>
      <c r="N8" s="66"/>
      <c r="O8" s="172"/>
      <c r="P8" s="66"/>
      <c r="Q8" s="67" t="str">
        <f aca="false">IF(OR(C8="",N8="",O8="",P8=""),"",IFERROR(((N8*O8+P8)/C8)^(1/5)-1,"n/a"))</f>
        <v/>
      </c>
      <c r="R8" s="62"/>
      <c r="S8" s="71" t="str">
        <f aca="false">IF(G8="","",IF(G8&gt;0.1,"PASS","FAIL"))</f>
        <v/>
      </c>
      <c r="T8" s="71" t="str">
        <f aca="false">IF(L8="","",IF(L8&gt;=0,"PASS","FAIL"))</f>
        <v/>
      </c>
      <c r="U8" s="71" t="str">
        <f aca="false">IF(COUNTA(H8,M8,R8)=0,"",IF((COUNTIF(H8,"Likely")+COUNTIF(M8,"Likely")+COUNTIF(R8,"Likely"))=1,"OK","CHECK TAGS"))</f>
        <v/>
      </c>
    </row>
    <row r="9" customFormat="false" ht="15" hidden="false" customHeight="true" outlineLevel="0" collapsed="false">
      <c r="A9" s="61"/>
      <c r="B9" s="69"/>
      <c r="C9" s="66"/>
      <c r="D9" s="66"/>
      <c r="E9" s="172"/>
      <c r="F9" s="66"/>
      <c r="G9" s="67" t="str">
        <f aca="false">IF(OR(C9="",D9="",E9="",F9=""),"",IFERROR(((D9*E9+F9)/C9)^(1/5)-1,"n/a"))</f>
        <v/>
      </c>
      <c r="H9" s="62"/>
      <c r="I9" s="66"/>
      <c r="J9" s="172"/>
      <c r="K9" s="66"/>
      <c r="L9" s="67" t="str">
        <f aca="false">IF(OR(C9="",I9="",J9="",K9=""),"",IFERROR(((I9*J9+K9)/C9)^(1/5)-1,"n/a"))</f>
        <v/>
      </c>
      <c r="M9" s="62"/>
      <c r="N9" s="66"/>
      <c r="O9" s="172"/>
      <c r="P9" s="66"/>
      <c r="Q9" s="67" t="str">
        <f aca="false">IF(OR(C9="",N9="",O9="",P9=""),"",IFERROR(((N9*O9+P9)/C9)^(1/5)-1,"n/a"))</f>
        <v/>
      </c>
      <c r="R9" s="62"/>
      <c r="S9" s="71" t="str">
        <f aca="false">IF(G9="","",IF(G9&gt;0.1,"PASS","FAIL"))</f>
        <v/>
      </c>
      <c r="T9" s="71" t="str">
        <f aca="false">IF(L9="","",IF(L9&gt;=0,"PASS","FAIL"))</f>
        <v/>
      </c>
      <c r="U9" s="71" t="str">
        <f aca="false">IF(COUNTA(H9,M9,R9)=0,"",IF((COUNTIF(H9,"Likely")+COUNTIF(M9,"Likely")+COUNTIF(R9,"Likely"))=1,"OK","CHECK TAGS"))</f>
        <v/>
      </c>
    </row>
    <row r="10" customFormat="false" ht="15" hidden="false" customHeight="true" outlineLevel="0" collapsed="false">
      <c r="A10" s="61"/>
      <c r="B10" s="69"/>
      <c r="C10" s="66"/>
      <c r="D10" s="66"/>
      <c r="E10" s="172"/>
      <c r="F10" s="66"/>
      <c r="G10" s="67" t="str">
        <f aca="false">IF(OR(C10="",D10="",E10="",F10=""),"",IFERROR(((D10*E10+F10)/C10)^(1/5)-1,"n/a"))</f>
        <v/>
      </c>
      <c r="H10" s="62"/>
      <c r="I10" s="66"/>
      <c r="J10" s="172"/>
      <c r="K10" s="66"/>
      <c r="L10" s="67" t="str">
        <f aca="false">IF(OR(C10="",I10="",J10="",K10=""),"",IFERROR(((I10*J10+K10)/C10)^(1/5)-1,"n/a"))</f>
        <v/>
      </c>
      <c r="M10" s="62"/>
      <c r="N10" s="66"/>
      <c r="O10" s="172"/>
      <c r="P10" s="66"/>
      <c r="Q10" s="67" t="str">
        <f aca="false">IF(OR(C10="",N10="",O10="",P10=""),"",IFERROR(((N10*O10+P10)/C10)^(1/5)-1,"n/a"))</f>
        <v/>
      </c>
      <c r="R10" s="62"/>
      <c r="S10" s="71" t="str">
        <f aca="false">IF(G10="","",IF(G10&gt;0.1,"PASS","FAIL"))</f>
        <v/>
      </c>
      <c r="T10" s="71" t="str">
        <f aca="false">IF(L10="","",IF(L10&gt;=0,"PASS","FAIL"))</f>
        <v/>
      </c>
      <c r="U10" s="71" t="str">
        <f aca="false">IF(COUNTA(H10,M10,R10)=0,"",IF((COUNTIF(H10,"Likely")+COUNTIF(M10,"Likely")+COUNTIF(R10,"Likely"))=1,"OK","CHECK TAGS"))</f>
        <v/>
      </c>
    </row>
    <row r="11" customFormat="false" ht="15" hidden="false" customHeight="true" outlineLevel="0" collapsed="false">
      <c r="A11" s="61"/>
      <c r="B11" s="69"/>
      <c r="C11" s="66"/>
      <c r="D11" s="66"/>
      <c r="E11" s="172"/>
      <c r="F11" s="66"/>
      <c r="G11" s="67" t="str">
        <f aca="false">IF(OR(C11="",D11="",E11="",F11=""),"",IFERROR(((D11*E11+F11)/C11)^(1/5)-1,"n/a"))</f>
        <v/>
      </c>
      <c r="H11" s="62"/>
      <c r="I11" s="66"/>
      <c r="J11" s="172"/>
      <c r="K11" s="66"/>
      <c r="L11" s="67" t="str">
        <f aca="false">IF(OR(C11="",I11="",J11="",K11=""),"",IFERROR(((I11*J11+K11)/C11)^(1/5)-1,"n/a"))</f>
        <v/>
      </c>
      <c r="M11" s="62"/>
      <c r="N11" s="66"/>
      <c r="O11" s="172"/>
      <c r="P11" s="66"/>
      <c r="Q11" s="67" t="str">
        <f aca="false">IF(OR(C11="",N11="",O11="",P11=""),"",IFERROR(((N11*O11+P11)/C11)^(1/5)-1,"n/a"))</f>
        <v/>
      </c>
      <c r="R11" s="62"/>
      <c r="S11" s="71" t="str">
        <f aca="false">IF(G11="","",IF(G11&gt;0.1,"PASS","FAIL"))</f>
        <v/>
      </c>
      <c r="T11" s="71" t="str">
        <f aca="false">IF(L11="","",IF(L11&gt;=0,"PASS","FAIL"))</f>
        <v/>
      </c>
      <c r="U11" s="71" t="str">
        <f aca="false">IF(COUNTA(H11,M11,R11)=0,"",IF((COUNTIF(H11,"Likely")+COUNTIF(M11,"Likely")+COUNTIF(R11,"Likely"))=1,"OK","CHECK TAGS"))</f>
        <v/>
      </c>
    </row>
    <row r="12" customFormat="false" ht="15" hidden="false" customHeight="true" outlineLevel="0" collapsed="false">
      <c r="A12" s="61"/>
      <c r="B12" s="69"/>
      <c r="C12" s="66"/>
      <c r="D12" s="66"/>
      <c r="E12" s="172"/>
      <c r="F12" s="66"/>
      <c r="G12" s="67" t="str">
        <f aca="false">IF(OR(C12="",D12="",E12="",F12=""),"",IFERROR(((D12*E12+F12)/C12)^(1/5)-1,"n/a"))</f>
        <v/>
      </c>
      <c r="H12" s="62"/>
      <c r="I12" s="66"/>
      <c r="J12" s="172"/>
      <c r="K12" s="66"/>
      <c r="L12" s="67" t="str">
        <f aca="false">IF(OR(C12="",I12="",J12="",K12=""),"",IFERROR(((I12*J12+K12)/C12)^(1/5)-1,"n/a"))</f>
        <v/>
      </c>
      <c r="M12" s="62"/>
      <c r="N12" s="66"/>
      <c r="O12" s="172"/>
      <c r="P12" s="66"/>
      <c r="Q12" s="67" t="str">
        <f aca="false">IF(OR(C12="",N12="",O12="",P12=""),"",IFERROR(((N12*O12+P12)/C12)^(1/5)-1,"n/a"))</f>
        <v/>
      </c>
      <c r="R12" s="62"/>
      <c r="S12" s="71" t="str">
        <f aca="false">IF(G12="","",IF(G12&gt;0.1,"PASS","FAIL"))</f>
        <v/>
      </c>
      <c r="T12" s="71" t="str">
        <f aca="false">IF(L12="","",IF(L12&gt;=0,"PASS","FAIL"))</f>
        <v/>
      </c>
      <c r="U12" s="71" t="str">
        <f aca="false">IF(COUNTA(H12,M12,R12)=0,"",IF((COUNTIF(H12,"Likely")+COUNTIF(M12,"Likely")+COUNTIF(R12,"Likely"))=1,"OK","CHECK TAGS"))</f>
        <v/>
      </c>
    </row>
    <row r="13" customFormat="false" ht="15" hidden="false" customHeight="true" outlineLevel="0" collapsed="false">
      <c r="A13" s="61"/>
      <c r="B13" s="69"/>
      <c r="C13" s="66"/>
      <c r="D13" s="66"/>
      <c r="E13" s="172"/>
      <c r="F13" s="66"/>
      <c r="G13" s="67" t="str">
        <f aca="false">IF(OR(C13="",D13="",E13="",F13=""),"",IFERROR(((D13*E13+F13)/C13)^(1/5)-1,"n/a"))</f>
        <v/>
      </c>
      <c r="H13" s="62"/>
      <c r="I13" s="66"/>
      <c r="J13" s="172"/>
      <c r="K13" s="66"/>
      <c r="L13" s="67" t="str">
        <f aca="false">IF(OR(C13="",I13="",J13="",K13=""),"",IFERROR(((I13*J13+K13)/C13)^(1/5)-1,"n/a"))</f>
        <v/>
      </c>
      <c r="M13" s="62"/>
      <c r="N13" s="66"/>
      <c r="O13" s="172"/>
      <c r="P13" s="66"/>
      <c r="Q13" s="67" t="str">
        <f aca="false">IF(OR(C13="",N13="",O13="",P13=""),"",IFERROR(((N13*O13+P13)/C13)^(1/5)-1,"n/a"))</f>
        <v/>
      </c>
      <c r="R13" s="62"/>
      <c r="S13" s="71" t="str">
        <f aca="false">IF(G13="","",IF(G13&gt;0.1,"PASS","FAIL"))</f>
        <v/>
      </c>
      <c r="T13" s="71" t="str">
        <f aca="false">IF(L13="","",IF(L13&gt;=0,"PASS","FAIL"))</f>
        <v/>
      </c>
      <c r="U13" s="71" t="str">
        <f aca="false">IF(COUNTA(H13,M13,R13)=0,"",IF((COUNTIF(H13,"Likely")+COUNTIF(M13,"Likely")+COUNTIF(R13,"Likely"))=1,"OK","CHECK TAGS"))</f>
        <v/>
      </c>
    </row>
    <row r="14" customFormat="false" ht="15" hidden="false" customHeight="true" outlineLevel="0" collapsed="false">
      <c r="A14" s="61"/>
      <c r="B14" s="69"/>
      <c r="C14" s="66"/>
      <c r="D14" s="66"/>
      <c r="E14" s="172"/>
      <c r="F14" s="66"/>
      <c r="G14" s="67" t="str">
        <f aca="false">IF(OR(C14="",D14="",E14="",F14=""),"",IFERROR(((D14*E14+F14)/C14)^(1/5)-1,"n/a"))</f>
        <v/>
      </c>
      <c r="H14" s="62"/>
      <c r="I14" s="66"/>
      <c r="J14" s="172"/>
      <c r="K14" s="66"/>
      <c r="L14" s="67" t="str">
        <f aca="false">IF(OR(C14="",I14="",J14="",K14=""),"",IFERROR(((I14*J14+K14)/C14)^(1/5)-1,"n/a"))</f>
        <v/>
      </c>
      <c r="M14" s="62"/>
      <c r="N14" s="66"/>
      <c r="O14" s="172"/>
      <c r="P14" s="66"/>
      <c r="Q14" s="67" t="str">
        <f aca="false">IF(OR(C14="",N14="",O14="",P14=""),"",IFERROR(((N14*O14+P14)/C14)^(1/5)-1,"n/a"))</f>
        <v/>
      </c>
      <c r="R14" s="62"/>
      <c r="S14" s="71" t="str">
        <f aca="false">IF(G14="","",IF(G14&gt;0.1,"PASS","FAIL"))</f>
        <v/>
      </c>
      <c r="T14" s="71" t="str">
        <f aca="false">IF(L14="","",IF(L14&gt;=0,"PASS","FAIL"))</f>
        <v/>
      </c>
      <c r="U14" s="71" t="str">
        <f aca="false">IF(COUNTA(H14,M14,R14)=0,"",IF((COUNTIF(H14,"Likely")+COUNTIF(M14,"Likely")+COUNTIF(R14,"Likely"))=1,"OK","CHECK TAGS"))</f>
        <v/>
      </c>
    </row>
    <row r="15" customFormat="false" ht="15" hidden="false" customHeight="true" outlineLevel="0" collapsed="false">
      <c r="A15" s="61"/>
      <c r="B15" s="69"/>
      <c r="C15" s="66"/>
      <c r="D15" s="66"/>
      <c r="E15" s="172"/>
      <c r="F15" s="66"/>
      <c r="G15" s="67" t="str">
        <f aca="false">IF(OR(C15="",D15="",E15="",F15=""),"",IFERROR(((D15*E15+F15)/C15)^(1/5)-1,"n/a"))</f>
        <v/>
      </c>
      <c r="H15" s="62"/>
      <c r="I15" s="66"/>
      <c r="J15" s="172"/>
      <c r="K15" s="66"/>
      <c r="L15" s="67" t="str">
        <f aca="false">IF(OR(C15="",I15="",J15="",K15=""),"",IFERROR(((I15*J15+K15)/C15)^(1/5)-1,"n/a"))</f>
        <v/>
      </c>
      <c r="M15" s="62"/>
      <c r="N15" s="66"/>
      <c r="O15" s="172"/>
      <c r="P15" s="66"/>
      <c r="Q15" s="67" t="str">
        <f aca="false">IF(OR(C15="",N15="",O15="",P15=""),"",IFERROR(((N15*O15+P15)/C15)^(1/5)-1,"n/a"))</f>
        <v/>
      </c>
      <c r="R15" s="62"/>
      <c r="S15" s="71" t="str">
        <f aca="false">IF(G15="","",IF(G15&gt;0.1,"PASS","FAIL"))</f>
        <v/>
      </c>
      <c r="T15" s="71" t="str">
        <f aca="false">IF(L15="","",IF(L15&gt;=0,"PASS","FAIL"))</f>
        <v/>
      </c>
      <c r="U15" s="71" t="str">
        <f aca="false">IF(COUNTA(H15,M15,R15)=0,"",IF((COUNTIF(H15,"Likely")+COUNTIF(M15,"Likely")+COUNTIF(R15,"Likely"))=1,"OK","CHECK TAGS"))</f>
        <v/>
      </c>
    </row>
    <row r="16" customFormat="false" ht="15" hidden="false" customHeight="true" outlineLevel="0" collapsed="false">
      <c r="A16" s="61"/>
      <c r="B16" s="69"/>
      <c r="C16" s="66"/>
      <c r="D16" s="66"/>
      <c r="E16" s="172"/>
      <c r="F16" s="66"/>
      <c r="G16" s="67" t="str">
        <f aca="false">IF(OR(C16="",D16="",E16="",F16=""),"",IFERROR(((D16*E16+F16)/C16)^(1/5)-1,"n/a"))</f>
        <v/>
      </c>
      <c r="H16" s="62"/>
      <c r="I16" s="66"/>
      <c r="J16" s="172"/>
      <c r="K16" s="66"/>
      <c r="L16" s="67" t="str">
        <f aca="false">IF(OR(C16="",I16="",J16="",K16=""),"",IFERROR(((I16*J16+K16)/C16)^(1/5)-1,"n/a"))</f>
        <v/>
      </c>
      <c r="M16" s="62"/>
      <c r="N16" s="66"/>
      <c r="O16" s="172"/>
      <c r="P16" s="66"/>
      <c r="Q16" s="67" t="str">
        <f aca="false">IF(OR(C16="",N16="",O16="",P16=""),"",IFERROR(((N16*O16+P16)/C16)^(1/5)-1,"n/a"))</f>
        <v/>
      </c>
      <c r="R16" s="62"/>
      <c r="S16" s="71" t="str">
        <f aca="false">IF(G16="","",IF(G16&gt;0.1,"PASS","FAIL"))</f>
        <v/>
      </c>
      <c r="T16" s="71" t="str">
        <f aca="false">IF(L16="","",IF(L16&gt;=0,"PASS","FAIL"))</f>
        <v/>
      </c>
      <c r="U16" s="71" t="str">
        <f aca="false">IF(COUNTA(H16,M16,R16)=0,"",IF((COUNTIF(H16,"Likely")+COUNTIF(M16,"Likely")+COUNTIF(R16,"Likely"))=1,"OK","CHECK TAGS"))</f>
        <v/>
      </c>
    </row>
    <row r="17" customFormat="false" ht="15" hidden="false" customHeight="true" outlineLevel="0" collapsed="false">
      <c r="A17" s="61"/>
      <c r="B17" s="69"/>
      <c r="C17" s="66"/>
      <c r="D17" s="66"/>
      <c r="E17" s="172"/>
      <c r="F17" s="66"/>
      <c r="G17" s="67" t="str">
        <f aca="false">IF(OR(C17="",D17="",E17="",F17=""),"",IFERROR(((D17*E17+F17)/C17)^(1/5)-1,"n/a"))</f>
        <v/>
      </c>
      <c r="H17" s="62"/>
      <c r="I17" s="66"/>
      <c r="J17" s="172"/>
      <c r="K17" s="66"/>
      <c r="L17" s="67" t="str">
        <f aca="false">IF(OR(C17="",I17="",J17="",K17=""),"",IFERROR(((I17*J17+K17)/C17)^(1/5)-1,"n/a"))</f>
        <v/>
      </c>
      <c r="M17" s="62"/>
      <c r="N17" s="66"/>
      <c r="O17" s="172"/>
      <c r="P17" s="66"/>
      <c r="Q17" s="67" t="str">
        <f aca="false">IF(OR(C17="",N17="",O17="",P17=""),"",IFERROR(((N17*O17+P17)/C17)^(1/5)-1,"n/a"))</f>
        <v/>
      </c>
      <c r="R17" s="62"/>
      <c r="S17" s="71" t="str">
        <f aca="false">IF(G17="","",IF(G17&gt;0.1,"PASS","FAIL"))</f>
        <v/>
      </c>
      <c r="T17" s="71" t="str">
        <f aca="false">IF(L17="","",IF(L17&gt;=0,"PASS","FAIL"))</f>
        <v/>
      </c>
      <c r="U17" s="71" t="str">
        <f aca="false">IF(COUNTA(H17,M17,R17)=0,"",IF((COUNTIF(H17,"Likely")+COUNTIF(M17,"Likely")+COUNTIF(R17,"Likely"))=1,"OK","CHECK TAGS"))</f>
        <v/>
      </c>
    </row>
    <row r="18" customFormat="false" ht="15" hidden="false" customHeight="true" outlineLevel="0" collapsed="false">
      <c r="A18" s="61"/>
      <c r="B18" s="69"/>
      <c r="C18" s="66"/>
      <c r="D18" s="66"/>
      <c r="E18" s="172"/>
      <c r="F18" s="66"/>
      <c r="G18" s="67" t="str">
        <f aca="false">IF(OR(C18="",D18="",E18="",F18=""),"",IFERROR(((D18*E18+F18)/C18)^(1/5)-1,"n/a"))</f>
        <v/>
      </c>
      <c r="H18" s="62"/>
      <c r="I18" s="66"/>
      <c r="J18" s="172"/>
      <c r="K18" s="66"/>
      <c r="L18" s="67" t="str">
        <f aca="false">IF(OR(C18="",I18="",J18="",K18=""),"",IFERROR(((I18*J18+K18)/C18)^(1/5)-1,"n/a"))</f>
        <v/>
      </c>
      <c r="M18" s="62"/>
      <c r="N18" s="66"/>
      <c r="O18" s="172"/>
      <c r="P18" s="66"/>
      <c r="Q18" s="67" t="str">
        <f aca="false">IF(OR(C18="",N18="",O18="",P18=""),"",IFERROR(((N18*O18+P18)/C18)^(1/5)-1,"n/a"))</f>
        <v/>
      </c>
      <c r="R18" s="62"/>
      <c r="S18" s="71" t="str">
        <f aca="false">IF(G18="","",IF(G18&gt;0.1,"PASS","FAIL"))</f>
        <v/>
      </c>
      <c r="T18" s="71" t="str">
        <f aca="false">IF(L18="","",IF(L18&gt;=0,"PASS","FAIL"))</f>
        <v/>
      </c>
      <c r="U18" s="71" t="str">
        <f aca="false">IF(COUNTA(H18,M18,R18)=0,"",IF((COUNTIF(H18,"Likely")+COUNTIF(M18,"Likely")+COUNTIF(R18,"Likely"))=1,"OK","CHECK TAGS"))</f>
        <v/>
      </c>
    </row>
    <row r="19" customFormat="false" ht="15" hidden="false" customHeight="true" outlineLevel="0" collapsed="false">
      <c r="A19" s="61"/>
      <c r="B19" s="69"/>
      <c r="C19" s="66"/>
      <c r="D19" s="66"/>
      <c r="E19" s="172"/>
      <c r="F19" s="66"/>
      <c r="G19" s="67" t="str">
        <f aca="false">IF(OR(C19="",D19="",E19="",F19=""),"",IFERROR(((D19*E19+F19)/C19)^(1/5)-1,"n/a"))</f>
        <v/>
      </c>
      <c r="H19" s="62"/>
      <c r="I19" s="66"/>
      <c r="J19" s="172"/>
      <c r="K19" s="66"/>
      <c r="L19" s="67" t="str">
        <f aca="false">IF(OR(C19="",I19="",J19="",K19=""),"",IFERROR(((I19*J19+K19)/C19)^(1/5)-1,"n/a"))</f>
        <v/>
      </c>
      <c r="M19" s="62"/>
      <c r="N19" s="66"/>
      <c r="O19" s="172"/>
      <c r="P19" s="66"/>
      <c r="Q19" s="67" t="str">
        <f aca="false">IF(OR(C19="",N19="",O19="",P19=""),"",IFERROR(((N19*O19+P19)/C19)^(1/5)-1,"n/a"))</f>
        <v/>
      </c>
      <c r="R19" s="62"/>
      <c r="S19" s="71" t="str">
        <f aca="false">IF(G19="","",IF(G19&gt;0.1,"PASS","FAIL"))</f>
        <v/>
      </c>
      <c r="T19" s="71" t="str">
        <f aca="false">IF(L19="","",IF(L19&gt;=0,"PASS","FAIL"))</f>
        <v/>
      </c>
      <c r="U19" s="71" t="str">
        <f aca="false">IF(COUNTA(H19,M19,R19)=0,"",IF((COUNTIF(H19,"Likely")+COUNTIF(M19,"Likely")+COUNTIF(R19,"Likely"))=1,"OK","CHECK TAGS"))</f>
        <v/>
      </c>
    </row>
    <row r="20" customFormat="false" ht="15" hidden="false" customHeight="true" outlineLevel="0" collapsed="false">
      <c r="A20" s="61" t="s">
        <v>233</v>
      </c>
      <c r="B20" s="69" t="s">
        <v>498</v>
      </c>
      <c r="C20" s="66" t="n">
        <v>967.17</v>
      </c>
      <c r="D20" s="66" t="n">
        <v>23.11</v>
      </c>
      <c r="E20" s="172" t="n">
        <v>61.48</v>
      </c>
      <c r="F20" s="66" t="n">
        <v>32</v>
      </c>
      <c r="G20" s="67" t="n">
        <f aca="false">IF(OR(C20="",D20="",E20="",F20=""),"",IFERROR(((D20*E20+F20)/C20)^(1/5)-1,"n/a"))</f>
        <v>0.0847777537329333</v>
      </c>
      <c r="H20" s="62" t="s">
        <v>499</v>
      </c>
      <c r="I20" s="66" t="n">
        <v>19.14</v>
      </c>
      <c r="J20" s="172" t="n">
        <v>50</v>
      </c>
      <c r="K20" s="66" t="n">
        <v>28</v>
      </c>
      <c r="L20" s="67" t="n">
        <f aca="false">IF(OR(C20="",I20="",J20="",K20=""),"",IFERROR(((I20*J20+K20)/C20)^(1/5)-1,"n/a"))</f>
        <v>0.00366015400817998</v>
      </c>
      <c r="M20" s="62" t="s">
        <v>499</v>
      </c>
      <c r="N20" s="66" t="n">
        <v>26.51</v>
      </c>
      <c r="O20" s="172" t="n">
        <v>61.48</v>
      </c>
      <c r="P20" s="66" t="n">
        <v>35</v>
      </c>
      <c r="Q20" s="67" t="n">
        <f aca="false">IF(OR(C20="",N20="",O20="",P20=""),"",IFERROR(((N20*O20+P20)/C20)^(1/5)-1,"n/a"))</f>
        <v>0.114740206784953</v>
      </c>
      <c r="R20" s="62" t="s">
        <v>500</v>
      </c>
      <c r="S20" s="71" t="str">
        <f aca="false">IF(G20="","",IF(G20&gt;0.1,"PASS","FAIL"))</f>
        <v>FAIL</v>
      </c>
      <c r="T20" s="71" t="str">
        <f aca="false">IF(L20="","",IF(L20&gt;=0,"PASS","FAIL"))</f>
        <v>PASS</v>
      </c>
      <c r="U20" s="71" t="str">
        <f aca="false">IF(COUNTA(H20,M20,R20)=0,"",IF((COUNTIF(H20,"Likely")+COUNTIF(M20,"Likely")+COUNTIF(R20,"Likely"))=1,"OK","CHECK TAGS"))</f>
        <v>OK</v>
      </c>
    </row>
    <row r="21" customFormat="false" ht="15" hidden="false" customHeight="true" outlineLevel="0" collapsed="false">
      <c r="A21" s="61" t="s">
        <v>118</v>
      </c>
      <c r="B21" s="69" t="s">
        <v>119</v>
      </c>
      <c r="C21" s="66" t="n">
        <v>380.63</v>
      </c>
      <c r="D21" s="66" t="n">
        <v>17.84</v>
      </c>
      <c r="E21" s="172" t="n">
        <v>34.36</v>
      </c>
      <c r="F21" s="66" t="n">
        <v>16</v>
      </c>
      <c r="G21" s="67" t="n">
        <f aca="false">IF(OR(C21="",D21="",E21="",F21=""),"",IFERROR(((D21*E21+F21)/C21)^(1/5)-1,"n/a"))</f>
        <v>0.105673995986338</v>
      </c>
      <c r="H21" s="62" t="s">
        <v>500</v>
      </c>
      <c r="I21" s="66" t="n">
        <v>14.14</v>
      </c>
      <c r="J21" s="172" t="n">
        <v>28</v>
      </c>
      <c r="K21" s="66" t="n">
        <v>14</v>
      </c>
      <c r="L21" s="67" t="n">
        <f aca="false">IF(OR(C21="",I21="",J21="",K21=""),"",IFERROR(((I21*J21+K21)/C21)^(1/5)-1,"n/a"))</f>
        <v>0.0149373117952127</v>
      </c>
      <c r="M21" s="62" t="s">
        <v>499</v>
      </c>
      <c r="N21" s="66" t="n">
        <v>21.33</v>
      </c>
      <c r="O21" s="172" t="n">
        <v>38</v>
      </c>
      <c r="P21" s="66" t="n">
        <v>18</v>
      </c>
      <c r="Q21" s="67" t="n">
        <f aca="false">IF(OR(C21="",N21="",O21="",P21=""),"",IFERROR(((N21*O21+P21)/C21)^(1/5)-1,"n/a"))</f>
        <v>0.168320757920451</v>
      </c>
      <c r="R21" s="62" t="s">
        <v>499</v>
      </c>
      <c r="S21" s="71" t="str">
        <f aca="false">IF(G21="","",IF(G21&gt;0.1,"PASS","FAIL"))</f>
        <v>PASS</v>
      </c>
      <c r="T21" s="71" t="str">
        <f aca="false">IF(L21="","",IF(L21&gt;=0,"PASS","FAIL"))</f>
        <v>PASS</v>
      </c>
      <c r="U21" s="71" t="str">
        <f aca="false">IF(COUNTA(H21,M21,R21)=0,"",IF((COUNTIF(H21,"Likely")+COUNTIF(M21,"Likely")+COUNTIF(R21,"Likely"))=1,"OK","CHECK TAGS"))</f>
        <v>OK</v>
      </c>
    </row>
    <row r="22" customFormat="false" ht="15" hidden="false" customHeight="true" outlineLevel="0" collapsed="false">
      <c r="A22" s="61"/>
      <c r="B22" s="69"/>
      <c r="C22" s="66"/>
      <c r="D22" s="66"/>
      <c r="E22" s="172"/>
      <c r="F22" s="66"/>
      <c r="G22" s="67" t="str">
        <f aca="false">IF(OR(C22="",D22="",E22="",F22=""),"",IFERROR(((D22*E22+F22)/C22)^(1/5)-1,"n/a"))</f>
        <v/>
      </c>
      <c r="H22" s="62"/>
      <c r="I22" s="66"/>
      <c r="J22" s="172"/>
      <c r="K22" s="66"/>
      <c r="L22" s="67" t="str">
        <f aca="false">IF(OR(C22="",I22="",J22="",K22=""),"",IFERROR(((I22*J22+K22)/C22)^(1/5)-1,"n/a"))</f>
        <v/>
      </c>
      <c r="M22" s="62"/>
      <c r="N22" s="66"/>
      <c r="O22" s="172"/>
      <c r="P22" s="66"/>
      <c r="Q22" s="67" t="str">
        <f aca="false">IF(OR(C22="",N22="",O22="",P22=""),"",IFERROR(((N22*O22+P22)/C22)^(1/5)-1,"n/a"))</f>
        <v/>
      </c>
      <c r="R22" s="62"/>
      <c r="S22" s="71" t="str">
        <f aca="false">IF(G22="","",IF(G22&gt;0.1,"PASS","FAIL"))</f>
        <v/>
      </c>
      <c r="T22" s="71" t="str">
        <f aca="false">IF(L22="","",IF(L22&gt;=0,"PASS","FAIL"))</f>
        <v/>
      </c>
      <c r="U22" s="71" t="str">
        <f aca="false">IF(COUNTA(H22,M22,R22)=0,"",IF((COUNTIF(H22,"Likely")+COUNTIF(M22,"Likely")+COUNTIF(R22,"Likely"))=1,"OK","CHECK TAGS"))</f>
        <v/>
      </c>
    </row>
    <row r="23" customFormat="false" ht="15" hidden="false" customHeight="true" outlineLevel="0" collapsed="false">
      <c r="A23" s="61"/>
      <c r="B23" s="69"/>
      <c r="C23" s="66"/>
      <c r="D23" s="66"/>
      <c r="E23" s="172"/>
      <c r="F23" s="66"/>
      <c r="G23" s="67" t="str">
        <f aca="false">IF(OR(C23="",D23="",E23="",F23=""),"",IFERROR(((D23*E23+F23)/C23)^(1/5)-1,"n/a"))</f>
        <v/>
      </c>
      <c r="H23" s="62"/>
      <c r="I23" s="66"/>
      <c r="J23" s="172"/>
      <c r="K23" s="66"/>
      <c r="L23" s="67" t="str">
        <f aca="false">IF(OR(C23="",I23="",J23="",K23=""),"",IFERROR(((I23*J23+K23)/C23)^(1/5)-1,"n/a"))</f>
        <v/>
      </c>
      <c r="M23" s="62"/>
      <c r="N23" s="66"/>
      <c r="O23" s="172"/>
      <c r="P23" s="66"/>
      <c r="Q23" s="67" t="str">
        <f aca="false">IF(OR(C23="",N23="",O23="",P23=""),"",IFERROR(((N23*O23+P23)/C23)^(1/5)-1,"n/a"))</f>
        <v/>
      </c>
      <c r="R23" s="62"/>
      <c r="S23" s="71" t="str">
        <f aca="false">IF(G23="","",IF(G23&gt;0.1,"PASS","FAIL"))</f>
        <v/>
      </c>
      <c r="T23" s="71" t="str">
        <f aca="false">IF(L23="","",IF(L23&gt;=0,"PASS","FAIL"))</f>
        <v/>
      </c>
      <c r="U23" s="71" t="str">
        <f aca="false">IF(COUNTA(H23,M23,R23)=0,"",IF((COUNTIF(H23,"Likely")+COUNTIF(M23,"Likely")+COUNTIF(R23,"Likely"))=1,"OK","CHECK TAGS"))</f>
        <v/>
      </c>
    </row>
    <row r="24" customFormat="false" ht="15" hidden="false" customHeight="true" outlineLevel="0" collapsed="false">
      <c r="A24" s="173"/>
      <c r="B24" s="174"/>
      <c r="C24" s="175"/>
      <c r="D24" s="175"/>
      <c r="E24" s="176"/>
      <c r="F24" s="175"/>
      <c r="G24" s="177" t="str">
        <f aca="false">IF(OR(C24="",D24="",E24="",F24=""),"",IFERROR(((D24*E24+F24)/C24)^(1/5)-1,"n/a"))</f>
        <v/>
      </c>
      <c r="H24" s="178"/>
      <c r="I24" s="175"/>
      <c r="J24" s="176"/>
      <c r="K24" s="175"/>
      <c r="L24" s="177" t="str">
        <f aca="false">IF(OR(C24="",I24="",J24="",K24=""),"",IFERROR(((I24*J24+K24)/C24)^(1/5)-1,"n/a"))</f>
        <v/>
      </c>
      <c r="M24" s="178"/>
      <c r="N24" s="175"/>
      <c r="O24" s="176"/>
      <c r="P24" s="175"/>
      <c r="Q24" s="177" t="str">
        <f aca="false">IF(OR(C24="",N24="",O24="",P24=""),"",IFERROR(((N24*O24+P24)/C24)^(1/5)-1,"n/a"))</f>
        <v/>
      </c>
      <c r="R24" s="178"/>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73"/>
      <c r="B25" s="174"/>
      <c r="C25" s="175"/>
      <c r="D25" s="175"/>
      <c r="E25" s="176"/>
      <c r="F25" s="175"/>
      <c r="G25" s="177" t="str">
        <f aca="false">IF(OR(C25="",D25="",E25="",F25=""),"",IFERROR(((D25*E25+F25)/C25)^(1/5)-1,"n/a"))</f>
        <v/>
      </c>
      <c r="H25" s="178"/>
      <c r="I25" s="175"/>
      <c r="J25" s="176"/>
      <c r="K25" s="175"/>
      <c r="L25" s="177" t="str">
        <f aca="false">IF(OR(C25="",I25="",J25="",K25=""),"",IFERROR(((I25*J25+K25)/C25)^(1/5)-1,"n/a"))</f>
        <v/>
      </c>
      <c r="M25" s="178"/>
      <c r="N25" s="175"/>
      <c r="O25" s="176"/>
      <c r="P25" s="175"/>
      <c r="Q25" s="177" t="str">
        <f aca="false">IF(OR(C25="",N25="",O25="",P25=""),"",IFERROR(((N25*O25+P25)/C25)^(1/5)-1,"n/a"))</f>
        <v/>
      </c>
      <c r="R25" s="178"/>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73"/>
      <c r="B26" s="174"/>
      <c r="C26" s="175"/>
      <c r="D26" s="175"/>
      <c r="E26" s="176"/>
      <c r="F26" s="175"/>
      <c r="G26" s="177" t="str">
        <f aca="false">IF(OR(C26="",D26="",E26="",F26=""),"",IFERROR(((D26*E26+F26)/C26)^(1/5)-1,"n/a"))</f>
        <v/>
      </c>
      <c r="H26" s="178"/>
      <c r="I26" s="175"/>
      <c r="J26" s="176"/>
      <c r="K26" s="175"/>
      <c r="L26" s="177" t="str">
        <f aca="false">IF(OR(C26="",I26="",J26="",K26=""),"",IFERROR(((I26*J26+K26)/C26)^(1/5)-1,"n/a"))</f>
        <v/>
      </c>
      <c r="M26" s="178"/>
      <c r="N26" s="175"/>
      <c r="O26" s="176"/>
      <c r="P26" s="175"/>
      <c r="Q26" s="177" t="str">
        <f aca="false">IF(OR(C26="",N26="",O26="",P26=""),"",IFERROR(((N26*O26+P26)/C26)^(1/5)-1,"n/a"))</f>
        <v/>
      </c>
      <c r="R26" s="178"/>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73"/>
      <c r="B27" s="174"/>
      <c r="C27" s="175"/>
      <c r="D27" s="175"/>
      <c r="E27" s="176"/>
      <c r="F27" s="175"/>
      <c r="G27" s="177" t="str">
        <f aca="false">IF(OR(C27="",D27="",E27="",F27=""),"",IFERROR(((D27*E27+F27)/C27)^(1/5)-1,"n/a"))</f>
        <v/>
      </c>
      <c r="H27" s="178"/>
      <c r="I27" s="175"/>
      <c r="J27" s="176"/>
      <c r="K27" s="175"/>
      <c r="L27" s="177" t="str">
        <f aca="false">IF(OR(C27="",I27="",J27="",K27=""),"",IFERROR(((I27*J27+K27)/C27)^(1/5)-1,"n/a"))</f>
        <v/>
      </c>
      <c r="M27" s="178"/>
      <c r="N27" s="175"/>
      <c r="O27" s="176"/>
      <c r="P27" s="175"/>
      <c r="Q27" s="177" t="str">
        <f aca="false">IF(OR(C27="",N27="",O27="",P27=""),"",IFERROR(((N27*O27+P27)/C27)^(1/5)-1,"n/a"))</f>
        <v/>
      </c>
      <c r="R27" s="178"/>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73"/>
      <c r="B28" s="174"/>
      <c r="C28" s="175"/>
      <c r="D28" s="175"/>
      <c r="E28" s="176"/>
      <c r="F28" s="175"/>
      <c r="G28" s="177" t="str">
        <f aca="false">IF(OR(C28="",D28="",E28="",F28=""),"",IFERROR(((D28*E28+F28)/C28)^(1/5)-1,"n/a"))</f>
        <v/>
      </c>
      <c r="H28" s="178"/>
      <c r="I28" s="175"/>
      <c r="J28" s="176"/>
      <c r="K28" s="175"/>
      <c r="L28" s="177" t="str">
        <f aca="false">IF(OR(C28="",I28="",J28="",K28=""),"",IFERROR(((I28*J28+K28)/C28)^(1/5)-1,"n/a"))</f>
        <v/>
      </c>
      <c r="M28" s="178"/>
      <c r="N28" s="175"/>
      <c r="O28" s="176"/>
      <c r="P28" s="175"/>
      <c r="Q28" s="177" t="str">
        <f aca="false">IF(OR(C28="",N28="",O28="",P28=""),"",IFERROR(((N28*O28+P28)/C28)^(1/5)-1,"n/a"))</f>
        <v/>
      </c>
      <c r="R28" s="178"/>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73"/>
      <c r="B29" s="174"/>
      <c r="C29" s="175"/>
      <c r="D29" s="175"/>
      <c r="E29" s="176"/>
      <c r="F29" s="175"/>
      <c r="G29" s="177" t="str">
        <f aca="false">IF(OR(C29="",D29="",E29="",F29=""),"",IFERROR(((D29*E29+F29)/C29)^(1/5)-1,"n/a"))</f>
        <v/>
      </c>
      <c r="H29" s="178"/>
      <c r="I29" s="175"/>
      <c r="J29" s="176"/>
      <c r="K29" s="175"/>
      <c r="L29" s="177" t="str">
        <f aca="false">IF(OR(C29="",I29="",J29="",K29=""),"",IFERROR(((I29*J29+K29)/C29)^(1/5)-1,"n/a"))</f>
        <v/>
      </c>
      <c r="M29" s="178"/>
      <c r="N29" s="175"/>
      <c r="O29" s="176"/>
      <c r="P29" s="175"/>
      <c r="Q29" s="177" t="str">
        <f aca="false">IF(OR(C29="",N29="",O29="",P29=""),"",IFERROR(((N29*O29+P29)/C29)^(1/5)-1,"n/a"))</f>
        <v/>
      </c>
      <c r="R29" s="178"/>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73"/>
      <c r="B30" s="174"/>
      <c r="C30" s="175"/>
      <c r="D30" s="175"/>
      <c r="E30" s="176"/>
      <c r="F30" s="175"/>
      <c r="G30" s="177" t="str">
        <f aca="false">IF(OR(C30="",D30="",E30="",F30=""),"",IFERROR(((D30*E30+F30)/C30)^(1/5)-1,"n/a"))</f>
        <v/>
      </c>
      <c r="H30" s="178"/>
      <c r="I30" s="175"/>
      <c r="J30" s="176"/>
      <c r="K30" s="175"/>
      <c r="L30" s="177" t="str">
        <f aca="false">IF(OR(C30="",I30="",J30="",K30=""),"",IFERROR(((I30*J30+K30)/C30)^(1/5)-1,"n/a"))</f>
        <v/>
      </c>
      <c r="M30" s="178"/>
      <c r="N30" s="175"/>
      <c r="O30" s="176"/>
      <c r="P30" s="175"/>
      <c r="Q30" s="177" t="str">
        <f aca="false">IF(OR(C30="",N30="",O30="",P30=""),"",IFERROR(((N30*O30+P30)/C30)^(1/5)-1,"n/a"))</f>
        <v/>
      </c>
      <c r="R30" s="178"/>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73"/>
      <c r="B31" s="174"/>
      <c r="C31" s="175"/>
      <c r="D31" s="175"/>
      <c r="E31" s="176"/>
      <c r="F31" s="175"/>
      <c r="G31" s="177" t="str">
        <f aca="false">IF(OR(C31="",D31="",E31="",F31=""),"",IFERROR(((D31*E31+F31)/C31)^(1/5)-1,"n/a"))</f>
        <v/>
      </c>
      <c r="H31" s="178"/>
      <c r="I31" s="175"/>
      <c r="J31" s="176"/>
      <c r="K31" s="175"/>
      <c r="L31" s="177" t="str">
        <f aca="false">IF(OR(C31="",I31="",J31="",K31=""),"",IFERROR(((I31*J31+K31)/C31)^(1/5)-1,"n/a"))</f>
        <v/>
      </c>
      <c r="M31" s="178"/>
      <c r="N31" s="175"/>
      <c r="O31" s="176"/>
      <c r="P31" s="175"/>
      <c r="Q31" s="177" t="str">
        <f aca="false">IF(OR(C31="",N31="",O31="",P31=""),"",IFERROR(((N31*O31+P31)/C31)^(1/5)-1,"n/a"))</f>
        <v/>
      </c>
      <c r="R31" s="178"/>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73"/>
      <c r="B32" s="174"/>
      <c r="C32" s="175"/>
      <c r="D32" s="175"/>
      <c r="E32" s="176"/>
      <c r="F32" s="175"/>
      <c r="G32" s="177" t="str">
        <f aca="false">IF(OR(C32="",D32="",E32="",F32=""),"",IFERROR(((D32*E32+F32)/C32)^(1/5)-1,"n/a"))</f>
        <v/>
      </c>
      <c r="H32" s="178"/>
      <c r="I32" s="175"/>
      <c r="J32" s="176"/>
      <c r="K32" s="175"/>
      <c r="L32" s="177" t="str">
        <f aca="false">IF(OR(C32="",I32="",J32="",K32=""),"",IFERROR(((I32*J32+K32)/C32)^(1/5)-1,"n/a"))</f>
        <v/>
      </c>
      <c r="M32" s="178"/>
      <c r="N32" s="175"/>
      <c r="O32" s="176"/>
      <c r="P32" s="175"/>
      <c r="Q32" s="177" t="str">
        <f aca="false">IF(OR(C32="",N32="",O32="",P32=""),"",IFERROR(((N32*O32+P32)/C32)^(1/5)-1,"n/a"))</f>
        <v/>
      </c>
      <c r="R32" s="178"/>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73"/>
      <c r="B33" s="174"/>
      <c r="C33" s="175"/>
      <c r="D33" s="175"/>
      <c r="E33" s="176"/>
      <c r="F33" s="175"/>
      <c r="G33" s="177" t="str">
        <f aca="false">IF(OR(C33="",D33="",E33="",F33=""),"",IFERROR(((D33*E33+F33)/C33)^(1/5)-1,"n/a"))</f>
        <v/>
      </c>
      <c r="H33" s="178"/>
      <c r="I33" s="175"/>
      <c r="J33" s="176"/>
      <c r="K33" s="175"/>
      <c r="L33" s="177" t="str">
        <f aca="false">IF(OR(C33="",I33="",J33="",K33=""),"",IFERROR(((I33*J33+K33)/C33)^(1/5)-1,"n/a"))</f>
        <v/>
      </c>
      <c r="M33" s="178"/>
      <c r="N33" s="175"/>
      <c r="O33" s="176"/>
      <c r="P33" s="175"/>
      <c r="Q33" s="177" t="str">
        <f aca="false">IF(OR(C33="",N33="",O33="",P33=""),"",IFERROR(((N33*O33+P33)/C33)^(1/5)-1,"n/a"))</f>
        <v/>
      </c>
      <c r="R33" s="178"/>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73"/>
      <c r="B34" s="174"/>
      <c r="C34" s="175"/>
      <c r="D34" s="175"/>
      <c r="E34" s="176"/>
      <c r="F34" s="175"/>
      <c r="G34" s="177" t="str">
        <f aca="false">IF(OR(C34="",D34="",E34="",F34=""),"",IFERROR(((D34*E34+F34)/C34)^(1/5)-1,"n/a"))</f>
        <v/>
      </c>
      <c r="H34" s="178"/>
      <c r="I34" s="175"/>
      <c r="J34" s="176"/>
      <c r="K34" s="175"/>
      <c r="L34" s="177" t="str">
        <f aca="false">IF(OR(C34="",I34="",J34="",K34=""),"",IFERROR(((I34*J34+K34)/C34)^(1/5)-1,"n/a"))</f>
        <v/>
      </c>
      <c r="M34" s="178"/>
      <c r="N34" s="175"/>
      <c r="O34" s="176"/>
      <c r="P34" s="175"/>
      <c r="Q34" s="177" t="str">
        <f aca="false">IF(OR(C34="",N34="",O34="",P34=""),"",IFERROR(((N34*O34+P34)/C34)^(1/5)-1,"n/a"))</f>
        <v/>
      </c>
      <c r="R34" s="178"/>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73"/>
      <c r="B35" s="174"/>
      <c r="C35" s="175"/>
      <c r="D35" s="175"/>
      <c r="E35" s="176"/>
      <c r="F35" s="175"/>
      <c r="G35" s="177" t="str">
        <f aca="false">IF(OR(C35="",D35="",E35="",F35=""),"",IFERROR(((D35*E35+F35)/C35)^(1/5)-1,"n/a"))</f>
        <v/>
      </c>
      <c r="H35" s="178"/>
      <c r="I35" s="175"/>
      <c r="J35" s="176"/>
      <c r="K35" s="175"/>
      <c r="L35" s="177" t="str">
        <f aca="false">IF(OR(C35="",I35="",J35="",K35=""),"",IFERROR(((I35*J35+K35)/C35)^(1/5)-1,"n/a"))</f>
        <v/>
      </c>
      <c r="M35" s="178"/>
      <c r="N35" s="175"/>
      <c r="O35" s="176"/>
      <c r="P35" s="175"/>
      <c r="Q35" s="177" t="str">
        <f aca="false">IF(OR(C35="",N35="",O35="",P35=""),"",IFERROR(((N35*O35+P35)/C35)^(1/5)-1,"n/a"))</f>
        <v/>
      </c>
      <c r="R35" s="178"/>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73"/>
      <c r="B36" s="174"/>
      <c r="C36" s="175"/>
      <c r="D36" s="175"/>
      <c r="E36" s="176"/>
      <c r="F36" s="175"/>
      <c r="G36" s="177" t="str">
        <f aca="false">IF(OR(C36="",D36="",E36="",F36=""),"",IFERROR(((D36*E36+F36)/C36)^(1/5)-1,"n/a"))</f>
        <v/>
      </c>
      <c r="H36" s="178"/>
      <c r="I36" s="175"/>
      <c r="J36" s="176"/>
      <c r="K36" s="175"/>
      <c r="L36" s="177" t="str">
        <f aca="false">IF(OR(C36="",I36="",J36="",K36=""),"",IFERROR(((I36*J36+K36)/C36)^(1/5)-1,"n/a"))</f>
        <v/>
      </c>
      <c r="M36" s="178"/>
      <c r="N36" s="175"/>
      <c r="O36" s="176"/>
      <c r="P36" s="175"/>
      <c r="Q36" s="177" t="str">
        <f aca="false">IF(OR(C36="",N36="",O36="",P36=""),"",IFERROR(((N36*O36+P36)/C36)^(1/5)-1,"n/a"))</f>
        <v/>
      </c>
      <c r="R36" s="178"/>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73"/>
      <c r="B37" s="174"/>
      <c r="C37" s="175"/>
      <c r="D37" s="175"/>
      <c r="E37" s="176"/>
      <c r="F37" s="175"/>
      <c r="G37" s="177" t="str">
        <f aca="false">IF(OR(C37="",D37="",E37="",F37=""),"",IFERROR(((D37*E37+F37)/C37)^(1/5)-1,"n/a"))</f>
        <v/>
      </c>
      <c r="H37" s="178"/>
      <c r="I37" s="175"/>
      <c r="J37" s="176"/>
      <c r="K37" s="175"/>
      <c r="L37" s="177" t="str">
        <f aca="false">IF(OR(C37="",I37="",J37="",K37=""),"",IFERROR(((I37*J37+K37)/C37)^(1/5)-1,"n/a"))</f>
        <v/>
      </c>
      <c r="M37" s="178"/>
      <c r="N37" s="175"/>
      <c r="O37" s="176"/>
      <c r="P37" s="175"/>
      <c r="Q37" s="177" t="str">
        <f aca="false">IF(OR(C37="",N37="",O37="",P37=""),"",IFERROR(((N37*O37+P37)/C37)^(1/5)-1,"n/a"))</f>
        <v/>
      </c>
      <c r="R37" s="178"/>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73"/>
      <c r="B38" s="174"/>
      <c r="C38" s="175"/>
      <c r="D38" s="175"/>
      <c r="E38" s="176"/>
      <c r="F38" s="175"/>
      <c r="G38" s="177" t="str">
        <f aca="false">IF(OR(C38="",D38="",E38="",F38=""),"",IFERROR(((D38*E38+F38)/C38)^(1/5)-1,"n/a"))</f>
        <v/>
      </c>
      <c r="H38" s="178"/>
      <c r="I38" s="175"/>
      <c r="J38" s="176"/>
      <c r="K38" s="175"/>
      <c r="L38" s="177" t="str">
        <f aca="false">IF(OR(C38="",I38="",J38="",K38=""),"",IFERROR(((I38*J38+K38)/C38)^(1/5)-1,"n/a"))</f>
        <v/>
      </c>
      <c r="M38" s="178"/>
      <c r="N38" s="175"/>
      <c r="O38" s="176"/>
      <c r="P38" s="175"/>
      <c r="Q38" s="177" t="str">
        <f aca="false">IF(OR(C38="",N38="",O38="",P38=""),"",IFERROR(((N38*O38+P38)/C38)^(1/5)-1,"n/a"))</f>
        <v/>
      </c>
      <c r="R38" s="178"/>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73"/>
      <c r="B39" s="174"/>
      <c r="C39" s="175"/>
      <c r="D39" s="175"/>
      <c r="E39" s="176"/>
      <c r="F39" s="175"/>
      <c r="G39" s="177" t="str">
        <f aca="false">IF(OR(C39="",D39="",E39="",F39=""),"",IFERROR(((D39*E39+F39)/C39)^(1/5)-1,"n/a"))</f>
        <v/>
      </c>
      <c r="H39" s="178"/>
      <c r="I39" s="175"/>
      <c r="J39" s="176"/>
      <c r="K39" s="175"/>
      <c r="L39" s="177" t="str">
        <f aca="false">IF(OR(C39="",I39="",J39="",K39=""),"",IFERROR(((I39*J39+K39)/C39)^(1/5)-1,"n/a"))</f>
        <v/>
      </c>
      <c r="M39" s="178"/>
      <c r="N39" s="175"/>
      <c r="O39" s="176"/>
      <c r="P39" s="175"/>
      <c r="Q39" s="177" t="str">
        <f aca="false">IF(OR(C39="",N39="",O39="",P39=""),"",IFERROR(((N39*O39+P39)/C39)^(1/5)-1,"n/a"))</f>
        <v/>
      </c>
      <c r="R39" s="178"/>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73"/>
      <c r="B40" s="174"/>
      <c r="C40" s="175"/>
      <c r="D40" s="175"/>
      <c r="E40" s="176"/>
      <c r="F40" s="175"/>
      <c r="G40" s="177" t="str">
        <f aca="false">IF(OR(C40="",D40="",E40="",F40=""),"",IFERROR(((D40*E40+F40)/C40)^(1/5)-1,"n/a"))</f>
        <v/>
      </c>
      <c r="H40" s="178"/>
      <c r="I40" s="175"/>
      <c r="J40" s="176"/>
      <c r="K40" s="175"/>
      <c r="L40" s="177" t="str">
        <f aca="false">IF(OR(C40="",I40="",J40="",K40=""),"",IFERROR(((I40*J40+K40)/C40)^(1/5)-1,"n/a"))</f>
        <v/>
      </c>
      <c r="M40" s="178"/>
      <c r="N40" s="175"/>
      <c r="O40" s="176"/>
      <c r="P40" s="175"/>
      <c r="Q40" s="177" t="str">
        <f aca="false">IF(OR(C40="",N40="",O40="",P40=""),"",IFERROR(((N40*O40+P40)/C40)^(1/5)-1,"n/a"))</f>
        <v/>
      </c>
      <c r="R40" s="178"/>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73"/>
      <c r="B41" s="174"/>
      <c r="C41" s="175"/>
      <c r="D41" s="175"/>
      <c r="E41" s="176"/>
      <c r="F41" s="175"/>
      <c r="G41" s="177" t="str">
        <f aca="false">IF(OR(C41="",D41="",E41="",F41=""),"",IFERROR(((D41*E41+F41)/C41)^(1/5)-1,"n/a"))</f>
        <v/>
      </c>
      <c r="H41" s="178"/>
      <c r="I41" s="175"/>
      <c r="J41" s="176"/>
      <c r="K41" s="175"/>
      <c r="L41" s="177" t="str">
        <f aca="false">IF(OR(C41="",I41="",J41="",K41=""),"",IFERROR(((I41*J41+K41)/C41)^(1/5)-1,"n/a"))</f>
        <v/>
      </c>
      <c r="M41" s="178"/>
      <c r="N41" s="175"/>
      <c r="O41" s="176"/>
      <c r="P41" s="175"/>
      <c r="Q41" s="177" t="str">
        <f aca="false">IF(OR(C41="",N41="",O41="",P41=""),"",IFERROR(((N41*O41+P41)/C41)^(1/5)-1,"n/a"))</f>
        <v/>
      </c>
      <c r="R41" s="178"/>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73"/>
      <c r="B42" s="174"/>
      <c r="C42" s="175"/>
      <c r="D42" s="175"/>
      <c r="E42" s="176"/>
      <c r="F42" s="175"/>
      <c r="G42" s="177" t="str">
        <f aca="false">IF(OR(C42="",D42="",E42="",F42=""),"",IFERROR(((D42*E42+F42)/C42)^(1/5)-1,"n/a"))</f>
        <v/>
      </c>
      <c r="H42" s="178"/>
      <c r="I42" s="175"/>
      <c r="J42" s="176"/>
      <c r="K42" s="175"/>
      <c r="L42" s="177" t="str">
        <f aca="false">IF(OR(C42="",I42="",J42="",K42=""),"",IFERROR(((I42*J42+K42)/C42)^(1/5)-1,"n/a"))</f>
        <v/>
      </c>
      <c r="M42" s="178"/>
      <c r="N42" s="175"/>
      <c r="O42" s="176"/>
      <c r="P42" s="175"/>
      <c r="Q42" s="177" t="str">
        <f aca="false">IF(OR(C42="",N42="",O42="",P42=""),"",IFERROR(((N42*O42+P42)/C42)^(1/5)-1,"n/a"))</f>
        <v/>
      </c>
      <c r="R42" s="178"/>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73"/>
      <c r="B43" s="174"/>
      <c r="C43" s="175"/>
      <c r="D43" s="175"/>
      <c r="E43" s="176"/>
      <c r="F43" s="175"/>
      <c r="G43" s="177" t="str">
        <f aca="false">IF(OR(C43="",D43="",E43="",F43=""),"",IFERROR(((D43*E43+F43)/C43)^(1/5)-1,"n/a"))</f>
        <v/>
      </c>
      <c r="H43" s="178"/>
      <c r="I43" s="175"/>
      <c r="J43" s="176"/>
      <c r="K43" s="175"/>
      <c r="L43" s="177" t="str">
        <f aca="false">IF(OR(C43="",I43="",J43="",K43=""),"",IFERROR(((I43*J43+K43)/C43)^(1/5)-1,"n/a"))</f>
        <v/>
      </c>
      <c r="M43" s="178"/>
      <c r="N43" s="175"/>
      <c r="O43" s="176"/>
      <c r="P43" s="175"/>
      <c r="Q43" s="177" t="str">
        <f aca="false">IF(OR(C43="",N43="",O43="",P43=""),"",IFERROR(((N43*O43+P43)/C43)^(1/5)-1,"n/a"))</f>
        <v/>
      </c>
      <c r="R43" s="178"/>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73"/>
      <c r="B44" s="174"/>
      <c r="C44" s="175"/>
      <c r="D44" s="175"/>
      <c r="E44" s="176"/>
      <c r="F44" s="175"/>
      <c r="G44" s="177" t="str">
        <f aca="false">IF(OR(C44="",D44="",E44="",F44=""),"",IFERROR(((D44*E44+F44)/C44)^(1/5)-1,"n/a"))</f>
        <v/>
      </c>
      <c r="H44" s="178"/>
      <c r="I44" s="175"/>
      <c r="J44" s="176"/>
      <c r="K44" s="175"/>
      <c r="L44" s="177" t="str">
        <f aca="false">IF(OR(C44="",I44="",J44="",K44=""),"",IFERROR(((I44*J44+K44)/C44)^(1/5)-1,"n/a"))</f>
        <v/>
      </c>
      <c r="M44" s="178"/>
      <c r="N44" s="175"/>
      <c r="O44" s="176"/>
      <c r="P44" s="175"/>
      <c r="Q44" s="177" t="str">
        <f aca="false">IF(OR(C44="",N44="",O44="",P44=""),"",IFERROR(((N44*O44+P44)/C44)^(1/5)-1,"n/a"))</f>
        <v/>
      </c>
      <c r="R44" s="178"/>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73"/>
      <c r="B45" s="174"/>
      <c r="C45" s="175"/>
      <c r="D45" s="175"/>
      <c r="E45" s="176"/>
      <c r="F45" s="175"/>
      <c r="G45" s="177" t="str">
        <f aca="false">IF(OR(C45="",D45="",E45="",F45=""),"",IFERROR(((D45*E45+F45)/C45)^(1/5)-1,"n/a"))</f>
        <v/>
      </c>
      <c r="H45" s="178"/>
      <c r="I45" s="175"/>
      <c r="J45" s="176"/>
      <c r="K45" s="175"/>
      <c r="L45" s="177" t="str">
        <f aca="false">IF(OR(C45="",I45="",J45="",K45=""),"",IFERROR(((I45*J45+K45)/C45)^(1/5)-1,"n/a"))</f>
        <v/>
      </c>
      <c r="M45" s="178"/>
      <c r="N45" s="175"/>
      <c r="O45" s="176"/>
      <c r="P45" s="175"/>
      <c r="Q45" s="177" t="str">
        <f aca="false">IF(OR(C45="",N45="",O45="",P45=""),"",IFERROR(((N45*O45+P45)/C45)^(1/5)-1,"n/a"))</f>
        <v/>
      </c>
      <c r="R45" s="178"/>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73"/>
      <c r="B46" s="174"/>
      <c r="C46" s="175"/>
      <c r="D46" s="175"/>
      <c r="E46" s="176"/>
      <c r="F46" s="175"/>
      <c r="G46" s="177" t="str">
        <f aca="false">IF(OR(C46="",D46="",E46="",F46=""),"",IFERROR(((D46*E46+F46)/C46)^(1/5)-1,"n/a"))</f>
        <v/>
      </c>
      <c r="H46" s="178"/>
      <c r="I46" s="175"/>
      <c r="J46" s="176"/>
      <c r="K46" s="175"/>
      <c r="L46" s="177" t="str">
        <f aca="false">IF(OR(C46="",I46="",J46="",K46=""),"",IFERROR(((I46*J46+K46)/C46)^(1/5)-1,"n/a"))</f>
        <v/>
      </c>
      <c r="M46" s="178"/>
      <c r="N46" s="175"/>
      <c r="O46" s="176"/>
      <c r="P46" s="175"/>
      <c r="Q46" s="177" t="str">
        <f aca="false">IF(OR(C46="",N46="",O46="",P46=""),"",IFERROR(((N46*O46+P46)/C46)^(1/5)-1,"n/a"))</f>
        <v/>
      </c>
      <c r="R46" s="178"/>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73"/>
      <c r="B47" s="174"/>
      <c r="C47" s="175"/>
      <c r="D47" s="175"/>
      <c r="E47" s="176"/>
      <c r="F47" s="175"/>
      <c r="G47" s="177" t="str">
        <f aca="false">IF(OR(C47="",D47="",E47="",F47=""),"",IFERROR(((D47*E47+F47)/C47)^(1/5)-1,"n/a"))</f>
        <v/>
      </c>
      <c r="H47" s="178"/>
      <c r="I47" s="175"/>
      <c r="J47" s="176"/>
      <c r="K47" s="175"/>
      <c r="L47" s="177" t="str">
        <f aca="false">IF(OR(C47="",I47="",J47="",K47=""),"",IFERROR(((I47*J47+K47)/C47)^(1/5)-1,"n/a"))</f>
        <v/>
      </c>
      <c r="M47" s="178"/>
      <c r="N47" s="175"/>
      <c r="O47" s="176"/>
      <c r="P47" s="175"/>
      <c r="Q47" s="177" t="str">
        <f aca="false">IF(OR(C47="",N47="",O47="",P47=""),"",IFERROR(((N47*O47+P47)/C47)^(1/5)-1,"n/a"))</f>
        <v/>
      </c>
      <c r="R47" s="178"/>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73"/>
      <c r="B48" s="174"/>
      <c r="C48" s="175"/>
      <c r="D48" s="175"/>
      <c r="E48" s="176"/>
      <c r="F48" s="175"/>
      <c r="G48" s="177" t="str">
        <f aca="false">IF(OR(C48="",D48="",E48="",F48=""),"",IFERROR(((D48*E48+F48)/C48)^(1/5)-1,"n/a"))</f>
        <v/>
      </c>
      <c r="H48" s="178"/>
      <c r="I48" s="175"/>
      <c r="J48" s="176"/>
      <c r="K48" s="175"/>
      <c r="L48" s="177" t="str">
        <f aca="false">IF(OR(C48="",I48="",J48="",K48=""),"",IFERROR(((I48*J48+K48)/C48)^(1/5)-1,"n/a"))</f>
        <v/>
      </c>
      <c r="M48" s="178"/>
      <c r="N48" s="175"/>
      <c r="O48" s="176"/>
      <c r="P48" s="175"/>
      <c r="Q48" s="177" t="str">
        <f aca="false">IF(OR(C48="",N48="",O48="",P48=""),"",IFERROR(((N48*O48+P48)/C48)^(1/5)-1,"n/a"))</f>
        <v/>
      </c>
      <c r="R48" s="178"/>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73"/>
      <c r="B49" s="174"/>
      <c r="C49" s="175"/>
      <c r="D49" s="175"/>
      <c r="E49" s="176"/>
      <c r="F49" s="175"/>
      <c r="G49" s="177" t="str">
        <f aca="false">IF(OR(C49="",D49="",E49="",F49=""),"",IFERROR(((D49*E49+F49)/C49)^(1/5)-1,"n/a"))</f>
        <v/>
      </c>
      <c r="H49" s="178"/>
      <c r="I49" s="175"/>
      <c r="J49" s="176"/>
      <c r="K49" s="175"/>
      <c r="L49" s="177" t="str">
        <f aca="false">IF(OR(C49="",I49="",J49="",K49=""),"",IFERROR(((I49*J49+K49)/C49)^(1/5)-1,"n/a"))</f>
        <v/>
      </c>
      <c r="M49" s="178"/>
      <c r="N49" s="175"/>
      <c r="O49" s="176"/>
      <c r="P49" s="175"/>
      <c r="Q49" s="177" t="str">
        <f aca="false">IF(OR(C49="",N49="",O49="",P49=""),"",IFERROR(((N49*O49+P49)/C49)^(1/5)-1,"n/a"))</f>
        <v/>
      </c>
      <c r="R49" s="178"/>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73"/>
      <c r="B50" s="174"/>
      <c r="C50" s="175"/>
      <c r="D50" s="175"/>
      <c r="E50" s="176"/>
      <c r="F50" s="175"/>
      <c r="G50" s="177" t="str">
        <f aca="false">IF(OR(C50="",D50="",E50="",F50=""),"",IFERROR(((D50*E50+F50)/C50)^(1/5)-1,"n/a"))</f>
        <v/>
      </c>
      <c r="H50" s="178"/>
      <c r="I50" s="175"/>
      <c r="J50" s="176"/>
      <c r="K50" s="175"/>
      <c r="L50" s="177" t="str">
        <f aca="false">IF(OR(C50="",I50="",J50="",K50=""),"",IFERROR(((I50*J50+K50)/C50)^(1/5)-1,"n/a"))</f>
        <v/>
      </c>
      <c r="M50" s="178"/>
      <c r="N50" s="175"/>
      <c r="O50" s="176"/>
      <c r="P50" s="175"/>
      <c r="Q50" s="177" t="str">
        <f aca="false">IF(OR(C50="",N50="",O50="",P50=""),"",IFERROR(((N50*O50+P50)/C50)^(1/5)-1,"n/a"))</f>
        <v/>
      </c>
      <c r="R50" s="178"/>
      <c r="S50" s="1" t="str">
        <f aca="false">IF(G50="","",IF(G50&gt;0.1,"PASS","FAIL"))</f>
        <v/>
      </c>
      <c r="T50" s="1" t="str">
        <f aca="false">IF(L50="","",IF(L50&gt;=0,"PASS","FAIL"))</f>
        <v/>
      </c>
      <c r="U50" s="1" t="str">
        <f aca="false">IF(COUNTA(H50,M50,R50)=0,"",IF((COUNTIF(H50,"Likely")+COUNTIF(M50,"Likely")+COUNTIF(R50,"Likely"))=1,"OK","CHECK TAGS"))</f>
        <v/>
      </c>
    </row>
  </sheetData>
  <mergeCells count="4">
    <mergeCell ref="D2:H2"/>
    <mergeCell ref="I2:M2"/>
    <mergeCell ref="N2:R2"/>
    <mergeCell ref="S2:U2"/>
  </mergeCells>
  <conditionalFormatting sqref="S4:T50">
    <cfRule type="cellIs" priority="2" operator="equal" aboveAverage="0" equalAverage="0" bottom="0" percent="0" rank="0" text="" dxfId="17">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7">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E15" activeCellId="0" sqref="E15"/>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8"/>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179" t="s">
        <v>501</v>
      </c>
      <c r="B1" s="179"/>
      <c r="C1" s="179"/>
      <c r="D1" s="179"/>
      <c r="E1" s="179"/>
      <c r="F1" s="179"/>
      <c r="G1" s="179"/>
      <c r="H1" s="179"/>
      <c r="I1" s="179"/>
      <c r="J1" s="179"/>
      <c r="K1" s="179"/>
      <c r="L1" s="179"/>
      <c r="M1" s="179"/>
      <c r="N1" s="179"/>
      <c r="O1" s="179"/>
      <c r="P1" s="179"/>
      <c r="Q1" s="179"/>
      <c r="R1" s="179"/>
      <c r="S1" s="179"/>
      <c r="T1" s="179"/>
      <c r="U1" s="180"/>
      <c r="V1" s="180"/>
    </row>
    <row r="2" customFormat="false" ht="25.5" hidden="false" customHeight="true" outlineLevel="0" collapsed="false">
      <c r="E2" s="106" t="s">
        <v>502</v>
      </c>
      <c r="F2" s="106"/>
      <c r="G2" s="106"/>
      <c r="H2" s="106"/>
      <c r="I2" s="106"/>
      <c r="J2" s="106"/>
      <c r="K2" s="106"/>
      <c r="L2" s="106"/>
      <c r="M2" s="106"/>
      <c r="N2" s="106"/>
      <c r="O2" s="106"/>
      <c r="P2" s="106"/>
      <c r="Q2" s="106"/>
      <c r="R2" s="106"/>
      <c r="S2" s="106"/>
      <c r="T2" s="181" t="s">
        <v>503</v>
      </c>
      <c r="U2" s="181"/>
      <c r="V2" s="181"/>
      <c r="W2" s="181"/>
      <c r="X2" s="181"/>
      <c r="Y2" s="181"/>
      <c r="Z2" s="181"/>
    </row>
    <row r="3" customFormat="false" ht="54" hidden="false" customHeight="true" outlineLevel="0" collapsed="false">
      <c r="A3" s="108" t="s">
        <v>81</v>
      </c>
      <c r="B3" s="108" t="s">
        <v>280</v>
      </c>
      <c r="C3" s="108" t="s">
        <v>504</v>
      </c>
      <c r="D3" s="108" t="s">
        <v>505</v>
      </c>
      <c r="E3" s="108" t="s">
        <v>506</v>
      </c>
      <c r="F3" s="108" t="s">
        <v>507</v>
      </c>
      <c r="G3" s="108" t="s">
        <v>508</v>
      </c>
      <c r="H3" s="108" t="s">
        <v>509</v>
      </c>
      <c r="I3" s="108" t="s">
        <v>510</v>
      </c>
      <c r="J3" s="108" t="s">
        <v>508</v>
      </c>
      <c r="K3" s="108" t="s">
        <v>511</v>
      </c>
      <c r="L3" s="108" t="s">
        <v>512</v>
      </c>
      <c r="M3" s="108" t="s">
        <v>508</v>
      </c>
      <c r="N3" s="108" t="s">
        <v>513</v>
      </c>
      <c r="O3" s="108" t="s">
        <v>514</v>
      </c>
      <c r="P3" s="108" t="s">
        <v>508</v>
      </c>
      <c r="Q3" s="108" t="s">
        <v>515</v>
      </c>
      <c r="R3" s="108" t="s">
        <v>516</v>
      </c>
      <c r="S3" s="108" t="s">
        <v>508</v>
      </c>
      <c r="T3" s="108" t="s">
        <v>517</v>
      </c>
      <c r="U3" s="108" t="s">
        <v>518</v>
      </c>
      <c r="V3" s="108" t="s">
        <v>519</v>
      </c>
      <c r="W3" s="108" t="s">
        <v>520</v>
      </c>
      <c r="X3" s="108" t="s">
        <v>521</v>
      </c>
      <c r="Y3" s="108" t="s">
        <v>522</v>
      </c>
      <c r="Z3" s="108" t="s">
        <v>523</v>
      </c>
      <c r="AA3" s="108" t="s">
        <v>524</v>
      </c>
      <c r="AB3" s="108" t="s">
        <v>479</v>
      </c>
    </row>
    <row r="4" customFormat="false" ht="15" hidden="false" customHeight="true" outlineLevel="0" collapsed="false">
      <c r="A4" s="182"/>
      <c r="B4" s="117"/>
      <c r="C4" s="183"/>
      <c r="D4" s="183"/>
      <c r="E4" s="117"/>
      <c r="F4" s="117"/>
      <c r="G4" s="184" t="str">
        <f aca="false">IF(OR(E4="",F4=""),"",IF(AND(E4&lt;=2,F4&lt;=2),"TRIGGER","OK"))</f>
        <v/>
      </c>
      <c r="H4" s="117"/>
      <c r="I4" s="117"/>
      <c r="J4" s="184" t="str">
        <f aca="false">IF(OR(H4="",I4=""),"",IF(AND(H4&lt;=2,I4&lt;=2),"TRIGGER","OK"))</f>
        <v/>
      </c>
      <c r="K4" s="117"/>
      <c r="L4" s="117"/>
      <c r="M4" s="184" t="str">
        <f aca="false">IF(OR(K4="",L4=""),"",IF(AND(K4&lt;=2,L4&lt;=2),"TRIGGER","OK"))</f>
        <v/>
      </c>
      <c r="N4" s="117"/>
      <c r="O4" s="117"/>
      <c r="P4" s="184" t="str">
        <f aca="false">IF(OR(N4="",O4=""),"",IF(AND(N4&lt;=2,O4&lt;=2),"TRIGGER","OK"))</f>
        <v/>
      </c>
      <c r="Q4" s="117"/>
      <c r="R4" s="117"/>
      <c r="S4" s="184" t="str">
        <f aca="false">IF(OR(Q4="",R4=""),"",IF(AND(Q4&lt;=2,R4&lt;=2),"TRIGGER","OK"))</f>
        <v/>
      </c>
      <c r="T4" s="185"/>
      <c r="U4" s="185"/>
      <c r="V4" s="183"/>
      <c r="W4" s="183"/>
      <c r="X4" s="117"/>
      <c r="Y4" s="117"/>
      <c r="Z4" s="184"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17"/>
      <c r="AB4" s="122"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182"/>
      <c r="B5" s="117"/>
      <c r="C5" s="183"/>
      <c r="D5" s="183"/>
      <c r="E5" s="117"/>
      <c r="F5" s="117"/>
      <c r="G5" s="184" t="str">
        <f aca="false">IF(OR(E5="",F5=""),"",IF(AND(E5&lt;=2,F5&lt;=2),"TRIGGER","OK"))</f>
        <v/>
      </c>
      <c r="H5" s="117"/>
      <c r="I5" s="117"/>
      <c r="J5" s="184" t="str">
        <f aca="false">IF(OR(H5="",I5=""),"",IF(AND(H5&lt;=2,I5&lt;=2),"TRIGGER","OK"))</f>
        <v/>
      </c>
      <c r="K5" s="117"/>
      <c r="L5" s="117"/>
      <c r="M5" s="184" t="str">
        <f aca="false">IF(OR(K5="",L5=""),"",IF(AND(K5&lt;=2,L5&lt;=2),"TRIGGER","OK"))</f>
        <v/>
      </c>
      <c r="N5" s="117"/>
      <c r="O5" s="117"/>
      <c r="P5" s="184" t="str">
        <f aca="false">IF(OR(N5="",O5=""),"",IF(AND(N5&lt;=2,O5&lt;=2),"TRIGGER","OK"))</f>
        <v/>
      </c>
      <c r="Q5" s="117"/>
      <c r="R5" s="117"/>
      <c r="S5" s="184" t="str">
        <f aca="false">IF(OR(Q5="",R5=""),"",IF(AND(Q5&lt;=2,R5&lt;=2),"TRIGGER","OK"))</f>
        <v/>
      </c>
      <c r="T5" s="185"/>
      <c r="U5" s="185"/>
      <c r="V5" s="183"/>
      <c r="W5" s="183"/>
      <c r="X5" s="117"/>
      <c r="Y5" s="117"/>
      <c r="Z5" s="184"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17"/>
      <c r="AB5" s="122"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182"/>
      <c r="B6" s="117"/>
      <c r="C6" s="183"/>
      <c r="D6" s="183"/>
      <c r="E6" s="117"/>
      <c r="F6" s="117"/>
      <c r="G6" s="184" t="str">
        <f aca="false">IF(OR(E6="",F6=""),"",IF(AND(E6&lt;=2,F6&lt;=2),"TRIGGER","OK"))</f>
        <v/>
      </c>
      <c r="H6" s="117"/>
      <c r="I6" s="117"/>
      <c r="J6" s="184" t="str">
        <f aca="false">IF(OR(H6="",I6=""),"",IF(AND(H6&lt;=2,I6&lt;=2),"TRIGGER","OK"))</f>
        <v/>
      </c>
      <c r="K6" s="117"/>
      <c r="L6" s="117"/>
      <c r="M6" s="184" t="str">
        <f aca="false">IF(OR(K6="",L6=""),"",IF(AND(K6&lt;=2,L6&lt;=2),"TRIGGER","OK"))</f>
        <v/>
      </c>
      <c r="N6" s="117"/>
      <c r="O6" s="117"/>
      <c r="P6" s="184" t="str">
        <f aca="false">IF(OR(N6="",O6=""),"",IF(AND(N6&lt;=2,O6&lt;=2),"TRIGGER","OK"))</f>
        <v/>
      </c>
      <c r="Q6" s="117"/>
      <c r="R6" s="117"/>
      <c r="S6" s="184" t="str">
        <f aca="false">IF(OR(Q6="",R6=""),"",IF(AND(Q6&lt;=2,R6&lt;=2),"TRIGGER","OK"))</f>
        <v/>
      </c>
      <c r="T6" s="185"/>
      <c r="U6" s="185"/>
      <c r="V6" s="183"/>
      <c r="W6" s="183"/>
      <c r="X6" s="117"/>
      <c r="Y6" s="117"/>
      <c r="Z6" s="184"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17"/>
      <c r="AB6" s="122"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182"/>
      <c r="B7" s="117"/>
      <c r="C7" s="183"/>
      <c r="D7" s="183"/>
      <c r="E7" s="117"/>
      <c r="F7" s="117"/>
      <c r="G7" s="184" t="str">
        <f aca="false">IF(OR(E7="",F7=""),"",IF(AND(E7&lt;=2,F7&lt;=2),"TRIGGER","OK"))</f>
        <v/>
      </c>
      <c r="H7" s="117"/>
      <c r="I7" s="117"/>
      <c r="J7" s="184" t="str">
        <f aca="false">IF(OR(H7="",I7=""),"",IF(AND(H7&lt;=2,I7&lt;=2),"TRIGGER","OK"))</f>
        <v/>
      </c>
      <c r="K7" s="117"/>
      <c r="L7" s="117"/>
      <c r="M7" s="184" t="str">
        <f aca="false">IF(OR(K7="",L7=""),"",IF(AND(K7&lt;=2,L7&lt;=2),"TRIGGER","OK"))</f>
        <v/>
      </c>
      <c r="N7" s="117"/>
      <c r="O7" s="117"/>
      <c r="P7" s="184" t="str">
        <f aca="false">IF(OR(N7="",O7=""),"",IF(AND(N7&lt;=2,O7&lt;=2),"TRIGGER","OK"))</f>
        <v/>
      </c>
      <c r="Q7" s="117"/>
      <c r="R7" s="117"/>
      <c r="S7" s="184" t="str">
        <f aca="false">IF(OR(Q7="",R7=""),"",IF(AND(Q7&lt;=2,R7&lt;=2),"TRIGGER","OK"))</f>
        <v/>
      </c>
      <c r="T7" s="185"/>
      <c r="U7" s="185"/>
      <c r="V7" s="183"/>
      <c r="W7" s="183"/>
      <c r="X7" s="117"/>
      <c r="Y7" s="117"/>
      <c r="Z7" s="184"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17"/>
      <c r="AB7" s="122"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182"/>
      <c r="B8" s="117"/>
      <c r="C8" s="183"/>
      <c r="D8" s="183"/>
      <c r="E8" s="117"/>
      <c r="F8" s="117"/>
      <c r="G8" s="184" t="str">
        <f aca="false">IF(OR(E8="",F8=""),"",IF(AND(E8&lt;=2,F8&lt;=2),"TRIGGER","OK"))</f>
        <v/>
      </c>
      <c r="H8" s="117"/>
      <c r="I8" s="117"/>
      <c r="J8" s="184" t="str">
        <f aca="false">IF(OR(H8="",I8=""),"",IF(AND(H8&lt;=2,I8&lt;=2),"TRIGGER","OK"))</f>
        <v/>
      </c>
      <c r="K8" s="117"/>
      <c r="L8" s="117"/>
      <c r="M8" s="184" t="str">
        <f aca="false">IF(OR(K8="",L8=""),"",IF(AND(K8&lt;=2,L8&lt;=2),"TRIGGER","OK"))</f>
        <v/>
      </c>
      <c r="N8" s="117"/>
      <c r="O8" s="117"/>
      <c r="P8" s="184" t="str">
        <f aca="false">IF(OR(N8="",O8=""),"",IF(AND(N8&lt;=2,O8&lt;=2),"TRIGGER","OK"))</f>
        <v/>
      </c>
      <c r="Q8" s="117"/>
      <c r="R8" s="117"/>
      <c r="S8" s="184" t="str">
        <f aca="false">IF(OR(Q8="",R8=""),"",IF(AND(Q8&lt;=2,R8&lt;=2),"TRIGGER","OK"))</f>
        <v/>
      </c>
      <c r="T8" s="185"/>
      <c r="U8" s="185"/>
      <c r="V8" s="183"/>
      <c r="W8" s="183"/>
      <c r="X8" s="117"/>
      <c r="Y8" s="117"/>
      <c r="Z8" s="184"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17"/>
      <c r="AB8" s="122"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182"/>
      <c r="B9" s="117"/>
      <c r="C9" s="183"/>
      <c r="D9" s="183"/>
      <c r="E9" s="117"/>
      <c r="F9" s="117"/>
      <c r="G9" s="184" t="str">
        <f aca="false">IF(OR(E9="",F9=""),"",IF(AND(E9&lt;=2,F9&lt;=2),"TRIGGER","OK"))</f>
        <v/>
      </c>
      <c r="H9" s="117"/>
      <c r="I9" s="117"/>
      <c r="J9" s="184" t="str">
        <f aca="false">IF(OR(H9="",I9=""),"",IF(AND(H9&lt;=2,I9&lt;=2),"TRIGGER","OK"))</f>
        <v/>
      </c>
      <c r="K9" s="117"/>
      <c r="L9" s="117"/>
      <c r="M9" s="184" t="str">
        <f aca="false">IF(OR(K9="",L9=""),"",IF(AND(K9&lt;=2,L9&lt;=2),"TRIGGER","OK"))</f>
        <v/>
      </c>
      <c r="N9" s="117"/>
      <c r="O9" s="117"/>
      <c r="P9" s="184" t="str">
        <f aca="false">IF(OR(N9="",O9=""),"",IF(AND(N9&lt;=2,O9&lt;=2),"TRIGGER","OK"))</f>
        <v/>
      </c>
      <c r="Q9" s="117"/>
      <c r="R9" s="117"/>
      <c r="S9" s="184" t="str">
        <f aca="false">IF(OR(Q9="",R9=""),"",IF(AND(Q9&lt;=2,R9&lt;=2),"TRIGGER","OK"))</f>
        <v/>
      </c>
      <c r="T9" s="185"/>
      <c r="U9" s="185"/>
      <c r="V9" s="183"/>
      <c r="W9" s="183"/>
      <c r="X9" s="117"/>
      <c r="Y9" s="117"/>
      <c r="Z9" s="184"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17"/>
      <c r="AB9" s="122"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182"/>
      <c r="B10" s="117"/>
      <c r="C10" s="183"/>
      <c r="D10" s="183"/>
      <c r="E10" s="117"/>
      <c r="F10" s="117"/>
      <c r="G10" s="184" t="str">
        <f aca="false">IF(OR(E10="",F10=""),"",IF(AND(E10&lt;=2,F10&lt;=2),"TRIGGER","OK"))</f>
        <v/>
      </c>
      <c r="H10" s="117"/>
      <c r="I10" s="117"/>
      <c r="J10" s="184" t="str">
        <f aca="false">IF(OR(H10="",I10=""),"",IF(AND(H10&lt;=2,I10&lt;=2),"TRIGGER","OK"))</f>
        <v/>
      </c>
      <c r="K10" s="117"/>
      <c r="L10" s="117"/>
      <c r="M10" s="184" t="str">
        <f aca="false">IF(OR(K10="",L10=""),"",IF(AND(K10&lt;=2,L10&lt;=2),"TRIGGER","OK"))</f>
        <v/>
      </c>
      <c r="N10" s="117"/>
      <c r="O10" s="117"/>
      <c r="P10" s="184" t="str">
        <f aca="false">IF(OR(N10="",O10=""),"",IF(AND(N10&lt;=2,O10&lt;=2),"TRIGGER","OK"))</f>
        <v/>
      </c>
      <c r="Q10" s="117"/>
      <c r="R10" s="117"/>
      <c r="S10" s="184" t="str">
        <f aca="false">IF(OR(Q10="",R10=""),"",IF(AND(Q10&lt;=2,R10&lt;=2),"TRIGGER","OK"))</f>
        <v/>
      </c>
      <c r="T10" s="185"/>
      <c r="U10" s="185"/>
      <c r="V10" s="183"/>
      <c r="W10" s="183"/>
      <c r="X10" s="117"/>
      <c r="Y10" s="117"/>
      <c r="Z10" s="184"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17"/>
      <c r="AB10" s="122"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182"/>
      <c r="B11" s="117"/>
      <c r="C11" s="183"/>
      <c r="D11" s="183"/>
      <c r="E11" s="117"/>
      <c r="F11" s="117"/>
      <c r="G11" s="184" t="str">
        <f aca="false">IF(OR(E11="",F11=""),"",IF(AND(E11&lt;=2,F11&lt;=2),"TRIGGER","OK"))</f>
        <v/>
      </c>
      <c r="H11" s="117"/>
      <c r="I11" s="117"/>
      <c r="J11" s="184" t="str">
        <f aca="false">IF(OR(H11="",I11=""),"",IF(AND(H11&lt;=2,I11&lt;=2),"TRIGGER","OK"))</f>
        <v/>
      </c>
      <c r="K11" s="117"/>
      <c r="L11" s="117"/>
      <c r="M11" s="184" t="str">
        <f aca="false">IF(OR(K11="",L11=""),"",IF(AND(K11&lt;=2,L11&lt;=2),"TRIGGER","OK"))</f>
        <v/>
      </c>
      <c r="N11" s="117"/>
      <c r="O11" s="117"/>
      <c r="P11" s="184" t="str">
        <f aca="false">IF(OR(N11="",O11=""),"",IF(AND(N11&lt;=2,O11&lt;=2),"TRIGGER","OK"))</f>
        <v/>
      </c>
      <c r="Q11" s="117"/>
      <c r="R11" s="117"/>
      <c r="S11" s="184" t="str">
        <f aca="false">IF(OR(Q11="",R11=""),"",IF(AND(Q11&lt;=2,R11&lt;=2),"TRIGGER","OK"))</f>
        <v/>
      </c>
      <c r="T11" s="185"/>
      <c r="U11" s="185"/>
      <c r="V11" s="183"/>
      <c r="W11" s="183"/>
      <c r="X11" s="117"/>
      <c r="Y11" s="117"/>
      <c r="Z11" s="184"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17"/>
      <c r="AB11" s="122"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182"/>
      <c r="B12" s="117"/>
      <c r="C12" s="183"/>
      <c r="D12" s="183"/>
      <c r="E12" s="117"/>
      <c r="F12" s="117"/>
      <c r="G12" s="184" t="str">
        <f aca="false">IF(OR(E12="",F12=""),"",IF(AND(E12&lt;=2,F12&lt;=2),"TRIGGER","OK"))</f>
        <v/>
      </c>
      <c r="H12" s="117"/>
      <c r="I12" s="117"/>
      <c r="J12" s="184" t="str">
        <f aca="false">IF(OR(H12="",I12=""),"",IF(AND(H12&lt;=2,I12&lt;=2),"TRIGGER","OK"))</f>
        <v/>
      </c>
      <c r="K12" s="117"/>
      <c r="L12" s="117"/>
      <c r="M12" s="184" t="str">
        <f aca="false">IF(OR(K12="",L12=""),"",IF(AND(K12&lt;=2,L12&lt;=2),"TRIGGER","OK"))</f>
        <v/>
      </c>
      <c r="N12" s="117"/>
      <c r="O12" s="117"/>
      <c r="P12" s="184" t="str">
        <f aca="false">IF(OR(N12="",O12=""),"",IF(AND(N12&lt;=2,O12&lt;=2),"TRIGGER","OK"))</f>
        <v/>
      </c>
      <c r="Q12" s="117"/>
      <c r="R12" s="117"/>
      <c r="S12" s="184" t="str">
        <f aca="false">IF(OR(Q12="",R12=""),"",IF(AND(Q12&lt;=2,R12&lt;=2),"TRIGGER","OK"))</f>
        <v/>
      </c>
      <c r="T12" s="185"/>
      <c r="U12" s="185"/>
      <c r="V12" s="183"/>
      <c r="W12" s="183"/>
      <c r="X12" s="117"/>
      <c r="Y12" s="117"/>
      <c r="Z12" s="184"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17"/>
      <c r="AB12" s="122"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182"/>
      <c r="B13" s="117"/>
      <c r="C13" s="183"/>
      <c r="D13" s="183"/>
      <c r="E13" s="117"/>
      <c r="F13" s="117"/>
      <c r="G13" s="184" t="str">
        <f aca="false">IF(OR(E13="",F13=""),"",IF(AND(E13&lt;=2,F13&lt;=2),"TRIGGER","OK"))</f>
        <v/>
      </c>
      <c r="H13" s="117"/>
      <c r="I13" s="117"/>
      <c r="J13" s="184" t="str">
        <f aca="false">IF(OR(H13="",I13=""),"",IF(AND(H13&lt;=2,I13&lt;=2),"TRIGGER","OK"))</f>
        <v/>
      </c>
      <c r="K13" s="117"/>
      <c r="L13" s="117"/>
      <c r="M13" s="184" t="str">
        <f aca="false">IF(OR(K13="",L13=""),"",IF(AND(K13&lt;=2,L13&lt;=2),"TRIGGER","OK"))</f>
        <v/>
      </c>
      <c r="N13" s="117"/>
      <c r="O13" s="117"/>
      <c r="P13" s="184" t="str">
        <f aca="false">IF(OR(N13="",O13=""),"",IF(AND(N13&lt;=2,O13&lt;=2),"TRIGGER","OK"))</f>
        <v/>
      </c>
      <c r="Q13" s="117"/>
      <c r="R13" s="117"/>
      <c r="S13" s="184" t="str">
        <f aca="false">IF(OR(Q13="",R13=""),"",IF(AND(Q13&lt;=2,R13&lt;=2),"TRIGGER","OK"))</f>
        <v/>
      </c>
      <c r="T13" s="185"/>
      <c r="U13" s="185"/>
      <c r="V13" s="183"/>
      <c r="W13" s="183"/>
      <c r="X13" s="117"/>
      <c r="Y13" s="117"/>
      <c r="Z13" s="184"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17"/>
      <c r="AB13" s="122"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182"/>
      <c r="B14" s="117"/>
      <c r="C14" s="183"/>
      <c r="D14" s="183"/>
      <c r="E14" s="117"/>
      <c r="F14" s="117"/>
      <c r="G14" s="184" t="str">
        <f aca="false">IF(OR(E14="",F14=""),"",IF(AND(E14&lt;=2,F14&lt;=2),"TRIGGER","OK"))</f>
        <v/>
      </c>
      <c r="H14" s="117"/>
      <c r="I14" s="117"/>
      <c r="J14" s="184" t="str">
        <f aca="false">IF(OR(H14="",I14=""),"",IF(AND(H14&lt;=2,I14&lt;=2),"TRIGGER","OK"))</f>
        <v/>
      </c>
      <c r="K14" s="117"/>
      <c r="L14" s="117"/>
      <c r="M14" s="184" t="str">
        <f aca="false">IF(OR(K14="",L14=""),"",IF(AND(K14&lt;=2,L14&lt;=2),"TRIGGER","OK"))</f>
        <v/>
      </c>
      <c r="N14" s="117"/>
      <c r="O14" s="117"/>
      <c r="P14" s="184" t="str">
        <f aca="false">IF(OR(N14="",O14=""),"",IF(AND(N14&lt;=2,O14&lt;=2),"TRIGGER","OK"))</f>
        <v/>
      </c>
      <c r="Q14" s="117"/>
      <c r="R14" s="117"/>
      <c r="S14" s="184" t="str">
        <f aca="false">IF(OR(Q14="",R14=""),"",IF(AND(Q14&lt;=2,R14&lt;=2),"TRIGGER","OK"))</f>
        <v/>
      </c>
      <c r="T14" s="185"/>
      <c r="U14" s="185"/>
      <c r="V14" s="183"/>
      <c r="W14" s="183"/>
      <c r="X14" s="117"/>
      <c r="Y14" s="117"/>
      <c r="Z14" s="184"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17"/>
      <c r="AB14" s="122"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182"/>
      <c r="B15" s="117"/>
      <c r="C15" s="183"/>
      <c r="D15" s="183"/>
      <c r="E15" s="117"/>
      <c r="F15" s="117"/>
      <c r="G15" s="184" t="str">
        <f aca="false">IF(OR(E15="",F15=""),"",IF(AND(E15&lt;=2,F15&lt;=2),"TRIGGER","OK"))</f>
        <v/>
      </c>
      <c r="H15" s="117"/>
      <c r="I15" s="117"/>
      <c r="J15" s="184" t="str">
        <f aca="false">IF(OR(H15="",I15=""),"",IF(AND(H15&lt;=2,I15&lt;=2),"TRIGGER","OK"))</f>
        <v/>
      </c>
      <c r="K15" s="117"/>
      <c r="L15" s="117"/>
      <c r="M15" s="184" t="str">
        <f aca="false">IF(OR(K15="",L15=""),"",IF(AND(K15&lt;=2,L15&lt;=2),"TRIGGER","OK"))</f>
        <v/>
      </c>
      <c r="N15" s="117"/>
      <c r="O15" s="117"/>
      <c r="P15" s="184" t="str">
        <f aca="false">IF(OR(N15="",O15=""),"",IF(AND(N15&lt;=2,O15&lt;=2),"TRIGGER","OK"))</f>
        <v/>
      </c>
      <c r="Q15" s="117"/>
      <c r="R15" s="117"/>
      <c r="S15" s="184" t="str">
        <f aca="false">IF(OR(Q15="",R15=""),"",IF(AND(Q15&lt;=2,R15&lt;=2),"TRIGGER","OK"))</f>
        <v/>
      </c>
      <c r="T15" s="185"/>
      <c r="U15" s="185"/>
      <c r="V15" s="183"/>
      <c r="W15" s="183"/>
      <c r="X15" s="117"/>
      <c r="Y15" s="117"/>
      <c r="Z15" s="184"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17"/>
      <c r="AB15" s="122"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182"/>
      <c r="B16" s="117"/>
      <c r="C16" s="183"/>
      <c r="D16" s="183"/>
      <c r="E16" s="117"/>
      <c r="F16" s="117"/>
      <c r="G16" s="184" t="str">
        <f aca="false">IF(OR(E16="",F16=""),"",IF(AND(E16&lt;=2,F16&lt;=2),"TRIGGER","OK"))</f>
        <v/>
      </c>
      <c r="H16" s="117"/>
      <c r="I16" s="117"/>
      <c r="J16" s="184" t="str">
        <f aca="false">IF(OR(H16="",I16=""),"",IF(AND(H16&lt;=2,I16&lt;=2),"TRIGGER","OK"))</f>
        <v/>
      </c>
      <c r="K16" s="117"/>
      <c r="L16" s="117"/>
      <c r="M16" s="184" t="str">
        <f aca="false">IF(OR(K16="",L16=""),"",IF(AND(K16&lt;=2,L16&lt;=2),"TRIGGER","OK"))</f>
        <v/>
      </c>
      <c r="N16" s="117"/>
      <c r="O16" s="117"/>
      <c r="P16" s="184" t="str">
        <f aca="false">IF(OR(N16="",O16=""),"",IF(AND(N16&lt;=2,O16&lt;=2),"TRIGGER","OK"))</f>
        <v/>
      </c>
      <c r="Q16" s="117"/>
      <c r="R16" s="117"/>
      <c r="S16" s="184" t="str">
        <f aca="false">IF(OR(Q16="",R16=""),"",IF(AND(Q16&lt;=2,R16&lt;=2),"TRIGGER","OK"))</f>
        <v/>
      </c>
      <c r="T16" s="185"/>
      <c r="U16" s="185"/>
      <c r="V16" s="183"/>
      <c r="W16" s="183"/>
      <c r="X16" s="117"/>
      <c r="Y16" s="117"/>
      <c r="Z16" s="184"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17"/>
      <c r="AB16" s="122"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182"/>
      <c r="B17" s="117"/>
      <c r="C17" s="183"/>
      <c r="D17" s="183"/>
      <c r="E17" s="117"/>
      <c r="F17" s="117"/>
      <c r="G17" s="184" t="str">
        <f aca="false">IF(OR(E17="",F17=""),"",IF(AND(E17&lt;=2,F17&lt;=2),"TRIGGER","OK"))</f>
        <v/>
      </c>
      <c r="H17" s="117"/>
      <c r="I17" s="117"/>
      <c r="J17" s="184" t="str">
        <f aca="false">IF(OR(H17="",I17=""),"",IF(AND(H17&lt;=2,I17&lt;=2),"TRIGGER","OK"))</f>
        <v/>
      </c>
      <c r="K17" s="117"/>
      <c r="L17" s="117"/>
      <c r="M17" s="184" t="str">
        <f aca="false">IF(OR(K17="",L17=""),"",IF(AND(K17&lt;=2,L17&lt;=2),"TRIGGER","OK"))</f>
        <v/>
      </c>
      <c r="N17" s="117"/>
      <c r="O17" s="117"/>
      <c r="P17" s="184" t="str">
        <f aca="false">IF(OR(N17="",O17=""),"",IF(AND(N17&lt;=2,O17&lt;=2),"TRIGGER","OK"))</f>
        <v/>
      </c>
      <c r="Q17" s="117"/>
      <c r="R17" s="117"/>
      <c r="S17" s="184" t="str">
        <f aca="false">IF(OR(Q17="",R17=""),"",IF(AND(Q17&lt;=2,R17&lt;=2),"TRIGGER","OK"))</f>
        <v/>
      </c>
      <c r="T17" s="185"/>
      <c r="U17" s="185"/>
      <c r="V17" s="183"/>
      <c r="W17" s="183"/>
      <c r="X17" s="117"/>
      <c r="Y17" s="117"/>
      <c r="Z17" s="184"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17"/>
      <c r="AB17" s="122"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182"/>
      <c r="B18" s="117"/>
      <c r="C18" s="183"/>
      <c r="D18" s="183"/>
      <c r="E18" s="117"/>
      <c r="F18" s="117"/>
      <c r="G18" s="184" t="str">
        <f aca="false">IF(OR(E18="",F18=""),"",IF(AND(E18&lt;=2,F18&lt;=2),"TRIGGER","OK"))</f>
        <v/>
      </c>
      <c r="H18" s="117"/>
      <c r="I18" s="117"/>
      <c r="J18" s="184" t="str">
        <f aca="false">IF(OR(H18="",I18=""),"",IF(AND(H18&lt;=2,I18&lt;=2),"TRIGGER","OK"))</f>
        <v/>
      </c>
      <c r="K18" s="117"/>
      <c r="L18" s="117"/>
      <c r="M18" s="184" t="str">
        <f aca="false">IF(OR(K18="",L18=""),"",IF(AND(K18&lt;=2,L18&lt;=2),"TRIGGER","OK"))</f>
        <v/>
      </c>
      <c r="N18" s="117"/>
      <c r="O18" s="117"/>
      <c r="P18" s="184" t="str">
        <f aca="false">IF(OR(N18="",O18=""),"",IF(AND(N18&lt;=2,O18&lt;=2),"TRIGGER","OK"))</f>
        <v/>
      </c>
      <c r="Q18" s="117"/>
      <c r="R18" s="117"/>
      <c r="S18" s="184" t="str">
        <f aca="false">IF(OR(Q18="",R18=""),"",IF(AND(Q18&lt;=2,R18&lt;=2),"TRIGGER","OK"))</f>
        <v/>
      </c>
      <c r="T18" s="185"/>
      <c r="U18" s="185"/>
      <c r="V18" s="183"/>
      <c r="W18" s="183"/>
      <c r="X18" s="117"/>
      <c r="Y18" s="117"/>
      <c r="Z18" s="184"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17"/>
      <c r="AB18" s="122"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182"/>
      <c r="B19" s="117"/>
      <c r="C19" s="183"/>
      <c r="D19" s="183"/>
      <c r="E19" s="117"/>
      <c r="F19" s="117"/>
      <c r="G19" s="184" t="str">
        <f aca="false">IF(OR(E19="",F19=""),"",IF(AND(E19&lt;=2,F19&lt;=2),"TRIGGER","OK"))</f>
        <v/>
      </c>
      <c r="H19" s="117"/>
      <c r="I19" s="117"/>
      <c r="J19" s="184" t="str">
        <f aca="false">IF(OR(H19="",I19=""),"",IF(AND(H19&lt;=2,I19&lt;=2),"TRIGGER","OK"))</f>
        <v/>
      </c>
      <c r="K19" s="117"/>
      <c r="L19" s="117"/>
      <c r="M19" s="184" t="str">
        <f aca="false">IF(OR(K19="",L19=""),"",IF(AND(K19&lt;=2,L19&lt;=2),"TRIGGER","OK"))</f>
        <v/>
      </c>
      <c r="N19" s="117"/>
      <c r="O19" s="117"/>
      <c r="P19" s="184" t="str">
        <f aca="false">IF(OR(N19="",O19=""),"",IF(AND(N19&lt;=2,O19&lt;=2),"TRIGGER","OK"))</f>
        <v/>
      </c>
      <c r="Q19" s="117"/>
      <c r="R19" s="117"/>
      <c r="S19" s="184" t="str">
        <f aca="false">IF(OR(Q19="",R19=""),"",IF(AND(Q19&lt;=2,R19&lt;=2),"TRIGGER","OK"))</f>
        <v/>
      </c>
      <c r="T19" s="185"/>
      <c r="U19" s="185"/>
      <c r="V19" s="183"/>
      <c r="W19" s="183"/>
      <c r="X19" s="117"/>
      <c r="Y19" s="117"/>
      <c r="Z19" s="184"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17"/>
      <c r="AB19" s="122"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182"/>
      <c r="B20" s="117"/>
      <c r="C20" s="183"/>
      <c r="D20" s="183"/>
      <c r="E20" s="117"/>
      <c r="F20" s="117"/>
      <c r="G20" s="184" t="str">
        <f aca="false">IF(OR(E20="",F20=""),"",IF(AND(E20&lt;=2,F20&lt;=2),"TRIGGER","OK"))</f>
        <v/>
      </c>
      <c r="H20" s="117"/>
      <c r="I20" s="117"/>
      <c r="J20" s="184" t="str">
        <f aca="false">IF(OR(H20="",I20=""),"",IF(AND(H20&lt;=2,I20&lt;=2),"TRIGGER","OK"))</f>
        <v/>
      </c>
      <c r="K20" s="117"/>
      <c r="L20" s="117"/>
      <c r="M20" s="184" t="str">
        <f aca="false">IF(OR(K20="",L20=""),"",IF(AND(K20&lt;=2,L20&lt;=2),"TRIGGER","OK"))</f>
        <v/>
      </c>
      <c r="N20" s="117"/>
      <c r="O20" s="117"/>
      <c r="P20" s="184" t="str">
        <f aca="false">IF(OR(N20="",O20=""),"",IF(AND(N20&lt;=2,O20&lt;=2),"TRIGGER","OK"))</f>
        <v/>
      </c>
      <c r="Q20" s="117"/>
      <c r="R20" s="117"/>
      <c r="S20" s="184" t="str">
        <f aca="false">IF(OR(Q20="",R20=""),"",IF(AND(Q20&lt;=2,R20&lt;=2),"TRIGGER","OK"))</f>
        <v/>
      </c>
      <c r="T20" s="185"/>
      <c r="U20" s="185"/>
      <c r="V20" s="183"/>
      <c r="W20" s="183"/>
      <c r="X20" s="117"/>
      <c r="Y20" s="117"/>
      <c r="Z20" s="184"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17"/>
      <c r="AB20" s="122"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182"/>
      <c r="B21" s="117"/>
      <c r="C21" s="183"/>
      <c r="D21" s="183"/>
      <c r="E21" s="117"/>
      <c r="F21" s="117"/>
      <c r="G21" s="184" t="str">
        <f aca="false">IF(OR(E21="",F21=""),"",IF(AND(E21&lt;=2,F21&lt;=2),"TRIGGER","OK"))</f>
        <v/>
      </c>
      <c r="H21" s="117"/>
      <c r="I21" s="117"/>
      <c r="J21" s="184" t="str">
        <f aca="false">IF(OR(H21="",I21=""),"",IF(AND(H21&lt;=2,I21&lt;=2),"TRIGGER","OK"))</f>
        <v/>
      </c>
      <c r="K21" s="117"/>
      <c r="L21" s="117"/>
      <c r="M21" s="184" t="str">
        <f aca="false">IF(OR(K21="",L21=""),"",IF(AND(K21&lt;=2,L21&lt;=2),"TRIGGER","OK"))</f>
        <v/>
      </c>
      <c r="N21" s="117"/>
      <c r="O21" s="117"/>
      <c r="P21" s="184" t="str">
        <f aca="false">IF(OR(N21="",O21=""),"",IF(AND(N21&lt;=2,O21&lt;=2),"TRIGGER","OK"))</f>
        <v/>
      </c>
      <c r="Q21" s="117"/>
      <c r="R21" s="117"/>
      <c r="S21" s="184" t="str">
        <f aca="false">IF(OR(Q21="",R21=""),"",IF(AND(Q21&lt;=2,R21&lt;=2),"TRIGGER","OK"))</f>
        <v/>
      </c>
      <c r="T21" s="185"/>
      <c r="U21" s="185"/>
      <c r="V21" s="183"/>
      <c r="W21" s="183"/>
      <c r="X21" s="117"/>
      <c r="Y21" s="117"/>
      <c r="Z21" s="184"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17"/>
      <c r="AB21" s="122"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182"/>
      <c r="B22" s="117"/>
      <c r="C22" s="183"/>
      <c r="D22" s="183"/>
      <c r="E22" s="117"/>
      <c r="F22" s="117"/>
      <c r="G22" s="184" t="str">
        <f aca="false">IF(OR(E22="",F22=""),"",IF(AND(E22&lt;=2,F22&lt;=2),"TRIGGER","OK"))</f>
        <v/>
      </c>
      <c r="H22" s="117"/>
      <c r="I22" s="117"/>
      <c r="J22" s="184" t="str">
        <f aca="false">IF(OR(H22="",I22=""),"",IF(AND(H22&lt;=2,I22&lt;=2),"TRIGGER","OK"))</f>
        <v/>
      </c>
      <c r="K22" s="117"/>
      <c r="L22" s="117"/>
      <c r="M22" s="184" t="str">
        <f aca="false">IF(OR(K22="",L22=""),"",IF(AND(K22&lt;=2,L22&lt;=2),"TRIGGER","OK"))</f>
        <v/>
      </c>
      <c r="N22" s="117"/>
      <c r="O22" s="117"/>
      <c r="P22" s="184" t="str">
        <f aca="false">IF(OR(N22="",O22=""),"",IF(AND(N22&lt;=2,O22&lt;=2),"TRIGGER","OK"))</f>
        <v/>
      </c>
      <c r="Q22" s="117"/>
      <c r="R22" s="117"/>
      <c r="S22" s="184" t="str">
        <f aca="false">IF(OR(Q22="",R22=""),"",IF(AND(Q22&lt;=2,R22&lt;=2),"TRIGGER","OK"))</f>
        <v/>
      </c>
      <c r="T22" s="185"/>
      <c r="U22" s="185"/>
      <c r="V22" s="183"/>
      <c r="W22" s="183"/>
      <c r="X22" s="117"/>
      <c r="Y22" s="117"/>
      <c r="Z22" s="184"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17"/>
      <c r="AB22" s="122"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182"/>
      <c r="B23" s="117"/>
      <c r="C23" s="183"/>
      <c r="D23" s="183"/>
      <c r="E23" s="117"/>
      <c r="F23" s="117"/>
      <c r="G23" s="184" t="str">
        <f aca="false">IF(OR(E23="",F23=""),"",IF(AND(E23&lt;=2,F23&lt;=2),"TRIGGER","OK"))</f>
        <v/>
      </c>
      <c r="H23" s="117"/>
      <c r="I23" s="117"/>
      <c r="J23" s="184" t="str">
        <f aca="false">IF(OR(H23="",I23=""),"",IF(AND(H23&lt;=2,I23&lt;=2),"TRIGGER","OK"))</f>
        <v/>
      </c>
      <c r="K23" s="117"/>
      <c r="L23" s="117"/>
      <c r="M23" s="184" t="str">
        <f aca="false">IF(OR(K23="",L23=""),"",IF(AND(K23&lt;=2,L23&lt;=2),"TRIGGER","OK"))</f>
        <v/>
      </c>
      <c r="N23" s="117"/>
      <c r="O23" s="117"/>
      <c r="P23" s="184" t="str">
        <f aca="false">IF(OR(N23="",O23=""),"",IF(AND(N23&lt;=2,O23&lt;=2),"TRIGGER","OK"))</f>
        <v/>
      </c>
      <c r="Q23" s="117"/>
      <c r="R23" s="117"/>
      <c r="S23" s="184" t="str">
        <f aca="false">IF(OR(Q23="",R23=""),"",IF(AND(Q23&lt;=2,R23&lt;=2),"TRIGGER","OK"))</f>
        <v/>
      </c>
      <c r="T23" s="185"/>
      <c r="U23" s="185"/>
      <c r="V23" s="183"/>
      <c r="W23" s="183"/>
      <c r="X23" s="117"/>
      <c r="Y23" s="117"/>
      <c r="Z23" s="184"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17"/>
      <c r="AB23" s="122"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T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21">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21">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21">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21">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21">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7">
      <formula>ISNUMBER(SEARCH("OK",AB4))</formula>
    </cfRule>
    <cfRule type="expression" priority="15" aboveAverage="0" equalAverage="0" bottom="0" percent="0" rank="0" text="" dxfId="19">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E6" activeCellId="0" sqref="E6"/>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62.25" hidden="false" customHeight="true" outlineLevel="0" collapsed="false">
      <c r="A1" s="186" t="s">
        <v>525</v>
      </c>
      <c r="B1" s="186"/>
      <c r="C1" s="186"/>
      <c r="D1" s="186"/>
      <c r="E1" s="186"/>
      <c r="F1" s="186"/>
      <c r="G1" s="186"/>
      <c r="H1" s="186"/>
      <c r="I1" s="186"/>
      <c r="J1" s="186"/>
      <c r="K1" s="186"/>
      <c r="L1" s="186"/>
      <c r="M1" s="186"/>
      <c r="N1" s="186"/>
      <c r="O1" s="186"/>
      <c r="P1" s="186"/>
      <c r="Q1" s="180"/>
    </row>
    <row r="2" customFormat="false" ht="42.75" hidden="false" customHeight="true" outlineLevel="0" collapsed="false">
      <c r="A2" s="58" t="s">
        <v>81</v>
      </c>
      <c r="B2" s="58" t="s">
        <v>280</v>
      </c>
      <c r="C2" s="58" t="s">
        <v>526</v>
      </c>
      <c r="D2" s="58" t="s">
        <v>527</v>
      </c>
      <c r="E2" s="58" t="s">
        <v>473</v>
      </c>
      <c r="F2" s="58" t="s">
        <v>528</v>
      </c>
      <c r="G2" s="58" t="s">
        <v>529</v>
      </c>
      <c r="H2" s="58" t="s">
        <v>530</v>
      </c>
      <c r="I2" s="58" t="s">
        <v>531</v>
      </c>
      <c r="J2" s="58" t="s">
        <v>532</v>
      </c>
      <c r="K2" s="58" t="s">
        <v>533</v>
      </c>
      <c r="L2" s="58" t="s">
        <v>534</v>
      </c>
      <c r="M2" s="58" t="s">
        <v>535</v>
      </c>
      <c r="N2" s="58" t="s">
        <v>536</v>
      </c>
      <c r="O2" s="58" t="s">
        <v>537</v>
      </c>
      <c r="P2" s="58" t="s">
        <v>538</v>
      </c>
      <c r="Q2" s="58" t="s">
        <v>539</v>
      </c>
    </row>
    <row r="3" customFormat="false" ht="15" hidden="false" customHeight="true" outlineLevel="0" collapsed="false">
      <c r="A3" s="182" t="s">
        <v>95</v>
      </c>
      <c r="B3" s="117" t="s">
        <v>96</v>
      </c>
      <c r="C3" s="187" t="n">
        <v>46241</v>
      </c>
      <c r="D3" s="188" t="n">
        <v>266.38</v>
      </c>
      <c r="E3" s="117" t="n">
        <v>85.8</v>
      </c>
      <c r="F3" s="117" t="s">
        <v>331</v>
      </c>
      <c r="G3" s="117" t="s">
        <v>540</v>
      </c>
      <c r="H3" s="188" t="n">
        <v>773.26</v>
      </c>
      <c r="I3" s="117" t="s">
        <v>541</v>
      </c>
      <c r="J3" s="187"/>
      <c r="K3" s="188"/>
      <c r="L3" s="117"/>
      <c r="M3" s="188" t="n">
        <v>259.32</v>
      </c>
      <c r="N3" s="188" t="n">
        <v>765.04</v>
      </c>
      <c r="O3" s="189" t="n">
        <f aca="false">IF(OR(D3="",M3=""),"",M3/D3-1)</f>
        <v>-0.026503491253097</v>
      </c>
      <c r="P3" s="190" t="n">
        <f aca="false">IF(OR(H3="",N3=""),"",N3/H3-1)</f>
        <v>-0.0106303183922614</v>
      </c>
      <c r="Q3" s="189" t="n">
        <f aca="false">IF(OR(O3="",P3=""),"",O3-P3)</f>
        <v>-0.0158731728608357</v>
      </c>
    </row>
    <row r="4" customFormat="false" ht="15" hidden="false" customHeight="true" outlineLevel="0" collapsed="false">
      <c r="A4" s="182" t="s">
        <v>167</v>
      </c>
      <c r="B4" s="117" t="s">
        <v>168</v>
      </c>
      <c r="C4" s="187" t="n">
        <v>46241</v>
      </c>
      <c r="D4" s="188" t="n">
        <v>488.77</v>
      </c>
      <c r="E4" s="117" t="n">
        <v>75.6</v>
      </c>
      <c r="F4" s="117" t="s">
        <v>331</v>
      </c>
      <c r="G4" s="117" t="s">
        <v>542</v>
      </c>
      <c r="H4" s="188" t="n">
        <v>773.26</v>
      </c>
      <c r="I4" s="117" t="s">
        <v>541</v>
      </c>
      <c r="J4" s="187"/>
      <c r="K4" s="188"/>
      <c r="L4" s="117"/>
      <c r="M4" s="188" t="n">
        <v>478.7</v>
      </c>
      <c r="N4" s="188" t="n">
        <v>765.04</v>
      </c>
      <c r="O4" s="189" t="n">
        <f aca="false">IF(OR(D4="",M4=""),"",M4/D4-1)</f>
        <v>-0.0206027374838881</v>
      </c>
      <c r="P4" s="190" t="n">
        <f aca="false">IF(OR(H4="",N4=""),"",N4/H4-1)</f>
        <v>-0.0106303183922614</v>
      </c>
      <c r="Q4" s="189" t="n">
        <f aca="false">IF(OR(O4="",P4=""),"",O4-P4)</f>
        <v>-0.00997241909162672</v>
      </c>
    </row>
    <row r="5" customFormat="false" ht="15" hidden="false" customHeight="true" outlineLevel="0" collapsed="false">
      <c r="A5" s="182" t="s">
        <v>170</v>
      </c>
      <c r="B5" s="117" t="s">
        <v>337</v>
      </c>
      <c r="C5" s="187" t="n">
        <v>46241</v>
      </c>
      <c r="D5" s="188" t="n">
        <v>139.92</v>
      </c>
      <c r="E5" s="117" t="n">
        <v>82</v>
      </c>
      <c r="F5" s="117" t="s">
        <v>331</v>
      </c>
      <c r="G5" s="117" t="s">
        <v>540</v>
      </c>
      <c r="H5" s="188" t="n">
        <v>773.26</v>
      </c>
      <c r="I5" s="117" t="s">
        <v>541</v>
      </c>
      <c r="J5" s="187"/>
      <c r="K5" s="188"/>
      <c r="L5" s="117"/>
      <c r="M5" s="188" t="n">
        <v>139.06</v>
      </c>
      <c r="N5" s="188" t="n">
        <v>765.04</v>
      </c>
      <c r="O5" s="189" t="n">
        <f aca="false">IF(OR(D5="",M5=""),"",M5/D5-1)</f>
        <v>-0.00614636935391644</v>
      </c>
      <c r="P5" s="190" t="n">
        <f aca="false">IF(OR(H5="",N5=""),"",N5/H5-1)</f>
        <v>-0.0106303183922614</v>
      </c>
      <c r="Q5" s="189" t="n">
        <f aca="false">IF(OR(O5="",P5=""),"",O5-P5)</f>
        <v>0.00448394903834493</v>
      </c>
    </row>
    <row r="6" customFormat="false" ht="15" hidden="false" customHeight="true" outlineLevel="0" collapsed="false">
      <c r="A6" s="182" t="s">
        <v>118</v>
      </c>
      <c r="B6" s="117" t="s">
        <v>119</v>
      </c>
      <c r="C6" s="187" t="n">
        <v>46273</v>
      </c>
      <c r="D6" s="188" t="n">
        <v>368.97</v>
      </c>
      <c r="E6" s="117" t="n">
        <v>86.4</v>
      </c>
      <c r="F6" s="117" t="s">
        <v>331</v>
      </c>
      <c r="G6" s="117" t="s">
        <v>540</v>
      </c>
      <c r="H6" s="188" t="n">
        <v>767.53</v>
      </c>
      <c r="I6" s="117" t="s">
        <v>541</v>
      </c>
      <c r="J6" s="187"/>
      <c r="K6" s="188"/>
      <c r="L6" s="117"/>
      <c r="M6" s="188" t="n">
        <v>367.68</v>
      </c>
      <c r="N6" s="188" t="n">
        <v>767.53</v>
      </c>
      <c r="O6" s="189" t="n">
        <f aca="false">IF(OR(D6="",M6=""),"",M6/D6-1)</f>
        <v>-0.00349621920481347</v>
      </c>
      <c r="P6" s="190" t="n">
        <f aca="false">IF(OR(H6="",N6=""),"",N6/H6-1)</f>
        <v>0</v>
      </c>
      <c r="Q6" s="189" t="n">
        <f aca="false">IF(OR(O6="",P6=""),"",O6-P6)</f>
        <v>-0.00349621920481347</v>
      </c>
    </row>
    <row r="7" customFormat="false" ht="15" hidden="false" customHeight="true" outlineLevel="0" collapsed="false">
      <c r="A7" s="182" t="s">
        <v>140</v>
      </c>
      <c r="B7" s="117" t="s">
        <v>141</v>
      </c>
      <c r="C7" s="187" t="n">
        <v>46295</v>
      </c>
      <c r="D7" s="188" t="n">
        <v>314.71</v>
      </c>
      <c r="E7" s="117" t="n">
        <v>84.2</v>
      </c>
      <c r="F7" s="117" t="s">
        <v>331</v>
      </c>
      <c r="G7" s="117" t="s">
        <v>540</v>
      </c>
      <c r="H7" s="188" t="n">
        <v>766.29</v>
      </c>
      <c r="I7" s="117" t="s">
        <v>541</v>
      </c>
      <c r="J7" s="187"/>
      <c r="K7" s="188"/>
      <c r="L7" s="117"/>
      <c r="M7" s="188" t="n">
        <v>314.71</v>
      </c>
      <c r="N7" s="188" t="n">
        <v>766.29</v>
      </c>
      <c r="O7" s="189" t="n">
        <f aca="false">IF(OR(D7="",M7=""),"",M7/D7-1)</f>
        <v>0</v>
      </c>
      <c r="P7" s="190" t="n">
        <f aca="false">IF(OR(H7="",N7=""),"",N7/H7-1)</f>
        <v>0</v>
      </c>
      <c r="Q7" s="189" t="n">
        <f aca="false">IF(OR(O7="",P7=""),"",O7-P7)</f>
        <v>0</v>
      </c>
    </row>
    <row r="8" customFormat="false" ht="15" hidden="false" customHeight="true" outlineLevel="0" collapsed="false">
      <c r="A8" s="182" t="s">
        <v>143</v>
      </c>
      <c r="B8" s="117" t="s">
        <v>144</v>
      </c>
      <c r="C8" s="187" t="n">
        <v>46295</v>
      </c>
      <c r="D8" s="188" t="n">
        <v>69.795</v>
      </c>
      <c r="E8" s="117" t="n">
        <v>83.8</v>
      </c>
      <c r="F8" s="117" t="s">
        <v>331</v>
      </c>
      <c r="G8" s="117" t="s">
        <v>540</v>
      </c>
      <c r="H8" s="188" t="n">
        <v>766.29</v>
      </c>
      <c r="I8" s="117" t="s">
        <v>541</v>
      </c>
      <c r="J8" s="187"/>
      <c r="K8" s="188"/>
      <c r="L8" s="117"/>
      <c r="M8" s="188" t="n">
        <v>69.795</v>
      </c>
      <c r="N8" s="188" t="n">
        <v>766.29</v>
      </c>
      <c r="O8" s="189" t="n">
        <f aca="false">IF(OR(D8="",M8=""),"",M8/D8-1)</f>
        <v>0</v>
      </c>
      <c r="P8" s="190" t="n">
        <f aca="false">IF(OR(H8="",N8=""),"",N8/H8-1)</f>
        <v>0</v>
      </c>
      <c r="Q8" s="189" t="n">
        <f aca="false">IF(OR(O8="",P8=""),"",O8-P8)</f>
        <v>0</v>
      </c>
    </row>
    <row r="9" customFormat="false" ht="15" hidden="false" customHeight="true" outlineLevel="0" collapsed="false">
      <c r="A9" s="182"/>
      <c r="B9" s="117"/>
      <c r="C9" s="187"/>
      <c r="D9" s="188"/>
      <c r="E9" s="117"/>
      <c r="F9" s="117"/>
      <c r="G9" s="117"/>
      <c r="H9" s="188"/>
      <c r="I9" s="117"/>
      <c r="J9" s="187"/>
      <c r="K9" s="188"/>
      <c r="L9" s="117"/>
      <c r="M9" s="188"/>
      <c r="N9" s="188"/>
      <c r="O9" s="189" t="str">
        <f aca="false">IF(OR(D9="",M9=""),"",M9/D9-1)</f>
        <v/>
      </c>
      <c r="P9" s="190" t="str">
        <f aca="false">IF(OR(H9="",N9=""),"",N9/H9-1)</f>
        <v/>
      </c>
      <c r="Q9" s="189" t="str">
        <f aca="false">IF(OR(O9="",P9=""),"",O9-P9)</f>
        <v/>
      </c>
    </row>
    <row r="10" customFormat="false" ht="15" hidden="false" customHeight="true" outlineLevel="0" collapsed="false">
      <c r="A10" s="182"/>
      <c r="B10" s="117"/>
      <c r="C10" s="187"/>
      <c r="D10" s="188"/>
      <c r="E10" s="117"/>
      <c r="F10" s="117"/>
      <c r="G10" s="117"/>
      <c r="H10" s="188"/>
      <c r="I10" s="117"/>
      <c r="J10" s="187"/>
      <c r="K10" s="188"/>
      <c r="L10" s="117"/>
      <c r="M10" s="188"/>
      <c r="N10" s="188"/>
      <c r="O10" s="189" t="str">
        <f aca="false">IF(OR(D10="",M10=""),"",M10/D10-1)</f>
        <v/>
      </c>
      <c r="P10" s="190" t="str">
        <f aca="false">IF(OR(H10="",N10=""),"",N10/H10-1)</f>
        <v/>
      </c>
      <c r="Q10" s="189" t="str">
        <f aca="false">IF(OR(O10="",P10=""),"",O10-P10)</f>
        <v/>
      </c>
    </row>
    <row r="11" customFormat="false" ht="15" hidden="false" customHeight="true" outlineLevel="0" collapsed="false">
      <c r="A11" s="182"/>
      <c r="B11" s="117"/>
      <c r="C11" s="187"/>
      <c r="D11" s="188"/>
      <c r="E11" s="117"/>
      <c r="F11" s="117"/>
      <c r="G11" s="117"/>
      <c r="H11" s="188"/>
      <c r="I11" s="117"/>
      <c r="J11" s="187"/>
      <c r="K11" s="188"/>
      <c r="L11" s="117"/>
      <c r="M11" s="188"/>
      <c r="N11" s="188"/>
      <c r="O11" s="189" t="str">
        <f aca="false">IF(OR(D11="",M11=""),"",M11/D11-1)</f>
        <v/>
      </c>
      <c r="P11" s="190" t="str">
        <f aca="false">IF(OR(H11="",N11=""),"",N11/H11-1)</f>
        <v/>
      </c>
      <c r="Q11" s="189" t="str">
        <f aca="false">IF(OR(O11="",P11=""),"",O11-P11)</f>
        <v/>
      </c>
    </row>
    <row r="12" customFormat="false" ht="15" hidden="false" customHeight="true" outlineLevel="0" collapsed="false">
      <c r="A12" s="182"/>
      <c r="B12" s="117"/>
      <c r="C12" s="187"/>
      <c r="D12" s="188"/>
      <c r="E12" s="117"/>
      <c r="F12" s="117"/>
      <c r="G12" s="117"/>
      <c r="H12" s="188"/>
      <c r="I12" s="117"/>
      <c r="J12" s="187"/>
      <c r="K12" s="188"/>
      <c r="L12" s="117"/>
      <c r="M12" s="188"/>
      <c r="N12" s="188"/>
      <c r="O12" s="189" t="str">
        <f aca="false">IF(OR(D12="",M12=""),"",M12/D12-1)</f>
        <v/>
      </c>
      <c r="P12" s="190" t="str">
        <f aca="false">IF(OR(H12="",N12=""),"",N12/H12-1)</f>
        <v/>
      </c>
      <c r="Q12" s="189" t="str">
        <f aca="false">IF(OR(O12="",P12=""),"",O12-P12)</f>
        <v/>
      </c>
    </row>
    <row r="13" customFormat="false" ht="15" hidden="false" customHeight="true" outlineLevel="0" collapsed="false">
      <c r="A13" s="182"/>
      <c r="B13" s="117"/>
      <c r="C13" s="187"/>
      <c r="D13" s="188"/>
      <c r="E13" s="117"/>
      <c r="F13" s="117"/>
      <c r="G13" s="117"/>
      <c r="H13" s="188"/>
      <c r="I13" s="117"/>
      <c r="J13" s="187"/>
      <c r="K13" s="188"/>
      <c r="L13" s="117"/>
      <c r="M13" s="188"/>
      <c r="N13" s="188"/>
      <c r="O13" s="189" t="str">
        <f aca="false">IF(OR(D13="",M13=""),"",M13/D13-1)</f>
        <v/>
      </c>
      <c r="P13" s="190" t="str">
        <f aca="false">IF(OR(H13="",N13=""),"",N13/H13-1)</f>
        <v/>
      </c>
      <c r="Q13" s="189" t="str">
        <f aca="false">IF(OR(O13="",P13=""),"",O13-P13)</f>
        <v/>
      </c>
    </row>
    <row r="14" customFormat="false" ht="15" hidden="false" customHeight="true" outlineLevel="0" collapsed="false">
      <c r="A14" s="182"/>
      <c r="B14" s="117"/>
      <c r="C14" s="187"/>
      <c r="D14" s="188"/>
      <c r="E14" s="117"/>
      <c r="F14" s="117"/>
      <c r="G14" s="117"/>
      <c r="H14" s="188"/>
      <c r="I14" s="117"/>
      <c r="J14" s="187"/>
      <c r="K14" s="188"/>
      <c r="L14" s="117"/>
      <c r="M14" s="188"/>
      <c r="N14" s="188"/>
      <c r="O14" s="189" t="str">
        <f aca="false">IF(OR(D14="",M14=""),"",M14/D14-1)</f>
        <v/>
      </c>
      <c r="P14" s="190" t="str">
        <f aca="false">IF(OR(H14="",N14=""),"",N14/H14-1)</f>
        <v/>
      </c>
      <c r="Q14" s="189" t="str">
        <f aca="false">IF(OR(O14="",P14=""),"",O14-P14)</f>
        <v/>
      </c>
    </row>
    <row r="15" customFormat="false" ht="15" hidden="false" customHeight="true" outlineLevel="0" collapsed="false">
      <c r="A15" s="182"/>
      <c r="B15" s="117"/>
      <c r="C15" s="187"/>
      <c r="D15" s="188"/>
      <c r="E15" s="117"/>
      <c r="F15" s="117"/>
      <c r="G15" s="117"/>
      <c r="H15" s="188"/>
      <c r="I15" s="117"/>
      <c r="J15" s="187"/>
      <c r="K15" s="188"/>
      <c r="L15" s="117"/>
      <c r="M15" s="188"/>
      <c r="N15" s="188"/>
      <c r="O15" s="189" t="str">
        <f aca="false">IF(OR(D15="",M15=""),"",M15/D15-1)</f>
        <v/>
      </c>
      <c r="P15" s="190" t="str">
        <f aca="false">IF(OR(H15="",N15=""),"",N15/H15-1)</f>
        <v/>
      </c>
      <c r="Q15" s="189" t="str">
        <f aca="false">IF(OR(O15="",P15=""),"",O15-P15)</f>
        <v/>
      </c>
    </row>
    <row r="16" customFormat="false" ht="15" hidden="false" customHeight="true" outlineLevel="0" collapsed="false">
      <c r="A16" s="182"/>
      <c r="B16" s="117"/>
      <c r="C16" s="187"/>
      <c r="D16" s="188"/>
      <c r="E16" s="117"/>
      <c r="F16" s="117"/>
      <c r="G16" s="117"/>
      <c r="H16" s="188"/>
      <c r="I16" s="117"/>
      <c r="J16" s="187"/>
      <c r="K16" s="188"/>
      <c r="L16" s="117"/>
      <c r="M16" s="188"/>
      <c r="N16" s="188"/>
      <c r="O16" s="189" t="str">
        <f aca="false">IF(OR(D16="",M16=""),"",M16/D16-1)</f>
        <v/>
      </c>
      <c r="P16" s="190" t="str">
        <f aca="false">IF(OR(H16="",N16=""),"",N16/H16-1)</f>
        <v/>
      </c>
      <c r="Q16" s="189" t="str">
        <f aca="false">IF(OR(O16="",P16=""),"",O16-P16)</f>
        <v/>
      </c>
    </row>
    <row r="17" customFormat="false" ht="15" hidden="false" customHeight="true" outlineLevel="0" collapsed="false">
      <c r="A17" s="182"/>
      <c r="B17" s="117"/>
      <c r="C17" s="187"/>
      <c r="D17" s="188"/>
      <c r="E17" s="117"/>
      <c r="F17" s="117"/>
      <c r="G17" s="117"/>
      <c r="H17" s="188"/>
      <c r="I17" s="117"/>
      <c r="J17" s="187"/>
      <c r="K17" s="188"/>
      <c r="L17" s="117"/>
      <c r="M17" s="188"/>
      <c r="N17" s="188"/>
      <c r="O17" s="189" t="str">
        <f aca="false">IF(OR(D17="",M17=""),"",M17/D17-1)</f>
        <v/>
      </c>
      <c r="P17" s="190" t="str">
        <f aca="false">IF(OR(H17="",N17=""),"",N17/H17-1)</f>
        <v/>
      </c>
      <c r="Q17" s="189" t="str">
        <f aca="false">IF(OR(O17="",P17=""),"",O17-P17)</f>
        <v/>
      </c>
    </row>
    <row r="18" customFormat="false" ht="15" hidden="false" customHeight="true" outlineLevel="0" collapsed="false">
      <c r="A18" s="182"/>
      <c r="B18" s="117"/>
      <c r="C18" s="187"/>
      <c r="D18" s="188"/>
      <c r="E18" s="117"/>
      <c r="F18" s="117"/>
      <c r="G18" s="117"/>
      <c r="H18" s="188"/>
      <c r="I18" s="117"/>
      <c r="J18" s="187"/>
      <c r="K18" s="188"/>
      <c r="L18" s="117"/>
      <c r="M18" s="188"/>
      <c r="N18" s="188"/>
      <c r="O18" s="189" t="str">
        <f aca="false">IF(OR(D18="",M18=""),"",M18/D18-1)</f>
        <v/>
      </c>
      <c r="P18" s="190" t="str">
        <f aca="false">IF(OR(H18="",N18=""),"",N18/H18-1)</f>
        <v/>
      </c>
      <c r="Q18" s="189" t="str">
        <f aca="false">IF(OR(O18="",P18=""),"",O18-P18)</f>
        <v/>
      </c>
    </row>
    <row r="19" customFormat="false" ht="15" hidden="false" customHeight="true" outlineLevel="0" collapsed="false">
      <c r="A19" s="182"/>
      <c r="B19" s="117"/>
      <c r="C19" s="187"/>
      <c r="D19" s="188"/>
      <c r="E19" s="117"/>
      <c r="F19" s="117"/>
      <c r="G19" s="117"/>
      <c r="H19" s="188"/>
      <c r="I19" s="117"/>
      <c r="J19" s="187"/>
      <c r="K19" s="188"/>
      <c r="L19" s="117"/>
      <c r="M19" s="188"/>
      <c r="N19" s="188"/>
      <c r="O19" s="189" t="str">
        <f aca="false">IF(OR(D19="",M19=""),"",M19/D19-1)</f>
        <v/>
      </c>
      <c r="P19" s="190" t="str">
        <f aca="false">IF(OR(H19="",N19=""),"",N19/H19-1)</f>
        <v/>
      </c>
      <c r="Q19" s="189" t="str">
        <f aca="false">IF(OR(O19="",P19=""),"",O19-P19)</f>
        <v/>
      </c>
    </row>
    <row r="20" customFormat="false" ht="15" hidden="false" customHeight="true" outlineLevel="0" collapsed="false">
      <c r="A20" s="182"/>
      <c r="B20" s="117"/>
      <c r="C20" s="187"/>
      <c r="D20" s="188"/>
      <c r="E20" s="117"/>
      <c r="F20" s="117"/>
      <c r="G20" s="117"/>
      <c r="H20" s="188"/>
      <c r="I20" s="117"/>
      <c r="J20" s="187"/>
      <c r="K20" s="188"/>
      <c r="L20" s="117"/>
      <c r="M20" s="188"/>
      <c r="N20" s="188"/>
      <c r="O20" s="189" t="str">
        <f aca="false">IF(OR(D20="",M20=""),"",M20/D20-1)</f>
        <v/>
      </c>
      <c r="P20" s="190" t="str">
        <f aca="false">IF(OR(H20="",N20=""),"",N20/H20-1)</f>
        <v/>
      </c>
      <c r="Q20" s="189" t="str">
        <f aca="false">IF(OR(O20="",P20=""),"",O20-P20)</f>
        <v/>
      </c>
    </row>
    <row r="21" customFormat="false" ht="15" hidden="false" customHeight="true" outlineLevel="0" collapsed="false">
      <c r="A21" s="182"/>
      <c r="B21" s="117"/>
      <c r="C21" s="187"/>
      <c r="D21" s="188"/>
      <c r="E21" s="117"/>
      <c r="F21" s="117"/>
      <c r="G21" s="117"/>
      <c r="H21" s="188"/>
      <c r="I21" s="117"/>
      <c r="J21" s="187"/>
      <c r="K21" s="188"/>
      <c r="L21" s="117"/>
      <c r="M21" s="188"/>
      <c r="N21" s="188"/>
      <c r="O21" s="189" t="str">
        <f aca="false">IF(OR(D21="",M21=""),"",M21/D21-1)</f>
        <v/>
      </c>
      <c r="P21" s="190" t="str">
        <f aca="false">IF(OR(H21="",N21=""),"",N21/H21-1)</f>
        <v/>
      </c>
      <c r="Q21" s="189" t="str">
        <f aca="false">IF(OR(O21="",P21=""),"",O21-P21)</f>
        <v/>
      </c>
    </row>
    <row r="22" customFormat="false" ht="15" hidden="false" customHeight="true" outlineLevel="0" collapsed="false">
      <c r="A22" s="182"/>
      <c r="B22" s="117"/>
      <c r="C22" s="187"/>
      <c r="D22" s="188"/>
      <c r="E22" s="117"/>
      <c r="F22" s="117"/>
      <c r="G22" s="117"/>
      <c r="H22" s="188"/>
      <c r="I22" s="117"/>
      <c r="J22" s="187"/>
      <c r="K22" s="188"/>
      <c r="L22" s="117"/>
      <c r="M22" s="188"/>
      <c r="N22" s="188"/>
      <c r="O22" s="189" t="str">
        <f aca="false">IF(OR(D22="",M22=""),"",M22/D22-1)</f>
        <v/>
      </c>
      <c r="P22" s="190" t="str">
        <f aca="false">IF(OR(H22="",N22=""),"",N22/H22-1)</f>
        <v/>
      </c>
      <c r="Q22" s="189" t="str">
        <f aca="false">IF(OR(O22="",P22=""),"",O22-P22)</f>
        <v/>
      </c>
    </row>
    <row r="23" customFormat="false" ht="15" hidden="false" customHeight="true" outlineLevel="0" collapsed="false">
      <c r="A23" s="182"/>
      <c r="B23" s="117"/>
      <c r="C23" s="187"/>
      <c r="D23" s="188"/>
      <c r="E23" s="117"/>
      <c r="F23" s="117"/>
      <c r="G23" s="117"/>
      <c r="H23" s="188"/>
      <c r="I23" s="117"/>
      <c r="J23" s="187"/>
      <c r="K23" s="188"/>
      <c r="L23" s="117"/>
      <c r="M23" s="188"/>
      <c r="N23" s="188"/>
      <c r="O23" s="189" t="str">
        <f aca="false">IF(OR(D23="",M23=""),"",M23/D23-1)</f>
        <v/>
      </c>
      <c r="P23" s="190" t="str">
        <f aca="false">IF(OR(H23="",N23=""),"",N23/H23-1)</f>
        <v/>
      </c>
      <c r="Q23" s="189" t="str">
        <f aca="false">IF(OR(O23="",P23=""),"",O23-P23)</f>
        <v/>
      </c>
    </row>
    <row r="24" customFormat="false" ht="15" hidden="false" customHeight="true" outlineLevel="0" collapsed="false">
      <c r="A24" s="182"/>
      <c r="B24" s="117"/>
      <c r="C24" s="187"/>
      <c r="D24" s="188"/>
      <c r="E24" s="117"/>
      <c r="F24" s="117"/>
      <c r="G24" s="117"/>
      <c r="H24" s="188"/>
      <c r="I24" s="117"/>
      <c r="J24" s="187"/>
      <c r="K24" s="188"/>
      <c r="L24" s="117"/>
      <c r="M24" s="188"/>
      <c r="N24" s="188"/>
      <c r="O24" s="189" t="str">
        <f aca="false">IF(OR(D24="",M24=""),"",M24/D24-1)</f>
        <v/>
      </c>
      <c r="P24" s="190" t="str">
        <f aca="false">IF(OR(H24="",N24=""),"",N24/H24-1)</f>
        <v/>
      </c>
      <c r="Q24" s="189" t="str">
        <f aca="false">IF(OR(O24="",P24=""),"",O24-P24)</f>
        <v/>
      </c>
    </row>
    <row r="25" customFormat="false" ht="15" hidden="false" customHeight="true" outlineLevel="0" collapsed="false">
      <c r="A25" s="182"/>
      <c r="B25" s="117"/>
      <c r="C25" s="187"/>
      <c r="D25" s="188"/>
      <c r="E25" s="117"/>
      <c r="F25" s="117"/>
      <c r="G25" s="117"/>
      <c r="H25" s="188"/>
      <c r="I25" s="117"/>
      <c r="J25" s="187"/>
      <c r="K25" s="188"/>
      <c r="L25" s="117"/>
      <c r="M25" s="188"/>
      <c r="N25" s="188"/>
      <c r="O25" s="189" t="str">
        <f aca="false">IF(OR(D25="",M25=""),"",M25/D25-1)</f>
        <v/>
      </c>
      <c r="P25" s="190" t="str">
        <f aca="false">IF(OR(H25="",N25=""),"",N25/H25-1)</f>
        <v/>
      </c>
      <c r="Q25" s="189" t="str">
        <f aca="false">IF(OR(O25="",P25=""),"",O25-P25)</f>
        <v/>
      </c>
    </row>
    <row r="26" customFormat="false" ht="15" hidden="false" customHeight="true" outlineLevel="0" collapsed="false">
      <c r="A26" s="182"/>
      <c r="B26" s="117"/>
      <c r="C26" s="187"/>
      <c r="D26" s="188"/>
      <c r="E26" s="117"/>
      <c r="F26" s="117"/>
      <c r="G26" s="117"/>
      <c r="H26" s="188"/>
      <c r="I26" s="117"/>
      <c r="J26" s="187"/>
      <c r="K26" s="188"/>
      <c r="L26" s="117"/>
      <c r="M26" s="188"/>
      <c r="N26" s="188"/>
      <c r="O26" s="189" t="str">
        <f aca="false">IF(OR(D26="",M26=""),"",M26/D26-1)</f>
        <v/>
      </c>
      <c r="P26" s="190" t="str">
        <f aca="false">IF(OR(H26="",N26=""),"",N26/H26-1)</f>
        <v/>
      </c>
      <c r="Q26" s="189" t="str">
        <f aca="false">IF(OR(O26="",P26=""),"",O26-P26)</f>
        <v/>
      </c>
    </row>
    <row r="27" customFormat="false" ht="15" hidden="false" customHeight="true" outlineLevel="0" collapsed="false">
      <c r="A27" s="182"/>
      <c r="B27" s="117"/>
      <c r="C27" s="187"/>
      <c r="D27" s="188"/>
      <c r="E27" s="117"/>
      <c r="F27" s="117"/>
      <c r="G27" s="117"/>
      <c r="H27" s="188"/>
      <c r="I27" s="117"/>
      <c r="J27" s="187"/>
      <c r="K27" s="188"/>
      <c r="L27" s="117"/>
      <c r="M27" s="188"/>
      <c r="N27" s="188"/>
      <c r="O27" s="189" t="str">
        <f aca="false">IF(OR(D27="",M27=""),"",M27/D27-1)</f>
        <v/>
      </c>
      <c r="P27" s="190" t="str">
        <f aca="false">IF(OR(H27="",N27=""),"",N27/H27-1)</f>
        <v/>
      </c>
      <c r="Q27" s="189" t="str">
        <f aca="false">IF(OR(O27="",P27=""),"",O27-P27)</f>
        <v/>
      </c>
    </row>
    <row r="28" customFormat="false" ht="15" hidden="false" customHeight="true" outlineLevel="0" collapsed="false">
      <c r="A28" s="182"/>
      <c r="B28" s="117"/>
      <c r="C28" s="187"/>
      <c r="D28" s="188"/>
      <c r="E28" s="117"/>
      <c r="F28" s="117"/>
      <c r="G28" s="117"/>
      <c r="H28" s="188"/>
      <c r="I28" s="117"/>
      <c r="J28" s="187"/>
      <c r="K28" s="188"/>
      <c r="L28" s="117"/>
      <c r="M28" s="188"/>
      <c r="N28" s="188"/>
      <c r="O28" s="189" t="str">
        <f aca="false">IF(OR(D28="",M28=""),"",M28/D28-1)</f>
        <v/>
      </c>
      <c r="P28" s="190" t="str">
        <f aca="false">IF(OR(H28="",N28=""),"",N28/H28-1)</f>
        <v/>
      </c>
      <c r="Q28" s="189" t="str">
        <f aca="false">IF(OR(O28="",P28=""),"",O28-P28)</f>
        <v/>
      </c>
    </row>
    <row r="29" customFormat="false" ht="15" hidden="false" customHeight="true" outlineLevel="0" collapsed="false">
      <c r="A29" s="182"/>
      <c r="B29" s="117"/>
      <c r="C29" s="187"/>
      <c r="D29" s="188"/>
      <c r="E29" s="117"/>
      <c r="F29" s="117"/>
      <c r="G29" s="117"/>
      <c r="H29" s="188"/>
      <c r="I29" s="117"/>
      <c r="J29" s="187"/>
      <c r="K29" s="188"/>
      <c r="L29" s="117"/>
      <c r="M29" s="188"/>
      <c r="N29" s="188"/>
      <c r="O29" s="189" t="str">
        <f aca="false">IF(OR(D29="",M29=""),"",M29/D29-1)</f>
        <v/>
      </c>
      <c r="P29" s="190" t="str">
        <f aca="false">IF(OR(H29="",N29=""),"",N29/H29-1)</f>
        <v/>
      </c>
      <c r="Q29" s="189" t="str">
        <f aca="false">IF(OR(O29="",P29=""),"",O29-P29)</f>
        <v/>
      </c>
    </row>
    <row r="30" customFormat="false" ht="15" hidden="false" customHeight="true" outlineLevel="0" collapsed="false">
      <c r="A30" s="182"/>
      <c r="B30" s="117"/>
      <c r="C30" s="187"/>
      <c r="D30" s="188"/>
      <c r="E30" s="117"/>
      <c r="F30" s="117"/>
      <c r="G30" s="117"/>
      <c r="H30" s="188"/>
      <c r="I30" s="117"/>
      <c r="J30" s="187"/>
      <c r="K30" s="188"/>
      <c r="L30" s="117"/>
      <c r="M30" s="188"/>
      <c r="N30" s="188"/>
      <c r="O30" s="189" t="str">
        <f aca="false">IF(OR(D30="",M30=""),"",M30/D30-1)</f>
        <v/>
      </c>
      <c r="P30" s="190" t="str">
        <f aca="false">IF(OR(H30="",N30=""),"",N30/H30-1)</f>
        <v/>
      </c>
      <c r="Q30" s="189" t="str">
        <f aca="false">IF(OR(O30="",P30=""),"",O30-P30)</f>
        <v/>
      </c>
    </row>
    <row r="31" customFormat="false" ht="15" hidden="false" customHeight="true" outlineLevel="0" collapsed="false">
      <c r="A31" s="182"/>
      <c r="B31" s="117"/>
      <c r="C31" s="187"/>
      <c r="D31" s="188"/>
      <c r="E31" s="117"/>
      <c r="F31" s="117"/>
      <c r="G31" s="117"/>
      <c r="H31" s="188"/>
      <c r="I31" s="117"/>
      <c r="J31" s="187"/>
      <c r="K31" s="188"/>
      <c r="L31" s="117"/>
      <c r="M31" s="188"/>
      <c r="N31" s="188"/>
      <c r="O31" s="189" t="str">
        <f aca="false">IF(OR(D31="",M31=""),"",M31/D31-1)</f>
        <v/>
      </c>
      <c r="P31" s="190" t="str">
        <f aca="false">IF(OR(H31="",N31=""),"",N31/H31-1)</f>
        <v/>
      </c>
      <c r="Q31" s="189" t="str">
        <f aca="false">IF(OR(O31="",P31=""),"",O31-P31)</f>
        <v/>
      </c>
    </row>
    <row r="32" customFormat="false" ht="15" hidden="false" customHeight="true" outlineLevel="0" collapsed="false">
      <c r="A32" s="182"/>
      <c r="B32" s="117"/>
      <c r="C32" s="187"/>
      <c r="D32" s="188"/>
      <c r="E32" s="117"/>
      <c r="F32" s="117"/>
      <c r="G32" s="117"/>
      <c r="H32" s="188"/>
      <c r="I32" s="117"/>
      <c r="J32" s="187"/>
      <c r="K32" s="188"/>
      <c r="L32" s="117"/>
      <c r="M32" s="188"/>
      <c r="N32" s="188"/>
      <c r="O32" s="189" t="str">
        <f aca="false">IF(OR(D32="",M32=""),"",M32/D32-1)</f>
        <v/>
      </c>
      <c r="P32" s="190" t="str">
        <f aca="false">IF(OR(H32="",N32=""),"",N32/H32-1)</f>
        <v/>
      </c>
      <c r="Q32" s="189" t="str">
        <f aca="false">IF(OR(O32="",P32=""),"",O32-P32)</f>
        <v/>
      </c>
    </row>
    <row r="34" customFormat="false" ht="25.5" hidden="false" customHeight="true" outlineLevel="0" collapsed="false">
      <c r="A34" s="191" t="s">
        <v>543</v>
      </c>
      <c r="B34" s="191"/>
      <c r="C34" s="191"/>
      <c r="D34" s="191"/>
      <c r="E34" s="191"/>
      <c r="F34" s="191"/>
      <c r="G34" s="191"/>
      <c r="H34" s="191"/>
      <c r="I34" s="191"/>
      <c r="J34" s="191"/>
      <c r="K34" s="191"/>
      <c r="L34" s="191"/>
      <c r="M34" s="191"/>
      <c r="N34" s="191"/>
      <c r="O34" s="191"/>
      <c r="P34" s="191"/>
      <c r="Q34" s="191"/>
    </row>
  </sheetData>
  <mergeCells count="2">
    <mergeCell ref="A1:P1"/>
    <mergeCell ref="A34:Q34"/>
  </mergeCells>
  <conditionalFormatting sqref="Q3:Q32">
    <cfRule type="cellIs" priority="2" operator="greaterThan" aboveAverage="0" equalAverage="0" bottom="0" percent="0" rank="0" text="" dxfId="17">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50" activePane="bottomLeft" state="frozen"/>
      <selection pane="topLeft" activeCell="A1" activeCellId="0" sqref="A1"/>
      <selection pane="bottomLeft" activeCell="C55" activeCellId="0" sqref="C55"/>
    </sheetView>
  </sheetViews>
  <sheetFormatPr defaultColWidth="8.66796875" defaultRowHeight="14.25" customHeight="false" zeroHeight="false" outlineLevelRow="0" outlineLevelCol="0"/>
  <cols>
    <col collapsed="false" customWidth="true" hidden="false" outlineLevel="0" max="1" min="1" style="192" width="8.76"/>
    <col collapsed="false" customWidth="true" hidden="false" outlineLevel="0" max="2" min="2" style="192" width="15.33"/>
    <col collapsed="false" customWidth="true" hidden="false" outlineLevel="0" max="3" min="3" style="1" width="98.56"/>
  </cols>
  <sheetData>
    <row r="1" customFormat="false" ht="27.75" hidden="false" customHeight="true" outlineLevel="0" collapsed="false">
      <c r="A1" s="193" t="s">
        <v>544</v>
      </c>
      <c r="B1" s="193"/>
      <c r="C1" s="193"/>
    </row>
    <row r="2" customFormat="false" ht="18" hidden="false" customHeight="true" outlineLevel="0" collapsed="false">
      <c r="A2" s="140" t="s">
        <v>461</v>
      </c>
      <c r="B2" s="140" t="s">
        <v>81</v>
      </c>
      <c r="C2" s="140" t="s">
        <v>210</v>
      </c>
    </row>
    <row r="3" customFormat="false" ht="27.75" hidden="false" customHeight="true" outlineLevel="0" collapsed="false">
      <c r="A3" s="194" t="n">
        <v>46241</v>
      </c>
      <c r="B3" s="195" t="s">
        <v>173</v>
      </c>
      <c r="C3" s="196" t="s">
        <v>545</v>
      </c>
    </row>
    <row r="4" customFormat="false" ht="27.75" hidden="false" customHeight="true" outlineLevel="0" collapsed="false">
      <c r="A4" s="194" t="n">
        <v>46241</v>
      </c>
      <c r="B4" s="195" t="s">
        <v>176</v>
      </c>
      <c r="C4" s="196" t="s">
        <v>546</v>
      </c>
    </row>
    <row r="5" customFormat="false" ht="15" hidden="false" customHeight="true" outlineLevel="0" collapsed="false">
      <c r="A5" s="194" t="n">
        <v>46241</v>
      </c>
      <c r="B5" s="195" t="s">
        <v>184</v>
      </c>
      <c r="C5" s="196" t="s">
        <v>547</v>
      </c>
    </row>
    <row r="6" customFormat="false" ht="40.5" hidden="false" customHeight="true" outlineLevel="0" collapsed="false">
      <c r="A6" s="194" t="n">
        <v>46241</v>
      </c>
      <c r="B6" s="195" t="s">
        <v>167</v>
      </c>
      <c r="C6" s="196" t="s">
        <v>548</v>
      </c>
    </row>
    <row r="7" customFormat="false" ht="27.75" hidden="false" customHeight="true" outlineLevel="0" collapsed="false">
      <c r="A7" s="194" t="n">
        <v>46241</v>
      </c>
      <c r="B7" s="195" t="s">
        <v>549</v>
      </c>
      <c r="C7" s="196" t="s">
        <v>550</v>
      </c>
    </row>
    <row r="8" customFormat="false" ht="27.75" hidden="false" customHeight="true" outlineLevel="0" collapsed="false">
      <c r="A8" s="194" t="n">
        <v>46241</v>
      </c>
      <c r="B8" s="195" t="s">
        <v>549</v>
      </c>
      <c r="C8" s="196" t="s">
        <v>551</v>
      </c>
    </row>
    <row r="9" customFormat="false" ht="27.75" hidden="false" customHeight="true" outlineLevel="0" collapsed="false">
      <c r="A9" s="194" t="n">
        <v>46241</v>
      </c>
      <c r="B9" s="195" t="s">
        <v>552</v>
      </c>
      <c r="C9" s="196" t="s">
        <v>553</v>
      </c>
    </row>
    <row r="10" customFormat="false" ht="27.75" hidden="false" customHeight="true" outlineLevel="0" collapsed="false">
      <c r="A10" s="194" t="n">
        <v>46241</v>
      </c>
      <c r="B10" s="195" t="s">
        <v>554</v>
      </c>
      <c r="C10" s="196" t="s">
        <v>555</v>
      </c>
    </row>
    <row r="11" customFormat="false" ht="27.75" hidden="false" customHeight="true" outlineLevel="0" collapsed="false">
      <c r="A11" s="194" t="n">
        <v>46241</v>
      </c>
      <c r="B11" s="195" t="s">
        <v>129</v>
      </c>
      <c r="C11" s="196" t="s">
        <v>556</v>
      </c>
    </row>
    <row r="12" customFormat="false" ht="78.75" hidden="false" customHeight="true" outlineLevel="0" collapsed="false">
      <c r="A12" s="194" t="n">
        <v>46273</v>
      </c>
      <c r="B12" s="195" t="s">
        <v>557</v>
      </c>
      <c r="C12" s="196" t="s">
        <v>558</v>
      </c>
    </row>
    <row r="13" customFormat="false" ht="53.25" hidden="false" customHeight="true" outlineLevel="0" collapsed="false">
      <c r="A13" s="194" t="n">
        <v>46295</v>
      </c>
      <c r="B13" s="195" t="s">
        <v>559</v>
      </c>
      <c r="C13" s="196" t="s">
        <v>560</v>
      </c>
    </row>
    <row r="14" customFormat="false" ht="66" hidden="false" customHeight="true" outlineLevel="0" collapsed="false">
      <c r="A14" s="194" t="n">
        <v>46302</v>
      </c>
      <c r="B14" s="195" t="s">
        <v>561</v>
      </c>
      <c r="C14" s="196" t="s">
        <v>562</v>
      </c>
    </row>
    <row r="15" customFormat="false" ht="91.5" hidden="false" customHeight="true" outlineLevel="0" collapsed="false">
      <c r="A15" s="194" t="n">
        <v>46320</v>
      </c>
      <c r="B15" s="195" t="s">
        <v>563</v>
      </c>
      <c r="C15" s="196" t="s">
        <v>564</v>
      </c>
    </row>
    <row r="16" customFormat="false" ht="53.25" hidden="false" customHeight="true" outlineLevel="0" collapsed="false">
      <c r="A16" s="194" t="n">
        <v>46335</v>
      </c>
      <c r="B16" s="195" t="s">
        <v>565</v>
      </c>
      <c r="C16" s="196" t="s">
        <v>566</v>
      </c>
    </row>
    <row r="17" customFormat="false" ht="27.75" hidden="false" customHeight="true" outlineLevel="0" collapsed="false">
      <c r="A17" s="194" t="n">
        <v>46387</v>
      </c>
      <c r="B17" s="195" t="s">
        <v>567</v>
      </c>
      <c r="C17" s="196" t="s">
        <v>568</v>
      </c>
    </row>
    <row r="18" customFormat="false" ht="66" hidden="false" customHeight="true" outlineLevel="0" collapsed="false">
      <c r="A18" s="194" t="n">
        <v>46412</v>
      </c>
      <c r="B18" s="195" t="s">
        <v>569</v>
      </c>
      <c r="C18" s="196" t="s">
        <v>570</v>
      </c>
    </row>
    <row r="19" customFormat="false" ht="91.5" hidden="false" customHeight="true" outlineLevel="0" collapsed="false">
      <c r="A19" s="194" t="n">
        <v>46252</v>
      </c>
      <c r="B19" s="195" t="s">
        <v>571</v>
      </c>
      <c r="C19" s="196" t="s">
        <v>572</v>
      </c>
    </row>
    <row r="20" customFormat="false" ht="66" hidden="false" customHeight="true" outlineLevel="0" collapsed="false">
      <c r="A20" s="194" t="n">
        <v>46258</v>
      </c>
      <c r="B20" s="195" t="s">
        <v>573</v>
      </c>
      <c r="C20" s="196" t="s">
        <v>574</v>
      </c>
    </row>
    <row r="21" customFormat="false" ht="104.25" hidden="false" customHeight="true" outlineLevel="0" collapsed="false">
      <c r="A21" s="194" t="n">
        <v>46260</v>
      </c>
      <c r="B21" s="195" t="s">
        <v>575</v>
      </c>
      <c r="C21" s="196" t="s">
        <v>576</v>
      </c>
    </row>
    <row r="22" customFormat="false" ht="155.25" hidden="false" customHeight="true" outlineLevel="0" collapsed="false">
      <c r="A22" s="194" t="n">
        <v>46272</v>
      </c>
      <c r="B22" s="195" t="s">
        <v>577</v>
      </c>
      <c r="C22" s="196" t="s">
        <v>578</v>
      </c>
    </row>
    <row r="23" customFormat="false" ht="53.25" hidden="false" customHeight="true" outlineLevel="0" collapsed="false">
      <c r="A23" s="194" t="n">
        <v>46302</v>
      </c>
      <c r="B23" s="195" t="s">
        <v>579</v>
      </c>
      <c r="C23" s="196" t="s">
        <v>580</v>
      </c>
    </row>
    <row r="24" customFormat="false" ht="53.25" hidden="false" customHeight="true" outlineLevel="0" collapsed="false">
      <c r="A24" s="194" t="n">
        <v>46310</v>
      </c>
      <c r="B24" s="195" t="s">
        <v>581</v>
      </c>
      <c r="C24" s="196" t="s">
        <v>580</v>
      </c>
    </row>
    <row r="25" customFormat="false" ht="53.25" hidden="false" customHeight="true" outlineLevel="0" collapsed="false">
      <c r="A25" s="194" t="n">
        <v>46335</v>
      </c>
      <c r="B25" s="195" t="s">
        <v>582</v>
      </c>
      <c r="C25" s="196" t="s">
        <v>580</v>
      </c>
    </row>
    <row r="26" customFormat="false" ht="53.25" hidden="false" customHeight="true" outlineLevel="0" collapsed="false">
      <c r="A26" s="194" t="n">
        <v>46342</v>
      </c>
      <c r="B26" s="195" t="s">
        <v>583</v>
      </c>
      <c r="C26" s="196" t="s">
        <v>580</v>
      </c>
    </row>
    <row r="27" customFormat="false" ht="53.25" hidden="false" customHeight="true" outlineLevel="0" collapsed="false">
      <c r="A27" s="194" t="n">
        <v>46363</v>
      </c>
      <c r="B27" s="195" t="s">
        <v>584</v>
      </c>
      <c r="C27" s="196" t="s">
        <v>580</v>
      </c>
    </row>
    <row r="28" customFormat="false" ht="53.25" hidden="false" customHeight="true" outlineLevel="0" collapsed="false">
      <c r="A28" s="194" t="n">
        <v>46371</v>
      </c>
      <c r="B28" s="195" t="s">
        <v>585</v>
      </c>
      <c r="C28" s="196" t="s">
        <v>580</v>
      </c>
    </row>
    <row r="29" customFormat="false" ht="53.25" hidden="false" customHeight="true" outlineLevel="0" collapsed="false">
      <c r="A29" s="194" t="n">
        <v>46394</v>
      </c>
      <c r="B29" s="195" t="s">
        <v>586</v>
      </c>
      <c r="C29" s="196" t="s">
        <v>580</v>
      </c>
    </row>
    <row r="30" customFormat="false" ht="53.25" hidden="false" customHeight="true" outlineLevel="0" collapsed="false">
      <c r="A30" s="194" t="n">
        <v>46402</v>
      </c>
      <c r="B30" s="195" t="s">
        <v>587</v>
      </c>
      <c r="C30" s="196" t="s">
        <v>580</v>
      </c>
    </row>
    <row r="31" customFormat="false" ht="53.25" hidden="false" customHeight="true" outlineLevel="0" collapsed="false">
      <c r="A31" s="194" t="n">
        <v>46426</v>
      </c>
      <c r="B31" s="195" t="s">
        <v>588</v>
      </c>
      <c r="C31" s="196" t="s">
        <v>580</v>
      </c>
    </row>
    <row r="32" customFormat="false" ht="53.25" hidden="false" customHeight="true" outlineLevel="0" collapsed="false">
      <c r="A32" s="194" t="n">
        <v>46434</v>
      </c>
      <c r="B32" s="195" t="s">
        <v>589</v>
      </c>
      <c r="C32" s="196" t="s">
        <v>580</v>
      </c>
    </row>
    <row r="33" customFormat="false" ht="53.25" hidden="false" customHeight="true" outlineLevel="0" collapsed="false">
      <c r="A33" s="194" t="n">
        <v>46454</v>
      </c>
      <c r="B33" s="195" t="s">
        <v>590</v>
      </c>
      <c r="C33" s="196" t="s">
        <v>580</v>
      </c>
    </row>
    <row r="34" customFormat="false" ht="53.25" hidden="false" customHeight="true" outlineLevel="0" collapsed="false">
      <c r="A34" s="194" t="n">
        <v>46461</v>
      </c>
      <c r="B34" s="195" t="s">
        <v>591</v>
      </c>
      <c r="C34" s="196" t="s">
        <v>592</v>
      </c>
    </row>
    <row r="35" customFormat="false" ht="117" hidden="false" customHeight="true" outlineLevel="0" collapsed="false">
      <c r="A35" s="194" t="n">
        <v>46273</v>
      </c>
      <c r="B35" s="195" t="s">
        <v>593</v>
      </c>
      <c r="C35" s="196" t="s">
        <v>594</v>
      </c>
    </row>
    <row r="36" customFormat="false" ht="155.25" hidden="false" customHeight="true" outlineLevel="0" collapsed="false">
      <c r="A36" s="194" t="n">
        <v>46276</v>
      </c>
      <c r="B36" s="195" t="s">
        <v>595</v>
      </c>
      <c r="C36" s="196" t="s">
        <v>596</v>
      </c>
    </row>
    <row r="37" customFormat="false" ht="91.5" hidden="false" customHeight="true" outlineLevel="0" collapsed="false">
      <c r="A37" s="194" t="n">
        <v>46276</v>
      </c>
      <c r="B37" s="195" t="s">
        <v>597</v>
      </c>
      <c r="C37" s="196" t="s">
        <v>598</v>
      </c>
    </row>
    <row r="38" customFormat="false" ht="78.75" hidden="false" customHeight="true" outlineLevel="0" collapsed="false">
      <c r="A38" s="194" t="n">
        <v>46276</v>
      </c>
      <c r="B38" s="195" t="s">
        <v>599</v>
      </c>
      <c r="C38" s="196" t="s">
        <v>600</v>
      </c>
    </row>
    <row r="39" customFormat="false" ht="168" hidden="false" customHeight="true" outlineLevel="0" collapsed="false">
      <c r="A39" s="194" t="n">
        <v>46276</v>
      </c>
      <c r="B39" s="195" t="s">
        <v>601</v>
      </c>
      <c r="C39" s="196" t="s">
        <v>602</v>
      </c>
    </row>
    <row r="40" customFormat="false" ht="129.75" hidden="false" customHeight="true" outlineLevel="0" collapsed="false">
      <c r="A40" s="194" t="n">
        <v>46276</v>
      </c>
      <c r="B40" s="195" t="s">
        <v>601</v>
      </c>
      <c r="C40" s="196" t="s">
        <v>603</v>
      </c>
    </row>
    <row r="41" customFormat="false" ht="129.75" hidden="false" customHeight="true" outlineLevel="0" collapsed="false">
      <c r="A41" s="194" t="n">
        <v>46276</v>
      </c>
      <c r="B41" s="195" t="s">
        <v>167</v>
      </c>
      <c r="C41" s="196" t="s">
        <v>604</v>
      </c>
    </row>
    <row r="42" customFormat="false" ht="155.25" hidden="false" customHeight="true" outlineLevel="0" collapsed="false">
      <c r="A42" s="194" t="n">
        <v>46276</v>
      </c>
      <c r="B42" s="195" t="s">
        <v>601</v>
      </c>
      <c r="C42" s="196" t="s">
        <v>605</v>
      </c>
    </row>
    <row r="43" customFormat="false" ht="168" hidden="false" customHeight="true" outlineLevel="0" collapsed="false">
      <c r="A43" s="194" t="n">
        <v>46276</v>
      </c>
      <c r="B43" s="195" t="s">
        <v>606</v>
      </c>
      <c r="C43" s="196" t="s">
        <v>607</v>
      </c>
    </row>
    <row r="44" customFormat="false" ht="155.25" hidden="false" customHeight="true" outlineLevel="0" collapsed="false">
      <c r="A44" s="194" t="n">
        <v>46276</v>
      </c>
      <c r="B44" s="195" t="s">
        <v>608</v>
      </c>
      <c r="C44" s="196" t="s">
        <v>609</v>
      </c>
    </row>
    <row r="45" customFormat="false" ht="27.75" hidden="false" customHeight="true" outlineLevel="0" collapsed="false">
      <c r="A45" s="194" t="n">
        <v>46295</v>
      </c>
      <c r="B45" s="195" t="s">
        <v>610</v>
      </c>
      <c r="C45" s="196" t="s">
        <v>611</v>
      </c>
    </row>
    <row r="46" customFormat="false" ht="40.5" hidden="false" customHeight="true" outlineLevel="0" collapsed="false">
      <c r="A46" s="194" t="n">
        <v>46302</v>
      </c>
      <c r="B46" s="195" t="s">
        <v>612</v>
      </c>
      <c r="C46" s="196" t="s">
        <v>613</v>
      </c>
    </row>
    <row r="47" customFormat="false" ht="15" hidden="false" customHeight="true" outlineLevel="0" collapsed="false">
      <c r="A47" s="194" t="n">
        <v>46317</v>
      </c>
      <c r="B47" s="195" t="s">
        <v>614</v>
      </c>
      <c r="C47" s="196" t="s">
        <v>615</v>
      </c>
    </row>
    <row r="48" customFormat="false" ht="27.75" hidden="false" customHeight="true" outlineLevel="0" collapsed="false">
      <c r="A48" s="194" t="n">
        <v>46335</v>
      </c>
      <c r="B48" s="195" t="s">
        <v>616</v>
      </c>
      <c r="C48" s="196" t="s">
        <v>617</v>
      </c>
    </row>
    <row r="49" customFormat="false" ht="27.75" hidden="false" customHeight="true" outlineLevel="0" collapsed="false">
      <c r="A49" s="194" t="n">
        <v>46349</v>
      </c>
      <c r="B49" s="195" t="s">
        <v>618</v>
      </c>
      <c r="C49" s="196" t="s">
        <v>619</v>
      </c>
    </row>
    <row r="50" customFormat="false" ht="15" hidden="false" customHeight="true" outlineLevel="0" collapsed="false">
      <c r="A50" s="194" t="n">
        <v>46363</v>
      </c>
      <c r="B50" s="195" t="s">
        <v>620</v>
      </c>
      <c r="C50" s="196" t="s">
        <v>615</v>
      </c>
    </row>
    <row r="51" customFormat="false" ht="15" hidden="false" customHeight="true" outlineLevel="0" collapsed="false">
      <c r="A51" s="194" t="n">
        <v>46378</v>
      </c>
      <c r="B51" s="195" t="s">
        <v>621</v>
      </c>
      <c r="C51" s="196" t="s">
        <v>615</v>
      </c>
    </row>
    <row r="52" customFormat="false" ht="27.75" hidden="false" customHeight="true" outlineLevel="0" collapsed="false">
      <c r="A52" s="194" t="n">
        <v>46394</v>
      </c>
      <c r="B52" s="195" t="s">
        <v>622</v>
      </c>
      <c r="C52" s="196" t="s">
        <v>623</v>
      </c>
    </row>
    <row r="53" customFormat="false" ht="295.5" hidden="false" customHeight="true" outlineLevel="0" collapsed="false">
      <c r="A53" s="194" t="n">
        <v>46276</v>
      </c>
      <c r="B53" s="195" t="s">
        <v>624</v>
      </c>
      <c r="C53" s="196" t="s">
        <v>625</v>
      </c>
    </row>
    <row r="54" customFormat="false" ht="359.25" hidden="false" customHeight="true" outlineLevel="0" collapsed="false">
      <c r="A54" s="194" t="n">
        <v>46278</v>
      </c>
      <c r="B54" s="195" t="s">
        <v>626</v>
      </c>
      <c r="C54" s="196" t="s">
        <v>627</v>
      </c>
    </row>
    <row r="55" customFormat="false" ht="270" hidden="false" customHeight="true" outlineLevel="0" collapsed="false">
      <c r="A55" s="194" t="n">
        <v>46278</v>
      </c>
      <c r="B55" s="195" t="s">
        <v>628</v>
      </c>
      <c r="C55" s="196" t="s">
        <v>629</v>
      </c>
    </row>
    <row r="56" customFormat="false" ht="409.5" hidden="false" customHeight="true" outlineLevel="0" collapsed="false">
      <c r="A56" s="194" t="n">
        <v>46278</v>
      </c>
      <c r="B56" s="195" t="s">
        <v>630</v>
      </c>
      <c r="C56" s="196" t="s">
        <v>631</v>
      </c>
    </row>
    <row r="57" customFormat="false" ht="193.5" hidden="false" customHeight="true" outlineLevel="0" collapsed="false">
      <c r="A57" s="194" t="n">
        <v>46278</v>
      </c>
      <c r="B57" s="195" t="s">
        <v>632</v>
      </c>
      <c r="C57" s="196" t="s">
        <v>633</v>
      </c>
    </row>
    <row r="58" customFormat="false" ht="384.75" hidden="false" customHeight="true" outlineLevel="0" collapsed="false">
      <c r="A58" s="194" t="n">
        <v>46278</v>
      </c>
      <c r="B58" s="195" t="s">
        <v>634</v>
      </c>
      <c r="C58" s="196" t="s">
        <v>635</v>
      </c>
    </row>
    <row r="59" customFormat="false" ht="409.5" hidden="false" customHeight="true" outlineLevel="0" collapsed="false">
      <c r="A59" s="194" t="n">
        <v>46278</v>
      </c>
      <c r="B59" s="195" t="s">
        <v>636</v>
      </c>
      <c r="C59" s="196" t="s">
        <v>637</v>
      </c>
    </row>
    <row r="60" customFormat="false" ht="397.5" hidden="false" customHeight="true" outlineLevel="0" collapsed="false">
      <c r="A60" s="194" t="n">
        <v>46278</v>
      </c>
      <c r="B60" s="195" t="s">
        <v>638</v>
      </c>
      <c r="C60" s="196" t="s">
        <v>639</v>
      </c>
    </row>
    <row r="61" customFormat="false" ht="409.5" hidden="false" customHeight="true" outlineLevel="0" collapsed="false">
      <c r="A61" s="194" t="n">
        <v>46278</v>
      </c>
      <c r="B61" s="195" t="s">
        <v>640</v>
      </c>
      <c r="C61" s="196" t="s">
        <v>641</v>
      </c>
    </row>
    <row r="62" customFormat="false" ht="409.5" hidden="false" customHeight="true" outlineLevel="0" collapsed="false">
      <c r="A62" s="194" t="n">
        <v>46294</v>
      </c>
      <c r="B62" s="195" t="s">
        <v>642</v>
      </c>
      <c r="C62" s="196" t="s">
        <v>643</v>
      </c>
    </row>
    <row r="63" customFormat="false" ht="129.75" hidden="false" customHeight="true" outlineLevel="0" collapsed="false">
      <c r="A63" s="194" t="n">
        <v>46294</v>
      </c>
      <c r="B63" s="195" t="s">
        <v>644</v>
      </c>
      <c r="C63" s="196" t="s">
        <v>645</v>
      </c>
    </row>
    <row r="64" customFormat="false" ht="155.25" hidden="false" customHeight="true" outlineLevel="0" collapsed="false">
      <c r="A64" s="194" t="n">
        <v>46295</v>
      </c>
      <c r="B64" s="195" t="s">
        <v>610</v>
      </c>
      <c r="C64" s="196" t="s">
        <v>646</v>
      </c>
    </row>
    <row r="65" customFormat="false" ht="104.25" hidden="false" customHeight="true" outlineLevel="0" collapsed="false">
      <c r="A65" s="194" t="n">
        <v>46295</v>
      </c>
      <c r="B65" s="195" t="s">
        <v>647</v>
      </c>
      <c r="C65" s="196" t="s">
        <v>648</v>
      </c>
    </row>
    <row r="66" customFormat="false" ht="282.75" hidden="false" customHeight="true" outlineLevel="0" collapsed="false">
      <c r="A66" s="194" t="n">
        <v>46295</v>
      </c>
      <c r="B66" s="195" t="s">
        <v>95</v>
      </c>
      <c r="C66" s="196" t="s">
        <v>649</v>
      </c>
    </row>
    <row r="67" customFormat="false" ht="155.25" hidden="false" customHeight="true" outlineLevel="0" collapsed="false">
      <c r="A67" s="194" t="n">
        <v>46295</v>
      </c>
      <c r="B67" s="195"/>
      <c r="C67" s="196" t="s">
        <v>650</v>
      </c>
    </row>
    <row r="68" customFormat="false" ht="155.25" hidden="false" customHeight="true" outlineLevel="0" collapsed="false">
      <c r="A68" s="194" t="n">
        <v>46295</v>
      </c>
      <c r="B68" s="195"/>
      <c r="C68" s="196" t="s">
        <v>651</v>
      </c>
    </row>
    <row r="69" customFormat="false" ht="219" hidden="false" customHeight="true" outlineLevel="0" collapsed="false">
      <c r="A69" s="194" t="n">
        <v>46295</v>
      </c>
      <c r="B69" s="195" t="s">
        <v>652</v>
      </c>
      <c r="C69" s="196" t="s">
        <v>653</v>
      </c>
    </row>
    <row r="70" customFormat="false" ht="206.25" hidden="false" customHeight="true" outlineLevel="0" collapsed="false">
      <c r="A70" s="194" t="n">
        <v>46295</v>
      </c>
      <c r="B70" s="195" t="s">
        <v>654</v>
      </c>
      <c r="C70" s="196" t="s">
        <v>655</v>
      </c>
    </row>
    <row r="71" customFormat="false" ht="409.5" hidden="false" customHeight="true" outlineLevel="0" collapsed="false">
      <c r="A71" s="194" t="n">
        <v>46296</v>
      </c>
      <c r="B71" s="195" t="s">
        <v>143</v>
      </c>
      <c r="C71" s="196" t="s">
        <v>656</v>
      </c>
    </row>
    <row r="72" customFormat="false" ht="295.5" hidden="false" customHeight="true" outlineLevel="0" collapsed="false">
      <c r="A72" s="194" t="n">
        <v>46296</v>
      </c>
      <c r="B72" s="195"/>
      <c r="C72" s="196" t="s">
        <v>657</v>
      </c>
    </row>
    <row r="73" customFormat="false" ht="282.75" hidden="false" customHeight="true" outlineLevel="0" collapsed="false">
      <c r="A73" s="194" t="n">
        <v>46296</v>
      </c>
      <c r="B73" s="195" t="s">
        <v>658</v>
      </c>
      <c r="C73" s="196" t="s">
        <v>659</v>
      </c>
    </row>
    <row r="74" customFormat="false" ht="142.5" hidden="false" customHeight="true" outlineLevel="0" collapsed="false">
      <c r="A74" s="194" t="n">
        <v>46296</v>
      </c>
      <c r="B74" s="195" t="s">
        <v>660</v>
      </c>
      <c r="C74" s="196" t="s">
        <v>661</v>
      </c>
    </row>
    <row r="75" customFormat="false" ht="117" hidden="false" customHeight="true" outlineLevel="0" collapsed="false">
      <c r="A75" s="194" t="n">
        <v>46297</v>
      </c>
      <c r="B75" s="195" t="s">
        <v>662</v>
      </c>
      <c r="C75" s="196" t="s">
        <v>663</v>
      </c>
    </row>
    <row r="76" customFormat="false" ht="53.25" hidden="false" customHeight="true" outlineLevel="0" collapsed="false">
      <c r="A76" s="194" t="n">
        <v>46297</v>
      </c>
      <c r="B76" s="195" t="s">
        <v>143</v>
      </c>
      <c r="C76" s="196" t="s">
        <v>664</v>
      </c>
    </row>
    <row r="77" customFormat="false" ht="155.25" hidden="false" customHeight="true" outlineLevel="0" collapsed="false">
      <c r="A77" s="194" t="n">
        <v>46297</v>
      </c>
      <c r="B77" s="195" t="s">
        <v>665</v>
      </c>
      <c r="C77" s="196" t="s">
        <v>666</v>
      </c>
    </row>
    <row r="78" customFormat="false" ht="295.5" hidden="false" customHeight="true" outlineLevel="0" collapsed="false">
      <c r="A78" s="194" t="n">
        <v>46297</v>
      </c>
      <c r="B78" s="195" t="s">
        <v>667</v>
      </c>
      <c r="C78" s="196" t="s">
        <v>668</v>
      </c>
    </row>
    <row r="79" customFormat="false" ht="282.75" hidden="false" customHeight="true" outlineLevel="0" collapsed="false">
      <c r="A79" s="194" t="n">
        <v>46297</v>
      </c>
      <c r="B79" s="195" t="s">
        <v>669</v>
      </c>
      <c r="C79" s="196" t="s">
        <v>670</v>
      </c>
    </row>
    <row r="80" customFormat="false" ht="257.25" hidden="false" customHeight="true" outlineLevel="0" collapsed="false">
      <c r="A80" s="194" t="n">
        <v>46297</v>
      </c>
      <c r="B80" s="195" t="s">
        <v>407</v>
      </c>
      <c r="C80" s="196" t="s">
        <v>671</v>
      </c>
    </row>
    <row r="81" customFormat="false" ht="282.75" hidden="false" customHeight="true" outlineLevel="0" collapsed="false">
      <c r="A81" s="194" t="n">
        <v>46299</v>
      </c>
      <c r="B81" s="195" t="s">
        <v>672</v>
      </c>
      <c r="C81" s="196" t="s">
        <v>673</v>
      </c>
    </row>
    <row r="82" customFormat="false" ht="14.25" hidden="false" customHeight="true" outlineLevel="0" collapsed="false">
      <c r="A82" s="194"/>
      <c r="B82" s="195"/>
      <c r="C82" s="196"/>
    </row>
    <row r="83" customFormat="false" ht="14.25" hidden="false" customHeight="true" outlineLevel="0" collapsed="false">
      <c r="A83" s="194"/>
      <c r="B83" s="195"/>
      <c r="C83" s="196"/>
    </row>
    <row r="84" customFormat="false" ht="14.25" hidden="false" customHeight="true" outlineLevel="0" collapsed="false">
      <c r="A84" s="194"/>
      <c r="B84" s="195"/>
      <c r="C84" s="196"/>
    </row>
    <row r="85" customFormat="false" ht="14.25" hidden="false" customHeight="true" outlineLevel="0" collapsed="false">
      <c r="A85" s="194"/>
      <c r="B85" s="195"/>
      <c r="C85" s="196"/>
    </row>
    <row r="86" customFormat="false" ht="14.25" hidden="false" customHeight="true" outlineLevel="0" collapsed="false">
      <c r="A86" s="194"/>
      <c r="B86" s="195"/>
      <c r="C86" s="196"/>
    </row>
    <row r="87" customFormat="false" ht="14.25" hidden="false" customHeight="true" outlineLevel="0" collapsed="false">
      <c r="A87" s="194"/>
      <c r="B87" s="195"/>
      <c r="C87" s="196"/>
    </row>
    <row r="88" customFormat="false" ht="14.25" hidden="false" customHeight="true" outlineLevel="0" collapsed="false">
      <c r="A88" s="194"/>
      <c r="B88" s="195"/>
      <c r="C88" s="196"/>
    </row>
    <row r="89" customFormat="false" ht="14.25" hidden="false" customHeight="true" outlineLevel="0" collapsed="false">
      <c r="A89" s="194"/>
      <c r="B89" s="195"/>
      <c r="C89" s="196"/>
    </row>
    <row r="90" customFormat="false" ht="14.25" hidden="false" customHeight="true" outlineLevel="0" collapsed="false">
      <c r="A90" s="194"/>
      <c r="B90" s="195"/>
      <c r="C90" s="196"/>
    </row>
    <row r="91" customFormat="false" ht="14.25" hidden="false" customHeight="true" outlineLevel="0" collapsed="false">
      <c r="A91" s="194"/>
      <c r="B91" s="195"/>
      <c r="C91" s="196"/>
    </row>
    <row r="92" customFormat="false" ht="14.25" hidden="false" customHeight="true" outlineLevel="0" collapsed="false">
      <c r="A92" s="194"/>
      <c r="B92" s="195"/>
      <c r="C92" s="196"/>
    </row>
    <row r="93" customFormat="false" ht="14.25" hidden="false" customHeight="true" outlineLevel="0" collapsed="false">
      <c r="A93" s="194"/>
      <c r="B93" s="195"/>
      <c r="C93" s="196"/>
    </row>
    <row r="94" customFormat="false" ht="14.25" hidden="false" customHeight="true" outlineLevel="0" collapsed="false">
      <c r="A94" s="194"/>
      <c r="B94" s="195"/>
      <c r="C94" s="196"/>
    </row>
    <row r="95" customFormat="false" ht="14.25" hidden="false" customHeight="true" outlineLevel="0" collapsed="false">
      <c r="A95" s="194"/>
      <c r="B95" s="195"/>
      <c r="C95" s="196"/>
    </row>
    <row r="96" customFormat="false" ht="14.25" hidden="false" customHeight="true" outlineLevel="0" collapsed="false">
      <c r="A96" s="194"/>
      <c r="B96" s="195"/>
      <c r="C96" s="196"/>
    </row>
    <row r="97" customFormat="false" ht="14.25" hidden="false" customHeight="true" outlineLevel="0" collapsed="false">
      <c r="A97" s="194"/>
      <c r="B97" s="195"/>
      <c r="C97" s="196"/>
    </row>
    <row r="98" customFormat="false" ht="14.25" hidden="false" customHeight="true" outlineLevel="0" collapsed="false">
      <c r="A98" s="194"/>
      <c r="B98" s="195"/>
      <c r="C98" s="196"/>
    </row>
    <row r="99" customFormat="false" ht="14.25" hidden="false" customHeight="true" outlineLevel="0" collapsed="false">
      <c r="A99" s="194"/>
      <c r="B99" s="195"/>
      <c r="C99" s="196"/>
    </row>
    <row r="100" customFormat="false" ht="14.25" hidden="false" customHeight="true" outlineLevel="0" collapsed="false">
      <c r="A100" s="194"/>
      <c r="B100" s="195"/>
      <c r="C100" s="196"/>
    </row>
    <row r="101" customFormat="false" ht="14.25" hidden="false" customHeight="true" outlineLevel="0" collapsed="false">
      <c r="A101" s="194"/>
      <c r="B101" s="195"/>
      <c r="C101" s="196"/>
    </row>
    <row r="102" customFormat="false" ht="14.25" hidden="false" customHeight="true" outlineLevel="0" collapsed="false">
      <c r="A102" s="194"/>
      <c r="B102" s="195"/>
      <c r="C102" s="196"/>
    </row>
    <row r="103" customFormat="false" ht="14.25" hidden="false" customHeight="true" outlineLevel="0" collapsed="false">
      <c r="A103" s="194"/>
      <c r="B103" s="195"/>
      <c r="C103" s="196"/>
    </row>
    <row r="104" customFormat="false" ht="14.25" hidden="false" customHeight="true" outlineLevel="0" collapsed="false">
      <c r="A104" s="194"/>
      <c r="B104" s="195"/>
      <c r="C104" s="196"/>
    </row>
    <row r="105" customFormat="false" ht="14.25" hidden="false" customHeight="true" outlineLevel="0" collapsed="false">
      <c r="A105" s="194"/>
      <c r="B105" s="195"/>
      <c r="C105" s="196"/>
    </row>
    <row r="106" customFormat="false" ht="14.25" hidden="false" customHeight="true" outlineLevel="0" collapsed="false">
      <c r="A106" s="194"/>
      <c r="B106" s="195"/>
      <c r="C106" s="196"/>
    </row>
    <row r="107" customFormat="false" ht="14.25" hidden="false" customHeight="true" outlineLevel="0" collapsed="false">
      <c r="A107" s="194"/>
      <c r="B107" s="195"/>
      <c r="C107" s="196"/>
    </row>
    <row r="108" customFormat="false" ht="14.25" hidden="false" customHeight="true" outlineLevel="0" collapsed="false">
      <c r="A108" s="194"/>
      <c r="B108" s="195"/>
      <c r="C108" s="196"/>
    </row>
    <row r="109" customFormat="false" ht="14.25" hidden="false" customHeight="true" outlineLevel="0" collapsed="false">
      <c r="A109" s="194"/>
      <c r="B109" s="195"/>
      <c r="C109" s="196"/>
    </row>
    <row r="110" customFormat="false" ht="14.25" hidden="false" customHeight="true" outlineLevel="0" collapsed="false">
      <c r="A110" s="194"/>
      <c r="B110" s="195"/>
      <c r="C110" s="196"/>
    </row>
    <row r="111" customFormat="false" ht="14.25" hidden="false" customHeight="true" outlineLevel="0" collapsed="false">
      <c r="A111" s="194"/>
      <c r="B111" s="195"/>
      <c r="C111" s="196"/>
    </row>
    <row r="112" customFormat="false" ht="14.25" hidden="false" customHeight="true" outlineLevel="0" collapsed="false">
      <c r="A112" s="194"/>
      <c r="B112" s="195"/>
      <c r="C112" s="196"/>
    </row>
    <row r="113" customFormat="false" ht="14.25" hidden="false" customHeight="true" outlineLevel="0" collapsed="false">
      <c r="A113" s="194"/>
      <c r="B113" s="195"/>
      <c r="C113" s="196"/>
    </row>
    <row r="114" customFormat="false" ht="14.25" hidden="false" customHeight="true" outlineLevel="0" collapsed="false">
      <c r="A114" s="194"/>
      <c r="B114" s="195"/>
      <c r="C114" s="196"/>
    </row>
    <row r="115" customFormat="false" ht="14.25" hidden="false" customHeight="true" outlineLevel="0" collapsed="false">
      <c r="A115" s="194"/>
      <c r="B115" s="195"/>
      <c r="C115" s="196"/>
    </row>
    <row r="116" customFormat="false" ht="14.25" hidden="false" customHeight="true" outlineLevel="0" collapsed="false">
      <c r="A116" s="194"/>
      <c r="B116" s="195"/>
      <c r="C116" s="196"/>
    </row>
    <row r="117" customFormat="false" ht="14.25" hidden="false" customHeight="true" outlineLevel="0" collapsed="false">
      <c r="A117" s="194"/>
      <c r="B117" s="195"/>
      <c r="C117" s="196"/>
    </row>
    <row r="118" customFormat="false" ht="14.25" hidden="false" customHeight="true" outlineLevel="0" collapsed="false">
      <c r="A118" s="194"/>
      <c r="B118" s="195"/>
      <c r="C118" s="196"/>
    </row>
    <row r="119" customFormat="false" ht="14.25" hidden="false" customHeight="true" outlineLevel="0" collapsed="false">
      <c r="A119" s="194"/>
      <c r="B119" s="195"/>
      <c r="C119" s="196"/>
    </row>
    <row r="120" customFormat="false" ht="14.25" hidden="false" customHeight="true" outlineLevel="0" collapsed="false">
      <c r="A120" s="194"/>
      <c r="B120" s="195"/>
      <c r="C120" s="196"/>
    </row>
    <row r="121" customFormat="false" ht="14.25" hidden="false" customHeight="true" outlineLevel="0" collapsed="false">
      <c r="A121" s="194"/>
      <c r="B121" s="195"/>
      <c r="C121" s="196"/>
    </row>
    <row r="122" customFormat="false" ht="14.25" hidden="false" customHeight="true" outlineLevel="0" collapsed="false">
      <c r="A122" s="194"/>
      <c r="B122" s="195"/>
      <c r="C122" s="196"/>
    </row>
    <row r="123" customFormat="false" ht="14.25" hidden="false" customHeight="true" outlineLevel="0" collapsed="false">
      <c r="A123" s="194"/>
      <c r="B123" s="195"/>
      <c r="C123" s="196"/>
    </row>
    <row r="124" customFormat="false" ht="14.25" hidden="false" customHeight="true" outlineLevel="0" collapsed="false">
      <c r="A124" s="194"/>
      <c r="B124" s="195"/>
      <c r="C124" s="196"/>
    </row>
    <row r="125" customFormat="false" ht="14.25" hidden="false" customHeight="true" outlineLevel="0" collapsed="false">
      <c r="A125" s="194"/>
      <c r="B125" s="195"/>
      <c r="C125" s="196"/>
    </row>
    <row r="126" customFormat="false" ht="14.25" hidden="false" customHeight="true" outlineLevel="0" collapsed="false">
      <c r="A126" s="194"/>
      <c r="B126" s="195"/>
      <c r="C126" s="196"/>
    </row>
    <row r="127" customFormat="false" ht="14.25" hidden="false" customHeight="true" outlineLevel="0" collapsed="false">
      <c r="A127" s="194"/>
      <c r="B127" s="195"/>
      <c r="C127" s="196"/>
    </row>
    <row r="128" customFormat="false" ht="14.25" hidden="false" customHeight="true" outlineLevel="0" collapsed="false">
      <c r="A128" s="194"/>
      <c r="B128" s="195"/>
      <c r="C128" s="196"/>
    </row>
    <row r="129" customFormat="false" ht="14.25" hidden="false" customHeight="true" outlineLevel="0" collapsed="false">
      <c r="A129" s="194"/>
      <c r="B129" s="195"/>
      <c r="C129" s="196"/>
    </row>
    <row r="130" customFormat="false" ht="14.25" hidden="false" customHeight="true" outlineLevel="0" collapsed="false">
      <c r="A130" s="194"/>
      <c r="B130" s="195"/>
      <c r="C130" s="196"/>
    </row>
    <row r="131" customFormat="false" ht="14.25" hidden="false" customHeight="true" outlineLevel="0" collapsed="false">
      <c r="A131" s="194"/>
      <c r="B131" s="195"/>
      <c r="C131" s="196"/>
    </row>
    <row r="132" customFormat="false" ht="14.25" hidden="false" customHeight="true" outlineLevel="0" collapsed="false">
      <c r="A132" s="194"/>
      <c r="B132" s="195"/>
      <c r="C132" s="196"/>
    </row>
    <row r="133" customFormat="false" ht="14.25" hidden="false" customHeight="true" outlineLevel="0" collapsed="false">
      <c r="A133" s="194"/>
      <c r="B133" s="195"/>
      <c r="C133" s="196"/>
    </row>
    <row r="134" customFormat="false" ht="14.25" hidden="false" customHeight="true" outlineLevel="0" collapsed="false">
      <c r="A134" s="194"/>
      <c r="B134" s="195"/>
      <c r="C134" s="196"/>
    </row>
    <row r="135" customFormat="false" ht="14.25" hidden="false" customHeight="true" outlineLevel="0" collapsed="false">
      <c r="A135" s="194"/>
      <c r="B135" s="195"/>
      <c r="C135" s="196"/>
    </row>
    <row r="136" customFormat="false" ht="14.25" hidden="false" customHeight="true" outlineLevel="0" collapsed="false">
      <c r="A136" s="194"/>
      <c r="B136" s="195"/>
      <c r="C136" s="196"/>
    </row>
    <row r="137" customFormat="false" ht="14.25" hidden="false" customHeight="true" outlineLevel="0" collapsed="false">
      <c r="A137" s="194"/>
      <c r="B137" s="195"/>
      <c r="C137" s="196"/>
    </row>
    <row r="138" customFormat="false" ht="14.25" hidden="false" customHeight="true" outlineLevel="0" collapsed="false">
      <c r="A138" s="194"/>
      <c r="B138" s="195"/>
      <c r="C138" s="196"/>
    </row>
    <row r="139" customFormat="false" ht="14.25" hidden="false" customHeight="true" outlineLevel="0" collapsed="false">
      <c r="A139" s="194"/>
      <c r="B139" s="195"/>
      <c r="C139" s="196"/>
    </row>
    <row r="140" customFormat="false" ht="14.25" hidden="false" customHeight="true" outlineLevel="0" collapsed="false">
      <c r="A140" s="194"/>
      <c r="B140" s="195"/>
      <c r="C140" s="196"/>
    </row>
    <row r="141" customFormat="false" ht="14.25" hidden="false" customHeight="true" outlineLevel="0" collapsed="false">
      <c r="A141" s="194"/>
      <c r="B141" s="195"/>
      <c r="C141" s="196"/>
    </row>
    <row r="142" customFormat="false" ht="14.25" hidden="false" customHeight="true" outlineLevel="0" collapsed="false">
      <c r="A142" s="194"/>
      <c r="B142" s="195"/>
      <c r="C142" s="196"/>
    </row>
    <row r="143" customFormat="false" ht="14.25" hidden="false" customHeight="true" outlineLevel="0" collapsed="false">
      <c r="A143" s="194"/>
      <c r="B143" s="195"/>
      <c r="C143" s="196"/>
    </row>
    <row r="144" customFormat="false" ht="14.25" hidden="false" customHeight="true" outlineLevel="0" collapsed="false">
      <c r="A144" s="194"/>
      <c r="B144" s="195"/>
      <c r="C144" s="196"/>
    </row>
    <row r="145" customFormat="false" ht="14.25" hidden="false" customHeight="true" outlineLevel="0" collapsed="false">
      <c r="A145" s="194"/>
      <c r="B145" s="195"/>
      <c r="C145" s="196"/>
    </row>
    <row r="146" customFormat="false" ht="14.25" hidden="false" customHeight="true" outlineLevel="0" collapsed="false">
      <c r="A146" s="194"/>
      <c r="B146" s="195"/>
      <c r="C146" s="196"/>
    </row>
    <row r="147" customFormat="false" ht="14.25" hidden="false" customHeight="true" outlineLevel="0" collapsed="false">
      <c r="A147" s="194"/>
      <c r="B147" s="195"/>
      <c r="C147" s="196"/>
    </row>
    <row r="148" customFormat="false" ht="14.25" hidden="false" customHeight="true" outlineLevel="0" collapsed="false">
      <c r="A148" s="194"/>
      <c r="B148" s="195"/>
      <c r="C148" s="196"/>
    </row>
    <row r="149" customFormat="false" ht="14.25" hidden="false" customHeight="true" outlineLevel="0" collapsed="false">
      <c r="A149" s="194"/>
      <c r="B149" s="195"/>
      <c r="C149" s="196"/>
    </row>
    <row r="150" customFormat="false" ht="14.25" hidden="false" customHeight="true" outlineLevel="0" collapsed="false">
      <c r="A150" s="194"/>
      <c r="B150" s="195"/>
      <c r="C150" s="196"/>
    </row>
    <row r="151" customFormat="false" ht="14.25" hidden="false" customHeight="true" outlineLevel="0" collapsed="false">
      <c r="A151" s="194"/>
      <c r="B151" s="195"/>
      <c r="C151" s="196"/>
    </row>
    <row r="152" customFormat="false" ht="14.25" hidden="false" customHeight="true" outlineLevel="0" collapsed="false">
      <c r="A152" s="194"/>
      <c r="B152" s="195"/>
      <c r="C152" s="196"/>
    </row>
    <row r="153" customFormat="false" ht="14.25" hidden="false" customHeight="true" outlineLevel="0" collapsed="false">
      <c r="A153" s="194"/>
      <c r="B153" s="195"/>
      <c r="C153" s="196"/>
    </row>
    <row r="154" customFormat="false" ht="14.25" hidden="false" customHeight="true" outlineLevel="0" collapsed="false">
      <c r="A154" s="194"/>
      <c r="B154" s="195"/>
      <c r="C154" s="196"/>
    </row>
    <row r="155" customFormat="false" ht="14.25" hidden="false" customHeight="true" outlineLevel="0" collapsed="false">
      <c r="A155" s="194"/>
      <c r="B155" s="195"/>
      <c r="C155" s="196"/>
    </row>
    <row r="156" customFormat="false" ht="14.25" hidden="false" customHeight="true" outlineLevel="0" collapsed="false">
      <c r="A156" s="194"/>
      <c r="B156" s="195"/>
      <c r="C156" s="196"/>
    </row>
    <row r="157" customFormat="false" ht="14.25" hidden="false" customHeight="true" outlineLevel="0" collapsed="false">
      <c r="A157" s="194"/>
      <c r="B157" s="195"/>
      <c r="C157" s="196"/>
    </row>
    <row r="158" customFormat="false" ht="14.25" hidden="false" customHeight="true" outlineLevel="0" collapsed="false">
      <c r="A158" s="194"/>
      <c r="B158" s="195"/>
      <c r="C158" s="196"/>
    </row>
    <row r="159" customFormat="false" ht="14.25" hidden="false" customHeight="true" outlineLevel="0" collapsed="false">
      <c r="A159" s="194"/>
      <c r="B159" s="195"/>
      <c r="C159" s="196"/>
    </row>
    <row r="160" customFormat="false" ht="14.25" hidden="false" customHeight="true" outlineLevel="0" collapsed="false">
      <c r="A160" s="194"/>
      <c r="B160" s="195"/>
      <c r="C160" s="196"/>
    </row>
    <row r="161" customFormat="false" ht="14.25" hidden="false" customHeight="true" outlineLevel="0" collapsed="false">
      <c r="A161" s="194"/>
      <c r="B161" s="195"/>
      <c r="C161" s="196"/>
    </row>
    <row r="162" customFormat="false" ht="14.25" hidden="false" customHeight="true" outlineLevel="0" collapsed="false">
      <c r="A162" s="194"/>
      <c r="B162" s="195"/>
      <c r="C162" s="196"/>
    </row>
    <row r="163" customFormat="false" ht="14.25" hidden="false" customHeight="true" outlineLevel="0" collapsed="false">
      <c r="A163" s="194"/>
      <c r="B163" s="195"/>
      <c r="C163" s="196"/>
    </row>
    <row r="164" customFormat="false" ht="14.25" hidden="false" customHeight="true" outlineLevel="0" collapsed="false">
      <c r="A164" s="194"/>
      <c r="B164" s="195"/>
      <c r="C164" s="196"/>
    </row>
    <row r="165" customFormat="false" ht="14.25" hidden="false" customHeight="true" outlineLevel="0" collapsed="false">
      <c r="A165" s="194"/>
      <c r="B165" s="195"/>
      <c r="C165" s="196"/>
    </row>
    <row r="166" customFormat="false" ht="14.25" hidden="false" customHeight="true" outlineLevel="0" collapsed="false">
      <c r="A166" s="194"/>
      <c r="B166" s="195"/>
      <c r="C166" s="196"/>
    </row>
    <row r="167" customFormat="false" ht="14.25" hidden="false" customHeight="true" outlineLevel="0" collapsed="false">
      <c r="A167" s="194"/>
      <c r="B167" s="195"/>
      <c r="C167" s="196"/>
    </row>
    <row r="168" customFormat="false" ht="14.25" hidden="false" customHeight="true" outlineLevel="0" collapsed="false">
      <c r="A168" s="194"/>
      <c r="B168" s="195"/>
      <c r="C168" s="196"/>
    </row>
    <row r="169" customFormat="false" ht="14.25" hidden="false" customHeight="true" outlineLevel="0" collapsed="false">
      <c r="A169" s="194"/>
      <c r="B169" s="195"/>
      <c r="C169" s="196"/>
    </row>
    <row r="170" customFormat="false" ht="14.25" hidden="false" customHeight="true" outlineLevel="0" collapsed="false">
      <c r="A170" s="194"/>
      <c r="B170" s="195"/>
      <c r="C170" s="196"/>
    </row>
    <row r="171" customFormat="false" ht="14.25" hidden="false" customHeight="true" outlineLevel="0" collapsed="false">
      <c r="A171" s="194"/>
      <c r="B171" s="195"/>
      <c r="C171" s="196"/>
    </row>
    <row r="172" customFormat="false" ht="14.25" hidden="false" customHeight="true" outlineLevel="0" collapsed="false">
      <c r="A172" s="194"/>
      <c r="B172" s="195"/>
      <c r="C172" s="196"/>
    </row>
    <row r="173" customFormat="false" ht="14.25" hidden="false" customHeight="true" outlineLevel="0" collapsed="false">
      <c r="A173" s="194"/>
      <c r="B173" s="195"/>
      <c r="C173" s="196"/>
    </row>
    <row r="174" customFormat="false" ht="14.25" hidden="false" customHeight="true" outlineLevel="0" collapsed="false">
      <c r="A174" s="194"/>
      <c r="B174" s="195"/>
      <c r="C174" s="196"/>
    </row>
    <row r="175" customFormat="false" ht="14.25" hidden="false" customHeight="true" outlineLevel="0" collapsed="false">
      <c r="A175" s="194"/>
      <c r="B175" s="195"/>
      <c r="C175" s="196"/>
    </row>
    <row r="176" customFormat="false" ht="14.25" hidden="false" customHeight="true" outlineLevel="0" collapsed="false">
      <c r="A176" s="194"/>
      <c r="B176" s="195"/>
      <c r="C176" s="196"/>
    </row>
    <row r="177" customFormat="false" ht="14.25" hidden="false" customHeight="true" outlineLevel="0" collapsed="false">
      <c r="A177" s="194"/>
      <c r="B177" s="195"/>
      <c r="C177" s="196"/>
    </row>
    <row r="178" customFormat="false" ht="14.25" hidden="false" customHeight="true" outlineLevel="0" collapsed="false">
      <c r="A178" s="194"/>
      <c r="B178" s="195"/>
      <c r="C178" s="196"/>
    </row>
    <row r="179" customFormat="false" ht="14.25" hidden="false" customHeight="true" outlineLevel="0" collapsed="false">
      <c r="A179" s="194"/>
      <c r="B179" s="195"/>
      <c r="C179" s="196"/>
    </row>
    <row r="180" customFormat="false" ht="14.25" hidden="false" customHeight="true" outlineLevel="0" collapsed="false">
      <c r="A180" s="194"/>
      <c r="B180" s="195"/>
      <c r="C180" s="196"/>
    </row>
    <row r="181" customFormat="false" ht="14.25" hidden="false" customHeight="true" outlineLevel="0" collapsed="false">
      <c r="A181" s="194"/>
      <c r="B181" s="195"/>
      <c r="C181" s="196"/>
    </row>
    <row r="182" customFormat="false" ht="14.25" hidden="false" customHeight="true" outlineLevel="0" collapsed="false">
      <c r="A182" s="194"/>
      <c r="B182" s="195"/>
      <c r="C182" s="196"/>
    </row>
    <row r="183" customFormat="false" ht="14.25" hidden="false" customHeight="true" outlineLevel="0" collapsed="false">
      <c r="A183" s="194"/>
      <c r="B183" s="195"/>
      <c r="C183" s="196"/>
    </row>
    <row r="184" customFormat="false" ht="14.25" hidden="false" customHeight="true" outlineLevel="0" collapsed="false">
      <c r="A184" s="194"/>
      <c r="B184" s="195"/>
      <c r="C184" s="196"/>
    </row>
    <row r="185" customFormat="false" ht="14.25" hidden="false" customHeight="true" outlineLevel="0" collapsed="false">
      <c r="A185" s="194"/>
      <c r="B185" s="195"/>
      <c r="C185" s="196"/>
    </row>
    <row r="186" customFormat="false" ht="14.25" hidden="false" customHeight="true" outlineLevel="0" collapsed="false">
      <c r="A186" s="194"/>
      <c r="B186" s="195"/>
      <c r="C186" s="196"/>
    </row>
    <row r="187" customFormat="false" ht="14.25" hidden="false" customHeight="true" outlineLevel="0" collapsed="false">
      <c r="A187" s="194"/>
      <c r="B187" s="195"/>
      <c r="C187" s="196"/>
    </row>
    <row r="188" customFormat="false" ht="14.25" hidden="false" customHeight="true" outlineLevel="0" collapsed="false">
      <c r="A188" s="194"/>
      <c r="B188" s="195"/>
      <c r="C188" s="196"/>
    </row>
    <row r="189" customFormat="false" ht="14.25" hidden="false" customHeight="true" outlineLevel="0" collapsed="false">
      <c r="A189" s="194"/>
      <c r="B189" s="195"/>
      <c r="C189" s="196"/>
    </row>
    <row r="190" customFormat="false" ht="14.25" hidden="false" customHeight="true" outlineLevel="0" collapsed="false">
      <c r="A190" s="194"/>
      <c r="B190" s="195"/>
      <c r="C190" s="196"/>
    </row>
    <row r="191" customFormat="false" ht="14.25" hidden="false" customHeight="true" outlineLevel="0" collapsed="false">
      <c r="A191" s="194"/>
      <c r="B191" s="195"/>
      <c r="C191" s="196"/>
    </row>
    <row r="192" customFormat="false" ht="14.25" hidden="false" customHeight="true" outlineLevel="0" collapsed="false">
      <c r="A192" s="194"/>
      <c r="B192" s="195"/>
      <c r="C192" s="196"/>
    </row>
    <row r="193" customFormat="false" ht="14.25" hidden="false" customHeight="true" outlineLevel="0" collapsed="false">
      <c r="A193" s="194"/>
      <c r="B193" s="195"/>
      <c r="C193" s="196"/>
    </row>
    <row r="194" customFormat="false" ht="14.25" hidden="false" customHeight="true" outlineLevel="0" collapsed="false">
      <c r="A194" s="194"/>
      <c r="B194" s="195"/>
      <c r="C194" s="196"/>
    </row>
    <row r="195" customFormat="false" ht="14.25" hidden="false" customHeight="true" outlineLevel="0" collapsed="false">
      <c r="A195" s="194"/>
      <c r="B195" s="195"/>
      <c r="C195" s="196"/>
    </row>
    <row r="196" customFormat="false" ht="14.25" hidden="false" customHeight="true" outlineLevel="0" collapsed="false">
      <c r="A196" s="194"/>
      <c r="B196" s="195"/>
      <c r="C196" s="196"/>
    </row>
    <row r="197" customFormat="false" ht="14.25" hidden="false" customHeight="true" outlineLevel="0" collapsed="false">
      <c r="A197" s="194"/>
      <c r="B197" s="195"/>
      <c r="C197" s="196"/>
    </row>
    <row r="198" customFormat="false" ht="14.25" hidden="false" customHeight="true" outlineLevel="0" collapsed="false">
      <c r="A198" s="194"/>
      <c r="B198" s="195"/>
      <c r="C198" s="196"/>
    </row>
    <row r="199" customFormat="false" ht="14.25" hidden="false" customHeight="true" outlineLevel="0" collapsed="false">
      <c r="A199" s="194"/>
      <c r="B199" s="195"/>
      <c r="C199" s="196"/>
    </row>
    <row r="200" customFormat="false" ht="14.25" hidden="false" customHeight="true" outlineLevel="0" collapsed="false">
      <c r="A200" s="194"/>
      <c r="B200" s="195"/>
      <c r="C200" s="196"/>
    </row>
    <row r="201" customFormat="false" ht="14.25" hidden="false" customHeight="true" outlineLevel="0" collapsed="false">
      <c r="A201" s="194"/>
      <c r="B201" s="195"/>
      <c r="C201" s="196"/>
    </row>
    <row r="202" customFormat="false" ht="14.25" hidden="false" customHeight="true" outlineLevel="0" collapsed="false">
      <c r="A202" s="194"/>
      <c r="B202" s="195"/>
      <c r="C202" s="196"/>
    </row>
    <row r="203" customFormat="false" ht="14.25" hidden="false" customHeight="true" outlineLevel="0" collapsed="false">
      <c r="A203" s="194"/>
      <c r="B203" s="195"/>
      <c r="C203" s="196"/>
    </row>
    <row r="204" customFormat="false" ht="14.25" hidden="false" customHeight="true" outlineLevel="0" collapsed="false">
      <c r="A204" s="194"/>
      <c r="B204" s="195"/>
      <c r="C204" s="196"/>
    </row>
    <row r="205" customFormat="false" ht="14.25" hidden="false" customHeight="true" outlineLevel="0" collapsed="false">
      <c r="A205" s="194"/>
      <c r="B205" s="195"/>
      <c r="C205" s="196"/>
    </row>
    <row r="206" customFormat="false" ht="14.25" hidden="false" customHeight="true" outlineLevel="0" collapsed="false">
      <c r="A206" s="194"/>
      <c r="B206" s="195"/>
      <c r="C206" s="196"/>
    </row>
    <row r="207" customFormat="false" ht="14.25" hidden="false" customHeight="true" outlineLevel="0" collapsed="false">
      <c r="A207" s="194"/>
      <c r="B207" s="195"/>
      <c r="C207" s="196"/>
    </row>
    <row r="208" customFormat="false" ht="14.25" hidden="false" customHeight="true" outlineLevel="0" collapsed="false">
      <c r="A208" s="194"/>
      <c r="B208" s="195"/>
      <c r="C208" s="196"/>
    </row>
    <row r="209" customFormat="false" ht="14.25" hidden="false" customHeight="true" outlineLevel="0" collapsed="false">
      <c r="A209" s="194"/>
      <c r="B209" s="195"/>
      <c r="C209" s="196"/>
    </row>
    <row r="210" customFormat="false" ht="14.25" hidden="false" customHeight="true" outlineLevel="0" collapsed="false">
      <c r="A210" s="194"/>
      <c r="B210" s="195"/>
      <c r="C210" s="196"/>
    </row>
    <row r="211" customFormat="false" ht="14.25" hidden="false" customHeight="true" outlineLevel="0" collapsed="false">
      <c r="A211" s="194"/>
      <c r="B211" s="195"/>
      <c r="C211" s="196"/>
    </row>
    <row r="212" customFormat="false" ht="14.25" hidden="false" customHeight="true" outlineLevel="0" collapsed="false">
      <c r="A212" s="194"/>
      <c r="B212" s="195"/>
      <c r="C212" s="196"/>
    </row>
    <row r="213" customFormat="false" ht="14.25" hidden="false" customHeight="true" outlineLevel="0" collapsed="false">
      <c r="A213" s="194"/>
      <c r="B213" s="195"/>
      <c r="C213" s="196"/>
    </row>
    <row r="214" customFormat="false" ht="14.25" hidden="false" customHeight="true" outlineLevel="0" collapsed="false">
      <c r="A214" s="194"/>
      <c r="B214" s="195"/>
      <c r="C214" s="196"/>
    </row>
    <row r="215" customFormat="false" ht="14.25" hidden="false" customHeight="true" outlineLevel="0" collapsed="false">
      <c r="A215" s="194"/>
      <c r="B215" s="195"/>
      <c r="C215" s="196"/>
    </row>
    <row r="216" customFormat="false" ht="14.25" hidden="false" customHeight="true" outlineLevel="0" collapsed="false">
      <c r="A216" s="194"/>
      <c r="B216" s="195"/>
      <c r="C216" s="196"/>
    </row>
    <row r="217" customFormat="false" ht="14.25" hidden="false" customHeight="true" outlineLevel="0" collapsed="false">
      <c r="A217" s="194"/>
      <c r="B217" s="195"/>
      <c r="C217" s="196"/>
    </row>
    <row r="218" customFormat="false" ht="14.25" hidden="false" customHeight="true" outlineLevel="0" collapsed="false">
      <c r="A218" s="194"/>
      <c r="B218" s="195"/>
      <c r="C218" s="196"/>
    </row>
    <row r="219" customFormat="false" ht="14.25" hidden="false" customHeight="true" outlineLevel="0" collapsed="false">
      <c r="A219" s="194"/>
      <c r="B219" s="195"/>
      <c r="C219" s="196"/>
    </row>
    <row r="220" customFormat="false" ht="14.25" hidden="false" customHeight="true" outlineLevel="0" collapsed="false">
      <c r="A220" s="194"/>
      <c r="B220" s="195"/>
      <c r="C220" s="196"/>
    </row>
    <row r="221" customFormat="false" ht="14.25" hidden="false" customHeight="true" outlineLevel="0" collapsed="false">
      <c r="A221" s="194"/>
      <c r="B221" s="195"/>
      <c r="C221" s="196"/>
    </row>
    <row r="222" customFormat="false" ht="14.25" hidden="false" customHeight="true" outlineLevel="0" collapsed="false">
      <c r="A222" s="194"/>
      <c r="B222" s="195"/>
      <c r="C222" s="196"/>
    </row>
    <row r="223" customFormat="false" ht="14.25" hidden="false" customHeight="true" outlineLevel="0" collapsed="false">
      <c r="A223" s="194"/>
      <c r="B223" s="195"/>
      <c r="C223" s="196"/>
    </row>
    <row r="224" customFormat="false" ht="14.25" hidden="false" customHeight="true" outlineLevel="0" collapsed="false">
      <c r="A224" s="194"/>
      <c r="B224" s="195"/>
      <c r="C224" s="196"/>
    </row>
    <row r="225" customFormat="false" ht="14.25" hidden="false" customHeight="true" outlineLevel="0" collapsed="false">
      <c r="A225" s="194"/>
      <c r="B225" s="195"/>
      <c r="C225" s="196"/>
    </row>
    <row r="226" customFormat="false" ht="14.25" hidden="false" customHeight="true" outlineLevel="0" collapsed="false">
      <c r="A226" s="194"/>
      <c r="B226" s="195"/>
      <c r="C226" s="196"/>
    </row>
    <row r="227" customFormat="false" ht="14.25" hidden="false" customHeight="true" outlineLevel="0" collapsed="false">
      <c r="A227" s="194"/>
      <c r="B227" s="195"/>
      <c r="C227" s="196"/>
    </row>
    <row r="228" customFormat="false" ht="14.25" hidden="false" customHeight="true" outlineLevel="0" collapsed="false">
      <c r="A228" s="194"/>
      <c r="B228" s="195"/>
      <c r="C228" s="196"/>
    </row>
    <row r="229" customFormat="false" ht="14.25" hidden="false" customHeight="true" outlineLevel="0" collapsed="false">
      <c r="A229" s="194"/>
      <c r="B229" s="195"/>
      <c r="C229" s="196"/>
    </row>
    <row r="230" customFormat="false" ht="14.25" hidden="false" customHeight="true" outlineLevel="0" collapsed="false">
      <c r="A230" s="194"/>
      <c r="B230" s="195"/>
      <c r="C230" s="196"/>
    </row>
    <row r="231" customFormat="false" ht="14.25" hidden="false" customHeight="true" outlineLevel="0" collapsed="false">
      <c r="A231" s="194"/>
      <c r="B231" s="195"/>
      <c r="C231" s="196"/>
    </row>
    <row r="232" customFormat="false" ht="14.25" hidden="false" customHeight="true" outlineLevel="0" collapsed="false">
      <c r="A232" s="194"/>
      <c r="B232" s="195"/>
      <c r="C232" s="196"/>
    </row>
    <row r="233" customFormat="false" ht="14.25" hidden="false" customHeight="true" outlineLevel="0" collapsed="false">
      <c r="A233" s="194"/>
      <c r="B233" s="195"/>
      <c r="C233" s="196"/>
    </row>
    <row r="234" customFormat="false" ht="14.25" hidden="false" customHeight="true" outlineLevel="0" collapsed="false">
      <c r="A234" s="194"/>
      <c r="B234" s="195"/>
      <c r="C234" s="196"/>
    </row>
    <row r="235" customFormat="false" ht="14.25" hidden="false" customHeight="true" outlineLevel="0" collapsed="false">
      <c r="A235" s="194"/>
      <c r="B235" s="195"/>
      <c r="C235" s="196"/>
    </row>
    <row r="236" customFormat="false" ht="14.25" hidden="false" customHeight="true" outlineLevel="0" collapsed="false">
      <c r="A236" s="194"/>
      <c r="B236" s="195"/>
      <c r="C236" s="196"/>
    </row>
    <row r="237" customFormat="false" ht="14.25" hidden="false" customHeight="true" outlineLevel="0" collapsed="false">
      <c r="A237" s="194"/>
      <c r="B237" s="195"/>
      <c r="C237" s="196"/>
    </row>
    <row r="238" customFormat="false" ht="14.25" hidden="false" customHeight="true" outlineLevel="0" collapsed="false">
      <c r="A238" s="194"/>
      <c r="B238" s="195"/>
      <c r="C238" s="196"/>
    </row>
    <row r="239" customFormat="false" ht="14.25" hidden="false" customHeight="true" outlineLevel="0" collapsed="false">
      <c r="A239" s="194"/>
      <c r="B239" s="195"/>
      <c r="C239" s="196"/>
    </row>
    <row r="240" customFormat="false" ht="14.25" hidden="false" customHeight="true" outlineLevel="0" collapsed="false">
      <c r="A240" s="194"/>
      <c r="B240" s="195"/>
      <c r="C240" s="196"/>
    </row>
    <row r="241" customFormat="false" ht="14.25" hidden="false" customHeight="true" outlineLevel="0" collapsed="false">
      <c r="A241" s="194"/>
      <c r="B241" s="195"/>
      <c r="C241" s="196"/>
    </row>
    <row r="242" customFormat="false" ht="14.25" hidden="false" customHeight="true" outlineLevel="0" collapsed="false">
      <c r="A242" s="194"/>
      <c r="B242" s="195"/>
      <c r="C242" s="196"/>
    </row>
    <row r="243" customFormat="false" ht="14.25" hidden="false" customHeight="true" outlineLevel="0" collapsed="false">
      <c r="A243" s="194"/>
      <c r="B243" s="195"/>
      <c r="C243" s="196"/>
    </row>
    <row r="244" customFormat="false" ht="14.25" hidden="false" customHeight="true" outlineLevel="0" collapsed="false">
      <c r="A244" s="194"/>
      <c r="B244" s="195"/>
      <c r="C244" s="196"/>
    </row>
    <row r="245" customFormat="false" ht="14.25" hidden="false" customHeight="true" outlineLevel="0" collapsed="false">
      <c r="A245" s="194"/>
      <c r="B245" s="195"/>
      <c r="C245" s="196"/>
    </row>
    <row r="246" customFormat="false" ht="14.25" hidden="false" customHeight="true" outlineLevel="0" collapsed="false">
      <c r="A246" s="194"/>
      <c r="B246" s="195"/>
      <c r="C246" s="196"/>
    </row>
    <row r="247" customFormat="false" ht="14.25" hidden="false" customHeight="true" outlineLevel="0" collapsed="false">
      <c r="A247" s="194"/>
      <c r="B247" s="195"/>
      <c r="C247" s="196"/>
    </row>
    <row r="248" customFormat="false" ht="14.25" hidden="false" customHeight="true" outlineLevel="0" collapsed="false">
      <c r="A248" s="194"/>
      <c r="B248" s="195"/>
      <c r="C248" s="196"/>
    </row>
    <row r="249" customFormat="false" ht="14.25" hidden="false" customHeight="true" outlineLevel="0" collapsed="false">
      <c r="A249" s="194"/>
      <c r="B249" s="195"/>
      <c r="C249" s="196"/>
    </row>
    <row r="250" customFormat="false" ht="14.25" hidden="false" customHeight="true" outlineLevel="0" collapsed="false">
      <c r="A250" s="194"/>
      <c r="B250" s="195"/>
      <c r="C250" s="196"/>
    </row>
    <row r="251" customFormat="false" ht="14.25" hidden="false" customHeight="true" outlineLevel="0" collapsed="false">
      <c r="A251" s="194"/>
      <c r="B251" s="195"/>
      <c r="C251" s="196"/>
    </row>
    <row r="252" customFormat="false" ht="14.25" hidden="false" customHeight="true" outlineLevel="0" collapsed="false">
      <c r="A252" s="194"/>
      <c r="B252" s="195"/>
      <c r="C252" s="196"/>
    </row>
    <row r="253" customFormat="false" ht="14.25" hidden="false" customHeight="true" outlineLevel="0" collapsed="false">
      <c r="A253" s="194"/>
      <c r="B253" s="195"/>
      <c r="C253" s="196"/>
    </row>
    <row r="254" customFormat="false" ht="14.25" hidden="false" customHeight="true" outlineLevel="0" collapsed="false">
      <c r="A254" s="194"/>
      <c r="B254" s="195"/>
      <c r="C254" s="196"/>
    </row>
    <row r="255" customFormat="false" ht="14.25" hidden="false" customHeight="true" outlineLevel="0" collapsed="false">
      <c r="A255" s="194"/>
      <c r="B255" s="195"/>
      <c r="C255" s="196"/>
    </row>
    <row r="256" customFormat="false" ht="14.25" hidden="false" customHeight="true" outlineLevel="0" collapsed="false">
      <c r="A256" s="194"/>
      <c r="B256" s="195"/>
      <c r="C256" s="196"/>
    </row>
    <row r="257" customFormat="false" ht="14.25" hidden="false" customHeight="true" outlineLevel="0" collapsed="false">
      <c r="A257" s="194"/>
      <c r="B257" s="195"/>
      <c r="C257" s="196"/>
    </row>
    <row r="258" customFormat="false" ht="14.25" hidden="false" customHeight="true" outlineLevel="0" collapsed="false">
      <c r="A258" s="194"/>
      <c r="B258" s="195"/>
      <c r="C258" s="196"/>
    </row>
    <row r="259" customFormat="false" ht="14.25" hidden="false" customHeight="true" outlineLevel="0" collapsed="false">
      <c r="A259" s="194"/>
      <c r="B259" s="195"/>
      <c r="C259" s="196"/>
    </row>
    <row r="260" customFormat="false" ht="14.25" hidden="false" customHeight="true" outlineLevel="0" collapsed="false">
      <c r="A260" s="194"/>
      <c r="B260" s="195"/>
      <c r="C260" s="196"/>
    </row>
    <row r="261" customFormat="false" ht="14.25" hidden="false" customHeight="true" outlineLevel="0" collapsed="false">
      <c r="A261" s="194"/>
      <c r="B261" s="195"/>
      <c r="C261" s="196"/>
    </row>
    <row r="262" customFormat="false" ht="14.25" hidden="false" customHeight="true" outlineLevel="0" collapsed="false">
      <c r="A262" s="194"/>
      <c r="B262" s="195"/>
      <c r="C262" s="196"/>
    </row>
    <row r="263" customFormat="false" ht="14.25" hidden="false" customHeight="true" outlineLevel="0" collapsed="false">
      <c r="A263" s="194"/>
      <c r="B263" s="195"/>
      <c r="C263" s="196"/>
    </row>
    <row r="264" customFormat="false" ht="14.25" hidden="false" customHeight="true" outlineLevel="0" collapsed="false">
      <c r="A264" s="194"/>
      <c r="B264" s="195"/>
      <c r="C264" s="196"/>
    </row>
    <row r="265" customFormat="false" ht="14.25" hidden="false" customHeight="true" outlineLevel="0" collapsed="false">
      <c r="A265" s="194"/>
      <c r="B265" s="195"/>
      <c r="C265" s="196"/>
    </row>
    <row r="266" customFormat="false" ht="14.25" hidden="false" customHeight="true" outlineLevel="0" collapsed="false">
      <c r="A266" s="194"/>
      <c r="B266" s="195"/>
      <c r="C266" s="196"/>
    </row>
    <row r="267" customFormat="false" ht="14.25" hidden="false" customHeight="true" outlineLevel="0" collapsed="false">
      <c r="A267" s="194"/>
      <c r="B267" s="195"/>
      <c r="C267" s="196"/>
    </row>
    <row r="268" customFormat="false" ht="14.25" hidden="false" customHeight="true" outlineLevel="0" collapsed="false">
      <c r="A268" s="194"/>
      <c r="B268" s="195"/>
      <c r="C268" s="196"/>
    </row>
    <row r="269" customFormat="false" ht="14.25" hidden="false" customHeight="true" outlineLevel="0" collapsed="false">
      <c r="A269" s="194"/>
      <c r="B269" s="195"/>
      <c r="C269" s="196"/>
    </row>
    <row r="270" customFormat="false" ht="14.25" hidden="false" customHeight="true" outlineLevel="0" collapsed="false">
      <c r="A270" s="194"/>
      <c r="B270" s="195"/>
      <c r="C270" s="196"/>
    </row>
    <row r="271" customFormat="false" ht="14.25" hidden="false" customHeight="true" outlineLevel="0" collapsed="false">
      <c r="A271" s="194"/>
      <c r="B271" s="195"/>
      <c r="C271" s="196"/>
    </row>
    <row r="272" customFormat="false" ht="14.25" hidden="false" customHeight="true" outlineLevel="0" collapsed="false">
      <c r="A272" s="194"/>
      <c r="B272" s="195"/>
      <c r="C272" s="196"/>
    </row>
    <row r="273" customFormat="false" ht="14.25" hidden="false" customHeight="true" outlineLevel="0" collapsed="false">
      <c r="A273" s="194"/>
      <c r="B273" s="195"/>
      <c r="C273" s="196"/>
    </row>
    <row r="274" customFormat="false" ht="14.25" hidden="false" customHeight="true" outlineLevel="0" collapsed="false">
      <c r="A274" s="194"/>
      <c r="B274" s="195"/>
      <c r="C274" s="196"/>
    </row>
    <row r="275" customFormat="false" ht="14.25" hidden="false" customHeight="true" outlineLevel="0" collapsed="false">
      <c r="A275" s="194"/>
      <c r="B275" s="195"/>
      <c r="C275" s="196"/>
    </row>
    <row r="276" customFormat="false" ht="14.25" hidden="false" customHeight="true" outlineLevel="0" collapsed="false">
      <c r="A276" s="194"/>
      <c r="B276" s="195"/>
      <c r="C276" s="196"/>
    </row>
    <row r="277" customFormat="false" ht="14.25" hidden="false" customHeight="true" outlineLevel="0" collapsed="false">
      <c r="A277" s="194"/>
      <c r="B277" s="195"/>
      <c r="C277" s="196"/>
    </row>
    <row r="278" customFormat="false" ht="14.25" hidden="false" customHeight="true" outlineLevel="0" collapsed="false">
      <c r="A278" s="194"/>
      <c r="B278" s="195"/>
      <c r="C278" s="196"/>
    </row>
    <row r="279" customFormat="false" ht="14.25" hidden="false" customHeight="true" outlineLevel="0" collapsed="false">
      <c r="A279" s="194"/>
      <c r="B279" s="195"/>
      <c r="C279" s="196"/>
    </row>
    <row r="280" customFormat="false" ht="14.25" hidden="false" customHeight="true" outlineLevel="0" collapsed="false">
      <c r="A280" s="194"/>
      <c r="B280" s="195"/>
      <c r="C280" s="196"/>
    </row>
    <row r="281" customFormat="false" ht="14.25" hidden="false" customHeight="true" outlineLevel="0" collapsed="false">
      <c r="A281" s="194"/>
      <c r="B281" s="195"/>
      <c r="C281" s="196"/>
    </row>
    <row r="282" customFormat="false" ht="14.25" hidden="false" customHeight="true" outlineLevel="0" collapsed="false">
      <c r="A282" s="194"/>
      <c r="B282" s="195"/>
      <c r="C282" s="196"/>
    </row>
    <row r="283" customFormat="false" ht="14.25" hidden="false" customHeight="true" outlineLevel="0" collapsed="false">
      <c r="A283" s="194"/>
      <c r="B283" s="195"/>
      <c r="C283" s="196"/>
    </row>
    <row r="284" customFormat="false" ht="14.25" hidden="false" customHeight="true" outlineLevel="0" collapsed="false">
      <c r="A284" s="194"/>
      <c r="B284" s="195"/>
      <c r="C284" s="196"/>
    </row>
    <row r="285" customFormat="false" ht="14.25" hidden="false" customHeight="true" outlineLevel="0" collapsed="false">
      <c r="A285" s="194"/>
      <c r="B285" s="195"/>
      <c r="C285" s="196"/>
    </row>
    <row r="286" customFormat="false" ht="14.25" hidden="false" customHeight="true" outlineLevel="0" collapsed="false">
      <c r="A286" s="194"/>
      <c r="B286" s="195"/>
      <c r="C286" s="196"/>
    </row>
    <row r="287" customFormat="false" ht="14.25" hidden="false" customHeight="true" outlineLevel="0" collapsed="false">
      <c r="A287" s="194"/>
      <c r="B287" s="195"/>
      <c r="C287" s="196"/>
    </row>
    <row r="288" customFormat="false" ht="14.25" hidden="false" customHeight="true" outlineLevel="0" collapsed="false">
      <c r="A288" s="194"/>
      <c r="B288" s="195"/>
      <c r="C288" s="196"/>
    </row>
    <row r="289" customFormat="false" ht="14.25" hidden="false" customHeight="true" outlineLevel="0" collapsed="false">
      <c r="A289" s="194"/>
      <c r="B289" s="195"/>
      <c r="C289" s="196"/>
    </row>
    <row r="290" customFormat="false" ht="14.25" hidden="false" customHeight="true" outlineLevel="0" collapsed="false">
      <c r="A290" s="194"/>
      <c r="B290" s="195"/>
      <c r="C290" s="196"/>
    </row>
    <row r="291" customFormat="false" ht="14.25" hidden="false" customHeight="true" outlineLevel="0" collapsed="false">
      <c r="A291" s="194"/>
      <c r="B291" s="195"/>
      <c r="C291" s="196"/>
    </row>
    <row r="292" customFormat="false" ht="14.25" hidden="false" customHeight="true" outlineLevel="0" collapsed="false">
      <c r="A292" s="194"/>
      <c r="B292" s="195"/>
      <c r="C292" s="196"/>
    </row>
    <row r="293" customFormat="false" ht="14.25" hidden="false" customHeight="true" outlineLevel="0" collapsed="false">
      <c r="A293" s="194"/>
      <c r="B293" s="195"/>
      <c r="C293" s="196"/>
    </row>
    <row r="294" customFormat="false" ht="14.25" hidden="false" customHeight="true" outlineLevel="0" collapsed="false">
      <c r="A294" s="194"/>
      <c r="B294" s="195"/>
      <c r="C294" s="196"/>
    </row>
    <row r="295" customFormat="false" ht="14.25" hidden="false" customHeight="true" outlineLevel="0" collapsed="false">
      <c r="A295" s="194"/>
      <c r="B295" s="195"/>
      <c r="C295" s="196"/>
    </row>
    <row r="296" customFormat="false" ht="14.25" hidden="false" customHeight="true" outlineLevel="0" collapsed="false">
      <c r="A296" s="194"/>
      <c r="B296" s="195"/>
      <c r="C296" s="196"/>
    </row>
    <row r="297" customFormat="false" ht="14.25" hidden="false" customHeight="true" outlineLevel="0" collapsed="false">
      <c r="A297" s="194"/>
      <c r="B297" s="195"/>
      <c r="C297" s="196"/>
    </row>
    <row r="298" customFormat="false" ht="14.25" hidden="false" customHeight="true" outlineLevel="0" collapsed="false">
      <c r="A298" s="194"/>
      <c r="B298" s="195"/>
      <c r="C298" s="196"/>
    </row>
    <row r="299" customFormat="false" ht="14.25" hidden="false" customHeight="true" outlineLevel="0" collapsed="false">
      <c r="A299" s="194"/>
      <c r="B299" s="195"/>
      <c r="C299" s="196"/>
    </row>
    <row r="300" customFormat="false" ht="14.25" hidden="false" customHeight="true" outlineLevel="0" collapsed="false">
      <c r="A300" s="194"/>
      <c r="B300" s="195"/>
      <c r="C300" s="196"/>
    </row>
    <row r="301" customFormat="false" ht="14.25" hidden="false" customHeight="true" outlineLevel="0" collapsed="false">
      <c r="A301" s="194"/>
      <c r="B301" s="195"/>
      <c r="C301" s="196"/>
    </row>
    <row r="302" customFormat="false" ht="14.25" hidden="false" customHeight="true" outlineLevel="0" collapsed="false">
      <c r="A302" s="194"/>
      <c r="B302" s="195"/>
      <c r="C302" s="196"/>
    </row>
  </sheetData>
  <mergeCells count="1">
    <mergeCell ref="A1:C1"/>
  </mergeCells>
  <printOptions headings="false" gridLines="false" gridLinesSet="true" horizontalCentered="false" verticalCentered="false"/>
  <pageMargins left="0.25" right="0.25" top="0.3" bottom="0.4" header="0.511811023622047" footer="0.170138888888889"/>
  <pageSetup paperSize="1" scale="100" fitToWidth="1" fitToHeight="0"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95"/>
    <col collapsed="false" customWidth="true" hidden="false" outlineLevel="0" max="3" min="3" style="1" width="10"/>
    <col collapsed="false" customWidth="true" hidden="false" outlineLevel="0" max="4" min="4" style="1" width="12"/>
    <col collapsed="false" customWidth="true" hidden="false" outlineLevel="0" max="5" min="5" style="1" width="13"/>
    <col collapsed="false" customWidth="true" hidden="false" outlineLevel="0" max="6" min="6" style="1" width="11"/>
  </cols>
  <sheetData>
    <row r="1" customFormat="false" ht="23.25" hidden="false" customHeight="true" outlineLevel="0" collapsed="false">
      <c r="A1" s="197" t="s">
        <v>674</v>
      </c>
      <c r="B1" s="197"/>
      <c r="C1" s="197"/>
      <c r="D1" s="197"/>
      <c r="E1" s="197"/>
      <c r="F1" s="197"/>
    </row>
    <row r="2" customFormat="false" ht="15" hidden="false" customHeight="true" outlineLevel="0" collapsed="false">
      <c r="A2" s="147" t="s">
        <v>675</v>
      </c>
      <c r="C2" s="198" t="n">
        <f aca="false">COUNTIF(F5:F500,"OVERDUE")</f>
        <v>6</v>
      </c>
    </row>
    <row r="4" customFormat="false" ht="27.75" hidden="false" customHeight="true" outlineLevel="0" collapsed="false">
      <c r="A4" s="149" t="s">
        <v>676</v>
      </c>
      <c r="B4" s="149" t="s">
        <v>677</v>
      </c>
      <c r="C4" s="149" t="s">
        <v>678</v>
      </c>
      <c r="D4" s="149" t="s">
        <v>679</v>
      </c>
      <c r="E4" s="149" t="s">
        <v>680</v>
      </c>
      <c r="F4" s="149" t="s">
        <v>465</v>
      </c>
    </row>
    <row r="5" customFormat="false" ht="15" hidden="false" customHeight="true" outlineLevel="0" collapsed="false">
      <c r="A5" s="153" t="s">
        <v>559</v>
      </c>
      <c r="B5" s="199" t="s">
        <v>681</v>
      </c>
      <c r="C5" s="153" t="s">
        <v>214</v>
      </c>
      <c r="D5" s="200" t="n">
        <v>46299</v>
      </c>
      <c r="E5" s="201" t="n">
        <f aca="false">IFERROR(INDEX(Journal!$A:$A,MATCH($A5,Journal!$B:$B,0)),"")</f>
        <v>46295</v>
      </c>
      <c r="F5" s="153" t="str">
        <f aca="true">IF(C5="Y","Done",IF(AND(E5&lt;&gt;"",TODAY()&gt;E5),"OVERDUE","Pending"))</f>
        <v>Done</v>
      </c>
    </row>
    <row r="6" customFormat="false" ht="15" hidden="false" customHeight="true" outlineLevel="0" collapsed="false">
      <c r="A6" s="153" t="s">
        <v>559</v>
      </c>
      <c r="B6" s="199" t="s">
        <v>682</v>
      </c>
      <c r="C6" s="153"/>
      <c r="D6" s="153"/>
      <c r="E6" s="201" t="n">
        <f aca="false">IFERROR(INDEX(Journal!$A:$A,MATCH($A6,Journal!$B:$B,0)),"")</f>
        <v>46295</v>
      </c>
      <c r="F6" s="153" t="str">
        <f aca="true">IF(C6="Y","Done",IF(AND(E6&lt;&gt;"",TODAY()&gt;E6),"OVERDUE","Pending"))</f>
        <v>OVERDUE</v>
      </c>
    </row>
    <row r="7" customFormat="false" ht="15" hidden="false" customHeight="true" outlineLevel="0" collapsed="false">
      <c r="A7" s="153" t="s">
        <v>559</v>
      </c>
      <c r="B7" s="199" t="s">
        <v>683</v>
      </c>
      <c r="C7" s="153"/>
      <c r="D7" s="153"/>
      <c r="E7" s="201" t="n">
        <f aca="false">IFERROR(INDEX(Journal!$A:$A,MATCH($A7,Journal!$B:$B,0)),"")</f>
        <v>46295</v>
      </c>
      <c r="F7" s="153" t="str">
        <f aca="true">IF(C7="Y","Done",IF(AND(E7&lt;&gt;"",TODAY()&gt;E7),"OVERDUE","Pending"))</f>
        <v>OVERDUE</v>
      </c>
    </row>
    <row r="8" customFormat="false" ht="34.5" hidden="false" customHeight="true" outlineLevel="0" collapsed="false">
      <c r="A8" s="153" t="s">
        <v>559</v>
      </c>
      <c r="B8" s="199" t="s">
        <v>684</v>
      </c>
      <c r="C8" s="153"/>
      <c r="D8" s="153"/>
      <c r="E8" s="201" t="n">
        <f aca="false">IFERROR(INDEX(Journal!$A:$A,MATCH($A8,Journal!$B:$B,0)),"")</f>
        <v>46295</v>
      </c>
      <c r="F8" s="153" t="str">
        <f aca="true">IF(C8="Y","Done",IF(AND(E8&lt;&gt;"",TODAY()&gt;E8),"OVERDUE","Pending"))</f>
        <v>OVERDUE</v>
      </c>
    </row>
    <row r="9" customFormat="false" ht="15" hidden="false" customHeight="true" outlineLevel="0" collapsed="false">
      <c r="A9" s="153" t="s">
        <v>559</v>
      </c>
      <c r="B9" s="199" t="s">
        <v>685</v>
      </c>
      <c r="C9" s="153"/>
      <c r="D9" s="153"/>
      <c r="E9" s="201" t="n">
        <f aca="false">IFERROR(INDEX(Journal!$A:$A,MATCH($A9,Journal!$B:$B,0)),"")</f>
        <v>46295</v>
      </c>
      <c r="F9" s="153" t="str">
        <f aca="true">IF(C9="Y","Done",IF(AND(E9&lt;&gt;"",TODAY()&gt;E9),"OVERDUE","Pending"))</f>
        <v>OVERDUE</v>
      </c>
    </row>
    <row r="10" customFormat="false" ht="15" hidden="false" customHeight="true" outlineLevel="0" collapsed="false">
      <c r="A10" s="153" t="s">
        <v>559</v>
      </c>
      <c r="B10" s="199" t="s">
        <v>686</v>
      </c>
      <c r="C10" s="153"/>
      <c r="D10" s="153"/>
      <c r="E10" s="201" t="n">
        <f aca="false">IFERROR(INDEX(Journal!$A:$A,MATCH($A10,Journal!$B:$B,0)),"")</f>
        <v>46295</v>
      </c>
      <c r="F10" s="153" t="str">
        <f aca="true">IF(C10="Y","Done",IF(AND(E10&lt;&gt;"",TODAY()&gt;E10),"OVERDUE","Pending"))</f>
        <v>OVERDUE</v>
      </c>
    </row>
    <row r="11" customFormat="false" ht="15" hidden="false" customHeight="true" outlineLevel="0" collapsed="false">
      <c r="A11" s="153" t="s">
        <v>559</v>
      </c>
      <c r="B11" s="199" t="s">
        <v>687</v>
      </c>
      <c r="C11" s="153"/>
      <c r="D11" s="153"/>
      <c r="E11" s="201" t="n">
        <f aca="false">IFERROR(INDEX(Journal!$A:$A,MATCH($A11,Journal!$B:$B,0)),"")</f>
        <v>46295</v>
      </c>
      <c r="F11" s="153" t="str">
        <f aca="true">IF(C11="Y","Done",IF(AND(E11&lt;&gt;"",TODAY()&gt;E11),"OVERDUE","Pending"))</f>
        <v>OVERDUE</v>
      </c>
    </row>
    <row r="12" customFormat="false" ht="23.25" hidden="false" customHeight="true" outlineLevel="0" collapsed="false">
      <c r="A12" s="153" t="s">
        <v>563</v>
      </c>
      <c r="B12" s="199" t="s">
        <v>688</v>
      </c>
      <c r="C12" s="153"/>
      <c r="D12" s="153"/>
      <c r="E12" s="201" t="n">
        <f aca="false">IFERROR(INDEX(Journal!$A:$A,MATCH($A12,Journal!$B:$B,0)),"")</f>
        <v>46320</v>
      </c>
      <c r="F12" s="153" t="str">
        <f aca="true">IF(C12="Y","Done",IF(AND(E12&lt;&gt;"",TODAY()&gt;E12),"OVERDUE","Pending"))</f>
        <v>Pending</v>
      </c>
    </row>
    <row r="13" customFormat="false" ht="15" hidden="false" customHeight="true" outlineLevel="0" collapsed="false">
      <c r="A13" s="153" t="s">
        <v>563</v>
      </c>
      <c r="B13" s="199" t="s">
        <v>689</v>
      </c>
      <c r="C13" s="153"/>
      <c r="D13" s="153"/>
      <c r="E13" s="201" t="n">
        <f aca="false">IFERROR(INDEX(Journal!$A:$A,MATCH($A13,Journal!$B:$B,0)),"")</f>
        <v>46320</v>
      </c>
      <c r="F13" s="153" t="str">
        <f aca="true">IF(C13="Y","Done",IF(AND(E13&lt;&gt;"",TODAY()&gt;E13),"OVERDUE","Pending"))</f>
        <v>Pending</v>
      </c>
    </row>
    <row r="14" customFormat="false" ht="23.25" hidden="false" customHeight="true" outlineLevel="0" collapsed="false">
      <c r="A14" s="153" t="s">
        <v>563</v>
      </c>
      <c r="B14" s="199" t="s">
        <v>690</v>
      </c>
      <c r="C14" s="153"/>
      <c r="D14" s="153"/>
      <c r="E14" s="201" t="n">
        <f aca="false">IFERROR(INDEX(Journal!$A:$A,MATCH($A14,Journal!$B:$B,0)),"")</f>
        <v>46320</v>
      </c>
      <c r="F14" s="153" t="str">
        <f aca="true">IF(C14="Y","Done",IF(AND(E14&lt;&gt;"",TODAY()&gt;E14),"OVERDUE","Pending"))</f>
        <v>Pending</v>
      </c>
    </row>
    <row r="15" customFormat="false" ht="34.5" hidden="false" customHeight="true" outlineLevel="0" collapsed="false">
      <c r="A15" s="153" t="s">
        <v>563</v>
      </c>
      <c r="B15" s="199" t="s">
        <v>684</v>
      </c>
      <c r="C15" s="153"/>
      <c r="D15" s="153"/>
      <c r="E15" s="201" t="n">
        <f aca="false">IFERROR(INDEX(Journal!$A:$A,MATCH($A15,Journal!$B:$B,0)),"")</f>
        <v>46320</v>
      </c>
      <c r="F15" s="153" t="str">
        <f aca="true">IF(C15="Y","Done",IF(AND(E15&lt;&gt;"",TODAY()&gt;E15),"OVERDUE","Pending"))</f>
        <v>Pending</v>
      </c>
    </row>
    <row r="16" customFormat="false" ht="15" hidden="false" customHeight="true" outlineLevel="0" collapsed="false">
      <c r="A16" s="153" t="s">
        <v>563</v>
      </c>
      <c r="B16" s="199" t="s">
        <v>685</v>
      </c>
      <c r="C16" s="153"/>
      <c r="D16" s="153"/>
      <c r="E16" s="201" t="n">
        <f aca="false">IFERROR(INDEX(Journal!$A:$A,MATCH($A16,Journal!$B:$B,0)),"")</f>
        <v>46320</v>
      </c>
      <c r="F16" s="153" t="str">
        <f aca="true">IF(C16="Y","Done",IF(AND(E16&lt;&gt;"",TODAY()&gt;E16),"OVERDUE","Pending"))</f>
        <v>Pending</v>
      </c>
    </row>
    <row r="17" customFormat="false" ht="15" hidden="false" customHeight="true" outlineLevel="0" collapsed="false">
      <c r="A17" s="153" t="s">
        <v>563</v>
      </c>
      <c r="B17" s="199" t="s">
        <v>686</v>
      </c>
      <c r="C17" s="153"/>
      <c r="D17" s="153"/>
      <c r="E17" s="201" t="n">
        <f aca="false">IFERROR(INDEX(Journal!$A:$A,MATCH($A17,Journal!$B:$B,0)),"")</f>
        <v>46320</v>
      </c>
      <c r="F17" s="153" t="str">
        <f aca="true">IF(C17="Y","Done",IF(AND(E17&lt;&gt;"",TODAY()&gt;E17),"OVERDUE","Pending"))</f>
        <v>Pending</v>
      </c>
    </row>
    <row r="18" customFormat="false" ht="15" hidden="false" customHeight="true" outlineLevel="0" collapsed="false">
      <c r="A18" s="153" t="s">
        <v>563</v>
      </c>
      <c r="B18" s="199" t="s">
        <v>687</v>
      </c>
      <c r="C18" s="153"/>
      <c r="D18" s="153"/>
      <c r="E18" s="201" t="n">
        <f aca="false">IFERROR(INDEX(Journal!$A:$A,MATCH($A18,Journal!$B:$B,0)),"")</f>
        <v>46320</v>
      </c>
      <c r="F18" s="153" t="str">
        <f aca="true">IF(C18="Y","Done",IF(AND(E18&lt;&gt;"",TODAY()&gt;E18),"OVERDUE","Pending"))</f>
        <v>Pending</v>
      </c>
    </row>
    <row r="19" customFormat="false" ht="15" hidden="false" customHeight="true" outlineLevel="0" collapsed="false">
      <c r="A19" s="153" t="s">
        <v>567</v>
      </c>
      <c r="B19" s="199" t="s">
        <v>681</v>
      </c>
      <c r="C19" s="153"/>
      <c r="D19" s="153"/>
      <c r="E19" s="201" t="n">
        <f aca="false">IFERROR(INDEX(Journal!$A:$A,MATCH($A19,Journal!$B:$B,0)),"")</f>
        <v>46387</v>
      </c>
      <c r="F19" s="153" t="str">
        <f aca="true">IF(C19="Y","Done",IF(AND(E19&lt;&gt;"",TODAY()&gt;E19),"OVERDUE","Pending"))</f>
        <v>Pending</v>
      </c>
    </row>
    <row r="20" customFormat="false" ht="15" hidden="false" customHeight="true" outlineLevel="0" collapsed="false">
      <c r="A20" s="153" t="s">
        <v>567</v>
      </c>
      <c r="B20" s="199" t="s">
        <v>682</v>
      </c>
      <c r="C20" s="153"/>
      <c r="D20" s="153"/>
      <c r="E20" s="201" t="n">
        <f aca="false">IFERROR(INDEX(Journal!$A:$A,MATCH($A20,Journal!$B:$B,0)),"")</f>
        <v>46387</v>
      </c>
      <c r="F20" s="153" t="str">
        <f aca="true">IF(C20="Y","Done",IF(AND(E20&lt;&gt;"",TODAY()&gt;E20),"OVERDUE","Pending"))</f>
        <v>Pending</v>
      </c>
    </row>
    <row r="21" customFormat="false" ht="15" hidden="false" customHeight="true" outlineLevel="0" collapsed="false">
      <c r="A21" s="153" t="s">
        <v>567</v>
      </c>
      <c r="B21" s="199" t="s">
        <v>683</v>
      </c>
      <c r="C21" s="153"/>
      <c r="D21" s="153"/>
      <c r="E21" s="201" t="n">
        <f aca="false">IFERROR(INDEX(Journal!$A:$A,MATCH($A21,Journal!$B:$B,0)),"")</f>
        <v>46387</v>
      </c>
      <c r="F21" s="153" t="str">
        <f aca="true">IF(C21="Y","Done",IF(AND(E21&lt;&gt;"",TODAY()&gt;E21),"OVERDUE","Pending"))</f>
        <v>Pending</v>
      </c>
    </row>
    <row r="22" customFormat="false" ht="34.5" hidden="false" customHeight="true" outlineLevel="0" collapsed="false">
      <c r="A22" s="153" t="s">
        <v>567</v>
      </c>
      <c r="B22" s="199" t="s">
        <v>684</v>
      </c>
      <c r="C22" s="153"/>
      <c r="D22" s="153"/>
      <c r="E22" s="201" t="n">
        <f aca="false">IFERROR(INDEX(Journal!$A:$A,MATCH($A22,Journal!$B:$B,0)),"")</f>
        <v>46387</v>
      </c>
      <c r="F22" s="153" t="str">
        <f aca="true">IF(C22="Y","Done",IF(AND(E22&lt;&gt;"",TODAY()&gt;E22),"OVERDUE","Pending"))</f>
        <v>Pending</v>
      </c>
    </row>
    <row r="23" customFormat="false" ht="15" hidden="false" customHeight="true" outlineLevel="0" collapsed="false">
      <c r="A23" s="153" t="s">
        <v>567</v>
      </c>
      <c r="B23" s="199" t="s">
        <v>685</v>
      </c>
      <c r="C23" s="153"/>
      <c r="D23" s="153"/>
      <c r="E23" s="201" t="n">
        <f aca="false">IFERROR(INDEX(Journal!$A:$A,MATCH($A23,Journal!$B:$B,0)),"")</f>
        <v>46387</v>
      </c>
      <c r="F23" s="153" t="str">
        <f aca="true">IF(C23="Y","Done",IF(AND(E23&lt;&gt;"",TODAY()&gt;E23),"OVERDUE","Pending"))</f>
        <v>Pending</v>
      </c>
    </row>
    <row r="24" customFormat="false" ht="15" hidden="false" customHeight="true" outlineLevel="0" collapsed="false">
      <c r="A24" s="153" t="s">
        <v>567</v>
      </c>
      <c r="B24" s="199" t="s">
        <v>686</v>
      </c>
      <c r="C24" s="153"/>
      <c r="D24" s="153"/>
      <c r="E24" s="201" t="n">
        <f aca="false">IFERROR(INDEX(Journal!$A:$A,MATCH($A24,Journal!$B:$B,0)),"")</f>
        <v>46387</v>
      </c>
      <c r="F24" s="153" t="str">
        <f aca="true">IF(C24="Y","Done",IF(AND(E24&lt;&gt;"",TODAY()&gt;E24),"OVERDUE","Pending"))</f>
        <v>Pending</v>
      </c>
    </row>
    <row r="25" customFormat="false" ht="15" hidden="false" customHeight="true" outlineLevel="0" collapsed="false">
      <c r="A25" s="153" t="s">
        <v>567</v>
      </c>
      <c r="B25" s="199" t="s">
        <v>687</v>
      </c>
      <c r="C25" s="153"/>
      <c r="D25" s="153"/>
      <c r="E25" s="201" t="n">
        <f aca="false">IFERROR(INDEX(Journal!$A:$A,MATCH($A25,Journal!$B:$B,0)),"")</f>
        <v>46387</v>
      </c>
      <c r="F25" s="153" t="str">
        <f aca="true">IF(C25="Y","Done",IF(AND(E25&lt;&gt;"",TODAY()&gt;E25),"OVERDUE","Pending"))</f>
        <v>Pending</v>
      </c>
    </row>
    <row r="26" customFormat="false" ht="15" hidden="false" customHeight="true" outlineLevel="0" collapsed="false">
      <c r="A26" s="153" t="s">
        <v>569</v>
      </c>
      <c r="B26" s="199" t="s">
        <v>691</v>
      </c>
      <c r="C26" s="153"/>
      <c r="D26" s="153"/>
      <c r="E26" s="201" t="n">
        <f aca="false">IFERROR(INDEX(Journal!$A:$A,MATCH($A26,Journal!$B:$B,0)),"")</f>
        <v>46412</v>
      </c>
      <c r="F26" s="153" t="str">
        <f aca="true">IF(C26="Y","Done",IF(AND(E26&lt;&gt;"",TODAY()&gt;E26),"OVERDUE","Pending"))</f>
        <v>Pending</v>
      </c>
    </row>
    <row r="27" customFormat="false" ht="23.25" hidden="false" customHeight="true" outlineLevel="0" collapsed="false">
      <c r="A27" s="153" t="s">
        <v>569</v>
      </c>
      <c r="B27" s="199" t="s">
        <v>692</v>
      </c>
      <c r="C27" s="153"/>
      <c r="D27" s="153"/>
      <c r="E27" s="201" t="n">
        <f aca="false">IFERROR(INDEX(Journal!$A:$A,MATCH($A27,Journal!$B:$B,0)),"")</f>
        <v>46412</v>
      </c>
      <c r="F27" s="153" t="str">
        <f aca="true">IF(C27="Y","Done",IF(AND(E27&lt;&gt;"",TODAY()&gt;E27),"OVERDUE","Pending"))</f>
        <v>Pending</v>
      </c>
    </row>
    <row r="28" customFormat="false" ht="34.5" hidden="false" customHeight="true" outlineLevel="0" collapsed="false">
      <c r="A28" s="153" t="s">
        <v>569</v>
      </c>
      <c r="B28" s="199" t="s">
        <v>684</v>
      </c>
      <c r="C28" s="153"/>
      <c r="D28" s="153"/>
      <c r="E28" s="201" t="n">
        <f aca="false">IFERROR(INDEX(Journal!$A:$A,MATCH($A28,Journal!$B:$B,0)),"")</f>
        <v>46412</v>
      </c>
      <c r="F28" s="153" t="str">
        <f aca="true">IF(C28="Y","Done",IF(AND(E28&lt;&gt;"",TODAY()&gt;E28),"OVERDUE","Pending"))</f>
        <v>Pending</v>
      </c>
    </row>
    <row r="29" customFormat="false" ht="15" hidden="false" customHeight="true" outlineLevel="0" collapsed="false">
      <c r="A29" s="153" t="s">
        <v>569</v>
      </c>
      <c r="B29" s="199" t="s">
        <v>685</v>
      </c>
      <c r="C29" s="153"/>
      <c r="D29" s="153"/>
      <c r="E29" s="201" t="n">
        <f aca="false">IFERROR(INDEX(Journal!$A:$A,MATCH($A29,Journal!$B:$B,0)),"")</f>
        <v>46412</v>
      </c>
      <c r="F29" s="153" t="str">
        <f aca="true">IF(C29="Y","Done",IF(AND(E29&lt;&gt;"",TODAY()&gt;E29),"OVERDUE","Pending"))</f>
        <v>Pending</v>
      </c>
    </row>
    <row r="30" customFormat="false" ht="15" hidden="false" customHeight="true" outlineLevel="0" collapsed="false">
      <c r="A30" s="153" t="s">
        <v>569</v>
      </c>
      <c r="B30" s="199" t="s">
        <v>686</v>
      </c>
      <c r="C30" s="153"/>
      <c r="D30" s="153"/>
      <c r="E30" s="201" t="n">
        <f aca="false">IFERROR(INDEX(Journal!$A:$A,MATCH($A30,Journal!$B:$B,0)),"")</f>
        <v>46412</v>
      </c>
      <c r="F30" s="153" t="str">
        <f aca="true">IF(C30="Y","Done",IF(AND(E30&lt;&gt;"",TODAY()&gt;E30),"OVERDUE","Pending"))</f>
        <v>Pending</v>
      </c>
    </row>
    <row r="31" customFormat="false" ht="15" hidden="false" customHeight="true" outlineLevel="0" collapsed="false">
      <c r="A31" s="153" t="s">
        <v>569</v>
      </c>
      <c r="B31" s="199" t="s">
        <v>687</v>
      </c>
      <c r="C31" s="153"/>
      <c r="D31" s="153"/>
      <c r="E31" s="201" t="n">
        <f aca="false">IFERROR(INDEX(Journal!$A:$A,MATCH($A31,Journal!$B:$B,0)),"")</f>
        <v>46412</v>
      </c>
      <c r="F31" s="153" t="str">
        <f aca="true">IF(C31="Y","Done",IF(AND(E31&lt;&gt;"",TODAY()&gt;E31),"OVERDUE","Pending"))</f>
        <v>Pending</v>
      </c>
    </row>
    <row r="32" customFormat="false" ht="15" hidden="false" customHeight="true" outlineLevel="0" collapsed="false">
      <c r="A32" s="153" t="s">
        <v>610</v>
      </c>
      <c r="B32" s="199" t="s">
        <v>693</v>
      </c>
      <c r="C32" s="153" t="s">
        <v>214</v>
      </c>
      <c r="D32" s="200" t="n">
        <v>46295</v>
      </c>
      <c r="E32" s="201" t="n">
        <f aca="false">IFERROR(INDEX(Journal!$A:$A,MATCH($A32,Journal!$B:$B,0)),"")</f>
        <v>46295</v>
      </c>
      <c r="F32" s="153" t="str">
        <f aca="true">IF(C32="Y","Done",IF(AND(E32&lt;&gt;"",TODAY()&gt;E32),"OVERDUE","Pending"))</f>
        <v>Done</v>
      </c>
    </row>
    <row r="33" customFormat="false" ht="15" hidden="false" customHeight="true" outlineLevel="0" collapsed="false">
      <c r="A33" s="153" t="s">
        <v>610</v>
      </c>
      <c r="B33" s="199" t="s">
        <v>694</v>
      </c>
      <c r="C33" s="153" t="s">
        <v>214</v>
      </c>
      <c r="D33" s="200" t="n">
        <v>46295</v>
      </c>
      <c r="E33" s="201" t="n">
        <f aca="false">IFERROR(INDEX(Journal!$A:$A,MATCH($A33,Journal!$B:$B,0)),"")</f>
        <v>46295</v>
      </c>
      <c r="F33" s="153" t="str">
        <f aca="true">IF(C33="Y","Done",IF(AND(E33&lt;&gt;"",TODAY()&gt;E33),"OVERDUE","Pending"))</f>
        <v>Done</v>
      </c>
    </row>
    <row r="34" customFormat="false" ht="45.75" hidden="false" customHeight="true" outlineLevel="0" collapsed="false">
      <c r="A34" s="153" t="s">
        <v>610</v>
      </c>
      <c r="B34" s="199" t="s">
        <v>695</v>
      </c>
      <c r="C34" s="153" t="s">
        <v>214</v>
      </c>
      <c r="D34" s="200" t="n">
        <v>46295</v>
      </c>
      <c r="E34" s="201" t="n">
        <f aca="false">IFERROR(INDEX(Journal!$A:$A,MATCH($A34,Journal!$B:$B,0)),"")</f>
        <v>46295</v>
      </c>
      <c r="F34" s="153" t="str">
        <f aca="true">IF(C34="Y","Done",IF(AND(E34&lt;&gt;"",TODAY()&gt;E34),"OVERDUE","Pending"))</f>
        <v>Done</v>
      </c>
    </row>
    <row r="35" customFormat="false" ht="15" hidden="false" customHeight="true" outlineLevel="0" collapsed="false">
      <c r="A35" s="153" t="s">
        <v>610</v>
      </c>
      <c r="B35" s="199" t="s">
        <v>696</v>
      </c>
      <c r="C35" s="153" t="s">
        <v>214</v>
      </c>
      <c r="D35" s="200" t="n">
        <v>46295</v>
      </c>
      <c r="E35" s="201" t="n">
        <f aca="false">IFERROR(INDEX(Journal!$A:$A,MATCH($A35,Journal!$B:$B,0)),"")</f>
        <v>46295</v>
      </c>
      <c r="F35" s="153" t="str">
        <f aca="true">IF(C35="Y","Done",IF(AND(E35&lt;&gt;"",TODAY()&gt;E35),"OVERDUE","Pending"))</f>
        <v>Done</v>
      </c>
    </row>
    <row r="36" customFormat="false" ht="34.5" hidden="false" customHeight="true" outlineLevel="0" collapsed="false">
      <c r="A36" s="153" t="s">
        <v>610</v>
      </c>
      <c r="B36" s="199" t="s">
        <v>697</v>
      </c>
      <c r="C36" s="153" t="s">
        <v>214</v>
      </c>
      <c r="D36" s="200" t="n">
        <v>46295</v>
      </c>
      <c r="E36" s="201" t="n">
        <f aca="false">IFERROR(INDEX(Journal!$A:$A,MATCH($A36,Journal!$B:$B,0)),"")</f>
        <v>46295</v>
      </c>
      <c r="F36" s="153" t="str">
        <f aca="true">IF(C36="Y","Done",IF(AND(E36&lt;&gt;"",TODAY()&gt;E36),"OVERDUE","Pending"))</f>
        <v>Done</v>
      </c>
    </row>
    <row r="37" customFormat="false" ht="15" hidden="false" customHeight="true" outlineLevel="0" collapsed="false">
      <c r="A37" s="153" t="s">
        <v>610</v>
      </c>
      <c r="B37" s="199" t="s">
        <v>698</v>
      </c>
      <c r="C37" s="153" t="s">
        <v>214</v>
      </c>
      <c r="D37" s="200" t="n">
        <v>46295</v>
      </c>
      <c r="E37" s="201" t="n">
        <f aca="false">IFERROR(INDEX(Journal!$A:$A,MATCH($A37,Journal!$B:$B,0)),"")</f>
        <v>46295</v>
      </c>
      <c r="F37" s="153" t="str">
        <f aca="true">IF(C37="Y","Done",IF(AND(E37&lt;&gt;"",TODAY()&gt;E37),"OVERDUE","Pending"))</f>
        <v>Done</v>
      </c>
    </row>
    <row r="38" customFormat="false" ht="15" hidden="false" customHeight="true" outlineLevel="0" collapsed="false">
      <c r="A38" s="153" t="s">
        <v>610</v>
      </c>
      <c r="B38" s="199" t="s">
        <v>685</v>
      </c>
      <c r="C38" s="153" t="s">
        <v>214</v>
      </c>
      <c r="D38" s="200" t="n">
        <v>46295</v>
      </c>
      <c r="E38" s="201" t="n">
        <f aca="false">IFERROR(INDEX(Journal!$A:$A,MATCH($A38,Journal!$B:$B,0)),"")</f>
        <v>46295</v>
      </c>
      <c r="F38" s="153" t="str">
        <f aca="true">IF(C38="Y","Done",IF(AND(E38&lt;&gt;"",TODAY()&gt;E38),"OVERDUE","Pending"))</f>
        <v>Done</v>
      </c>
    </row>
    <row r="39" customFormat="false" ht="15" hidden="false" customHeight="true" outlineLevel="0" collapsed="false">
      <c r="A39" s="153" t="s">
        <v>610</v>
      </c>
      <c r="B39" s="199" t="s">
        <v>686</v>
      </c>
      <c r="C39" s="153" t="s">
        <v>214</v>
      </c>
      <c r="D39" s="200" t="n">
        <v>46295</v>
      </c>
      <c r="E39" s="201" t="n">
        <f aca="false">IFERROR(INDEX(Journal!$A:$A,MATCH($A39,Journal!$B:$B,0)),"")</f>
        <v>46295</v>
      </c>
      <c r="F39" s="153" t="str">
        <f aca="true">IF(C39="Y","Done",IF(AND(E39&lt;&gt;"",TODAY()&gt;E39),"OVERDUE","Pending"))</f>
        <v>Done</v>
      </c>
    </row>
    <row r="40" customFormat="false" ht="15" hidden="false" customHeight="true" outlineLevel="0" collapsed="false">
      <c r="A40" s="153" t="s">
        <v>610</v>
      </c>
      <c r="B40" s="199" t="s">
        <v>687</v>
      </c>
      <c r="C40" s="153" t="s">
        <v>214</v>
      </c>
      <c r="D40" s="200" t="n">
        <v>46295</v>
      </c>
      <c r="E40" s="201" t="n">
        <f aca="false">IFERROR(INDEX(Journal!$A:$A,MATCH($A40,Journal!$B:$B,0)),"")</f>
        <v>46295</v>
      </c>
      <c r="F40" s="153" t="str">
        <f aca="true">IF(C40="Y","Done",IF(AND(E40&lt;&gt;"",TODAY()&gt;E40),"OVERDUE","Pending"))</f>
        <v>Done</v>
      </c>
    </row>
    <row r="41" customFormat="false" ht="15" hidden="false" customHeight="true" outlineLevel="0" collapsed="false">
      <c r="A41" s="153" t="s">
        <v>612</v>
      </c>
      <c r="B41" s="199" t="s">
        <v>693</v>
      </c>
      <c r="C41" s="153"/>
      <c r="D41" s="153"/>
      <c r="E41" s="201" t="n">
        <f aca="false">IFERROR(INDEX(Journal!$A:$A,MATCH($A41,Journal!$B:$B,0)),"")</f>
        <v>46302</v>
      </c>
      <c r="F41" s="153" t="str">
        <f aca="true">IF(C41="Y","Done",IF(AND(E41&lt;&gt;"",TODAY()&gt;E41),"OVERDUE","Pending"))</f>
        <v>Pending</v>
      </c>
    </row>
    <row r="42" customFormat="false" ht="15" hidden="false" customHeight="true" outlineLevel="0" collapsed="false">
      <c r="A42" s="153" t="s">
        <v>612</v>
      </c>
      <c r="B42" s="199" t="s">
        <v>694</v>
      </c>
      <c r="C42" s="153"/>
      <c r="D42" s="153"/>
      <c r="E42" s="201" t="n">
        <f aca="false">IFERROR(INDEX(Journal!$A:$A,MATCH($A42,Journal!$B:$B,0)),"")</f>
        <v>46302</v>
      </c>
      <c r="F42" s="153" t="str">
        <f aca="true">IF(C42="Y","Done",IF(AND(E42&lt;&gt;"",TODAY()&gt;E42),"OVERDUE","Pending"))</f>
        <v>Pending</v>
      </c>
    </row>
    <row r="43" customFormat="false" ht="45.75" hidden="false" customHeight="true" outlineLevel="0" collapsed="false">
      <c r="A43" s="153" t="s">
        <v>612</v>
      </c>
      <c r="B43" s="199" t="s">
        <v>695</v>
      </c>
      <c r="C43" s="153"/>
      <c r="D43" s="153"/>
      <c r="E43" s="201" t="n">
        <f aca="false">IFERROR(INDEX(Journal!$A:$A,MATCH($A43,Journal!$B:$B,0)),"")</f>
        <v>46302</v>
      </c>
      <c r="F43" s="153" t="str">
        <f aca="true">IF(C43="Y","Done",IF(AND(E43&lt;&gt;"",TODAY()&gt;E43),"OVERDUE","Pending"))</f>
        <v>Pending</v>
      </c>
    </row>
    <row r="44" customFormat="false" ht="15" hidden="false" customHeight="true" outlineLevel="0" collapsed="false">
      <c r="A44" s="153" t="s">
        <v>612</v>
      </c>
      <c r="B44" s="199" t="s">
        <v>696</v>
      </c>
      <c r="C44" s="153"/>
      <c r="D44" s="153"/>
      <c r="E44" s="201" t="n">
        <f aca="false">IFERROR(INDEX(Journal!$A:$A,MATCH($A44,Journal!$B:$B,0)),"")</f>
        <v>46302</v>
      </c>
      <c r="F44" s="153" t="str">
        <f aca="true">IF(C44="Y","Done",IF(AND(E44&lt;&gt;"",TODAY()&gt;E44),"OVERDUE","Pending"))</f>
        <v>Pending</v>
      </c>
    </row>
    <row r="45" customFormat="false" ht="34.5" hidden="false" customHeight="true" outlineLevel="0" collapsed="false">
      <c r="A45" s="153" t="s">
        <v>612</v>
      </c>
      <c r="B45" s="199" t="s">
        <v>697</v>
      </c>
      <c r="C45" s="153"/>
      <c r="D45" s="153"/>
      <c r="E45" s="201" t="n">
        <f aca="false">IFERROR(INDEX(Journal!$A:$A,MATCH($A45,Journal!$B:$B,0)),"")</f>
        <v>46302</v>
      </c>
      <c r="F45" s="153" t="str">
        <f aca="true">IF(C45="Y","Done",IF(AND(E45&lt;&gt;"",TODAY()&gt;E45),"OVERDUE","Pending"))</f>
        <v>Pending</v>
      </c>
    </row>
    <row r="46" customFormat="false" ht="34.5" hidden="false" customHeight="true" outlineLevel="0" collapsed="false">
      <c r="A46" s="153" t="s">
        <v>612</v>
      </c>
      <c r="B46" s="199" t="s">
        <v>699</v>
      </c>
      <c r="C46" s="153"/>
      <c r="D46" s="153"/>
      <c r="E46" s="201" t="n">
        <f aca="false">IFERROR(INDEX(Journal!$A:$A,MATCH($A46,Journal!$B:$B,0)),"")</f>
        <v>46302</v>
      </c>
      <c r="F46" s="153" t="str">
        <f aca="true">IF(C46="Y","Done",IF(AND(E46&lt;&gt;"",TODAY()&gt;E46),"OVERDUE","Pending"))</f>
        <v>Pending</v>
      </c>
    </row>
    <row r="47" customFormat="false" ht="34.5" hidden="false" customHeight="true" outlineLevel="0" collapsed="false">
      <c r="A47" s="153" t="s">
        <v>612</v>
      </c>
      <c r="B47" s="199" t="s">
        <v>700</v>
      </c>
      <c r="C47" s="153"/>
      <c r="D47" s="153"/>
      <c r="E47" s="201" t="n">
        <f aca="false">IFERROR(INDEX(Journal!$A:$A,MATCH($A47,Journal!$B:$B,0)),"")</f>
        <v>46302</v>
      </c>
      <c r="F47" s="153" t="str">
        <f aca="true">IF(C47="Y","Done",IF(AND(E47&lt;&gt;"",TODAY()&gt;E47),"OVERDUE","Pending"))</f>
        <v>Pending</v>
      </c>
    </row>
    <row r="48" customFormat="false" ht="15" hidden="false" customHeight="true" outlineLevel="0" collapsed="false">
      <c r="A48" s="153" t="s">
        <v>612</v>
      </c>
      <c r="B48" s="199" t="s">
        <v>698</v>
      </c>
      <c r="C48" s="153"/>
      <c r="D48" s="153"/>
      <c r="E48" s="201" t="n">
        <f aca="false">IFERROR(INDEX(Journal!$A:$A,MATCH($A48,Journal!$B:$B,0)),"")</f>
        <v>46302</v>
      </c>
      <c r="F48" s="153" t="str">
        <f aca="true">IF(C48="Y","Done",IF(AND(E48&lt;&gt;"",TODAY()&gt;E48),"OVERDUE","Pending"))</f>
        <v>Pending</v>
      </c>
    </row>
    <row r="49" customFormat="false" ht="15" hidden="false" customHeight="true" outlineLevel="0" collapsed="false">
      <c r="A49" s="153" t="s">
        <v>612</v>
      </c>
      <c r="B49" s="199" t="s">
        <v>685</v>
      </c>
      <c r="C49" s="153"/>
      <c r="D49" s="153"/>
      <c r="E49" s="201" t="n">
        <f aca="false">IFERROR(INDEX(Journal!$A:$A,MATCH($A49,Journal!$B:$B,0)),"")</f>
        <v>46302</v>
      </c>
      <c r="F49" s="153" t="str">
        <f aca="true">IF(C49="Y","Done",IF(AND(E49&lt;&gt;"",TODAY()&gt;E49),"OVERDUE","Pending"))</f>
        <v>Pending</v>
      </c>
    </row>
    <row r="50" customFormat="false" ht="15" hidden="false" customHeight="true" outlineLevel="0" collapsed="false">
      <c r="A50" s="153" t="s">
        <v>612</v>
      </c>
      <c r="B50" s="199" t="s">
        <v>686</v>
      </c>
      <c r="C50" s="153"/>
      <c r="D50" s="153"/>
      <c r="E50" s="201" t="n">
        <f aca="false">IFERROR(INDEX(Journal!$A:$A,MATCH($A50,Journal!$B:$B,0)),"")</f>
        <v>46302</v>
      </c>
      <c r="F50" s="153" t="str">
        <f aca="true">IF(C50="Y","Done",IF(AND(E50&lt;&gt;"",TODAY()&gt;E50),"OVERDUE","Pending"))</f>
        <v>Pending</v>
      </c>
    </row>
    <row r="51" customFormat="false" ht="15" hidden="false" customHeight="true" outlineLevel="0" collapsed="false">
      <c r="A51" s="153" t="s">
        <v>612</v>
      </c>
      <c r="B51" s="199" t="s">
        <v>687</v>
      </c>
      <c r="C51" s="153"/>
      <c r="D51" s="153"/>
      <c r="E51" s="201" t="n">
        <f aca="false">IFERROR(INDEX(Journal!$A:$A,MATCH($A51,Journal!$B:$B,0)),"")</f>
        <v>46302</v>
      </c>
      <c r="F51" s="153" t="str">
        <f aca="true">IF(C51="Y","Done",IF(AND(E51&lt;&gt;"",TODAY()&gt;E51),"OVERDUE","Pending"))</f>
        <v>Pending</v>
      </c>
    </row>
    <row r="52" customFormat="false" ht="15" hidden="false" customHeight="true" outlineLevel="0" collapsed="false">
      <c r="A52" s="153" t="s">
        <v>614</v>
      </c>
      <c r="B52" s="199" t="s">
        <v>693</v>
      </c>
      <c r="C52" s="153"/>
      <c r="D52" s="153"/>
      <c r="E52" s="201" t="n">
        <f aca="false">IFERROR(INDEX(Journal!$A:$A,MATCH($A52,Journal!$B:$B,0)),"")</f>
        <v>46317</v>
      </c>
      <c r="F52" s="153" t="str">
        <f aca="true">IF(C52="Y","Done",IF(AND(E52&lt;&gt;"",TODAY()&gt;E52),"OVERDUE","Pending"))</f>
        <v>Pending</v>
      </c>
    </row>
    <row r="53" customFormat="false" ht="15" hidden="false" customHeight="true" outlineLevel="0" collapsed="false">
      <c r="A53" s="153" t="s">
        <v>614</v>
      </c>
      <c r="B53" s="199" t="s">
        <v>694</v>
      </c>
      <c r="C53" s="153"/>
      <c r="D53" s="153"/>
      <c r="E53" s="201" t="n">
        <f aca="false">IFERROR(INDEX(Journal!$A:$A,MATCH($A53,Journal!$B:$B,0)),"")</f>
        <v>46317</v>
      </c>
      <c r="F53" s="153" t="str">
        <f aca="true">IF(C53="Y","Done",IF(AND(E53&lt;&gt;"",TODAY()&gt;E53),"OVERDUE","Pending"))</f>
        <v>Pending</v>
      </c>
    </row>
    <row r="54" customFormat="false" ht="45.75" hidden="false" customHeight="true" outlineLevel="0" collapsed="false">
      <c r="A54" s="153" t="s">
        <v>614</v>
      </c>
      <c r="B54" s="199" t="s">
        <v>695</v>
      </c>
      <c r="C54" s="153"/>
      <c r="D54" s="153"/>
      <c r="E54" s="201" t="n">
        <f aca="false">IFERROR(INDEX(Journal!$A:$A,MATCH($A54,Journal!$B:$B,0)),"")</f>
        <v>46317</v>
      </c>
      <c r="F54" s="153" t="str">
        <f aca="true">IF(C54="Y","Done",IF(AND(E54&lt;&gt;"",TODAY()&gt;E54),"OVERDUE","Pending"))</f>
        <v>Pending</v>
      </c>
    </row>
    <row r="55" customFormat="false" ht="15" hidden="false" customHeight="true" outlineLevel="0" collapsed="false">
      <c r="A55" s="153" t="s">
        <v>614</v>
      </c>
      <c r="B55" s="199" t="s">
        <v>696</v>
      </c>
      <c r="C55" s="153"/>
      <c r="D55" s="153"/>
      <c r="E55" s="201" t="n">
        <f aca="false">IFERROR(INDEX(Journal!$A:$A,MATCH($A55,Journal!$B:$B,0)),"")</f>
        <v>46317</v>
      </c>
      <c r="F55" s="153" t="str">
        <f aca="true">IF(C55="Y","Done",IF(AND(E55&lt;&gt;"",TODAY()&gt;E55),"OVERDUE","Pending"))</f>
        <v>Pending</v>
      </c>
    </row>
    <row r="56" customFormat="false" ht="34.5" hidden="false" customHeight="true" outlineLevel="0" collapsed="false">
      <c r="A56" s="153" t="s">
        <v>614</v>
      </c>
      <c r="B56" s="199" t="s">
        <v>697</v>
      </c>
      <c r="C56" s="153"/>
      <c r="D56" s="153"/>
      <c r="E56" s="201" t="n">
        <f aca="false">IFERROR(INDEX(Journal!$A:$A,MATCH($A56,Journal!$B:$B,0)),"")</f>
        <v>46317</v>
      </c>
      <c r="F56" s="153" t="str">
        <f aca="true">IF(C56="Y","Done",IF(AND(E56&lt;&gt;"",TODAY()&gt;E56),"OVERDUE","Pending"))</f>
        <v>Pending</v>
      </c>
    </row>
    <row r="57" customFormat="false" ht="34.5" hidden="false" customHeight="true" outlineLevel="0" collapsed="false">
      <c r="A57" s="153" t="s">
        <v>614</v>
      </c>
      <c r="B57" s="199" t="s">
        <v>699</v>
      </c>
      <c r="C57" s="153"/>
      <c r="D57" s="153"/>
      <c r="E57" s="201" t="n">
        <f aca="false">IFERROR(INDEX(Journal!$A:$A,MATCH($A57,Journal!$B:$B,0)),"")</f>
        <v>46317</v>
      </c>
      <c r="F57" s="153" t="str">
        <f aca="true">IF(C57="Y","Done",IF(AND(E57&lt;&gt;"",TODAY()&gt;E57),"OVERDUE","Pending"))</f>
        <v>Pending</v>
      </c>
    </row>
    <row r="58" customFormat="false" ht="34.5" hidden="false" customHeight="true" outlineLevel="0" collapsed="false">
      <c r="A58" s="153" t="s">
        <v>614</v>
      </c>
      <c r="B58" s="199" t="s">
        <v>700</v>
      </c>
      <c r="C58" s="153"/>
      <c r="D58" s="153"/>
      <c r="E58" s="201" t="n">
        <f aca="false">IFERROR(INDEX(Journal!$A:$A,MATCH($A58,Journal!$B:$B,0)),"")</f>
        <v>46317</v>
      </c>
      <c r="F58" s="153" t="str">
        <f aca="true">IF(C58="Y","Done",IF(AND(E58&lt;&gt;"",TODAY()&gt;E58),"OVERDUE","Pending"))</f>
        <v>Pending</v>
      </c>
    </row>
    <row r="59" customFormat="false" ht="15" hidden="false" customHeight="true" outlineLevel="0" collapsed="false">
      <c r="A59" s="153" t="s">
        <v>614</v>
      </c>
      <c r="B59" s="199" t="s">
        <v>698</v>
      </c>
      <c r="C59" s="153"/>
      <c r="D59" s="153"/>
      <c r="E59" s="201" t="n">
        <f aca="false">IFERROR(INDEX(Journal!$A:$A,MATCH($A59,Journal!$B:$B,0)),"")</f>
        <v>46317</v>
      </c>
      <c r="F59" s="153" t="str">
        <f aca="true">IF(C59="Y","Done",IF(AND(E59&lt;&gt;"",TODAY()&gt;E59),"OVERDUE","Pending"))</f>
        <v>Pending</v>
      </c>
    </row>
    <row r="60" customFormat="false" ht="15" hidden="false" customHeight="true" outlineLevel="0" collapsed="false">
      <c r="A60" s="153" t="s">
        <v>614</v>
      </c>
      <c r="B60" s="199" t="s">
        <v>685</v>
      </c>
      <c r="C60" s="153"/>
      <c r="D60" s="153"/>
      <c r="E60" s="201" t="n">
        <f aca="false">IFERROR(INDEX(Journal!$A:$A,MATCH($A60,Journal!$B:$B,0)),"")</f>
        <v>46317</v>
      </c>
      <c r="F60" s="153" t="str">
        <f aca="true">IF(C60="Y","Done",IF(AND(E60&lt;&gt;"",TODAY()&gt;E60),"OVERDUE","Pending"))</f>
        <v>Pending</v>
      </c>
    </row>
    <row r="61" customFormat="false" ht="15" hidden="false" customHeight="true" outlineLevel="0" collapsed="false">
      <c r="A61" s="153" t="s">
        <v>614</v>
      </c>
      <c r="B61" s="199" t="s">
        <v>686</v>
      </c>
      <c r="C61" s="153"/>
      <c r="D61" s="153"/>
      <c r="E61" s="201" t="n">
        <f aca="false">IFERROR(INDEX(Journal!$A:$A,MATCH($A61,Journal!$B:$B,0)),"")</f>
        <v>46317</v>
      </c>
      <c r="F61" s="153" t="str">
        <f aca="true">IF(C61="Y","Done",IF(AND(E61&lt;&gt;"",TODAY()&gt;E61),"OVERDUE","Pending"))</f>
        <v>Pending</v>
      </c>
    </row>
    <row r="62" customFormat="false" ht="15" hidden="false" customHeight="true" outlineLevel="0" collapsed="false">
      <c r="A62" s="153" t="s">
        <v>614</v>
      </c>
      <c r="B62" s="199" t="s">
        <v>687</v>
      </c>
      <c r="C62" s="153"/>
      <c r="D62" s="153"/>
      <c r="E62" s="201" t="n">
        <f aca="false">IFERROR(INDEX(Journal!$A:$A,MATCH($A62,Journal!$B:$B,0)),"")</f>
        <v>46317</v>
      </c>
      <c r="F62" s="153" t="str">
        <f aca="true">IF(C62="Y","Done",IF(AND(E62&lt;&gt;"",TODAY()&gt;E62),"OVERDUE","Pending"))</f>
        <v>Pending</v>
      </c>
    </row>
    <row r="63" customFormat="false" ht="15" hidden="false" customHeight="true" outlineLevel="0" collapsed="false">
      <c r="A63" s="153" t="s">
        <v>616</v>
      </c>
      <c r="B63" s="199" t="s">
        <v>693</v>
      </c>
      <c r="C63" s="153"/>
      <c r="D63" s="153"/>
      <c r="E63" s="201" t="n">
        <f aca="false">IFERROR(INDEX(Journal!$A:$A,MATCH($A63,Journal!$B:$B,0)),"")</f>
        <v>46335</v>
      </c>
      <c r="F63" s="153" t="str">
        <f aca="true">IF(C63="Y","Done",IF(AND(E63&lt;&gt;"",TODAY()&gt;E63),"OVERDUE","Pending"))</f>
        <v>Pending</v>
      </c>
    </row>
    <row r="64" customFormat="false" ht="15" hidden="false" customHeight="true" outlineLevel="0" collapsed="false">
      <c r="A64" s="153" t="s">
        <v>616</v>
      </c>
      <c r="B64" s="199" t="s">
        <v>694</v>
      </c>
      <c r="C64" s="153"/>
      <c r="D64" s="153"/>
      <c r="E64" s="201" t="n">
        <f aca="false">IFERROR(INDEX(Journal!$A:$A,MATCH($A64,Journal!$B:$B,0)),"")</f>
        <v>46335</v>
      </c>
      <c r="F64" s="153" t="str">
        <f aca="true">IF(C64="Y","Done",IF(AND(E64&lt;&gt;"",TODAY()&gt;E64),"OVERDUE","Pending"))</f>
        <v>Pending</v>
      </c>
    </row>
    <row r="65" customFormat="false" ht="45.75" hidden="false" customHeight="true" outlineLevel="0" collapsed="false">
      <c r="A65" s="153" t="s">
        <v>616</v>
      </c>
      <c r="B65" s="199" t="s">
        <v>695</v>
      </c>
      <c r="C65" s="153"/>
      <c r="D65" s="153"/>
      <c r="E65" s="201" t="n">
        <f aca="false">IFERROR(INDEX(Journal!$A:$A,MATCH($A65,Journal!$B:$B,0)),"")</f>
        <v>46335</v>
      </c>
      <c r="F65" s="153" t="str">
        <f aca="true">IF(C65="Y","Done",IF(AND(E65&lt;&gt;"",TODAY()&gt;E65),"OVERDUE","Pending"))</f>
        <v>Pending</v>
      </c>
    </row>
    <row r="66" customFormat="false" ht="15" hidden="false" customHeight="true" outlineLevel="0" collapsed="false">
      <c r="A66" s="153" t="s">
        <v>616</v>
      </c>
      <c r="B66" s="199" t="s">
        <v>696</v>
      </c>
      <c r="C66" s="153"/>
      <c r="D66" s="153"/>
      <c r="E66" s="201" t="n">
        <f aca="false">IFERROR(INDEX(Journal!$A:$A,MATCH($A66,Journal!$B:$B,0)),"")</f>
        <v>46335</v>
      </c>
      <c r="F66" s="153" t="str">
        <f aca="true">IF(C66="Y","Done",IF(AND(E66&lt;&gt;"",TODAY()&gt;E66),"OVERDUE","Pending"))</f>
        <v>Pending</v>
      </c>
    </row>
    <row r="67" customFormat="false" ht="34.5" hidden="false" customHeight="true" outlineLevel="0" collapsed="false">
      <c r="A67" s="153" t="s">
        <v>616</v>
      </c>
      <c r="B67" s="199" t="s">
        <v>697</v>
      </c>
      <c r="C67" s="153"/>
      <c r="D67" s="153"/>
      <c r="E67" s="201" t="n">
        <f aca="false">IFERROR(INDEX(Journal!$A:$A,MATCH($A67,Journal!$B:$B,0)),"")</f>
        <v>46335</v>
      </c>
      <c r="F67" s="153" t="str">
        <f aca="true">IF(C67="Y","Done",IF(AND(E67&lt;&gt;"",TODAY()&gt;E67),"OVERDUE","Pending"))</f>
        <v>Pending</v>
      </c>
    </row>
    <row r="68" customFormat="false" ht="34.5" hidden="false" customHeight="true" outlineLevel="0" collapsed="false">
      <c r="A68" s="153" t="s">
        <v>616</v>
      </c>
      <c r="B68" s="199" t="s">
        <v>699</v>
      </c>
      <c r="C68" s="153"/>
      <c r="D68" s="153"/>
      <c r="E68" s="201" t="n">
        <f aca="false">IFERROR(INDEX(Journal!$A:$A,MATCH($A68,Journal!$B:$B,0)),"")</f>
        <v>46335</v>
      </c>
      <c r="F68" s="153" t="str">
        <f aca="true">IF(C68="Y","Done",IF(AND(E68&lt;&gt;"",TODAY()&gt;E68),"OVERDUE","Pending"))</f>
        <v>Pending</v>
      </c>
    </row>
    <row r="69" customFormat="false" ht="34.5" hidden="false" customHeight="true" outlineLevel="0" collapsed="false">
      <c r="A69" s="153" t="s">
        <v>616</v>
      </c>
      <c r="B69" s="199" t="s">
        <v>700</v>
      </c>
      <c r="C69" s="153"/>
      <c r="D69" s="153"/>
      <c r="E69" s="201" t="n">
        <f aca="false">IFERROR(INDEX(Journal!$A:$A,MATCH($A69,Journal!$B:$B,0)),"")</f>
        <v>46335</v>
      </c>
      <c r="F69" s="153" t="str">
        <f aca="true">IF(C69="Y","Done",IF(AND(E69&lt;&gt;"",TODAY()&gt;E69),"OVERDUE","Pending"))</f>
        <v>Pending</v>
      </c>
    </row>
    <row r="70" customFormat="false" ht="15" hidden="false" customHeight="true" outlineLevel="0" collapsed="false">
      <c r="A70" s="153" t="s">
        <v>616</v>
      </c>
      <c r="B70" s="199" t="s">
        <v>698</v>
      </c>
      <c r="C70" s="153"/>
      <c r="D70" s="153"/>
      <c r="E70" s="201" t="n">
        <f aca="false">IFERROR(INDEX(Journal!$A:$A,MATCH($A70,Journal!$B:$B,0)),"")</f>
        <v>46335</v>
      </c>
      <c r="F70" s="153" t="str">
        <f aca="true">IF(C70="Y","Done",IF(AND(E70&lt;&gt;"",TODAY()&gt;E70),"OVERDUE","Pending"))</f>
        <v>Pending</v>
      </c>
    </row>
    <row r="71" customFormat="false" ht="15" hidden="false" customHeight="true" outlineLevel="0" collapsed="false">
      <c r="A71" s="153" t="s">
        <v>616</v>
      </c>
      <c r="B71" s="199" t="s">
        <v>685</v>
      </c>
      <c r="C71" s="153"/>
      <c r="D71" s="153"/>
      <c r="E71" s="201" t="n">
        <f aca="false">IFERROR(INDEX(Journal!$A:$A,MATCH($A71,Journal!$B:$B,0)),"")</f>
        <v>46335</v>
      </c>
      <c r="F71" s="153" t="str">
        <f aca="true">IF(C71="Y","Done",IF(AND(E71&lt;&gt;"",TODAY()&gt;E71),"OVERDUE","Pending"))</f>
        <v>Pending</v>
      </c>
    </row>
    <row r="72" customFormat="false" ht="15" hidden="false" customHeight="true" outlineLevel="0" collapsed="false">
      <c r="A72" s="153" t="s">
        <v>616</v>
      </c>
      <c r="B72" s="199" t="s">
        <v>686</v>
      </c>
      <c r="C72" s="153"/>
      <c r="D72" s="153"/>
      <c r="E72" s="201" t="n">
        <f aca="false">IFERROR(INDEX(Journal!$A:$A,MATCH($A72,Journal!$B:$B,0)),"")</f>
        <v>46335</v>
      </c>
      <c r="F72" s="153" t="str">
        <f aca="true">IF(C72="Y","Done",IF(AND(E72&lt;&gt;"",TODAY()&gt;E72),"OVERDUE","Pending"))</f>
        <v>Pending</v>
      </c>
    </row>
    <row r="73" customFormat="false" ht="15" hidden="false" customHeight="true" outlineLevel="0" collapsed="false">
      <c r="A73" s="153" t="s">
        <v>616</v>
      </c>
      <c r="B73" s="199" t="s">
        <v>687</v>
      </c>
      <c r="C73" s="153"/>
      <c r="D73" s="153"/>
      <c r="E73" s="201" t="n">
        <f aca="false">IFERROR(INDEX(Journal!$A:$A,MATCH($A73,Journal!$B:$B,0)),"")</f>
        <v>46335</v>
      </c>
      <c r="F73" s="153" t="str">
        <f aca="true">IF(C73="Y","Done",IF(AND(E73&lt;&gt;"",TODAY()&gt;E73),"OVERDUE","Pending"))</f>
        <v>Pending</v>
      </c>
    </row>
    <row r="74" customFormat="false" ht="15" hidden="false" customHeight="true" outlineLevel="0" collapsed="false">
      <c r="A74" s="153" t="s">
        <v>618</v>
      </c>
      <c r="B74" s="199" t="s">
        <v>693</v>
      </c>
      <c r="C74" s="153"/>
      <c r="D74" s="153"/>
      <c r="E74" s="201" t="n">
        <f aca="false">IFERROR(INDEX(Journal!$A:$A,MATCH($A74,Journal!$B:$B,0)),"")</f>
        <v>46349</v>
      </c>
      <c r="F74" s="153" t="str">
        <f aca="true">IF(C74="Y","Done",IF(AND(E74&lt;&gt;"",TODAY()&gt;E74),"OVERDUE","Pending"))</f>
        <v>Pending</v>
      </c>
    </row>
    <row r="75" customFormat="false" ht="15" hidden="false" customHeight="true" outlineLevel="0" collapsed="false">
      <c r="A75" s="153" t="s">
        <v>618</v>
      </c>
      <c r="B75" s="199" t="s">
        <v>694</v>
      </c>
      <c r="C75" s="153"/>
      <c r="D75" s="153"/>
      <c r="E75" s="201" t="n">
        <f aca="false">IFERROR(INDEX(Journal!$A:$A,MATCH($A75,Journal!$B:$B,0)),"")</f>
        <v>46349</v>
      </c>
      <c r="F75" s="153" t="str">
        <f aca="true">IF(C75="Y","Done",IF(AND(E75&lt;&gt;"",TODAY()&gt;E75),"OVERDUE","Pending"))</f>
        <v>Pending</v>
      </c>
    </row>
    <row r="76" customFormat="false" ht="45.75" hidden="false" customHeight="true" outlineLevel="0" collapsed="false">
      <c r="A76" s="153" t="s">
        <v>618</v>
      </c>
      <c r="B76" s="199" t="s">
        <v>695</v>
      </c>
      <c r="C76" s="153"/>
      <c r="D76" s="153"/>
      <c r="E76" s="201" t="n">
        <f aca="false">IFERROR(INDEX(Journal!$A:$A,MATCH($A76,Journal!$B:$B,0)),"")</f>
        <v>46349</v>
      </c>
      <c r="F76" s="153" t="str">
        <f aca="true">IF(C76="Y","Done",IF(AND(E76&lt;&gt;"",TODAY()&gt;E76),"OVERDUE","Pending"))</f>
        <v>Pending</v>
      </c>
    </row>
    <row r="77" customFormat="false" ht="15" hidden="false" customHeight="true" outlineLevel="0" collapsed="false">
      <c r="A77" s="153" t="s">
        <v>618</v>
      </c>
      <c r="B77" s="199" t="s">
        <v>696</v>
      </c>
      <c r="C77" s="153"/>
      <c r="D77" s="153"/>
      <c r="E77" s="201" t="n">
        <f aca="false">IFERROR(INDEX(Journal!$A:$A,MATCH($A77,Journal!$B:$B,0)),"")</f>
        <v>46349</v>
      </c>
      <c r="F77" s="153" t="str">
        <f aca="true">IF(C77="Y","Done",IF(AND(E77&lt;&gt;"",TODAY()&gt;E77),"OVERDUE","Pending"))</f>
        <v>Pending</v>
      </c>
    </row>
    <row r="78" customFormat="false" ht="34.5" hidden="false" customHeight="true" outlineLevel="0" collapsed="false">
      <c r="A78" s="153" t="s">
        <v>618</v>
      </c>
      <c r="B78" s="199" t="s">
        <v>697</v>
      </c>
      <c r="C78" s="153"/>
      <c r="D78" s="153"/>
      <c r="E78" s="201" t="n">
        <f aca="false">IFERROR(INDEX(Journal!$A:$A,MATCH($A78,Journal!$B:$B,0)),"")</f>
        <v>46349</v>
      </c>
      <c r="F78" s="153" t="str">
        <f aca="true">IF(C78="Y","Done",IF(AND(E78&lt;&gt;"",TODAY()&gt;E78),"OVERDUE","Pending"))</f>
        <v>Pending</v>
      </c>
    </row>
    <row r="79" customFormat="false" ht="34.5" hidden="false" customHeight="true" outlineLevel="0" collapsed="false">
      <c r="A79" s="153" t="s">
        <v>618</v>
      </c>
      <c r="B79" s="199" t="s">
        <v>699</v>
      </c>
      <c r="C79" s="153"/>
      <c r="D79" s="153"/>
      <c r="E79" s="201" t="n">
        <f aca="false">IFERROR(INDEX(Journal!$A:$A,MATCH($A79,Journal!$B:$B,0)),"")</f>
        <v>46349</v>
      </c>
      <c r="F79" s="153" t="str">
        <f aca="true">IF(C79="Y","Done",IF(AND(E79&lt;&gt;"",TODAY()&gt;E79),"OVERDUE","Pending"))</f>
        <v>Pending</v>
      </c>
    </row>
    <row r="80" customFormat="false" ht="34.5" hidden="false" customHeight="true" outlineLevel="0" collapsed="false">
      <c r="A80" s="153" t="s">
        <v>618</v>
      </c>
      <c r="B80" s="199" t="s">
        <v>700</v>
      </c>
      <c r="C80" s="153"/>
      <c r="D80" s="153"/>
      <c r="E80" s="201" t="n">
        <f aca="false">IFERROR(INDEX(Journal!$A:$A,MATCH($A80,Journal!$B:$B,0)),"")</f>
        <v>46349</v>
      </c>
      <c r="F80" s="153" t="str">
        <f aca="true">IF(C80="Y","Done",IF(AND(E80&lt;&gt;"",TODAY()&gt;E80),"OVERDUE","Pending"))</f>
        <v>Pending</v>
      </c>
    </row>
    <row r="81" customFormat="false" ht="15" hidden="false" customHeight="true" outlineLevel="0" collapsed="false">
      <c r="A81" s="153" t="s">
        <v>618</v>
      </c>
      <c r="B81" s="199" t="s">
        <v>698</v>
      </c>
      <c r="C81" s="153"/>
      <c r="D81" s="153"/>
      <c r="E81" s="201" t="n">
        <f aca="false">IFERROR(INDEX(Journal!$A:$A,MATCH($A81,Journal!$B:$B,0)),"")</f>
        <v>46349</v>
      </c>
      <c r="F81" s="153" t="str">
        <f aca="true">IF(C81="Y","Done",IF(AND(E81&lt;&gt;"",TODAY()&gt;E81),"OVERDUE","Pending"))</f>
        <v>Pending</v>
      </c>
    </row>
    <row r="82" customFormat="false" ht="15" hidden="false" customHeight="true" outlineLevel="0" collapsed="false">
      <c r="A82" s="153" t="s">
        <v>618</v>
      </c>
      <c r="B82" s="199" t="s">
        <v>685</v>
      </c>
      <c r="C82" s="153"/>
      <c r="D82" s="153"/>
      <c r="E82" s="201" t="n">
        <f aca="false">IFERROR(INDEX(Journal!$A:$A,MATCH($A82,Journal!$B:$B,0)),"")</f>
        <v>46349</v>
      </c>
      <c r="F82" s="153" t="str">
        <f aca="true">IF(C82="Y","Done",IF(AND(E82&lt;&gt;"",TODAY()&gt;E82),"OVERDUE","Pending"))</f>
        <v>Pending</v>
      </c>
    </row>
    <row r="83" customFormat="false" ht="15" hidden="false" customHeight="true" outlineLevel="0" collapsed="false">
      <c r="A83" s="153" t="s">
        <v>618</v>
      </c>
      <c r="B83" s="199" t="s">
        <v>686</v>
      </c>
      <c r="C83" s="153"/>
      <c r="D83" s="153"/>
      <c r="E83" s="201" t="n">
        <f aca="false">IFERROR(INDEX(Journal!$A:$A,MATCH($A83,Journal!$B:$B,0)),"")</f>
        <v>46349</v>
      </c>
      <c r="F83" s="153" t="str">
        <f aca="true">IF(C83="Y","Done",IF(AND(E83&lt;&gt;"",TODAY()&gt;E83),"OVERDUE","Pending"))</f>
        <v>Pending</v>
      </c>
    </row>
    <row r="84" customFormat="false" ht="15" hidden="false" customHeight="true" outlineLevel="0" collapsed="false">
      <c r="A84" s="153" t="s">
        <v>618</v>
      </c>
      <c r="B84" s="199" t="s">
        <v>687</v>
      </c>
      <c r="C84" s="153"/>
      <c r="D84" s="153"/>
      <c r="E84" s="201" t="n">
        <f aca="false">IFERROR(INDEX(Journal!$A:$A,MATCH($A84,Journal!$B:$B,0)),"")</f>
        <v>46349</v>
      </c>
      <c r="F84" s="153" t="str">
        <f aca="true">IF(C84="Y","Done",IF(AND(E84&lt;&gt;"",TODAY()&gt;E84),"OVERDUE","Pending"))</f>
        <v>Pending</v>
      </c>
    </row>
    <row r="85" customFormat="false" ht="15" hidden="false" customHeight="true" outlineLevel="0" collapsed="false">
      <c r="A85" s="153" t="s">
        <v>620</v>
      </c>
      <c r="B85" s="199" t="s">
        <v>693</v>
      </c>
      <c r="C85" s="153"/>
      <c r="D85" s="153"/>
      <c r="E85" s="201" t="n">
        <f aca="false">IFERROR(INDEX(Journal!$A:$A,MATCH($A85,Journal!$B:$B,0)),"")</f>
        <v>46363</v>
      </c>
      <c r="F85" s="153" t="str">
        <f aca="true">IF(C85="Y","Done",IF(AND(E85&lt;&gt;"",TODAY()&gt;E85),"OVERDUE","Pending"))</f>
        <v>Pending</v>
      </c>
    </row>
    <row r="86" customFormat="false" ht="15" hidden="false" customHeight="true" outlineLevel="0" collapsed="false">
      <c r="A86" s="153" t="s">
        <v>620</v>
      </c>
      <c r="B86" s="199" t="s">
        <v>694</v>
      </c>
      <c r="C86" s="153"/>
      <c r="D86" s="153"/>
      <c r="E86" s="201" t="n">
        <f aca="false">IFERROR(INDEX(Journal!$A:$A,MATCH($A86,Journal!$B:$B,0)),"")</f>
        <v>46363</v>
      </c>
      <c r="F86" s="153" t="str">
        <f aca="true">IF(C86="Y","Done",IF(AND(E86&lt;&gt;"",TODAY()&gt;E86),"OVERDUE","Pending"))</f>
        <v>Pending</v>
      </c>
    </row>
    <row r="87" customFormat="false" ht="45.75" hidden="false" customHeight="true" outlineLevel="0" collapsed="false">
      <c r="A87" s="153" t="s">
        <v>620</v>
      </c>
      <c r="B87" s="199" t="s">
        <v>695</v>
      </c>
      <c r="C87" s="153"/>
      <c r="D87" s="153"/>
      <c r="E87" s="201" t="n">
        <f aca="false">IFERROR(INDEX(Journal!$A:$A,MATCH($A87,Journal!$B:$B,0)),"")</f>
        <v>46363</v>
      </c>
      <c r="F87" s="153" t="str">
        <f aca="true">IF(C87="Y","Done",IF(AND(E87&lt;&gt;"",TODAY()&gt;E87),"OVERDUE","Pending"))</f>
        <v>Pending</v>
      </c>
    </row>
    <row r="88" customFormat="false" ht="15" hidden="false" customHeight="true" outlineLevel="0" collapsed="false">
      <c r="A88" s="153" t="s">
        <v>620</v>
      </c>
      <c r="B88" s="199" t="s">
        <v>696</v>
      </c>
      <c r="C88" s="153"/>
      <c r="D88" s="153"/>
      <c r="E88" s="201" t="n">
        <f aca="false">IFERROR(INDEX(Journal!$A:$A,MATCH($A88,Journal!$B:$B,0)),"")</f>
        <v>46363</v>
      </c>
      <c r="F88" s="153" t="str">
        <f aca="true">IF(C88="Y","Done",IF(AND(E88&lt;&gt;"",TODAY()&gt;E88),"OVERDUE","Pending"))</f>
        <v>Pending</v>
      </c>
    </row>
    <row r="89" customFormat="false" ht="34.5" hidden="false" customHeight="true" outlineLevel="0" collapsed="false">
      <c r="A89" s="153" t="s">
        <v>620</v>
      </c>
      <c r="B89" s="199" t="s">
        <v>697</v>
      </c>
      <c r="C89" s="153"/>
      <c r="D89" s="153"/>
      <c r="E89" s="201" t="n">
        <f aca="false">IFERROR(INDEX(Journal!$A:$A,MATCH($A89,Journal!$B:$B,0)),"")</f>
        <v>46363</v>
      </c>
      <c r="F89" s="153" t="str">
        <f aca="true">IF(C89="Y","Done",IF(AND(E89&lt;&gt;"",TODAY()&gt;E89),"OVERDUE","Pending"))</f>
        <v>Pending</v>
      </c>
    </row>
    <row r="90" customFormat="false" ht="34.5" hidden="false" customHeight="true" outlineLevel="0" collapsed="false">
      <c r="A90" s="153" t="s">
        <v>620</v>
      </c>
      <c r="B90" s="199" t="s">
        <v>699</v>
      </c>
      <c r="C90" s="153"/>
      <c r="D90" s="153"/>
      <c r="E90" s="201" t="n">
        <f aca="false">IFERROR(INDEX(Journal!$A:$A,MATCH($A90,Journal!$B:$B,0)),"")</f>
        <v>46363</v>
      </c>
      <c r="F90" s="153" t="str">
        <f aca="true">IF(C90="Y","Done",IF(AND(E90&lt;&gt;"",TODAY()&gt;E90),"OVERDUE","Pending"))</f>
        <v>Pending</v>
      </c>
    </row>
    <row r="91" customFormat="false" ht="34.5" hidden="false" customHeight="true" outlineLevel="0" collapsed="false">
      <c r="A91" s="153" t="s">
        <v>620</v>
      </c>
      <c r="B91" s="199" t="s">
        <v>700</v>
      </c>
      <c r="C91" s="153"/>
      <c r="D91" s="153"/>
      <c r="E91" s="201" t="n">
        <f aca="false">IFERROR(INDEX(Journal!$A:$A,MATCH($A91,Journal!$B:$B,0)),"")</f>
        <v>46363</v>
      </c>
      <c r="F91" s="153" t="str">
        <f aca="true">IF(C91="Y","Done",IF(AND(E91&lt;&gt;"",TODAY()&gt;E91),"OVERDUE","Pending"))</f>
        <v>Pending</v>
      </c>
    </row>
    <row r="92" customFormat="false" ht="15" hidden="false" customHeight="true" outlineLevel="0" collapsed="false">
      <c r="A92" s="153" t="s">
        <v>620</v>
      </c>
      <c r="B92" s="199" t="s">
        <v>698</v>
      </c>
      <c r="C92" s="153"/>
      <c r="D92" s="153"/>
      <c r="E92" s="201" t="n">
        <f aca="false">IFERROR(INDEX(Journal!$A:$A,MATCH($A92,Journal!$B:$B,0)),"")</f>
        <v>46363</v>
      </c>
      <c r="F92" s="153" t="str">
        <f aca="true">IF(C92="Y","Done",IF(AND(E92&lt;&gt;"",TODAY()&gt;E92),"OVERDUE","Pending"))</f>
        <v>Pending</v>
      </c>
    </row>
    <row r="93" customFormat="false" ht="15" hidden="false" customHeight="true" outlineLevel="0" collapsed="false">
      <c r="A93" s="153" t="s">
        <v>620</v>
      </c>
      <c r="B93" s="199" t="s">
        <v>685</v>
      </c>
      <c r="C93" s="153"/>
      <c r="D93" s="153"/>
      <c r="E93" s="201" t="n">
        <f aca="false">IFERROR(INDEX(Journal!$A:$A,MATCH($A93,Journal!$B:$B,0)),"")</f>
        <v>46363</v>
      </c>
      <c r="F93" s="153" t="str">
        <f aca="true">IF(C93="Y","Done",IF(AND(E93&lt;&gt;"",TODAY()&gt;E93),"OVERDUE","Pending"))</f>
        <v>Pending</v>
      </c>
    </row>
    <row r="94" customFormat="false" ht="15" hidden="false" customHeight="true" outlineLevel="0" collapsed="false">
      <c r="A94" s="153" t="s">
        <v>620</v>
      </c>
      <c r="B94" s="199" t="s">
        <v>686</v>
      </c>
      <c r="C94" s="153"/>
      <c r="D94" s="153"/>
      <c r="E94" s="201" t="n">
        <f aca="false">IFERROR(INDEX(Journal!$A:$A,MATCH($A94,Journal!$B:$B,0)),"")</f>
        <v>46363</v>
      </c>
      <c r="F94" s="153" t="str">
        <f aca="true">IF(C94="Y","Done",IF(AND(E94&lt;&gt;"",TODAY()&gt;E94),"OVERDUE","Pending"))</f>
        <v>Pending</v>
      </c>
    </row>
    <row r="95" customFormat="false" ht="15" hidden="false" customHeight="true" outlineLevel="0" collapsed="false">
      <c r="A95" s="153" t="s">
        <v>620</v>
      </c>
      <c r="B95" s="199" t="s">
        <v>687</v>
      </c>
      <c r="C95" s="153"/>
      <c r="D95" s="153"/>
      <c r="E95" s="201" t="n">
        <f aca="false">IFERROR(INDEX(Journal!$A:$A,MATCH($A95,Journal!$B:$B,0)),"")</f>
        <v>46363</v>
      </c>
      <c r="F95" s="153" t="str">
        <f aca="true">IF(C95="Y","Done",IF(AND(E95&lt;&gt;"",TODAY()&gt;E95),"OVERDUE","Pending"))</f>
        <v>Pending</v>
      </c>
    </row>
    <row r="96" customFormat="false" ht="15" hidden="false" customHeight="true" outlineLevel="0" collapsed="false">
      <c r="A96" s="153" t="s">
        <v>621</v>
      </c>
      <c r="B96" s="199" t="s">
        <v>693</v>
      </c>
      <c r="C96" s="153"/>
      <c r="D96" s="153"/>
      <c r="E96" s="201" t="n">
        <f aca="false">IFERROR(INDEX(Journal!$A:$A,MATCH($A96,Journal!$B:$B,0)),"")</f>
        <v>46378</v>
      </c>
      <c r="F96" s="153" t="str">
        <f aca="true">IF(C96="Y","Done",IF(AND(E96&lt;&gt;"",TODAY()&gt;E96),"OVERDUE","Pending"))</f>
        <v>Pending</v>
      </c>
    </row>
    <row r="97" customFormat="false" ht="15" hidden="false" customHeight="true" outlineLevel="0" collapsed="false">
      <c r="A97" s="153" t="s">
        <v>621</v>
      </c>
      <c r="B97" s="199" t="s">
        <v>694</v>
      </c>
      <c r="C97" s="153"/>
      <c r="D97" s="153"/>
      <c r="E97" s="201" t="n">
        <f aca="false">IFERROR(INDEX(Journal!$A:$A,MATCH($A97,Journal!$B:$B,0)),"")</f>
        <v>46378</v>
      </c>
      <c r="F97" s="153" t="str">
        <f aca="true">IF(C97="Y","Done",IF(AND(E97&lt;&gt;"",TODAY()&gt;E97),"OVERDUE","Pending"))</f>
        <v>Pending</v>
      </c>
    </row>
    <row r="98" customFormat="false" ht="45.75" hidden="false" customHeight="true" outlineLevel="0" collapsed="false">
      <c r="A98" s="153" t="s">
        <v>621</v>
      </c>
      <c r="B98" s="199" t="s">
        <v>695</v>
      </c>
      <c r="C98" s="153"/>
      <c r="D98" s="153"/>
      <c r="E98" s="201" t="n">
        <f aca="false">IFERROR(INDEX(Journal!$A:$A,MATCH($A98,Journal!$B:$B,0)),"")</f>
        <v>46378</v>
      </c>
      <c r="F98" s="153" t="str">
        <f aca="true">IF(C98="Y","Done",IF(AND(E98&lt;&gt;"",TODAY()&gt;E98),"OVERDUE","Pending"))</f>
        <v>Pending</v>
      </c>
    </row>
    <row r="99" customFormat="false" ht="15" hidden="false" customHeight="true" outlineLevel="0" collapsed="false">
      <c r="A99" s="153" t="s">
        <v>621</v>
      </c>
      <c r="B99" s="199" t="s">
        <v>696</v>
      </c>
      <c r="C99" s="153"/>
      <c r="D99" s="153"/>
      <c r="E99" s="201" t="n">
        <f aca="false">IFERROR(INDEX(Journal!$A:$A,MATCH($A99,Journal!$B:$B,0)),"")</f>
        <v>46378</v>
      </c>
      <c r="F99" s="153" t="str">
        <f aca="true">IF(C99="Y","Done",IF(AND(E99&lt;&gt;"",TODAY()&gt;E99),"OVERDUE","Pending"))</f>
        <v>Pending</v>
      </c>
    </row>
    <row r="100" customFormat="false" ht="34.5" hidden="false" customHeight="true" outlineLevel="0" collapsed="false">
      <c r="A100" s="153" t="s">
        <v>621</v>
      </c>
      <c r="B100" s="199" t="s">
        <v>697</v>
      </c>
      <c r="C100" s="153"/>
      <c r="D100" s="153"/>
      <c r="E100" s="201" t="n">
        <f aca="false">IFERROR(INDEX(Journal!$A:$A,MATCH($A100,Journal!$B:$B,0)),"")</f>
        <v>46378</v>
      </c>
      <c r="F100" s="153" t="str">
        <f aca="true">IF(C100="Y","Done",IF(AND(E100&lt;&gt;"",TODAY()&gt;E100),"OVERDUE","Pending"))</f>
        <v>Pending</v>
      </c>
    </row>
    <row r="101" customFormat="false" ht="34.5" hidden="false" customHeight="true" outlineLevel="0" collapsed="false">
      <c r="A101" s="153" t="s">
        <v>621</v>
      </c>
      <c r="B101" s="199" t="s">
        <v>699</v>
      </c>
      <c r="C101" s="153"/>
      <c r="D101" s="153"/>
      <c r="E101" s="201" t="n">
        <f aca="false">IFERROR(INDEX(Journal!$A:$A,MATCH($A101,Journal!$B:$B,0)),"")</f>
        <v>46378</v>
      </c>
      <c r="F101" s="153" t="str">
        <f aca="true">IF(C101="Y","Done",IF(AND(E101&lt;&gt;"",TODAY()&gt;E101),"OVERDUE","Pending"))</f>
        <v>Pending</v>
      </c>
    </row>
    <row r="102" customFormat="false" ht="34.5" hidden="false" customHeight="true" outlineLevel="0" collapsed="false">
      <c r="A102" s="153" t="s">
        <v>621</v>
      </c>
      <c r="B102" s="199" t="s">
        <v>700</v>
      </c>
      <c r="C102" s="153"/>
      <c r="D102" s="153"/>
      <c r="E102" s="201" t="n">
        <f aca="false">IFERROR(INDEX(Journal!$A:$A,MATCH($A102,Journal!$B:$B,0)),"")</f>
        <v>46378</v>
      </c>
      <c r="F102" s="153" t="str">
        <f aca="true">IF(C102="Y","Done",IF(AND(E102&lt;&gt;"",TODAY()&gt;E102),"OVERDUE","Pending"))</f>
        <v>Pending</v>
      </c>
    </row>
    <row r="103" customFormat="false" ht="15" hidden="false" customHeight="true" outlineLevel="0" collapsed="false">
      <c r="A103" s="153" t="s">
        <v>621</v>
      </c>
      <c r="B103" s="199" t="s">
        <v>698</v>
      </c>
      <c r="C103" s="153"/>
      <c r="D103" s="153"/>
      <c r="E103" s="201" t="n">
        <f aca="false">IFERROR(INDEX(Journal!$A:$A,MATCH($A103,Journal!$B:$B,0)),"")</f>
        <v>46378</v>
      </c>
      <c r="F103" s="153" t="str">
        <f aca="true">IF(C103="Y","Done",IF(AND(E103&lt;&gt;"",TODAY()&gt;E103),"OVERDUE","Pending"))</f>
        <v>Pending</v>
      </c>
    </row>
    <row r="104" customFormat="false" ht="15" hidden="false" customHeight="true" outlineLevel="0" collapsed="false">
      <c r="A104" s="153" t="s">
        <v>621</v>
      </c>
      <c r="B104" s="199" t="s">
        <v>685</v>
      </c>
      <c r="C104" s="153"/>
      <c r="D104" s="153"/>
      <c r="E104" s="201" t="n">
        <f aca="false">IFERROR(INDEX(Journal!$A:$A,MATCH($A104,Journal!$B:$B,0)),"")</f>
        <v>46378</v>
      </c>
      <c r="F104" s="153" t="str">
        <f aca="true">IF(C104="Y","Done",IF(AND(E104&lt;&gt;"",TODAY()&gt;E104),"OVERDUE","Pending"))</f>
        <v>Pending</v>
      </c>
    </row>
    <row r="105" customFormat="false" ht="15" hidden="false" customHeight="true" outlineLevel="0" collapsed="false">
      <c r="A105" s="153" t="s">
        <v>621</v>
      </c>
      <c r="B105" s="199" t="s">
        <v>686</v>
      </c>
      <c r="C105" s="153"/>
      <c r="D105" s="153"/>
      <c r="E105" s="201" t="n">
        <f aca="false">IFERROR(INDEX(Journal!$A:$A,MATCH($A105,Journal!$B:$B,0)),"")</f>
        <v>46378</v>
      </c>
      <c r="F105" s="153" t="str">
        <f aca="true">IF(C105="Y","Done",IF(AND(E105&lt;&gt;"",TODAY()&gt;E105),"OVERDUE","Pending"))</f>
        <v>Pending</v>
      </c>
    </row>
    <row r="106" customFormat="false" ht="15" hidden="false" customHeight="true" outlineLevel="0" collapsed="false">
      <c r="A106" s="153" t="s">
        <v>621</v>
      </c>
      <c r="B106" s="199" t="s">
        <v>687</v>
      </c>
      <c r="C106" s="153"/>
      <c r="D106" s="153"/>
      <c r="E106" s="201" t="n">
        <f aca="false">IFERROR(INDEX(Journal!$A:$A,MATCH($A106,Journal!$B:$B,0)),"")</f>
        <v>46378</v>
      </c>
      <c r="F106" s="153" t="str">
        <f aca="true">IF(C106="Y","Done",IF(AND(E106&lt;&gt;"",TODAY()&gt;E106),"OVERDUE","Pending"))</f>
        <v>Pending</v>
      </c>
    </row>
    <row r="107" customFormat="false" ht="15" hidden="false" customHeight="true" outlineLevel="0" collapsed="false">
      <c r="A107" s="153" t="s">
        <v>622</v>
      </c>
      <c r="B107" s="199" t="s">
        <v>693</v>
      </c>
      <c r="C107" s="153"/>
      <c r="D107" s="153"/>
      <c r="E107" s="201" t="n">
        <f aca="false">IFERROR(INDEX(Journal!$A:$A,MATCH($A107,Journal!$B:$B,0)),"")</f>
        <v>46394</v>
      </c>
      <c r="F107" s="153" t="str">
        <f aca="true">IF(C107="Y","Done",IF(AND(E107&lt;&gt;"",TODAY()&gt;E107),"OVERDUE","Pending"))</f>
        <v>Pending</v>
      </c>
    </row>
    <row r="108" customFormat="false" ht="15" hidden="false" customHeight="true" outlineLevel="0" collapsed="false">
      <c r="A108" s="153" t="s">
        <v>622</v>
      </c>
      <c r="B108" s="199" t="s">
        <v>694</v>
      </c>
      <c r="C108" s="153"/>
      <c r="D108" s="153"/>
      <c r="E108" s="201" t="n">
        <f aca="false">IFERROR(INDEX(Journal!$A:$A,MATCH($A108,Journal!$B:$B,0)),"")</f>
        <v>46394</v>
      </c>
      <c r="F108" s="153" t="str">
        <f aca="true">IF(C108="Y","Done",IF(AND(E108&lt;&gt;"",TODAY()&gt;E108),"OVERDUE","Pending"))</f>
        <v>Pending</v>
      </c>
    </row>
    <row r="109" customFormat="false" ht="45.75" hidden="false" customHeight="true" outlineLevel="0" collapsed="false">
      <c r="A109" s="153" t="s">
        <v>622</v>
      </c>
      <c r="B109" s="199" t="s">
        <v>695</v>
      </c>
      <c r="C109" s="153"/>
      <c r="D109" s="153"/>
      <c r="E109" s="201" t="n">
        <f aca="false">IFERROR(INDEX(Journal!$A:$A,MATCH($A109,Journal!$B:$B,0)),"")</f>
        <v>46394</v>
      </c>
      <c r="F109" s="153" t="str">
        <f aca="true">IF(C109="Y","Done",IF(AND(E109&lt;&gt;"",TODAY()&gt;E109),"OVERDUE","Pending"))</f>
        <v>Pending</v>
      </c>
    </row>
    <row r="110" customFormat="false" ht="15" hidden="false" customHeight="true" outlineLevel="0" collapsed="false">
      <c r="A110" s="153" t="s">
        <v>622</v>
      </c>
      <c r="B110" s="199" t="s">
        <v>696</v>
      </c>
      <c r="C110" s="153"/>
      <c r="D110" s="153"/>
      <c r="E110" s="201" t="n">
        <f aca="false">IFERROR(INDEX(Journal!$A:$A,MATCH($A110,Journal!$B:$B,0)),"")</f>
        <v>46394</v>
      </c>
      <c r="F110" s="153" t="str">
        <f aca="true">IF(C110="Y","Done",IF(AND(E110&lt;&gt;"",TODAY()&gt;E110),"OVERDUE","Pending"))</f>
        <v>Pending</v>
      </c>
    </row>
    <row r="111" customFormat="false" ht="34.5" hidden="false" customHeight="true" outlineLevel="0" collapsed="false">
      <c r="A111" s="153" t="s">
        <v>622</v>
      </c>
      <c r="B111" s="199" t="s">
        <v>697</v>
      </c>
      <c r="C111" s="153"/>
      <c r="D111" s="153"/>
      <c r="E111" s="201" t="n">
        <f aca="false">IFERROR(INDEX(Journal!$A:$A,MATCH($A111,Journal!$B:$B,0)),"")</f>
        <v>46394</v>
      </c>
      <c r="F111" s="153" t="str">
        <f aca="true">IF(C111="Y","Done",IF(AND(E111&lt;&gt;"",TODAY()&gt;E111),"OVERDUE","Pending"))</f>
        <v>Pending</v>
      </c>
    </row>
    <row r="112" customFormat="false" ht="34.5" hidden="false" customHeight="true" outlineLevel="0" collapsed="false">
      <c r="A112" s="153" t="s">
        <v>622</v>
      </c>
      <c r="B112" s="199" t="s">
        <v>699</v>
      </c>
      <c r="C112" s="153"/>
      <c r="D112" s="153"/>
      <c r="E112" s="201" t="n">
        <f aca="false">IFERROR(INDEX(Journal!$A:$A,MATCH($A112,Journal!$B:$B,0)),"")</f>
        <v>46394</v>
      </c>
      <c r="F112" s="153" t="str">
        <f aca="true">IF(C112="Y","Done",IF(AND(E112&lt;&gt;"",TODAY()&gt;E112),"OVERDUE","Pending"))</f>
        <v>Pending</v>
      </c>
    </row>
    <row r="113" customFormat="false" ht="34.5" hidden="false" customHeight="true" outlineLevel="0" collapsed="false">
      <c r="A113" s="153" t="s">
        <v>622</v>
      </c>
      <c r="B113" s="199" t="s">
        <v>700</v>
      </c>
      <c r="C113" s="153"/>
      <c r="D113" s="153"/>
      <c r="E113" s="201" t="n">
        <f aca="false">IFERROR(INDEX(Journal!$A:$A,MATCH($A113,Journal!$B:$B,0)),"")</f>
        <v>46394</v>
      </c>
      <c r="F113" s="153" t="str">
        <f aca="true">IF(C113="Y","Done",IF(AND(E113&lt;&gt;"",TODAY()&gt;E113),"OVERDUE","Pending"))</f>
        <v>Pending</v>
      </c>
    </row>
    <row r="114" customFormat="false" ht="15" hidden="false" customHeight="true" outlineLevel="0" collapsed="false">
      <c r="A114" s="153" t="s">
        <v>622</v>
      </c>
      <c r="B114" s="199" t="s">
        <v>698</v>
      </c>
      <c r="C114" s="153"/>
      <c r="D114" s="153"/>
      <c r="E114" s="201" t="n">
        <f aca="false">IFERROR(INDEX(Journal!$A:$A,MATCH($A114,Journal!$B:$B,0)),"")</f>
        <v>46394</v>
      </c>
      <c r="F114" s="153" t="str">
        <f aca="true">IF(C114="Y","Done",IF(AND(E114&lt;&gt;"",TODAY()&gt;E114),"OVERDUE","Pending"))</f>
        <v>Pending</v>
      </c>
    </row>
    <row r="115" customFormat="false" ht="15" hidden="false" customHeight="true" outlineLevel="0" collapsed="false">
      <c r="A115" s="153" t="s">
        <v>622</v>
      </c>
      <c r="B115" s="199" t="s">
        <v>685</v>
      </c>
      <c r="C115" s="153"/>
      <c r="D115" s="153"/>
      <c r="E115" s="201" t="n">
        <f aca="false">IFERROR(INDEX(Journal!$A:$A,MATCH($A115,Journal!$B:$B,0)),"")</f>
        <v>46394</v>
      </c>
      <c r="F115" s="153" t="str">
        <f aca="true">IF(C115="Y","Done",IF(AND(E115&lt;&gt;"",TODAY()&gt;E115),"OVERDUE","Pending"))</f>
        <v>Pending</v>
      </c>
    </row>
    <row r="116" customFormat="false" ht="15" hidden="false" customHeight="true" outlineLevel="0" collapsed="false">
      <c r="A116" s="153" t="s">
        <v>622</v>
      </c>
      <c r="B116" s="199" t="s">
        <v>686</v>
      </c>
      <c r="C116" s="153"/>
      <c r="D116" s="153"/>
      <c r="E116" s="201" t="n">
        <f aca="false">IFERROR(INDEX(Journal!$A:$A,MATCH($A116,Journal!$B:$B,0)),"")</f>
        <v>46394</v>
      </c>
      <c r="F116" s="153" t="str">
        <f aca="true">IF(C116="Y","Done",IF(AND(E116&lt;&gt;"",TODAY()&gt;E116),"OVERDUE","Pending"))</f>
        <v>Pending</v>
      </c>
    </row>
    <row r="117" customFormat="false" ht="15" hidden="false" customHeight="true" outlineLevel="0" collapsed="false">
      <c r="A117" s="153" t="s">
        <v>622</v>
      </c>
      <c r="B117" s="199" t="s">
        <v>687</v>
      </c>
      <c r="C117" s="153"/>
      <c r="D117" s="153"/>
      <c r="E117" s="201" t="n">
        <f aca="false">IFERROR(INDEX(Journal!$A:$A,MATCH($A117,Journal!$B:$B,0)),"")</f>
        <v>46394</v>
      </c>
      <c r="F117" s="153" t="str">
        <f aca="true">IF(C117="Y","Done",IF(AND(E117&lt;&gt;"",TODAY()&gt;E117),"OVERDUE","Pending"))</f>
        <v>Pending</v>
      </c>
    </row>
  </sheetData>
  <mergeCells count="1">
    <mergeCell ref="A1:F1"/>
  </mergeCells>
  <conditionalFormatting sqref="F5:F117">
    <cfRule type="cellIs" priority="2" operator="equal" aboveAverage="0" equalAverage="0" bottom="0" percent="0" rank="0" text="" dxfId="26">
      <formula>"OVERDUE"</formula>
    </cfRule>
    <cfRule type="cellIs" priority="3" operator="equal" aboveAverage="0" equalAverage="0" bottom="0" percent="0" rank="0" text="" dxfId="21">
      <formula>"Done"</formula>
    </cfRule>
  </conditionalFormatting>
  <conditionalFormatting sqref="C2">
    <cfRule type="cellIs" priority="4" operator="greaterThan" aboveAverage="0" equalAverage="0" bottom="0" percent="0" rank="0" text="" dxfId="26">
      <formula>0</formula>
    </cfRule>
  </conditionalFormatting>
  <printOptions headings="false" gridLines="false" gridLinesSet="true" horizontalCentered="false" verticalCentered="false"/>
  <pageMargins left="0.25" right="0.25" top="0.3" bottom="0.4" header="0.511811023622047" footer="0.170138888888889"/>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8" activePane="bottomRight" state="frozen"/>
      <selection pane="topLeft" activeCell="A1" activeCellId="0" sqref="A1"/>
      <selection pane="topRight" activeCell="B1" activeCellId="0" sqref="B1"/>
      <selection pane="bottomLeft" activeCell="A8" activeCellId="0" sqref="A8"/>
      <selection pane="bottomRight" activeCell="B5" activeCellId="0" sqref="B5"/>
    </sheetView>
  </sheetViews>
  <sheetFormatPr defaultColWidth="8.66796875" defaultRowHeight="14.25" customHeight="false" zeroHeight="false" outlineLevelRow="0" outlineLevelCol="0"/>
  <cols>
    <col collapsed="false" customWidth="true" hidden="false" outlineLevel="0" max="1" min="1" style="1" width="5"/>
    <col collapsed="false" customWidth="true" hidden="false" outlineLevel="0" max="2" min="2" style="1" width="80"/>
    <col collapsed="false" customWidth="true" hidden="false" outlineLevel="0" max="3" min="3" style="1" width="9"/>
    <col collapsed="false" customWidth="true" hidden="false" outlineLevel="0" max="4" min="4" style="1" width="12"/>
    <col collapsed="false" customWidth="true" hidden="false" outlineLevel="0" max="5" min="5" style="23" width="13"/>
    <col collapsed="false" customWidth="true" hidden="false" outlineLevel="0" max="6" min="6" style="1" width="35"/>
  </cols>
  <sheetData>
    <row r="1" customFormat="false" ht="27" hidden="false" customHeight="true" outlineLevel="0" collapsed="false">
      <c r="A1" s="197" t="s">
        <v>701</v>
      </c>
      <c r="B1" s="197"/>
      <c r="C1" s="197"/>
      <c r="D1" s="197"/>
      <c r="E1" s="197"/>
      <c r="F1" s="197"/>
    </row>
    <row r="2" customFormat="false" ht="14.25" hidden="false" customHeight="true" outlineLevel="0" collapsed="false">
      <c r="A2" s="147" t="s">
        <v>702</v>
      </c>
      <c r="C2" s="198" t="n">
        <f aca="false">SUMPRODUCT(($A$5:$A$200&lt;&gt;"")*($C$5:$C$200&lt;&gt;"Y"))</f>
        <v>19</v>
      </c>
    </row>
    <row r="3" customFormat="false" ht="4.5" hidden="false" customHeight="true" outlineLevel="0" collapsed="false"/>
    <row r="4" customFormat="false" ht="27.75" hidden="false" customHeight="true" outlineLevel="0" collapsed="false">
      <c r="A4" s="149" t="s">
        <v>703</v>
      </c>
      <c r="B4" s="149" t="s">
        <v>704</v>
      </c>
      <c r="C4" s="149" t="s">
        <v>678</v>
      </c>
      <c r="D4" s="149" t="s">
        <v>705</v>
      </c>
      <c r="E4" s="149" t="s">
        <v>706</v>
      </c>
      <c r="F4" s="149" t="s">
        <v>210</v>
      </c>
    </row>
    <row r="5" customFormat="false" ht="34.5" hidden="false" customHeight="true" outlineLevel="0" collapsed="false">
      <c r="A5" s="202" t="n">
        <v>1</v>
      </c>
      <c r="B5" s="203" t="s">
        <v>707</v>
      </c>
      <c r="C5" s="202" t="s">
        <v>214</v>
      </c>
      <c r="D5" s="204" t="n">
        <v>46276</v>
      </c>
      <c r="E5" s="204" t="n">
        <v>46276</v>
      </c>
      <c r="F5" s="203" t="s">
        <v>708</v>
      </c>
    </row>
    <row r="6" customFormat="false" ht="34.5" hidden="false" customHeight="true" outlineLevel="0" collapsed="false">
      <c r="A6" s="202" t="n">
        <v>2</v>
      </c>
      <c r="B6" s="203" t="s">
        <v>709</v>
      </c>
      <c r="C6" s="202" t="s">
        <v>214</v>
      </c>
      <c r="D6" s="204" t="n">
        <v>46276</v>
      </c>
      <c r="E6" s="204" t="n">
        <v>46276</v>
      </c>
      <c r="F6" s="203" t="s">
        <v>710</v>
      </c>
    </row>
    <row r="7" customFormat="false" ht="23.25" hidden="false" customHeight="true" outlineLevel="0" collapsed="false">
      <c r="A7" s="202" t="n">
        <v>3</v>
      </c>
      <c r="B7" s="203" t="s">
        <v>711</v>
      </c>
      <c r="C7" s="202" t="s">
        <v>214</v>
      </c>
      <c r="D7" s="204" t="n">
        <v>46260</v>
      </c>
      <c r="E7" s="204" t="n">
        <v>46278</v>
      </c>
      <c r="F7" s="203" t="s">
        <v>712</v>
      </c>
    </row>
    <row r="8" customFormat="false" ht="23.25" hidden="false" customHeight="true" outlineLevel="0" collapsed="false">
      <c r="A8" s="202" t="n">
        <v>4</v>
      </c>
      <c r="B8" s="203" t="s">
        <v>713</v>
      </c>
      <c r="C8" s="202"/>
      <c r="D8" s="204" t="n">
        <v>46273</v>
      </c>
      <c r="E8" s="204"/>
      <c r="F8" s="203"/>
    </row>
    <row r="9" customFormat="false" ht="23.25" hidden="false" customHeight="true" outlineLevel="0" collapsed="false">
      <c r="A9" s="202" t="n">
        <v>5</v>
      </c>
      <c r="B9" s="203" t="s">
        <v>714</v>
      </c>
      <c r="C9" s="202"/>
      <c r="D9" s="204" t="n">
        <v>46273</v>
      </c>
      <c r="E9" s="204"/>
      <c r="F9" s="203"/>
    </row>
    <row r="10" customFormat="false" ht="23.25" hidden="false" customHeight="true" outlineLevel="0" collapsed="false">
      <c r="A10" s="202" t="n">
        <v>6</v>
      </c>
      <c r="B10" s="203" t="s">
        <v>715</v>
      </c>
      <c r="C10" s="202"/>
      <c r="D10" s="204" t="n">
        <v>46273</v>
      </c>
      <c r="E10" s="204"/>
      <c r="F10" s="203"/>
    </row>
    <row r="11" customFormat="false" ht="23.25" hidden="false" customHeight="true" outlineLevel="0" collapsed="false">
      <c r="A11" s="202" t="n">
        <v>7</v>
      </c>
      <c r="B11" s="203" t="s">
        <v>716</v>
      </c>
      <c r="C11" s="202" t="s">
        <v>214</v>
      </c>
      <c r="D11" s="204" t="n">
        <v>46258</v>
      </c>
      <c r="E11" s="204" t="n">
        <v>46278</v>
      </c>
      <c r="F11" s="203" t="s">
        <v>717</v>
      </c>
    </row>
    <row r="12" customFormat="false" ht="23.25" hidden="false" customHeight="true" outlineLevel="0" collapsed="false">
      <c r="A12" s="202" t="n">
        <v>8</v>
      </c>
      <c r="B12" s="203" t="s">
        <v>718</v>
      </c>
      <c r="C12" s="202"/>
      <c r="D12" s="204" t="n">
        <v>46252</v>
      </c>
      <c r="E12" s="204"/>
      <c r="F12" s="203"/>
    </row>
    <row r="13" customFormat="false" ht="34.5" hidden="false" customHeight="true" outlineLevel="0" collapsed="false">
      <c r="A13" s="202" t="n">
        <v>9</v>
      </c>
      <c r="B13" s="203" t="s">
        <v>719</v>
      </c>
      <c r="C13" s="202"/>
      <c r="D13" s="204" t="n">
        <v>46276</v>
      </c>
      <c r="E13" s="204"/>
      <c r="F13" s="203" t="s">
        <v>720</v>
      </c>
    </row>
    <row r="14" customFormat="false" ht="23.25" hidden="false" customHeight="true" outlineLevel="0" collapsed="false">
      <c r="A14" s="202" t="n">
        <v>10</v>
      </c>
      <c r="B14" s="203" t="s">
        <v>721</v>
      </c>
      <c r="C14" s="202"/>
      <c r="D14" s="204" t="n">
        <v>46260</v>
      </c>
      <c r="E14" s="204"/>
      <c r="F14" s="203"/>
    </row>
    <row r="15" customFormat="false" ht="45.75" hidden="false" customHeight="true" outlineLevel="0" collapsed="false">
      <c r="A15" s="202" t="n">
        <v>11</v>
      </c>
      <c r="B15" s="203" t="s">
        <v>722</v>
      </c>
      <c r="C15" s="202"/>
      <c r="D15" s="204" t="n">
        <v>46276</v>
      </c>
      <c r="E15" s="202"/>
      <c r="F15" s="203" t="s">
        <v>723</v>
      </c>
    </row>
    <row r="16" customFormat="false" ht="14.25" hidden="false" customHeight="true" outlineLevel="0" collapsed="false">
      <c r="A16" s="205" t="n">
        <v>12</v>
      </c>
      <c r="B16" s="203" t="s">
        <v>724</v>
      </c>
      <c r="C16" s="206" t="s">
        <v>214</v>
      </c>
      <c r="D16" s="207" t="n">
        <v>46278</v>
      </c>
      <c r="E16" s="208" t="n">
        <v>46278</v>
      </c>
      <c r="F16" s="206" t="s">
        <v>725</v>
      </c>
    </row>
    <row r="17" customFormat="false" ht="14.25" hidden="false" customHeight="true" outlineLevel="0" collapsed="false">
      <c r="A17" s="205" t="n">
        <v>13</v>
      </c>
      <c r="B17" s="203" t="s">
        <v>726</v>
      </c>
      <c r="C17" s="206"/>
      <c r="D17" s="207" t="n">
        <v>46294</v>
      </c>
      <c r="E17" s="209"/>
      <c r="F17" s="206"/>
    </row>
    <row r="18" customFormat="false" ht="14.25" hidden="false" customHeight="true" outlineLevel="0" collapsed="false">
      <c r="A18" s="205" t="n">
        <v>14</v>
      </c>
      <c r="B18" s="203" t="s">
        <v>727</v>
      </c>
      <c r="C18" s="206"/>
      <c r="D18" s="207" t="n">
        <v>46295</v>
      </c>
      <c r="E18" s="209"/>
      <c r="F18" s="206" t="s">
        <v>728</v>
      </c>
    </row>
    <row r="19" customFormat="false" ht="14.25" hidden="false" customHeight="true" outlineLevel="0" collapsed="false">
      <c r="A19" s="205" t="n">
        <v>15</v>
      </c>
      <c r="B19" s="203" t="s">
        <v>729</v>
      </c>
      <c r="C19" s="206"/>
      <c r="D19" s="207" t="n">
        <v>46295</v>
      </c>
      <c r="E19" s="209"/>
      <c r="F19" s="206" t="s">
        <v>730</v>
      </c>
    </row>
    <row r="20" customFormat="false" ht="14.25" hidden="false" customHeight="true" outlineLevel="0" collapsed="false">
      <c r="A20" s="205" t="n">
        <v>16</v>
      </c>
      <c r="B20" s="203" t="s">
        <v>731</v>
      </c>
      <c r="C20" s="206"/>
      <c r="D20" s="207" t="n">
        <v>46295</v>
      </c>
      <c r="E20" s="209"/>
      <c r="F20" s="206" t="s">
        <v>732</v>
      </c>
    </row>
    <row r="21" customFormat="false" ht="14.25" hidden="false" customHeight="true" outlineLevel="0" collapsed="false">
      <c r="A21" s="205" t="n">
        <v>17</v>
      </c>
      <c r="B21" s="203" t="s">
        <v>733</v>
      </c>
      <c r="C21" s="206"/>
      <c r="D21" s="207" t="n">
        <v>46296</v>
      </c>
      <c r="E21" s="209"/>
      <c r="F21" s="206" t="s">
        <v>734</v>
      </c>
    </row>
    <row r="22" customFormat="false" ht="14.25" hidden="false" customHeight="true" outlineLevel="0" collapsed="false">
      <c r="A22" s="205" t="n">
        <v>18</v>
      </c>
      <c r="B22" s="203" t="s">
        <v>735</v>
      </c>
      <c r="C22" s="206"/>
      <c r="D22" s="207" t="n">
        <v>46296</v>
      </c>
      <c r="E22" s="209"/>
      <c r="F22" s="206" t="s">
        <v>736</v>
      </c>
    </row>
    <row r="23" customFormat="false" ht="14.25" hidden="false" customHeight="true" outlineLevel="0" collapsed="false">
      <c r="A23" s="205" t="n">
        <v>19</v>
      </c>
      <c r="B23" s="203" t="s">
        <v>737</v>
      </c>
      <c r="C23" s="206"/>
      <c r="D23" s="207" t="n">
        <v>46297</v>
      </c>
      <c r="E23" s="209"/>
      <c r="F23" s="206" t="s">
        <v>738</v>
      </c>
    </row>
    <row r="24" customFormat="false" ht="14.25" hidden="false" customHeight="true" outlineLevel="0" collapsed="false">
      <c r="A24" s="205" t="n">
        <v>20</v>
      </c>
      <c r="B24" s="203" t="s">
        <v>739</v>
      </c>
      <c r="C24" s="206"/>
      <c r="D24" s="207" t="n">
        <v>46297</v>
      </c>
      <c r="E24" s="209"/>
      <c r="F24" s="206" t="s">
        <v>740</v>
      </c>
    </row>
    <row r="25" customFormat="false" ht="14.25" hidden="false" customHeight="true" outlineLevel="0" collapsed="false">
      <c r="A25" s="205" t="n">
        <v>21</v>
      </c>
      <c r="B25" s="203" t="s">
        <v>741</v>
      </c>
      <c r="C25" s="206"/>
      <c r="D25" s="207" t="n">
        <v>46297</v>
      </c>
      <c r="E25" s="209"/>
      <c r="F25" s="206" t="s">
        <v>742</v>
      </c>
    </row>
    <row r="26" customFormat="false" ht="14.25" hidden="false" customHeight="true" outlineLevel="0" collapsed="false">
      <c r="A26" s="205" t="n">
        <v>22</v>
      </c>
      <c r="B26" s="203" t="s">
        <v>743</v>
      </c>
      <c r="C26" s="206"/>
      <c r="D26" s="207" t="n">
        <v>46297</v>
      </c>
      <c r="E26" s="209"/>
      <c r="F26" s="206" t="s">
        <v>744</v>
      </c>
    </row>
    <row r="27" customFormat="false" ht="14.25" hidden="false" customHeight="true" outlineLevel="0" collapsed="false">
      <c r="A27" s="205" t="n">
        <v>23</v>
      </c>
      <c r="B27" s="203" t="s">
        <v>745</v>
      </c>
      <c r="C27" s="206"/>
      <c r="D27" s="207" t="n">
        <v>46297</v>
      </c>
      <c r="E27" s="209"/>
      <c r="F27" s="206" t="s">
        <v>746</v>
      </c>
    </row>
    <row r="28" customFormat="false" ht="14.25" hidden="false" customHeight="true" outlineLevel="0" collapsed="false">
      <c r="A28" s="205" t="n">
        <v>24</v>
      </c>
      <c r="B28" s="203" t="s">
        <v>747</v>
      </c>
      <c r="C28" s="206"/>
      <c r="D28" s="207" t="n">
        <v>46297</v>
      </c>
      <c r="E28" s="209"/>
      <c r="F28" s="206" t="s">
        <v>748</v>
      </c>
    </row>
    <row r="29" customFormat="false" ht="14.25" hidden="false" customHeight="true" outlineLevel="0" collapsed="false">
      <c r="A29" s="206"/>
      <c r="B29" s="206"/>
      <c r="C29" s="206"/>
      <c r="D29" s="206"/>
      <c r="E29" s="209"/>
      <c r="F29" s="206"/>
    </row>
    <row r="30" customFormat="false" ht="14.25" hidden="false" customHeight="true" outlineLevel="0" collapsed="false">
      <c r="A30" s="206"/>
      <c r="B30" s="206"/>
      <c r="C30" s="206"/>
      <c r="D30" s="206"/>
      <c r="E30" s="209"/>
      <c r="F30" s="206"/>
    </row>
    <row r="31" customFormat="false" ht="14.25" hidden="false" customHeight="true" outlineLevel="0" collapsed="false">
      <c r="A31" s="206"/>
      <c r="B31" s="206"/>
      <c r="C31" s="206"/>
      <c r="D31" s="206"/>
      <c r="E31" s="209"/>
      <c r="F31" s="206"/>
    </row>
    <row r="32" customFormat="false" ht="14.25" hidden="false" customHeight="true" outlineLevel="0" collapsed="false">
      <c r="A32" s="206"/>
      <c r="B32" s="206"/>
      <c r="C32" s="206"/>
      <c r="D32" s="206"/>
      <c r="E32" s="209"/>
      <c r="F32" s="206"/>
    </row>
    <row r="33" customFormat="false" ht="14.25" hidden="false" customHeight="true" outlineLevel="0" collapsed="false">
      <c r="A33" s="206"/>
      <c r="B33" s="206"/>
      <c r="C33" s="206"/>
      <c r="D33" s="206"/>
      <c r="E33" s="209"/>
      <c r="F33" s="206"/>
    </row>
    <row r="34" customFormat="false" ht="14.25" hidden="false" customHeight="true" outlineLevel="0" collapsed="false">
      <c r="A34" s="206"/>
      <c r="B34" s="206"/>
      <c r="C34" s="206"/>
      <c r="D34" s="206"/>
      <c r="E34" s="209"/>
      <c r="F34" s="206"/>
    </row>
    <row r="35" customFormat="false" ht="14.25" hidden="false" customHeight="true" outlineLevel="0" collapsed="false">
      <c r="A35" s="206"/>
      <c r="B35" s="206"/>
      <c r="C35" s="206"/>
      <c r="D35" s="206"/>
      <c r="E35" s="209"/>
      <c r="F35" s="206"/>
    </row>
    <row r="36" customFormat="false" ht="14.25" hidden="false" customHeight="true" outlineLevel="0" collapsed="false">
      <c r="A36" s="206"/>
      <c r="B36" s="206"/>
      <c r="C36" s="206"/>
      <c r="D36" s="206"/>
      <c r="E36" s="209"/>
      <c r="F36" s="206"/>
    </row>
    <row r="37" customFormat="false" ht="14.25" hidden="false" customHeight="true" outlineLevel="0" collapsed="false">
      <c r="A37" s="206"/>
      <c r="B37" s="206"/>
      <c r="C37" s="206"/>
      <c r="D37" s="206"/>
      <c r="E37" s="209"/>
      <c r="F37" s="206"/>
    </row>
    <row r="38" customFormat="false" ht="14.25" hidden="false" customHeight="true" outlineLevel="0" collapsed="false">
      <c r="A38" s="206"/>
      <c r="B38" s="206"/>
      <c r="C38" s="206"/>
      <c r="D38" s="206"/>
      <c r="E38" s="209"/>
      <c r="F38" s="206"/>
    </row>
    <row r="39" customFormat="false" ht="14.25" hidden="false" customHeight="true" outlineLevel="0" collapsed="false">
      <c r="A39" s="206"/>
      <c r="B39" s="206"/>
      <c r="C39" s="206"/>
      <c r="D39" s="206"/>
      <c r="E39" s="209"/>
      <c r="F39" s="206"/>
    </row>
    <row r="40" customFormat="false" ht="14.25" hidden="false" customHeight="true" outlineLevel="0" collapsed="false">
      <c r="A40" s="206"/>
      <c r="B40" s="206"/>
      <c r="C40" s="206"/>
      <c r="D40" s="206"/>
      <c r="E40" s="209"/>
      <c r="F40" s="206"/>
    </row>
    <row r="41" customFormat="false" ht="14.25" hidden="false" customHeight="true" outlineLevel="0" collapsed="false">
      <c r="A41" s="206"/>
      <c r="B41" s="206"/>
      <c r="C41" s="206"/>
      <c r="D41" s="206"/>
      <c r="E41" s="209"/>
      <c r="F41" s="206"/>
    </row>
    <row r="42" customFormat="false" ht="14.25" hidden="false" customHeight="true" outlineLevel="0" collapsed="false">
      <c r="A42" s="206"/>
      <c r="B42" s="206"/>
      <c r="C42" s="206"/>
      <c r="D42" s="206"/>
      <c r="E42" s="209"/>
      <c r="F42" s="206"/>
    </row>
    <row r="43" customFormat="false" ht="14.25" hidden="false" customHeight="true" outlineLevel="0" collapsed="false">
      <c r="A43" s="206"/>
      <c r="B43" s="206"/>
      <c r="C43" s="206"/>
      <c r="D43" s="206"/>
      <c r="E43" s="209"/>
      <c r="F43" s="206"/>
    </row>
    <row r="44" customFormat="false" ht="14.25" hidden="false" customHeight="true" outlineLevel="0" collapsed="false">
      <c r="A44" s="206"/>
      <c r="B44" s="206"/>
      <c r="C44" s="206"/>
      <c r="D44" s="206"/>
      <c r="E44" s="209"/>
      <c r="F44" s="206"/>
    </row>
    <row r="45" customFormat="false" ht="14.25" hidden="false" customHeight="true" outlineLevel="0" collapsed="false">
      <c r="A45" s="206"/>
      <c r="B45" s="206"/>
      <c r="C45" s="206"/>
      <c r="D45" s="206"/>
      <c r="E45" s="209"/>
      <c r="F45" s="206"/>
    </row>
    <row r="46" customFormat="false" ht="14.25" hidden="false" customHeight="true" outlineLevel="0" collapsed="false">
      <c r="A46" s="206"/>
      <c r="B46" s="206"/>
      <c r="C46" s="206"/>
      <c r="D46" s="206"/>
      <c r="E46" s="209"/>
      <c r="F46" s="206"/>
    </row>
    <row r="47" customFormat="false" ht="14.25" hidden="false" customHeight="true" outlineLevel="0" collapsed="false">
      <c r="A47" s="206"/>
      <c r="B47" s="206"/>
      <c r="C47" s="206"/>
      <c r="D47" s="206"/>
      <c r="E47" s="209"/>
      <c r="F47" s="206"/>
    </row>
    <row r="48" customFormat="false" ht="14.25" hidden="false" customHeight="true" outlineLevel="0" collapsed="false">
      <c r="A48" s="206"/>
      <c r="B48" s="206"/>
      <c r="C48" s="206"/>
      <c r="D48" s="206"/>
      <c r="E48" s="209"/>
      <c r="F48" s="206"/>
    </row>
    <row r="49" customFormat="false" ht="14.25" hidden="false" customHeight="true" outlineLevel="0" collapsed="false">
      <c r="A49" s="206"/>
      <c r="B49" s="206"/>
      <c r="C49" s="206"/>
      <c r="D49" s="206"/>
      <c r="E49" s="209"/>
      <c r="F49" s="206"/>
    </row>
    <row r="50" customFormat="false" ht="14.25" hidden="false" customHeight="true" outlineLevel="0" collapsed="false">
      <c r="A50" s="206"/>
      <c r="B50" s="206"/>
      <c r="C50" s="206"/>
      <c r="D50" s="206"/>
      <c r="E50" s="209"/>
      <c r="F50" s="206"/>
    </row>
    <row r="51" customFormat="false" ht="14.25" hidden="false" customHeight="true" outlineLevel="0" collapsed="false">
      <c r="A51" s="206"/>
      <c r="B51" s="206"/>
      <c r="C51" s="206"/>
      <c r="D51" s="206"/>
      <c r="E51" s="209"/>
      <c r="F51" s="206"/>
    </row>
    <row r="52" customFormat="false" ht="14.25" hidden="false" customHeight="true" outlineLevel="0" collapsed="false">
      <c r="A52" s="206"/>
      <c r="B52" s="206"/>
      <c r="C52" s="206"/>
      <c r="D52" s="206"/>
      <c r="E52" s="209"/>
      <c r="F52" s="206"/>
    </row>
    <row r="53" customFormat="false" ht="14.25" hidden="false" customHeight="true" outlineLevel="0" collapsed="false">
      <c r="A53" s="206"/>
      <c r="B53" s="206"/>
      <c r="C53" s="206"/>
      <c r="D53" s="206"/>
      <c r="E53" s="209"/>
      <c r="F53" s="206"/>
    </row>
    <row r="54" customFormat="false" ht="14.25" hidden="false" customHeight="true" outlineLevel="0" collapsed="false">
      <c r="A54" s="206"/>
      <c r="B54" s="206"/>
      <c r="C54" s="206"/>
      <c r="D54" s="206"/>
      <c r="E54" s="209"/>
      <c r="F54" s="206"/>
    </row>
    <row r="55" customFormat="false" ht="14.25" hidden="false" customHeight="true" outlineLevel="0" collapsed="false">
      <c r="A55" s="206"/>
      <c r="B55" s="206"/>
      <c r="C55" s="206"/>
      <c r="D55" s="206"/>
      <c r="E55" s="209"/>
      <c r="F55" s="206"/>
    </row>
    <row r="56" customFormat="false" ht="14.25" hidden="false" customHeight="true" outlineLevel="0" collapsed="false">
      <c r="A56" s="206"/>
      <c r="B56" s="206"/>
      <c r="C56" s="206"/>
      <c r="D56" s="206"/>
      <c r="E56" s="209"/>
      <c r="F56" s="206"/>
    </row>
    <row r="57" customFormat="false" ht="14.25" hidden="false" customHeight="true" outlineLevel="0" collapsed="false">
      <c r="A57" s="206"/>
      <c r="B57" s="206"/>
      <c r="C57" s="206"/>
      <c r="D57" s="206"/>
      <c r="E57" s="209"/>
      <c r="F57" s="206"/>
    </row>
    <row r="58" customFormat="false" ht="14.25" hidden="false" customHeight="true" outlineLevel="0" collapsed="false">
      <c r="A58" s="206"/>
      <c r="B58" s="206"/>
      <c r="C58" s="206"/>
      <c r="D58" s="206"/>
      <c r="E58" s="209"/>
      <c r="F58" s="206"/>
    </row>
    <row r="59" customFormat="false" ht="14.25" hidden="false" customHeight="true" outlineLevel="0" collapsed="false">
      <c r="A59" s="206"/>
      <c r="B59" s="206"/>
      <c r="C59" s="206"/>
      <c r="D59" s="206"/>
      <c r="E59" s="209"/>
      <c r="F59" s="206"/>
    </row>
    <row r="60" customFormat="false" ht="14.25" hidden="false" customHeight="true" outlineLevel="0" collapsed="false">
      <c r="A60" s="206"/>
      <c r="B60" s="206"/>
      <c r="C60" s="206"/>
      <c r="D60" s="206"/>
      <c r="E60" s="209"/>
      <c r="F60" s="206"/>
    </row>
    <row r="61" customFormat="false" ht="14.25" hidden="false" customHeight="true" outlineLevel="0" collapsed="false">
      <c r="A61" s="206"/>
      <c r="B61" s="206"/>
      <c r="C61" s="206"/>
      <c r="D61" s="206"/>
      <c r="E61" s="209"/>
      <c r="F61" s="206"/>
    </row>
    <row r="62" customFormat="false" ht="14.25" hidden="false" customHeight="true" outlineLevel="0" collapsed="false">
      <c r="A62" s="206"/>
      <c r="B62" s="206"/>
      <c r="C62" s="206"/>
      <c r="D62" s="206"/>
      <c r="E62" s="209"/>
      <c r="F62" s="206"/>
    </row>
    <row r="63" customFormat="false" ht="14.25" hidden="false" customHeight="true" outlineLevel="0" collapsed="false">
      <c r="A63" s="206"/>
      <c r="B63" s="206"/>
      <c r="C63" s="206"/>
      <c r="D63" s="206"/>
      <c r="E63" s="209"/>
      <c r="F63" s="206"/>
    </row>
    <row r="64" customFormat="false" ht="14.25" hidden="false" customHeight="true" outlineLevel="0" collapsed="false">
      <c r="A64" s="206"/>
      <c r="B64" s="206"/>
      <c r="C64" s="206"/>
      <c r="D64" s="206"/>
      <c r="E64" s="209"/>
      <c r="F64" s="206"/>
    </row>
    <row r="65" customFormat="false" ht="14.25" hidden="false" customHeight="true" outlineLevel="0" collapsed="false">
      <c r="A65" s="206"/>
      <c r="B65" s="206"/>
      <c r="C65" s="206"/>
      <c r="D65" s="206"/>
      <c r="E65" s="209"/>
      <c r="F65" s="206"/>
    </row>
    <row r="66" customFormat="false" ht="14.25" hidden="false" customHeight="true" outlineLevel="0" collapsed="false">
      <c r="A66" s="206"/>
      <c r="B66" s="206"/>
      <c r="C66" s="206"/>
      <c r="D66" s="206"/>
      <c r="E66" s="209"/>
      <c r="F66" s="206"/>
    </row>
    <row r="67" customFormat="false" ht="14.25" hidden="false" customHeight="true" outlineLevel="0" collapsed="false">
      <c r="A67" s="206"/>
      <c r="B67" s="206"/>
      <c r="C67" s="206"/>
      <c r="D67" s="206"/>
      <c r="E67" s="209"/>
      <c r="F67" s="206"/>
    </row>
    <row r="68" customFormat="false" ht="14.25" hidden="false" customHeight="true" outlineLevel="0" collapsed="false">
      <c r="A68" s="206"/>
      <c r="B68" s="206"/>
      <c r="C68" s="206"/>
      <c r="D68" s="206"/>
      <c r="E68" s="209"/>
      <c r="F68" s="206"/>
    </row>
    <row r="69" customFormat="false" ht="14.25" hidden="false" customHeight="true" outlineLevel="0" collapsed="false">
      <c r="A69" s="206"/>
      <c r="B69" s="206"/>
      <c r="C69" s="206"/>
      <c r="D69" s="206"/>
      <c r="E69" s="209"/>
      <c r="F69" s="206"/>
    </row>
    <row r="70" customFormat="false" ht="14.25" hidden="false" customHeight="true" outlineLevel="0" collapsed="false">
      <c r="A70" s="206"/>
      <c r="B70" s="206"/>
      <c r="C70" s="206"/>
      <c r="D70" s="206"/>
      <c r="E70" s="209"/>
      <c r="F70" s="206"/>
    </row>
    <row r="71" customFormat="false" ht="14.25" hidden="false" customHeight="true" outlineLevel="0" collapsed="false">
      <c r="A71" s="206"/>
      <c r="B71" s="206"/>
      <c r="C71" s="206"/>
      <c r="D71" s="206"/>
      <c r="E71" s="209"/>
      <c r="F71" s="206"/>
    </row>
    <row r="72" customFormat="false" ht="14.25" hidden="false" customHeight="true" outlineLevel="0" collapsed="false">
      <c r="A72" s="206"/>
      <c r="B72" s="206"/>
      <c r="C72" s="206"/>
      <c r="D72" s="206"/>
      <c r="E72" s="209"/>
      <c r="F72" s="206"/>
    </row>
    <row r="73" customFormat="false" ht="14.25" hidden="false" customHeight="true" outlineLevel="0" collapsed="false">
      <c r="A73" s="206"/>
      <c r="B73" s="206"/>
      <c r="C73" s="206"/>
      <c r="D73" s="206"/>
      <c r="E73" s="209"/>
      <c r="F73" s="206"/>
    </row>
    <row r="74" customFormat="false" ht="14.25" hidden="false" customHeight="true" outlineLevel="0" collapsed="false">
      <c r="A74" s="206"/>
      <c r="B74" s="206"/>
      <c r="C74" s="206"/>
      <c r="D74" s="206"/>
      <c r="E74" s="209"/>
      <c r="F74" s="206"/>
    </row>
    <row r="75" customFormat="false" ht="14.25" hidden="false" customHeight="true" outlineLevel="0" collapsed="false">
      <c r="A75" s="206"/>
      <c r="B75" s="206"/>
      <c r="C75" s="206"/>
      <c r="D75" s="206"/>
      <c r="E75" s="209"/>
      <c r="F75" s="206"/>
    </row>
    <row r="76" customFormat="false" ht="14.25" hidden="false" customHeight="true" outlineLevel="0" collapsed="false">
      <c r="A76" s="206"/>
      <c r="B76" s="206"/>
      <c r="C76" s="206"/>
      <c r="D76" s="206"/>
      <c r="E76" s="209"/>
      <c r="F76" s="206"/>
    </row>
    <row r="77" customFormat="false" ht="14.25" hidden="false" customHeight="true" outlineLevel="0" collapsed="false">
      <c r="A77" s="206"/>
      <c r="B77" s="206"/>
      <c r="C77" s="206"/>
      <c r="D77" s="206"/>
      <c r="E77" s="209"/>
      <c r="F77" s="206"/>
    </row>
    <row r="78" customFormat="false" ht="14.25" hidden="false" customHeight="true" outlineLevel="0" collapsed="false">
      <c r="A78" s="206"/>
      <c r="B78" s="206"/>
      <c r="C78" s="206"/>
      <c r="D78" s="206"/>
      <c r="E78" s="209"/>
      <c r="F78" s="206"/>
    </row>
    <row r="79" customFormat="false" ht="14.25" hidden="false" customHeight="true" outlineLevel="0" collapsed="false">
      <c r="A79" s="206"/>
      <c r="B79" s="206"/>
      <c r="C79" s="206"/>
      <c r="D79" s="206"/>
      <c r="E79" s="209"/>
      <c r="F79" s="206"/>
    </row>
    <row r="80" customFormat="false" ht="14.25" hidden="false" customHeight="true" outlineLevel="0" collapsed="false">
      <c r="A80" s="206"/>
      <c r="B80" s="206"/>
      <c r="C80" s="206"/>
      <c r="D80" s="206"/>
      <c r="E80" s="209"/>
      <c r="F80" s="206"/>
    </row>
    <row r="81" customFormat="false" ht="14.25" hidden="false" customHeight="true" outlineLevel="0" collapsed="false">
      <c r="A81" s="206"/>
      <c r="B81" s="206"/>
      <c r="C81" s="206"/>
      <c r="D81" s="206"/>
      <c r="E81" s="209"/>
      <c r="F81" s="206"/>
    </row>
    <row r="82" customFormat="false" ht="14.25" hidden="false" customHeight="true" outlineLevel="0" collapsed="false">
      <c r="A82" s="206"/>
      <c r="B82" s="206"/>
      <c r="C82" s="206"/>
      <c r="D82" s="206"/>
      <c r="E82" s="209"/>
      <c r="F82" s="206"/>
    </row>
    <row r="83" customFormat="false" ht="14.25" hidden="false" customHeight="true" outlineLevel="0" collapsed="false">
      <c r="A83" s="206"/>
      <c r="B83" s="206"/>
      <c r="C83" s="206"/>
      <c r="D83" s="206"/>
      <c r="E83" s="209"/>
      <c r="F83" s="206"/>
    </row>
    <row r="84" customFormat="false" ht="14.25" hidden="false" customHeight="true" outlineLevel="0" collapsed="false">
      <c r="A84" s="206"/>
      <c r="B84" s="206"/>
      <c r="C84" s="206"/>
      <c r="D84" s="206"/>
      <c r="E84" s="209"/>
      <c r="F84" s="206"/>
    </row>
    <row r="85" customFormat="false" ht="14.25" hidden="false" customHeight="true" outlineLevel="0" collapsed="false">
      <c r="A85" s="206"/>
      <c r="B85" s="206"/>
      <c r="C85" s="206"/>
      <c r="D85" s="206"/>
      <c r="E85" s="209"/>
      <c r="F85" s="206"/>
    </row>
    <row r="86" customFormat="false" ht="14.25" hidden="false" customHeight="true" outlineLevel="0" collapsed="false">
      <c r="A86" s="206"/>
      <c r="B86" s="206"/>
      <c r="C86" s="206"/>
      <c r="D86" s="206"/>
      <c r="E86" s="209"/>
      <c r="F86" s="206"/>
    </row>
    <row r="87" customFormat="false" ht="14.25" hidden="false" customHeight="true" outlineLevel="0" collapsed="false">
      <c r="A87" s="206"/>
      <c r="B87" s="206"/>
      <c r="C87" s="206"/>
      <c r="D87" s="206"/>
      <c r="E87" s="209"/>
      <c r="F87" s="206"/>
    </row>
    <row r="88" customFormat="false" ht="14.25" hidden="false" customHeight="true" outlineLevel="0" collapsed="false">
      <c r="A88" s="206"/>
      <c r="B88" s="206"/>
      <c r="C88" s="206"/>
      <c r="D88" s="206"/>
      <c r="E88" s="209"/>
      <c r="F88" s="206"/>
    </row>
    <row r="89" customFormat="false" ht="14.25" hidden="false" customHeight="true" outlineLevel="0" collapsed="false">
      <c r="A89" s="206"/>
      <c r="B89" s="206"/>
      <c r="C89" s="206"/>
      <c r="D89" s="206"/>
      <c r="E89" s="209"/>
      <c r="F89" s="206"/>
    </row>
    <row r="90" customFormat="false" ht="14.25" hidden="false" customHeight="true" outlineLevel="0" collapsed="false">
      <c r="A90" s="206"/>
      <c r="B90" s="206"/>
      <c r="C90" s="206"/>
      <c r="D90" s="206"/>
      <c r="E90" s="209"/>
      <c r="F90" s="206"/>
    </row>
    <row r="91" customFormat="false" ht="14.25" hidden="false" customHeight="true" outlineLevel="0" collapsed="false">
      <c r="A91" s="206"/>
      <c r="B91" s="206"/>
      <c r="C91" s="206"/>
      <c r="D91" s="206"/>
      <c r="E91" s="209"/>
      <c r="F91" s="206"/>
    </row>
    <row r="92" customFormat="false" ht="14.25" hidden="false" customHeight="true" outlineLevel="0" collapsed="false">
      <c r="A92" s="206"/>
      <c r="B92" s="206"/>
      <c r="C92" s="206"/>
      <c r="D92" s="206"/>
      <c r="E92" s="209"/>
      <c r="F92" s="206"/>
    </row>
    <row r="93" customFormat="false" ht="14.25" hidden="false" customHeight="true" outlineLevel="0" collapsed="false">
      <c r="A93" s="206"/>
      <c r="B93" s="206"/>
      <c r="C93" s="206"/>
      <c r="D93" s="206"/>
      <c r="E93" s="209"/>
      <c r="F93" s="206"/>
    </row>
    <row r="94" customFormat="false" ht="14.25" hidden="false" customHeight="true" outlineLevel="0" collapsed="false">
      <c r="A94" s="206"/>
      <c r="B94" s="206"/>
      <c r="C94" s="206"/>
      <c r="D94" s="206"/>
      <c r="E94" s="209"/>
      <c r="F94" s="206"/>
    </row>
    <row r="95" customFormat="false" ht="14.25" hidden="false" customHeight="true" outlineLevel="0" collapsed="false">
      <c r="A95" s="206"/>
      <c r="B95" s="206"/>
      <c r="C95" s="206"/>
      <c r="D95" s="206"/>
      <c r="E95" s="209"/>
      <c r="F95" s="206"/>
    </row>
    <row r="96" customFormat="false" ht="14.25" hidden="false" customHeight="true" outlineLevel="0" collapsed="false">
      <c r="A96" s="206"/>
      <c r="B96" s="206"/>
      <c r="C96" s="206"/>
      <c r="D96" s="206"/>
      <c r="E96" s="209"/>
      <c r="F96" s="206"/>
    </row>
    <row r="97" customFormat="false" ht="14.25" hidden="false" customHeight="true" outlineLevel="0" collapsed="false">
      <c r="A97" s="206"/>
      <c r="B97" s="206"/>
      <c r="C97" s="206"/>
      <c r="D97" s="206"/>
      <c r="E97" s="209"/>
      <c r="F97" s="206"/>
    </row>
    <row r="98" customFormat="false" ht="14.25" hidden="false" customHeight="true" outlineLevel="0" collapsed="false">
      <c r="A98" s="206"/>
      <c r="B98" s="206"/>
      <c r="C98" s="206"/>
      <c r="D98" s="206"/>
      <c r="E98" s="209"/>
      <c r="F98" s="206"/>
    </row>
    <row r="99" customFormat="false" ht="14.25" hidden="false" customHeight="true" outlineLevel="0" collapsed="false">
      <c r="A99" s="206"/>
      <c r="B99" s="206"/>
      <c r="C99" s="206"/>
      <c r="D99" s="206"/>
      <c r="E99" s="209"/>
      <c r="F99" s="206"/>
    </row>
    <row r="100" customFormat="false" ht="14.25" hidden="false" customHeight="true" outlineLevel="0" collapsed="false">
      <c r="A100" s="206"/>
      <c r="B100" s="206"/>
      <c r="C100" s="206"/>
      <c r="D100" s="206"/>
      <c r="E100" s="209"/>
      <c r="F100" s="206"/>
    </row>
    <row r="101" customFormat="false" ht="14.25" hidden="false" customHeight="true" outlineLevel="0" collapsed="false">
      <c r="A101" s="206"/>
      <c r="B101" s="206"/>
      <c r="C101" s="206"/>
      <c r="D101" s="206"/>
      <c r="E101" s="209"/>
      <c r="F101" s="206"/>
    </row>
    <row r="102" customFormat="false" ht="14.25" hidden="false" customHeight="true" outlineLevel="0" collapsed="false">
      <c r="A102" s="206"/>
      <c r="B102" s="206"/>
      <c r="C102" s="206"/>
      <c r="D102" s="206"/>
      <c r="E102" s="209"/>
      <c r="F102" s="206"/>
    </row>
    <row r="103" customFormat="false" ht="14.25" hidden="false" customHeight="true" outlineLevel="0" collapsed="false">
      <c r="A103" s="206"/>
      <c r="B103" s="206"/>
      <c r="C103" s="206"/>
      <c r="D103" s="206"/>
      <c r="E103" s="209"/>
      <c r="F103" s="206"/>
    </row>
    <row r="104" customFormat="false" ht="14.25" hidden="false" customHeight="true" outlineLevel="0" collapsed="false">
      <c r="A104" s="206"/>
      <c r="B104" s="206"/>
      <c r="C104" s="206"/>
      <c r="D104" s="206"/>
      <c r="E104" s="209"/>
      <c r="F104" s="206"/>
    </row>
    <row r="105" customFormat="false" ht="14.25" hidden="false" customHeight="true" outlineLevel="0" collapsed="false">
      <c r="A105" s="206"/>
      <c r="B105" s="206"/>
      <c r="C105" s="206"/>
      <c r="D105" s="206"/>
      <c r="E105" s="209"/>
      <c r="F105" s="206"/>
    </row>
    <row r="106" customFormat="false" ht="14.25" hidden="false" customHeight="true" outlineLevel="0" collapsed="false">
      <c r="A106" s="206"/>
      <c r="B106" s="206"/>
      <c r="C106" s="206"/>
      <c r="D106" s="206"/>
      <c r="E106" s="209"/>
      <c r="F106" s="206"/>
    </row>
    <row r="107" customFormat="false" ht="14.25" hidden="false" customHeight="true" outlineLevel="0" collapsed="false">
      <c r="A107" s="206"/>
      <c r="B107" s="206"/>
      <c r="C107" s="206"/>
      <c r="D107" s="206"/>
      <c r="E107" s="209"/>
      <c r="F107" s="206"/>
    </row>
    <row r="108" customFormat="false" ht="14.25" hidden="false" customHeight="true" outlineLevel="0" collapsed="false">
      <c r="A108" s="206"/>
      <c r="B108" s="206"/>
      <c r="C108" s="206"/>
      <c r="D108" s="206"/>
      <c r="E108" s="209"/>
      <c r="F108" s="206"/>
    </row>
    <row r="109" customFormat="false" ht="14.25" hidden="false" customHeight="true" outlineLevel="0" collapsed="false">
      <c r="A109" s="206"/>
      <c r="B109" s="206"/>
      <c r="C109" s="206"/>
      <c r="D109" s="206"/>
      <c r="E109" s="209"/>
      <c r="F109" s="206"/>
    </row>
    <row r="110" customFormat="false" ht="14.25" hidden="false" customHeight="true" outlineLevel="0" collapsed="false">
      <c r="A110" s="206"/>
      <c r="B110" s="206"/>
      <c r="C110" s="206"/>
      <c r="D110" s="206"/>
      <c r="E110" s="209"/>
      <c r="F110" s="206"/>
    </row>
    <row r="111" customFormat="false" ht="14.25" hidden="false" customHeight="true" outlineLevel="0" collapsed="false">
      <c r="A111" s="206"/>
      <c r="B111" s="206"/>
      <c r="C111" s="206"/>
      <c r="D111" s="206"/>
      <c r="E111" s="209"/>
      <c r="F111" s="206"/>
    </row>
    <row r="112" customFormat="false" ht="14.25" hidden="false" customHeight="true" outlineLevel="0" collapsed="false">
      <c r="A112" s="206"/>
      <c r="B112" s="206"/>
      <c r="C112" s="206"/>
      <c r="D112" s="206"/>
      <c r="E112" s="209"/>
      <c r="F112" s="206"/>
    </row>
    <row r="113" customFormat="false" ht="14.25" hidden="false" customHeight="true" outlineLevel="0" collapsed="false">
      <c r="A113" s="206"/>
      <c r="B113" s="206"/>
      <c r="C113" s="206"/>
      <c r="D113" s="206"/>
      <c r="E113" s="209"/>
      <c r="F113" s="206"/>
    </row>
    <row r="114" customFormat="false" ht="14.25" hidden="false" customHeight="true" outlineLevel="0" collapsed="false">
      <c r="A114" s="206"/>
      <c r="B114" s="206"/>
      <c r="C114" s="206"/>
      <c r="D114" s="206"/>
      <c r="E114" s="209"/>
      <c r="F114" s="206"/>
    </row>
    <row r="115" customFormat="false" ht="14.25" hidden="false" customHeight="true" outlineLevel="0" collapsed="false">
      <c r="A115" s="206"/>
      <c r="B115" s="206"/>
      <c r="C115" s="206"/>
      <c r="D115" s="206"/>
      <c r="E115" s="209"/>
      <c r="F115" s="206"/>
    </row>
    <row r="116" customFormat="false" ht="14.25" hidden="false" customHeight="true" outlineLevel="0" collapsed="false">
      <c r="A116" s="206"/>
      <c r="B116" s="206"/>
      <c r="C116" s="206"/>
      <c r="D116" s="206"/>
      <c r="E116" s="209"/>
      <c r="F116" s="206"/>
    </row>
    <row r="117" customFormat="false" ht="14.25" hidden="false" customHeight="true" outlineLevel="0" collapsed="false">
      <c r="A117" s="206"/>
      <c r="B117" s="206"/>
      <c r="C117" s="206"/>
      <c r="D117" s="206"/>
      <c r="E117" s="209"/>
      <c r="F117" s="206"/>
    </row>
    <row r="118" customFormat="false" ht="14.25" hidden="false" customHeight="true" outlineLevel="0" collapsed="false">
      <c r="A118" s="206"/>
      <c r="B118" s="206"/>
      <c r="C118" s="206"/>
      <c r="D118" s="206"/>
      <c r="E118" s="209"/>
      <c r="F118" s="206"/>
    </row>
    <row r="119" customFormat="false" ht="14.25" hidden="false" customHeight="true" outlineLevel="0" collapsed="false">
      <c r="A119" s="206"/>
      <c r="B119" s="206"/>
      <c r="C119" s="206"/>
      <c r="D119" s="206"/>
      <c r="E119" s="209"/>
      <c r="F119" s="206"/>
    </row>
    <row r="120" customFormat="false" ht="14.25" hidden="false" customHeight="true" outlineLevel="0" collapsed="false">
      <c r="A120" s="206"/>
      <c r="B120" s="206"/>
      <c r="C120" s="206"/>
      <c r="D120" s="206"/>
      <c r="E120" s="209"/>
      <c r="F120" s="206"/>
    </row>
    <row r="121" customFormat="false" ht="14.25" hidden="false" customHeight="true" outlineLevel="0" collapsed="false">
      <c r="A121" s="206"/>
      <c r="B121" s="206"/>
      <c r="C121" s="206"/>
      <c r="D121" s="206"/>
      <c r="E121" s="209"/>
      <c r="F121" s="206"/>
    </row>
    <row r="122" customFormat="false" ht="14.25" hidden="false" customHeight="true" outlineLevel="0" collapsed="false">
      <c r="A122" s="206"/>
      <c r="B122" s="206"/>
      <c r="C122" s="206"/>
      <c r="D122" s="206"/>
      <c r="E122" s="209"/>
      <c r="F122" s="206"/>
    </row>
    <row r="123" customFormat="false" ht="14.25" hidden="false" customHeight="true" outlineLevel="0" collapsed="false">
      <c r="A123" s="206"/>
      <c r="B123" s="206"/>
      <c r="C123" s="206"/>
      <c r="D123" s="206"/>
      <c r="E123" s="209"/>
      <c r="F123" s="206"/>
    </row>
    <row r="124" customFormat="false" ht="14.25" hidden="false" customHeight="true" outlineLevel="0" collapsed="false">
      <c r="A124" s="206"/>
      <c r="B124" s="206"/>
      <c r="C124" s="206"/>
      <c r="D124" s="206"/>
      <c r="E124" s="209"/>
      <c r="F124" s="206"/>
    </row>
    <row r="125" customFormat="false" ht="14.25" hidden="false" customHeight="true" outlineLevel="0" collapsed="false">
      <c r="A125" s="206"/>
      <c r="B125" s="206"/>
      <c r="C125" s="206"/>
      <c r="D125" s="206"/>
      <c r="E125" s="209"/>
      <c r="F125" s="206"/>
    </row>
    <row r="126" customFormat="false" ht="14.25" hidden="false" customHeight="true" outlineLevel="0" collapsed="false">
      <c r="A126" s="206"/>
      <c r="B126" s="206"/>
      <c r="C126" s="206"/>
      <c r="D126" s="206"/>
      <c r="E126" s="209"/>
      <c r="F126" s="206"/>
    </row>
    <row r="127" customFormat="false" ht="14.25" hidden="false" customHeight="true" outlineLevel="0" collapsed="false">
      <c r="A127" s="206"/>
      <c r="B127" s="206"/>
      <c r="C127" s="206"/>
      <c r="D127" s="206"/>
      <c r="E127" s="209"/>
      <c r="F127" s="206"/>
    </row>
    <row r="128" customFormat="false" ht="14.25" hidden="false" customHeight="true" outlineLevel="0" collapsed="false">
      <c r="A128" s="206"/>
      <c r="B128" s="206"/>
      <c r="C128" s="206"/>
      <c r="D128" s="206"/>
      <c r="E128" s="209"/>
      <c r="F128" s="206"/>
    </row>
    <row r="129" customFormat="false" ht="14.25" hidden="false" customHeight="true" outlineLevel="0" collapsed="false">
      <c r="A129" s="206"/>
      <c r="B129" s="206"/>
      <c r="C129" s="206"/>
      <c r="D129" s="206"/>
      <c r="E129" s="209"/>
      <c r="F129" s="206"/>
    </row>
    <row r="130" customFormat="false" ht="14.25" hidden="false" customHeight="true" outlineLevel="0" collapsed="false">
      <c r="A130" s="206"/>
      <c r="B130" s="206"/>
      <c r="C130" s="206"/>
      <c r="D130" s="206"/>
      <c r="E130" s="209"/>
      <c r="F130" s="206"/>
    </row>
    <row r="131" customFormat="false" ht="14.25" hidden="false" customHeight="true" outlineLevel="0" collapsed="false">
      <c r="A131" s="206"/>
      <c r="B131" s="206"/>
      <c r="C131" s="206"/>
      <c r="D131" s="206"/>
      <c r="E131" s="209"/>
      <c r="F131" s="206"/>
    </row>
    <row r="132" customFormat="false" ht="14.25" hidden="false" customHeight="true" outlineLevel="0" collapsed="false">
      <c r="A132" s="206"/>
      <c r="B132" s="206"/>
      <c r="C132" s="206"/>
      <c r="D132" s="206"/>
      <c r="E132" s="209"/>
      <c r="F132" s="206"/>
    </row>
    <row r="133" customFormat="false" ht="14.25" hidden="false" customHeight="true" outlineLevel="0" collapsed="false">
      <c r="A133" s="206"/>
      <c r="B133" s="206"/>
      <c r="C133" s="206"/>
      <c r="D133" s="206"/>
      <c r="E133" s="209"/>
      <c r="F133" s="206"/>
    </row>
    <row r="134" customFormat="false" ht="14.25" hidden="false" customHeight="true" outlineLevel="0" collapsed="false">
      <c r="A134" s="206"/>
      <c r="B134" s="206"/>
      <c r="C134" s="206"/>
      <c r="D134" s="206"/>
      <c r="E134" s="209"/>
      <c r="F134" s="206"/>
    </row>
    <row r="135" customFormat="false" ht="14.25" hidden="false" customHeight="true" outlineLevel="0" collapsed="false">
      <c r="A135" s="206"/>
      <c r="B135" s="206"/>
      <c r="C135" s="206"/>
      <c r="D135" s="206"/>
      <c r="E135" s="209"/>
      <c r="F135" s="206"/>
    </row>
    <row r="136" customFormat="false" ht="14.25" hidden="false" customHeight="true" outlineLevel="0" collapsed="false">
      <c r="A136" s="206"/>
      <c r="B136" s="206"/>
      <c r="C136" s="206"/>
      <c r="D136" s="206"/>
      <c r="E136" s="209"/>
      <c r="F136" s="206"/>
    </row>
    <row r="137" customFormat="false" ht="14.25" hidden="false" customHeight="true" outlineLevel="0" collapsed="false">
      <c r="A137" s="206"/>
      <c r="B137" s="206"/>
      <c r="C137" s="206"/>
      <c r="D137" s="206"/>
      <c r="E137" s="209"/>
      <c r="F137" s="206"/>
    </row>
    <row r="138" customFormat="false" ht="14.25" hidden="false" customHeight="true" outlineLevel="0" collapsed="false">
      <c r="A138" s="206"/>
      <c r="B138" s="206"/>
      <c r="C138" s="206"/>
      <c r="D138" s="206"/>
      <c r="E138" s="209"/>
      <c r="F138" s="206"/>
    </row>
    <row r="139" customFormat="false" ht="14.25" hidden="false" customHeight="true" outlineLevel="0" collapsed="false">
      <c r="A139" s="206"/>
      <c r="B139" s="206"/>
      <c r="C139" s="206"/>
      <c r="D139" s="206"/>
      <c r="E139" s="209"/>
      <c r="F139" s="206"/>
    </row>
    <row r="140" customFormat="false" ht="14.25" hidden="false" customHeight="true" outlineLevel="0" collapsed="false">
      <c r="A140" s="206"/>
      <c r="B140" s="206"/>
      <c r="C140" s="206"/>
      <c r="D140" s="206"/>
      <c r="E140" s="209"/>
      <c r="F140" s="206"/>
    </row>
    <row r="141" customFormat="false" ht="14.25" hidden="false" customHeight="true" outlineLevel="0" collapsed="false">
      <c r="A141" s="206"/>
      <c r="B141" s="206"/>
      <c r="C141" s="206"/>
      <c r="D141" s="206"/>
      <c r="E141" s="209"/>
      <c r="F141" s="206"/>
    </row>
    <row r="142" customFormat="false" ht="14.25" hidden="false" customHeight="true" outlineLevel="0" collapsed="false">
      <c r="A142" s="206"/>
      <c r="B142" s="206"/>
      <c r="C142" s="206"/>
      <c r="D142" s="206"/>
      <c r="E142" s="209"/>
      <c r="F142" s="206"/>
    </row>
    <row r="143" customFormat="false" ht="14.25" hidden="false" customHeight="true" outlineLevel="0" collapsed="false">
      <c r="A143" s="206"/>
      <c r="B143" s="206"/>
      <c r="C143" s="206"/>
      <c r="D143" s="206"/>
      <c r="E143" s="209"/>
      <c r="F143" s="206"/>
    </row>
    <row r="144" customFormat="false" ht="14.25" hidden="false" customHeight="true" outlineLevel="0" collapsed="false">
      <c r="A144" s="206"/>
      <c r="B144" s="206"/>
      <c r="C144" s="206"/>
      <c r="D144" s="206"/>
      <c r="E144" s="209"/>
      <c r="F144" s="206"/>
    </row>
    <row r="145" customFormat="false" ht="14.25" hidden="false" customHeight="true" outlineLevel="0" collapsed="false">
      <c r="A145" s="206"/>
      <c r="B145" s="206"/>
      <c r="C145" s="206"/>
      <c r="D145" s="206"/>
      <c r="E145" s="209"/>
      <c r="F145" s="206"/>
    </row>
    <row r="146" customFormat="false" ht="14.25" hidden="false" customHeight="true" outlineLevel="0" collapsed="false">
      <c r="A146" s="206"/>
      <c r="B146" s="206"/>
      <c r="C146" s="206"/>
      <c r="D146" s="206"/>
      <c r="E146" s="209"/>
      <c r="F146" s="206"/>
    </row>
    <row r="147" customFormat="false" ht="14.25" hidden="false" customHeight="true" outlineLevel="0" collapsed="false">
      <c r="A147" s="206"/>
      <c r="B147" s="206"/>
      <c r="C147" s="206"/>
      <c r="D147" s="206"/>
      <c r="E147" s="209"/>
      <c r="F147" s="206"/>
    </row>
    <row r="148" customFormat="false" ht="14.25" hidden="false" customHeight="true" outlineLevel="0" collapsed="false">
      <c r="A148" s="206"/>
      <c r="B148" s="206"/>
      <c r="C148" s="206"/>
      <c r="D148" s="206"/>
      <c r="E148" s="209"/>
      <c r="F148" s="206"/>
    </row>
    <row r="149" customFormat="false" ht="14.25" hidden="false" customHeight="true" outlineLevel="0" collapsed="false">
      <c r="A149" s="206"/>
      <c r="B149" s="206"/>
      <c r="C149" s="206"/>
      <c r="D149" s="206"/>
      <c r="E149" s="209"/>
      <c r="F149" s="206"/>
    </row>
    <row r="150" customFormat="false" ht="14.25" hidden="false" customHeight="true" outlineLevel="0" collapsed="false">
      <c r="A150" s="206"/>
      <c r="B150" s="206"/>
      <c r="C150" s="206"/>
      <c r="D150" s="206"/>
      <c r="E150" s="209"/>
      <c r="F150" s="206"/>
    </row>
    <row r="151" customFormat="false" ht="14.25" hidden="false" customHeight="true" outlineLevel="0" collapsed="false">
      <c r="A151" s="206"/>
      <c r="B151" s="206"/>
      <c r="C151" s="206"/>
      <c r="D151" s="206"/>
      <c r="E151" s="209"/>
      <c r="F151" s="206"/>
    </row>
    <row r="152" customFormat="false" ht="14.25" hidden="false" customHeight="true" outlineLevel="0" collapsed="false">
      <c r="A152" s="206"/>
      <c r="B152" s="206"/>
      <c r="C152" s="206"/>
      <c r="D152" s="206"/>
      <c r="E152" s="209"/>
      <c r="F152" s="206"/>
    </row>
    <row r="153" customFormat="false" ht="14.25" hidden="false" customHeight="true" outlineLevel="0" collapsed="false">
      <c r="A153" s="206"/>
      <c r="B153" s="206"/>
      <c r="C153" s="206"/>
      <c r="D153" s="206"/>
      <c r="E153" s="209"/>
      <c r="F153" s="206"/>
    </row>
    <row r="154" customFormat="false" ht="14.25" hidden="false" customHeight="true" outlineLevel="0" collapsed="false">
      <c r="A154" s="206"/>
      <c r="B154" s="206"/>
      <c r="C154" s="206"/>
      <c r="D154" s="206"/>
      <c r="E154" s="209"/>
      <c r="F154" s="206"/>
    </row>
    <row r="155" customFormat="false" ht="14.25" hidden="false" customHeight="true" outlineLevel="0" collapsed="false">
      <c r="A155" s="206"/>
      <c r="B155" s="206"/>
      <c r="C155" s="206"/>
      <c r="D155" s="206"/>
      <c r="E155" s="209"/>
      <c r="F155" s="206"/>
    </row>
    <row r="156" customFormat="false" ht="14.25" hidden="false" customHeight="true" outlineLevel="0" collapsed="false">
      <c r="A156" s="206"/>
      <c r="B156" s="206"/>
      <c r="C156" s="206"/>
      <c r="D156" s="206"/>
      <c r="E156" s="209"/>
      <c r="F156" s="206"/>
    </row>
    <row r="157" customFormat="false" ht="14.25" hidden="false" customHeight="true" outlineLevel="0" collapsed="false">
      <c r="A157" s="206"/>
      <c r="B157" s="206"/>
      <c r="C157" s="206"/>
      <c r="D157" s="206"/>
      <c r="E157" s="209"/>
      <c r="F157" s="206"/>
    </row>
    <row r="158" customFormat="false" ht="14.25" hidden="false" customHeight="true" outlineLevel="0" collapsed="false">
      <c r="A158" s="206"/>
      <c r="B158" s="206"/>
      <c r="C158" s="206"/>
      <c r="D158" s="206"/>
      <c r="E158" s="209"/>
      <c r="F158" s="206"/>
    </row>
    <row r="159" customFormat="false" ht="14.25" hidden="false" customHeight="true" outlineLevel="0" collapsed="false">
      <c r="A159" s="206"/>
      <c r="B159" s="206"/>
      <c r="C159" s="206"/>
      <c r="D159" s="206"/>
      <c r="E159" s="209"/>
      <c r="F159" s="206"/>
    </row>
    <row r="160" customFormat="false" ht="14.25" hidden="false" customHeight="true" outlineLevel="0" collapsed="false">
      <c r="A160" s="206"/>
      <c r="B160" s="206"/>
      <c r="C160" s="206"/>
      <c r="D160" s="206"/>
      <c r="E160" s="209"/>
      <c r="F160" s="206"/>
    </row>
    <row r="161" customFormat="false" ht="14.25" hidden="false" customHeight="true" outlineLevel="0" collapsed="false">
      <c r="A161" s="206"/>
      <c r="B161" s="206"/>
      <c r="C161" s="206"/>
      <c r="D161" s="206"/>
      <c r="E161" s="209"/>
      <c r="F161" s="206"/>
    </row>
    <row r="162" customFormat="false" ht="14.25" hidden="false" customHeight="true" outlineLevel="0" collapsed="false">
      <c r="A162" s="206"/>
      <c r="B162" s="206"/>
      <c r="C162" s="206"/>
      <c r="D162" s="206"/>
      <c r="E162" s="209"/>
      <c r="F162" s="206"/>
    </row>
    <row r="163" customFormat="false" ht="14.25" hidden="false" customHeight="true" outlineLevel="0" collapsed="false">
      <c r="A163" s="206"/>
      <c r="B163" s="206"/>
      <c r="C163" s="206"/>
      <c r="D163" s="206"/>
      <c r="E163" s="209"/>
      <c r="F163" s="206"/>
    </row>
    <row r="164" customFormat="false" ht="14.25" hidden="false" customHeight="true" outlineLevel="0" collapsed="false">
      <c r="A164" s="206"/>
      <c r="B164" s="206"/>
      <c r="C164" s="206"/>
      <c r="D164" s="206"/>
      <c r="E164" s="209"/>
      <c r="F164" s="206"/>
    </row>
    <row r="165" customFormat="false" ht="14.25" hidden="false" customHeight="true" outlineLevel="0" collapsed="false">
      <c r="A165" s="206"/>
      <c r="B165" s="206"/>
      <c r="C165" s="206"/>
      <c r="D165" s="206"/>
      <c r="E165" s="209"/>
      <c r="F165" s="206"/>
    </row>
    <row r="166" customFormat="false" ht="14.25" hidden="false" customHeight="true" outlineLevel="0" collapsed="false">
      <c r="A166" s="206"/>
      <c r="B166" s="206"/>
      <c r="C166" s="206"/>
      <c r="D166" s="206"/>
      <c r="E166" s="209"/>
      <c r="F166" s="206"/>
    </row>
    <row r="167" customFormat="false" ht="14.25" hidden="false" customHeight="true" outlineLevel="0" collapsed="false">
      <c r="A167" s="206"/>
      <c r="B167" s="206"/>
      <c r="C167" s="206"/>
      <c r="D167" s="206"/>
      <c r="E167" s="209"/>
      <c r="F167" s="206"/>
    </row>
    <row r="168" customFormat="false" ht="14.25" hidden="false" customHeight="true" outlineLevel="0" collapsed="false">
      <c r="A168" s="206"/>
      <c r="B168" s="206"/>
      <c r="C168" s="206"/>
      <c r="D168" s="206"/>
      <c r="E168" s="209"/>
      <c r="F168" s="206"/>
    </row>
    <row r="169" customFormat="false" ht="14.25" hidden="false" customHeight="true" outlineLevel="0" collapsed="false">
      <c r="A169" s="206"/>
      <c r="B169" s="206"/>
      <c r="C169" s="206"/>
      <c r="D169" s="206"/>
      <c r="E169" s="209"/>
      <c r="F169" s="206"/>
    </row>
    <row r="170" customFormat="false" ht="14.25" hidden="false" customHeight="true" outlineLevel="0" collapsed="false">
      <c r="A170" s="206"/>
      <c r="B170" s="206"/>
      <c r="C170" s="206"/>
      <c r="D170" s="206"/>
      <c r="E170" s="209"/>
      <c r="F170" s="206"/>
    </row>
    <row r="171" customFormat="false" ht="14.25" hidden="false" customHeight="true" outlineLevel="0" collapsed="false">
      <c r="A171" s="206"/>
      <c r="B171" s="206"/>
      <c r="C171" s="206"/>
      <c r="D171" s="206"/>
      <c r="E171" s="209"/>
      <c r="F171" s="206"/>
    </row>
    <row r="172" customFormat="false" ht="14.25" hidden="false" customHeight="true" outlineLevel="0" collapsed="false">
      <c r="A172" s="206"/>
      <c r="B172" s="206"/>
      <c r="C172" s="206"/>
      <c r="D172" s="206"/>
      <c r="E172" s="209"/>
      <c r="F172" s="206"/>
    </row>
    <row r="173" customFormat="false" ht="14.25" hidden="false" customHeight="true" outlineLevel="0" collapsed="false">
      <c r="A173" s="206"/>
      <c r="B173" s="206"/>
      <c r="C173" s="206"/>
      <c r="D173" s="206"/>
      <c r="E173" s="209"/>
      <c r="F173" s="206"/>
    </row>
    <row r="174" customFormat="false" ht="14.25" hidden="false" customHeight="true" outlineLevel="0" collapsed="false">
      <c r="A174" s="206"/>
      <c r="B174" s="206"/>
      <c r="C174" s="206"/>
      <c r="D174" s="206"/>
      <c r="E174" s="209"/>
      <c r="F174" s="206"/>
    </row>
    <row r="175" customFormat="false" ht="14.25" hidden="false" customHeight="true" outlineLevel="0" collapsed="false">
      <c r="A175" s="206"/>
      <c r="B175" s="206"/>
      <c r="C175" s="206"/>
      <c r="D175" s="206"/>
      <c r="E175" s="209"/>
      <c r="F175" s="206"/>
    </row>
    <row r="176" customFormat="false" ht="14.25" hidden="false" customHeight="true" outlineLevel="0" collapsed="false">
      <c r="A176" s="206"/>
      <c r="B176" s="206"/>
      <c r="C176" s="206"/>
      <c r="D176" s="206"/>
      <c r="E176" s="209"/>
      <c r="F176" s="206"/>
    </row>
    <row r="177" customFormat="false" ht="14.25" hidden="false" customHeight="true" outlineLevel="0" collapsed="false">
      <c r="A177" s="206"/>
      <c r="B177" s="206"/>
      <c r="C177" s="206"/>
      <c r="D177" s="206"/>
      <c r="E177" s="209"/>
      <c r="F177" s="206"/>
    </row>
    <row r="178" customFormat="false" ht="14.25" hidden="false" customHeight="true" outlineLevel="0" collapsed="false">
      <c r="A178" s="206"/>
      <c r="B178" s="206"/>
      <c r="C178" s="206"/>
      <c r="D178" s="206"/>
      <c r="E178" s="209"/>
      <c r="F178" s="206"/>
    </row>
    <row r="179" customFormat="false" ht="14.25" hidden="false" customHeight="true" outlineLevel="0" collapsed="false">
      <c r="A179" s="206"/>
      <c r="B179" s="206"/>
      <c r="C179" s="206"/>
      <c r="D179" s="206"/>
      <c r="E179" s="209"/>
      <c r="F179" s="206"/>
    </row>
    <row r="180" customFormat="false" ht="14.25" hidden="false" customHeight="true" outlineLevel="0" collapsed="false">
      <c r="A180" s="206"/>
      <c r="B180" s="206"/>
      <c r="C180" s="206"/>
      <c r="D180" s="206"/>
      <c r="E180" s="209"/>
      <c r="F180" s="206"/>
    </row>
    <row r="181" customFormat="false" ht="14.25" hidden="false" customHeight="true" outlineLevel="0" collapsed="false">
      <c r="A181" s="206"/>
      <c r="B181" s="206"/>
      <c r="C181" s="206"/>
      <c r="D181" s="206"/>
      <c r="E181" s="209"/>
      <c r="F181" s="206"/>
    </row>
    <row r="182" customFormat="false" ht="14.25" hidden="false" customHeight="true" outlineLevel="0" collapsed="false">
      <c r="A182" s="206"/>
      <c r="B182" s="206"/>
      <c r="C182" s="206"/>
      <c r="D182" s="206"/>
      <c r="E182" s="209"/>
      <c r="F182" s="206"/>
    </row>
    <row r="183" customFormat="false" ht="14.25" hidden="false" customHeight="true" outlineLevel="0" collapsed="false">
      <c r="A183" s="206"/>
      <c r="B183" s="206"/>
      <c r="C183" s="206"/>
      <c r="D183" s="206"/>
      <c r="E183" s="209"/>
      <c r="F183" s="206"/>
    </row>
    <row r="184" customFormat="false" ht="14.25" hidden="false" customHeight="true" outlineLevel="0" collapsed="false">
      <c r="A184" s="206"/>
      <c r="B184" s="206"/>
      <c r="C184" s="206"/>
      <c r="D184" s="206"/>
      <c r="E184" s="209"/>
      <c r="F184" s="206"/>
    </row>
    <row r="185" customFormat="false" ht="14.25" hidden="false" customHeight="true" outlineLevel="0" collapsed="false">
      <c r="A185" s="206"/>
      <c r="B185" s="206"/>
      <c r="C185" s="206"/>
      <c r="D185" s="206"/>
      <c r="E185" s="209"/>
      <c r="F185" s="206"/>
    </row>
    <row r="186" customFormat="false" ht="14.25" hidden="false" customHeight="true" outlineLevel="0" collapsed="false">
      <c r="A186" s="206"/>
      <c r="B186" s="206"/>
      <c r="C186" s="206"/>
      <c r="D186" s="206"/>
      <c r="E186" s="209"/>
      <c r="F186" s="206"/>
    </row>
    <row r="187" customFormat="false" ht="14.25" hidden="false" customHeight="true" outlineLevel="0" collapsed="false">
      <c r="A187" s="206"/>
      <c r="B187" s="206"/>
      <c r="C187" s="206"/>
      <c r="D187" s="206"/>
      <c r="E187" s="209"/>
      <c r="F187" s="206"/>
    </row>
    <row r="188" customFormat="false" ht="14.25" hidden="false" customHeight="true" outlineLevel="0" collapsed="false">
      <c r="A188" s="206"/>
      <c r="B188" s="206"/>
      <c r="C188" s="206"/>
      <c r="D188" s="206"/>
      <c r="E188" s="209"/>
      <c r="F188" s="206"/>
    </row>
    <row r="189" customFormat="false" ht="14.25" hidden="false" customHeight="true" outlineLevel="0" collapsed="false">
      <c r="A189" s="206"/>
      <c r="B189" s="206"/>
      <c r="C189" s="206"/>
      <c r="D189" s="206"/>
      <c r="E189" s="209"/>
      <c r="F189" s="206"/>
    </row>
    <row r="190" customFormat="false" ht="14.25" hidden="false" customHeight="true" outlineLevel="0" collapsed="false">
      <c r="A190" s="206"/>
      <c r="B190" s="206"/>
      <c r="C190" s="206"/>
      <c r="D190" s="206"/>
      <c r="E190" s="209"/>
      <c r="F190" s="206"/>
    </row>
    <row r="191" customFormat="false" ht="14.25" hidden="false" customHeight="true" outlineLevel="0" collapsed="false">
      <c r="A191" s="206"/>
      <c r="B191" s="206"/>
      <c r="C191" s="206"/>
      <c r="D191" s="206"/>
      <c r="E191" s="209"/>
      <c r="F191" s="206"/>
    </row>
    <row r="192" customFormat="false" ht="14.25" hidden="false" customHeight="true" outlineLevel="0" collapsed="false">
      <c r="A192" s="206"/>
      <c r="B192" s="206"/>
      <c r="C192" s="206"/>
      <c r="D192" s="206"/>
      <c r="E192" s="209"/>
      <c r="F192" s="206"/>
    </row>
    <row r="193" customFormat="false" ht="14.25" hidden="false" customHeight="true" outlineLevel="0" collapsed="false">
      <c r="A193" s="206"/>
      <c r="B193" s="206"/>
      <c r="C193" s="206"/>
      <c r="D193" s="206"/>
      <c r="E193" s="209"/>
      <c r="F193" s="206"/>
    </row>
    <row r="194" customFormat="false" ht="14.25" hidden="false" customHeight="true" outlineLevel="0" collapsed="false">
      <c r="A194" s="206"/>
      <c r="B194" s="206"/>
      <c r="C194" s="206"/>
      <c r="D194" s="206"/>
      <c r="E194" s="209"/>
      <c r="F194" s="206"/>
    </row>
    <row r="195" customFormat="false" ht="14.25" hidden="false" customHeight="true" outlineLevel="0" collapsed="false">
      <c r="A195" s="206"/>
      <c r="B195" s="206"/>
      <c r="C195" s="206"/>
      <c r="D195" s="206"/>
      <c r="E195" s="209"/>
      <c r="F195" s="206"/>
    </row>
    <row r="196" customFormat="false" ht="14.25" hidden="false" customHeight="true" outlineLevel="0" collapsed="false">
      <c r="A196" s="206"/>
      <c r="B196" s="206"/>
      <c r="C196" s="206"/>
      <c r="D196" s="206"/>
      <c r="E196" s="209"/>
      <c r="F196" s="206"/>
    </row>
    <row r="197" customFormat="false" ht="14.25" hidden="false" customHeight="true" outlineLevel="0" collapsed="false">
      <c r="A197" s="206"/>
      <c r="B197" s="206"/>
      <c r="C197" s="206"/>
      <c r="D197" s="206"/>
      <c r="E197" s="209"/>
      <c r="F197" s="206"/>
    </row>
    <row r="198" customFormat="false" ht="14.25" hidden="false" customHeight="true" outlineLevel="0" collapsed="false">
      <c r="A198" s="206"/>
      <c r="B198" s="206"/>
      <c r="C198" s="206"/>
      <c r="D198" s="206"/>
      <c r="E198" s="209"/>
      <c r="F198" s="206"/>
    </row>
    <row r="199" customFormat="false" ht="14.25" hidden="false" customHeight="true" outlineLevel="0" collapsed="false">
      <c r="A199" s="206"/>
      <c r="B199" s="206"/>
      <c r="C199" s="206"/>
      <c r="D199" s="206"/>
      <c r="E199" s="209"/>
      <c r="F199" s="206"/>
    </row>
    <row r="200" customFormat="false" ht="14.25" hidden="false" customHeight="true" outlineLevel="0" collapsed="false">
      <c r="A200" s="206"/>
      <c r="B200" s="206"/>
      <c r="C200" s="206"/>
      <c r="D200" s="206"/>
      <c r="E200" s="209"/>
      <c r="F200" s="206"/>
    </row>
    <row r="201" customFormat="false" ht="14.25" hidden="false" customHeight="true" outlineLevel="0" collapsed="false">
      <c r="A201" s="206"/>
      <c r="B201" s="206"/>
      <c r="C201" s="206"/>
      <c r="D201" s="206"/>
      <c r="E201" s="209"/>
      <c r="F201" s="206"/>
    </row>
    <row r="202" customFormat="false" ht="14.25" hidden="false" customHeight="true" outlineLevel="0" collapsed="false">
      <c r="A202" s="206"/>
      <c r="B202" s="206"/>
      <c r="C202" s="206"/>
      <c r="D202" s="206"/>
      <c r="E202" s="209"/>
      <c r="F202" s="206"/>
    </row>
    <row r="203" customFormat="false" ht="14.25" hidden="false" customHeight="true" outlineLevel="0" collapsed="false">
      <c r="A203" s="206"/>
      <c r="B203" s="206"/>
      <c r="C203" s="206"/>
      <c r="D203" s="206"/>
      <c r="E203" s="209"/>
      <c r="F203" s="206"/>
    </row>
    <row r="204" customFormat="false" ht="14.25" hidden="false" customHeight="true" outlineLevel="0" collapsed="false">
      <c r="A204" s="206"/>
      <c r="B204" s="206"/>
      <c r="C204" s="206"/>
      <c r="D204" s="206"/>
      <c r="E204" s="209"/>
      <c r="F204" s="206"/>
    </row>
    <row r="205" customFormat="false" ht="14.25" hidden="false" customHeight="true" outlineLevel="0" collapsed="false">
      <c r="A205" s="206"/>
      <c r="B205" s="206"/>
      <c r="C205" s="206"/>
      <c r="D205" s="206"/>
      <c r="E205" s="209"/>
      <c r="F205" s="206"/>
    </row>
    <row r="206" customFormat="false" ht="14.25" hidden="false" customHeight="true" outlineLevel="0" collapsed="false">
      <c r="A206" s="206"/>
      <c r="B206" s="206"/>
      <c r="C206" s="206"/>
      <c r="D206" s="206"/>
      <c r="E206" s="209"/>
      <c r="F206" s="206"/>
    </row>
    <row r="207" customFormat="false" ht="14.25" hidden="false" customHeight="true" outlineLevel="0" collapsed="false">
      <c r="A207" s="206"/>
      <c r="B207" s="206"/>
      <c r="C207" s="206"/>
      <c r="D207" s="206"/>
      <c r="E207" s="209"/>
      <c r="F207" s="206"/>
    </row>
    <row r="208" customFormat="false" ht="14.25" hidden="false" customHeight="true" outlineLevel="0" collapsed="false">
      <c r="A208" s="206"/>
      <c r="B208" s="206"/>
      <c r="C208" s="206"/>
      <c r="D208" s="206"/>
      <c r="E208" s="209"/>
      <c r="F208" s="206"/>
    </row>
    <row r="209" customFormat="false" ht="14.25" hidden="false" customHeight="true" outlineLevel="0" collapsed="false">
      <c r="A209" s="206"/>
      <c r="B209" s="206"/>
      <c r="C209" s="206"/>
      <c r="D209" s="206"/>
      <c r="E209" s="209"/>
      <c r="F209" s="206"/>
    </row>
    <row r="210" customFormat="false" ht="14.25" hidden="false" customHeight="true" outlineLevel="0" collapsed="false">
      <c r="A210" s="206"/>
      <c r="B210" s="206"/>
      <c r="C210" s="206"/>
      <c r="D210" s="206"/>
      <c r="E210" s="209"/>
      <c r="F210" s="206"/>
    </row>
    <row r="211" customFormat="false" ht="14.25" hidden="false" customHeight="true" outlineLevel="0" collapsed="false">
      <c r="A211" s="206"/>
      <c r="B211" s="206"/>
      <c r="C211" s="206"/>
      <c r="D211" s="206"/>
      <c r="E211" s="209"/>
      <c r="F211" s="206"/>
    </row>
    <row r="212" customFormat="false" ht="14.25" hidden="false" customHeight="true" outlineLevel="0" collapsed="false">
      <c r="A212" s="206"/>
      <c r="B212" s="206"/>
      <c r="C212" s="206"/>
      <c r="D212" s="206"/>
      <c r="E212" s="209"/>
      <c r="F212" s="206"/>
    </row>
    <row r="213" customFormat="false" ht="14.25" hidden="false" customHeight="true" outlineLevel="0" collapsed="false">
      <c r="A213" s="206"/>
      <c r="B213" s="206"/>
      <c r="C213" s="206"/>
      <c r="D213" s="206"/>
      <c r="E213" s="209"/>
      <c r="F213" s="206"/>
    </row>
    <row r="214" customFormat="false" ht="14.25" hidden="false" customHeight="true" outlineLevel="0" collapsed="false">
      <c r="A214" s="206"/>
      <c r="B214" s="206"/>
      <c r="C214" s="206"/>
      <c r="D214" s="206"/>
      <c r="E214" s="209"/>
      <c r="F214" s="206"/>
    </row>
    <row r="215" customFormat="false" ht="14.25" hidden="false" customHeight="true" outlineLevel="0" collapsed="false">
      <c r="A215" s="206"/>
      <c r="B215" s="206"/>
      <c r="C215" s="206"/>
      <c r="D215" s="206"/>
      <c r="E215" s="209"/>
      <c r="F215" s="206"/>
    </row>
    <row r="216" customFormat="false" ht="14.25" hidden="false" customHeight="true" outlineLevel="0" collapsed="false">
      <c r="A216" s="206"/>
      <c r="B216" s="206"/>
      <c r="C216" s="206"/>
      <c r="D216" s="206"/>
      <c r="E216" s="209"/>
      <c r="F216" s="206"/>
    </row>
    <row r="217" customFormat="false" ht="14.25" hidden="false" customHeight="true" outlineLevel="0" collapsed="false">
      <c r="A217" s="206"/>
      <c r="B217" s="206"/>
      <c r="C217" s="206"/>
      <c r="D217" s="206"/>
      <c r="E217" s="209"/>
      <c r="F217" s="206"/>
    </row>
    <row r="218" customFormat="false" ht="14.25" hidden="false" customHeight="true" outlineLevel="0" collapsed="false">
      <c r="A218" s="206"/>
      <c r="B218" s="206"/>
      <c r="C218" s="206"/>
      <c r="D218" s="206"/>
      <c r="E218" s="209"/>
      <c r="F218" s="206"/>
    </row>
    <row r="219" customFormat="false" ht="14.25" hidden="false" customHeight="true" outlineLevel="0" collapsed="false">
      <c r="A219" s="206"/>
      <c r="B219" s="206"/>
      <c r="C219" s="206"/>
      <c r="D219" s="206"/>
      <c r="E219" s="209"/>
      <c r="F219" s="206"/>
    </row>
    <row r="220" customFormat="false" ht="14.25" hidden="false" customHeight="true" outlineLevel="0" collapsed="false">
      <c r="A220" s="206"/>
      <c r="B220" s="206"/>
      <c r="C220" s="206"/>
      <c r="D220" s="206"/>
      <c r="E220" s="209"/>
      <c r="F220" s="206"/>
    </row>
    <row r="221" customFormat="false" ht="14.25" hidden="false" customHeight="true" outlineLevel="0" collapsed="false">
      <c r="A221" s="206"/>
      <c r="B221" s="206"/>
      <c r="C221" s="206"/>
      <c r="D221" s="206"/>
      <c r="E221" s="209"/>
      <c r="F221" s="206"/>
    </row>
    <row r="222" customFormat="false" ht="14.25" hidden="false" customHeight="true" outlineLevel="0" collapsed="false">
      <c r="A222" s="206"/>
      <c r="B222" s="206"/>
      <c r="C222" s="206"/>
      <c r="D222" s="206"/>
      <c r="E222" s="209"/>
      <c r="F222" s="206"/>
    </row>
    <row r="223" customFormat="false" ht="14.25" hidden="false" customHeight="true" outlineLevel="0" collapsed="false">
      <c r="A223" s="206"/>
      <c r="B223" s="206"/>
      <c r="C223" s="206"/>
      <c r="D223" s="206"/>
      <c r="E223" s="209"/>
      <c r="F223" s="206"/>
    </row>
    <row r="224" customFormat="false" ht="14.25" hidden="false" customHeight="true" outlineLevel="0" collapsed="false">
      <c r="A224" s="206"/>
      <c r="B224" s="206"/>
      <c r="C224" s="206"/>
      <c r="D224" s="206"/>
      <c r="E224" s="209"/>
      <c r="F224" s="206"/>
    </row>
    <row r="225" customFormat="false" ht="14.25" hidden="false" customHeight="true" outlineLevel="0" collapsed="false">
      <c r="A225" s="206"/>
      <c r="B225" s="206"/>
      <c r="C225" s="206"/>
      <c r="D225" s="206"/>
      <c r="E225" s="209"/>
      <c r="F225" s="206"/>
    </row>
    <row r="226" customFormat="false" ht="14.25" hidden="false" customHeight="true" outlineLevel="0" collapsed="false">
      <c r="A226" s="206"/>
      <c r="B226" s="206"/>
      <c r="C226" s="206"/>
      <c r="D226" s="206"/>
      <c r="E226" s="209"/>
      <c r="F226" s="206"/>
    </row>
    <row r="227" customFormat="false" ht="14.25" hidden="false" customHeight="true" outlineLevel="0" collapsed="false">
      <c r="A227" s="206"/>
      <c r="B227" s="206"/>
      <c r="C227" s="206"/>
      <c r="D227" s="206"/>
      <c r="E227" s="209"/>
      <c r="F227" s="206"/>
    </row>
    <row r="228" customFormat="false" ht="14.25" hidden="false" customHeight="true" outlineLevel="0" collapsed="false">
      <c r="A228" s="206"/>
      <c r="B228" s="206"/>
      <c r="C228" s="206"/>
      <c r="D228" s="206"/>
      <c r="E228" s="209"/>
      <c r="F228" s="206"/>
    </row>
    <row r="229" customFormat="false" ht="14.25" hidden="false" customHeight="true" outlineLevel="0" collapsed="false">
      <c r="A229" s="206"/>
      <c r="B229" s="206"/>
      <c r="C229" s="206"/>
      <c r="D229" s="206"/>
      <c r="E229" s="209"/>
      <c r="F229" s="206"/>
    </row>
    <row r="230" customFormat="false" ht="14.25" hidden="false" customHeight="true" outlineLevel="0" collapsed="false">
      <c r="A230" s="206"/>
      <c r="B230" s="206"/>
      <c r="C230" s="206"/>
      <c r="D230" s="206"/>
      <c r="E230" s="209"/>
      <c r="F230" s="206"/>
    </row>
    <row r="231" customFormat="false" ht="14.25" hidden="false" customHeight="true" outlineLevel="0" collapsed="false">
      <c r="A231" s="206"/>
      <c r="B231" s="206"/>
      <c r="C231" s="206"/>
      <c r="D231" s="206"/>
      <c r="E231" s="209"/>
      <c r="F231" s="206"/>
    </row>
    <row r="232" customFormat="false" ht="14.25" hidden="false" customHeight="true" outlineLevel="0" collapsed="false">
      <c r="A232" s="206"/>
      <c r="B232" s="206"/>
      <c r="C232" s="206"/>
      <c r="D232" s="206"/>
      <c r="E232" s="209"/>
      <c r="F232" s="206"/>
    </row>
    <row r="233" customFormat="false" ht="14.25" hidden="false" customHeight="true" outlineLevel="0" collapsed="false">
      <c r="A233" s="206"/>
      <c r="B233" s="206"/>
      <c r="C233" s="206"/>
      <c r="D233" s="206"/>
      <c r="E233" s="209"/>
      <c r="F233" s="206"/>
    </row>
    <row r="234" customFormat="false" ht="14.25" hidden="false" customHeight="true" outlineLevel="0" collapsed="false">
      <c r="A234" s="206"/>
      <c r="B234" s="206"/>
      <c r="C234" s="206"/>
      <c r="D234" s="206"/>
      <c r="E234" s="209"/>
      <c r="F234" s="206"/>
    </row>
    <row r="235" customFormat="false" ht="14.25" hidden="false" customHeight="true" outlineLevel="0" collapsed="false">
      <c r="A235" s="206"/>
      <c r="B235" s="206"/>
      <c r="C235" s="206"/>
      <c r="D235" s="206"/>
      <c r="E235" s="209"/>
      <c r="F235" s="206"/>
    </row>
    <row r="236" customFormat="false" ht="14.25" hidden="false" customHeight="true" outlineLevel="0" collapsed="false">
      <c r="A236" s="206"/>
      <c r="B236" s="206"/>
      <c r="C236" s="206"/>
      <c r="D236" s="206"/>
      <c r="E236" s="209"/>
      <c r="F236" s="206"/>
    </row>
    <row r="237" customFormat="false" ht="14.25" hidden="false" customHeight="true" outlineLevel="0" collapsed="false">
      <c r="A237" s="206"/>
      <c r="B237" s="206"/>
      <c r="C237" s="206"/>
      <c r="D237" s="206"/>
      <c r="E237" s="209"/>
      <c r="F237" s="206"/>
    </row>
    <row r="238" customFormat="false" ht="14.25" hidden="false" customHeight="true" outlineLevel="0" collapsed="false">
      <c r="A238" s="206"/>
      <c r="B238" s="206"/>
      <c r="C238" s="206"/>
      <c r="D238" s="206"/>
      <c r="E238" s="209"/>
      <c r="F238" s="206"/>
    </row>
    <row r="239" customFormat="false" ht="14.25" hidden="false" customHeight="true" outlineLevel="0" collapsed="false">
      <c r="A239" s="206"/>
      <c r="B239" s="206"/>
      <c r="C239" s="206"/>
      <c r="D239" s="206"/>
      <c r="E239" s="209"/>
      <c r="F239" s="206"/>
    </row>
    <row r="240" customFormat="false" ht="14.25" hidden="false" customHeight="true" outlineLevel="0" collapsed="false">
      <c r="A240" s="206"/>
      <c r="B240" s="206"/>
      <c r="C240" s="206"/>
      <c r="D240" s="206"/>
      <c r="E240" s="209"/>
      <c r="F240" s="206"/>
    </row>
    <row r="241" customFormat="false" ht="14.25" hidden="false" customHeight="true" outlineLevel="0" collapsed="false">
      <c r="A241" s="206"/>
      <c r="B241" s="206"/>
      <c r="C241" s="206"/>
      <c r="D241" s="206"/>
      <c r="E241" s="209"/>
      <c r="F241" s="206"/>
    </row>
    <row r="242" customFormat="false" ht="14.25" hidden="false" customHeight="true" outlineLevel="0" collapsed="false">
      <c r="A242" s="206"/>
      <c r="B242" s="206"/>
      <c r="C242" s="206"/>
      <c r="D242" s="206"/>
      <c r="E242" s="209"/>
      <c r="F242" s="206"/>
    </row>
    <row r="243" customFormat="false" ht="14.25" hidden="false" customHeight="true" outlineLevel="0" collapsed="false">
      <c r="A243" s="206"/>
      <c r="B243" s="206"/>
      <c r="C243" s="206"/>
      <c r="D243" s="206"/>
      <c r="E243" s="209"/>
      <c r="F243" s="206"/>
    </row>
    <row r="244" customFormat="false" ht="14.25" hidden="false" customHeight="true" outlineLevel="0" collapsed="false">
      <c r="A244" s="206"/>
      <c r="B244" s="206"/>
      <c r="C244" s="206"/>
      <c r="D244" s="206"/>
      <c r="E244" s="209"/>
      <c r="F244" s="206"/>
    </row>
    <row r="245" customFormat="false" ht="14.25" hidden="false" customHeight="true" outlineLevel="0" collapsed="false">
      <c r="A245" s="206"/>
      <c r="B245" s="206"/>
      <c r="C245" s="206"/>
      <c r="D245" s="206"/>
      <c r="E245" s="209"/>
      <c r="F245" s="206"/>
    </row>
    <row r="246" customFormat="false" ht="14.25" hidden="false" customHeight="true" outlineLevel="0" collapsed="false">
      <c r="A246" s="206"/>
      <c r="B246" s="206"/>
      <c r="C246" s="206"/>
      <c r="D246" s="206"/>
      <c r="E246" s="209"/>
      <c r="F246" s="206"/>
    </row>
    <row r="247" customFormat="false" ht="14.25" hidden="false" customHeight="true" outlineLevel="0" collapsed="false">
      <c r="A247" s="206"/>
      <c r="B247" s="206"/>
      <c r="C247" s="206"/>
      <c r="D247" s="206"/>
      <c r="E247" s="209"/>
      <c r="F247" s="206"/>
    </row>
    <row r="248" customFormat="false" ht="14.25" hidden="false" customHeight="true" outlineLevel="0" collapsed="false">
      <c r="A248" s="206"/>
      <c r="B248" s="206"/>
      <c r="C248" s="206"/>
      <c r="D248" s="206"/>
      <c r="E248" s="209"/>
      <c r="F248" s="206"/>
    </row>
    <row r="249" customFormat="false" ht="14.25" hidden="false" customHeight="true" outlineLevel="0" collapsed="false">
      <c r="A249" s="206"/>
      <c r="B249" s="206"/>
      <c r="C249" s="206"/>
      <c r="D249" s="206"/>
      <c r="E249" s="209"/>
      <c r="F249" s="206"/>
    </row>
    <row r="250" customFormat="false" ht="14.25" hidden="false" customHeight="true" outlineLevel="0" collapsed="false">
      <c r="A250" s="206"/>
      <c r="B250" s="206"/>
      <c r="C250" s="206"/>
      <c r="D250" s="206"/>
      <c r="E250" s="209"/>
      <c r="F250" s="206"/>
    </row>
    <row r="251" customFormat="false" ht="14.25" hidden="false" customHeight="true" outlineLevel="0" collapsed="false">
      <c r="A251" s="206"/>
      <c r="B251" s="206"/>
      <c r="C251" s="206"/>
      <c r="D251" s="206"/>
      <c r="E251" s="209"/>
      <c r="F251" s="206"/>
    </row>
    <row r="252" customFormat="false" ht="14.25" hidden="false" customHeight="true" outlineLevel="0" collapsed="false">
      <c r="A252" s="206"/>
      <c r="B252" s="206"/>
      <c r="C252" s="206"/>
      <c r="D252" s="206"/>
      <c r="E252" s="209"/>
      <c r="F252" s="206"/>
    </row>
    <row r="253" customFormat="false" ht="14.25" hidden="false" customHeight="true" outlineLevel="0" collapsed="false">
      <c r="A253" s="206"/>
      <c r="B253" s="206"/>
      <c r="C253" s="206"/>
      <c r="D253" s="206"/>
      <c r="E253" s="209"/>
      <c r="F253" s="206"/>
    </row>
    <row r="254" customFormat="false" ht="14.25" hidden="false" customHeight="true" outlineLevel="0" collapsed="false">
      <c r="A254" s="206"/>
      <c r="B254" s="206"/>
      <c r="C254" s="206"/>
      <c r="D254" s="206"/>
      <c r="E254" s="209"/>
      <c r="F254" s="206"/>
    </row>
    <row r="255" customFormat="false" ht="14.25" hidden="false" customHeight="true" outlineLevel="0" collapsed="false">
      <c r="A255" s="206"/>
      <c r="B255" s="206"/>
      <c r="C255" s="206"/>
      <c r="D255" s="206"/>
      <c r="E255" s="209"/>
      <c r="F255" s="206"/>
    </row>
    <row r="256" customFormat="false" ht="14.25" hidden="false" customHeight="true" outlineLevel="0" collapsed="false">
      <c r="A256" s="206"/>
      <c r="B256" s="206"/>
      <c r="C256" s="206"/>
      <c r="D256" s="206"/>
      <c r="E256" s="209"/>
      <c r="F256" s="206"/>
    </row>
    <row r="257" customFormat="false" ht="14.25" hidden="false" customHeight="true" outlineLevel="0" collapsed="false">
      <c r="A257" s="206"/>
      <c r="B257" s="206"/>
      <c r="C257" s="206"/>
      <c r="D257" s="206"/>
      <c r="E257" s="209"/>
      <c r="F257" s="206"/>
    </row>
    <row r="258" customFormat="false" ht="14.25" hidden="false" customHeight="true" outlineLevel="0" collapsed="false">
      <c r="A258" s="206"/>
      <c r="B258" s="206"/>
      <c r="C258" s="206"/>
      <c r="D258" s="206"/>
      <c r="E258" s="209"/>
      <c r="F258" s="206"/>
    </row>
    <row r="259" customFormat="false" ht="14.25" hidden="false" customHeight="true" outlineLevel="0" collapsed="false">
      <c r="A259" s="206"/>
      <c r="B259" s="206"/>
      <c r="C259" s="206"/>
      <c r="D259" s="206"/>
      <c r="E259" s="209"/>
      <c r="F259" s="206"/>
    </row>
    <row r="260" customFormat="false" ht="14.25" hidden="false" customHeight="true" outlineLevel="0" collapsed="false">
      <c r="A260" s="206"/>
      <c r="B260" s="206"/>
      <c r="C260" s="206"/>
      <c r="D260" s="206"/>
      <c r="E260" s="209"/>
      <c r="F260" s="206"/>
    </row>
    <row r="261" customFormat="false" ht="14.25" hidden="false" customHeight="true" outlineLevel="0" collapsed="false">
      <c r="A261" s="206"/>
      <c r="B261" s="206"/>
      <c r="C261" s="206"/>
      <c r="D261" s="206"/>
      <c r="E261" s="209"/>
      <c r="F261" s="206"/>
    </row>
    <row r="262" customFormat="false" ht="14.25" hidden="false" customHeight="true" outlineLevel="0" collapsed="false">
      <c r="A262" s="206"/>
      <c r="B262" s="206"/>
      <c r="C262" s="206"/>
      <c r="D262" s="206"/>
      <c r="E262" s="209"/>
      <c r="F262" s="206"/>
    </row>
    <row r="263" customFormat="false" ht="14.25" hidden="false" customHeight="true" outlineLevel="0" collapsed="false">
      <c r="A263" s="206"/>
      <c r="B263" s="206"/>
      <c r="C263" s="206"/>
      <c r="D263" s="206"/>
      <c r="E263" s="209"/>
      <c r="F263" s="206"/>
    </row>
    <row r="264" customFormat="false" ht="14.25" hidden="false" customHeight="true" outlineLevel="0" collapsed="false">
      <c r="A264" s="206"/>
      <c r="B264" s="206"/>
      <c r="C264" s="206"/>
      <c r="D264" s="206"/>
      <c r="E264" s="209"/>
      <c r="F264" s="206"/>
    </row>
    <row r="265" customFormat="false" ht="14.25" hidden="false" customHeight="true" outlineLevel="0" collapsed="false">
      <c r="A265" s="206"/>
      <c r="B265" s="206"/>
      <c r="C265" s="206"/>
      <c r="D265" s="206"/>
      <c r="E265" s="209"/>
      <c r="F265" s="206"/>
    </row>
    <row r="266" customFormat="false" ht="14.25" hidden="false" customHeight="true" outlineLevel="0" collapsed="false">
      <c r="A266" s="206"/>
      <c r="B266" s="206"/>
      <c r="C266" s="206"/>
      <c r="D266" s="206"/>
      <c r="E266" s="209"/>
      <c r="F266" s="206"/>
    </row>
    <row r="267" customFormat="false" ht="14.25" hidden="false" customHeight="true" outlineLevel="0" collapsed="false">
      <c r="A267" s="206"/>
      <c r="B267" s="206"/>
      <c r="C267" s="206"/>
      <c r="D267" s="206"/>
      <c r="E267" s="209"/>
      <c r="F267" s="206"/>
    </row>
    <row r="268" customFormat="false" ht="14.25" hidden="false" customHeight="true" outlineLevel="0" collapsed="false">
      <c r="A268" s="206"/>
      <c r="B268" s="206"/>
      <c r="C268" s="206"/>
      <c r="D268" s="206"/>
      <c r="E268" s="209"/>
      <c r="F268" s="206"/>
    </row>
    <row r="269" customFormat="false" ht="14.25" hidden="false" customHeight="true" outlineLevel="0" collapsed="false">
      <c r="A269" s="206"/>
      <c r="B269" s="206"/>
      <c r="C269" s="206"/>
      <c r="D269" s="206"/>
      <c r="E269" s="209"/>
      <c r="F269" s="206"/>
    </row>
    <row r="270" customFormat="false" ht="14.25" hidden="false" customHeight="true" outlineLevel="0" collapsed="false">
      <c r="A270" s="206"/>
      <c r="B270" s="206"/>
      <c r="C270" s="206"/>
      <c r="D270" s="206"/>
      <c r="E270" s="209"/>
      <c r="F270" s="206"/>
    </row>
    <row r="271" customFormat="false" ht="14.25" hidden="false" customHeight="true" outlineLevel="0" collapsed="false">
      <c r="A271" s="206"/>
      <c r="B271" s="206"/>
      <c r="C271" s="206"/>
      <c r="D271" s="206"/>
      <c r="E271" s="209"/>
      <c r="F271" s="206"/>
    </row>
    <row r="272" customFormat="false" ht="14.25" hidden="false" customHeight="true" outlineLevel="0" collapsed="false">
      <c r="A272" s="206"/>
      <c r="B272" s="206"/>
      <c r="C272" s="206"/>
      <c r="D272" s="206"/>
      <c r="E272" s="209"/>
      <c r="F272" s="206"/>
    </row>
    <row r="273" customFormat="false" ht="14.25" hidden="false" customHeight="true" outlineLevel="0" collapsed="false">
      <c r="A273" s="206"/>
      <c r="B273" s="206"/>
      <c r="C273" s="206"/>
      <c r="D273" s="206"/>
      <c r="E273" s="209"/>
      <c r="F273" s="206"/>
    </row>
    <row r="274" customFormat="false" ht="14.25" hidden="false" customHeight="true" outlineLevel="0" collapsed="false">
      <c r="A274" s="206"/>
      <c r="B274" s="206"/>
      <c r="C274" s="206"/>
      <c r="D274" s="206"/>
      <c r="E274" s="209"/>
      <c r="F274" s="206"/>
    </row>
    <row r="275" customFormat="false" ht="14.25" hidden="false" customHeight="true" outlineLevel="0" collapsed="false">
      <c r="A275" s="206"/>
      <c r="B275" s="206"/>
      <c r="C275" s="206"/>
      <c r="D275" s="206"/>
      <c r="E275" s="209"/>
      <c r="F275" s="206"/>
    </row>
    <row r="276" customFormat="false" ht="14.25" hidden="false" customHeight="true" outlineLevel="0" collapsed="false">
      <c r="A276" s="206"/>
      <c r="B276" s="206"/>
      <c r="C276" s="206"/>
      <c r="D276" s="206"/>
      <c r="E276" s="209"/>
      <c r="F276" s="206"/>
    </row>
    <row r="277" customFormat="false" ht="14.25" hidden="false" customHeight="true" outlineLevel="0" collapsed="false">
      <c r="A277" s="206"/>
      <c r="B277" s="206"/>
      <c r="C277" s="206"/>
      <c r="D277" s="206"/>
      <c r="E277" s="209"/>
      <c r="F277" s="206"/>
    </row>
    <row r="278" customFormat="false" ht="14.25" hidden="false" customHeight="true" outlineLevel="0" collapsed="false">
      <c r="A278" s="206"/>
      <c r="B278" s="206"/>
      <c r="C278" s="206"/>
      <c r="D278" s="206"/>
      <c r="E278" s="209"/>
      <c r="F278" s="206"/>
    </row>
    <row r="279" customFormat="false" ht="14.25" hidden="false" customHeight="true" outlineLevel="0" collapsed="false">
      <c r="A279" s="206"/>
      <c r="B279" s="206"/>
      <c r="C279" s="206"/>
      <c r="D279" s="206"/>
      <c r="E279" s="209"/>
      <c r="F279" s="206"/>
    </row>
    <row r="280" customFormat="false" ht="14.25" hidden="false" customHeight="true" outlineLevel="0" collapsed="false">
      <c r="A280" s="206"/>
      <c r="B280" s="206"/>
      <c r="C280" s="206"/>
      <c r="D280" s="206"/>
      <c r="E280" s="209"/>
      <c r="F280" s="206"/>
    </row>
    <row r="281" customFormat="false" ht="14.25" hidden="false" customHeight="true" outlineLevel="0" collapsed="false">
      <c r="A281" s="206"/>
      <c r="B281" s="206"/>
      <c r="C281" s="206"/>
      <c r="D281" s="206"/>
      <c r="E281" s="209"/>
      <c r="F281" s="206"/>
    </row>
    <row r="282" customFormat="false" ht="14.25" hidden="false" customHeight="true" outlineLevel="0" collapsed="false">
      <c r="A282" s="206"/>
      <c r="B282" s="206"/>
      <c r="C282" s="206"/>
      <c r="D282" s="206"/>
      <c r="E282" s="209"/>
      <c r="F282" s="206"/>
    </row>
    <row r="283" customFormat="false" ht="14.25" hidden="false" customHeight="true" outlineLevel="0" collapsed="false">
      <c r="A283" s="206"/>
      <c r="B283" s="206"/>
      <c r="C283" s="206"/>
      <c r="D283" s="206"/>
      <c r="E283" s="209"/>
      <c r="F283" s="206"/>
    </row>
    <row r="284" customFormat="false" ht="14.25" hidden="false" customHeight="true" outlineLevel="0" collapsed="false">
      <c r="A284" s="206"/>
      <c r="B284" s="206"/>
      <c r="C284" s="206"/>
      <c r="D284" s="206"/>
      <c r="E284" s="209"/>
      <c r="F284" s="206"/>
    </row>
    <row r="285" customFormat="false" ht="14.25" hidden="false" customHeight="true" outlineLevel="0" collapsed="false">
      <c r="A285" s="206"/>
      <c r="B285" s="206"/>
      <c r="C285" s="206"/>
      <c r="D285" s="206"/>
      <c r="E285" s="209"/>
      <c r="F285" s="206"/>
    </row>
    <row r="286" customFormat="false" ht="14.25" hidden="false" customHeight="true" outlineLevel="0" collapsed="false">
      <c r="A286" s="206"/>
      <c r="B286" s="206"/>
      <c r="C286" s="206"/>
      <c r="D286" s="206"/>
      <c r="E286" s="209"/>
      <c r="F286" s="206"/>
    </row>
    <row r="287" customFormat="false" ht="14.25" hidden="false" customHeight="true" outlineLevel="0" collapsed="false">
      <c r="A287" s="206"/>
      <c r="B287" s="206"/>
      <c r="C287" s="206"/>
      <c r="D287" s="206"/>
      <c r="E287" s="209"/>
      <c r="F287" s="206"/>
    </row>
    <row r="288" customFormat="false" ht="14.25" hidden="false" customHeight="true" outlineLevel="0" collapsed="false">
      <c r="A288" s="206"/>
      <c r="B288" s="206"/>
      <c r="C288" s="206"/>
      <c r="D288" s="206"/>
      <c r="E288" s="209"/>
      <c r="F288" s="206"/>
    </row>
    <row r="289" customFormat="false" ht="14.25" hidden="false" customHeight="true" outlineLevel="0" collapsed="false">
      <c r="A289" s="206"/>
      <c r="B289" s="206"/>
      <c r="C289" s="206"/>
      <c r="D289" s="206"/>
      <c r="E289" s="209"/>
      <c r="F289" s="206"/>
    </row>
    <row r="290" customFormat="false" ht="14.25" hidden="false" customHeight="true" outlineLevel="0" collapsed="false">
      <c r="A290" s="206"/>
      <c r="B290" s="206"/>
      <c r="C290" s="206"/>
      <c r="D290" s="206"/>
      <c r="E290" s="209"/>
      <c r="F290" s="206"/>
    </row>
    <row r="291" customFormat="false" ht="14.25" hidden="false" customHeight="true" outlineLevel="0" collapsed="false">
      <c r="A291" s="206"/>
      <c r="B291" s="206"/>
      <c r="C291" s="206"/>
      <c r="D291" s="206"/>
      <c r="E291" s="209"/>
      <c r="F291" s="206"/>
    </row>
    <row r="292" customFormat="false" ht="14.25" hidden="false" customHeight="true" outlineLevel="0" collapsed="false">
      <c r="A292" s="206"/>
      <c r="B292" s="206"/>
      <c r="C292" s="206"/>
      <c r="D292" s="206"/>
      <c r="E292" s="209"/>
      <c r="F292" s="206"/>
    </row>
    <row r="293" customFormat="false" ht="14.25" hidden="false" customHeight="true" outlineLevel="0" collapsed="false">
      <c r="A293" s="206"/>
      <c r="B293" s="206"/>
      <c r="C293" s="206"/>
      <c r="D293" s="206"/>
      <c r="E293" s="209"/>
      <c r="F293" s="206"/>
    </row>
    <row r="294" customFormat="false" ht="14.25" hidden="false" customHeight="true" outlineLevel="0" collapsed="false">
      <c r="A294" s="206"/>
      <c r="B294" s="206"/>
      <c r="C294" s="206"/>
      <c r="D294" s="206"/>
      <c r="E294" s="209"/>
      <c r="F294" s="206"/>
    </row>
    <row r="295" customFormat="false" ht="14.25" hidden="false" customHeight="true" outlineLevel="0" collapsed="false">
      <c r="A295" s="206"/>
      <c r="B295" s="206"/>
      <c r="C295" s="206"/>
      <c r="D295" s="206"/>
      <c r="E295" s="209"/>
      <c r="F295" s="206"/>
    </row>
    <row r="296" customFormat="false" ht="14.25" hidden="false" customHeight="true" outlineLevel="0" collapsed="false">
      <c r="A296" s="206"/>
      <c r="B296" s="206"/>
      <c r="C296" s="206"/>
      <c r="D296" s="206"/>
      <c r="E296" s="209"/>
      <c r="F296" s="206"/>
    </row>
    <row r="297" customFormat="false" ht="14.25" hidden="false" customHeight="true" outlineLevel="0" collapsed="false">
      <c r="A297" s="206"/>
      <c r="B297" s="206"/>
      <c r="C297" s="206"/>
      <c r="D297" s="206"/>
      <c r="E297" s="209"/>
      <c r="F297" s="206"/>
    </row>
    <row r="298" customFormat="false" ht="14.25" hidden="false" customHeight="true" outlineLevel="0" collapsed="false">
      <c r="A298" s="206"/>
      <c r="B298" s="206"/>
      <c r="C298" s="206"/>
      <c r="D298" s="206"/>
      <c r="E298" s="209"/>
      <c r="F298" s="206"/>
    </row>
    <row r="299" customFormat="false" ht="14.25" hidden="false" customHeight="true" outlineLevel="0" collapsed="false">
      <c r="A299" s="206"/>
      <c r="B299" s="206"/>
      <c r="C299" s="206"/>
      <c r="D299" s="206"/>
      <c r="E299" s="209"/>
      <c r="F299" s="206"/>
    </row>
    <row r="300" customFormat="false" ht="14.25" hidden="false" customHeight="true" outlineLevel="0" collapsed="false">
      <c r="A300" s="206"/>
      <c r="B300" s="206"/>
      <c r="C300" s="206"/>
      <c r="D300" s="206"/>
      <c r="E300" s="209"/>
      <c r="F300" s="206"/>
    </row>
    <row r="301" customFormat="false" ht="14.25" hidden="false" customHeight="true" outlineLevel="0" collapsed="false">
      <c r="A301" s="206"/>
      <c r="B301" s="206"/>
      <c r="C301" s="206"/>
      <c r="D301" s="206"/>
      <c r="E301" s="209"/>
      <c r="F301" s="206"/>
    </row>
    <row r="302" customFormat="false" ht="14.25" hidden="false" customHeight="true" outlineLevel="0" collapsed="false">
      <c r="A302" s="206"/>
      <c r="B302" s="206"/>
      <c r="C302" s="206"/>
      <c r="D302" s="206"/>
      <c r="E302" s="209"/>
      <c r="F302" s="206"/>
    </row>
    <row r="303" customFormat="false" ht="14.25" hidden="false" customHeight="true" outlineLevel="0" collapsed="false">
      <c r="A303" s="206"/>
      <c r="B303" s="206"/>
      <c r="C303" s="206"/>
      <c r="D303" s="206"/>
      <c r="E303" s="209"/>
      <c r="F303" s="206"/>
    </row>
    <row r="304" customFormat="false" ht="14.25" hidden="false" customHeight="true" outlineLevel="0" collapsed="false">
      <c r="A304" s="206"/>
      <c r="B304" s="206"/>
      <c r="C304" s="206"/>
      <c r="D304" s="206"/>
      <c r="E304" s="209"/>
      <c r="F304" s="206"/>
    </row>
    <row r="305" customFormat="false" ht="14.25" hidden="false" customHeight="true" outlineLevel="0" collapsed="false">
      <c r="A305" s="206"/>
      <c r="B305" s="206"/>
      <c r="C305" s="206"/>
      <c r="D305" s="206"/>
      <c r="E305" s="209"/>
      <c r="F305" s="206"/>
    </row>
  </sheetData>
  <mergeCells count="1">
    <mergeCell ref="A1:F1"/>
  </mergeCells>
  <conditionalFormatting sqref="C5:C14">
    <cfRule type="cellIs" priority="2" operator="equal" aboveAverage="0" equalAverage="0" bottom="0" percent="0" rank="0" text="" dxfId="21">
      <formula>"Y"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8"/>
  <sheetViews>
    <sheetView showFormulas="false" showGridLines="false" showRowColHeaders="true" showZeros="true" rightToLeft="false" tabSelected="false" showOutlineSymbols="true" defaultGridColor="true" view="normal" topLeftCell="A71" colorId="64" zoomScale="100" zoomScaleNormal="100" zoomScalePageLayoutView="100" workbookViewId="0">
      <selection pane="topLeft" activeCell="A1" activeCellId="0" sqref="A1"/>
    </sheetView>
  </sheetViews>
  <sheetFormatPr defaultColWidth="8.66796875" defaultRowHeight="14.2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5" min="5" style="1" width="1"/>
  </cols>
  <sheetData>
    <row r="1" customFormat="false" ht="15" hidden="false" customHeight="true" outlineLevel="0" collapsed="false">
      <c r="A1" s="210" t="s">
        <v>749</v>
      </c>
      <c r="B1" s="210"/>
      <c r="C1" s="210"/>
      <c r="D1" s="210"/>
      <c r="E1" s="210"/>
      <c r="F1" s="210"/>
    </row>
    <row r="2" customFormat="false" ht="15" hidden="false" customHeight="true" outlineLevel="0" collapsed="false">
      <c r="A2" s="211" t="s">
        <v>750</v>
      </c>
      <c r="B2" s="211"/>
      <c r="C2" s="211"/>
      <c r="D2" s="211"/>
      <c r="E2" s="211"/>
      <c r="F2" s="211"/>
    </row>
    <row r="4" customFormat="false" ht="15" hidden="false" customHeight="true" outlineLevel="0" collapsed="false">
      <c r="A4" s="212" t="s">
        <v>751</v>
      </c>
      <c r="B4" s="212"/>
      <c r="C4" s="212"/>
      <c r="D4" s="212"/>
      <c r="E4" s="212"/>
      <c r="F4" s="212"/>
    </row>
    <row r="5" customFormat="false" ht="15" hidden="false" customHeight="true" outlineLevel="0" collapsed="false">
      <c r="A5" s="213" t="s">
        <v>752</v>
      </c>
      <c r="B5" s="213" t="s">
        <v>753</v>
      </c>
      <c r="C5" s="213" t="s">
        <v>754</v>
      </c>
      <c r="D5" s="213" t="s">
        <v>755</v>
      </c>
    </row>
    <row r="6" customFormat="false" ht="15" hidden="false" customHeight="true" outlineLevel="0" collapsed="false">
      <c r="A6" s="214" t="s">
        <v>756</v>
      </c>
      <c r="B6" s="214" t="s">
        <v>757</v>
      </c>
      <c r="C6" s="214" t="s">
        <v>757</v>
      </c>
      <c r="D6" s="215" t="s">
        <v>758</v>
      </c>
      <c r="E6" s="215"/>
      <c r="F6" s="215"/>
    </row>
    <row r="8" customFormat="false" ht="15" hidden="false" customHeight="true" outlineLevel="0" collapsed="false">
      <c r="A8" s="212" t="s">
        <v>759</v>
      </c>
      <c r="B8" s="212"/>
      <c r="C8" s="212"/>
      <c r="D8" s="212"/>
      <c r="E8" s="212"/>
      <c r="F8" s="212"/>
    </row>
    <row r="9" customFormat="false" ht="15" hidden="false" customHeight="true" outlineLevel="0" collapsed="false">
      <c r="A9" s="213" t="s">
        <v>752</v>
      </c>
      <c r="B9" s="213" t="s">
        <v>753</v>
      </c>
      <c r="C9" s="213" t="s">
        <v>754</v>
      </c>
      <c r="D9" s="213" t="s">
        <v>755</v>
      </c>
    </row>
    <row r="10" customFormat="false" ht="27.75" hidden="false" customHeight="true" outlineLevel="0" collapsed="false">
      <c r="A10" s="214" t="s">
        <v>760</v>
      </c>
      <c r="B10" s="214" t="s">
        <v>757</v>
      </c>
      <c r="C10" s="214" t="s">
        <v>761</v>
      </c>
      <c r="D10" s="215" t="s">
        <v>762</v>
      </c>
      <c r="E10" s="215"/>
      <c r="F10" s="215"/>
    </row>
    <row r="12" customFormat="false" ht="15" hidden="false" customHeight="true" outlineLevel="0" collapsed="false">
      <c r="A12" s="212" t="s">
        <v>763</v>
      </c>
      <c r="B12" s="212"/>
      <c r="C12" s="212"/>
      <c r="D12" s="212"/>
      <c r="E12" s="212"/>
      <c r="F12" s="212"/>
    </row>
    <row r="13" customFormat="false" ht="15" hidden="false" customHeight="true" outlineLevel="0" collapsed="false">
      <c r="A13" s="213" t="s">
        <v>752</v>
      </c>
      <c r="B13" s="213" t="s">
        <v>753</v>
      </c>
      <c r="C13" s="213" t="s">
        <v>754</v>
      </c>
      <c r="D13" s="213" t="s">
        <v>755</v>
      </c>
    </row>
    <row r="14" customFormat="false" ht="369" hidden="false" customHeight="true" outlineLevel="0" collapsed="false">
      <c r="A14" s="214" t="s">
        <v>764</v>
      </c>
      <c r="B14" s="214" t="s">
        <v>765</v>
      </c>
      <c r="C14" s="214" t="s">
        <v>766</v>
      </c>
      <c r="D14" s="215" t="s">
        <v>767</v>
      </c>
      <c r="E14" s="215"/>
      <c r="F14" s="215"/>
    </row>
    <row r="16" customFormat="false" ht="15" hidden="false" customHeight="true" outlineLevel="0" collapsed="false">
      <c r="A16" s="212" t="s">
        <v>768</v>
      </c>
      <c r="B16" s="212"/>
      <c r="C16" s="212"/>
      <c r="D16" s="212"/>
      <c r="E16" s="212"/>
      <c r="F16" s="212"/>
    </row>
    <row r="17" customFormat="false" ht="15" hidden="false" customHeight="true" outlineLevel="0" collapsed="false">
      <c r="A17" s="213" t="s">
        <v>752</v>
      </c>
      <c r="B17" s="213" t="s">
        <v>753</v>
      </c>
      <c r="C17" s="213" t="s">
        <v>754</v>
      </c>
      <c r="D17" s="213" t="s">
        <v>755</v>
      </c>
    </row>
    <row r="18" customFormat="false" ht="45.75" hidden="false" customHeight="true" outlineLevel="0" collapsed="false">
      <c r="A18" s="214" t="s">
        <v>764</v>
      </c>
      <c r="B18" s="214" t="s">
        <v>769</v>
      </c>
      <c r="C18" s="214" t="s">
        <v>770</v>
      </c>
      <c r="D18" s="215" t="s">
        <v>771</v>
      </c>
      <c r="E18" s="215"/>
      <c r="F18" s="215"/>
    </row>
    <row r="20" customFormat="false" ht="15" hidden="false" customHeight="true" outlineLevel="0" collapsed="false">
      <c r="A20" s="212" t="s">
        <v>772</v>
      </c>
      <c r="B20" s="212"/>
      <c r="C20" s="212"/>
      <c r="D20" s="212"/>
      <c r="E20" s="212"/>
      <c r="F20" s="212"/>
    </row>
    <row r="21" customFormat="false" ht="15" hidden="false" customHeight="true" outlineLevel="0" collapsed="false">
      <c r="A21" s="213" t="s">
        <v>752</v>
      </c>
      <c r="B21" s="213" t="s">
        <v>753</v>
      </c>
      <c r="C21" s="213" t="s">
        <v>754</v>
      </c>
      <c r="D21" s="213" t="s">
        <v>755</v>
      </c>
    </row>
    <row r="22" customFormat="false" ht="351" hidden="false" customHeight="true" outlineLevel="0" collapsed="false">
      <c r="A22" s="214" t="s">
        <v>773</v>
      </c>
      <c r="B22" s="214" t="s">
        <v>757</v>
      </c>
      <c r="C22" s="214" t="s">
        <v>774</v>
      </c>
      <c r="D22" s="215" t="s">
        <v>775</v>
      </c>
      <c r="E22" s="215"/>
      <c r="F22" s="215"/>
    </row>
    <row r="24" customFormat="false" ht="15" hidden="false" customHeight="true" outlineLevel="0" collapsed="false">
      <c r="A24" s="212" t="s">
        <v>776</v>
      </c>
      <c r="B24" s="212"/>
      <c r="C24" s="212"/>
      <c r="D24" s="212"/>
      <c r="E24" s="212"/>
      <c r="F24" s="212"/>
    </row>
    <row r="25" customFormat="false" ht="15" hidden="false" customHeight="true" outlineLevel="0" collapsed="false">
      <c r="A25" s="213" t="s">
        <v>752</v>
      </c>
      <c r="B25" s="213" t="s">
        <v>753</v>
      </c>
      <c r="C25" s="213" t="s">
        <v>754</v>
      </c>
      <c r="D25" s="213" t="s">
        <v>755</v>
      </c>
    </row>
    <row r="26" customFormat="false" ht="54.75" hidden="false" customHeight="true" outlineLevel="0" collapsed="false">
      <c r="A26" s="214" t="s">
        <v>764</v>
      </c>
      <c r="B26" s="214" t="s">
        <v>777</v>
      </c>
      <c r="C26" s="214" t="s">
        <v>778</v>
      </c>
      <c r="D26" s="215" t="s">
        <v>779</v>
      </c>
      <c r="E26" s="215"/>
      <c r="F26" s="215"/>
    </row>
    <row r="28" customFormat="false" ht="15" hidden="false" customHeight="true" outlineLevel="0" collapsed="false">
      <c r="A28" s="212" t="s">
        <v>780</v>
      </c>
      <c r="B28" s="212"/>
      <c r="C28" s="212"/>
      <c r="D28" s="212"/>
      <c r="E28" s="212"/>
      <c r="F28" s="212"/>
    </row>
    <row r="29" customFormat="false" ht="15" hidden="false" customHeight="true" outlineLevel="0" collapsed="false">
      <c r="A29" s="213" t="s">
        <v>752</v>
      </c>
      <c r="B29" s="213" t="s">
        <v>753</v>
      </c>
      <c r="C29" s="213" t="s">
        <v>754</v>
      </c>
      <c r="D29" s="213" t="s">
        <v>755</v>
      </c>
    </row>
    <row r="30" customFormat="false" ht="144.75" hidden="false" customHeight="true" outlineLevel="0" collapsed="false">
      <c r="A30" s="214" t="s">
        <v>781</v>
      </c>
      <c r="B30" s="214" t="s">
        <v>782</v>
      </c>
      <c r="C30" s="214" t="s">
        <v>783</v>
      </c>
      <c r="D30" s="215" t="s">
        <v>784</v>
      </c>
      <c r="E30" s="215"/>
      <c r="F30" s="215"/>
    </row>
    <row r="32" customFormat="false" ht="15" hidden="false" customHeight="true" outlineLevel="0" collapsed="false">
      <c r="A32" s="212" t="s">
        <v>785</v>
      </c>
      <c r="B32" s="212"/>
      <c r="C32" s="212"/>
      <c r="D32" s="212"/>
      <c r="E32" s="212"/>
      <c r="F32" s="212"/>
    </row>
    <row r="33" customFormat="false" ht="15" hidden="false" customHeight="true" outlineLevel="0" collapsed="false">
      <c r="A33" s="213" t="s">
        <v>752</v>
      </c>
      <c r="B33" s="213" t="s">
        <v>753</v>
      </c>
      <c r="C33" s="213" t="s">
        <v>754</v>
      </c>
      <c r="D33" s="213" t="s">
        <v>755</v>
      </c>
    </row>
    <row r="34" customFormat="false" ht="99.75" hidden="false" customHeight="true" outlineLevel="0" collapsed="false">
      <c r="A34" s="214" t="s">
        <v>764</v>
      </c>
      <c r="B34" s="214" t="s">
        <v>786</v>
      </c>
      <c r="C34" s="214" t="s">
        <v>787</v>
      </c>
      <c r="D34" s="215" t="s">
        <v>788</v>
      </c>
      <c r="E34" s="215"/>
      <c r="F34" s="215"/>
    </row>
    <row r="36" customFormat="false" ht="15" hidden="false" customHeight="true" outlineLevel="0" collapsed="false">
      <c r="A36" s="212" t="s">
        <v>789</v>
      </c>
      <c r="B36" s="212"/>
      <c r="C36" s="212"/>
      <c r="D36" s="212"/>
      <c r="E36" s="212"/>
      <c r="F36" s="212"/>
    </row>
    <row r="37" customFormat="false" ht="15" hidden="false" customHeight="true" outlineLevel="0" collapsed="false">
      <c r="A37" s="213" t="s">
        <v>752</v>
      </c>
      <c r="B37" s="213" t="s">
        <v>753</v>
      </c>
      <c r="C37" s="213" t="s">
        <v>754</v>
      </c>
      <c r="D37" s="213" t="s">
        <v>755</v>
      </c>
    </row>
    <row r="38" customFormat="false" ht="162" hidden="false" customHeight="true" outlineLevel="0" collapsed="false">
      <c r="A38" s="214" t="s">
        <v>773</v>
      </c>
      <c r="B38" s="214" t="s">
        <v>757</v>
      </c>
      <c r="C38" s="214" t="s">
        <v>790</v>
      </c>
      <c r="D38" s="215" t="s">
        <v>791</v>
      </c>
      <c r="E38" s="215"/>
      <c r="F38" s="215"/>
    </row>
    <row r="40" customFormat="false" ht="15" hidden="false" customHeight="true" outlineLevel="0" collapsed="false">
      <c r="A40" s="212" t="s">
        <v>792</v>
      </c>
      <c r="B40" s="212"/>
      <c r="C40" s="212"/>
      <c r="D40" s="212"/>
      <c r="E40" s="212"/>
      <c r="F40" s="212"/>
    </row>
    <row r="41" customFormat="false" ht="15" hidden="false" customHeight="true" outlineLevel="0" collapsed="false">
      <c r="A41" s="213" t="s">
        <v>752</v>
      </c>
      <c r="B41" s="213" t="s">
        <v>753</v>
      </c>
      <c r="C41" s="213" t="s">
        <v>754</v>
      </c>
      <c r="D41" s="213" t="s">
        <v>755</v>
      </c>
    </row>
    <row r="42" customFormat="false" ht="90.75" hidden="false" customHeight="true" outlineLevel="0" collapsed="false">
      <c r="A42" s="214" t="s">
        <v>793</v>
      </c>
      <c r="B42" s="214" t="s">
        <v>757</v>
      </c>
      <c r="C42" s="214" t="s">
        <v>794</v>
      </c>
      <c r="D42" s="215" t="s">
        <v>795</v>
      </c>
      <c r="E42" s="215"/>
      <c r="F42" s="215"/>
    </row>
    <row r="44" customFormat="false" ht="15" hidden="false" customHeight="true" outlineLevel="0" collapsed="false">
      <c r="A44" s="212" t="s">
        <v>796</v>
      </c>
      <c r="B44" s="212"/>
      <c r="C44" s="212"/>
      <c r="D44" s="212"/>
      <c r="E44" s="212"/>
      <c r="F44" s="212"/>
    </row>
    <row r="45" customFormat="false" ht="15" hidden="false" customHeight="true" outlineLevel="0" collapsed="false">
      <c r="A45" s="213" t="s">
        <v>752</v>
      </c>
      <c r="B45" s="213" t="s">
        <v>753</v>
      </c>
      <c r="C45" s="213" t="s">
        <v>754</v>
      </c>
      <c r="D45" s="213" t="s">
        <v>755</v>
      </c>
    </row>
    <row r="46" customFormat="false" ht="90.75" hidden="false" customHeight="true" outlineLevel="0" collapsed="false">
      <c r="A46" s="214" t="s">
        <v>797</v>
      </c>
      <c r="B46" s="214" t="s">
        <v>757</v>
      </c>
      <c r="C46" s="214" t="s">
        <v>798</v>
      </c>
      <c r="D46" s="215" t="s">
        <v>799</v>
      </c>
      <c r="E46" s="215"/>
      <c r="F46" s="215"/>
    </row>
    <row r="48" customFormat="false" ht="15" hidden="false" customHeight="true" outlineLevel="0" collapsed="false">
      <c r="A48" s="212" t="s">
        <v>800</v>
      </c>
      <c r="B48" s="212"/>
      <c r="C48" s="212"/>
      <c r="D48" s="212"/>
      <c r="E48" s="212"/>
      <c r="F48" s="212"/>
    </row>
    <row r="49" customFormat="false" ht="15" hidden="false" customHeight="true" outlineLevel="0" collapsed="false">
      <c r="A49" s="213" t="s">
        <v>752</v>
      </c>
      <c r="B49" s="213" t="s">
        <v>753</v>
      </c>
      <c r="C49" s="213" t="s">
        <v>754</v>
      </c>
      <c r="D49" s="213" t="s">
        <v>755</v>
      </c>
    </row>
    <row r="50" customFormat="false" ht="81.75" hidden="false" customHeight="true" outlineLevel="0" collapsed="false">
      <c r="A50" s="214" t="s">
        <v>764</v>
      </c>
      <c r="B50" s="214" t="s">
        <v>801</v>
      </c>
      <c r="C50" s="214" t="s">
        <v>802</v>
      </c>
      <c r="D50" s="215" t="s">
        <v>803</v>
      </c>
      <c r="E50" s="215"/>
      <c r="F50" s="215"/>
    </row>
    <row r="52" customFormat="false" ht="15" hidden="false" customHeight="true" outlineLevel="0" collapsed="false">
      <c r="A52" s="212" t="s">
        <v>804</v>
      </c>
      <c r="B52" s="212"/>
      <c r="C52" s="212"/>
      <c r="D52" s="212"/>
      <c r="E52" s="212"/>
      <c r="F52" s="212"/>
    </row>
    <row r="53" customFormat="false" ht="15" hidden="false" customHeight="true" outlineLevel="0" collapsed="false">
      <c r="A53" s="213" t="s">
        <v>752</v>
      </c>
      <c r="B53" s="213" t="s">
        <v>753</v>
      </c>
      <c r="C53" s="213" t="s">
        <v>754</v>
      </c>
      <c r="D53" s="213" t="s">
        <v>755</v>
      </c>
    </row>
    <row r="54" customFormat="false" ht="27.75" hidden="false" customHeight="true" outlineLevel="0" collapsed="false">
      <c r="A54" s="214" t="s">
        <v>764</v>
      </c>
      <c r="B54" s="214" t="s">
        <v>805</v>
      </c>
      <c r="C54" s="214" t="s">
        <v>806</v>
      </c>
      <c r="D54" s="215" t="s">
        <v>807</v>
      </c>
      <c r="E54" s="215"/>
      <c r="F54" s="215"/>
    </row>
    <row r="56" customFormat="false" ht="15" hidden="false" customHeight="true" outlineLevel="0" collapsed="false">
      <c r="A56" s="212" t="s">
        <v>808</v>
      </c>
      <c r="B56" s="212"/>
      <c r="C56" s="212"/>
      <c r="D56" s="212"/>
      <c r="E56" s="212"/>
      <c r="F56" s="212"/>
    </row>
    <row r="57" customFormat="false" ht="15" hidden="false" customHeight="true" outlineLevel="0" collapsed="false">
      <c r="A57" s="213" t="s">
        <v>752</v>
      </c>
      <c r="B57" s="213" t="s">
        <v>753</v>
      </c>
      <c r="C57" s="213" t="s">
        <v>754</v>
      </c>
      <c r="D57" s="213" t="s">
        <v>755</v>
      </c>
    </row>
    <row r="58" customFormat="false" ht="333" hidden="false" customHeight="true" outlineLevel="0" collapsed="false">
      <c r="A58" s="214" t="s">
        <v>781</v>
      </c>
      <c r="B58" s="214" t="s">
        <v>809</v>
      </c>
      <c r="C58" s="214" t="s">
        <v>810</v>
      </c>
      <c r="D58" s="215" t="s">
        <v>811</v>
      </c>
      <c r="E58" s="215"/>
      <c r="F58" s="215"/>
    </row>
    <row r="60" customFormat="false" ht="15" hidden="false" customHeight="true" outlineLevel="0" collapsed="false">
      <c r="A60" s="212" t="s">
        <v>812</v>
      </c>
      <c r="B60" s="212"/>
      <c r="C60" s="212"/>
      <c r="D60" s="212"/>
      <c r="E60" s="212"/>
      <c r="F60" s="212"/>
    </row>
    <row r="61" customFormat="false" ht="15" hidden="false" customHeight="true" outlineLevel="0" collapsed="false">
      <c r="A61" s="213" t="s">
        <v>752</v>
      </c>
      <c r="B61" s="213" t="s">
        <v>753</v>
      </c>
      <c r="C61" s="213" t="s">
        <v>754</v>
      </c>
      <c r="D61" s="213" t="s">
        <v>755</v>
      </c>
    </row>
    <row r="62" customFormat="false" ht="409.5" hidden="false" customHeight="true" outlineLevel="0" collapsed="false">
      <c r="A62" s="214" t="s">
        <v>781</v>
      </c>
      <c r="B62" s="214" t="s">
        <v>813</v>
      </c>
      <c r="C62" s="214" t="s">
        <v>814</v>
      </c>
      <c r="D62" s="215" t="s">
        <v>815</v>
      </c>
      <c r="E62" s="215"/>
      <c r="F62" s="215"/>
    </row>
    <row r="64" customFormat="false" ht="15" hidden="false" customHeight="true" outlineLevel="0" collapsed="false">
      <c r="A64" s="212" t="s">
        <v>816</v>
      </c>
      <c r="B64" s="212"/>
      <c r="C64" s="212"/>
      <c r="D64" s="212"/>
      <c r="E64" s="212"/>
      <c r="F64" s="212"/>
    </row>
    <row r="65" customFormat="false" ht="15" hidden="false" customHeight="true" outlineLevel="0" collapsed="false">
      <c r="A65" s="213" t="s">
        <v>752</v>
      </c>
      <c r="B65" s="213" t="s">
        <v>753</v>
      </c>
      <c r="C65" s="213" t="s">
        <v>754</v>
      </c>
      <c r="D65" s="213" t="s">
        <v>755</v>
      </c>
    </row>
    <row r="66" customFormat="false" ht="45.75" hidden="false" customHeight="true" outlineLevel="0" collapsed="false">
      <c r="A66" s="214" t="s">
        <v>764</v>
      </c>
      <c r="B66" s="214" t="s">
        <v>817</v>
      </c>
      <c r="C66" s="214" t="s">
        <v>818</v>
      </c>
      <c r="D66" s="215" t="s">
        <v>819</v>
      </c>
      <c r="E66" s="215"/>
      <c r="F66" s="215"/>
    </row>
    <row r="68" customFormat="false" ht="15" hidden="false" customHeight="true" outlineLevel="0" collapsed="false">
      <c r="A68" s="212" t="s">
        <v>820</v>
      </c>
      <c r="B68" s="212"/>
      <c r="C68" s="212"/>
      <c r="D68" s="212"/>
      <c r="E68" s="212"/>
      <c r="F68" s="212"/>
    </row>
    <row r="69" customFormat="false" ht="15" hidden="false" customHeight="true" outlineLevel="0" collapsed="false">
      <c r="A69" s="213" t="s">
        <v>752</v>
      </c>
      <c r="B69" s="213" t="s">
        <v>753</v>
      </c>
      <c r="C69" s="213" t="s">
        <v>754</v>
      </c>
      <c r="D69" s="213" t="s">
        <v>755</v>
      </c>
    </row>
    <row r="70" customFormat="false" ht="15" hidden="false" customHeight="true" outlineLevel="0" collapsed="false">
      <c r="A70" s="214" t="s">
        <v>764</v>
      </c>
      <c r="B70" s="214" t="s">
        <v>821</v>
      </c>
      <c r="C70" s="214" t="s">
        <v>822</v>
      </c>
      <c r="D70" s="215" t="s">
        <v>823</v>
      </c>
      <c r="E70" s="215"/>
      <c r="F70" s="215"/>
    </row>
    <row r="72" customFormat="false" ht="15" hidden="false" customHeight="true" outlineLevel="0" collapsed="false">
      <c r="A72" s="212" t="s">
        <v>824</v>
      </c>
      <c r="B72" s="212"/>
      <c r="C72" s="212"/>
      <c r="D72" s="212"/>
      <c r="E72" s="212"/>
      <c r="F72" s="212"/>
    </row>
    <row r="73" customFormat="false" ht="15" hidden="false" customHeight="true" outlineLevel="0" collapsed="false">
      <c r="A73" s="213" t="s">
        <v>752</v>
      </c>
      <c r="B73" s="213" t="s">
        <v>753</v>
      </c>
      <c r="C73" s="213" t="s">
        <v>754</v>
      </c>
      <c r="D73" s="213" t="s">
        <v>755</v>
      </c>
    </row>
    <row r="74" customFormat="false" ht="117.75" hidden="false" customHeight="true" outlineLevel="0" collapsed="false">
      <c r="A74" s="214" t="s">
        <v>764</v>
      </c>
      <c r="B74" s="214" t="s">
        <v>825</v>
      </c>
      <c r="C74" s="214" t="s">
        <v>826</v>
      </c>
      <c r="D74" s="215" t="s">
        <v>827</v>
      </c>
      <c r="E74" s="215"/>
      <c r="F74" s="215"/>
    </row>
    <row r="76" customFormat="false" ht="15" hidden="false" customHeight="true" outlineLevel="0" collapsed="false">
      <c r="A76" s="212" t="s">
        <v>828</v>
      </c>
      <c r="B76" s="212"/>
      <c r="C76" s="212"/>
      <c r="D76" s="212"/>
      <c r="E76" s="212"/>
      <c r="F76" s="212"/>
    </row>
    <row r="77" customFormat="false" ht="15" hidden="false" customHeight="true" outlineLevel="0" collapsed="false">
      <c r="A77" s="213" t="s">
        <v>752</v>
      </c>
      <c r="B77" s="213" t="s">
        <v>753</v>
      </c>
      <c r="C77" s="213" t="s">
        <v>754</v>
      </c>
      <c r="D77" s="213" t="s">
        <v>755</v>
      </c>
    </row>
    <row r="78" customFormat="false" ht="135.75" hidden="false" customHeight="true" outlineLevel="0" collapsed="false">
      <c r="A78" s="214" t="s">
        <v>764</v>
      </c>
      <c r="B78" s="214" t="s">
        <v>829</v>
      </c>
      <c r="C78" s="214" t="s">
        <v>830</v>
      </c>
      <c r="D78" s="215" t="s">
        <v>831</v>
      </c>
      <c r="E78" s="215"/>
      <c r="F78" s="215"/>
    </row>
  </sheetData>
  <mergeCells count="4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 ref="A76:F76"/>
    <mergeCell ref="D78:F78"/>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7" activeCellId="0" sqref="F7"/>
    </sheetView>
  </sheetViews>
  <sheetFormatPr defaultColWidth="10.66796875" defaultRowHeight="14.2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cp:lastPrinted>2026-09-13T01:05:49Z</cp:lastPrinted>
  <dcterms:modified xsi:type="dcterms:W3CDTF">2026-10-04T14:37:31Z</dcterms:modified>
  <cp:revision>207</cp:revision>
  <dc:subject/>
  <dc:title/>
</cp:coreProperties>
</file>

<file path=docProps/custom.xml><?xml version="1.0" encoding="utf-8"?>
<Properties xmlns="http://schemas.openxmlformats.org/officeDocument/2006/custom-properties" xmlns:vt="http://schemas.openxmlformats.org/officeDocument/2006/docPropsVTypes"/>
</file>